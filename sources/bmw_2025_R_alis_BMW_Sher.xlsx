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954C9D19-9A57-4BB7-947D-F4FF90413587}" xr6:coauthVersionLast="47" xr6:coauthVersionMax="47" xr10:uidLastSave="{00000000-0000-0000-0000-000000000000}"/>
  <bookViews>
    <workbookView xWindow="-23148" yWindow="3132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7" i="1" l="1"/>
  <c r="V132" i="1"/>
  <c r="V326" i="1"/>
  <c r="V327" i="1"/>
  <c r="V328" i="1"/>
  <c r="V329" i="1"/>
  <c r="V325" i="1"/>
  <c r="V205" i="1"/>
  <c r="V206" i="1"/>
  <c r="V208" i="1"/>
  <c r="V131" i="1"/>
  <c r="V133" i="1"/>
  <c r="V130" i="1"/>
  <c r="AQ428" i="1"/>
  <c r="AP428" i="1"/>
  <c r="AR429" i="1"/>
  <c r="AQ429" i="1"/>
  <c r="AR430" i="1"/>
  <c r="AR431" i="1"/>
  <c r="AR428" i="1"/>
  <c r="AQ430" i="1"/>
  <c r="AQ431" i="1"/>
  <c r="AP429" i="1" l="1"/>
  <c r="AP430" i="1"/>
  <c r="AP431" i="1"/>
  <c r="AP432" i="1"/>
  <c r="O113" i="1" l="1"/>
  <c r="J113" i="1"/>
  <c r="V159" i="1"/>
  <c r="V82" i="1"/>
  <c r="P104" i="1"/>
  <c r="P103" i="1"/>
  <c r="P102" i="1"/>
  <c r="E104" i="1"/>
  <c r="E103" i="1"/>
  <c r="E102" i="1"/>
  <c r="K104" i="1"/>
  <c r="K103" i="1"/>
  <c r="K102" i="1"/>
  <c r="K102" i="15"/>
  <c r="AR502" i="5" l="1"/>
  <c r="A499" i="5"/>
  <c r="A498" i="5"/>
  <c r="AO497" i="5"/>
  <c r="A497" i="5"/>
  <c r="A496" i="5"/>
  <c r="AO495" i="5"/>
  <c r="AN495" i="5"/>
  <c r="A495" i="5"/>
  <c r="AO494" i="5"/>
  <c r="AI494" i="5"/>
  <c r="A494" i="5"/>
  <c r="AN493" i="5"/>
  <c r="AI493" i="5"/>
  <c r="A493" i="5"/>
  <c r="AO493" i="5" s="1"/>
  <c r="AO492" i="5"/>
  <c r="A492" i="5"/>
  <c r="AI492" i="5" s="1"/>
  <c r="AN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477" i="5"/>
  <c r="A476" i="5"/>
  <c r="A475" i="5"/>
  <c r="AO474" i="5"/>
  <c r="A474" i="5"/>
  <c r="A473" i="5"/>
  <c r="A472" i="5"/>
  <c r="A471" i="5"/>
  <c r="A470" i="5"/>
  <c r="AN469" i="5"/>
  <c r="AH469" i="5"/>
  <c r="AI469" i="5" s="1"/>
  <c r="A469" i="5"/>
  <c r="A468" i="5"/>
  <c r="AO467" i="5"/>
  <c r="AN467" i="5"/>
  <c r="AH467" i="5"/>
  <c r="A467" i="5"/>
  <c r="A466" i="5"/>
  <c r="A465" i="5"/>
  <c r="A464" i="5"/>
  <c r="A463" i="5"/>
  <c r="A462" i="5"/>
  <c r="A461" i="5"/>
  <c r="A460" i="5"/>
  <c r="AI459" i="5"/>
  <c r="AH459" i="5"/>
  <c r="A459" i="5"/>
  <c r="AQ458" i="5"/>
  <c r="AN458" i="5"/>
  <c r="A458" i="5"/>
  <c r="AH457" i="5"/>
  <c r="AI457" i="5"/>
  <c r="A457" i="5"/>
  <c r="AO456" i="5"/>
  <c r="AI456" i="5"/>
  <c r="AH456" i="5"/>
  <c r="A456" i="5"/>
  <c r="AN455" i="5"/>
  <c r="A455" i="5"/>
  <c r="AH454" i="5"/>
  <c r="AI454" i="5"/>
  <c r="A454" i="5"/>
  <c r="AH453" i="5"/>
  <c r="A453" i="5"/>
  <c r="A452" i="5"/>
  <c r="A451" i="5"/>
  <c r="A450" i="5"/>
  <c r="A449" i="5"/>
  <c r="AQ448" i="5"/>
  <c r="A448" i="5"/>
  <c r="A447" i="5"/>
  <c r="A446" i="5"/>
  <c r="A445" i="5"/>
  <c r="A444" i="5"/>
  <c r="A443" i="5"/>
  <c r="A442" i="5"/>
  <c r="A441" i="5"/>
  <c r="A439" i="5"/>
  <c r="A438" i="5"/>
  <c r="AQ437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Q414" i="5"/>
  <c r="A414" i="5"/>
  <c r="A413" i="5"/>
  <c r="A412" i="5"/>
  <c r="A411" i="5"/>
  <c r="A410" i="5"/>
  <c r="A409" i="5"/>
  <c r="A408" i="5"/>
  <c r="A407" i="5"/>
  <c r="A406" i="5"/>
  <c r="A405" i="5"/>
  <c r="A404" i="5"/>
  <c r="A394" i="5"/>
  <c r="A393" i="5"/>
  <c r="S392" i="5"/>
  <c r="A392" i="5"/>
  <c r="S391" i="5"/>
  <c r="A391" i="5"/>
  <c r="S390" i="5"/>
  <c r="A390" i="5"/>
  <c r="S389" i="5"/>
  <c r="A389" i="5"/>
  <c r="A388" i="5"/>
  <c r="S387" i="5"/>
  <c r="A387" i="5"/>
  <c r="S386" i="5"/>
  <c r="A386" i="5"/>
  <c r="S385" i="5"/>
  <c r="A385" i="5"/>
  <c r="S384" i="5"/>
  <c r="A384" i="5"/>
  <c r="A383" i="5"/>
  <c r="A382" i="5"/>
  <c r="A381" i="5"/>
  <c r="A380" i="5"/>
  <c r="S379" i="5"/>
  <c r="A379" i="5"/>
  <c r="A378" i="5"/>
  <c r="A377" i="5"/>
  <c r="A376" i="5"/>
  <c r="A375" i="5"/>
  <c r="A374" i="5"/>
  <c r="A373" i="5"/>
  <c r="A372" i="5"/>
  <c r="A371" i="5"/>
  <c r="S370" i="5"/>
  <c r="A370" i="5"/>
  <c r="A369" i="5"/>
  <c r="A368" i="5"/>
  <c r="A367" i="5"/>
  <c r="S366" i="5"/>
  <c r="A366" i="5"/>
  <c r="A365" i="5"/>
  <c r="F377" i="5" s="1"/>
  <c r="A364" i="5"/>
  <c r="A363" i="5"/>
  <c r="O362" i="5"/>
  <c r="P362" i="5" s="1"/>
  <c r="L362" i="5"/>
  <c r="A362" i="5"/>
  <c r="A361" i="5"/>
  <c r="S360" i="5"/>
  <c r="Q362" i="5"/>
  <c r="S363" i="5" s="1"/>
  <c r="P360" i="5"/>
  <c r="R360" i="5"/>
  <c r="D362" i="5"/>
  <c r="E362" i="5" s="1"/>
  <c r="A360" i="5"/>
  <c r="A359" i="5"/>
  <c r="N348" i="5"/>
  <c r="A348" i="5"/>
  <c r="S347" i="5"/>
  <c r="A347" i="5"/>
  <c r="N347" i="5" s="1"/>
  <c r="S346" i="5"/>
  <c r="N346" i="5"/>
  <c r="A346" i="5"/>
  <c r="A345" i="5"/>
  <c r="S344" i="5"/>
  <c r="N344" i="5"/>
  <c r="A344" i="5"/>
  <c r="A343" i="5"/>
  <c r="S342" i="5"/>
  <c r="A342" i="5"/>
  <c r="A341" i="5"/>
  <c r="A340" i="5"/>
  <c r="A339" i="5"/>
  <c r="S338" i="5"/>
  <c r="A338" i="5"/>
  <c r="N337" i="5"/>
  <c r="A337" i="5"/>
  <c r="S337" i="5" s="1"/>
  <c r="S336" i="5"/>
  <c r="A336" i="5"/>
  <c r="N335" i="5"/>
  <c r="A335" i="5"/>
  <c r="N334" i="5"/>
  <c r="A334" i="5"/>
  <c r="S333" i="5"/>
  <c r="N333" i="5"/>
  <c r="A333" i="5"/>
  <c r="S332" i="5"/>
  <c r="N332" i="5"/>
  <c r="A332" i="5"/>
  <c r="A331" i="5"/>
  <c r="A330" i="5"/>
  <c r="N329" i="5"/>
  <c r="A329" i="5"/>
  <c r="A328" i="5"/>
  <c r="N328" i="5" s="1"/>
  <c r="S327" i="5"/>
  <c r="N327" i="5"/>
  <c r="A327" i="5"/>
  <c r="S326" i="5"/>
  <c r="A326" i="5"/>
  <c r="A325" i="5"/>
  <c r="S324" i="5"/>
  <c r="A324" i="5"/>
  <c r="A323" i="5"/>
  <c r="S323" i="5" s="1"/>
  <c r="A322" i="5"/>
  <c r="S321" i="5"/>
  <c r="A321" i="5"/>
  <c r="S320" i="5"/>
  <c r="A320" i="5"/>
  <c r="N320" i="5" s="1"/>
  <c r="S319" i="5"/>
  <c r="A319" i="5"/>
  <c r="N319" i="5" s="1"/>
  <c r="S318" i="5"/>
  <c r="N318" i="5"/>
  <c r="A318" i="5"/>
  <c r="A317" i="5"/>
  <c r="A316" i="5"/>
  <c r="A315" i="5"/>
  <c r="A314" i="5"/>
  <c r="A313" i="5"/>
  <c r="S312" i="5"/>
  <c r="R312" i="5" s="1"/>
  <c r="K312" i="5"/>
  <c r="E312" i="5"/>
  <c r="A312" i="5"/>
  <c r="A311" i="5"/>
  <c r="A310" i="5"/>
  <c r="A309" i="5"/>
  <c r="K308" i="5"/>
  <c r="A308" i="5"/>
  <c r="A307" i="5"/>
  <c r="A306" i="5"/>
  <c r="A305" i="5"/>
  <c r="A304" i="5"/>
  <c r="P303" i="5"/>
  <c r="N303" i="5"/>
  <c r="K303" i="5"/>
  <c r="E303" i="5"/>
  <c r="A303" i="5"/>
  <c r="S302" i="5"/>
  <c r="K302" i="5"/>
  <c r="E302" i="5"/>
  <c r="A302" i="5"/>
  <c r="K301" i="5"/>
  <c r="E301" i="5"/>
  <c r="A301" i="5"/>
  <c r="K300" i="5"/>
  <c r="A300" i="5"/>
  <c r="A299" i="5"/>
  <c r="N298" i="5"/>
  <c r="K298" i="5"/>
  <c r="E298" i="5"/>
  <c r="A298" i="5"/>
  <c r="K297" i="5"/>
  <c r="A297" i="5"/>
  <c r="R296" i="5"/>
  <c r="P296" i="5"/>
  <c r="E296" i="5"/>
  <c r="A296" i="5"/>
  <c r="A295" i="5"/>
  <c r="A294" i="5"/>
  <c r="S284" i="5"/>
  <c r="N284" i="5"/>
  <c r="A284" i="5"/>
  <c r="A283" i="5"/>
  <c r="N282" i="5"/>
  <c r="A282" i="5"/>
  <c r="S282" i="5" s="1"/>
  <c r="A281" i="5"/>
  <c r="A280" i="5"/>
  <c r="N279" i="5"/>
  <c r="A279" i="5"/>
  <c r="A278" i="5"/>
  <c r="N277" i="5"/>
  <c r="A277" i="5"/>
  <c r="S276" i="5"/>
  <c r="N276" i="5"/>
  <c r="A276" i="5"/>
  <c r="S275" i="5"/>
  <c r="N275" i="5"/>
  <c r="A275" i="5"/>
  <c r="S274" i="5"/>
  <c r="N274" i="5"/>
  <c r="A274" i="5"/>
  <c r="N273" i="5"/>
  <c r="A273" i="5"/>
  <c r="S273" i="5" s="1"/>
  <c r="A272" i="5"/>
  <c r="S271" i="5"/>
  <c r="A271" i="5"/>
  <c r="A270" i="5"/>
  <c r="A269" i="5"/>
  <c r="S269" i="5" s="1"/>
  <c r="S268" i="5"/>
  <c r="A268" i="5"/>
  <c r="A267" i="5"/>
  <c r="K266" i="5"/>
  <c r="A266" i="5"/>
  <c r="A265" i="5"/>
  <c r="N264" i="5"/>
  <c r="A264" i="5"/>
  <c r="A263" i="5"/>
  <c r="K285" i="5"/>
  <c r="A262" i="5"/>
  <c r="S261" i="5"/>
  <c r="A261" i="5"/>
  <c r="N260" i="5"/>
  <c r="A260" i="5"/>
  <c r="S259" i="5"/>
  <c r="N259" i="5"/>
  <c r="A259" i="5"/>
  <c r="N258" i="5"/>
  <c r="S258" i="5"/>
  <c r="A258" i="5"/>
  <c r="A257" i="5"/>
  <c r="S256" i="5"/>
  <c r="A256" i="5"/>
  <c r="N255" i="5"/>
  <c r="A255" i="5"/>
  <c r="S255" i="5" s="1"/>
  <c r="L266" i="5"/>
  <c r="A254" i="5"/>
  <c r="A253" i="5"/>
  <c r="A252" i="5"/>
  <c r="A251" i="5"/>
  <c r="A250" i="5"/>
  <c r="A249" i="5"/>
  <c r="S248" i="5"/>
  <c r="Q248" i="5"/>
  <c r="F248" i="5"/>
  <c r="A248" i="5"/>
  <c r="R247" i="5"/>
  <c r="N247" i="5"/>
  <c r="A247" i="5"/>
  <c r="A246" i="5"/>
  <c r="A245" i="5"/>
  <c r="S244" i="5"/>
  <c r="A244" i="5"/>
  <c r="P250" i="5" s="1"/>
  <c r="A243" i="5"/>
  <c r="A242" i="5"/>
  <c r="Q242" i="5"/>
  <c r="L242" i="5"/>
  <c r="A241" i="5"/>
  <c r="A240" i="5"/>
  <c r="A239" i="5"/>
  <c r="A228" i="5"/>
  <c r="S227" i="5"/>
  <c r="N227" i="5"/>
  <c r="A227" i="5"/>
  <c r="A226" i="5"/>
  <c r="N225" i="5"/>
  <c r="S225" i="5"/>
  <c r="A225" i="5"/>
  <c r="A224" i="5"/>
  <c r="S223" i="5"/>
  <c r="A223" i="5"/>
  <c r="N223" i="5" s="1"/>
  <c r="A222" i="5"/>
  <c r="A221" i="5"/>
  <c r="S221" i="5" s="1"/>
  <c r="S220" i="5"/>
  <c r="N220" i="5"/>
  <c r="A220" i="5"/>
  <c r="A219" i="5"/>
  <c r="N218" i="5"/>
  <c r="A218" i="5"/>
  <c r="A217" i="5"/>
  <c r="S216" i="5"/>
  <c r="N216" i="5"/>
  <c r="A216" i="5"/>
  <c r="N215" i="5"/>
  <c r="A215" i="5"/>
  <c r="N214" i="5"/>
  <c r="S214" i="5"/>
  <c r="A214" i="5"/>
  <c r="A213" i="5"/>
  <c r="A212" i="5"/>
  <c r="S211" i="5"/>
  <c r="N211" i="5"/>
  <c r="L229" i="5"/>
  <c r="A211" i="5"/>
  <c r="A210" i="5"/>
  <c r="A209" i="5"/>
  <c r="S209" i="5" s="1"/>
  <c r="A208" i="5"/>
  <c r="S207" i="5"/>
  <c r="A207" i="5"/>
  <c r="S206" i="5"/>
  <c r="A206" i="5"/>
  <c r="N206" i="5" s="1"/>
  <c r="S205" i="5"/>
  <c r="A205" i="5"/>
  <c r="N205" i="5" s="1"/>
  <c r="A204" i="5"/>
  <c r="S204" i="5" s="1"/>
  <c r="S203" i="5"/>
  <c r="A203" i="5"/>
  <c r="A202" i="5"/>
  <c r="N201" i="5"/>
  <c r="A201" i="5"/>
  <c r="A200" i="5"/>
  <c r="A199" i="5"/>
  <c r="A198" i="5"/>
  <c r="A197" i="5"/>
  <c r="A196" i="5"/>
  <c r="A195" i="5"/>
  <c r="A194" i="5"/>
  <c r="A193" i="5"/>
  <c r="L192" i="5"/>
  <c r="F192" i="5"/>
  <c r="A192" i="5"/>
  <c r="A191" i="5"/>
  <c r="Q192" i="5" s="1"/>
  <c r="A190" i="5"/>
  <c r="L189" i="5"/>
  <c r="F189" i="5"/>
  <c r="A189" i="5"/>
  <c r="R188" i="5"/>
  <c r="Q189" i="5"/>
  <c r="M188" i="5"/>
  <c r="A188" i="5"/>
  <c r="A187" i="5"/>
  <c r="A186" i="5"/>
  <c r="A185" i="5"/>
  <c r="N184" i="5"/>
  <c r="A184" i="5"/>
  <c r="A183" i="5"/>
  <c r="M182" i="5"/>
  <c r="A182" i="5"/>
  <c r="A181" i="5"/>
  <c r="A180" i="5"/>
  <c r="R179" i="5"/>
  <c r="F179" i="5"/>
  <c r="A179" i="5"/>
  <c r="P180" i="5"/>
  <c r="M178" i="5"/>
  <c r="J185" i="5"/>
  <c r="A178" i="5"/>
  <c r="A177" i="5"/>
  <c r="A176" i="5"/>
  <c r="R175" i="5"/>
  <c r="A175" i="5"/>
  <c r="A174" i="5"/>
  <c r="A173" i="5"/>
  <c r="A172" i="5"/>
  <c r="A171" i="5"/>
  <c r="A162" i="5"/>
  <c r="S161" i="5"/>
  <c r="N161" i="5"/>
  <c r="A161" i="5"/>
  <c r="S160" i="5"/>
  <c r="A160" i="5"/>
  <c r="N160" i="5" s="1"/>
  <c r="S159" i="5"/>
  <c r="A159" i="5"/>
  <c r="N158" i="5"/>
  <c r="S158" i="5"/>
  <c r="A158" i="5"/>
  <c r="A157" i="5"/>
  <c r="A156" i="5"/>
  <c r="A155" i="5"/>
  <c r="A154" i="5"/>
  <c r="A153" i="5"/>
  <c r="N152" i="5"/>
  <c r="A152" i="5"/>
  <c r="N151" i="5"/>
  <c r="A151" i="5"/>
  <c r="A150" i="5"/>
  <c r="S149" i="5"/>
  <c r="A149" i="5"/>
  <c r="N149" i="5" s="1"/>
  <c r="S148" i="5"/>
  <c r="A148" i="5"/>
  <c r="S147" i="5"/>
  <c r="N147" i="5"/>
  <c r="A147" i="5"/>
  <c r="A146" i="5"/>
  <c r="A145" i="5"/>
  <c r="N144" i="5"/>
  <c r="S144" i="5"/>
  <c r="A144" i="5"/>
  <c r="A143" i="5"/>
  <c r="S142" i="5"/>
  <c r="A142" i="5"/>
  <c r="N142" i="5" s="1"/>
  <c r="A141" i="5"/>
  <c r="A140" i="5"/>
  <c r="N139" i="5"/>
  <c r="S139" i="5"/>
  <c r="A139" i="5"/>
  <c r="A138" i="5"/>
  <c r="S137" i="5"/>
  <c r="N137" i="5"/>
  <c r="A137" i="5"/>
  <c r="A136" i="5"/>
  <c r="A135" i="5"/>
  <c r="S134" i="5"/>
  <c r="A134" i="5"/>
  <c r="S133" i="5"/>
  <c r="A133" i="5"/>
  <c r="A132" i="5"/>
  <c r="A131" i="5"/>
  <c r="A130" i="5"/>
  <c r="S130" i="5" s="1"/>
  <c r="A129" i="5"/>
  <c r="A128" i="5"/>
  <c r="N127" i="5"/>
  <c r="S127" i="5"/>
  <c r="A127" i="5"/>
  <c r="A126" i="5"/>
  <c r="N125" i="5"/>
  <c r="A125" i="5"/>
  <c r="N124" i="5"/>
  <c r="A124" i="5"/>
  <c r="A123" i="5"/>
  <c r="A122" i="5"/>
  <c r="N121" i="5"/>
  <c r="A121" i="5"/>
  <c r="A120" i="5"/>
  <c r="A119" i="5"/>
  <c r="W118" i="5"/>
  <c r="N118" i="5"/>
  <c r="A118" i="5"/>
  <c r="S117" i="5"/>
  <c r="N117" i="5"/>
  <c r="A117" i="5"/>
  <c r="A116" i="5"/>
  <c r="A115" i="5"/>
  <c r="A114" i="5"/>
  <c r="N113" i="5"/>
  <c r="S113" i="5"/>
  <c r="A113" i="5"/>
  <c r="A112" i="5"/>
  <c r="A111" i="5"/>
  <c r="A110" i="5"/>
  <c r="A109" i="5"/>
  <c r="A108" i="5"/>
  <c r="A107" i="5"/>
  <c r="A106" i="5"/>
  <c r="A105" i="5"/>
  <c r="A104" i="5"/>
  <c r="E104" i="5" s="1"/>
  <c r="L105" i="5"/>
  <c r="A103" i="5"/>
  <c r="N102" i="5"/>
  <c r="E102" i="5"/>
  <c r="A102" i="5"/>
  <c r="A101" i="5"/>
  <c r="S100" i="5"/>
  <c r="P100" i="5"/>
  <c r="N100" i="5"/>
  <c r="R100" i="5"/>
  <c r="E100" i="5"/>
  <c r="A100" i="5"/>
  <c r="A99" i="5"/>
  <c r="A98" i="5"/>
  <c r="A97" i="5"/>
  <c r="K96" i="5"/>
  <c r="A96" i="5"/>
  <c r="A95" i="5"/>
  <c r="A94" i="5"/>
  <c r="A93" i="5"/>
  <c r="S89" i="5"/>
  <c r="B85" i="5"/>
  <c r="A85" i="5"/>
  <c r="B84" i="5"/>
  <c r="A84" i="5"/>
  <c r="B83" i="5"/>
  <c r="A83" i="5"/>
  <c r="B82" i="5"/>
  <c r="S81" i="5"/>
  <c r="B81" i="5"/>
  <c r="A81" i="5"/>
  <c r="B80" i="5"/>
  <c r="A80" i="5" s="1"/>
  <c r="S79" i="5"/>
  <c r="N79" i="5"/>
  <c r="B79" i="5"/>
  <c r="A79" i="5"/>
  <c r="B78" i="5"/>
  <c r="A78" i="5"/>
  <c r="S77" i="5"/>
  <c r="N77" i="5"/>
  <c r="B77" i="5"/>
  <c r="A77" i="5" s="1"/>
  <c r="N76" i="5"/>
  <c r="B76" i="5"/>
  <c r="A76" i="5" s="1"/>
  <c r="B75" i="5"/>
  <c r="B74" i="5"/>
  <c r="A74" i="5"/>
  <c r="B73" i="5"/>
  <c r="A73" i="5"/>
  <c r="B72" i="5"/>
  <c r="A72" i="5"/>
  <c r="B71" i="5"/>
  <c r="A71" i="5" s="1"/>
  <c r="S70" i="5"/>
  <c r="N70" i="5"/>
  <c r="B70" i="5"/>
  <c r="A70" i="5"/>
  <c r="B69" i="5"/>
  <c r="A69" i="5"/>
  <c r="S69" i="5" s="1"/>
  <c r="B68" i="5"/>
  <c r="N67" i="5"/>
  <c r="B67" i="5"/>
  <c r="A67" i="5" s="1"/>
  <c r="B66" i="5"/>
  <c r="A66" i="5"/>
  <c r="B65" i="5"/>
  <c r="A65" i="5"/>
  <c r="B64" i="5"/>
  <c r="A64" i="5" s="1"/>
  <c r="B63" i="5"/>
  <c r="A63" i="5"/>
  <c r="B62" i="5"/>
  <c r="A62" i="5" s="1"/>
  <c r="B61" i="5"/>
  <c r="A61" i="5" s="1"/>
  <c r="B60" i="5"/>
  <c r="B59" i="5"/>
  <c r="A59" i="5" s="1"/>
  <c r="B58" i="5"/>
  <c r="A58" i="5" s="1"/>
  <c r="B57" i="5"/>
  <c r="A57" i="5" s="1"/>
  <c r="B56" i="5"/>
  <c r="A56" i="5" s="1"/>
  <c r="B55" i="5"/>
  <c r="B54" i="5"/>
  <c r="A54" i="5" s="1"/>
  <c r="N53" i="5"/>
  <c r="B53" i="5"/>
  <c r="A53" i="5"/>
  <c r="B52" i="5"/>
  <c r="N51" i="5"/>
  <c r="B51" i="5"/>
  <c r="A51" i="5" s="1"/>
  <c r="B50" i="5"/>
  <c r="A50" i="5"/>
  <c r="B49" i="5"/>
  <c r="A49" i="5"/>
  <c r="N48" i="5"/>
  <c r="S48" i="5"/>
  <c r="B48" i="5"/>
  <c r="A48" i="5" s="1"/>
  <c r="B47" i="5"/>
  <c r="A47" i="5"/>
  <c r="B46" i="5"/>
  <c r="B45" i="5"/>
  <c r="A45" i="5" s="1"/>
  <c r="B44" i="5"/>
  <c r="B43" i="5"/>
  <c r="B42" i="5"/>
  <c r="B41" i="5"/>
  <c r="A41" i="5"/>
  <c r="K40" i="5"/>
  <c r="B40" i="5"/>
  <c r="A40" i="5" s="1"/>
  <c r="S39" i="5"/>
  <c r="N39" i="5"/>
  <c r="K39" i="5"/>
  <c r="B39" i="5"/>
  <c r="A39" i="5"/>
  <c r="B38" i="5"/>
  <c r="K38" i="5" s="1"/>
  <c r="A38" i="5"/>
  <c r="W37" i="5"/>
  <c r="AQ415" i="5" s="1"/>
  <c r="B37" i="5"/>
  <c r="A37" i="5" s="1"/>
  <c r="S36" i="5"/>
  <c r="B36" i="5"/>
  <c r="A36" i="5"/>
  <c r="B35" i="5"/>
  <c r="B34" i="5"/>
  <c r="N34" i="5" s="1"/>
  <c r="A34" i="5"/>
  <c r="B33" i="5"/>
  <c r="A33" i="5" s="1"/>
  <c r="B32" i="5"/>
  <c r="A32" i="5" s="1"/>
  <c r="B31" i="5"/>
  <c r="A31" i="5"/>
  <c r="B30" i="5"/>
  <c r="A30" i="5" s="1"/>
  <c r="B29" i="5"/>
  <c r="A29" i="5"/>
  <c r="B28" i="5"/>
  <c r="A28" i="5"/>
  <c r="B27" i="5"/>
  <c r="A27" i="5" s="1"/>
  <c r="B26" i="5"/>
  <c r="A26" i="5"/>
  <c r="B25" i="5"/>
  <c r="A25" i="5"/>
  <c r="B24" i="5"/>
  <c r="A24" i="5"/>
  <c r="B23" i="5"/>
  <c r="A23" i="5" s="1"/>
  <c r="B22" i="5"/>
  <c r="A22" i="5"/>
  <c r="E22" i="5" s="1"/>
  <c r="E21" i="5"/>
  <c r="B21" i="5"/>
  <c r="A21" i="5"/>
  <c r="B20" i="5"/>
  <c r="A20" i="5"/>
  <c r="R19" i="5"/>
  <c r="B19" i="5"/>
  <c r="B18" i="5"/>
  <c r="A18" i="5"/>
  <c r="B17" i="5"/>
  <c r="A17" i="5" s="1"/>
  <c r="B16" i="5"/>
  <c r="A16" i="5" s="1"/>
  <c r="B15" i="5"/>
  <c r="B14" i="5"/>
  <c r="A14" i="5"/>
  <c r="B13" i="5"/>
  <c r="A13" i="5"/>
  <c r="B12" i="5"/>
  <c r="A12" i="5" s="1"/>
  <c r="P12" i="5" s="1"/>
  <c r="B11" i="5"/>
  <c r="A11" i="5"/>
  <c r="E11" i="5" s="1"/>
  <c r="P10" i="5"/>
  <c r="K10" i="5"/>
  <c r="N10" i="5"/>
  <c r="E10" i="5"/>
  <c r="B10" i="5"/>
  <c r="A10" i="5"/>
  <c r="P9" i="5"/>
  <c r="N9" i="5"/>
  <c r="B9" i="5"/>
  <c r="A9" i="5" s="1"/>
  <c r="B8" i="5"/>
  <c r="K7" i="5"/>
  <c r="B7" i="5"/>
  <c r="A7" i="5"/>
  <c r="M6" i="5"/>
  <c r="B6" i="5"/>
  <c r="A6" i="5"/>
  <c r="B5" i="5"/>
  <c r="A5" i="5"/>
  <c r="M7" i="5" l="1"/>
  <c r="S21" i="5"/>
  <c r="E23" i="5"/>
  <c r="P11" i="5"/>
  <c r="S31" i="5"/>
  <c r="S114" i="5"/>
  <c r="N114" i="5"/>
  <c r="A8" i="5"/>
  <c r="S10" i="5"/>
  <c r="A19" i="5"/>
  <c r="L24" i="5"/>
  <c r="N33" i="5"/>
  <c r="AF413" i="5"/>
  <c r="A35" i="5"/>
  <c r="A42" i="5"/>
  <c r="N47" i="5"/>
  <c r="S66" i="5"/>
  <c r="S76" i="5"/>
  <c r="E95" i="5"/>
  <c r="S118" i="5"/>
  <c r="N23" i="5"/>
  <c r="S7" i="5"/>
  <c r="K8" i="5"/>
  <c r="S9" i="5"/>
  <c r="S47" i="5"/>
  <c r="S50" i="5"/>
  <c r="N63" i="5"/>
  <c r="S63" i="5"/>
  <c r="N69" i="5"/>
  <c r="A82" i="5"/>
  <c r="S126" i="5"/>
  <c r="J113" i="5"/>
  <c r="E6" i="5"/>
  <c r="N21" i="5"/>
  <c r="K6" i="5"/>
  <c r="E7" i="5"/>
  <c r="R10" i="5"/>
  <c r="R17" i="5"/>
  <c r="A55" i="5"/>
  <c r="AF434" i="5"/>
  <c r="Z441" i="5"/>
  <c r="N66" i="5"/>
  <c r="M95" i="5"/>
  <c r="R95" i="5"/>
  <c r="S104" i="5"/>
  <c r="V485" i="5"/>
  <c r="A485" i="5" s="1"/>
  <c r="AF446" i="5"/>
  <c r="AF443" i="5"/>
  <c r="AL473" i="5"/>
  <c r="AO473" i="5" s="1"/>
  <c r="Z472" i="5"/>
  <c r="V402" i="5"/>
  <c r="AF410" i="5"/>
  <c r="AL415" i="5"/>
  <c r="AL445" i="5"/>
  <c r="AF426" i="5"/>
  <c r="AF423" i="5"/>
  <c r="AF436" i="5"/>
  <c r="AF480" i="5"/>
  <c r="C291" i="5"/>
  <c r="C356" i="5" s="1"/>
  <c r="AL411" i="5"/>
  <c r="C168" i="5"/>
  <c r="C89" i="5"/>
  <c r="AL446" i="5" s="1"/>
  <c r="C236" i="5"/>
  <c r="S6" i="5"/>
  <c r="L13" i="5"/>
  <c r="L27" i="5" s="1"/>
  <c r="E9" i="5"/>
  <c r="K17" i="5"/>
  <c r="S33" i="5"/>
  <c r="S40" i="5"/>
  <c r="N50" i="5"/>
  <c r="D53" i="5"/>
  <c r="S58" i="5"/>
  <c r="N58" i="5"/>
  <c r="AF441" i="5"/>
  <c r="AF444" i="5"/>
  <c r="K95" i="5"/>
  <c r="Q122" i="5"/>
  <c r="N141" i="5"/>
  <c r="S141" i="5"/>
  <c r="N17" i="5"/>
  <c r="S32" i="5"/>
  <c r="N37" i="5"/>
  <c r="S95" i="5"/>
  <c r="AF422" i="5"/>
  <c r="A43" i="5"/>
  <c r="A75" i="5"/>
  <c r="R9" i="5"/>
  <c r="N32" i="5"/>
  <c r="K9" i="5"/>
  <c r="P17" i="5"/>
  <c r="AL442" i="5"/>
  <c r="N62" i="5"/>
  <c r="L83" i="5"/>
  <c r="P95" i="5"/>
  <c r="S119" i="5"/>
  <c r="N119" i="5"/>
  <c r="L41" i="5"/>
  <c r="K34" i="5"/>
  <c r="S37" i="5"/>
  <c r="A46" i="5"/>
  <c r="N7" i="5"/>
  <c r="N36" i="5"/>
  <c r="AL430" i="5"/>
  <c r="S53" i="5"/>
  <c r="Z435" i="5"/>
  <c r="N80" i="5"/>
  <c r="S80" i="5"/>
  <c r="R94" i="5"/>
  <c r="J97" i="5"/>
  <c r="M94" i="5"/>
  <c r="S96" i="5"/>
  <c r="P96" i="5"/>
  <c r="E96" i="5"/>
  <c r="N22" i="5"/>
  <c r="S23" i="5"/>
  <c r="Z445" i="5"/>
  <c r="M9" i="5"/>
  <c r="AF432" i="5"/>
  <c r="N49" i="5"/>
  <c r="S49" i="5"/>
  <c r="AL438" i="5"/>
  <c r="S67" i="5"/>
  <c r="N78" i="5"/>
  <c r="K94" i="5"/>
  <c r="R11" i="5"/>
  <c r="E12" i="5"/>
  <c r="M10" i="5"/>
  <c r="K11" i="5"/>
  <c r="N31" i="5"/>
  <c r="M11" i="5"/>
  <c r="A15" i="5"/>
  <c r="S17" i="5"/>
  <c r="Q24" i="5"/>
  <c r="N38" i="5"/>
  <c r="S38" i="5"/>
  <c r="A44" i="5"/>
  <c r="S51" i="5"/>
  <c r="S62" i="5"/>
  <c r="A68" i="5"/>
  <c r="AL470" i="5"/>
  <c r="N94" i="5"/>
  <c r="L97" i="5"/>
  <c r="A52" i="5"/>
  <c r="A60" i="5"/>
  <c r="N96" i="5"/>
  <c r="E103" i="5"/>
  <c r="N103" i="5"/>
  <c r="S150" i="5"/>
  <c r="N150" i="5"/>
  <c r="S124" i="5"/>
  <c r="AO485" i="5"/>
  <c r="AO402" i="5"/>
  <c r="S356" i="5"/>
  <c r="S291" i="5"/>
  <c r="S168" i="5"/>
  <c r="S236" i="5"/>
  <c r="Q105" i="5"/>
  <c r="S152" i="5"/>
  <c r="S157" i="5"/>
  <c r="S175" i="5"/>
  <c r="Q176" i="5"/>
  <c r="S65" i="5"/>
  <c r="N81" i="5"/>
  <c r="S102" i="5"/>
  <c r="S125" i="5"/>
  <c r="S138" i="5"/>
  <c r="N116" i="5"/>
  <c r="S123" i="5"/>
  <c r="N131" i="5"/>
  <c r="S131" i="5"/>
  <c r="L153" i="5"/>
  <c r="S136" i="5"/>
  <c r="N104" i="5"/>
  <c r="N136" i="5"/>
  <c r="S226" i="5"/>
  <c r="N226" i="5"/>
  <c r="S128" i="5"/>
  <c r="N95" i="5"/>
  <c r="M96" i="5"/>
  <c r="O97" i="5"/>
  <c r="P112" i="5" s="1"/>
  <c r="S112" i="5"/>
  <c r="S116" i="5"/>
  <c r="N126" i="5"/>
  <c r="N148" i="5"/>
  <c r="K100" i="5"/>
  <c r="S103" i="5"/>
  <c r="N112" i="5"/>
  <c r="S121" i="5"/>
  <c r="S129" i="5"/>
  <c r="N132" i="5"/>
  <c r="S132" i="5"/>
  <c r="Q153" i="5"/>
  <c r="N145" i="5"/>
  <c r="N115" i="5"/>
  <c r="S115" i="5"/>
  <c r="S120" i="5"/>
  <c r="M100" i="5"/>
  <c r="N120" i="5"/>
  <c r="L122" i="5"/>
  <c r="N129" i="5"/>
  <c r="Q163" i="5"/>
  <c r="S156" i="5"/>
  <c r="Q210" i="5"/>
  <c r="S78" i="5"/>
  <c r="N146" i="5"/>
  <c r="S151" i="5"/>
  <c r="L163" i="5"/>
  <c r="K174" i="5"/>
  <c r="K185" i="5"/>
  <c r="N200" i="5"/>
  <c r="S213" i="5"/>
  <c r="N213" i="5"/>
  <c r="S265" i="5"/>
  <c r="N265" i="5"/>
  <c r="N133" i="5"/>
  <c r="S143" i="5"/>
  <c r="S172" i="5"/>
  <c r="N207" i="5"/>
  <c r="N256" i="5"/>
  <c r="E299" i="5"/>
  <c r="N143" i="5"/>
  <c r="M175" i="5"/>
  <c r="L248" i="5"/>
  <c r="K250" i="5"/>
  <c r="L251" i="5" s="1"/>
  <c r="M247" i="5"/>
  <c r="S283" i="5"/>
  <c r="N283" i="5"/>
  <c r="R181" i="5"/>
  <c r="M181" i="5"/>
  <c r="N198" i="5"/>
  <c r="L210" i="5"/>
  <c r="S224" i="5"/>
  <c r="N224" i="5"/>
  <c r="L304" i="5"/>
  <c r="S295" i="5"/>
  <c r="N295" i="5"/>
  <c r="R302" i="5"/>
  <c r="P302" i="5"/>
  <c r="N157" i="5"/>
  <c r="N159" i="5"/>
  <c r="S198" i="5"/>
  <c r="S208" i="5"/>
  <c r="S217" i="5"/>
  <c r="S263" i="5"/>
  <c r="N263" i="5"/>
  <c r="N130" i="5"/>
  <c r="V159" i="5"/>
  <c r="R178" i="5"/>
  <c r="L182" i="5"/>
  <c r="S184" i="5"/>
  <c r="N221" i="5"/>
  <c r="L287" i="5"/>
  <c r="S257" i="5"/>
  <c r="N257" i="5"/>
  <c r="N128" i="5"/>
  <c r="N134" i="5"/>
  <c r="S202" i="5"/>
  <c r="F229" i="5"/>
  <c r="N229" i="5" s="1"/>
  <c r="R241" i="5"/>
  <c r="S146" i="5"/>
  <c r="Q173" i="5"/>
  <c r="L173" i="5"/>
  <c r="N222" i="5"/>
  <c r="P285" i="5"/>
  <c r="Q250" i="5"/>
  <c r="P266" i="5"/>
  <c r="Q245" i="5"/>
  <c r="P287" i="5"/>
  <c r="N140" i="5"/>
  <c r="F163" i="5"/>
  <c r="N156" i="5"/>
  <c r="S162" i="5"/>
  <c r="Q182" i="5"/>
  <c r="L185" i="5"/>
  <c r="N188" i="5"/>
  <c r="N203" i="5"/>
  <c r="N209" i="5"/>
  <c r="N212" i="5"/>
  <c r="S215" i="5"/>
  <c r="S222" i="5"/>
  <c r="L135" i="5"/>
  <c r="N138" i="5"/>
  <c r="S140" i="5"/>
  <c r="N162" i="5"/>
  <c r="P177" i="5"/>
  <c r="S245" i="5"/>
  <c r="L176" i="5"/>
  <c r="S200" i="5"/>
  <c r="N248" i="5"/>
  <c r="S247" i="5"/>
  <c r="S277" i="5"/>
  <c r="M297" i="5"/>
  <c r="S300" i="5"/>
  <c r="M307" i="5"/>
  <c r="K307" i="5"/>
  <c r="F349" i="5"/>
  <c r="N269" i="5"/>
  <c r="K287" i="5"/>
  <c r="R298" i="5"/>
  <c r="P298" i="5"/>
  <c r="N199" i="5"/>
  <c r="F210" i="5"/>
  <c r="N208" i="5"/>
  <c r="N217" i="5"/>
  <c r="S219" i="5"/>
  <c r="N228" i="5"/>
  <c r="N261" i="5"/>
  <c r="L285" i="5"/>
  <c r="R295" i="5"/>
  <c r="P295" i="5"/>
  <c r="S297" i="5"/>
  <c r="P307" i="5"/>
  <c r="N219" i="5"/>
  <c r="N267" i="5"/>
  <c r="N271" i="5"/>
  <c r="S278" i="5"/>
  <c r="N278" i="5"/>
  <c r="S281" i="5"/>
  <c r="N281" i="5"/>
  <c r="R303" i="5"/>
  <c r="R307" i="5"/>
  <c r="Q377" i="5"/>
  <c r="S188" i="5"/>
  <c r="S201" i="5"/>
  <c r="N254" i="5"/>
  <c r="N308" i="5"/>
  <c r="Q330" i="5"/>
  <c r="S376" i="5"/>
  <c r="S199" i="5"/>
  <c r="S212" i="5"/>
  <c r="S228" i="5"/>
  <c r="S241" i="5"/>
  <c r="M244" i="5"/>
  <c r="M299" i="5"/>
  <c r="K299" i="5"/>
  <c r="F330" i="5"/>
  <c r="L250" i="5"/>
  <c r="L245" i="5"/>
  <c r="S267" i="5"/>
  <c r="M296" i="5"/>
  <c r="K296" i="5"/>
  <c r="S301" i="5"/>
  <c r="N312" i="5"/>
  <c r="M241" i="5"/>
  <c r="R244" i="5"/>
  <c r="N262" i="5"/>
  <c r="N268" i="5"/>
  <c r="N270" i="5"/>
  <c r="N272" i="5"/>
  <c r="S279" i="5"/>
  <c r="R299" i="5"/>
  <c r="N301" i="5"/>
  <c r="N178" i="5"/>
  <c r="L179" i="5"/>
  <c r="N179" i="5" s="1"/>
  <c r="N181" i="5"/>
  <c r="N204" i="5"/>
  <c r="S218" i="5"/>
  <c r="S270" i="5"/>
  <c r="S272" i="5"/>
  <c r="E295" i="5"/>
  <c r="D304" i="5"/>
  <c r="N300" i="5"/>
  <c r="R301" i="5"/>
  <c r="P301" i="5"/>
  <c r="S325" i="5"/>
  <c r="N339" i="5"/>
  <c r="S339" i="5"/>
  <c r="N202" i="5"/>
  <c r="N241" i="5"/>
  <c r="S260" i="5"/>
  <c r="S262" i="5"/>
  <c r="S264" i="5"/>
  <c r="S280" i="5"/>
  <c r="N280" i="5"/>
  <c r="K295" i="5"/>
  <c r="N297" i="5"/>
  <c r="E297" i="5"/>
  <c r="S298" i="5"/>
  <c r="S322" i="5"/>
  <c r="M295" i="5"/>
  <c r="N296" i="5"/>
  <c r="M298" i="5"/>
  <c r="N299" i="5"/>
  <c r="S299" i="5"/>
  <c r="M301" i="5"/>
  <c r="N302" i="5"/>
  <c r="E307" i="5"/>
  <c r="S307" i="5"/>
  <c r="M312" i="5"/>
  <c r="S329" i="5"/>
  <c r="AH492" i="5"/>
  <c r="L349" i="5"/>
  <c r="S381" i="5"/>
  <c r="AN454" i="5"/>
  <c r="AO454" i="5" s="1"/>
  <c r="AO457" i="5"/>
  <c r="AN457" i="5"/>
  <c r="AO496" i="5"/>
  <c r="S303" i="5"/>
  <c r="N322" i="5"/>
  <c r="N326" i="5"/>
  <c r="S365" i="5"/>
  <c r="S371" i="5"/>
  <c r="AN496" i="5"/>
  <c r="N324" i="5"/>
  <c r="S335" i="5"/>
  <c r="N340" i="5"/>
  <c r="N342" i="5"/>
  <c r="S368" i="5"/>
  <c r="S374" i="5"/>
  <c r="L377" i="5"/>
  <c r="S382" i="5"/>
  <c r="AN460" i="5"/>
  <c r="AO460" i="5" s="1"/>
  <c r="S328" i="5"/>
  <c r="S331" i="5"/>
  <c r="S340" i="5"/>
  <c r="Q395" i="5"/>
  <c r="P395" i="5" s="1"/>
  <c r="AN420" i="5"/>
  <c r="AN497" i="5"/>
  <c r="P312" i="5"/>
  <c r="N345" i="5"/>
  <c r="S378" i="5"/>
  <c r="L395" i="5"/>
  <c r="K395" i="5" s="1"/>
  <c r="N338" i="5"/>
  <c r="S369" i="5"/>
  <c r="S375" i="5"/>
  <c r="S383" i="5"/>
  <c r="S388" i="5"/>
  <c r="J304" i="5"/>
  <c r="S308" i="5"/>
  <c r="N321" i="5"/>
  <c r="N323" i="5"/>
  <c r="S334" i="5"/>
  <c r="N336" i="5"/>
  <c r="S343" i="5"/>
  <c r="S345" i="5"/>
  <c r="S372" i="5"/>
  <c r="S393" i="5"/>
  <c r="AO455" i="5"/>
  <c r="AO458" i="5"/>
  <c r="AH494" i="5"/>
  <c r="N341" i="5"/>
  <c r="N343" i="5"/>
  <c r="J362" i="5"/>
  <c r="K362" i="5" s="1"/>
  <c r="K360" i="5"/>
  <c r="R362" i="5"/>
  <c r="AI491" i="5"/>
  <c r="S296" i="5"/>
  <c r="P299" i="5"/>
  <c r="N325" i="5"/>
  <c r="S341" i="5"/>
  <c r="S362" i="5"/>
  <c r="S394" i="5"/>
  <c r="AN477" i="5"/>
  <c r="AO477" i="5" s="1"/>
  <c r="AH477" i="5"/>
  <c r="AI477" i="5" s="1"/>
  <c r="L330" i="5"/>
  <c r="S348" i="5"/>
  <c r="S367" i="5"/>
  <c r="S373" i="5"/>
  <c r="S380" i="5"/>
  <c r="AI453" i="5"/>
  <c r="AO491" i="5"/>
  <c r="AN453" i="5"/>
  <c r="AN456" i="5"/>
  <c r="AO469" i="5"/>
  <c r="AN492" i="5"/>
  <c r="AH455" i="5"/>
  <c r="AI455" i="5" s="1"/>
  <c r="AH458" i="5"/>
  <c r="AN459" i="5"/>
  <c r="AO459" i="5" s="1"/>
  <c r="AH491" i="5"/>
  <c r="AN494" i="5"/>
  <c r="E377" i="5"/>
  <c r="Z438" i="5"/>
  <c r="AH493" i="5"/>
  <c r="AH460" i="5"/>
  <c r="S163" i="5" l="1"/>
  <c r="S242" i="5"/>
  <c r="AH441" i="5"/>
  <c r="O32" i="5"/>
  <c r="F231" i="5"/>
  <c r="AI441" i="5"/>
  <c r="N59" i="5"/>
  <c r="S59" i="5"/>
  <c r="AN446" i="5"/>
  <c r="AO446" i="5" s="1"/>
  <c r="AF427" i="5"/>
  <c r="L351" i="5"/>
  <c r="S330" i="5"/>
  <c r="N330" i="5"/>
  <c r="AH461" i="5"/>
  <c r="L397" i="5"/>
  <c r="S377" i="5"/>
  <c r="K377" i="5"/>
  <c r="M300" i="5"/>
  <c r="E300" i="5"/>
  <c r="S181" i="5"/>
  <c r="Q397" i="5"/>
  <c r="P377" i="5"/>
  <c r="Q179" i="5"/>
  <c r="S178" i="5"/>
  <c r="Q185" i="5"/>
  <c r="Q349" i="5"/>
  <c r="F176" i="5"/>
  <c r="N175" i="5"/>
  <c r="Q251" i="5"/>
  <c r="F153" i="5"/>
  <c r="W159" i="5"/>
  <c r="F182" i="5"/>
  <c r="AF471" i="5"/>
  <c r="Z429" i="5"/>
  <c r="AF429" i="5"/>
  <c r="Z447" i="5"/>
  <c r="Z412" i="5"/>
  <c r="Z475" i="5"/>
  <c r="AF472" i="5"/>
  <c r="AL428" i="5"/>
  <c r="AF430" i="5"/>
  <c r="Z480" i="5"/>
  <c r="S82" i="5"/>
  <c r="D97" i="5"/>
  <c r="L54" i="5"/>
  <c r="K54" i="5" s="1"/>
  <c r="S52" i="5"/>
  <c r="N331" i="5"/>
  <c r="N349" i="5" s="1"/>
  <c r="E185" i="5"/>
  <c r="E194" i="5" s="1"/>
  <c r="E174" i="5"/>
  <c r="L194" i="5"/>
  <c r="L186" i="5"/>
  <c r="S185" i="5"/>
  <c r="M185" i="5"/>
  <c r="K194" i="5"/>
  <c r="K12" i="5"/>
  <c r="R12" i="5"/>
  <c r="M12" i="5"/>
  <c r="P116" i="5"/>
  <c r="AF415" i="5"/>
  <c r="AL435" i="5"/>
  <c r="AL476" i="5"/>
  <c r="AO476" i="5" s="1"/>
  <c r="AF475" i="5"/>
  <c r="Z430" i="5"/>
  <c r="AL472" i="5"/>
  <c r="AO472" i="5" s="1"/>
  <c r="V82" i="5"/>
  <c r="N82" i="5"/>
  <c r="S24" i="5"/>
  <c r="S25" i="5" s="1"/>
  <c r="P297" i="5"/>
  <c r="R297" i="5"/>
  <c r="L309" i="5"/>
  <c r="N304" i="5"/>
  <c r="N305" i="5" s="1"/>
  <c r="S11" i="5"/>
  <c r="N11" i="5"/>
  <c r="Z422" i="5"/>
  <c r="AL422" i="5"/>
  <c r="AF445" i="5"/>
  <c r="AF451" i="5"/>
  <c r="AF447" i="5"/>
  <c r="AF425" i="5"/>
  <c r="Z437" i="5"/>
  <c r="AF478" i="5"/>
  <c r="AF449" i="5"/>
  <c r="AL475" i="5"/>
  <c r="S71" i="5"/>
  <c r="N71" i="5"/>
  <c r="F24" i="5"/>
  <c r="D32" i="5" s="1"/>
  <c r="AN461" i="5"/>
  <c r="AO461" i="5" s="1"/>
  <c r="Q351" i="5"/>
  <c r="F395" i="5"/>
  <c r="O304" i="5"/>
  <c r="D185" i="5"/>
  <c r="F285" i="5"/>
  <c r="E285" i="5" s="1"/>
  <c r="S145" i="5"/>
  <c r="J112" i="5"/>
  <c r="L108" i="5"/>
  <c r="S43" i="5"/>
  <c r="N43" i="5"/>
  <c r="P115" i="5"/>
  <c r="AF463" i="5"/>
  <c r="AF439" i="5"/>
  <c r="Z409" i="5"/>
  <c r="Z470" i="5"/>
  <c r="Z428" i="5"/>
  <c r="AF428" i="5"/>
  <c r="Z440" i="5"/>
  <c r="AI440" i="5" s="1"/>
  <c r="AL410" i="5"/>
  <c r="AL478" i="5"/>
  <c r="AO478" i="5" s="1"/>
  <c r="L72" i="5"/>
  <c r="K72" i="5" s="1"/>
  <c r="S55" i="5"/>
  <c r="E19" i="5"/>
  <c r="S19" i="5"/>
  <c r="N19" i="5"/>
  <c r="S61" i="5"/>
  <c r="N61" i="5"/>
  <c r="AI458" i="5"/>
  <c r="F351" i="5"/>
  <c r="M308" i="5"/>
  <c r="E308" i="5"/>
  <c r="N307" i="5"/>
  <c r="S45" i="5"/>
  <c r="N45" i="5"/>
  <c r="AF448" i="5"/>
  <c r="AL414" i="5"/>
  <c r="Z473" i="5"/>
  <c r="AF470" i="5"/>
  <c r="AL429" i="5"/>
  <c r="AF431" i="5"/>
  <c r="AL441" i="5"/>
  <c r="AF412" i="5"/>
  <c r="Z436" i="5"/>
  <c r="AH436" i="5" s="1"/>
  <c r="N12" i="5"/>
  <c r="S12" i="5"/>
  <c r="E17" i="5"/>
  <c r="M17" i="5"/>
  <c r="S22" i="5"/>
  <c r="S57" i="5"/>
  <c r="N57" i="5"/>
  <c r="N242" i="5"/>
  <c r="Q266" i="5"/>
  <c r="S254" i="5"/>
  <c r="R308" i="5"/>
  <c r="P308" i="5"/>
  <c r="K135" i="5"/>
  <c r="N163" i="5"/>
  <c r="R172" i="5"/>
  <c r="O185" i="5"/>
  <c r="R250" i="5"/>
  <c r="Q97" i="5"/>
  <c r="E120" i="5"/>
  <c r="Q285" i="5"/>
  <c r="S153" i="5"/>
  <c r="N153" i="5"/>
  <c r="K153" i="5"/>
  <c r="F122" i="5"/>
  <c r="S94" i="5"/>
  <c r="P120" i="5"/>
  <c r="Q135" i="5"/>
  <c r="S135" i="5" s="1"/>
  <c r="AF465" i="5"/>
  <c r="AL412" i="5"/>
  <c r="AF417" i="5"/>
  <c r="Z476" i="5"/>
  <c r="AF473" i="5"/>
  <c r="Z443" i="5"/>
  <c r="Z414" i="5"/>
  <c r="AL464" i="5"/>
  <c r="AL437" i="5"/>
  <c r="F13" i="5"/>
  <c r="N6" i="5"/>
  <c r="N13" i="5" s="1"/>
  <c r="N56" i="5"/>
  <c r="S56" i="5"/>
  <c r="K41" i="5"/>
  <c r="L74" i="5"/>
  <c r="E349" i="5"/>
  <c r="R300" i="5"/>
  <c r="P300" i="5"/>
  <c r="F266" i="5"/>
  <c r="F135" i="5"/>
  <c r="N123" i="5"/>
  <c r="AI460" i="5"/>
  <c r="M304" i="5"/>
  <c r="J309" i="5"/>
  <c r="K304" i="5"/>
  <c r="S395" i="5"/>
  <c r="S285" i="5"/>
  <c r="P185" i="5"/>
  <c r="P194" i="5" s="1"/>
  <c r="P174" i="5"/>
  <c r="Q229" i="5"/>
  <c r="Q231" i="5" s="1"/>
  <c r="AL465" i="5"/>
  <c r="Z478" i="5"/>
  <c r="Z479" i="5"/>
  <c r="AF476" i="5"/>
  <c r="AF450" i="5"/>
  <c r="AL444" i="5"/>
  <c r="AN444" i="5" s="1"/>
  <c r="AL417" i="5"/>
  <c r="AL418" i="5"/>
  <c r="AL409" i="5"/>
  <c r="AL440" i="5"/>
  <c r="AO440" i="5" s="1"/>
  <c r="P7" i="5"/>
  <c r="R7" i="5"/>
  <c r="N8" i="5"/>
  <c r="S8" i="5"/>
  <c r="S13" i="5" s="1"/>
  <c r="P6" i="5"/>
  <c r="O13" i="5"/>
  <c r="L155" i="5"/>
  <c r="S122" i="5"/>
  <c r="K122" i="5"/>
  <c r="N122" i="5"/>
  <c r="P113" i="5"/>
  <c r="P97" i="5"/>
  <c r="P121" i="5"/>
  <c r="O108" i="5"/>
  <c r="O105" i="5"/>
  <c r="P105" i="5" s="1"/>
  <c r="P117" i="5"/>
  <c r="F304" i="5"/>
  <c r="F309" i="5" s="1"/>
  <c r="F314" i="5" s="1"/>
  <c r="F353" i="5" s="1"/>
  <c r="F185" i="5"/>
  <c r="F173" i="5"/>
  <c r="N172" i="5"/>
  <c r="S210" i="5"/>
  <c r="N210" i="5"/>
  <c r="L231" i="5"/>
  <c r="K210" i="5"/>
  <c r="F105" i="5"/>
  <c r="K186" i="5"/>
  <c r="F97" i="5"/>
  <c r="E94" i="5"/>
  <c r="AL448" i="5"/>
  <c r="Z448" i="5"/>
  <c r="K116" i="5"/>
  <c r="K119" i="5"/>
  <c r="M97" i="5"/>
  <c r="M98" i="5" s="1"/>
  <c r="K120" i="5"/>
  <c r="J105" i="5"/>
  <c r="K117" i="5"/>
  <c r="K102" i="5"/>
  <c r="R102" i="5" s="1"/>
  <c r="R97" i="5"/>
  <c r="R98" i="5" s="1"/>
  <c r="K115" i="5"/>
  <c r="K103" i="5"/>
  <c r="R103" i="5" s="1"/>
  <c r="K112" i="5"/>
  <c r="K118" i="5"/>
  <c r="K113" i="5"/>
  <c r="K121" i="5"/>
  <c r="K104" i="5"/>
  <c r="R104" i="5" s="1"/>
  <c r="K114" i="5"/>
  <c r="J108" i="5"/>
  <c r="K97" i="5"/>
  <c r="S46" i="5"/>
  <c r="N46" i="5"/>
  <c r="AF474" i="5"/>
  <c r="AL436" i="5"/>
  <c r="AN436" i="5" s="1"/>
  <c r="Z410" i="5"/>
  <c r="AF479" i="5"/>
  <c r="AF438" i="5"/>
  <c r="AF464" i="5"/>
  <c r="Z446" i="5"/>
  <c r="AF437" i="5"/>
  <c r="AF414" i="5"/>
  <c r="Z442" i="5"/>
  <c r="J32" i="5"/>
  <c r="N40" i="5"/>
  <c r="R6" i="5"/>
  <c r="J31" i="5"/>
  <c r="AL431" i="5"/>
  <c r="Z431" i="5"/>
  <c r="AH410" i="5"/>
  <c r="AN410" i="5"/>
  <c r="AH420" i="5"/>
  <c r="AI420" i="5" s="1"/>
  <c r="AO420" i="5"/>
  <c r="F362" i="5"/>
  <c r="E360" i="5"/>
  <c r="AH496" i="5"/>
  <c r="AI496" i="5" s="1"/>
  <c r="E250" i="5"/>
  <c r="F242" i="5"/>
  <c r="R96" i="5"/>
  <c r="P94" i="5"/>
  <c r="N15" i="5"/>
  <c r="S15" i="5"/>
  <c r="AF416" i="5"/>
  <c r="AF418" i="5"/>
  <c r="AF409" i="5"/>
  <c r="Z450" i="5"/>
  <c r="AI450" i="5" s="1"/>
  <c r="AL447" i="5"/>
  <c r="Z415" i="5"/>
  <c r="AL443" i="5"/>
  <c r="AN443" i="5" s="1"/>
  <c r="S34" i="5"/>
  <c r="D31" i="5"/>
  <c r="S105" i="5"/>
  <c r="S106" i="5" s="1"/>
  <c r="P118" i="5"/>
  <c r="J13" i="5"/>
  <c r="AE410" i="5" s="1"/>
  <c r="F245" i="5"/>
  <c r="F250" i="5"/>
  <c r="N244" i="5"/>
  <c r="N245" i="5" s="1"/>
  <c r="L289" i="5"/>
  <c r="S250" i="5"/>
  <c r="N250" i="5"/>
  <c r="N251" i="5" s="1"/>
  <c r="AN466" i="5"/>
  <c r="D309" i="5"/>
  <c r="E304" i="5"/>
  <c r="AO453" i="5"/>
  <c r="S349" i="5"/>
  <c r="Q304" i="5"/>
  <c r="S304" i="5" s="1"/>
  <c r="N285" i="5"/>
  <c r="P183" i="5"/>
  <c r="M172" i="5"/>
  <c r="P119" i="5"/>
  <c r="N65" i="5"/>
  <c r="AF442" i="5"/>
  <c r="AL424" i="5"/>
  <c r="AF435" i="5"/>
  <c r="Z411" i="5"/>
  <c r="AL451" i="5"/>
  <c r="AO451" i="5" s="1"/>
  <c r="AF411" i="5"/>
  <c r="AF440" i="5"/>
  <c r="Z424" i="5"/>
  <c r="AF421" i="5"/>
  <c r="F41" i="5"/>
  <c r="S64" i="5"/>
  <c r="N64" i="5"/>
  <c r="L85" i="5"/>
  <c r="AN480" i="5"/>
  <c r="AO480" i="5" s="1"/>
  <c r="AH480" i="5"/>
  <c r="AI480" i="5" s="1"/>
  <c r="Z444" i="5"/>
  <c r="AK415" i="5"/>
  <c r="AH443" i="5"/>
  <c r="AF424" i="5"/>
  <c r="M15" i="5"/>
  <c r="R15" i="5"/>
  <c r="K15" i="5"/>
  <c r="P114" i="5"/>
  <c r="N35" i="5"/>
  <c r="N41" i="5" l="1"/>
  <c r="K155" i="5"/>
  <c r="Q54" i="5"/>
  <c r="AL421" i="5"/>
  <c r="S42" i="5"/>
  <c r="AN417" i="5"/>
  <c r="AE417" i="5"/>
  <c r="AN470" i="5"/>
  <c r="AO470" i="5" s="1"/>
  <c r="AH470" i="5"/>
  <c r="AF481" i="5"/>
  <c r="E330" i="5"/>
  <c r="AK410" i="5"/>
  <c r="AO410" i="5"/>
  <c r="N52" i="5"/>
  <c r="AN429" i="5"/>
  <c r="AH429" i="5"/>
  <c r="AI429" i="5" s="1"/>
  <c r="AN476" i="5"/>
  <c r="AH476" i="5"/>
  <c r="AI476" i="5" s="1"/>
  <c r="AO436" i="5"/>
  <c r="F186" i="5"/>
  <c r="F194" i="5"/>
  <c r="Z451" i="5"/>
  <c r="AI451" i="5" s="1"/>
  <c r="AL449" i="5"/>
  <c r="AO449" i="5" s="1"/>
  <c r="E351" i="5"/>
  <c r="Z449" i="5"/>
  <c r="AI449" i="5" s="1"/>
  <c r="L165" i="5"/>
  <c r="AL426" i="5"/>
  <c r="L314" i="5"/>
  <c r="N309" i="5"/>
  <c r="N310" i="5" s="1"/>
  <c r="AH475" i="5"/>
  <c r="AI475" i="5" s="1"/>
  <c r="AN475" i="5"/>
  <c r="Q194" i="5"/>
  <c r="Q186" i="5"/>
  <c r="AI461" i="5"/>
  <c r="AH479" i="5"/>
  <c r="AI479" i="5" s="1"/>
  <c r="F54" i="5"/>
  <c r="N42" i="5"/>
  <c r="Z421" i="5"/>
  <c r="AH421" i="5" s="1"/>
  <c r="K309" i="5"/>
  <c r="J314" i="5"/>
  <c r="AF406" i="5" s="1"/>
  <c r="M309" i="5"/>
  <c r="K397" i="5"/>
  <c r="S397" i="5"/>
  <c r="L399" i="5"/>
  <c r="J24" i="5"/>
  <c r="AH424" i="5"/>
  <c r="AI424" i="5" s="1"/>
  <c r="AN424" i="5"/>
  <c r="AH440" i="5"/>
  <c r="AN440" i="5"/>
  <c r="S68" i="5"/>
  <c r="AN474" i="5"/>
  <c r="AH474" i="5"/>
  <c r="AI474" i="5" s="1"/>
  <c r="F108" i="5"/>
  <c r="D112" i="5"/>
  <c r="Z417" i="5"/>
  <c r="AH417" i="5" s="1"/>
  <c r="AK412" i="5"/>
  <c r="Q108" i="5"/>
  <c r="O112" i="5"/>
  <c r="Q287" i="5"/>
  <c r="S266" i="5"/>
  <c r="AK414" i="5"/>
  <c r="AL479" i="5"/>
  <c r="AO479" i="5" s="1"/>
  <c r="AN447" i="5"/>
  <c r="AO447" i="5" s="1"/>
  <c r="AH447" i="5"/>
  <c r="AI447" i="5" s="1"/>
  <c r="D105" i="5"/>
  <c r="E105" i="5" s="1"/>
  <c r="D108" i="5"/>
  <c r="E117" i="5"/>
  <c r="E112" i="5"/>
  <c r="E119" i="5"/>
  <c r="E97" i="5"/>
  <c r="E121" i="5"/>
  <c r="E118" i="5"/>
  <c r="E116" i="5"/>
  <c r="E114" i="5"/>
  <c r="E113" i="5"/>
  <c r="E115" i="5"/>
  <c r="AN471" i="5"/>
  <c r="AO471" i="5" s="1"/>
  <c r="AH471" i="5"/>
  <c r="AI471" i="5" s="1"/>
  <c r="AI410" i="5"/>
  <c r="AH411" i="5"/>
  <c r="AE411" i="5"/>
  <c r="AN411" i="5"/>
  <c r="AO411" i="5" s="1"/>
  <c r="AO443" i="5"/>
  <c r="N68" i="5"/>
  <c r="F72" i="5"/>
  <c r="Z434" i="5"/>
  <c r="AN448" i="5"/>
  <c r="AO448" i="5" s="1"/>
  <c r="AH448" i="5"/>
  <c r="AI448" i="5" s="1"/>
  <c r="N97" i="5"/>
  <c r="N98" i="5" s="1"/>
  <c r="AL423" i="5"/>
  <c r="S44" i="5"/>
  <c r="Z418" i="5"/>
  <c r="AH418" i="5" s="1"/>
  <c r="AL413" i="5"/>
  <c r="N60" i="5"/>
  <c r="Z439" i="5"/>
  <c r="AH439" i="5" s="1"/>
  <c r="P231" i="5"/>
  <c r="AO429" i="5"/>
  <c r="E395" i="5"/>
  <c r="F397" i="5"/>
  <c r="E397" i="5" s="1"/>
  <c r="Q309" i="5"/>
  <c r="S305" i="5"/>
  <c r="D113" i="5"/>
  <c r="N105" i="5"/>
  <c r="N106" i="5" s="1"/>
  <c r="O27" i="5"/>
  <c r="AL416" i="5"/>
  <c r="AN416" i="5" s="1"/>
  <c r="AL427" i="5"/>
  <c r="AO427" i="5" s="1"/>
  <c r="E266" i="5"/>
  <c r="F287" i="5"/>
  <c r="F289" i="5" s="1"/>
  <c r="N266" i="5"/>
  <c r="N14" i="5"/>
  <c r="F27" i="5"/>
  <c r="P135" i="5"/>
  <c r="S251" i="5"/>
  <c r="Q72" i="5"/>
  <c r="AL434" i="5"/>
  <c r="Z416" i="5"/>
  <c r="AH416" i="5" s="1"/>
  <c r="AN428" i="5"/>
  <c r="AO428" i="5" s="1"/>
  <c r="AH428" i="5"/>
  <c r="S97" i="5"/>
  <c r="S98" i="5" s="1"/>
  <c r="AN451" i="5"/>
  <c r="Z425" i="5"/>
  <c r="AI425" i="5" s="1"/>
  <c r="N44" i="5"/>
  <c r="Z423" i="5"/>
  <c r="E231" i="5"/>
  <c r="AE413" i="5"/>
  <c r="AI444" i="5"/>
  <c r="AN421" i="5"/>
  <c r="AF433" i="5"/>
  <c r="P15" i="5"/>
  <c r="O24" i="5"/>
  <c r="P35" i="5" s="1"/>
  <c r="AI411" i="5"/>
  <c r="F251" i="5"/>
  <c r="M250" i="5" s="1"/>
  <c r="P108" i="5"/>
  <c r="AK409" i="5"/>
  <c r="P229" i="5"/>
  <c r="S229" i="5"/>
  <c r="Z497" i="5"/>
  <c r="R185" i="5"/>
  <c r="S186" i="5" s="1"/>
  <c r="P186" i="5"/>
  <c r="Q155" i="5"/>
  <c r="P155" i="5" s="1"/>
  <c r="AI436" i="5"/>
  <c r="AI428" i="5"/>
  <c r="O113" i="5"/>
  <c r="Z432" i="5"/>
  <c r="AL463" i="5"/>
  <c r="AL466" i="5" s="1"/>
  <c r="AO466" i="5" s="1"/>
  <c r="N194" i="5"/>
  <c r="N195" i="5" s="1"/>
  <c r="L233" i="5"/>
  <c r="X194" i="5"/>
  <c r="L195" i="5"/>
  <c r="S194" i="5"/>
  <c r="S195" i="5" s="1"/>
  <c r="K229" i="5"/>
  <c r="Z465" i="5"/>
  <c r="AI465" i="5" s="1"/>
  <c r="P397" i="5"/>
  <c r="Q399" i="5"/>
  <c r="S351" i="5"/>
  <c r="N351" i="5"/>
  <c r="K351" i="5"/>
  <c r="AH444" i="5"/>
  <c r="AN435" i="5"/>
  <c r="AO435" i="5" s="1"/>
  <c r="AH435" i="5"/>
  <c r="AI435" i="5" s="1"/>
  <c r="AE414" i="5"/>
  <c r="AN414" i="5"/>
  <c r="AO414" i="5" s="1"/>
  <c r="AH414" i="5"/>
  <c r="R108" i="5"/>
  <c r="R109" i="5" s="1"/>
  <c r="K108" i="5"/>
  <c r="K105" i="5"/>
  <c r="M105" i="5"/>
  <c r="N231" i="5"/>
  <c r="S231" i="5"/>
  <c r="K231" i="5"/>
  <c r="AK418" i="5"/>
  <c r="AO418" i="5"/>
  <c r="Q13" i="5"/>
  <c r="P13" i="5" s="1"/>
  <c r="AL450" i="5"/>
  <c r="AO450" i="5" s="1"/>
  <c r="AK411" i="5"/>
  <c r="AI470" i="5"/>
  <c r="Z481" i="5"/>
  <c r="AN445" i="5"/>
  <c r="AO445" i="5" s="1"/>
  <c r="AH445" i="5"/>
  <c r="AI445" i="5" s="1"/>
  <c r="AE415" i="5"/>
  <c r="AN415" i="5"/>
  <c r="AO415" i="5" s="1"/>
  <c r="AH415" i="5"/>
  <c r="AI415" i="5" s="1"/>
  <c r="N185" i="5"/>
  <c r="N186" i="5" s="1"/>
  <c r="AH430" i="5"/>
  <c r="AI430" i="5" s="1"/>
  <c r="AN430" i="5"/>
  <c r="AO430" i="5" s="1"/>
  <c r="Z463" i="5"/>
  <c r="AH463" i="5" s="1"/>
  <c r="Z464" i="5"/>
  <c r="AI464" i="5" s="1"/>
  <c r="AL425" i="5"/>
  <c r="AO425" i="5" s="1"/>
  <c r="AH409" i="5"/>
  <c r="AI409" i="5" s="1"/>
  <c r="AF419" i="5"/>
  <c r="AE409" i="5"/>
  <c r="AN409" i="5"/>
  <c r="AO409" i="5" s="1"/>
  <c r="AO417" i="5"/>
  <c r="AK417" i="5"/>
  <c r="Z495" i="5"/>
  <c r="AO475" i="5"/>
  <c r="AO422" i="5"/>
  <c r="N24" i="5"/>
  <c r="N25" i="5" s="1"/>
  <c r="Q83" i="5"/>
  <c r="S75" i="5"/>
  <c r="S83" i="5" s="1"/>
  <c r="AN427" i="5"/>
  <c r="AN418" i="5"/>
  <c r="AE418" i="5"/>
  <c r="E8" i="5"/>
  <c r="D13" i="5"/>
  <c r="D24" i="5" s="1"/>
  <c r="E35" i="5" s="1"/>
  <c r="M8" i="5"/>
  <c r="M13" i="5" s="1"/>
  <c r="AO444" i="5"/>
  <c r="K74" i="5"/>
  <c r="AI414" i="5"/>
  <c r="F155" i="5"/>
  <c r="AH412" i="5"/>
  <c r="AI412" i="5" s="1"/>
  <c r="AE412" i="5"/>
  <c r="AN412" i="5"/>
  <c r="AO412" i="5" s="1"/>
  <c r="S72" i="5"/>
  <c r="AN449" i="5"/>
  <c r="F83" i="5"/>
  <c r="N75" i="5"/>
  <c r="N83" i="5" s="1"/>
  <c r="AH472" i="5"/>
  <c r="AI472" i="5" s="1"/>
  <c r="AN472" i="5"/>
  <c r="Z427" i="5"/>
  <c r="AI427" i="5" s="1"/>
  <c r="AO424" i="5"/>
  <c r="K21" i="5"/>
  <c r="R21" i="5" s="1"/>
  <c r="K13" i="5"/>
  <c r="K22" i="5"/>
  <c r="R22" i="5" s="1"/>
  <c r="K23" i="5"/>
  <c r="R23" i="5" s="1"/>
  <c r="J27" i="5"/>
  <c r="AN442" i="5"/>
  <c r="AO442" i="5" s="1"/>
  <c r="AH442" i="5"/>
  <c r="AI442" i="5" s="1"/>
  <c r="Q41" i="5"/>
  <c r="E309" i="5"/>
  <c r="D314" i="5"/>
  <c r="E314" i="5" s="1"/>
  <c r="AO431" i="5"/>
  <c r="AH450" i="5"/>
  <c r="AF466" i="5"/>
  <c r="AH478" i="5"/>
  <c r="AI478" i="5" s="1"/>
  <c r="AN478" i="5"/>
  <c r="AF452" i="5"/>
  <c r="AH422" i="5"/>
  <c r="AI422" i="5" s="1"/>
  <c r="S35" i="5"/>
  <c r="AH437" i="5"/>
  <c r="AI437" i="5" s="1"/>
  <c r="AN437" i="5"/>
  <c r="AO437" i="5" s="1"/>
  <c r="Z413" i="5"/>
  <c r="AE416" i="5"/>
  <c r="P8" i="5"/>
  <c r="R8" i="5"/>
  <c r="R13" i="5" s="1"/>
  <c r="R14" i="5" s="1"/>
  <c r="AI443" i="5"/>
  <c r="Z426" i="5"/>
  <c r="S60" i="5"/>
  <c r="AL439" i="5"/>
  <c r="E15" i="5"/>
  <c r="AN438" i="5"/>
  <c r="AO438" i="5" s="1"/>
  <c r="AH438" i="5"/>
  <c r="AI438" i="5" s="1"/>
  <c r="AL432" i="5"/>
  <c r="AN473" i="5"/>
  <c r="AH473" i="5"/>
  <c r="AI473" i="5" s="1"/>
  <c r="N135" i="5"/>
  <c r="AN431" i="5"/>
  <c r="AH431" i="5"/>
  <c r="AI431" i="5" s="1"/>
  <c r="N55" i="5"/>
  <c r="N72" i="5" s="1"/>
  <c r="R304" i="5"/>
  <c r="P304" i="5"/>
  <c r="O309" i="5"/>
  <c r="AH446" i="5"/>
  <c r="AI446" i="5" s="1"/>
  <c r="AN422" i="5"/>
  <c r="AN441" i="5"/>
  <c r="AO441" i="5" s="1"/>
  <c r="AN450" i="5" l="1"/>
  <c r="F165" i="5"/>
  <c r="M14" i="5"/>
  <c r="D27" i="5"/>
  <c r="E27" i="5" s="1"/>
  <c r="E13" i="5"/>
  <c r="X481" i="5"/>
  <c r="AI495" i="5"/>
  <c r="AH495" i="5"/>
  <c r="AG414" i="5"/>
  <c r="AM414" i="5"/>
  <c r="M194" i="5"/>
  <c r="R194" i="5"/>
  <c r="Z407" i="5"/>
  <c r="N27" i="5"/>
  <c r="Y415" i="5"/>
  <c r="AI418" i="5"/>
  <c r="Y418" i="5"/>
  <c r="AM418" i="5" s="1"/>
  <c r="AL481" i="5"/>
  <c r="AM416" i="5"/>
  <c r="AG416" i="5"/>
  <c r="AD466" i="5"/>
  <c r="R27" i="5"/>
  <c r="R28" i="5" s="1"/>
  <c r="M27" i="5"/>
  <c r="M28" i="5" s="1"/>
  <c r="K27" i="5"/>
  <c r="AH427" i="5"/>
  <c r="Y411" i="5"/>
  <c r="AI432" i="5"/>
  <c r="AH432" i="5"/>
  <c r="AL419" i="5"/>
  <c r="AN419" i="5" s="1"/>
  <c r="AG412" i="5"/>
  <c r="AM412" i="5"/>
  <c r="AI497" i="5"/>
  <c r="AH497" i="5"/>
  <c r="AM417" i="5"/>
  <c r="AG417" i="5"/>
  <c r="AH481" i="5"/>
  <c r="AI481" i="5" s="1"/>
  <c r="AH464" i="5"/>
  <c r="Y414" i="5"/>
  <c r="Y412" i="5"/>
  <c r="AN423" i="5"/>
  <c r="AO423" i="5" s="1"/>
  <c r="W82" i="5"/>
  <c r="AM415" i="5"/>
  <c r="AG415" i="5"/>
  <c r="S233" i="5"/>
  <c r="P24" i="5"/>
  <c r="P38" i="5"/>
  <c r="P32" i="5"/>
  <c r="P36" i="5"/>
  <c r="P39" i="5"/>
  <c r="P40" i="5"/>
  <c r="P34" i="5"/>
  <c r="P37" i="5"/>
  <c r="P31" i="5"/>
  <c r="P33" i="5"/>
  <c r="E287" i="5"/>
  <c r="N287" i="5"/>
  <c r="AI421" i="5"/>
  <c r="Z433" i="5"/>
  <c r="X433" i="5" s="1"/>
  <c r="F195" i="5"/>
  <c r="F233" i="5"/>
  <c r="F401" i="5" s="1"/>
  <c r="E210" i="5"/>
  <c r="E229" i="5"/>
  <c r="AH423" i="5"/>
  <c r="AI423" i="5" s="1"/>
  <c r="M314" i="5"/>
  <c r="K314" i="5"/>
  <c r="AH449" i="5"/>
  <c r="E153" i="5"/>
  <c r="AH451" i="5"/>
  <c r="Q314" i="5"/>
  <c r="AG411" i="5"/>
  <c r="AM411" i="5"/>
  <c r="S287" i="5"/>
  <c r="Q289" i="5"/>
  <c r="S289" i="5" s="1"/>
  <c r="O314" i="5"/>
  <c r="R309" i="5"/>
  <c r="P309" i="5"/>
  <c r="Y413" i="5"/>
  <c r="AG413" i="5" s="1"/>
  <c r="AH413" i="5"/>
  <c r="AI413" i="5" s="1"/>
  <c r="AN439" i="5"/>
  <c r="AO439" i="5" s="1"/>
  <c r="Y410" i="5"/>
  <c r="N54" i="5"/>
  <c r="S309" i="5"/>
  <c r="S310" i="5" s="1"/>
  <c r="AF468" i="5"/>
  <c r="AD419" i="5"/>
  <c r="AD433" i="5"/>
  <c r="Q165" i="5"/>
  <c r="S165" i="5" s="1"/>
  <c r="P153" i="5"/>
  <c r="P122" i="5"/>
  <c r="E54" i="5"/>
  <c r="L353" i="5"/>
  <c r="N314" i="5"/>
  <c r="N315" i="5" s="1"/>
  <c r="X314" i="5"/>
  <c r="S314" i="5"/>
  <c r="AF407" i="5"/>
  <c r="AD481" i="5" s="1"/>
  <c r="K330" i="5"/>
  <c r="K349" i="5"/>
  <c r="S54" i="5"/>
  <c r="AO416" i="5"/>
  <c r="AK416" i="5"/>
  <c r="E108" i="5"/>
  <c r="AO426" i="5"/>
  <c r="AN426" i="5"/>
  <c r="AH425" i="5"/>
  <c r="AO421" i="5"/>
  <c r="AL433" i="5"/>
  <c r="Y416" i="5"/>
  <c r="AI416" i="5"/>
  <c r="F399" i="5"/>
  <c r="Z452" i="5"/>
  <c r="X452" i="5" s="1"/>
  <c r="AH434" i="5"/>
  <c r="M24" i="5"/>
  <c r="K24" i="5"/>
  <c r="K37" i="5"/>
  <c r="K33" i="5"/>
  <c r="K32" i="5"/>
  <c r="K36" i="5"/>
  <c r="K31" i="5"/>
  <c r="K35" i="5"/>
  <c r="AN479" i="5"/>
  <c r="N289" i="5"/>
  <c r="AN425" i="5"/>
  <c r="F74" i="5"/>
  <c r="AI426" i="5"/>
  <c r="AH426" i="5"/>
  <c r="AL452" i="5"/>
  <c r="AN434" i="5"/>
  <c r="AN452" i="5" s="1"/>
  <c r="AI439" i="5"/>
  <c r="E72" i="5"/>
  <c r="AI417" i="5"/>
  <c r="Y417" i="5"/>
  <c r="S399" i="5"/>
  <c r="N108" i="5"/>
  <c r="N109" i="5" s="1"/>
  <c r="E41" i="5"/>
  <c r="Q74" i="5"/>
  <c r="S41" i="5"/>
  <c r="E155" i="5"/>
  <c r="Y409" i="5"/>
  <c r="AM409" i="5" s="1"/>
  <c r="M108" i="5"/>
  <c r="M109" i="5" s="1"/>
  <c r="P72" i="5"/>
  <c r="AH465" i="5"/>
  <c r="AH466" i="5" s="1"/>
  <c r="S108" i="5"/>
  <c r="S109" i="5" s="1"/>
  <c r="N155" i="5"/>
  <c r="Z406" i="5"/>
  <c r="Y448" i="5" s="1"/>
  <c r="E24" i="5"/>
  <c r="E39" i="5"/>
  <c r="E36" i="5"/>
  <c r="E34" i="5"/>
  <c r="E33" i="5"/>
  <c r="E38" i="5"/>
  <c r="E32" i="5"/>
  <c r="E31" i="5"/>
  <c r="E37" i="5"/>
  <c r="E40" i="5"/>
  <c r="AI463" i="5"/>
  <c r="Z466" i="5"/>
  <c r="AD452" i="5"/>
  <c r="E122" i="5"/>
  <c r="Z419" i="5"/>
  <c r="AH419" i="5" s="1"/>
  <c r="AI419" i="5" s="1"/>
  <c r="S14" i="5"/>
  <c r="Q27" i="5"/>
  <c r="P41" i="5" s="1"/>
  <c r="O31" i="5"/>
  <c r="AK413" i="5"/>
  <c r="AN413" i="5"/>
  <c r="AO413" i="5" s="1"/>
  <c r="E135" i="5"/>
  <c r="Q233" i="5"/>
  <c r="Q195" i="5"/>
  <c r="P210" i="5"/>
  <c r="N165" i="5"/>
  <c r="S155" i="5"/>
  <c r="AG409" i="5" l="1"/>
  <c r="P54" i="5"/>
  <c r="AI466" i="5"/>
  <c r="X466" i="5"/>
  <c r="AO481" i="5"/>
  <c r="AO419" i="5"/>
  <c r="AL468" i="5"/>
  <c r="AO434" i="5"/>
  <c r="L401" i="5"/>
  <c r="S353" i="5"/>
  <c r="N353" i="5"/>
  <c r="E74" i="5"/>
  <c r="N74" i="5"/>
  <c r="AM413" i="5"/>
  <c r="Q353" i="5"/>
  <c r="S315" i="5"/>
  <c r="P330" i="5"/>
  <c r="P351" i="5"/>
  <c r="P349" i="5"/>
  <c r="AD468" i="5"/>
  <c r="AN468" i="5"/>
  <c r="AH468" i="5"/>
  <c r="AI468" i="5" s="1"/>
  <c r="AH452" i="5"/>
  <c r="AI452" i="5" s="1"/>
  <c r="AI434" i="5"/>
  <c r="AN433" i="5"/>
  <c r="AO433" i="5" s="1"/>
  <c r="AN481" i="5"/>
  <c r="N28" i="5"/>
  <c r="N85" i="5"/>
  <c r="P74" i="5"/>
  <c r="S74" i="5"/>
  <c r="AG410" i="5"/>
  <c r="AM410" i="5"/>
  <c r="AG418" i="5"/>
  <c r="F85" i="5"/>
  <c r="AO452" i="5"/>
  <c r="R314" i="5"/>
  <c r="P314" i="5"/>
  <c r="AL406" i="5"/>
  <c r="AL407" i="5"/>
  <c r="Q85" i="5"/>
  <c r="S27" i="5"/>
  <c r="S85" i="5" s="1"/>
  <c r="Z468" i="5"/>
  <c r="X468" i="5" s="1"/>
  <c r="X419" i="5"/>
  <c r="P27" i="5"/>
  <c r="AF483" i="5"/>
  <c r="AN407" i="5"/>
  <c r="AH407" i="5"/>
  <c r="AI407" i="5" s="1"/>
  <c r="AH433" i="5"/>
  <c r="AI433" i="5" s="1"/>
  <c r="N233" i="5"/>
  <c r="AE483" i="5" l="1"/>
  <c r="AF489" i="5"/>
  <c r="AO468" i="5"/>
  <c r="S28" i="5"/>
  <c r="Z483" i="5"/>
  <c r="AJ466" i="5"/>
  <c r="AO407" i="5"/>
  <c r="AJ419" i="5"/>
  <c r="AJ407" i="5"/>
  <c r="AL483" i="5"/>
  <c r="AJ452" i="5"/>
  <c r="AJ468" i="5"/>
  <c r="AJ433" i="5"/>
  <c r="AL489" i="5" l="1"/>
  <c r="Y483" i="5"/>
  <c r="Z489" i="5"/>
  <c r="AK483" i="5"/>
  <c r="AH483" i="5"/>
  <c r="AI483" i="5" s="1"/>
  <c r="AF498" i="5"/>
  <c r="AN489" i="5"/>
  <c r="AH489" i="5"/>
  <c r="AI489" i="5" s="1"/>
  <c r="AF488" i="5"/>
  <c r="AE489" i="5"/>
  <c r="AN483" i="5"/>
  <c r="AO483" i="5" s="1"/>
  <c r="AE488" i="5" l="1"/>
  <c r="AF513" i="5"/>
  <c r="AG513" i="5" s="1"/>
  <c r="AF507" i="5"/>
  <c r="AE498" i="5"/>
  <c r="AF502" i="5"/>
  <c r="AN498" i="5"/>
  <c r="AF504" i="5"/>
  <c r="Z498" i="5"/>
  <c r="Y498" i="5" s="1"/>
  <c r="Z488" i="5"/>
  <c r="Y488" i="5" s="1"/>
  <c r="Y489" i="5"/>
  <c r="AO489" i="5"/>
  <c r="AL488" i="5"/>
  <c r="AL498" i="5"/>
  <c r="AK489" i="5"/>
  <c r="AO498" i="5" l="1"/>
  <c r="AK498" i="5"/>
  <c r="AH488" i="5"/>
  <c r="AI488" i="5" s="1"/>
  <c r="AH498" i="5"/>
  <c r="AI498" i="5" s="1"/>
  <c r="AK488" i="5"/>
  <c r="AN488" i="5"/>
  <c r="AO488" i="5" s="1"/>
  <c r="A499" i="15" l="1"/>
  <c r="A498" i="15"/>
  <c r="AO497" i="15"/>
  <c r="AN497" i="15"/>
  <c r="A497" i="15"/>
  <c r="AH496" i="15"/>
  <c r="A496" i="15"/>
  <c r="A495" i="15"/>
  <c r="AO495" i="15" s="1"/>
  <c r="A494" i="15"/>
  <c r="A493" i="15"/>
  <c r="AO492" i="15"/>
  <c r="AN492" i="15"/>
  <c r="AI492" i="15"/>
  <c r="A492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N469" i="15"/>
  <c r="A469" i="15"/>
  <c r="A468" i="15"/>
  <c r="AO467" i="15"/>
  <c r="AN467" i="15"/>
  <c r="AH467" i="15"/>
  <c r="A467" i="15"/>
  <c r="A466" i="15"/>
  <c r="AI465" i="15"/>
  <c r="AH465" i="15"/>
  <c r="A465" i="15"/>
  <c r="AI464" i="15"/>
  <c r="AH464" i="15"/>
  <c r="A464" i="15"/>
  <c r="AI463" i="15"/>
  <c r="AH463" i="15"/>
  <c r="A463" i="15"/>
  <c r="A462" i="15"/>
  <c r="A461" i="15"/>
  <c r="AH460" i="15"/>
  <c r="AI460" i="15" s="1"/>
  <c r="A460" i="15"/>
  <c r="A459" i="15"/>
  <c r="A458" i="15"/>
  <c r="A457" i="15"/>
  <c r="AO456" i="15"/>
  <c r="AI456" i="15"/>
  <c r="A456" i="15"/>
  <c r="A455" i="15"/>
  <c r="AN454" i="15"/>
  <c r="AO454" i="15" s="1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N420" i="15"/>
  <c r="AO420" i="15" s="1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S394" i="15"/>
  <c r="A394" i="15"/>
  <c r="S393" i="15"/>
  <c r="A393" i="15"/>
  <c r="S392" i="15"/>
  <c r="A392" i="15"/>
  <c r="S391" i="15"/>
  <c r="A391" i="15"/>
  <c r="A390" i="15"/>
  <c r="A389" i="15"/>
  <c r="S388" i="15"/>
  <c r="A388" i="15"/>
  <c r="S387" i="15"/>
  <c r="A387" i="15"/>
  <c r="A386" i="15"/>
  <c r="S385" i="15"/>
  <c r="A385" i="15"/>
  <c r="S384" i="15"/>
  <c r="A384" i="15"/>
  <c r="S383" i="15"/>
  <c r="A383" i="15"/>
  <c r="A382" i="15"/>
  <c r="A381" i="15"/>
  <c r="S381" i="15" s="1"/>
  <c r="A380" i="15"/>
  <c r="A379" i="15"/>
  <c r="A378" i="15"/>
  <c r="A377" i="15"/>
  <c r="S376" i="15"/>
  <c r="A376" i="15"/>
  <c r="S375" i="15"/>
  <c r="A375" i="15"/>
  <c r="A374" i="15"/>
  <c r="A373" i="15"/>
  <c r="S372" i="15"/>
  <c r="A372" i="15"/>
  <c r="A371" i="15"/>
  <c r="A370" i="15"/>
  <c r="A369" i="15"/>
  <c r="S368" i="15"/>
  <c r="A368" i="15"/>
  <c r="S367" i="15"/>
  <c r="A367" i="15"/>
  <c r="A366" i="15"/>
  <c r="A365" i="15"/>
  <c r="A364" i="15"/>
  <c r="A363" i="15"/>
  <c r="L362" i="15"/>
  <c r="J362" i="15"/>
  <c r="K362" i="15" s="1"/>
  <c r="A362" i="15"/>
  <c r="A361" i="15"/>
  <c r="R360" i="15"/>
  <c r="K360" i="15"/>
  <c r="D362" i="15"/>
  <c r="E362" i="15" s="1"/>
  <c r="A360" i="15"/>
  <c r="F362" i="15" s="1"/>
  <c r="A359" i="15"/>
  <c r="A348" i="15"/>
  <c r="A347" i="15"/>
  <c r="A346" i="15"/>
  <c r="N345" i="15"/>
  <c r="A345" i="15"/>
  <c r="S345" i="15" s="1"/>
  <c r="S344" i="15"/>
  <c r="N344" i="15"/>
  <c r="A344" i="15"/>
  <c r="A343" i="15"/>
  <c r="S342" i="15"/>
  <c r="N342" i="15"/>
  <c r="A342" i="15"/>
  <c r="A341" i="15"/>
  <c r="A340" i="15"/>
  <c r="S340" i="15" s="1"/>
  <c r="S339" i="15"/>
  <c r="N339" i="15"/>
  <c r="A339" i="15"/>
  <c r="A338" i="15"/>
  <c r="S337" i="15"/>
  <c r="N337" i="15"/>
  <c r="A337" i="15"/>
  <c r="N336" i="15"/>
  <c r="A336" i="15"/>
  <c r="S335" i="15"/>
  <c r="A335" i="15"/>
  <c r="N335" i="15" s="1"/>
  <c r="S334" i="15"/>
  <c r="N334" i="15"/>
  <c r="A334" i="15"/>
  <c r="A333" i="15"/>
  <c r="A332" i="15"/>
  <c r="L349" i="15"/>
  <c r="A331" i="15"/>
  <c r="A330" i="15"/>
  <c r="A329" i="15"/>
  <c r="S328" i="15"/>
  <c r="N328" i="15"/>
  <c r="A328" i="15"/>
  <c r="A327" i="15"/>
  <c r="A326" i="15"/>
  <c r="A325" i="15"/>
  <c r="A324" i="15"/>
  <c r="S323" i="15"/>
  <c r="A323" i="15"/>
  <c r="S322" i="15"/>
  <c r="N322" i="15"/>
  <c r="A322" i="15"/>
  <c r="A321" i="15"/>
  <c r="A320" i="15"/>
  <c r="N319" i="15"/>
  <c r="A319" i="15"/>
  <c r="A318" i="15"/>
  <c r="A317" i="15"/>
  <c r="A316" i="15"/>
  <c r="A315" i="15"/>
  <c r="A314" i="15"/>
  <c r="A313" i="15"/>
  <c r="P312" i="15"/>
  <c r="K312" i="15"/>
  <c r="M312" i="15"/>
  <c r="A312" i="15"/>
  <c r="E312" i="15" s="1"/>
  <c r="A311" i="15"/>
  <c r="A310" i="15"/>
  <c r="A309" i="15"/>
  <c r="K308" i="15"/>
  <c r="A308" i="15"/>
  <c r="A307" i="15"/>
  <c r="A306" i="15"/>
  <c r="A305" i="15"/>
  <c r="A304" i="15"/>
  <c r="K303" i="15"/>
  <c r="A303" i="15"/>
  <c r="P302" i="15"/>
  <c r="R302" i="15"/>
  <c r="N302" i="15"/>
  <c r="K302" i="15"/>
  <c r="E302" i="15"/>
  <c r="A302" i="15"/>
  <c r="R301" i="15"/>
  <c r="E301" i="15"/>
  <c r="A301" i="15"/>
  <c r="K300" i="15"/>
  <c r="A300" i="15"/>
  <c r="A299" i="15"/>
  <c r="R298" i="15"/>
  <c r="S298" i="15"/>
  <c r="K298" i="15"/>
  <c r="N298" i="15"/>
  <c r="A298" i="15"/>
  <c r="A297" i="15"/>
  <c r="M296" i="15"/>
  <c r="K296" i="15"/>
  <c r="N296" i="15"/>
  <c r="E296" i="15"/>
  <c r="A296" i="15"/>
  <c r="A295" i="15"/>
  <c r="A294" i="15"/>
  <c r="N284" i="15"/>
  <c r="A284" i="15"/>
  <c r="S284" i="15" s="1"/>
  <c r="A283" i="15"/>
  <c r="A282" i="15"/>
  <c r="N282" i="15" s="1"/>
  <c r="S281" i="15"/>
  <c r="A281" i="15"/>
  <c r="A280" i="15"/>
  <c r="A279" i="15"/>
  <c r="A278" i="15"/>
  <c r="A277" i="15"/>
  <c r="A276" i="15"/>
  <c r="N276" i="15" s="1"/>
  <c r="S275" i="15"/>
  <c r="N275" i="15"/>
  <c r="A275" i="15"/>
  <c r="A274" i="15"/>
  <c r="S273" i="15"/>
  <c r="N273" i="15"/>
  <c r="A273" i="15"/>
  <c r="N272" i="15"/>
  <c r="A272" i="15"/>
  <c r="S272" i="15" s="1"/>
  <c r="A271" i="15"/>
  <c r="A270" i="15"/>
  <c r="A269" i="15"/>
  <c r="A268" i="15"/>
  <c r="A267" i="15"/>
  <c r="A266" i="15"/>
  <c r="A265" i="15"/>
  <c r="K287" i="15"/>
  <c r="A264" i="15"/>
  <c r="N263" i="15"/>
  <c r="A263" i="15"/>
  <c r="A262" i="15"/>
  <c r="A261" i="15"/>
  <c r="A260" i="15"/>
  <c r="A259" i="15"/>
  <c r="A258" i="15"/>
  <c r="A257" i="15"/>
  <c r="S256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R244" i="15"/>
  <c r="A244" i="15"/>
  <c r="A243" i="15"/>
  <c r="A242" i="15"/>
  <c r="A241" i="15"/>
  <c r="A240" i="15"/>
  <c r="A239" i="15"/>
  <c r="A228" i="15"/>
  <c r="A227" i="15"/>
  <c r="A226" i="15"/>
  <c r="N225" i="15"/>
  <c r="A225" i="15"/>
  <c r="N224" i="15"/>
  <c r="A224" i="15"/>
  <c r="A223" i="15"/>
  <c r="S223" i="15" s="1"/>
  <c r="A222" i="15"/>
  <c r="N222" i="15" s="1"/>
  <c r="S221" i="15"/>
  <c r="N221" i="15"/>
  <c r="A221" i="15"/>
  <c r="S220" i="15"/>
  <c r="A220" i="15"/>
  <c r="A219" i="15"/>
  <c r="N218" i="15"/>
  <c r="A218" i="15"/>
  <c r="S218" i="15" s="1"/>
  <c r="A217" i="15"/>
  <c r="A216" i="15"/>
  <c r="S215" i="15"/>
  <c r="N215" i="15"/>
  <c r="A215" i="15"/>
  <c r="L229" i="15"/>
  <c r="A214" i="15"/>
  <c r="A213" i="15"/>
  <c r="S212" i="15"/>
  <c r="N212" i="15"/>
  <c r="A212" i="15"/>
  <c r="S211" i="15"/>
  <c r="N211" i="15"/>
  <c r="A211" i="15"/>
  <c r="A210" i="15"/>
  <c r="N209" i="15"/>
  <c r="A209" i="15"/>
  <c r="S208" i="15"/>
  <c r="N208" i="15"/>
  <c r="A208" i="15"/>
  <c r="A207" i="15"/>
  <c r="N206" i="15"/>
  <c r="A206" i="15"/>
  <c r="A205" i="15"/>
  <c r="S205" i="15" s="1"/>
  <c r="S204" i="15"/>
  <c r="N204" i="15"/>
  <c r="A204" i="15"/>
  <c r="A203" i="15"/>
  <c r="N202" i="15"/>
  <c r="A202" i="15"/>
  <c r="S202" i="15" s="1"/>
  <c r="A201" i="15"/>
  <c r="N200" i="15"/>
  <c r="A200" i="15"/>
  <c r="S199" i="15"/>
  <c r="N199" i="15"/>
  <c r="A199" i="15"/>
  <c r="A198" i="15"/>
  <c r="A197" i="15"/>
  <c r="A196" i="15"/>
  <c r="A195" i="15"/>
  <c r="A194" i="15"/>
  <c r="A193" i="15"/>
  <c r="Q192" i="15"/>
  <c r="L192" i="15"/>
  <c r="F192" i="15"/>
  <c r="A192" i="15"/>
  <c r="A191" i="15"/>
  <c r="A190" i="15"/>
  <c r="A189" i="15"/>
  <c r="S188" i="15"/>
  <c r="R188" i="15"/>
  <c r="Q189" i="15"/>
  <c r="L189" i="15"/>
  <c r="F189" i="15"/>
  <c r="A188" i="15"/>
  <c r="A187" i="15"/>
  <c r="K186" i="15"/>
  <c r="A186" i="15"/>
  <c r="L185" i="15"/>
  <c r="K185" i="15"/>
  <c r="A185" i="15"/>
  <c r="S184" i="15"/>
  <c r="N184" i="15"/>
  <c r="A184" i="15"/>
  <c r="A183" i="15"/>
  <c r="M182" i="15"/>
  <c r="K182" i="15"/>
  <c r="A182" i="15"/>
  <c r="S181" i="15"/>
  <c r="Q182" i="15"/>
  <c r="L182" i="15"/>
  <c r="M181" i="15"/>
  <c r="A181" i="15"/>
  <c r="R181" i="15" s="1"/>
  <c r="A180" i="15"/>
  <c r="R179" i="15"/>
  <c r="A179" i="15"/>
  <c r="L179" i="15"/>
  <c r="A178" i="15"/>
  <c r="A177" i="15"/>
  <c r="A176" i="15"/>
  <c r="L176" i="15"/>
  <c r="J185" i="15"/>
  <c r="A175" i="15"/>
  <c r="K174" i="15"/>
  <c r="A174" i="15"/>
  <c r="A173" i="15"/>
  <c r="R172" i="15"/>
  <c r="L173" i="15"/>
  <c r="A172" i="15"/>
  <c r="A171" i="15"/>
  <c r="A162" i="15"/>
  <c r="A161" i="15"/>
  <c r="N160" i="15"/>
  <c r="A160" i="15"/>
  <c r="A159" i="15"/>
  <c r="S158" i="15"/>
  <c r="A158" i="15"/>
  <c r="S157" i="15"/>
  <c r="A157" i="15"/>
  <c r="L163" i="15"/>
  <c r="A156" i="15"/>
  <c r="A155" i="15"/>
  <c r="A154" i="15"/>
  <c r="A153" i="15"/>
  <c r="N152" i="15"/>
  <c r="A152" i="15"/>
  <c r="S151" i="15"/>
  <c r="A151" i="15"/>
  <c r="N151" i="15" s="1"/>
  <c r="A150" i="15"/>
  <c r="A149" i="15"/>
  <c r="S148" i="15"/>
  <c r="N148" i="15"/>
  <c r="A148" i="15"/>
  <c r="A147" i="15"/>
  <c r="N146" i="15"/>
  <c r="A146" i="15"/>
  <c r="N145" i="15"/>
  <c r="A145" i="15"/>
  <c r="S145" i="15" s="1"/>
  <c r="A144" i="15"/>
  <c r="A143" i="15"/>
  <c r="N142" i="15"/>
  <c r="A142" i="15"/>
  <c r="S142" i="15" s="1"/>
  <c r="A141" i="15"/>
  <c r="N140" i="15"/>
  <c r="A140" i="15"/>
  <c r="S139" i="15"/>
  <c r="A139" i="15"/>
  <c r="N139" i="15" s="1"/>
  <c r="A138" i="15"/>
  <c r="N137" i="15"/>
  <c r="A137" i="15"/>
  <c r="S136" i="15"/>
  <c r="A136" i="15"/>
  <c r="A135" i="15"/>
  <c r="S134" i="15"/>
  <c r="N134" i="15"/>
  <c r="A134" i="15"/>
  <c r="S133" i="15"/>
  <c r="A133" i="15"/>
  <c r="S132" i="15"/>
  <c r="A132" i="15"/>
  <c r="S131" i="15"/>
  <c r="N131" i="15"/>
  <c r="A131" i="15"/>
  <c r="A130" i="15"/>
  <c r="S129" i="15"/>
  <c r="N129" i="15"/>
  <c r="A129" i="15"/>
  <c r="A128" i="15"/>
  <c r="A127" i="15"/>
  <c r="S126" i="15"/>
  <c r="N126" i="15"/>
  <c r="A126" i="15"/>
  <c r="N125" i="15"/>
  <c r="A125" i="15"/>
  <c r="A124" i="15"/>
  <c r="A123" i="15"/>
  <c r="A122" i="15"/>
  <c r="A121" i="15"/>
  <c r="A120" i="15"/>
  <c r="A119" i="15"/>
  <c r="A118" i="15"/>
  <c r="A117" i="15"/>
  <c r="S116" i="15"/>
  <c r="A116" i="15"/>
  <c r="A115" i="15"/>
  <c r="A114" i="15"/>
  <c r="S113" i="15"/>
  <c r="A113" i="15"/>
  <c r="N112" i="15"/>
  <c r="A112" i="15"/>
  <c r="A111" i="15"/>
  <c r="A110" i="15"/>
  <c r="A109" i="15"/>
  <c r="A108" i="15"/>
  <c r="A107" i="15"/>
  <c r="A106" i="15"/>
  <c r="A105" i="15"/>
  <c r="A104" i="15"/>
  <c r="P103" i="15"/>
  <c r="E103" i="15"/>
  <c r="A103" i="15"/>
  <c r="S103" i="15" s="1"/>
  <c r="L105" i="15"/>
  <c r="A102" i="15"/>
  <c r="A101" i="15"/>
  <c r="R100" i="15"/>
  <c r="K100" i="15"/>
  <c r="E100" i="15"/>
  <c r="A100" i="15"/>
  <c r="A99" i="15"/>
  <c r="A98" i="15"/>
  <c r="A97" i="15"/>
  <c r="S96" i="15"/>
  <c r="A96" i="15"/>
  <c r="A95" i="15"/>
  <c r="M94" i="15"/>
  <c r="N94" i="15"/>
  <c r="J97" i="15"/>
  <c r="K112" i="15" s="1"/>
  <c r="E94" i="15"/>
  <c r="A94" i="15"/>
  <c r="A93" i="15"/>
  <c r="B85" i="15"/>
  <c r="A85" i="15" s="1"/>
  <c r="B84" i="15"/>
  <c r="A84" i="15" s="1"/>
  <c r="B83" i="15"/>
  <c r="A83" i="15"/>
  <c r="B82" i="15"/>
  <c r="A82" i="15"/>
  <c r="B81" i="15"/>
  <c r="A81" i="15" s="1"/>
  <c r="B80" i="15"/>
  <c r="A80" i="15"/>
  <c r="S80" i="15" s="1"/>
  <c r="S79" i="15"/>
  <c r="N79" i="15"/>
  <c r="B79" i="15"/>
  <c r="A79" i="15"/>
  <c r="B78" i="15"/>
  <c r="A78" i="15" s="1"/>
  <c r="B77" i="15"/>
  <c r="A77" i="15"/>
  <c r="B76" i="15"/>
  <c r="N75" i="15"/>
  <c r="S75" i="15"/>
  <c r="B75" i="15"/>
  <c r="A75" i="15"/>
  <c r="B74" i="15"/>
  <c r="A74" i="15" s="1"/>
  <c r="B73" i="15"/>
  <c r="A73" i="15"/>
  <c r="B72" i="15"/>
  <c r="A72" i="15" s="1"/>
  <c r="B71" i="15"/>
  <c r="B70" i="15"/>
  <c r="A70" i="15"/>
  <c r="B69" i="15"/>
  <c r="A69" i="15"/>
  <c r="S69" i="15" s="1"/>
  <c r="S68" i="15"/>
  <c r="B68" i="15"/>
  <c r="A68" i="15"/>
  <c r="B67" i="15"/>
  <c r="A67" i="15"/>
  <c r="B66" i="15"/>
  <c r="A66" i="15"/>
  <c r="B65" i="15"/>
  <c r="A65" i="15"/>
  <c r="B64" i="15"/>
  <c r="A64" i="15"/>
  <c r="B63" i="15"/>
  <c r="A63" i="15"/>
  <c r="N63" i="15" s="1"/>
  <c r="B62" i="15"/>
  <c r="B61" i="15"/>
  <c r="A61" i="15"/>
  <c r="S61" i="15" s="1"/>
  <c r="N60" i="15"/>
  <c r="B60" i="15"/>
  <c r="A60" i="15"/>
  <c r="N59" i="15"/>
  <c r="B59" i="15"/>
  <c r="A59" i="15" s="1"/>
  <c r="S58" i="15"/>
  <c r="B58" i="15"/>
  <c r="A58" i="15"/>
  <c r="B57" i="15"/>
  <c r="B56" i="15"/>
  <c r="A56" i="15" s="1"/>
  <c r="B55" i="15"/>
  <c r="A55" i="15"/>
  <c r="B54" i="15"/>
  <c r="A54" i="15" s="1"/>
  <c r="B53" i="15"/>
  <c r="A53" i="15" s="1"/>
  <c r="B52" i="15"/>
  <c r="B51" i="15"/>
  <c r="A51" i="15" s="1"/>
  <c r="S50" i="15"/>
  <c r="B50" i="15"/>
  <c r="A50" i="15"/>
  <c r="B49" i="15"/>
  <c r="B48" i="15"/>
  <c r="A48" i="15" s="1"/>
  <c r="B47" i="15"/>
  <c r="S46" i="15"/>
  <c r="B46" i="15"/>
  <c r="A46" i="15" s="1"/>
  <c r="B45" i="15"/>
  <c r="A45" i="15"/>
  <c r="B44" i="15"/>
  <c r="A44" i="15"/>
  <c r="S43" i="15"/>
  <c r="B43" i="15"/>
  <c r="A43" i="15" s="1"/>
  <c r="B42" i="15"/>
  <c r="A42" i="15"/>
  <c r="B41" i="15"/>
  <c r="A41" i="15"/>
  <c r="B40" i="15"/>
  <c r="K39" i="15"/>
  <c r="B39" i="15"/>
  <c r="A39" i="15"/>
  <c r="B38" i="15"/>
  <c r="B37" i="15"/>
  <c r="A37" i="15"/>
  <c r="B36" i="15"/>
  <c r="B35" i="15"/>
  <c r="A35" i="15"/>
  <c r="B34" i="15"/>
  <c r="A34" i="15"/>
  <c r="B33" i="15"/>
  <c r="A33" i="15"/>
  <c r="S32" i="15"/>
  <c r="B32" i="15"/>
  <c r="A32" i="15"/>
  <c r="B31" i="15"/>
  <c r="A31" i="15"/>
  <c r="B30" i="15"/>
  <c r="A30" i="15" s="1"/>
  <c r="B29" i="15"/>
  <c r="A29" i="15" s="1"/>
  <c r="B28" i="15"/>
  <c r="A28" i="15" s="1"/>
  <c r="B27" i="15"/>
  <c r="A27" i="15"/>
  <c r="B26" i="15"/>
  <c r="A26" i="15"/>
  <c r="B25" i="15"/>
  <c r="A25" i="15"/>
  <c r="B24" i="15"/>
  <c r="A24" i="15"/>
  <c r="B23" i="15"/>
  <c r="A23" i="15"/>
  <c r="B22" i="15"/>
  <c r="B21" i="15"/>
  <c r="A21" i="15"/>
  <c r="B20" i="15"/>
  <c r="A20" i="15"/>
  <c r="S19" i="15"/>
  <c r="E19" i="15"/>
  <c r="B19" i="15"/>
  <c r="A19" i="15"/>
  <c r="B18" i="15"/>
  <c r="A18" i="15" s="1"/>
  <c r="B17" i="15"/>
  <c r="K17" i="15" s="1"/>
  <c r="A17" i="15"/>
  <c r="B16" i="15"/>
  <c r="A16" i="15"/>
  <c r="B15" i="15"/>
  <c r="A15" i="15"/>
  <c r="B14" i="15"/>
  <c r="A14" i="15"/>
  <c r="B13" i="15"/>
  <c r="A13" i="15"/>
  <c r="B12" i="15"/>
  <c r="A12" i="15"/>
  <c r="S11" i="15"/>
  <c r="P11" i="15"/>
  <c r="M11" i="15"/>
  <c r="E11" i="15"/>
  <c r="B11" i="15"/>
  <c r="A11" i="15"/>
  <c r="P10" i="15"/>
  <c r="B10" i="15"/>
  <c r="A10" i="15"/>
  <c r="E10" i="15" s="1"/>
  <c r="B9" i="15"/>
  <c r="A9" i="15"/>
  <c r="P9" i="15" s="1"/>
  <c r="P8" i="15"/>
  <c r="R8" i="15"/>
  <c r="E8" i="15"/>
  <c r="B8" i="15"/>
  <c r="A8" i="15" s="1"/>
  <c r="B7" i="15"/>
  <c r="A7" i="15"/>
  <c r="B6" i="15"/>
  <c r="A6" i="15" s="1"/>
  <c r="B5" i="15"/>
  <c r="A5" i="15"/>
  <c r="C89" i="15"/>
  <c r="M10" i="15" l="1"/>
  <c r="K10" i="15"/>
  <c r="R10" i="15"/>
  <c r="N21" i="15"/>
  <c r="S35" i="15"/>
  <c r="N37" i="15"/>
  <c r="N58" i="15"/>
  <c r="N8" i="15"/>
  <c r="N17" i="15"/>
  <c r="N48" i="15"/>
  <c r="S45" i="15"/>
  <c r="S12" i="15"/>
  <c r="N35" i="15"/>
  <c r="N46" i="15"/>
  <c r="L24" i="15"/>
  <c r="A22" i="15"/>
  <c r="S37" i="15"/>
  <c r="N114" i="15"/>
  <c r="N33" i="15"/>
  <c r="N39" i="15"/>
  <c r="N23" i="15"/>
  <c r="S23" i="15"/>
  <c r="N11" i="15"/>
  <c r="N7" i="15"/>
  <c r="K7" i="15"/>
  <c r="K15" i="15"/>
  <c r="N44" i="15"/>
  <c r="S112" i="15"/>
  <c r="S77" i="15"/>
  <c r="N31" i="15"/>
  <c r="S82" i="15"/>
  <c r="N82" i="15"/>
  <c r="S94" i="15"/>
  <c r="S21" i="15"/>
  <c r="S8" i="15"/>
  <c r="N10" i="15"/>
  <c r="S53" i="15"/>
  <c r="N53" i="15"/>
  <c r="S59" i="15"/>
  <c r="N69" i="15"/>
  <c r="P100" i="15"/>
  <c r="S117" i="15"/>
  <c r="L135" i="15"/>
  <c r="N51" i="15"/>
  <c r="S63" i="15"/>
  <c r="S67" i="15"/>
  <c r="R11" i="15"/>
  <c r="P12" i="15"/>
  <c r="A40" i="15"/>
  <c r="S51" i="15"/>
  <c r="A62" i="15"/>
  <c r="S65" i="15"/>
  <c r="N65" i="15"/>
  <c r="N67" i="15"/>
  <c r="N81" i="15"/>
  <c r="K95" i="15"/>
  <c r="N123" i="15"/>
  <c r="K120" i="15"/>
  <c r="J105" i="15"/>
  <c r="K114" i="15"/>
  <c r="K116" i="15"/>
  <c r="K104" i="15"/>
  <c r="K121" i="15"/>
  <c r="K115" i="15"/>
  <c r="K119" i="15"/>
  <c r="K113" i="15"/>
  <c r="K103" i="15"/>
  <c r="R103" i="15" s="1"/>
  <c r="K117" i="15"/>
  <c r="K118" i="15"/>
  <c r="N9" i="15"/>
  <c r="S9" i="15"/>
  <c r="A52" i="15"/>
  <c r="A57" i="15"/>
  <c r="K94" i="15"/>
  <c r="F105" i="15"/>
  <c r="N105" i="15" s="1"/>
  <c r="N106" i="15" s="1"/>
  <c r="E102" i="15"/>
  <c r="S138" i="15"/>
  <c r="N138" i="15"/>
  <c r="N45" i="15"/>
  <c r="N70" i="15"/>
  <c r="N77" i="15"/>
  <c r="S81" i="15"/>
  <c r="J108" i="15"/>
  <c r="S34" i="15"/>
  <c r="K40" i="15"/>
  <c r="N43" i="15"/>
  <c r="M8" i="15"/>
  <c r="E9" i="15"/>
  <c r="E12" i="15"/>
  <c r="A47" i="15"/>
  <c r="A49" i="15"/>
  <c r="N50" i="15"/>
  <c r="N55" i="15"/>
  <c r="S60" i="15"/>
  <c r="N66" i="15"/>
  <c r="N68" i="15"/>
  <c r="S70" i="15"/>
  <c r="N116" i="15"/>
  <c r="N64" i="15"/>
  <c r="P94" i="15"/>
  <c r="R94" i="15"/>
  <c r="Q135" i="15"/>
  <c r="N127" i="15"/>
  <c r="N136" i="15"/>
  <c r="N42" i="15"/>
  <c r="S127" i="15"/>
  <c r="N19" i="15"/>
  <c r="S119" i="15"/>
  <c r="N119" i="15"/>
  <c r="S48" i="15"/>
  <c r="K8" i="15"/>
  <c r="K11" i="15"/>
  <c r="A38" i="15"/>
  <c r="V485" i="15"/>
  <c r="A485" i="15" s="1"/>
  <c r="C291" i="15"/>
  <c r="C356" i="15" s="1"/>
  <c r="V402" i="15"/>
  <c r="C236" i="15"/>
  <c r="AF434" i="15" s="1"/>
  <c r="C168" i="15"/>
  <c r="AF448" i="15" s="1"/>
  <c r="F13" i="15"/>
  <c r="S31" i="15"/>
  <c r="S55" i="15"/>
  <c r="AO485" i="15"/>
  <c r="AO402" i="15"/>
  <c r="S291" i="15"/>
  <c r="S236" i="15"/>
  <c r="S356" i="15"/>
  <c r="S168" i="15"/>
  <c r="S89" i="15"/>
  <c r="R7" i="15"/>
  <c r="Q13" i="15"/>
  <c r="R17" i="15"/>
  <c r="S17" i="15"/>
  <c r="AF470" i="15"/>
  <c r="N96" i="15"/>
  <c r="S100" i="15"/>
  <c r="S104" i="15"/>
  <c r="D113" i="15"/>
  <c r="Q97" i="15"/>
  <c r="L97" i="15"/>
  <c r="K97" i="15" s="1"/>
  <c r="N102" i="15"/>
  <c r="Z441" i="15"/>
  <c r="S64" i="15"/>
  <c r="S66" i="15"/>
  <c r="A71" i="15"/>
  <c r="N32" i="15"/>
  <c r="L41" i="15"/>
  <c r="A36" i="15"/>
  <c r="L72" i="15"/>
  <c r="AF472" i="15"/>
  <c r="A76" i="15"/>
  <c r="N80" i="15"/>
  <c r="N100" i="15"/>
  <c r="S102" i="15"/>
  <c r="E104" i="15"/>
  <c r="J113" i="15"/>
  <c r="L122" i="15"/>
  <c r="N113" i="15"/>
  <c r="N115" i="15"/>
  <c r="S115" i="15"/>
  <c r="S128" i="15"/>
  <c r="N128" i="15"/>
  <c r="F179" i="15"/>
  <c r="N179" i="15" s="1"/>
  <c r="N95" i="15"/>
  <c r="S114" i="15"/>
  <c r="S150" i="15"/>
  <c r="N150" i="15"/>
  <c r="N104" i="15"/>
  <c r="N117" i="15"/>
  <c r="N130" i="15"/>
  <c r="S130" i="15"/>
  <c r="S160" i="15"/>
  <c r="K96" i="15"/>
  <c r="N103" i="15"/>
  <c r="N124" i="15"/>
  <c r="S124" i="15"/>
  <c r="L153" i="15"/>
  <c r="S140" i="15"/>
  <c r="P174" i="15"/>
  <c r="N178" i="15"/>
  <c r="S143" i="15"/>
  <c r="N143" i="15"/>
  <c r="N158" i="15"/>
  <c r="Q173" i="15"/>
  <c r="N161" i="15"/>
  <c r="S161" i="15"/>
  <c r="S141" i="15"/>
  <c r="S156" i="15"/>
  <c r="M172" i="15"/>
  <c r="E174" i="15"/>
  <c r="S95" i="15"/>
  <c r="M100" i="15"/>
  <c r="S125" i="15"/>
  <c r="N141" i="15"/>
  <c r="Q153" i="15"/>
  <c r="Z443" i="15"/>
  <c r="K229" i="15"/>
  <c r="Q185" i="15"/>
  <c r="R175" i="15"/>
  <c r="P185" i="15"/>
  <c r="P194" i="15" s="1"/>
  <c r="M175" i="15"/>
  <c r="N188" i="15"/>
  <c r="S162" i="15"/>
  <c r="D185" i="15"/>
  <c r="L186" i="15"/>
  <c r="L194" i="15"/>
  <c r="S198" i="15"/>
  <c r="L210" i="15"/>
  <c r="N198" i="15"/>
  <c r="N133" i="15"/>
  <c r="S147" i="15"/>
  <c r="N157" i="15"/>
  <c r="N159" i="15"/>
  <c r="S159" i="15"/>
  <c r="N162" i="15"/>
  <c r="S207" i="15"/>
  <c r="N207" i="15"/>
  <c r="R241" i="15"/>
  <c r="M241" i="15"/>
  <c r="R178" i="15"/>
  <c r="N205" i="15"/>
  <c r="L248" i="15"/>
  <c r="S254" i="15"/>
  <c r="K250" i="15"/>
  <c r="L251" i="15" s="1"/>
  <c r="N219" i="15"/>
  <c r="S225" i="15"/>
  <c r="F182" i="15"/>
  <c r="S203" i="15"/>
  <c r="N203" i="15"/>
  <c r="S219" i="15"/>
  <c r="N132" i="15"/>
  <c r="F185" i="15"/>
  <c r="F173" i="15"/>
  <c r="N201" i="15"/>
  <c r="S201" i="15"/>
  <c r="N223" i="15"/>
  <c r="S137" i="15"/>
  <c r="N147" i="15"/>
  <c r="S152" i="15"/>
  <c r="N156" i="15"/>
  <c r="K194" i="15"/>
  <c r="S226" i="15"/>
  <c r="R300" i="15"/>
  <c r="N172" i="15"/>
  <c r="S172" i="15"/>
  <c r="AL437" i="15"/>
  <c r="N214" i="15"/>
  <c r="S217" i="15"/>
  <c r="N217" i="15"/>
  <c r="N227" i="15"/>
  <c r="S227" i="15"/>
  <c r="S259" i="15"/>
  <c r="N259" i="15"/>
  <c r="N121" i="15"/>
  <c r="S149" i="15"/>
  <c r="N149" i="15"/>
  <c r="N181" i="15"/>
  <c r="M188" i="15"/>
  <c r="S214" i="15"/>
  <c r="F248" i="15"/>
  <c r="M247" i="15"/>
  <c r="R247" i="15"/>
  <c r="S318" i="15"/>
  <c r="S264" i="15"/>
  <c r="N274" i="15"/>
  <c r="S274" i="15"/>
  <c r="S279" i="15"/>
  <c r="N295" i="15"/>
  <c r="L304" i="15"/>
  <c r="S295" i="15"/>
  <c r="K295" i="15"/>
  <c r="S300" i="15"/>
  <c r="N300" i="15"/>
  <c r="N308" i="15"/>
  <c r="S308" i="15"/>
  <c r="R295" i="15"/>
  <c r="P295" i="15"/>
  <c r="N333" i="15"/>
  <c r="N256" i="15"/>
  <c r="N264" i="15"/>
  <c r="S277" i="15"/>
  <c r="N277" i="15"/>
  <c r="S280" i="15"/>
  <c r="N283" i="15"/>
  <c r="M297" i="15"/>
  <c r="K297" i="15"/>
  <c r="P298" i="15"/>
  <c r="N303" i="15"/>
  <c r="E303" i="15"/>
  <c r="N347" i="15"/>
  <c r="P301" i="15"/>
  <c r="S146" i="15"/>
  <c r="M178" i="15"/>
  <c r="N248" i="15"/>
  <c r="N267" i="15"/>
  <c r="L285" i="15"/>
  <c r="N270" i="15"/>
  <c r="N280" i="15"/>
  <c r="Q330" i="15"/>
  <c r="S329" i="15"/>
  <c r="S228" i="15"/>
  <c r="M244" i="15"/>
  <c r="L266" i="15"/>
  <c r="N254" i="15"/>
  <c r="K285" i="15"/>
  <c r="N262" i="15"/>
  <c r="N307" i="15"/>
  <c r="N320" i="15"/>
  <c r="S320" i="15"/>
  <c r="L330" i="15"/>
  <c r="S213" i="15"/>
  <c r="N228" i="15"/>
  <c r="S257" i="15"/>
  <c r="N260" i="15"/>
  <c r="S260" i="15"/>
  <c r="S262" i="15"/>
  <c r="S265" i="15"/>
  <c r="S270" i="15"/>
  <c r="N213" i="15"/>
  <c r="N226" i="15"/>
  <c r="L242" i="15"/>
  <c r="S255" i="15"/>
  <c r="N255" i="15"/>
  <c r="N257" i="15"/>
  <c r="N265" i="15"/>
  <c r="S267" i="15"/>
  <c r="J304" i="15"/>
  <c r="S327" i="15"/>
  <c r="N327" i="15"/>
  <c r="E295" i="15"/>
  <c r="M295" i="15"/>
  <c r="E298" i="15"/>
  <c r="M298" i="15"/>
  <c r="S299" i="15"/>
  <c r="S200" i="15"/>
  <c r="Q229" i="15"/>
  <c r="S229" i="15" s="1"/>
  <c r="N220" i="15"/>
  <c r="S224" i="15"/>
  <c r="S258" i="15"/>
  <c r="S263" i="15"/>
  <c r="S268" i="15"/>
  <c r="S271" i="15"/>
  <c r="N271" i="15"/>
  <c r="S324" i="15"/>
  <c r="F304" i="15"/>
  <c r="F309" i="15" s="1"/>
  <c r="F314" i="15" s="1"/>
  <c r="S206" i="15"/>
  <c r="S216" i="15"/>
  <c r="N216" i="15"/>
  <c r="L250" i="15"/>
  <c r="L245" i="15"/>
  <c r="N244" i="15"/>
  <c r="N245" i="15" s="1"/>
  <c r="N258" i="15"/>
  <c r="K266" i="15"/>
  <c r="N269" i="15"/>
  <c r="Q285" i="15"/>
  <c r="S282" i="15"/>
  <c r="S297" i="15"/>
  <c r="N297" i="15"/>
  <c r="N332" i="15"/>
  <c r="S332" i="15"/>
  <c r="S301" i="15"/>
  <c r="S303" i="15"/>
  <c r="S307" i="15"/>
  <c r="S343" i="15"/>
  <c r="N343" i="15"/>
  <c r="L395" i="15"/>
  <c r="K395" i="15" s="1"/>
  <c r="N341" i="15"/>
  <c r="N325" i="15"/>
  <c r="N348" i="15"/>
  <c r="P360" i="15"/>
  <c r="S276" i="15"/>
  <c r="S278" i="15"/>
  <c r="N278" i="15"/>
  <c r="S302" i="15"/>
  <c r="N312" i="15"/>
  <c r="N329" i="15"/>
  <c r="N331" i="15"/>
  <c r="S333" i="15"/>
  <c r="S348" i="15"/>
  <c r="S360" i="15"/>
  <c r="S341" i="15"/>
  <c r="L377" i="15"/>
  <c r="N301" i="15"/>
  <c r="S325" i="15"/>
  <c r="S331" i="15"/>
  <c r="AH454" i="15"/>
  <c r="AI454" i="15" s="1"/>
  <c r="S338" i="15"/>
  <c r="N338" i="15"/>
  <c r="N346" i="15"/>
  <c r="S365" i="15"/>
  <c r="S283" i="15"/>
  <c r="S312" i="15"/>
  <c r="R312" i="15" s="1"/>
  <c r="N340" i="15"/>
  <c r="S369" i="15"/>
  <c r="S209" i="15"/>
  <c r="S222" i="15"/>
  <c r="N268" i="15"/>
  <c r="N279" i="15"/>
  <c r="N281" i="15"/>
  <c r="K299" i="15"/>
  <c r="M300" i="15"/>
  <c r="N324" i="15"/>
  <c r="N326" i="15"/>
  <c r="S346" i="15"/>
  <c r="E360" i="15"/>
  <c r="S362" i="15"/>
  <c r="N299" i="15"/>
  <c r="M301" i="15"/>
  <c r="S347" i="15"/>
  <c r="O362" i="15"/>
  <c r="S366" i="15"/>
  <c r="S380" i="15"/>
  <c r="S261" i="15"/>
  <c r="N261" i="15"/>
  <c r="K301" i="15"/>
  <c r="K307" i="15"/>
  <c r="S319" i="15"/>
  <c r="S321" i="15"/>
  <c r="N321" i="15"/>
  <c r="S326" i="15"/>
  <c r="Q362" i="15"/>
  <c r="S374" i="15"/>
  <c r="N323" i="15"/>
  <c r="S371" i="15"/>
  <c r="S389" i="15"/>
  <c r="S386" i="15"/>
  <c r="AH455" i="15"/>
  <c r="AI455" i="15" s="1"/>
  <c r="S390" i="15"/>
  <c r="AH469" i="15"/>
  <c r="AI469" i="15" s="1"/>
  <c r="S336" i="15"/>
  <c r="S379" i="15"/>
  <c r="AN455" i="15"/>
  <c r="AO455" i="15" s="1"/>
  <c r="AH461" i="15"/>
  <c r="AI461" i="15" s="1"/>
  <c r="AN461" i="15"/>
  <c r="AO461" i="15" s="1"/>
  <c r="S370" i="15"/>
  <c r="S373" i="15"/>
  <c r="F377" i="15"/>
  <c r="S382" i="15"/>
  <c r="AN491" i="15"/>
  <c r="AO491" i="15" s="1"/>
  <c r="AH456" i="15"/>
  <c r="AN458" i="15"/>
  <c r="AO458" i="15" s="1"/>
  <c r="AN460" i="15"/>
  <c r="AO460" i="15" s="1"/>
  <c r="AI493" i="15"/>
  <c r="AI496" i="15"/>
  <c r="AN456" i="15"/>
  <c r="AO469" i="15"/>
  <c r="AH491" i="15"/>
  <c r="AI491" i="15" s="1"/>
  <c r="AH477" i="15"/>
  <c r="AI477" i="15" s="1"/>
  <c r="AF466" i="15"/>
  <c r="AO494" i="15"/>
  <c r="AN496" i="15"/>
  <c r="AO496" i="15" s="1"/>
  <c r="AI497" i="15"/>
  <c r="AH497" i="15"/>
  <c r="AN459" i="15"/>
  <c r="AH492" i="15"/>
  <c r="AN495" i="15"/>
  <c r="AH458" i="15"/>
  <c r="AI458" i="15" s="1"/>
  <c r="N163" i="15" l="1"/>
  <c r="AN448" i="15"/>
  <c r="AO448" i="15" s="1"/>
  <c r="E377" i="15"/>
  <c r="Q194" i="15"/>
  <c r="Q186" i="15"/>
  <c r="S185" i="15"/>
  <c r="J32" i="15"/>
  <c r="Q349" i="15"/>
  <c r="Q351" i="15" s="1"/>
  <c r="AH459" i="15"/>
  <c r="AI459" i="15" s="1"/>
  <c r="Q395" i="15"/>
  <c r="P395" i="15" s="1"/>
  <c r="S378" i="15"/>
  <c r="S395" i="15" s="1"/>
  <c r="S363" i="15"/>
  <c r="P300" i="15"/>
  <c r="O185" i="15"/>
  <c r="S71" i="15"/>
  <c r="N71" i="15"/>
  <c r="R104" i="15"/>
  <c r="P104" i="15"/>
  <c r="AF446" i="15"/>
  <c r="Z413" i="15"/>
  <c r="Z444" i="15"/>
  <c r="AL435" i="15"/>
  <c r="Z473" i="15"/>
  <c r="AL422" i="15"/>
  <c r="AL447" i="15"/>
  <c r="AL413" i="15"/>
  <c r="AF428" i="15"/>
  <c r="N144" i="15"/>
  <c r="R102" i="15"/>
  <c r="P102" i="15"/>
  <c r="S135" i="15"/>
  <c r="N61" i="15"/>
  <c r="AO459" i="15"/>
  <c r="S349" i="15"/>
  <c r="P297" i="15"/>
  <c r="R297" i="15"/>
  <c r="N304" i="15"/>
  <c r="N305" i="15" s="1"/>
  <c r="L309" i="15"/>
  <c r="F285" i="15"/>
  <c r="Q210" i="15"/>
  <c r="Q163" i="15"/>
  <c r="R9" i="15"/>
  <c r="M9" i="15"/>
  <c r="K9" i="15"/>
  <c r="Z411" i="15"/>
  <c r="AF435" i="15"/>
  <c r="AF440" i="15"/>
  <c r="Z480" i="15"/>
  <c r="Z424" i="15"/>
  <c r="AL470" i="15"/>
  <c r="AL440" i="15"/>
  <c r="AO440" i="15" s="1"/>
  <c r="AF418" i="15"/>
  <c r="AL429" i="15"/>
  <c r="AF473" i="15"/>
  <c r="P96" i="15"/>
  <c r="R96" i="15"/>
  <c r="S144" i="15"/>
  <c r="AL442" i="15"/>
  <c r="Z442" i="15"/>
  <c r="P362" i="15"/>
  <c r="R362" i="15"/>
  <c r="P296" i="15"/>
  <c r="R296" i="15"/>
  <c r="S269" i="15"/>
  <c r="Q242" i="15"/>
  <c r="S241" i="15"/>
  <c r="S242" i="15" s="1"/>
  <c r="S163" i="15"/>
  <c r="AF436" i="15"/>
  <c r="AF424" i="15"/>
  <c r="AF437" i="15"/>
  <c r="AF414" i="15"/>
  <c r="AF423" i="15"/>
  <c r="AF471" i="15"/>
  <c r="AF432" i="15"/>
  <c r="AF476" i="15"/>
  <c r="E96" i="15"/>
  <c r="S121" i="15"/>
  <c r="Q105" i="15"/>
  <c r="S62" i="15"/>
  <c r="N62" i="15"/>
  <c r="S6" i="15"/>
  <c r="N6" i="15"/>
  <c r="N13" i="15" s="1"/>
  <c r="N14" i="15" s="1"/>
  <c r="L13" i="15"/>
  <c r="P7" i="15"/>
  <c r="S7" i="15"/>
  <c r="AO457" i="15"/>
  <c r="AN457" i="15"/>
  <c r="AO493" i="15"/>
  <c r="AN493" i="15"/>
  <c r="R303" i="15"/>
  <c r="P303" i="15"/>
  <c r="AF449" i="15"/>
  <c r="AF411" i="15"/>
  <c r="Z430" i="15"/>
  <c r="Z470" i="15"/>
  <c r="Z434" i="15"/>
  <c r="AH434" i="15" s="1"/>
  <c r="AL473" i="15"/>
  <c r="AO473" i="15" s="1"/>
  <c r="AL443" i="15"/>
  <c r="AF426" i="15"/>
  <c r="AF474" i="15"/>
  <c r="Z435" i="15"/>
  <c r="Z479" i="15"/>
  <c r="AL449" i="15"/>
  <c r="AO449" i="15" s="1"/>
  <c r="F54" i="15"/>
  <c r="Q54" i="15"/>
  <c r="F135" i="15"/>
  <c r="N12" i="15"/>
  <c r="S330" i="15"/>
  <c r="L351" i="15"/>
  <c r="R308" i="15"/>
  <c r="P308" i="15"/>
  <c r="F229" i="15"/>
  <c r="F194" i="15"/>
  <c r="F210" i="15"/>
  <c r="S120" i="15"/>
  <c r="N76" i="15"/>
  <c r="S76" i="15"/>
  <c r="P95" i="15"/>
  <c r="R95" i="15"/>
  <c r="O97" i="15"/>
  <c r="P121" i="15" s="1"/>
  <c r="AL471" i="15"/>
  <c r="AF412" i="15"/>
  <c r="Z475" i="15"/>
  <c r="Z445" i="15"/>
  <c r="Z429" i="15"/>
  <c r="Z410" i="15"/>
  <c r="K38" i="15"/>
  <c r="S38" i="15"/>
  <c r="N118" i="15"/>
  <c r="AL427" i="15"/>
  <c r="AO427" i="15" s="1"/>
  <c r="M17" i="15"/>
  <c r="E17" i="15"/>
  <c r="AN477" i="15"/>
  <c r="AO477" i="15" s="1"/>
  <c r="Q377" i="15"/>
  <c r="S377" i="15" s="1"/>
  <c r="L397" i="15"/>
  <c r="K377" i="15"/>
  <c r="D304" i="15"/>
  <c r="J309" i="15"/>
  <c r="K304" i="15"/>
  <c r="M304" i="15"/>
  <c r="L287" i="15"/>
  <c r="S248" i="15"/>
  <c r="Q248" i="15"/>
  <c r="E95" i="15"/>
  <c r="D97" i="15"/>
  <c r="AL445" i="15"/>
  <c r="AL474" i="15"/>
  <c r="AF415" i="15"/>
  <c r="AF431" i="15"/>
  <c r="AL476" i="15"/>
  <c r="AO476" i="15" s="1"/>
  <c r="AL446" i="15"/>
  <c r="AL434" i="15"/>
  <c r="AN434" i="15" s="1"/>
  <c r="AL415" i="15"/>
  <c r="Z438" i="15"/>
  <c r="M95" i="15"/>
  <c r="S33" i="15"/>
  <c r="S15" i="15"/>
  <c r="N15" i="15"/>
  <c r="S44" i="15"/>
  <c r="P15" i="15"/>
  <c r="AH420" i="15"/>
  <c r="AI420" i="15" s="1"/>
  <c r="AH493" i="15"/>
  <c r="P229" i="15"/>
  <c r="E308" i="15"/>
  <c r="M308" i="15"/>
  <c r="S153" i="15"/>
  <c r="K153" i="15"/>
  <c r="S56" i="15"/>
  <c r="N56" i="15"/>
  <c r="S97" i="15"/>
  <c r="J112" i="15"/>
  <c r="L108" i="15"/>
  <c r="AF416" i="15"/>
  <c r="AL438" i="15"/>
  <c r="AL411" i="15"/>
  <c r="Z422" i="15"/>
  <c r="AL412" i="15"/>
  <c r="Z448" i="15"/>
  <c r="AF480" i="15"/>
  <c r="AL439" i="15"/>
  <c r="K12" i="15"/>
  <c r="R12" i="15"/>
  <c r="M12" i="15"/>
  <c r="P17" i="15"/>
  <c r="S10" i="15"/>
  <c r="AI457" i="15"/>
  <c r="AH457" i="15"/>
  <c r="E307" i="15"/>
  <c r="M307" i="15"/>
  <c r="Q250" i="15"/>
  <c r="Q245" i="15"/>
  <c r="S245" i="15"/>
  <c r="S285" i="15"/>
  <c r="Q266" i="15"/>
  <c r="S39" i="15"/>
  <c r="Q108" i="15"/>
  <c r="S98" i="15"/>
  <c r="S78" i="15"/>
  <c r="N78" i="15"/>
  <c r="AF443" i="15"/>
  <c r="AF479" i="15"/>
  <c r="AF475" i="15"/>
  <c r="Z476" i="15"/>
  <c r="Z440" i="15"/>
  <c r="AI440" i="15" s="1"/>
  <c r="AF417" i="15"/>
  <c r="Z471" i="15"/>
  <c r="AF410" i="15"/>
  <c r="AF441" i="15"/>
  <c r="F97" i="15"/>
  <c r="M7" i="15"/>
  <c r="E7" i="15"/>
  <c r="E15" i="15"/>
  <c r="AI495" i="15"/>
  <c r="AH495" i="15"/>
  <c r="Z466" i="15"/>
  <c r="AI453" i="15"/>
  <c r="AH453" i="15"/>
  <c r="F349" i="15"/>
  <c r="E349" i="15" s="1"/>
  <c r="R307" i="15"/>
  <c r="P307" i="15"/>
  <c r="E250" i="15"/>
  <c r="N285" i="15"/>
  <c r="E300" i="15"/>
  <c r="F266" i="15"/>
  <c r="N266" i="15" s="1"/>
  <c r="K210" i="15"/>
  <c r="L231" i="15"/>
  <c r="S210" i="15"/>
  <c r="N210" i="15"/>
  <c r="F176" i="15"/>
  <c r="N175" i="15"/>
  <c r="N120" i="15"/>
  <c r="AL430" i="15"/>
  <c r="Z437" i="15"/>
  <c r="AF451" i="15"/>
  <c r="AF421" i="15"/>
  <c r="AF409" i="15"/>
  <c r="AF478" i="15"/>
  <c r="AL441" i="15"/>
  <c r="AL421" i="15"/>
  <c r="Z439" i="15"/>
  <c r="Z412" i="15"/>
  <c r="AF444" i="15"/>
  <c r="F153" i="15"/>
  <c r="N153" i="15" s="1"/>
  <c r="L83" i="15"/>
  <c r="K6" i="15"/>
  <c r="J13" i="15"/>
  <c r="M6" i="15"/>
  <c r="R6" i="15"/>
  <c r="R15" i="15"/>
  <c r="S22" i="15"/>
  <c r="F24" i="15"/>
  <c r="F27" i="15" s="1"/>
  <c r="F330" i="15"/>
  <c r="N318" i="15"/>
  <c r="P250" i="15"/>
  <c r="S247" i="15"/>
  <c r="F242" i="15"/>
  <c r="N241" i="15"/>
  <c r="N242" i="15" s="1"/>
  <c r="F122" i="15"/>
  <c r="K122" i="15"/>
  <c r="L155" i="15"/>
  <c r="N36" i="15"/>
  <c r="R19" i="15"/>
  <c r="P19" i="15"/>
  <c r="Z409" i="15"/>
  <c r="AF450" i="15"/>
  <c r="AL423" i="15"/>
  <c r="AL410" i="15"/>
  <c r="AF427" i="15"/>
  <c r="AF413" i="15"/>
  <c r="Z423" i="15"/>
  <c r="Z474" i="15"/>
  <c r="AF442" i="15"/>
  <c r="AF447" i="15"/>
  <c r="AI494" i="15"/>
  <c r="AH494" i="15"/>
  <c r="AL466" i="15"/>
  <c r="AN453" i="15"/>
  <c r="AN466" i="15" s="1"/>
  <c r="S244" i="15"/>
  <c r="R299" i="15"/>
  <c r="P299" i="15"/>
  <c r="N247" i="15"/>
  <c r="Q179" i="15"/>
  <c r="S178" i="15"/>
  <c r="N194" i="15"/>
  <c r="N195" i="15" s="1"/>
  <c r="L233" i="15"/>
  <c r="L195" i="15"/>
  <c r="S194" i="15"/>
  <c r="S195" i="15" s="1"/>
  <c r="Q176" i="15"/>
  <c r="S175" i="15"/>
  <c r="E185" i="15"/>
  <c r="F186" i="15" s="1"/>
  <c r="F163" i="15"/>
  <c r="N34" i="15"/>
  <c r="AF430" i="15"/>
  <c r="AF429" i="15"/>
  <c r="Z415" i="15"/>
  <c r="AL444" i="15"/>
  <c r="AL424" i="15"/>
  <c r="AL475" i="15"/>
  <c r="AF445" i="15"/>
  <c r="AF422" i="15"/>
  <c r="P6" i="15"/>
  <c r="O13" i="15"/>
  <c r="O24" i="15" s="1"/>
  <c r="P33" i="15" s="1"/>
  <c r="S118" i="15"/>
  <c r="O112" i="15"/>
  <c r="M15" i="15"/>
  <c r="S296" i="15"/>
  <c r="Q304" i="15"/>
  <c r="S304" i="15" s="1"/>
  <c r="AN494" i="15"/>
  <c r="F395" i="15"/>
  <c r="E395" i="15" s="1"/>
  <c r="N349" i="15"/>
  <c r="O304" i="15"/>
  <c r="F250" i="15"/>
  <c r="F245" i="15"/>
  <c r="M299" i="15"/>
  <c r="E299" i="15"/>
  <c r="E297" i="15"/>
  <c r="N185" i="15"/>
  <c r="N186" i="15" s="1"/>
  <c r="M96" i="15"/>
  <c r="AL409" i="15"/>
  <c r="Z447" i="15"/>
  <c r="AF439" i="15"/>
  <c r="AF438" i="15"/>
  <c r="Z421" i="15"/>
  <c r="Z446" i="15"/>
  <c r="AF425" i="15"/>
  <c r="E6" i="15"/>
  <c r="D13" i="15"/>
  <c r="D24" i="15" s="1"/>
  <c r="E34" i="15" s="1"/>
  <c r="K105" i="15"/>
  <c r="Q122" i="15"/>
  <c r="S122" i="15" s="1"/>
  <c r="L54" i="15"/>
  <c r="S83" i="15" l="1"/>
  <c r="AO453" i="15"/>
  <c r="N83" i="15"/>
  <c r="E54" i="15"/>
  <c r="N72" i="15"/>
  <c r="AO466" i="15"/>
  <c r="AH466" i="15"/>
  <c r="M13" i="15"/>
  <c r="S52" i="15"/>
  <c r="AL431" i="15"/>
  <c r="AN431" i="15" s="1"/>
  <c r="L165" i="15"/>
  <c r="S108" i="15"/>
  <c r="S109" i="15" s="1"/>
  <c r="AN415" i="15"/>
  <c r="AH415" i="15"/>
  <c r="AE415" i="15"/>
  <c r="P377" i="15"/>
  <c r="Q397" i="15"/>
  <c r="Y410" i="15"/>
  <c r="Q24" i="15"/>
  <c r="N49" i="15"/>
  <c r="Z428" i="15"/>
  <c r="AH428" i="15" s="1"/>
  <c r="AN440" i="15"/>
  <c r="AH440" i="15"/>
  <c r="Y413" i="15"/>
  <c r="AQ430" i="15"/>
  <c r="AN430" i="15"/>
  <c r="AH430" i="15"/>
  <c r="AI430" i="15" s="1"/>
  <c r="N22" i="15"/>
  <c r="AN444" i="15"/>
  <c r="AH444" i="15"/>
  <c r="P13" i="15"/>
  <c r="O27" i="15"/>
  <c r="AL426" i="15"/>
  <c r="AO426" i="15" s="1"/>
  <c r="Y412" i="15"/>
  <c r="AI438" i="15"/>
  <c r="AL428" i="15"/>
  <c r="S49" i="15"/>
  <c r="AN435" i="15"/>
  <c r="AH435" i="15"/>
  <c r="AN446" i="15"/>
  <c r="AH446" i="15"/>
  <c r="AI446" i="15" s="1"/>
  <c r="Z436" i="15"/>
  <c r="AH436" i="15" s="1"/>
  <c r="F72" i="15"/>
  <c r="E72" i="15" s="1"/>
  <c r="P118" i="15"/>
  <c r="N47" i="15"/>
  <c r="Z416" i="15"/>
  <c r="AH416" i="15" s="1"/>
  <c r="L314" i="15"/>
  <c r="N309" i="15"/>
  <c r="N310" i="15" s="1"/>
  <c r="AL418" i="15"/>
  <c r="AN418" i="15" s="1"/>
  <c r="AF452" i="15"/>
  <c r="AK411" i="15"/>
  <c r="AK409" i="15"/>
  <c r="AK410" i="15"/>
  <c r="AN475" i="15"/>
  <c r="AH475" i="15"/>
  <c r="AI475" i="15" s="1"/>
  <c r="S305" i="15"/>
  <c r="Q309" i="15"/>
  <c r="F155" i="15"/>
  <c r="N155" i="15" s="1"/>
  <c r="K21" i="15"/>
  <c r="R21" i="15" s="1"/>
  <c r="K23" i="15"/>
  <c r="R23" i="15" s="1"/>
  <c r="J27" i="15"/>
  <c r="K22" i="15"/>
  <c r="R22" i="15" s="1"/>
  <c r="K13" i="15"/>
  <c r="J24" i="15"/>
  <c r="AH479" i="15"/>
  <c r="AI479" i="15" s="1"/>
  <c r="P285" i="15"/>
  <c r="Q251" i="15"/>
  <c r="R250" i="15" s="1"/>
  <c r="M14" i="15"/>
  <c r="E13" i="15"/>
  <c r="D27" i="15"/>
  <c r="E27" i="15" s="1"/>
  <c r="AI415" i="15"/>
  <c r="Y415" i="15"/>
  <c r="AN480" i="15"/>
  <c r="AO480" i="15" s="1"/>
  <c r="AH480" i="15"/>
  <c r="AI480" i="15" s="1"/>
  <c r="Y409" i="15"/>
  <c r="AO430" i="15"/>
  <c r="S57" i="15"/>
  <c r="S72" i="15" s="1"/>
  <c r="AL436" i="15"/>
  <c r="Q72" i="15"/>
  <c r="K108" i="15"/>
  <c r="Z427" i="15"/>
  <c r="AI427" i="15" s="1"/>
  <c r="S47" i="15"/>
  <c r="Y411" i="15"/>
  <c r="AQ428" i="15"/>
  <c r="N24" i="15"/>
  <c r="N25" i="15" s="1"/>
  <c r="P36" i="15"/>
  <c r="AL414" i="15"/>
  <c r="F108" i="15"/>
  <c r="E122" i="15" s="1"/>
  <c r="D112" i="15"/>
  <c r="AL432" i="15"/>
  <c r="P31" i="15"/>
  <c r="P32" i="15"/>
  <c r="P34" i="15"/>
  <c r="P37" i="15"/>
  <c r="P35" i="15"/>
  <c r="E97" i="15"/>
  <c r="D105" i="15"/>
  <c r="D108" i="15"/>
  <c r="E114" i="15"/>
  <c r="E116" i="15"/>
  <c r="E119" i="15"/>
  <c r="M97" i="15"/>
  <c r="M98" i="15" s="1"/>
  <c r="E121" i="15"/>
  <c r="E113" i="15"/>
  <c r="E112" i="15"/>
  <c r="E115" i="15"/>
  <c r="E117" i="15"/>
  <c r="AN447" i="15"/>
  <c r="AH447" i="15"/>
  <c r="AI447" i="15" s="1"/>
  <c r="AN441" i="15"/>
  <c r="AO441" i="15" s="1"/>
  <c r="AH441" i="15"/>
  <c r="AI441" i="15" s="1"/>
  <c r="Z478" i="15"/>
  <c r="AN438" i="15"/>
  <c r="AH438" i="15"/>
  <c r="P304" i="15"/>
  <c r="R304" i="15"/>
  <c r="O309" i="15"/>
  <c r="Z450" i="15"/>
  <c r="AI450" i="15" s="1"/>
  <c r="S36" i="15"/>
  <c r="AH439" i="15"/>
  <c r="AN439" i="15"/>
  <c r="AO439" i="15" s="1"/>
  <c r="AH422" i="15"/>
  <c r="AI422" i="15" s="1"/>
  <c r="AN422" i="15"/>
  <c r="AO422" i="15" s="1"/>
  <c r="M185" i="15"/>
  <c r="E194" i="15"/>
  <c r="F195" i="15" s="1"/>
  <c r="M194" i="15" s="1"/>
  <c r="K155" i="15"/>
  <c r="AE417" i="15"/>
  <c r="Q287" i="15"/>
  <c r="S287" i="15" s="1"/>
  <c r="P266" i="15"/>
  <c r="AO446" i="15"/>
  <c r="E120" i="15"/>
  <c r="AN421" i="15"/>
  <c r="AO421" i="15" s="1"/>
  <c r="AH421" i="15"/>
  <c r="AI421" i="15" s="1"/>
  <c r="AF433" i="15"/>
  <c r="AO444" i="15"/>
  <c r="E266" i="15"/>
  <c r="F287" i="15"/>
  <c r="N287" i="15" s="1"/>
  <c r="E24" i="15"/>
  <c r="E33" i="15"/>
  <c r="E31" i="15"/>
  <c r="E39" i="15"/>
  <c r="E37" i="15"/>
  <c r="E35" i="15"/>
  <c r="E210" i="15"/>
  <c r="F231" i="15"/>
  <c r="E231" i="15" s="1"/>
  <c r="E135" i="15"/>
  <c r="AN443" i="15"/>
  <c r="AO443" i="15" s="1"/>
  <c r="AH443" i="15"/>
  <c r="AI443" i="15" s="1"/>
  <c r="N97" i="15"/>
  <c r="N98" i="15" s="1"/>
  <c r="AH429" i="15"/>
  <c r="AI429" i="15" s="1"/>
  <c r="AQ429" i="15"/>
  <c r="AN429" i="15"/>
  <c r="AO429" i="15" s="1"/>
  <c r="Z418" i="15"/>
  <c r="AH418" i="15" s="1"/>
  <c r="E36" i="15"/>
  <c r="Z414" i="15"/>
  <c r="AH414" i="15" s="1"/>
  <c r="AO412" i="15"/>
  <c r="AK412" i="15"/>
  <c r="S266" i="15"/>
  <c r="AN412" i="15"/>
  <c r="AH412" i="15"/>
  <c r="AI412" i="15" s="1"/>
  <c r="AE412" i="15"/>
  <c r="E229" i="15"/>
  <c r="N229" i="15"/>
  <c r="AI434" i="15"/>
  <c r="AN473" i="15"/>
  <c r="AH473" i="15"/>
  <c r="AI473" i="15" s="1"/>
  <c r="AH448" i="15"/>
  <c r="AI448" i="15" s="1"/>
  <c r="Z426" i="15"/>
  <c r="AI426" i="15" s="1"/>
  <c r="E40" i="15"/>
  <c r="N40" i="15"/>
  <c r="AN476" i="15"/>
  <c r="AH476" i="15"/>
  <c r="AI476" i="15" s="1"/>
  <c r="AK413" i="15"/>
  <c r="P135" i="15"/>
  <c r="Z449" i="15"/>
  <c r="AI449" i="15" s="1"/>
  <c r="L27" i="15"/>
  <c r="K54" i="15" s="1"/>
  <c r="J31" i="15"/>
  <c r="Z451" i="15"/>
  <c r="AI451" i="15" s="1"/>
  <c r="P153" i="15"/>
  <c r="P40" i="15"/>
  <c r="S40" i="15"/>
  <c r="O108" i="15"/>
  <c r="O105" i="15"/>
  <c r="P105" i="15" s="1"/>
  <c r="P97" i="15"/>
  <c r="P113" i="15"/>
  <c r="P116" i="15"/>
  <c r="P115" i="15"/>
  <c r="P119" i="15"/>
  <c r="R97" i="15"/>
  <c r="R98" i="15" s="1"/>
  <c r="P112" i="15"/>
  <c r="P117" i="15"/>
  <c r="P114" i="15"/>
  <c r="E287" i="15"/>
  <c r="E285" i="15"/>
  <c r="F289" i="15"/>
  <c r="F251" i="15"/>
  <c r="M250" i="15" s="1"/>
  <c r="AN442" i="15"/>
  <c r="AO442" i="15" s="1"/>
  <c r="AH442" i="15"/>
  <c r="AI442" i="15" s="1"/>
  <c r="F351" i="15"/>
  <c r="E330" i="15"/>
  <c r="AI439" i="15"/>
  <c r="AN410" i="15"/>
  <c r="AO410" i="15" s="1"/>
  <c r="AH410" i="15"/>
  <c r="AI410" i="15" s="1"/>
  <c r="AE410" i="15"/>
  <c r="AO415" i="15"/>
  <c r="AK415" i="15"/>
  <c r="J314" i="15"/>
  <c r="K309" i="15"/>
  <c r="AN471" i="15"/>
  <c r="AO471" i="15" s="1"/>
  <c r="AH471" i="15"/>
  <c r="AI471" i="15" s="1"/>
  <c r="AE418" i="15"/>
  <c r="AO447" i="15"/>
  <c r="R185" i="15"/>
  <c r="S186" i="15" s="1"/>
  <c r="P186" i="15"/>
  <c r="F41" i="15"/>
  <c r="E186" i="15"/>
  <c r="P39" i="15"/>
  <c r="AO434" i="15"/>
  <c r="D309" i="15"/>
  <c r="E304" i="15"/>
  <c r="E118" i="15"/>
  <c r="N330" i="15"/>
  <c r="P38" i="15"/>
  <c r="AL417" i="15"/>
  <c r="AN417" i="15" s="1"/>
  <c r="AL479" i="15"/>
  <c r="AO479" i="15" s="1"/>
  <c r="AL450" i="15"/>
  <c r="AO450" i="15" s="1"/>
  <c r="AL478" i="15"/>
  <c r="AO478" i="15" s="1"/>
  <c r="AL425" i="15"/>
  <c r="AO425" i="15" s="1"/>
  <c r="AE411" i="15"/>
  <c r="AN411" i="15"/>
  <c r="AO411" i="15" s="1"/>
  <c r="AH411" i="15"/>
  <c r="AI411" i="15" s="1"/>
  <c r="S13" i="15"/>
  <c r="S14" i="15" s="1"/>
  <c r="AN423" i="15"/>
  <c r="AO423" i="15" s="1"/>
  <c r="AH423" i="15"/>
  <c r="AI423" i="15" s="1"/>
  <c r="AF481" i="15"/>
  <c r="Q195" i="15"/>
  <c r="R194" i="15" s="1"/>
  <c r="AL451" i="15"/>
  <c r="AO451" i="15" s="1"/>
  <c r="E38" i="15"/>
  <c r="Z425" i="15"/>
  <c r="AI425" i="15" s="1"/>
  <c r="Z432" i="15"/>
  <c r="AI432" i="15" s="1"/>
  <c r="Z417" i="15"/>
  <c r="AH417" i="15" s="1"/>
  <c r="AN449" i="15"/>
  <c r="AE414" i="15"/>
  <c r="K135" i="15"/>
  <c r="S250" i="15"/>
  <c r="AH470" i="15"/>
  <c r="AI470" i="15" s="1"/>
  <c r="F83" i="15"/>
  <c r="Z472" i="15"/>
  <c r="AH472" i="15" s="1"/>
  <c r="AI472" i="15" s="1"/>
  <c r="AI435" i="15"/>
  <c r="AN437" i="15"/>
  <c r="AO437" i="15" s="1"/>
  <c r="AH437" i="15"/>
  <c r="AI437" i="15" s="1"/>
  <c r="AO435" i="15"/>
  <c r="N250" i="15"/>
  <c r="N251" i="15" s="1"/>
  <c r="AN470" i="15"/>
  <c r="AO470" i="15" s="1"/>
  <c r="F397" i="15"/>
  <c r="AL472" i="15"/>
  <c r="Q83" i="15"/>
  <c r="K351" i="15"/>
  <c r="S351" i="15"/>
  <c r="N351" i="15"/>
  <c r="Q155" i="15"/>
  <c r="P155" i="15" s="1"/>
  <c r="P122" i="15"/>
  <c r="AN445" i="15"/>
  <c r="AO445" i="15" s="1"/>
  <c r="AH445" i="15"/>
  <c r="AI445" i="15" s="1"/>
  <c r="AN413" i="15"/>
  <c r="AO413" i="15" s="1"/>
  <c r="AH413" i="15"/>
  <c r="AI413" i="15" s="1"/>
  <c r="AE413" i="15"/>
  <c r="AI466" i="15"/>
  <c r="AO438" i="15"/>
  <c r="E32" i="15"/>
  <c r="AL416" i="15"/>
  <c r="AN416" i="15" s="1"/>
  <c r="AO475" i="15"/>
  <c r="AN427" i="15"/>
  <c r="N122" i="15"/>
  <c r="R13" i="15"/>
  <c r="R14" i="15" s="1"/>
  <c r="AE409" i="15"/>
  <c r="AN409" i="15"/>
  <c r="AO409" i="15" s="1"/>
  <c r="AH409" i="15"/>
  <c r="AI409" i="15" s="1"/>
  <c r="AF419" i="15"/>
  <c r="S231" i="15"/>
  <c r="K231" i="15"/>
  <c r="Z431" i="15"/>
  <c r="AH431" i="15" s="1"/>
  <c r="N52" i="15"/>
  <c r="AE416" i="15"/>
  <c r="Q41" i="15"/>
  <c r="AQ431" i="15"/>
  <c r="S397" i="15"/>
  <c r="K397" i="15"/>
  <c r="L399" i="15"/>
  <c r="N38" i="15"/>
  <c r="P120" i="15"/>
  <c r="AN474" i="15"/>
  <c r="AO474" i="15" s="1"/>
  <c r="AH474" i="15"/>
  <c r="AI474" i="15" s="1"/>
  <c r="S106" i="15"/>
  <c r="O113" i="15"/>
  <c r="S105" i="15"/>
  <c r="AN424" i="15"/>
  <c r="AO424" i="15" s="1"/>
  <c r="AH424" i="15"/>
  <c r="AI424" i="15" s="1"/>
  <c r="Q231" i="15"/>
  <c r="P231" i="15" s="1"/>
  <c r="P210" i="15"/>
  <c r="N135" i="15"/>
  <c r="AI444" i="15"/>
  <c r="L289" i="15"/>
  <c r="L74" i="15"/>
  <c r="AN479" i="15" l="1"/>
  <c r="E153" i="15"/>
  <c r="Z452" i="15"/>
  <c r="Z481" i="15"/>
  <c r="AH427" i="15"/>
  <c r="AH451" i="15"/>
  <c r="S54" i="15"/>
  <c r="E155" i="15"/>
  <c r="AO472" i="15"/>
  <c r="AN472" i="15"/>
  <c r="S251" i="15"/>
  <c r="F233" i="15"/>
  <c r="N233" i="15" s="1"/>
  <c r="AH426" i="15"/>
  <c r="AL452" i="15"/>
  <c r="Q289" i="15"/>
  <c r="AN426" i="15"/>
  <c r="AO431" i="15"/>
  <c r="AF468" i="15"/>
  <c r="AH449" i="15"/>
  <c r="P108" i="15"/>
  <c r="R109" i="15"/>
  <c r="R108" i="15"/>
  <c r="AN450" i="15"/>
  <c r="Q165" i="15"/>
  <c r="S165" i="15" s="1"/>
  <c r="AN425" i="15"/>
  <c r="Q27" i="15"/>
  <c r="S24" i="15"/>
  <c r="S25" i="15" s="1"/>
  <c r="AM413" i="15"/>
  <c r="AG413" i="15"/>
  <c r="AI414" i="15"/>
  <c r="Y414" i="15"/>
  <c r="AM414" i="15" s="1"/>
  <c r="AH450" i="15"/>
  <c r="AH478" i="15"/>
  <c r="AI478" i="15" s="1"/>
  <c r="Q74" i="15"/>
  <c r="S41" i="15"/>
  <c r="AG409" i="15"/>
  <c r="AM409" i="15"/>
  <c r="AN478" i="15"/>
  <c r="AI417" i="15"/>
  <c r="Y417" i="15"/>
  <c r="AG417" i="15" s="1"/>
  <c r="E309" i="15"/>
  <c r="D314" i="15"/>
  <c r="E314" i="15" s="1"/>
  <c r="AM410" i="15"/>
  <c r="AG410" i="15"/>
  <c r="F165" i="15"/>
  <c r="N165" i="15" s="1"/>
  <c r="P287" i="15"/>
  <c r="Q314" i="15"/>
  <c r="AD452" i="15"/>
  <c r="AH425" i="15"/>
  <c r="AI418" i="15"/>
  <c r="Y418" i="15"/>
  <c r="AM418" i="15" s="1"/>
  <c r="AN451" i="15"/>
  <c r="E108" i="15"/>
  <c r="M108" i="15"/>
  <c r="M109" i="15" s="1"/>
  <c r="AK414" i="15"/>
  <c r="AK418" i="15"/>
  <c r="AO418" i="15"/>
  <c r="AM411" i="15"/>
  <c r="AG411" i="15"/>
  <c r="E105" i="15"/>
  <c r="M105" i="15"/>
  <c r="P397" i="15"/>
  <c r="Q399" i="15"/>
  <c r="S399" i="15" s="1"/>
  <c r="K35" i="15"/>
  <c r="K31" i="15"/>
  <c r="M24" i="15"/>
  <c r="K37" i="15"/>
  <c r="K32" i="15"/>
  <c r="K24" i="15"/>
  <c r="K34" i="15"/>
  <c r="K33" i="15"/>
  <c r="K36" i="15"/>
  <c r="L353" i="15"/>
  <c r="N314" i="15"/>
  <c r="N315" i="15" s="1"/>
  <c r="K349" i="15"/>
  <c r="K330" i="15"/>
  <c r="AI436" i="15"/>
  <c r="Z407" i="15"/>
  <c r="AL433" i="15"/>
  <c r="AM412" i="15"/>
  <c r="AG412" i="15"/>
  <c r="S155" i="15"/>
  <c r="P309" i="15"/>
  <c r="O314" i="15"/>
  <c r="R309" i="15"/>
  <c r="S309" i="15"/>
  <c r="S310" i="15" s="1"/>
  <c r="AG415" i="15"/>
  <c r="AM415" i="15"/>
  <c r="Z433" i="15"/>
  <c r="S74" i="15"/>
  <c r="K74" i="15"/>
  <c r="AI431" i="15"/>
  <c r="Y416" i="15"/>
  <c r="AI416" i="15"/>
  <c r="AI428" i="15"/>
  <c r="AM416" i="15"/>
  <c r="AG416" i="15"/>
  <c r="E397" i="15"/>
  <c r="F399" i="15"/>
  <c r="S289" i="15"/>
  <c r="N289" i="15"/>
  <c r="AL481" i="15"/>
  <c r="AN481" i="15" s="1"/>
  <c r="AK416" i="15"/>
  <c r="AO416" i="15"/>
  <c r="Q233" i="15"/>
  <c r="S233" i="15" s="1"/>
  <c r="M309" i="15"/>
  <c r="AN428" i="15"/>
  <c r="AO428" i="15" s="1"/>
  <c r="M27" i="15"/>
  <c r="M28" i="15" s="1"/>
  <c r="K27" i="15"/>
  <c r="R27" i="15"/>
  <c r="R28" i="15" s="1"/>
  <c r="AL419" i="15"/>
  <c r="AN419" i="15" s="1"/>
  <c r="N54" i="15"/>
  <c r="E351" i="15"/>
  <c r="F353" i="15"/>
  <c r="AH432" i="15"/>
  <c r="N231" i="15"/>
  <c r="AN414" i="15"/>
  <c r="AO414" i="15" s="1"/>
  <c r="AH481" i="15"/>
  <c r="AI481" i="15" s="1"/>
  <c r="AD481" i="15"/>
  <c r="AO417" i="15"/>
  <c r="AK417" i="15"/>
  <c r="F74" i="15"/>
  <c r="E41" i="15"/>
  <c r="N41" i="15"/>
  <c r="K314" i="15"/>
  <c r="AF406" i="15"/>
  <c r="AF407" i="15"/>
  <c r="AD419" i="15" s="1"/>
  <c r="L85" i="15"/>
  <c r="N27" i="15"/>
  <c r="S27" i="15"/>
  <c r="K41" i="15"/>
  <c r="K72" i="15"/>
  <c r="P24" i="15"/>
  <c r="Z419" i="15"/>
  <c r="AH419" i="15" s="1"/>
  <c r="AI419" i="15" s="1"/>
  <c r="AN436" i="15"/>
  <c r="N108" i="15"/>
  <c r="N109" i="15" s="1"/>
  <c r="X433" i="15" l="1"/>
  <c r="Z406" i="15"/>
  <c r="AM417" i="15"/>
  <c r="AH452" i="15"/>
  <c r="AI452" i="15" s="1"/>
  <c r="AG418" i="15"/>
  <c r="AD468" i="15"/>
  <c r="E74" i="15"/>
  <c r="F85" i="15"/>
  <c r="AO433" i="15"/>
  <c r="S85" i="15"/>
  <c r="S315" i="15"/>
  <c r="Q353" i="15"/>
  <c r="S353" i="15" s="1"/>
  <c r="P330" i="15"/>
  <c r="P351" i="15"/>
  <c r="P349" i="15"/>
  <c r="AL407" i="15"/>
  <c r="Q85" i="15"/>
  <c r="S28" i="15"/>
  <c r="P54" i="15"/>
  <c r="X466" i="15"/>
  <c r="AH407" i="15"/>
  <c r="AI407" i="15" s="1"/>
  <c r="AF483" i="15"/>
  <c r="AN407" i="15"/>
  <c r="AD466" i="15"/>
  <c r="P72" i="15"/>
  <c r="AO419" i="15"/>
  <c r="AL468" i="15"/>
  <c r="S314" i="15"/>
  <c r="AH433" i="15"/>
  <c r="AI433" i="15" s="1"/>
  <c r="L401" i="15"/>
  <c r="N353" i="15"/>
  <c r="P27" i="15"/>
  <c r="P74" i="15"/>
  <c r="X481" i="15"/>
  <c r="N85" i="15"/>
  <c r="N28" i="15"/>
  <c r="AN452" i="15"/>
  <c r="AO452" i="15" s="1"/>
  <c r="M314" i="15"/>
  <c r="AN433" i="15"/>
  <c r="AO436" i="15"/>
  <c r="P41" i="15"/>
  <c r="AG414" i="15"/>
  <c r="X452" i="15"/>
  <c r="R314" i="15"/>
  <c r="P314" i="15"/>
  <c r="AL406" i="15"/>
  <c r="Z468" i="15"/>
  <c r="X468" i="15" s="1"/>
  <c r="X419" i="15"/>
  <c r="F401" i="15"/>
  <c r="AO481" i="15"/>
  <c r="N74" i="15"/>
  <c r="AD433" i="15"/>
  <c r="Z483" i="15" l="1"/>
  <c r="AH468" i="15"/>
  <c r="AI468" i="15" s="1"/>
  <c r="AN483" i="15"/>
  <c r="AF489" i="15"/>
  <c r="AH483" i="15"/>
  <c r="AI483" i="15" s="1"/>
  <c r="AE483" i="15"/>
  <c r="AO468" i="15"/>
  <c r="AJ419" i="15"/>
  <c r="AJ452" i="15"/>
  <c r="AJ468" i="15"/>
  <c r="AJ466" i="15"/>
  <c r="AJ433" i="15"/>
  <c r="AL483" i="15"/>
  <c r="AO407" i="15"/>
  <c r="AJ407" i="15"/>
  <c r="AN468" i="15"/>
  <c r="AK483" i="15"/>
  <c r="AF498" i="15" l="1"/>
  <c r="AF488" i="15"/>
  <c r="AE489" i="15"/>
  <c r="AL489" i="15"/>
  <c r="AN489" i="15" s="1"/>
  <c r="AO483" i="15"/>
  <c r="Z489" i="15"/>
  <c r="Y483" i="15"/>
  <c r="Z498" i="15" l="1"/>
  <c r="Y498" i="15" s="1"/>
  <c r="Z488" i="15"/>
  <c r="Y488" i="15" s="1"/>
  <c r="Y489" i="15"/>
  <c r="AE488" i="15"/>
  <c r="AH488" i="15"/>
  <c r="AI488" i="15" s="1"/>
  <c r="AO489" i="15"/>
  <c r="AL488" i="15"/>
  <c r="AL498" i="15"/>
  <c r="AK489" i="15"/>
  <c r="AH489" i="15"/>
  <c r="AI489" i="15" s="1"/>
  <c r="AH508" i="15"/>
  <c r="AE498" i="15"/>
  <c r="AF504" i="15"/>
  <c r="AF502" i="15"/>
  <c r="AH498" i="15"/>
  <c r="AI498" i="15" s="1"/>
  <c r="AF508" i="15"/>
  <c r="AK498" i="15" l="1"/>
  <c r="AK488" i="15"/>
  <c r="AN498" i="15"/>
  <c r="AO498" i="15" s="1"/>
  <c r="AN488" i="15"/>
  <c r="AO488" i="15" s="1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L104" i="1"/>
  <c r="I104" i="1"/>
  <c r="G104" i="1"/>
  <c r="H104" i="1" s="1"/>
  <c r="F104" i="1"/>
  <c r="Q103" i="1"/>
  <c r="L103" i="1"/>
  <c r="I103" i="1"/>
  <c r="G103" i="1"/>
  <c r="H103" i="1" s="1"/>
  <c r="F103" i="1"/>
  <c r="Q102" i="1"/>
  <c r="L102" i="1"/>
  <c r="I102" i="1"/>
  <c r="G102" i="1"/>
  <c r="H102" i="1" s="1"/>
  <c r="F102" i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97" i="1" l="1"/>
  <c r="R97" i="1"/>
  <c r="J112" i="1"/>
  <c r="S97" i="1"/>
  <c r="S98" i="1" s="1"/>
  <c r="N97" i="1"/>
  <c r="N98" i="1" s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P314" i="1" s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L27" i="1"/>
  <c r="V108" i="1" s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33" i="1" l="1"/>
  <c r="AI433" i="1" s="1"/>
  <c r="N194" i="1"/>
  <c r="N195" i="1" s="1"/>
  <c r="AH419" i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F353" i="1" l="1"/>
  <c r="V314" i="1"/>
  <c r="E349" i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Z483" i="1" l="1"/>
  <c r="Z486" i="1"/>
  <c r="X433" i="1"/>
  <c r="C9" i="2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AF486" i="1" s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Q470" authorId="0" shapeId="0" xr:uid="{18BBA3D7-2D61-41D7-84B5-D275F0A051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14 à 69800$</t>
        </r>
      </text>
    </comment>
    <comment ref="AR470" authorId="0" shapeId="0" xr:uid="{E4CA218E-2541-461B-BA48-FDC7DFE53A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18 à 75000$</t>
        </r>
      </text>
    </comment>
  </commentList>
</comments>
</file>

<file path=xl/sharedStrings.xml><?xml version="1.0" encoding="utf-8"?>
<sst xmlns="http://schemas.openxmlformats.org/spreadsheetml/2006/main" count="2898" uniqueCount="284">
  <si>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</si>
  <si>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</si>
  <si>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</si>
  <si>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</si>
  <si>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</si>
  <si>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</si>
  <si>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</si>
  <si>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</si>
  <si>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</si>
  <si>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</si>
  <si>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</si>
  <si>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</si>
  <si>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</si>
  <si>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</si>
  <si>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</si>
  <si>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</si>
  <si>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</si>
  <si>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</si>
  <si>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</si>
  <si>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</si>
  <si>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</si>
  <si>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</si>
  <si>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</si>
  <si>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</si>
  <si>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</si>
  <si>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</si>
  <si>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</si>
  <si>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</si>
  <si>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</si>
  <si>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</si>
  <si>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</si>
  <si>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</si>
  <si>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</si>
  <si>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</si>
  <si>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</si>
  <si>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</si>
  <si>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</si>
  <si>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</si>
  <si>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</si>
  <si>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</si>
  <si>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</si>
  <si>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</si>
  <si>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</si>
  <si>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</si>
  <si>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</si>
  <si>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</si>
  <si>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</si>
  <si>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</si>
  <si>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</si>
  <si>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</si>
  <si>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</si>
  <si>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</si>
  <si>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</si>
  <si>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</si>
  <si>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</si>
  <si>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</si>
  <si>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</si>
  <si>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</si>
  <si>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</si>
  <si>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</si>
  <si>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</si>
  <si>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</si>
  <si>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</si>
  <si>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</si>
  <si>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</si>
  <si>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</si>
  <si>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</si>
  <si>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</si>
  <si>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</si>
  <si>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</si>
  <si>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</si>
  <si>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</si>
  <si>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</si>
  <si>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</si>
  <si>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</si>
  <si>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</si>
  <si>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</si>
  <si>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</si>
  <si>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</si>
  <si>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</si>
  <si>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</si>
  <si>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</si>
  <si>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</si>
  <si>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</si>
  <si>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</si>
  <si>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</si>
  <si>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</si>
  <si>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</si>
  <si>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</si>
  <si>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</si>
  <si>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</si>
  <si>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</si>
  <si>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</si>
  <si>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</si>
  <si>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</si>
  <si>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</si>
  <si>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</si>
  <si>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</si>
  <si>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</si>
  <si>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</si>
  <si>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</si>
  <si>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</si>
  <si>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</si>
  <si>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</si>
  <si>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</si>
  <si>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</si>
  <si>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</si>
  <si>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</si>
  <si>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</si>
  <si>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</si>
  <si>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</si>
  <si>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</si>
  <si>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</si>
  <si>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</si>
  <si>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</si>
  <si>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</si>
  <si>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</si>
  <si>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</si>
  <si>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</si>
  <si>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</si>
  <si>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</si>
  <si>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</si>
  <si>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</si>
  <si>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</si>
  <si>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</si>
  <si>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</si>
  <si>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</si>
  <si>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</si>
  <si>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</si>
  <si>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</si>
  <si>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</si>
  <si>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</si>
  <si>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</si>
  <si>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</si>
  <si>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</si>
  <si>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</si>
  <si>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</si>
  <si>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</si>
  <si>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</si>
  <si>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</si>
  <si>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</si>
  <si>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</si>
  <si>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</si>
  <si>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</si>
  <si>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</si>
  <si>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</si>
  <si>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</si>
  <si>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</si>
  <si>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</si>
  <si>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</si>
  <si>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</si>
  <si>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</si>
  <si>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</si>
  <si>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</si>
  <si>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</si>
  <si>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</si>
  <si>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</si>
  <si>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</si>
  <si>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</si>
  <si>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</si>
  <si>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</si>
  <si>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</si>
  <si>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</si>
  <si>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</si>
  <si>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</si>
  <si>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</si>
  <si>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</si>
  <si>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</si>
  <si>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</si>
  <si>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</si>
  <si>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</si>
  <si>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</si>
  <si>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</si>
  <si>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</si>
  <si>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</si>
  <si>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</si>
  <si>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</si>
  <si>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</si>
  <si>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</si>
  <si>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</si>
  <si>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</si>
  <si>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</si>
  <si>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</si>
  <si>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</si>
  <si>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</si>
  <si>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</si>
  <si>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</si>
  <si>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</si>
  <si>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</si>
  <si>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</si>
  <si>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</si>
  <si>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</si>
  <si>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</si>
  <si>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</si>
  <si>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</si>
  <si>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</si>
  <si>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</si>
  <si>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</si>
  <si>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</si>
  <si>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</si>
  <si>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</si>
  <si>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</si>
  <si>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</si>
  <si>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</si>
  <si>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</si>
  <si>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</si>
  <si>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</si>
  <si>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</si>
  <si>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</si>
  <si>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</si>
  <si>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</si>
  <si>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</si>
  <si>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</si>
  <si>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</si>
  <si>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</si>
  <si>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</si>
  <si>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</si>
  <si>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</si>
  <si>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</si>
  <si>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</si>
  <si>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</si>
  <si>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</si>
  <si>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</si>
  <si>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</si>
  <si>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</si>
  <si>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</si>
  <si>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</si>
  <si>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</si>
  <si>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</si>
  <si>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</si>
  <si>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</si>
  <si>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</si>
  <si>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</si>
  <si>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</si>
  <si>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</si>
  <si>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</si>
  <si>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</si>
  <si>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</si>
  <si>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</si>
  <si>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</si>
  <si>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</si>
  <si>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</si>
  <si>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</si>
  <si>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</si>
  <si>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-3.4K Quik Wash</t>
  </si>
  <si>
    <t>Produits lavages</t>
  </si>
  <si>
    <t>Autres revenus</t>
  </si>
  <si>
    <t>Dépenses</t>
  </si>
  <si>
    <t>Revenus d'intérêts floor plan</t>
  </si>
  <si>
    <t>30% Nadia + 2.3% vendeurs</t>
  </si>
  <si>
    <t>Prov Essence dec - profits sur échange entre concessionnaire</t>
  </si>
  <si>
    <t>Préparation show room - Quick out à la demande</t>
  </si>
  <si>
    <t>Axifuge, SM360, Radio (-COOP)</t>
  </si>
  <si>
    <t>BMO 1-2 dec + TD 3-31 dec</t>
  </si>
  <si>
    <t>Pas sal GPA et secrétaire ventes</t>
  </si>
  <si>
    <t>Pas sal GPA</t>
  </si>
  <si>
    <t>Flat + salaire de base</t>
  </si>
  <si>
    <t>30% Nadia + 2.7% vendeurs</t>
  </si>
  <si>
    <t>Prov essence</t>
  </si>
  <si>
    <t>Rep bosse</t>
  </si>
  <si>
    <t>Carfax</t>
  </si>
  <si>
    <t>Otogo - crédit pub vente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</si>
  <si>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</si>
  <si>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</si>
  <si>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</si>
  <si>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</si>
  <si>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</si>
  <si>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Manque bonis cadres</t>
  </si>
  <si>
    <t>Pas de charge GPA et pas de secrétaire aux ventes</t>
  </si>
  <si>
    <t>Reste réserve de 17686$ sur le montant transféré de GPA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</si>
  <si>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</si>
  <si>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</si>
  <si>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</si>
  <si>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</si>
  <si>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</si>
  <si>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</si>
  <si>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Absorbé par bâtisse en dec</t>
  </si>
  <si>
    <t>Permis de la ville</t>
  </si>
  <si>
    <t>Prov au prorata selon debut dec</t>
  </si>
  <si>
    <t>Réalisé, Novembre 2025 AAD</t>
  </si>
  <si>
    <t>Réalisé, Décembre 2025</t>
  </si>
  <si>
    <t>GPA</t>
  </si>
  <si>
    <t>DAS</t>
  </si>
  <si>
    <t>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</si>
</sst>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3"/>
      <color theme="1"/>
      <name val="Arial mt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6E3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4" fillId="0" borderId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43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2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69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5" fontId="21" fillId="2" borderId="35" xfId="0" applyNumberFormat="1" applyFont="1" applyFill="1" applyBorder="1"/>
    <xf numFmtId="37" fontId="21" fillId="2" borderId="74" xfId="0" applyNumberFormat="1" applyFont="1" applyFill="1" applyBorder="1"/>
    <xf numFmtId="165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0" xfId="0" applyNumberFormat="1" applyFont="1" applyBorder="1"/>
    <xf numFmtId="166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20" fillId="0" borderId="0" xfId="0" applyNumberFormat="1" applyFont="1"/>
    <xf numFmtId="0" fontId="14" fillId="2" borderId="35" xfId="0" applyFont="1" applyFill="1" applyBorder="1"/>
    <xf numFmtId="165" fontId="21" fillId="2" borderId="39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5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5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5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5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5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5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5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5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5" fontId="21" fillId="2" borderId="105" xfId="0" applyNumberFormat="1" applyFont="1" applyFill="1" applyBorder="1"/>
    <xf numFmtId="37" fontId="21" fillId="2" borderId="106" xfId="0" applyNumberFormat="1" applyFont="1" applyFill="1" applyBorder="1"/>
    <xf numFmtId="165" fontId="21" fillId="2" borderId="107" xfId="0" applyNumberFormat="1" applyFont="1" applyFill="1" applyBorder="1"/>
    <xf numFmtId="10" fontId="9" fillId="0" borderId="0" xfId="0" applyNumberFormat="1" applyFont="1"/>
    <xf numFmtId="170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1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1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5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9" borderId="0" xfId="0" applyNumberFormat="1" applyFont="1" applyFill="1"/>
    <xf numFmtId="37" fontId="20" fillId="11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0" fontId="20" fillId="5" borderId="0" xfId="0" applyFont="1" applyFill="1"/>
    <xf numFmtId="165" fontId="21" fillId="2" borderId="103" xfId="0" applyNumberFormat="1" applyFont="1" applyFill="1" applyBorder="1"/>
    <xf numFmtId="37" fontId="12" fillId="0" borderId="113" xfId="0" applyNumberFormat="1" applyFont="1" applyBorder="1"/>
    <xf numFmtId="0" fontId="43" fillId="0" borderId="0" xfId="0" applyFont="1"/>
    <xf numFmtId="172" fontId="43" fillId="0" borderId="0" xfId="0" quotePrefix="1" applyNumberFormat="1" applyFont="1"/>
    <xf numFmtId="10" fontId="20" fillId="12" borderId="0" xfId="0" quotePrefix="1" applyNumberFormat="1" applyFont="1" applyFill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45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>
        <v>2025</v>
      </c>
      <c r="P3" s="441"/>
      <c r="Q3" s="442"/>
    </row>
    <row r="5" spans="1:17" s="419" customFormat="1" ht="16.5" customHeight="1"/>
    <row r="6" spans="1:17" s="419" customFormat="1" ht="16.5" customHeight="1">
      <c r="B6" s="505" t="s">
        <v>198</v>
      </c>
      <c r="C6" s="505"/>
      <c r="D6" s="505"/>
      <c r="E6" s="505"/>
      <c r="F6" s="506" t="s">
        <v>199</v>
      </c>
      <c r="G6" s="506"/>
      <c r="H6" s="506"/>
      <c r="I6" s="506"/>
      <c r="J6" s="507" t="s">
        <v>200</v>
      </c>
      <c r="K6" s="507"/>
      <c r="L6" s="507"/>
      <c r="M6" s="507"/>
      <c r="N6" s="508" t="s">
        <v>201</v>
      </c>
      <c r="O6" s="508"/>
      <c r="P6" s="508"/>
      <c r="Q6" s="508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0</v>
      </c>
    </row>
    <row r="9" spans="1:17" s="419" customFormat="1" ht="16.5" customHeight="1">
      <c r="A9" s="420" t="s">
        <v>195</v>
      </c>
      <c r="B9" s="422">
        <f>+Conso!$Z$406</f>
        <v>47591727.882352933</v>
      </c>
      <c r="C9" s="422">
        <f>+Conso!$Z$407</f>
        <v>4548200.7754636509</v>
      </c>
      <c r="D9" s="422">
        <f>+Conso!$Z$483</f>
        <v>761311.52854630933</v>
      </c>
      <c r="E9" s="422">
        <f>+Conso!$Z$498</f>
        <v>560791.52854630933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43431073.490000002</v>
      </c>
      <c r="K9" s="422">
        <f>+Conso!$AF$407</f>
        <v>4832642.3299999963</v>
      </c>
      <c r="L9" s="422">
        <f>+Conso!$AF$483</f>
        <v>1006987.1799999964</v>
      </c>
      <c r="M9" s="422">
        <f>+Conso!$AF$498</f>
        <v>831354.52999999642</v>
      </c>
      <c r="N9" s="422">
        <f>+Conso!$AL$406</f>
        <v>46633420.659999922</v>
      </c>
      <c r="O9" s="422">
        <f>+Conso!$AL$407</f>
        <v>4529849.0699999947</v>
      </c>
      <c r="P9" s="422">
        <f>+Conso!$AL$483</f>
        <v>873770.71999999555</v>
      </c>
      <c r="Q9" s="422">
        <f>+Conso!$AL$498</f>
        <v>708912.46999999555</v>
      </c>
    </row>
    <row r="10" spans="1:17" s="419" customFormat="1" ht="16.5" customHeight="1">
      <c r="A10" s="421" t="s">
        <v>196</v>
      </c>
      <c r="B10" s="433">
        <f>+SUM(B11:B13)</f>
        <v>47591727.882352933</v>
      </c>
      <c r="C10" s="433">
        <f t="shared" ref="C10:Q10" si="1">+SUM(C11:C13)</f>
        <v>4548200.7754636509</v>
      </c>
      <c r="D10" s="433">
        <f t="shared" si="1"/>
        <v>761311.52854630956</v>
      </c>
      <c r="E10" s="433">
        <f t="shared" si="1"/>
        <v>560791.52854630956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43431073.489999995</v>
      </c>
      <c r="K10" s="433">
        <f t="shared" si="1"/>
        <v>4832642.3299999963</v>
      </c>
      <c r="L10" s="433">
        <f t="shared" si="1"/>
        <v>1006987.1799999963</v>
      </c>
      <c r="M10" s="433">
        <f t="shared" si="1"/>
        <v>831354.5299999963</v>
      </c>
      <c r="N10" s="433">
        <f t="shared" si="1"/>
        <v>46633420.659999914</v>
      </c>
      <c r="O10" s="433">
        <f t="shared" si="1"/>
        <v>4529849.0699999947</v>
      </c>
      <c r="P10" s="433">
        <f t="shared" si="1"/>
        <v>873770.71999999485</v>
      </c>
      <c r="Q10" s="433">
        <f t="shared" si="1"/>
        <v>708912.46999999485</v>
      </c>
    </row>
    <row r="11" spans="1:17" s="419" customFormat="1" ht="16.5" customHeight="1">
      <c r="A11" s="430" t="s">
        <v>203</v>
      </c>
      <c r="B11" s="423">
        <f>+'Mois 1'!$Z$406</f>
        <v>44706116.534397975</v>
      </c>
      <c r="C11" s="423">
        <f>+'Mois 1'!$Z$407</f>
        <v>4268448.1872902792</v>
      </c>
      <c r="D11" s="423">
        <f>+'Mois 1'!$Z$483</f>
        <v>807298.87834001845</v>
      </c>
      <c r="E11" s="423">
        <f>+'Mois 1'!$Z$498</f>
        <v>623446.41932362504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41461203.159999996</v>
      </c>
      <c r="K11" s="435">
        <f>+'Mois 1'!$AF$407</f>
        <v>4626749.0499999961</v>
      </c>
      <c r="L11" s="435">
        <f>+'Mois 1'!$AF$483</f>
        <v>1048912.4999999963</v>
      </c>
      <c r="M11" s="435">
        <f>+'Mois 1'!$AF$498</f>
        <v>873999.62999999628</v>
      </c>
      <c r="N11" s="423">
        <f>+'Mois 1'!$AL$406</f>
        <v>42374863.489999928</v>
      </c>
      <c r="O11" s="423">
        <f>+'Mois 1'!$AL$407</f>
        <v>4147755.6999999946</v>
      </c>
      <c r="P11" s="423">
        <f>+'Mois 1'!$AL$483</f>
        <v>861730.72999999509</v>
      </c>
      <c r="Q11" s="423">
        <f>+'Mois 1'!$AL$498</f>
        <v>695579.13999999512</v>
      </c>
    </row>
    <row r="12" spans="1:17" s="419" customFormat="1" ht="16.5" customHeight="1">
      <c r="A12" s="431" t="s">
        <v>204</v>
      </c>
      <c r="B12" s="424">
        <f>+'Mois 2'!$Z$406</f>
        <v>2885611.3479549596</v>
      </c>
      <c r="C12" s="424">
        <f>+'Mois 2'!$Z$407</f>
        <v>279752.58817337186</v>
      </c>
      <c r="D12" s="424">
        <f>+'Mois 2'!$Z$483</f>
        <v>-45987.349793708941</v>
      </c>
      <c r="E12" s="424">
        <f>+'Mois 2'!$Z$498</f>
        <v>-62654.890777315501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1969870.3300000003</v>
      </c>
      <c r="K12" s="436">
        <f>+'Mois 2'!$AF$407</f>
        <v>205893.28000000006</v>
      </c>
      <c r="L12" s="436">
        <f>+'Mois 2'!$AF$483</f>
        <v>-41925.319999999949</v>
      </c>
      <c r="M12" s="436">
        <f>+'Mois 2'!$AF$498</f>
        <v>-42645.099999999948</v>
      </c>
      <c r="N12" s="424">
        <f>+'Mois 2'!$AL$406</f>
        <v>4258557.1699999897</v>
      </c>
      <c r="O12" s="424">
        <f>+'Mois 2'!$AL$407</f>
        <v>382093.3699999997</v>
      </c>
      <c r="P12" s="424">
        <f>+'Mois 2'!$AL$483</f>
        <v>12039.989999999714</v>
      </c>
      <c r="Q12" s="424">
        <f>+'Mois 2'!$AL$498</f>
        <v>13333.329999999714</v>
      </c>
    </row>
    <row r="13" spans="1:17">
      <c r="A13" s="432" t="s">
        <v>205</v>
      </c>
      <c r="B13" s="425">
        <f>+'Mois 3'!$Z$406</f>
        <v>0</v>
      </c>
      <c r="C13" s="425">
        <f>+'Mois 3'!$Z$407</f>
        <v>0</v>
      </c>
      <c r="D13" s="425">
        <f>+'Mois 3'!$Z$483</f>
        <v>0</v>
      </c>
      <c r="E13" s="425">
        <f>+'Mois 3'!$Z$498</f>
        <v>0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0</v>
      </c>
      <c r="K13" s="437">
        <f>+'Mois 3'!$AF$407</f>
        <v>0</v>
      </c>
      <c r="L13" s="437">
        <f>+'Mois 3'!$AF$483</f>
        <v>0</v>
      </c>
      <c r="M13" s="437">
        <f>+'Mois 3'!$AF$498</f>
        <v>0</v>
      </c>
      <c r="N13" s="425">
        <f>+'Mois 3'!$AL$406</f>
        <v>0</v>
      </c>
      <c r="O13" s="425">
        <f>+'Mois 3'!$AL$407</f>
        <v>0</v>
      </c>
      <c r="P13" s="425">
        <f>+'Mois 3'!$AL$483</f>
        <v>0</v>
      </c>
      <c r="Q13" s="425">
        <f>+'Mois 3'!$AL$498</f>
        <v>0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C321" zoomScale="60" zoomScaleNormal="70" workbookViewId="0">
      <selection activeCell="V206" sqref="V20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2025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511" t="s">
        <v>5</v>
      </c>
      <c r="E3" s="512"/>
      <c r="F3" s="513"/>
      <c r="G3" s="514" t="s">
        <v>6</v>
      </c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09" t="s">
        <v>214</v>
      </c>
      <c r="S3" s="510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25300741.999999996</v>
      </c>
      <c r="G5" s="23"/>
      <c r="H5" s="21"/>
      <c r="I5" s="24">
        <f>+SUM(START:END!I5)</f>
        <v>0</v>
      </c>
      <c r="J5" s="23"/>
      <c r="K5" s="25"/>
      <c r="L5" s="22">
        <f>+SUM(START:END!L5)</f>
        <v>23267081.260000002</v>
      </c>
      <c r="M5" s="26"/>
      <c r="N5" s="27"/>
      <c r="O5" s="23"/>
      <c r="P5" s="25"/>
      <c r="Q5" s="22">
        <f>+SUM(START:END!Q5)</f>
        <v>25487207.219999958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86</v>
      </c>
      <c r="E6" s="30">
        <f>IF(D6=0,0,F6/D6)</f>
        <v>4306.395348837209</v>
      </c>
      <c r="F6" s="30">
        <f>+SUM(START:END!F6)</f>
        <v>370349.99999999994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71</v>
      </c>
      <c r="K6" s="30">
        <f>IF(J6=0,0,L6/J6)</f>
        <v>5017.5660563380152</v>
      </c>
      <c r="L6" s="32">
        <f>+SUM(START:END!L6)</f>
        <v>356247.18999999907</v>
      </c>
      <c r="M6" s="31">
        <f t="shared" ref="M6:M12" si="2">J6-D6</f>
        <v>-15</v>
      </c>
      <c r="N6" s="33">
        <f t="shared" ref="N6:N12" si="3">L6-F6</f>
        <v>-14102.810000000871</v>
      </c>
      <c r="O6" s="31">
        <f>+SUM(START:END!O6)</f>
        <v>87</v>
      </c>
      <c r="P6" s="30">
        <f>IF(O6=0,0,Q6/O6)</f>
        <v>5158.778045977012</v>
      </c>
      <c r="Q6" s="32">
        <f>+SUM(START:END!Q6)</f>
        <v>448813.69</v>
      </c>
      <c r="R6" s="31">
        <f>J6-O6</f>
        <v>-16</v>
      </c>
      <c r="S6" s="34">
        <f>L6-Q6</f>
        <v>-92566.500000000931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151</v>
      </c>
      <c r="E7" s="30">
        <f t="shared" ref="E7:E12" si="4">IF(D7=0,0,F7/D7)</f>
        <v>4000.3311258278145</v>
      </c>
      <c r="F7" s="30">
        <f>+SUM(START:END!F7)</f>
        <v>604050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132</v>
      </c>
      <c r="K7" s="30">
        <f t="shared" ref="K7:K12" si="6">IF(J7=0,0,L7/J7)</f>
        <v>3751.2773484848344</v>
      </c>
      <c r="L7" s="32">
        <f>+SUM(START:END!L7)</f>
        <v>495168.60999999812</v>
      </c>
      <c r="M7" s="31">
        <f t="shared" si="2"/>
        <v>-19</v>
      </c>
      <c r="N7" s="33">
        <f t="shared" si="3"/>
        <v>-108881.39000000188</v>
      </c>
      <c r="O7" s="31">
        <f>+SUM(START:END!O7)</f>
        <v>142</v>
      </c>
      <c r="P7" s="30">
        <f t="shared" ref="P7:P12" si="7">IF(O7=0,0,Q7/O7)</f>
        <v>4574.8696478873198</v>
      </c>
      <c r="Q7" s="32">
        <f>+SUM(START:END!Q7)</f>
        <v>649631.48999999941</v>
      </c>
      <c r="R7" s="31">
        <f t="shared" ref="R7:R12" si="8">J7-O7</f>
        <v>-10</v>
      </c>
      <c r="S7" s="34">
        <f t="shared" ref="S7:S12" si="9">L7-Q7</f>
        <v>-154462.88000000129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237</v>
      </c>
      <c r="E13" s="36">
        <f>IF(D13&lt;=0,0,F13/D13)</f>
        <v>4111.3924050632913</v>
      </c>
      <c r="F13" s="37">
        <f>+SUM(F6:F12)</f>
        <v>974400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203</v>
      </c>
      <c r="K13" s="36">
        <f>IF(J13&lt;=0,0,L13/J13)</f>
        <v>4194.1665024630411</v>
      </c>
      <c r="L13" s="37">
        <f>+SUM(L6:L12)</f>
        <v>851415.79999999725</v>
      </c>
      <c r="M13" s="38">
        <f>+SUM(M6:M12)</f>
        <v>-34</v>
      </c>
      <c r="N13" s="37">
        <f>+SUM(N6:N12)</f>
        <v>-122984.20000000275</v>
      </c>
      <c r="O13" s="38">
        <f>+SUM(O6:O12)</f>
        <v>229</v>
      </c>
      <c r="P13" s="36">
        <f>IF(O13&lt;=0,0,Q13/O13)</f>
        <v>4796.7038427947573</v>
      </c>
      <c r="Q13" s="37">
        <f>+SUM(Q6:Q12)</f>
        <v>1098445.1799999995</v>
      </c>
      <c r="R13" s="38">
        <f>+SUM(R6:R12)</f>
        <v>-26</v>
      </c>
      <c r="S13" s="39">
        <f>+SUM(S6:S12)</f>
        <v>-247029.38000000222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-0.14345991561181434</v>
      </c>
      <c r="N14" s="43">
        <f>IF(F13=0,0,N13/F13)</f>
        <v>-0.12621531198686653</v>
      </c>
      <c r="O14" s="41"/>
      <c r="P14" s="30"/>
      <c r="Q14" s="40"/>
      <c r="R14" s="42">
        <f>R13/O13</f>
        <v>-0.11353711790393013</v>
      </c>
      <c r="S14" s="44">
        <f>IF(Q13=0,0,(S13/Q13))</f>
        <v>-0.2248900395739388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35</v>
      </c>
      <c r="E15" s="25">
        <f>IF(D15=0,0,F15/D15)</f>
        <v>750</v>
      </c>
      <c r="F15" s="22">
        <f>+SUM(START:END!F15)</f>
        <v>26250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44</v>
      </c>
      <c r="K15" s="50">
        <f>IF(J15=0,0,L15/J15)</f>
        <v>2807.0756818181731</v>
      </c>
      <c r="L15" s="50">
        <f>+SUM(START:END!L15)</f>
        <v>123511.32999999961</v>
      </c>
      <c r="M15" s="51">
        <f>J15-D15</f>
        <v>9</v>
      </c>
      <c r="N15" s="48">
        <f>L15-F15</f>
        <v>97261.329999999609</v>
      </c>
      <c r="O15" s="49">
        <f>+SUM(START:END!O15)</f>
        <v>36</v>
      </c>
      <c r="P15" s="50">
        <f>IF(O15=0,0,Q15/O15)</f>
        <v>1369.8802777777792</v>
      </c>
      <c r="Q15" s="50">
        <f>+SUM(START:END!Q15)</f>
        <v>49315.690000000053</v>
      </c>
      <c r="R15" s="51">
        <f>J15-O15</f>
        <v>8</v>
      </c>
      <c r="S15" s="52">
        <f>L15-Q15</f>
        <v>74195.639999999548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3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5</v>
      </c>
      <c r="K17" s="30">
        <f>IF(J17=0,0,L17/J17)</f>
        <v>2076.3340000000026</v>
      </c>
      <c r="L17" s="33">
        <f>+SUM(START:END!L17)</f>
        <v>10381.670000000013</v>
      </c>
      <c r="M17" s="51">
        <f>J17-D17</f>
        <v>2</v>
      </c>
      <c r="N17" s="33">
        <f>L17-F17</f>
        <v>10381.670000000013</v>
      </c>
      <c r="O17" s="51">
        <f>+SUM(START:END!O17)</f>
        <v>5</v>
      </c>
      <c r="P17" s="30">
        <f>IF(O17=0,0,Q17/O17)</f>
        <v>2686.7860000000019</v>
      </c>
      <c r="Q17" s="33">
        <f>+SUM(START:END!Q17)</f>
        <v>13433.930000000009</v>
      </c>
      <c r="R17" s="31">
        <f>J17-O17</f>
        <v>0</v>
      </c>
      <c r="S17" s="34">
        <f>L17-Q17</f>
        <v>-3052.2599999999966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29970.000000000004</v>
      </c>
      <c r="G19" s="31"/>
      <c r="H19" s="30"/>
      <c r="I19" s="30">
        <f>+SUM(START:END!I19)</f>
        <v>0</v>
      </c>
      <c r="J19" s="46"/>
      <c r="K19" s="30"/>
      <c r="L19" s="33">
        <f>+SUM(START:END!L19)</f>
        <v>28009.619999999995</v>
      </c>
      <c r="M19" s="31"/>
      <c r="N19" s="33">
        <f>L19-F19</f>
        <v>-1960.3800000000083</v>
      </c>
      <c r="O19" s="46"/>
      <c r="P19" s="30"/>
      <c r="Q19" s="33">
        <f>+SUM(START:END!Q19)</f>
        <v>45746.459999999934</v>
      </c>
      <c r="R19" s="31">
        <f>O19-K19</f>
        <v>0</v>
      </c>
      <c r="S19" s="34">
        <f>L19-Q19</f>
        <v>-17736.839999999938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6800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6.849838056680162</v>
      </c>
      <c r="L21" s="33">
        <f>+SUM(START:END!L21)</f>
        <v>1691.91</v>
      </c>
      <c r="M21" s="31"/>
      <c r="N21" s="33">
        <f>L21-F21</f>
        <v>-5108.09</v>
      </c>
      <c r="O21" s="31"/>
      <c r="P21" s="30">
        <f>IF(O13=0,0,Q21/(O13+O15))</f>
        <v>11.362226415094339</v>
      </c>
      <c r="Q21" s="33">
        <f>+SUM(START:END!Q21)</f>
        <v>3010.99</v>
      </c>
      <c r="R21" s="31">
        <f>O21-K21</f>
        <v>-6.849838056680162</v>
      </c>
      <c r="S21" s="34">
        <f>L21-Q21</f>
        <v>-1319.0799999999997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312800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1210.9034008097167</v>
      </c>
      <c r="L22" s="33">
        <f>+SUM(START:END!L22)</f>
        <v>299093.14</v>
      </c>
      <c r="M22" s="31"/>
      <c r="N22" s="33">
        <f>L22-F22</f>
        <v>-13706.859999999986</v>
      </c>
      <c r="O22" s="31"/>
      <c r="P22" s="30">
        <f>IF(O13=0,0,Q22/(O13+O15))</f>
        <v>1161.4258490566026</v>
      </c>
      <c r="Q22" s="33">
        <f>+SUM(START:END!Q22)</f>
        <v>307777.84999999969</v>
      </c>
      <c r="R22" s="31">
        <f>O22-K22</f>
        <v>-1210.9034008097167</v>
      </c>
      <c r="S22" s="34">
        <f>L22-Q22</f>
        <v>-8684.7099999996717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130560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673.36825910931191</v>
      </c>
      <c r="L23" s="33">
        <f>+SUM(START:END!L23)</f>
        <v>166321.96000000005</v>
      </c>
      <c r="M23" s="51"/>
      <c r="N23" s="33">
        <f>L23-F23</f>
        <v>35761.96000000005</v>
      </c>
      <c r="O23" s="31"/>
      <c r="P23" s="30">
        <f>IF(O13=0,0,Q23/(O13+O15))</f>
        <v>470.32716981132035</v>
      </c>
      <c r="Q23" s="33">
        <f>+SUM(START:END!Q23)</f>
        <v>124636.6999999999</v>
      </c>
      <c r="R23" s="31">
        <f>O23-K23</f>
        <v>-673.36825910931191</v>
      </c>
      <c r="S23" s="34">
        <f>L23-Q23</f>
        <v>41685.260000000155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272</v>
      </c>
      <c r="E24" s="36">
        <f>IF(D24&lt;=0,0,F24/D24)</f>
        <v>1655</v>
      </c>
      <c r="F24" s="37">
        <f>F21+F22+F23</f>
        <v>450160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247</v>
      </c>
      <c r="K24" s="36">
        <f>IF(J24&lt;=0,0,L24/J24)</f>
        <v>1891.1214979757085</v>
      </c>
      <c r="L24" s="37">
        <f>L21+L22+L23</f>
        <v>467107.01</v>
      </c>
      <c r="M24" s="58">
        <f>J24-D24</f>
        <v>-25</v>
      </c>
      <c r="N24" s="37">
        <f>L24-F24</f>
        <v>16947.010000000009</v>
      </c>
      <c r="O24" s="38">
        <f>+O15+O13</f>
        <v>265</v>
      </c>
      <c r="P24" s="36">
        <f>IF(O24&lt;=0,0,Q24/O24)</f>
        <v>1643.1152452830172</v>
      </c>
      <c r="Q24" s="37">
        <f>Q21+Q22+Q23</f>
        <v>435425.53999999957</v>
      </c>
      <c r="R24" s="56"/>
      <c r="S24" s="39">
        <f>L24-Q24</f>
        <v>31681.470000000438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3.7646636751377312E-2</v>
      </c>
      <c r="O25" s="41"/>
      <c r="P25" s="13"/>
      <c r="Q25" s="59"/>
      <c r="R25" s="60"/>
      <c r="S25" s="44">
        <f>IF(Q24=0,0,(S24/Q24))</f>
        <v>7.275978804550709E-2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275</v>
      </c>
      <c r="E27" s="64">
        <f>IF(D27&lt;=0,0,F27/D27)</f>
        <v>5384.6545454545458</v>
      </c>
      <c r="F27" s="65">
        <f>F13+F17+F24+F19+F15</f>
        <v>1480780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252</v>
      </c>
      <c r="K27" s="67">
        <f>IF(J27&lt;=0,0,L27/J27)</f>
        <v>5874.7040873015749</v>
      </c>
      <c r="L27" s="65">
        <f>L13+L17+L24+L19+L15</f>
        <v>1480425.4299999969</v>
      </c>
      <c r="M27" s="66">
        <f>J27-D27</f>
        <v>-23</v>
      </c>
      <c r="N27" s="65">
        <f>L27-F27</f>
        <v>-354.57000000309199</v>
      </c>
      <c r="O27" s="66">
        <f>+O13+O15+O17</f>
        <v>270</v>
      </c>
      <c r="P27" s="67">
        <f>IF(O27&lt;=0,0,Q27/O27)</f>
        <v>6082.8399999999956</v>
      </c>
      <c r="Q27" s="65">
        <f>Q13+Q17+Q24+Q19+Q15</f>
        <v>1642366.7999999989</v>
      </c>
      <c r="R27" s="66">
        <f>J27-O27</f>
        <v>-18</v>
      </c>
      <c r="S27" s="68">
        <f>L27-Q27</f>
        <v>-161941.37000000197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-8.3636363636363634E-2</v>
      </c>
      <c r="N28" s="74">
        <f>N27/F27</f>
        <v>-2.3944812869102229E-4</v>
      </c>
      <c r="O28" s="72"/>
      <c r="P28" s="70"/>
      <c r="Q28" s="71"/>
      <c r="R28" s="73">
        <f>R27/O27</f>
        <v>-6.6666666666666666E-2</v>
      </c>
      <c r="S28" s="75">
        <f>IF(Q27=0,0,S27/Q27)</f>
        <v>-9.8602437652783828E-2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0.29126567730974867</v>
      </c>
      <c r="E31" s="82">
        <f t="shared" ref="E31:E40" si="10">F31/D$24</f>
        <v>1071.5257352941176</v>
      </c>
      <c r="F31" s="30">
        <f>+SUM(START:END!F31)</f>
        <v>291455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0.26423613834605347</v>
      </c>
      <c r="K31" s="82">
        <f t="shared" ref="K31:K40" si="12">IF(L31=0,0,L31/J$24)</f>
        <v>1042.9594331983806</v>
      </c>
      <c r="L31" s="30">
        <f>+SUM(START:END!L31)</f>
        <v>257610.98</v>
      </c>
      <c r="M31" s="41"/>
      <c r="N31" s="59">
        <f t="shared" ref="N31:N53" si="13">L31-F31</f>
        <v>-33844.01999999999</v>
      </c>
      <c r="O31" s="157">
        <f>Q31/(Q13+Q15+Q17)</f>
        <v>0.29320866748628238</v>
      </c>
      <c r="P31" s="82">
        <f t="shared" ref="P31:P40" si="14">IF(Q31=0,0,Q31/O$24)</f>
        <v>1284.8014339622641</v>
      </c>
      <c r="Q31" s="33">
        <f>+SUM(START:END!Q31)</f>
        <v>340472.38</v>
      </c>
      <c r="R31" s="41"/>
      <c r="S31" s="85">
        <f t="shared" ref="S31:S53" si="15">L31-Q31</f>
        <v>-82861.399999999994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123794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0.30238229565426561</v>
      </c>
      <c r="K32" s="88">
        <f t="shared" si="12"/>
        <v>571.84165991902842</v>
      </c>
      <c r="L32" s="22">
        <f>+SUM(START:END!L32)</f>
        <v>141244.89000000001</v>
      </c>
      <c r="M32" s="23"/>
      <c r="N32" s="91">
        <f t="shared" si="13"/>
        <v>17450.890000000014</v>
      </c>
      <c r="O32" s="162">
        <f>Q32/Q24</f>
        <v>0.37692040296947249</v>
      </c>
      <c r="P32" s="88">
        <f t="shared" si="14"/>
        <v>619.32366037735846</v>
      </c>
      <c r="Q32" s="22">
        <f>+SUM(START:END!Q32)</f>
        <v>164120.76999999999</v>
      </c>
      <c r="R32" s="23"/>
      <c r="S32" s="92">
        <f t="shared" si="15"/>
        <v>-22875.879999999976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35360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116.86842105263158</v>
      </c>
      <c r="L33" s="30">
        <f>+SUM(START:END!L33)</f>
        <v>28866.5</v>
      </c>
      <c r="M33" s="41"/>
      <c r="N33" s="59">
        <f t="shared" si="13"/>
        <v>-6493.5</v>
      </c>
      <c r="O33" s="41"/>
      <c r="P33" s="82">
        <f t="shared" si="14"/>
        <v>120.09116981132075</v>
      </c>
      <c r="Q33" s="33">
        <f>+SUM(START:END!Q33)</f>
        <v>31824.16</v>
      </c>
      <c r="R33" s="41"/>
      <c r="S33" s="85">
        <f t="shared" si="15"/>
        <v>-2957.66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10064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31.024615384615384</v>
      </c>
      <c r="L34" s="30">
        <f>+SUM(START:END!L34)</f>
        <v>7663.08</v>
      </c>
      <c r="M34" s="41"/>
      <c r="N34" s="59">
        <f t="shared" si="13"/>
        <v>-2400.92</v>
      </c>
      <c r="O34" s="41"/>
      <c r="P34" s="82">
        <f t="shared" si="14"/>
        <v>38.978339622641514</v>
      </c>
      <c r="Q34" s="33">
        <f>+SUM(START:END!Q34)</f>
        <v>10329.26</v>
      </c>
      <c r="R34" s="41"/>
      <c r="S34" s="85">
        <f t="shared" si="15"/>
        <v>-2666.1800000000003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61.617647058823529</v>
      </c>
      <c r="F35" s="22">
        <f>+SUM(START:END!F35)</f>
        <v>16760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97.19194331983806</v>
      </c>
      <c r="L35" s="22">
        <f>+SUM(START:END!L35)</f>
        <v>24006.41</v>
      </c>
      <c r="M35" s="23"/>
      <c r="N35" s="91">
        <f t="shared" si="13"/>
        <v>7246.41</v>
      </c>
      <c r="O35" s="23"/>
      <c r="P35" s="88">
        <f t="shared" si="14"/>
        <v>65.460339622641499</v>
      </c>
      <c r="Q35" s="33">
        <f>+SUM(START:END!Q35)</f>
        <v>17346.989999999998</v>
      </c>
      <c r="R35" s="23"/>
      <c r="S35" s="92">
        <f t="shared" si="15"/>
        <v>6659.4200000000019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139800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618.34550607287451</v>
      </c>
      <c r="L36" s="459">
        <f>+SUM(START:END!L36)</f>
        <v>152731.34</v>
      </c>
      <c r="M36" s="13"/>
      <c r="N36" s="59">
        <f t="shared" si="13"/>
        <v>12931.339999999997</v>
      </c>
      <c r="O36" s="41"/>
      <c r="P36" s="82">
        <f t="shared" si="14"/>
        <v>632.89354716981086</v>
      </c>
      <c r="Q36" s="55">
        <f>+SUM(START:END!Q36)</f>
        <v>167716.78999999989</v>
      </c>
      <c r="R36" s="41"/>
      <c r="S36" s="85">
        <f t="shared" si="15"/>
        <v>-14985.449999999895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1186.9395747630365</v>
      </c>
      <c r="F37" s="30">
        <f>+SUM(START:END!F37)</f>
        <v>322847.56433554593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1128.3716194331985</v>
      </c>
      <c r="L37" s="460">
        <f>+SUM(START:END!L37)</f>
        <v>278707.79000000004</v>
      </c>
      <c r="M37" s="13"/>
      <c r="N37" s="59">
        <f t="shared" si="13"/>
        <v>-44139.774335545895</v>
      </c>
      <c r="O37" s="41"/>
      <c r="P37" s="82">
        <f t="shared" si="14"/>
        <v>1381.9588679245282</v>
      </c>
      <c r="Q37" s="33">
        <f>+SUM(START:END!Q37)</f>
        <v>366219.1</v>
      </c>
      <c r="R37" s="41"/>
      <c r="S37" s="85">
        <f>L37-Q37</f>
        <v>-87511.309999999939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0.63485498476177826</v>
      </c>
      <c r="F41" s="96">
        <f>SUM(F31:F40)</f>
        <v>940080.56433554599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0.60173985933219332</v>
      </c>
      <c r="L41" s="96">
        <f>SUM(L31:L40)</f>
        <v>890830.99</v>
      </c>
      <c r="M41" s="98"/>
      <c r="N41" s="96">
        <f t="shared" si="13"/>
        <v>-49249.574335546</v>
      </c>
      <c r="O41" s="97" t="s">
        <v>38</v>
      </c>
      <c r="P41" s="95">
        <f>Q41/Q$27</f>
        <v>0.66856529856789648</v>
      </c>
      <c r="Q41" s="99">
        <f>SUM(Q31:Q40)</f>
        <v>1098029.45</v>
      </c>
      <c r="R41" s="100"/>
      <c r="S41" s="101">
        <f t="shared" si="15"/>
        <v>-207198.45999999996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150304.6</v>
      </c>
      <c r="G42" s="41"/>
      <c r="H42" s="13"/>
      <c r="I42" s="30">
        <f>+SUM(START:END!I42)</f>
        <v>0</v>
      </c>
      <c r="J42" s="41"/>
      <c r="K42" s="13"/>
      <c r="L42" s="33">
        <f>+SUM(START:END!L42)</f>
        <v>150211.78</v>
      </c>
      <c r="M42" s="41"/>
      <c r="N42" s="59">
        <f t="shared" si="13"/>
        <v>-92.820000000006985</v>
      </c>
      <c r="O42" s="41"/>
      <c r="P42" s="13"/>
      <c r="Q42" s="33">
        <f>+SUM(START:END!Q42)</f>
        <v>145432.01999999999</v>
      </c>
      <c r="R42" s="41"/>
      <c r="S42" s="85">
        <f t="shared" si="15"/>
        <v>4779.7600000000093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115883.20000000001</v>
      </c>
      <c r="G43" s="83"/>
      <c r="H43" s="13"/>
      <c r="I43" s="22">
        <f>+SUM(START:END!I43)</f>
        <v>0</v>
      </c>
      <c r="J43" s="41"/>
      <c r="K43" s="13"/>
      <c r="L43" s="33">
        <f>+SUM(START:END!L43)</f>
        <v>109863.51</v>
      </c>
      <c r="M43" s="41"/>
      <c r="N43" s="59">
        <f t="shared" si="13"/>
        <v>-6019.6900000000169</v>
      </c>
      <c r="O43" s="41"/>
      <c r="P43" s="13"/>
      <c r="Q43" s="33">
        <f>+SUM(START:END!Q43)</f>
        <v>109318.68000000001</v>
      </c>
      <c r="R43" s="41"/>
      <c r="S43" s="85">
        <f t="shared" si="15"/>
        <v>544.82999999998719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4104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3762</v>
      </c>
      <c r="M44" s="107"/>
      <c r="N44" s="109">
        <f t="shared" si="13"/>
        <v>-342</v>
      </c>
      <c r="O44" s="107"/>
      <c r="P44" s="105"/>
      <c r="Q44" s="108">
        <f>+SUM(START:END!Q44)</f>
        <v>4104</v>
      </c>
      <c r="R44" s="107"/>
      <c r="S44" s="110">
        <f t="shared" si="15"/>
        <v>-342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88637.497975650243</v>
      </c>
      <c r="G49" s="83"/>
      <c r="H49" s="13"/>
      <c r="I49" s="22">
        <f>+SUM(START:END!I49)</f>
        <v>0</v>
      </c>
      <c r="J49" s="41"/>
      <c r="K49" s="13"/>
      <c r="L49" s="22">
        <f>+SUM(START:END!L49)</f>
        <v>88757.47</v>
      </c>
      <c r="M49" s="41"/>
      <c r="N49" s="59">
        <f t="shared" si="13"/>
        <v>119.9720243497577</v>
      </c>
      <c r="O49" s="41"/>
      <c r="P49" s="13"/>
      <c r="Q49" s="22">
        <f>+SUM(START:END!Q49)</f>
        <v>100107.47999999998</v>
      </c>
      <c r="R49" s="41"/>
      <c r="S49" s="85">
        <f t="shared" si="15"/>
        <v>-11350.00999999998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101920.83505883538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106832.81</v>
      </c>
      <c r="M50" s="107"/>
      <c r="N50" s="109">
        <f t="shared" si="13"/>
        <v>4911.9749411646189</v>
      </c>
      <c r="O50" s="107"/>
      <c r="P50" s="105"/>
      <c r="Q50" s="33">
        <f>+SUM(START:END!Q50)</f>
        <v>103363.31</v>
      </c>
      <c r="R50" s="107"/>
      <c r="S50" s="110">
        <f t="shared" si="15"/>
        <v>3469.5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53342.478484615385</v>
      </c>
      <c r="G51" s="83"/>
      <c r="H51" s="13"/>
      <c r="I51" s="30">
        <f>+SUM(START:END!I51)</f>
        <v>0</v>
      </c>
      <c r="J51" s="41"/>
      <c r="K51" s="13"/>
      <c r="L51" s="33">
        <f>+SUM(START:END!L51)</f>
        <v>53478.07</v>
      </c>
      <c r="M51" s="41"/>
      <c r="N51" s="59">
        <f t="shared" si="13"/>
        <v>135.59151538461447</v>
      </c>
      <c r="O51" s="41"/>
      <c r="P51" s="13"/>
      <c r="Q51" s="33">
        <f>+SUM(START:END!Q51)</f>
        <v>53589.77</v>
      </c>
      <c r="R51" s="41"/>
      <c r="S51" s="85">
        <f t="shared" si="15"/>
        <v>-111.69999999999709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11430.531103846153</v>
      </c>
      <c r="G52" s="83"/>
      <c r="H52" s="13"/>
      <c r="I52" s="30">
        <f>+SUM(START:END!I52)</f>
        <v>0</v>
      </c>
      <c r="J52" s="41"/>
      <c r="K52" s="13"/>
      <c r="L52" s="33">
        <f>+SUM(START:END!L52)</f>
        <v>16255.3</v>
      </c>
      <c r="M52" s="41"/>
      <c r="N52" s="59">
        <f t="shared" si="13"/>
        <v>4824.7688961538461</v>
      </c>
      <c r="O52" s="41"/>
      <c r="P52" s="13"/>
      <c r="Q52" s="33">
        <f>+SUM(START:END!Q52)</f>
        <v>8279.19</v>
      </c>
      <c r="R52" s="41"/>
      <c r="S52" s="85">
        <f t="shared" si="15"/>
        <v>7976.1099999999988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0.35496369658082039</v>
      </c>
      <c r="F54" s="96">
        <f>+SUM(F42:F53)</f>
        <v>525623.14262294723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0.35743842903320105</v>
      </c>
      <c r="L54" s="96">
        <f>+SUM(L42:L53)</f>
        <v>529160.94000000006</v>
      </c>
      <c r="M54" s="100"/>
      <c r="N54" s="96">
        <f>+SUM(N42:N53)</f>
        <v>3537.7973770528133</v>
      </c>
      <c r="O54" s="97" t="s">
        <v>38</v>
      </c>
      <c r="P54" s="95">
        <f>Q54/Q$27</f>
        <v>0.31917014518315906</v>
      </c>
      <c r="Q54" s="96">
        <f>+SUM(Q42:Q53)</f>
        <v>524194.45</v>
      </c>
      <c r="R54" s="100"/>
      <c r="S54" s="101">
        <f>+SUM(S42:S53)</f>
        <v>4966.490000000018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79451.199999999997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92571.21</v>
      </c>
      <c r="M57" s="23"/>
      <c r="N57" s="91">
        <f t="shared" si="16"/>
        <v>13120.010000000009</v>
      </c>
      <c r="O57" s="23"/>
      <c r="P57" s="111"/>
      <c r="Q57" s="22">
        <f>+SUM(START:END!Q57)</f>
        <v>88238.200000000012</v>
      </c>
      <c r="R57" s="23"/>
      <c r="S57" s="92">
        <f t="shared" si="17"/>
        <v>4333.0099999999948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58539.600000000013</v>
      </c>
      <c r="G58" s="83"/>
      <c r="H58" s="13"/>
      <c r="I58" s="30">
        <f>+SUM(START:END!I58)</f>
        <v>0</v>
      </c>
      <c r="J58" s="41"/>
      <c r="K58" s="13"/>
      <c r="L58" s="33">
        <f>+SUM(START:END!L58)</f>
        <v>58531.360000000001</v>
      </c>
      <c r="M58" s="41"/>
      <c r="N58" s="59">
        <f t="shared" si="16"/>
        <v>-8.2400000000125146</v>
      </c>
      <c r="O58" s="41"/>
      <c r="P58" s="13"/>
      <c r="Q58" s="33">
        <f>+SUM(START:END!Q58)</f>
        <v>54831.46</v>
      </c>
      <c r="R58" s="41"/>
      <c r="S58" s="85">
        <f t="shared" si="17"/>
        <v>3699.9000000000015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9900</v>
      </c>
      <c r="G59" s="83"/>
      <c r="H59" s="13"/>
      <c r="I59" s="30">
        <f>+SUM(START:END!I59)</f>
        <v>0</v>
      </c>
      <c r="J59" s="41"/>
      <c r="K59" s="13"/>
      <c r="L59" s="33">
        <f>+SUM(START:END!L59)</f>
        <v>7946.19</v>
      </c>
      <c r="M59" s="41"/>
      <c r="N59" s="59">
        <f t="shared" si="16"/>
        <v>-1953.8100000000004</v>
      </c>
      <c r="O59" s="41"/>
      <c r="P59" s="13"/>
      <c r="Q59" s="33">
        <f>+SUM(START:END!Q59)</f>
        <v>15061.779999999999</v>
      </c>
      <c r="R59" s="41"/>
      <c r="S59" s="85">
        <f t="shared" si="17"/>
        <v>-7115.5899999999992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39776.399999999994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40323.410000000003</v>
      </c>
      <c r="M60" s="23"/>
      <c r="N60" s="91">
        <f t="shared" si="16"/>
        <v>547.01000000000931</v>
      </c>
      <c r="O60" s="23"/>
      <c r="P60" s="111"/>
      <c r="Q60" s="22">
        <f>+SUM(START:END!Q60)</f>
        <v>41147.009999999995</v>
      </c>
      <c r="R60" s="23"/>
      <c r="S60" s="92">
        <f t="shared" si="17"/>
        <v>-823.59999999999127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480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839.06000000000006</v>
      </c>
      <c r="M61" s="41"/>
      <c r="N61" s="59">
        <f t="shared" si="16"/>
        <v>359.06000000000006</v>
      </c>
      <c r="O61" s="41"/>
      <c r="P61" s="13"/>
      <c r="Q61" s="33">
        <f>+SUM(START:END!Q61)</f>
        <v>928.47</v>
      </c>
      <c r="R61" s="41"/>
      <c r="S61" s="85">
        <f t="shared" si="17"/>
        <v>-89.409999999999968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360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359.91</v>
      </c>
      <c r="M62" s="41"/>
      <c r="N62" s="59">
        <f t="shared" si="16"/>
        <v>-8.9999999999974989E-2</v>
      </c>
      <c r="O62" s="41"/>
      <c r="P62" s="13"/>
      <c r="Q62" s="33">
        <f>+SUM(START:END!Q62)</f>
        <v>554.66000000000008</v>
      </c>
      <c r="R62" s="41"/>
      <c r="S62" s="85">
        <f t="shared" si="17"/>
        <v>-194.75000000000006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8505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6265.6</v>
      </c>
      <c r="M63" s="41"/>
      <c r="N63" s="59">
        <f t="shared" si="16"/>
        <v>-2239.3999999999996</v>
      </c>
      <c r="O63" s="41"/>
      <c r="P63" s="13"/>
      <c r="Q63" s="32">
        <f>+SUM(START:END!Q63)</f>
        <v>7259.26</v>
      </c>
      <c r="R63" s="41"/>
      <c r="S63" s="85">
        <f t="shared" si="17"/>
        <v>-993.65999999999985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2524.8000000000006</v>
      </c>
      <c r="G64" s="83"/>
      <c r="H64" s="13"/>
      <c r="I64" s="30">
        <f>+SUM(START:END!I64)</f>
        <v>0</v>
      </c>
      <c r="J64" s="41"/>
      <c r="K64" s="13"/>
      <c r="L64" s="33">
        <f>+SUM(START:END!L64)</f>
        <v>3292.44</v>
      </c>
      <c r="M64" s="41"/>
      <c r="N64" s="59">
        <f t="shared" si="16"/>
        <v>767.63999999999942</v>
      </c>
      <c r="O64" s="41"/>
      <c r="P64" s="13"/>
      <c r="Q64" s="33">
        <f>+SUM(START:END!Q64)</f>
        <v>2891.49</v>
      </c>
      <c r="R64" s="41"/>
      <c r="S64" s="85">
        <f t="shared" si="17"/>
        <v>400.95000000000027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2430</v>
      </c>
      <c r="G65" s="83"/>
      <c r="H65" s="13"/>
      <c r="I65" s="30">
        <f>+SUM(START:END!I65)</f>
        <v>0</v>
      </c>
      <c r="J65" s="41"/>
      <c r="K65" s="13"/>
      <c r="L65" s="33">
        <f>+SUM(START:END!L65)</f>
        <v>1599.74</v>
      </c>
      <c r="M65" s="41"/>
      <c r="N65" s="59">
        <f t="shared" si="16"/>
        <v>-830.26</v>
      </c>
      <c r="O65" s="41"/>
      <c r="P65" s="13"/>
      <c r="Q65" s="33">
        <f>+SUM(START:END!Q65)</f>
        <v>2023.0000000000005</v>
      </c>
      <c r="R65" s="41"/>
      <c r="S65" s="85">
        <f t="shared" si="17"/>
        <v>-423.26000000000045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9401.4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9635.01</v>
      </c>
      <c r="M66" s="41"/>
      <c r="N66" s="59">
        <f t="shared" si="16"/>
        <v>233.61000000000058</v>
      </c>
      <c r="O66" s="41"/>
      <c r="P66" s="13"/>
      <c r="Q66" s="33">
        <f>+SUM(START:END!Q66)</f>
        <v>9075.8799999999883</v>
      </c>
      <c r="R66" s="41"/>
      <c r="S66" s="85">
        <f t="shared" si="17"/>
        <v>559.13000000001193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6698.2021199999981</v>
      </c>
      <c r="G67" s="83"/>
      <c r="H67" s="13"/>
      <c r="I67" s="30">
        <f>+SUM(START:END!I67)</f>
        <v>0</v>
      </c>
      <c r="J67" s="41"/>
      <c r="K67" s="13"/>
      <c r="L67" s="59">
        <f>+SUM(START:END!L67)</f>
        <v>3864.54</v>
      </c>
      <c r="M67" s="41"/>
      <c r="N67" s="59">
        <f t="shared" si="16"/>
        <v>-2833.6621199999981</v>
      </c>
      <c r="O67" s="41"/>
      <c r="P67" s="13"/>
      <c r="Q67" s="33">
        <f>+SUM(START:END!Q67)</f>
        <v>3658.1400000000003</v>
      </c>
      <c r="R67" s="41"/>
      <c r="S67" s="85">
        <f>L67-Q67</f>
        <v>206.39999999999964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35336.857952647064</v>
      </c>
      <c r="G68" s="83"/>
      <c r="H68" s="13"/>
      <c r="I68" s="30">
        <f>+SUM(START:END!I68)</f>
        <v>0</v>
      </c>
      <c r="J68" s="41"/>
      <c r="K68" s="13"/>
      <c r="L68" s="32">
        <f>+SUM(START:END!L68)</f>
        <v>34927.129999999997</v>
      </c>
      <c r="M68" s="41"/>
      <c r="N68" s="59">
        <f t="shared" si="16"/>
        <v>-409.72795264706656</v>
      </c>
      <c r="O68" s="41"/>
      <c r="P68" s="13"/>
      <c r="Q68" s="33">
        <f>+SUM(START:END!Q68)</f>
        <v>35883.200000000004</v>
      </c>
      <c r="R68" s="41"/>
      <c r="S68" s="85">
        <f>L68-Q68</f>
        <v>-956.07000000000698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0.17112836482978366</v>
      </c>
      <c r="F72" s="96">
        <f>+SUM(F55:F71)</f>
        <v>253403.46007264705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0.17573029666208895</v>
      </c>
      <c r="L72" s="96">
        <f>+SUM(L55:L71)</f>
        <v>260155.60000000003</v>
      </c>
      <c r="M72" s="100"/>
      <c r="N72" s="96">
        <f>+SUM(N55:N71)</f>
        <v>6752.1399273529396</v>
      </c>
      <c r="O72" s="97" t="s">
        <v>38</v>
      </c>
      <c r="P72" s="95">
        <f>Q72/Q$27</f>
        <v>0.15925343230269889</v>
      </c>
      <c r="Q72" s="96">
        <f>+SUM(Q55:Q71)</f>
        <v>261552.55000000002</v>
      </c>
      <c r="R72" s="100"/>
      <c r="S72" s="101">
        <f>+SUM(S55:S71)</f>
        <v>-1396.9499999999898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1.1609470461723823</v>
      </c>
      <c r="F74" s="96">
        <f>F41+F54+F72</f>
        <v>1719107.1670311403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1.1349085850274834</v>
      </c>
      <c r="L74" s="96">
        <f>L41+L54+L72</f>
        <v>1680147.5300000003</v>
      </c>
      <c r="M74" s="100"/>
      <c r="N74" s="113">
        <f t="shared" ref="N74:N82" si="18">L74-F74</f>
        <v>-38959.637031140039</v>
      </c>
      <c r="O74" s="97" t="s">
        <v>38</v>
      </c>
      <c r="P74" s="95">
        <f>Q74/Q$27</f>
        <v>1.1469888760537543</v>
      </c>
      <c r="Q74" s="96">
        <f>Q41+Q54+Q72</f>
        <v>1883776.45</v>
      </c>
      <c r="R74" s="100"/>
      <c r="S74" s="114">
        <f>L74-Q74</f>
        <v>-203628.91999999969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435312.80699999997</v>
      </c>
      <c r="G75" s="83"/>
      <c r="H75" s="13"/>
      <c r="I75" s="30">
        <f>+SUM(START:END!I75)</f>
        <v>0</v>
      </c>
      <c r="J75" s="41"/>
      <c r="K75" s="13"/>
      <c r="L75" s="32">
        <f>+SUM(START:END!L75)</f>
        <v>400729.24</v>
      </c>
      <c r="M75" s="41"/>
      <c r="N75" s="59">
        <f t="shared" si="18"/>
        <v>-34583.566999999981</v>
      </c>
      <c r="O75" s="41"/>
      <c r="P75" s="13"/>
      <c r="Q75" s="32">
        <f>+SUM(START:END!Q75)</f>
        <v>413289.73000000004</v>
      </c>
      <c r="R75" s="41"/>
      <c r="S75" s="85">
        <f>L75-Q75</f>
        <v>-12560.490000000049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470608.44</v>
      </c>
      <c r="G78" s="83"/>
      <c r="H78" s="13"/>
      <c r="I78" s="30">
        <f>+SUM(START:END!I78)</f>
        <v>0</v>
      </c>
      <c r="J78" s="41"/>
      <c r="K78" s="13"/>
      <c r="L78" s="33">
        <f>+SUM(START:END!L78)</f>
        <v>449866.2</v>
      </c>
      <c r="M78" s="41"/>
      <c r="N78" s="59">
        <f t="shared" si="18"/>
        <v>-20742.239999999991</v>
      </c>
      <c r="O78" s="41"/>
      <c r="P78" s="13"/>
      <c r="Q78" s="32">
        <f>+SUM(START:END!Q78)</f>
        <v>480905.59999999992</v>
      </c>
      <c r="R78" s="41"/>
      <c r="S78" s="85">
        <f t="shared" si="19"/>
        <v>-31039.399999999907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159412.4</v>
      </c>
      <c r="G82" s="83"/>
      <c r="H82" s="13"/>
      <c r="I82" s="30">
        <f>+SUM(START:END!I82)</f>
        <v>0</v>
      </c>
      <c r="J82" s="41"/>
      <c r="K82" s="13"/>
      <c r="L82" s="32">
        <f>+SUM(START:END!L82)</f>
        <v>146965</v>
      </c>
      <c r="M82" s="41"/>
      <c r="N82" s="59">
        <f t="shared" si="18"/>
        <v>-12447.399999999994</v>
      </c>
      <c r="O82" s="41"/>
      <c r="P82" s="13"/>
      <c r="Q82" s="32">
        <f>+SUM(START:END!Q82)</f>
        <v>157675</v>
      </c>
      <c r="R82" s="41"/>
      <c r="S82" s="85">
        <f t="shared" si="19"/>
        <v>-10710</v>
      </c>
      <c r="T82" s="13"/>
      <c r="U82" s="13"/>
      <c r="V82" s="489">
        <f>L82/595/J27</f>
        <v>0.98015873015873012</v>
      </c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1065333.6469999999</v>
      </c>
      <c r="G83" s="97"/>
      <c r="H83" s="95"/>
      <c r="I83" s="96">
        <f>+SUM(I75:I82)</f>
        <v>0</v>
      </c>
      <c r="J83" s="97"/>
      <c r="K83" s="95"/>
      <c r="L83" s="96">
        <f>+SUM(L75:L82)</f>
        <v>997560.44</v>
      </c>
      <c r="M83" s="100"/>
      <c r="N83" s="96">
        <f>+SUM(N75:N82)</f>
        <v>-67773.206999999966</v>
      </c>
      <c r="O83" s="97"/>
      <c r="P83" s="95"/>
      <c r="Q83" s="96">
        <f>+SUM(Q75:Q82)</f>
        <v>1051870.33</v>
      </c>
      <c r="R83" s="100"/>
      <c r="S83" s="101">
        <f>+SUM(S75:S82)</f>
        <v>-54309.889999999956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827006.47996885958</v>
      </c>
      <c r="G85" s="128"/>
      <c r="H85" s="126"/>
      <c r="I85" s="127">
        <f>I27-I74+I83</f>
        <v>0</v>
      </c>
      <c r="J85" s="128"/>
      <c r="K85" s="125"/>
      <c r="L85" s="127">
        <f>L27-L74+L83</f>
        <v>797838.33999999659</v>
      </c>
      <c r="M85" s="128"/>
      <c r="N85" s="127">
        <f>N27-N41-N54-N72+N83</f>
        <v>-29168.139968862808</v>
      </c>
      <c r="O85" s="128"/>
      <c r="P85" s="125"/>
      <c r="Q85" s="127">
        <f>Q27-Q74+Q83</f>
        <v>810460.679999999</v>
      </c>
      <c r="R85" s="128"/>
      <c r="S85" s="129">
        <f>S27-S41-S54-S72+S83</f>
        <v>-12622.340000001997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1" t="s">
        <v>5</v>
      </c>
      <c r="E91" s="512"/>
      <c r="F91" s="513"/>
      <c r="G91" s="514" t="s">
        <v>71</v>
      </c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09" t="s">
        <v>214</v>
      </c>
      <c r="S91" s="510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17054705.882352937</v>
      </c>
      <c r="G93" s="46"/>
      <c r="H93" s="25"/>
      <c r="I93" s="22">
        <f>+SUM(START:END!I93)</f>
        <v>0</v>
      </c>
      <c r="J93" s="23"/>
      <c r="K93" s="25"/>
      <c r="L93" s="22">
        <f>+SUM(START:END!L93)</f>
        <v>14463219.909999996</v>
      </c>
      <c r="M93" s="137"/>
      <c r="N93" s="138"/>
      <c r="O93" s="23"/>
      <c r="P93" s="25"/>
      <c r="Q93" s="22">
        <f>+SUM(START:END!Q93)</f>
        <v>16016262.389999967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75</v>
      </c>
      <c r="E94" s="30">
        <f>IF(D94=0,0,F94/D94)</f>
        <v>2300</v>
      </c>
      <c r="F94" s="30">
        <f>+SUM(START:END!F94)</f>
        <v>172500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54</v>
      </c>
      <c r="K94" s="30">
        <f>IF(J94=0,0,L94/J94)</f>
        <v>2392.0279629629626</v>
      </c>
      <c r="L94" s="33">
        <f>+SUM(START:END!L94)</f>
        <v>129169.51</v>
      </c>
      <c r="M94" s="31">
        <f>J94-D94</f>
        <v>-21</v>
      </c>
      <c r="N94" s="33">
        <f>L94-F94</f>
        <v>-43330.490000000005</v>
      </c>
      <c r="O94" s="31">
        <f>+SUM(START:END!O94)</f>
        <v>62</v>
      </c>
      <c r="P94" s="30">
        <f>IF(O94=0,0,Q94/O94)</f>
        <v>2319.7799999999957</v>
      </c>
      <c r="Q94" s="33">
        <f>+SUM(START:END!Q94)</f>
        <v>143826.35999999972</v>
      </c>
      <c r="R94" s="31">
        <f>J94-O94</f>
        <v>-8</v>
      </c>
      <c r="S94" s="34">
        <f>L94-Q94</f>
        <v>-14656.849999999729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75</v>
      </c>
      <c r="E95" s="30">
        <f>IF(D95=0,0,F95/D95)</f>
        <v>1600</v>
      </c>
      <c r="F95" s="30">
        <f>+SUM(START:END!F95)</f>
        <v>120000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72</v>
      </c>
      <c r="K95" s="30">
        <f>IF(J95=0,0,L95/J95)</f>
        <v>1630.2123611111138</v>
      </c>
      <c r="L95" s="32">
        <f>+SUM(START:END!L95)</f>
        <v>117375.29000000018</v>
      </c>
      <c r="M95" s="31">
        <f>J95-D95</f>
        <v>-3</v>
      </c>
      <c r="N95" s="33">
        <f>L95-F95</f>
        <v>-2624.7099999998172</v>
      </c>
      <c r="O95" s="31">
        <f>+SUM(START:END!O95)</f>
        <v>73</v>
      </c>
      <c r="P95" s="30">
        <f>IF(O95=0,0,Q95/O95)</f>
        <v>1814.3649315068471</v>
      </c>
      <c r="Q95" s="32">
        <f>+SUM(START:END!Q95)</f>
        <v>132448.63999999984</v>
      </c>
      <c r="R95" s="31">
        <f>J95-O95</f>
        <v>-1</v>
      </c>
      <c r="S95" s="34">
        <f>L95-Q95</f>
        <v>-15073.349999999657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75</v>
      </c>
      <c r="E96" s="25">
        <f>IF(D96=0,0,F96/D96)</f>
        <v>1500</v>
      </c>
      <c r="F96" s="30">
        <f>+SUM(START:END!F96)</f>
        <v>112500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61</v>
      </c>
      <c r="K96" s="30">
        <f>IF(J96=0,0,L96/J96)</f>
        <v>1498.5888524590152</v>
      </c>
      <c r="L96" s="32">
        <f>+SUM(START:END!L96)</f>
        <v>91413.919999999925</v>
      </c>
      <c r="M96" s="31">
        <f>J96-D96</f>
        <v>-14</v>
      </c>
      <c r="N96" s="33">
        <f>L96-F96</f>
        <v>-21086.080000000075</v>
      </c>
      <c r="O96" s="31">
        <f>+SUM(START:END!O96)</f>
        <v>63</v>
      </c>
      <c r="P96" s="30">
        <f>IF(O96=0,0,Q96/O96)</f>
        <v>1119.7820634920615</v>
      </c>
      <c r="Q96" s="32">
        <f>+SUM(START:END!Q96)</f>
        <v>70546.269999999873</v>
      </c>
      <c r="R96" s="31">
        <f>J96-O96</f>
        <v>-2</v>
      </c>
      <c r="S96" s="34">
        <f>L96-Q96</f>
        <v>20867.650000000052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225</v>
      </c>
      <c r="E97" s="30">
        <f>IF(D97=0,0,F97/D97)</f>
        <v>1800</v>
      </c>
      <c r="F97" s="37">
        <f>+F94+F95+F96</f>
        <v>405000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187</v>
      </c>
      <c r="K97" s="36">
        <f>IF(J97=0,0,L97/J97)</f>
        <v>1807.2658823529416</v>
      </c>
      <c r="L97" s="37">
        <f>+L94+L95+L96</f>
        <v>337958.72000000009</v>
      </c>
      <c r="M97" s="38">
        <f>J97-D97</f>
        <v>-38</v>
      </c>
      <c r="N97" s="37">
        <f>L97-F97</f>
        <v>-67041.279999999912</v>
      </c>
      <c r="O97" s="38">
        <f>+O95+O94+O96</f>
        <v>198</v>
      </c>
      <c r="P97" s="36">
        <f>IF(O97&lt;=0,0,Q97/O97)</f>
        <v>1751.6225757575728</v>
      </c>
      <c r="Q97" s="37">
        <f>+Q94+Q95+Q96</f>
        <v>346821.26999999944</v>
      </c>
      <c r="R97" s="38">
        <f>J97-O97</f>
        <v>-11</v>
      </c>
      <c r="S97" s="39">
        <f>L97-Q97</f>
        <v>-8862.5499999993481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-0.16888888888888889</v>
      </c>
      <c r="N98" s="43">
        <f>N97/F97</f>
        <v>-0.16553402469135781</v>
      </c>
      <c r="O98" s="41"/>
      <c r="P98" s="13"/>
      <c r="Q98" s="40"/>
      <c r="R98" s="42">
        <f>R97/O97</f>
        <v>-5.5555555555555552E-2</v>
      </c>
      <c r="S98" s="44">
        <f>IF(Q97=0,0,(S97/Q97))</f>
        <v>-2.5553651885304965E-2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220</v>
      </c>
      <c r="E100" s="30">
        <f>IF(D100=0,0,F100/D100)</f>
        <v>350</v>
      </c>
      <c r="F100" s="30">
        <f>+SUM(START:END!F100)</f>
        <v>77000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200</v>
      </c>
      <c r="K100" s="30">
        <f>IF(J100=0,0,L100/J100)</f>
        <v>409.70679999999891</v>
      </c>
      <c r="L100" s="33">
        <f>+SUM(START:END!L100)</f>
        <v>81941.359999999782</v>
      </c>
      <c r="M100" s="31">
        <f>J100-D100</f>
        <v>-20</v>
      </c>
      <c r="N100" s="33">
        <f>L100-F100</f>
        <v>4941.3599999997823</v>
      </c>
      <c r="O100" s="31">
        <f>+SUM(START:END!O100)</f>
        <v>230</v>
      </c>
      <c r="P100" s="30">
        <f>IF(O100=0,0,Q100/O100)</f>
        <v>434.93060869565113</v>
      </c>
      <c r="Q100" s="33">
        <f>+SUM(START:END!Q100)</f>
        <v>100034.03999999976</v>
      </c>
      <c r="R100" s="31">
        <f>J100-O100</f>
        <v>-30</v>
      </c>
      <c r="S100" s="34">
        <f>L100-Q100</f>
        <v>-18092.679999999978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/>
      <c r="E102" s="30">
        <f>IF(D97=0,0,F102/D97)</f>
        <v>380</v>
      </c>
      <c r="F102" s="33">
        <f>+SUM(START:END!F102)</f>
        <v>85500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/>
      <c r="K102" s="30">
        <f>IF(J97=0,0,L102/J97)</f>
        <v>350.59080213903746</v>
      </c>
      <c r="L102" s="33">
        <f>+SUM(START:END!L102)</f>
        <v>65560.48000000001</v>
      </c>
      <c r="M102" s="31"/>
      <c r="N102" s="33">
        <f>L102-F102</f>
        <v>-19939.51999999999</v>
      </c>
      <c r="O102" s="31"/>
      <c r="P102" s="30">
        <f>IF(O97=0,0,Q102/O97)</f>
        <v>360.57232323232313</v>
      </c>
      <c r="Q102" s="33">
        <f>+SUM(START:END!Q102)</f>
        <v>71393.319999999978</v>
      </c>
      <c r="R102" s="31">
        <f>O102-K102</f>
        <v>-350.59080213903746</v>
      </c>
      <c r="S102" s="34">
        <f>L102-Q102</f>
        <v>-5832.8399999999674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/>
      <c r="E103" s="30">
        <f>IF(D97=0,0,F103/D97)</f>
        <v>850</v>
      </c>
      <c r="F103" s="33">
        <f>+SUM(START:END!F103)</f>
        <v>191250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/>
      <c r="K103" s="30">
        <f>IF(J97=0,0,L103/J97)</f>
        <v>989.75882352941187</v>
      </c>
      <c r="L103" s="33">
        <f>+SUM(START:END!L103)</f>
        <v>185084.90000000002</v>
      </c>
      <c r="M103" s="31"/>
      <c r="N103" s="33">
        <f>L103-F103</f>
        <v>-6165.0999999999767</v>
      </c>
      <c r="O103" s="31"/>
      <c r="P103" s="30">
        <f>IF(O97=0,0,Q103/O97)</f>
        <v>827.98833333333278</v>
      </c>
      <c r="Q103" s="33">
        <f>+SUM(START:END!Q103)</f>
        <v>163941.68999999989</v>
      </c>
      <c r="R103" s="31">
        <f>O103-K103</f>
        <v>-989.75882352941187</v>
      </c>
      <c r="S103" s="34">
        <f>L103-Q103</f>
        <v>21143.210000000137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/>
      <c r="E104" s="25">
        <f>IF(D97=0,0,F104/D97)</f>
        <v>220</v>
      </c>
      <c r="F104" s="33">
        <f>+SUM(START:END!F104)</f>
        <v>49500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/>
      <c r="K104" s="47">
        <f>IF(J97=0,0,L104/J97)</f>
        <v>293.79860962566858</v>
      </c>
      <c r="L104" s="33">
        <f>+SUM(START:END!L104)</f>
        <v>54940.340000000018</v>
      </c>
      <c r="M104" s="51"/>
      <c r="N104" s="33">
        <f>L104-F104</f>
        <v>5440.3400000000183</v>
      </c>
      <c r="O104" s="31"/>
      <c r="P104" s="47">
        <f>IF(O97=0,0,Q104/O97)</f>
        <v>162.17696969696965</v>
      </c>
      <c r="Q104" s="33">
        <f>+SUM(START:END!Q104)</f>
        <v>32111.03999999999</v>
      </c>
      <c r="R104" s="31">
        <f>O104-K104</f>
        <v>-293.79860962566858</v>
      </c>
      <c r="S104" s="34">
        <f>L104-Q104</f>
        <v>22829.300000000028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225</v>
      </c>
      <c r="E105" s="30">
        <f>IF(D105=0,0,F105/D105)</f>
        <v>1450</v>
      </c>
      <c r="F105" s="37">
        <f>F102+F103+F104</f>
        <v>326250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187</v>
      </c>
      <c r="K105" s="36">
        <f>IF(J105&lt;=0,0,L105/J105)</f>
        <v>1634.1482352941177</v>
      </c>
      <c r="L105" s="37">
        <f>L102+L103+L104</f>
        <v>305585.72000000003</v>
      </c>
      <c r="M105" s="31">
        <f>J105-D105</f>
        <v>-38</v>
      </c>
      <c r="N105" s="37">
        <f>L105-F105</f>
        <v>-20664.27999999997</v>
      </c>
      <c r="O105" s="38">
        <f>O97</f>
        <v>198</v>
      </c>
      <c r="P105" s="36">
        <f>IF(O105&lt;=0,0,Q105/O105)</f>
        <v>1350.7376262626256</v>
      </c>
      <c r="Q105" s="37">
        <f>Q102+Q103+Q104</f>
        <v>267446.04999999987</v>
      </c>
      <c r="R105" s="56"/>
      <c r="S105" s="39">
        <f>L105-Q105</f>
        <v>38139.670000000158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-6.3338789272030557E-2</v>
      </c>
      <c r="O106" s="41"/>
      <c r="P106" s="13"/>
      <c r="Q106" s="59"/>
      <c r="R106" s="60"/>
      <c r="S106" s="44">
        <f>IF(Q105=0,0,(S105/Q105))</f>
        <v>0.14260696690042787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445</v>
      </c>
      <c r="E108" s="67">
        <f>IF(D108&lt;=0,0,F108/D108)</f>
        <v>1816.2921348314608</v>
      </c>
      <c r="F108" s="65">
        <f>F97+F105+F100</f>
        <v>808250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387</v>
      </c>
      <c r="K108" s="67">
        <f>IF(J108&lt;=0,0,L108/J108)</f>
        <v>1874.6403100775192</v>
      </c>
      <c r="L108" s="65">
        <f>L97+L105+L100+L99</f>
        <v>725485.79999999993</v>
      </c>
      <c r="M108" s="66">
        <f>J108-D108</f>
        <v>-58</v>
      </c>
      <c r="N108" s="65">
        <f>L108-F108</f>
        <v>-82764.20000000007</v>
      </c>
      <c r="O108" s="66">
        <f>O97+O100+O99</f>
        <v>428</v>
      </c>
      <c r="P108" s="67">
        <f>IF(O108&lt;=0,0,Q108/O108)</f>
        <v>1668.9284112149514</v>
      </c>
      <c r="Q108" s="65">
        <f>Q97+Q105+Q100+Q99</f>
        <v>714301.35999999917</v>
      </c>
      <c r="R108" s="66">
        <f>J108-O108</f>
        <v>-41</v>
      </c>
      <c r="S108" s="68">
        <f>L108-Q108</f>
        <v>11184.440000000759</v>
      </c>
      <c r="T108" s="13"/>
      <c r="U108" s="13"/>
      <c r="V108" s="454">
        <f>(L108+L27)/(F27+F108)</f>
        <v>0.96368821291114437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-0.1303370786516854</v>
      </c>
      <c r="N109" s="74">
        <f>N108/F108</f>
        <v>-0.10239925765542848</v>
      </c>
      <c r="O109" s="72"/>
      <c r="P109" s="70"/>
      <c r="Q109" s="71"/>
      <c r="R109" s="73">
        <f>O108/R108</f>
        <v>-10.439024390243903</v>
      </c>
      <c r="S109" s="145">
        <f>IF(Q108=0,0,(S108/Q108))</f>
        <v>1.5657873029950233E-2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0.19104273504273503</v>
      </c>
      <c r="E112" s="82">
        <f>F112/D$97</f>
        <v>620.88888888888891</v>
      </c>
      <c r="F112" s="30">
        <f>+SUM(START:END!F112)</f>
        <v>139700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0.31452208127667186</v>
      </c>
      <c r="K112" s="82">
        <f>IF($J$97=0,0,L112/(J$94+J$95))</f>
        <v>843.61492063492074</v>
      </c>
      <c r="L112" s="33">
        <f>+SUM(START:END!L112)</f>
        <v>106295.48000000001</v>
      </c>
      <c r="M112" s="41"/>
      <c r="N112" s="59">
        <f t="shared" ref="N112:N153" si="22">L112-F112</f>
        <v>-33404.51999999999</v>
      </c>
      <c r="O112" s="157">
        <f>Q112/Q97</f>
        <v>0.37196259618102495</v>
      </c>
      <c r="P112" s="82">
        <f>IF($J$97=0,0,Q112/(O$94+O$95))</f>
        <v>955.58918518518522</v>
      </c>
      <c r="Q112" s="33">
        <f>+SUM(START:END!Q112)</f>
        <v>129004.54000000001</v>
      </c>
      <c r="R112" s="41"/>
      <c r="S112" s="85">
        <f t="shared" ref="S112:S148" si="23">L112-Q112</f>
        <v>-22709.059999999998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0.25186331480545732</v>
      </c>
      <c r="E113" s="88">
        <f>F113/D$97</f>
        <v>398.75</v>
      </c>
      <c r="F113" s="22">
        <f>+SUM(START:END!F113)</f>
        <v>89718.75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0.24856312003060874</v>
      </c>
      <c r="K113" s="88">
        <f>IF($J$97=0,0,L113/(J$94+J$95))</f>
        <v>602.83603174603172</v>
      </c>
      <c r="L113" s="33">
        <f>+SUM(START:END!L113)</f>
        <v>75957.34</v>
      </c>
      <c r="M113" s="23"/>
      <c r="N113" s="91">
        <f t="shared" si="22"/>
        <v>-13761.410000000003</v>
      </c>
      <c r="O113" s="162">
        <f>Q113/Q105</f>
        <v>0.33020685854212484</v>
      </c>
      <c r="P113" s="88">
        <f>IF($J$97=0,0,Q113/(O$94+O$95))</f>
        <v>654.16681481481487</v>
      </c>
      <c r="Q113" s="33">
        <f>+SUM(START:END!Q113)</f>
        <v>88312.52</v>
      </c>
      <c r="R113" s="23"/>
      <c r="S113" s="92">
        <f t="shared" si="23"/>
        <v>-12355.180000000008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20250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118.20134920634919</v>
      </c>
      <c r="L114" s="108">
        <f>+SUM(START:END!L114)</f>
        <v>14893.369999999999</v>
      </c>
      <c r="M114" s="41"/>
      <c r="N114" s="59">
        <f t="shared" si="22"/>
        <v>-5356.630000000001</v>
      </c>
      <c r="O114" s="41"/>
      <c r="P114" s="82">
        <f>IF($J$97=0,0,Q114/(O$94+O$95))</f>
        <v>133.70459259259258</v>
      </c>
      <c r="Q114" s="108">
        <f>+SUM(START:END!Q114)</f>
        <v>18050.12</v>
      </c>
      <c r="R114" s="41"/>
      <c r="S114" s="85">
        <f t="shared" si="23"/>
        <v>-3156.75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21150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99.973888888888879</v>
      </c>
      <c r="L115" s="33">
        <f>+SUM(START:END!L115)</f>
        <v>12596.71</v>
      </c>
      <c r="M115" s="41"/>
      <c r="N115" s="59">
        <f t="shared" si="22"/>
        <v>-8553.2900000000009</v>
      </c>
      <c r="O115" s="41"/>
      <c r="P115" s="82">
        <f t="shared" ref="P115:P121" si="27">IF($J$97=0,0,Q115/(O$94+O$95))</f>
        <v>154.74844444444446</v>
      </c>
      <c r="Q115" s="33">
        <f>+SUM(START:END!Q115)</f>
        <v>20891.04</v>
      </c>
      <c r="R115" s="41"/>
      <c r="S115" s="85">
        <f t="shared" si="23"/>
        <v>-8294.3300000000017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100.66666666666667</v>
      </c>
      <c r="F116" s="22">
        <f>+SUM(START:END!F116)</f>
        <v>22650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253.68134920634918</v>
      </c>
      <c r="L116" s="48">
        <f>+SUM(START:END!L116)</f>
        <v>31963.85</v>
      </c>
      <c r="M116" s="23"/>
      <c r="N116" s="91">
        <f t="shared" si="22"/>
        <v>9313.8499999999985</v>
      </c>
      <c r="O116" s="23"/>
      <c r="P116" s="88">
        <f t="shared" si="27"/>
        <v>157.65674074074073</v>
      </c>
      <c r="Q116" s="48">
        <f>+SUM(START:END!Q116)</f>
        <v>21283.66</v>
      </c>
      <c r="R116" s="23"/>
      <c r="S116" s="92">
        <f t="shared" si="23"/>
        <v>10680.189999999999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360</v>
      </c>
      <c r="F117" s="30">
        <f>+SUM(START:END!F117)</f>
        <v>81000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506.53373015873018</v>
      </c>
      <c r="L117" s="33">
        <f>+SUM(START:END!L117)</f>
        <v>63823.25</v>
      </c>
      <c r="M117" s="41"/>
      <c r="N117" s="59">
        <f t="shared" si="22"/>
        <v>-17176.75</v>
      </c>
      <c r="O117" s="41"/>
      <c r="P117" s="82">
        <f t="shared" si="27"/>
        <v>593.93740740740725</v>
      </c>
      <c r="Q117" s="33">
        <f>+SUM(START:END!Q117)</f>
        <v>80181.549999999974</v>
      </c>
      <c r="R117" s="41"/>
      <c r="S117" s="85">
        <f t="shared" si="23"/>
        <v>-16358.299999999974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255.01294110503949</v>
      </c>
      <c r="F118" s="30">
        <f>+SUM(START:END!F118)</f>
        <v>57377.911748633887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372.78642857142859</v>
      </c>
      <c r="L118" s="33">
        <f>+SUM(START:END!L118)</f>
        <v>46971.090000000004</v>
      </c>
      <c r="M118" s="41"/>
      <c r="N118" s="59">
        <f t="shared" si="22"/>
        <v>-10406.821748633884</v>
      </c>
      <c r="O118" s="41"/>
      <c r="P118" s="82">
        <f t="shared" si="27"/>
        <v>610.67444444444448</v>
      </c>
      <c r="Q118" s="33">
        <f>+SUM(START:END!Q118)</f>
        <v>82441.05</v>
      </c>
      <c r="R118" s="41"/>
      <c r="S118" s="85">
        <f>L118-Q118</f>
        <v>-35469.96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0.5342983751916287</v>
      </c>
      <c r="F122" s="96">
        <f>SUM(F112:F121)</f>
        <v>431846.66174863389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0.48588282499809099</v>
      </c>
      <c r="L122" s="96">
        <f>SUM(L112:L121)</f>
        <v>352501.09</v>
      </c>
      <c r="M122" s="100"/>
      <c r="N122" s="96">
        <f t="shared" si="22"/>
        <v>-79345.571748633869</v>
      </c>
      <c r="O122" s="97" t="s">
        <v>38</v>
      </c>
      <c r="P122" s="95">
        <f>Q122/Q$108</f>
        <v>0.61621677438777445</v>
      </c>
      <c r="Q122" s="96">
        <f>SUM(Q112:Q121)</f>
        <v>440164.48</v>
      </c>
      <c r="R122" s="100"/>
      <c r="S122" s="101">
        <f t="shared" si="23"/>
        <v>-87663.389999999956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60148.923076923085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48370.33</v>
      </c>
      <c r="M123" s="41"/>
      <c r="N123" s="59">
        <f t="shared" si="22"/>
        <v>-11778.593076923084</v>
      </c>
      <c r="O123" s="41"/>
      <c r="P123" s="13"/>
      <c r="Q123" s="33">
        <f>+SUM(START:END!Q123)</f>
        <v>49528.989999999991</v>
      </c>
      <c r="R123" s="41"/>
      <c r="S123" s="85">
        <f t="shared" si="23"/>
        <v>-1158.6599999999889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34121.149999999994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35803.82</v>
      </c>
      <c r="M124" s="41"/>
      <c r="N124" s="59">
        <f t="shared" si="22"/>
        <v>1682.6700000000055</v>
      </c>
      <c r="O124" s="41"/>
      <c r="P124" s="13"/>
      <c r="Q124" s="22">
        <f>+SUM(START:END!Q124)</f>
        <v>35693.83</v>
      </c>
      <c r="R124" s="41"/>
      <c r="S124" s="85">
        <f t="shared" si="23"/>
        <v>109.98999999999796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33708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30899</v>
      </c>
      <c r="M125" s="107"/>
      <c r="N125" s="109">
        <f t="shared" si="22"/>
        <v>-2809</v>
      </c>
      <c r="O125" s="107"/>
      <c r="P125" s="105"/>
      <c r="Q125" s="33">
        <f>+SUM(START:END!Q125)</f>
        <v>33708</v>
      </c>
      <c r="R125" s="107"/>
      <c r="S125" s="110">
        <f t="shared" si="23"/>
        <v>-2809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43123.97919276006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43711.22</v>
      </c>
      <c r="M130" s="41"/>
      <c r="N130" s="59">
        <f t="shared" si="22"/>
        <v>587.2408072399412</v>
      </c>
      <c r="O130" s="41"/>
      <c r="P130" s="13"/>
      <c r="Q130" s="33">
        <f>+SUM(START:END!Q130)</f>
        <v>47807.299999999996</v>
      </c>
      <c r="R130" s="41"/>
      <c r="S130" s="85">
        <f>L130-Q130</f>
        <v>-4096.0799999999945</v>
      </c>
      <c r="T130" s="13"/>
      <c r="U130" s="13"/>
      <c r="V130" s="454">
        <f>(L49+L130)/($L$31+$L$32+$L$42+$L$43+$L$44+$L$112+$L$113+$L$123+$L$124+$L$125)</f>
        <v>0.13798546910205844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50205.375834867518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43239.78</v>
      </c>
      <c r="M131" s="107"/>
      <c r="N131" s="109">
        <f t="shared" si="22"/>
        <v>-6965.5958348675194</v>
      </c>
      <c r="O131" s="107"/>
      <c r="P131" s="105"/>
      <c r="Q131" s="55">
        <f>+SUM(START:END!Q131)</f>
        <v>40705.270000000004</v>
      </c>
      <c r="R131" s="107"/>
      <c r="S131" s="110">
        <f t="shared" si="23"/>
        <v>2534.5099999999948</v>
      </c>
      <c r="T131" s="13"/>
      <c r="U131" s="13"/>
      <c r="V131" s="454">
        <f t="shared" ref="V131:V133" si="28">(L50+L131)/($L$31+$L$32+$L$42+$L$43+$L$44+$L$112+$L$113+$L$123+$L$124+$L$125)</f>
        <v>0.15632249953185831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26207.693723076925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25319.16</v>
      </c>
      <c r="M132" s="41"/>
      <c r="N132" s="59">
        <f t="shared" si="22"/>
        <v>-888.53372307692553</v>
      </c>
      <c r="O132" s="41"/>
      <c r="P132" s="13"/>
      <c r="Q132" s="33">
        <f>+SUM(START:END!Q132)</f>
        <v>26248.959999999999</v>
      </c>
      <c r="R132" s="41"/>
      <c r="S132" s="85">
        <f t="shared" si="23"/>
        <v>-929.79999999999927</v>
      </c>
      <c r="T132" s="13"/>
      <c r="U132" s="13"/>
      <c r="V132" s="454">
        <f>(L51+L132)/($L$31+$L$32+$L$42+$L$43+$L$44+$L$112+$L$113+$L$123+$L$124+$L$125)</f>
        <v>8.2078812325333567E-2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5615.9343692307675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7210.0899999999992</v>
      </c>
      <c r="M133" s="41"/>
      <c r="N133" s="59">
        <f t="shared" si="22"/>
        <v>1594.1556307692317</v>
      </c>
      <c r="O133" s="41"/>
      <c r="P133" s="13"/>
      <c r="Q133" s="33">
        <f>+SUM(START:END!Q133)</f>
        <v>4187.5700000000006</v>
      </c>
      <c r="R133" s="41"/>
      <c r="S133" s="85">
        <f t="shared" si="23"/>
        <v>3022.5199999999986</v>
      </c>
      <c r="T133" s="13"/>
      <c r="U133" s="13"/>
      <c r="V133" s="454">
        <f t="shared" si="28"/>
        <v>2.4442627513057997E-2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0.31318410912076511</v>
      </c>
      <c r="F135" s="96">
        <f>+SUM(F123:F134)</f>
        <v>253131.05619685838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0.32330529419045834</v>
      </c>
      <c r="L135" s="96">
        <f>SUM(L123:L134)</f>
        <v>234553.4</v>
      </c>
      <c r="M135" s="463"/>
      <c r="N135" s="464">
        <f t="shared" si="22"/>
        <v>-18577.656196858385</v>
      </c>
      <c r="O135" s="97" t="s">
        <v>38</v>
      </c>
      <c r="P135" s="95">
        <f>Q135/Q$108</f>
        <v>0.3330245934293059</v>
      </c>
      <c r="Q135" s="96">
        <f>SUM(Q123:Q134)</f>
        <v>237879.92</v>
      </c>
      <c r="R135" s="147"/>
      <c r="S135" s="114">
        <f t="shared" si="23"/>
        <v>-3326.5200000000186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11323.6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12012.869999999999</v>
      </c>
      <c r="M138" s="23"/>
      <c r="N138" s="91">
        <f t="shared" si="22"/>
        <v>689.26999999999862</v>
      </c>
      <c r="O138" s="23"/>
      <c r="P138" s="111"/>
      <c r="Q138" s="22">
        <f>+SUM(START:END!Q138)</f>
        <v>13567.79</v>
      </c>
      <c r="R138" s="23"/>
      <c r="S138" s="92">
        <f t="shared" si="23"/>
        <v>-1554.9200000000019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17104.8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17911.490000000002</v>
      </c>
      <c r="M139" s="41"/>
      <c r="N139" s="59">
        <f t="shared" si="22"/>
        <v>806.69000000000233</v>
      </c>
      <c r="O139" s="41"/>
      <c r="P139" s="13"/>
      <c r="Q139" s="33">
        <f>+SUM(START:END!Q139)</f>
        <v>18005.049999999996</v>
      </c>
      <c r="R139" s="41"/>
      <c r="S139" s="85">
        <f t="shared" si="23"/>
        <v>-93.559999999994034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2199.9999999999995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1600.3300000000002</v>
      </c>
      <c r="M140" s="41"/>
      <c r="N140" s="59">
        <f t="shared" si="22"/>
        <v>-599.66999999999939</v>
      </c>
      <c r="O140" s="41"/>
      <c r="P140" s="13"/>
      <c r="Q140" s="33">
        <f>+SUM(START:END!Q140)</f>
        <v>2536.6299999999997</v>
      </c>
      <c r="R140" s="41"/>
      <c r="S140" s="85">
        <f t="shared" si="23"/>
        <v>-936.2999999999995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8839.2000000000025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9138.16</v>
      </c>
      <c r="M141" s="23"/>
      <c r="N141" s="91">
        <f t="shared" si="22"/>
        <v>298.95999999999731</v>
      </c>
      <c r="O141" s="23"/>
      <c r="P141" s="111"/>
      <c r="Q141" s="22">
        <f>+SUM(START:END!Q141)</f>
        <v>10856.239999999998</v>
      </c>
      <c r="R141" s="23"/>
      <c r="S141" s="92">
        <f t="shared" si="23"/>
        <v>-1718.0799999999981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210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153.47</v>
      </c>
      <c r="M142" s="41"/>
      <c r="N142" s="59">
        <f t="shared" si="22"/>
        <v>-56.53</v>
      </c>
      <c r="O142" s="41"/>
      <c r="P142" s="13"/>
      <c r="Q142" s="33">
        <f>+SUM(START:END!Q142)</f>
        <v>283.45</v>
      </c>
      <c r="R142" s="41"/>
      <c r="S142" s="85">
        <f t="shared" si="23"/>
        <v>-129.97999999999999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120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79.98</v>
      </c>
      <c r="M143" s="41"/>
      <c r="N143" s="59">
        <f t="shared" si="22"/>
        <v>-40.019999999999996</v>
      </c>
      <c r="O143" s="41"/>
      <c r="P143" s="13"/>
      <c r="Q143" s="33">
        <f>+SUM(START:END!Q143)</f>
        <v>185.07</v>
      </c>
      <c r="R143" s="41"/>
      <c r="S143" s="85">
        <f t="shared" si="23"/>
        <v>-105.08999999999999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1890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1760.98</v>
      </c>
      <c r="M144" s="41"/>
      <c r="N144" s="59">
        <f t="shared" si="22"/>
        <v>-129.01999999999998</v>
      </c>
      <c r="O144" s="41"/>
      <c r="P144" s="13"/>
      <c r="Q144" s="32">
        <f>+SUM(START:END!Q144)</f>
        <v>1993.16</v>
      </c>
      <c r="R144" s="41"/>
      <c r="S144" s="85">
        <f t="shared" si="23"/>
        <v>-232.18000000000006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758.40000000000009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989.81</v>
      </c>
      <c r="M145" s="41"/>
      <c r="N145" s="59">
        <f t="shared" si="22"/>
        <v>231.40999999999985</v>
      </c>
      <c r="O145" s="41"/>
      <c r="P145" s="13"/>
      <c r="Q145" s="33">
        <f>+SUM(START:END!Q145)</f>
        <v>1006.4</v>
      </c>
      <c r="R145" s="41"/>
      <c r="S145" s="85">
        <f t="shared" si="23"/>
        <v>-16.590000000000032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540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1221.29</v>
      </c>
      <c r="M146" s="41"/>
      <c r="N146" s="59">
        <f t="shared" si="22"/>
        <v>681.29</v>
      </c>
      <c r="O146" s="41"/>
      <c r="P146" s="13"/>
      <c r="Q146" s="33">
        <f>+SUM(START:END!Q146)</f>
        <v>1784.6299999999997</v>
      </c>
      <c r="R146" s="41"/>
      <c r="S146" s="85">
        <f t="shared" si="23"/>
        <v>-563.33999999999969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2089.1999999999998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2231.7800000000002</v>
      </c>
      <c r="M147" s="41"/>
      <c r="N147" s="59">
        <f t="shared" si="22"/>
        <v>142.58000000000038</v>
      </c>
      <c r="O147" s="41"/>
      <c r="P147" s="13"/>
      <c r="Q147" s="33">
        <f>+SUM(START:END!Q147)</f>
        <v>2016.86</v>
      </c>
      <c r="R147" s="41"/>
      <c r="S147" s="85">
        <f t="shared" si="23"/>
        <v>214.9200000000003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1488.4893600000003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734.87</v>
      </c>
      <c r="M148" s="41"/>
      <c r="N148" s="59">
        <f t="shared" si="22"/>
        <v>-753.61936000000026</v>
      </c>
      <c r="O148" s="41"/>
      <c r="P148" s="13"/>
      <c r="Q148" s="33">
        <f>+SUM(START:END!Q148)</f>
        <v>729.47</v>
      </c>
      <c r="R148" s="41"/>
      <c r="S148" s="85">
        <f t="shared" si="23"/>
        <v>5.3999999999999773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7852.6351005882361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7761.58</v>
      </c>
      <c r="M149" s="41"/>
      <c r="N149" s="59">
        <f t="shared" si="22"/>
        <v>-91.055100588236201</v>
      </c>
      <c r="O149" s="41"/>
      <c r="P149" s="13"/>
      <c r="Q149" s="33">
        <f>+SUM(START:END!Q149)</f>
        <v>7974.04</v>
      </c>
      <c r="R149" s="41"/>
      <c r="S149" s="85">
        <f>L149-Q149</f>
        <v>-212.46000000000004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6.7326105116719132E-2</v>
      </c>
      <c r="F153" s="96">
        <f>+SUM(F136:F152)</f>
        <v>54416.324460588243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7.6633629493506314E-2</v>
      </c>
      <c r="L153" s="96">
        <f>+SUM(L136:L152)</f>
        <v>55596.610000000015</v>
      </c>
      <c r="M153" s="100"/>
      <c r="N153" s="96">
        <f t="shared" si="22"/>
        <v>1180.2855394117723</v>
      </c>
      <c r="O153" s="97" t="s">
        <v>38</v>
      </c>
      <c r="P153" s="95">
        <f>Q153/Q$108</f>
        <v>8.5312437316373113E-2</v>
      </c>
      <c r="Q153" s="96">
        <f>+SUM(Q136:Q152)</f>
        <v>60938.789999999994</v>
      </c>
      <c r="R153" s="100"/>
      <c r="S153" s="101">
        <f>L153-Q153</f>
        <v>-5342.1799999999785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0.91480858942911292</v>
      </c>
      <c r="F155" s="96">
        <f>F122+F135+F153</f>
        <v>739394.04240608052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0.88582174868205554</v>
      </c>
      <c r="L155" s="96">
        <f>L122+L135+L153</f>
        <v>642651.1</v>
      </c>
      <c r="M155" s="100"/>
      <c r="N155" s="113">
        <f t="shared" ref="N155:N162" si="29">L155-F155</f>
        <v>-96742.942406080547</v>
      </c>
      <c r="O155" s="97" t="s">
        <v>38</v>
      </c>
      <c r="P155" s="95">
        <f>Q155/Q$108</f>
        <v>1.0345538051334537</v>
      </c>
      <c r="Q155" s="96">
        <f>Q122+Q135+Q153</f>
        <v>738983.19000000006</v>
      </c>
      <c r="R155" s="100"/>
      <c r="S155" s="114">
        <f t="shared" ref="S155:S162" si="30">L155-Q155</f>
        <v>-96332.090000000084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28125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14775</v>
      </c>
      <c r="M156" s="41"/>
      <c r="N156" s="59">
        <f t="shared" si="29"/>
        <v>-13350</v>
      </c>
      <c r="O156" s="151"/>
      <c r="P156" s="150"/>
      <c r="Q156" s="33">
        <f>+SUM(START:END!Q156)</f>
        <v>16050</v>
      </c>
      <c r="R156" s="41"/>
      <c r="S156" s="85">
        <f t="shared" si="30"/>
        <v>-1275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10050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875</v>
      </c>
      <c r="M157" s="41"/>
      <c r="N157" s="59">
        <f t="shared" si="29"/>
        <v>-9175</v>
      </c>
      <c r="O157" s="151"/>
      <c r="P157" s="150"/>
      <c r="Q157" s="33">
        <f>+SUM(START:END!Q157)</f>
        <v>24625</v>
      </c>
      <c r="R157" s="41"/>
      <c r="S157" s="85">
        <f t="shared" si="30"/>
        <v>-23750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9"/>
        <v>0</v>
      </c>
      <c r="O158" s="41"/>
      <c r="P158" s="13"/>
      <c r="Q158" s="33">
        <f>+SUM(START:END!Q158)</f>
        <v>0</v>
      </c>
      <c r="R158" s="41"/>
      <c r="S158" s="85">
        <f t="shared" si="30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111116.25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97580</v>
      </c>
      <c r="M159" s="41"/>
      <c r="N159" s="59">
        <f t="shared" si="29"/>
        <v>-13536.25</v>
      </c>
      <c r="O159" s="41"/>
      <c r="P159" s="13"/>
      <c r="Q159" s="33">
        <f>+SUM(START:END!Q159)</f>
        <v>98770</v>
      </c>
      <c r="R159" s="41"/>
      <c r="S159" s="85">
        <f t="shared" si="30"/>
        <v>-1190</v>
      </c>
      <c r="T159" s="112"/>
      <c r="U159" s="13"/>
      <c r="V159" s="454">
        <f>L159/595/J97</f>
        <v>0.87700534759358284</v>
      </c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9"/>
        <v>0</v>
      </c>
      <c r="O160" s="41"/>
      <c r="P160" s="13"/>
      <c r="Q160" s="33">
        <f>+SUM(START:END!Q160)</f>
        <v>0</v>
      </c>
      <c r="R160" s="41"/>
      <c r="S160" s="85">
        <f t="shared" si="30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9"/>
        <v>0</v>
      </c>
      <c r="O161" s="41"/>
      <c r="P161" s="13"/>
      <c r="Q161" s="33">
        <f>+SUM(START:END!Q161)</f>
        <v>0</v>
      </c>
      <c r="R161" s="41"/>
      <c r="S161" s="85">
        <f t="shared" si="30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9"/>
        <v>0</v>
      </c>
      <c r="O162" s="41"/>
      <c r="P162" s="13"/>
      <c r="Q162" s="33">
        <f>+SUM(START:END!Q162)</f>
        <v>0</v>
      </c>
      <c r="R162" s="41"/>
      <c r="S162" s="85">
        <f t="shared" si="30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149291.25</v>
      </c>
      <c r="G163" s="97"/>
      <c r="H163" s="95"/>
      <c r="I163" s="96">
        <f>+SUM(I156:I162)</f>
        <v>0</v>
      </c>
      <c r="J163" s="97"/>
      <c r="K163" s="95"/>
      <c r="L163" s="96">
        <f>+SUM(L156:L162)</f>
        <v>113230</v>
      </c>
      <c r="M163" s="100"/>
      <c r="N163" s="96">
        <f>SUM(N156:N159)</f>
        <v>-36061.25</v>
      </c>
      <c r="O163" s="97"/>
      <c r="P163" s="95"/>
      <c r="Q163" s="96">
        <f>+SUM(Q156:Q162)</f>
        <v>139445</v>
      </c>
      <c r="R163" s="100"/>
      <c r="S163" s="101">
        <f>+SUM(S156:S162)</f>
        <v>-26215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218147.20759391948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196064.69999999995</v>
      </c>
      <c r="M165" s="154"/>
      <c r="N165" s="127">
        <f>L165-F165</f>
        <v>-22082.507593919523</v>
      </c>
      <c r="O165" s="154"/>
      <c r="P165" s="126"/>
      <c r="Q165" s="127">
        <f>Q108-Q155+Q163</f>
        <v>114763.16999999911</v>
      </c>
      <c r="R165" s="154"/>
      <c r="S165" s="129">
        <f>L165-Q165</f>
        <v>81301.530000000843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11" t="s">
        <v>5</v>
      </c>
      <c r="E170" s="512"/>
      <c r="F170" s="513"/>
      <c r="G170" s="514" t="s">
        <v>71</v>
      </c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09" t="s">
        <v>214</v>
      </c>
      <c r="S170" s="510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1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1"/>
        <v>ServiceM/O Client</v>
      </c>
      <c r="B172" s="11" t="s">
        <v>78</v>
      </c>
      <c r="C172" s="29" t="s">
        <v>81</v>
      </c>
      <c r="D172" s="491">
        <f>+SUM(START:END!D172)</f>
        <v>2350.0000000000005</v>
      </c>
      <c r="E172" s="82">
        <f>+SUM(START:END!E172)</f>
        <v>799000</v>
      </c>
      <c r="F172" s="82">
        <f>+SUM(START:END!F172)</f>
        <v>626416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2433</v>
      </c>
      <c r="K172" s="30">
        <f>+SUM(START:END!K172)</f>
        <v>804321.94000000006</v>
      </c>
      <c r="L172" s="33">
        <f>+SUM(START:END!L172)</f>
        <v>635273.32999999996</v>
      </c>
      <c r="M172" s="157">
        <f>(K172-E172)/E172</f>
        <v>6.6607509386734176E-3</v>
      </c>
      <c r="N172" s="59">
        <f>L172-F172</f>
        <v>8857.3299999999581</v>
      </c>
      <c r="O172" s="60">
        <f>+SUM(START:END!O172)</f>
        <v>2294</v>
      </c>
      <c r="P172" s="30">
        <f>+SUM(START:END!P172)</f>
        <v>717602.00999999989</v>
      </c>
      <c r="Q172" s="33">
        <f>+SUM(START:END!Q172)</f>
        <v>567784.0499999997</v>
      </c>
      <c r="R172" s="157">
        <f>IF(O172=0,0,J172/O172)</f>
        <v>1.0605928509154317</v>
      </c>
      <c r="S172" s="85">
        <f>L172-Q172</f>
        <v>67489.280000000261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1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0.78982469382844378</v>
      </c>
      <c r="M173" s="157"/>
      <c r="N173" s="59"/>
      <c r="O173" s="60"/>
      <c r="P173" s="13"/>
      <c r="Q173" s="158">
        <f>Q172/P172</f>
        <v>0.79122416337713408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1"/>
        <v>Service</v>
      </c>
      <c r="B174" s="11" t="s">
        <v>78</v>
      </c>
      <c r="C174" s="86"/>
      <c r="D174" s="492"/>
      <c r="E174" s="159">
        <f>IFERROR(E172/D172,0)</f>
        <v>339.99999999999994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330.58854911631732</v>
      </c>
      <c r="L174" s="160"/>
      <c r="M174" s="162"/>
      <c r="N174" s="91"/>
      <c r="O174" s="161"/>
      <c r="P174" s="465">
        <f>IFERROR(P172/O172,0)</f>
        <v>312.8169180470793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1"/>
        <v>ServiceM/O Garantie</v>
      </c>
      <c r="B175" s="11" t="s">
        <v>78</v>
      </c>
      <c r="C175" s="14" t="s">
        <v>83</v>
      </c>
      <c r="D175" s="493">
        <f>+SUM(START:END!D175)</f>
        <v>1949.9999999999998</v>
      </c>
      <c r="E175" s="82">
        <f>+SUM(START:END!E175)</f>
        <v>284700</v>
      </c>
      <c r="F175" s="82">
        <f>+SUM(START:END!F175)</f>
        <v>182208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2291</v>
      </c>
      <c r="K175" s="165">
        <f>+SUM(START:END!K175)</f>
        <v>432942.08999999997</v>
      </c>
      <c r="L175" s="33">
        <f>+SUM(START:END!L175)</f>
        <v>287685.04999999993</v>
      </c>
      <c r="M175" s="157">
        <f>(K175-E175)/E175</f>
        <v>0.52069578503688085</v>
      </c>
      <c r="N175" s="109">
        <f>L175-F175</f>
        <v>105477.04999999993</v>
      </c>
      <c r="O175" s="164">
        <f>+SUM(START:END!O175)</f>
        <v>1953</v>
      </c>
      <c r="P175" s="165">
        <f>+SUM(START:END!P175)</f>
        <v>318109.99999999977</v>
      </c>
      <c r="Q175" s="33">
        <f>+SUM(START:END!Q175)</f>
        <v>214174.87999999971</v>
      </c>
      <c r="R175" s="157">
        <f>IF(O175=0,0,J175/O175)</f>
        <v>1.1730670762928828</v>
      </c>
      <c r="S175" s="85">
        <f>L175-Q175</f>
        <v>73510.170000000217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1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0.66448852316484164</v>
      </c>
      <c r="M176" s="42"/>
      <c r="N176" s="43"/>
      <c r="O176" s="41"/>
      <c r="P176" s="13"/>
      <c r="Q176" s="158">
        <f>Q175/P175</f>
        <v>0.67327301876709278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1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1"/>
        <v>ServiceM/O Interne</v>
      </c>
      <c r="B178" s="11" t="s">
        <v>78</v>
      </c>
      <c r="C178" s="29" t="s">
        <v>84</v>
      </c>
      <c r="D178" s="491">
        <f>+SUM(START:END!D178)</f>
        <v>2100</v>
      </c>
      <c r="E178" s="82">
        <f>+SUM(START:END!E178)</f>
        <v>504000.00000000006</v>
      </c>
      <c r="F178" s="82">
        <f>+SUM(START:END!F178)</f>
        <v>340200.00000000006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1576</v>
      </c>
      <c r="K178" s="165">
        <f>+SUM(START:END!K178)</f>
        <v>624331.52000000002</v>
      </c>
      <c r="L178" s="33">
        <f>+SUM(START:END!L178)</f>
        <v>470396.91</v>
      </c>
      <c r="M178" s="157">
        <f>(K178-E178)/E178</f>
        <v>0.23875301587301576</v>
      </c>
      <c r="N178" s="59">
        <f>L178-F178</f>
        <v>130196.90999999992</v>
      </c>
      <c r="O178" s="60">
        <f>+SUM(START:END!O178)</f>
        <v>2001</v>
      </c>
      <c r="P178" s="165">
        <f>+SUM(START:END!P178)</f>
        <v>488203.61999999976</v>
      </c>
      <c r="Q178" s="33">
        <f>+SUM(START:END!Q178)</f>
        <v>302529.6799999997</v>
      </c>
      <c r="R178" s="157">
        <f>IF(O178=0,0,J178/O178)</f>
        <v>0.7876061969015492</v>
      </c>
      <c r="S178" s="85">
        <f>L178-Q178</f>
        <v>167867.23000000027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1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0.7534409122896758</v>
      </c>
      <c r="M179" s="157"/>
      <c r="N179" s="59">
        <f>L179-F179</f>
        <v>7.8440912289675757E-2</v>
      </c>
      <c r="O179" s="60"/>
      <c r="P179" s="144"/>
      <c r="Q179" s="158">
        <f>Q178/P178</f>
        <v>0.61967930512272695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1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1"/>
        <v>ServiceM/O Esthétique</v>
      </c>
      <c r="B181" s="11" t="s">
        <v>78</v>
      </c>
      <c r="C181" s="14" t="s">
        <v>85</v>
      </c>
      <c r="D181" s="493">
        <f>+SUM(START:END!D181)</f>
        <v>700.00000000000011</v>
      </c>
      <c r="E181" s="82">
        <f>+SUM(START:END!E181)</f>
        <v>140000</v>
      </c>
      <c r="F181" s="82">
        <f>+SUM(START:END!F181)</f>
        <v>56000.000000000015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528</v>
      </c>
      <c r="K181" s="165">
        <f>+SUM(START:END!K181)</f>
        <v>112227.76</v>
      </c>
      <c r="L181" s="108">
        <f>+SUM(START:END!L181)</f>
        <v>80379.069999999992</v>
      </c>
      <c r="M181" s="173">
        <f>IF(E181=0,0,(K181-E181)/E181)</f>
        <v>-0.19837314285714289</v>
      </c>
      <c r="N181" s="109">
        <f>L181-F181</f>
        <v>24379.069999999978</v>
      </c>
      <c r="O181" s="164">
        <f>+SUM(START:END!O181)</f>
        <v>660</v>
      </c>
      <c r="P181" s="165">
        <f>+SUM(START:END!P181)</f>
        <v>125982.02999999997</v>
      </c>
      <c r="Q181" s="108">
        <f>+SUM(START:END!Q181)</f>
        <v>46632.649999999987</v>
      </c>
      <c r="R181" s="157">
        <f>IF(O181=0,0,J181/O181)</f>
        <v>0.8</v>
      </c>
      <c r="S181" s="110">
        <f>L181-Q181</f>
        <v>33746.420000000006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1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0.71621379594496049</v>
      </c>
      <c r="M182" s="60">
        <f>J182-D182</f>
        <v>0</v>
      </c>
      <c r="N182" s="176"/>
      <c r="O182" s="175"/>
      <c r="P182" s="174"/>
      <c r="Q182" s="158">
        <f>IFERROR(Q181/P181,0)</f>
        <v>0.37015318772050265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1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1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-33326.424536349179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-30143.920000000002</v>
      </c>
      <c r="M184" s="175"/>
      <c r="N184" s="59">
        <f>L184-F184</f>
        <v>3182.5045363491772</v>
      </c>
      <c r="O184" s="60"/>
      <c r="P184" s="82"/>
      <c r="Q184" s="82">
        <f>+SUM(START:END!Q184)</f>
        <v>-30929.62</v>
      </c>
      <c r="R184" s="184"/>
      <c r="S184" s="85">
        <f>L184-Q184</f>
        <v>785.69999999999709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1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1727700</v>
      </c>
      <c r="F185" s="187">
        <f>F172+F175+F178+F181+F184</f>
        <v>1171497.5754636507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1973823.31</v>
      </c>
      <c r="L185" s="187">
        <f>L172+L175+L178+L181+L184</f>
        <v>1443590.44</v>
      </c>
      <c r="M185" s="189">
        <f>(K185-E185)/E185</f>
        <v>0.14245720321815133</v>
      </c>
      <c r="N185" s="187">
        <f>L185-F185</f>
        <v>272092.8645363492</v>
      </c>
      <c r="O185" s="188"/>
      <c r="P185" s="186">
        <f>P172+P175+P178+P181+P184</f>
        <v>1649897.6599999995</v>
      </c>
      <c r="Q185" s="187">
        <f>Q172+Q175+Q178+Q181+Q184</f>
        <v>1100191.639999999</v>
      </c>
      <c r="R185" s="42">
        <f>IF(O185=0,0,J185/O185)</f>
        <v>0</v>
      </c>
      <c r="S185" s="190">
        <f>L185-Q185</f>
        <v>343398.80000000098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1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0.6780677058885517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0.73136761162274444</v>
      </c>
      <c r="M186" s="194"/>
      <c r="N186" s="193">
        <f>N185/F185</f>
        <v>0.23226071503277448</v>
      </c>
      <c r="O186" s="194"/>
      <c r="P186" s="443"/>
      <c r="Q186" s="43">
        <f>Q185/P185</f>
        <v>0.66682417138527206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1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1"/>
        <v>ServiceSous-traitement</v>
      </c>
      <c r="B188" s="11" t="s">
        <v>78</v>
      </c>
      <c r="C188" s="29" t="s">
        <v>89</v>
      </c>
      <c r="D188" s="82"/>
      <c r="E188" s="82">
        <f>+SUM(START:END!E188)</f>
        <v>88479.999999999985</v>
      </c>
      <c r="F188" s="82">
        <f>+SUM(START:END!F188)</f>
        <v>10175.200000000003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78803.11</v>
      </c>
      <c r="L188" s="33">
        <f>+SUM(START:END!L188)</f>
        <v>11643.54</v>
      </c>
      <c r="M188" s="84">
        <f>IF(E188=0,0,(K188-E188)/E188)</f>
        <v>-0.10936810578661829</v>
      </c>
      <c r="N188" s="59">
        <f>L188-F188</f>
        <v>1468.3399999999983</v>
      </c>
      <c r="O188" s="60"/>
      <c r="P188" s="30">
        <f>+SUM(START:END!P188)</f>
        <v>49996.279999999897</v>
      </c>
      <c r="Q188" s="33">
        <f>+SUM(START:END!Q188)</f>
        <v>2784.1699999999992</v>
      </c>
      <c r="R188" s="157">
        <f>IF(O188=0,0,J188/O188)</f>
        <v>0</v>
      </c>
      <c r="S188" s="85">
        <f>L188-Q188</f>
        <v>8859.3700000000026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1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0.11500000000000005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0.14775482845791241</v>
      </c>
      <c r="M189" s="175"/>
      <c r="N189" s="176"/>
      <c r="O189" s="175"/>
      <c r="P189" s="174"/>
      <c r="Q189" s="158">
        <f>IFERROR(Q188/P188,0)</f>
        <v>5.56875431532107E-2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1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1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1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1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1"/>
        <v>ServiceTotal Mécanique</v>
      </c>
      <c r="B194" s="11" t="s">
        <v>78</v>
      </c>
      <c r="C194" s="62" t="s">
        <v>91</v>
      </c>
      <c r="D194" s="63"/>
      <c r="E194" s="63">
        <f>E185+E188+E191</f>
        <v>1816180</v>
      </c>
      <c r="F194" s="65">
        <f>F185+F188+F191</f>
        <v>1181672.7754636507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2052626.4200000002</v>
      </c>
      <c r="L194" s="65">
        <f>L185+L188+L191</f>
        <v>1455233.98</v>
      </c>
      <c r="M194" s="206">
        <f>L195-F195</f>
        <v>5.8325548803947691E-2</v>
      </c>
      <c r="N194" s="65">
        <f>L194-F194</f>
        <v>273561.20453634928</v>
      </c>
      <c r="O194" s="66"/>
      <c r="P194" s="63">
        <f>P185+P188+P191</f>
        <v>1699893.9399999992</v>
      </c>
      <c r="Q194" s="65">
        <f>Q185+Q188+Q191</f>
        <v>1102975.8099999989</v>
      </c>
      <c r="R194" s="206">
        <f>L195-Q195</f>
        <v>6.011214536742282E-2</v>
      </c>
      <c r="S194" s="68">
        <f>L194-Q194</f>
        <v>352258.17000000109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1"/>
        <v>Service</v>
      </c>
      <c r="B195" s="11" t="s">
        <v>78</v>
      </c>
      <c r="C195" s="69"/>
      <c r="D195" s="70"/>
      <c r="E195" s="70"/>
      <c r="F195" s="74">
        <f>F194/E194</f>
        <v>0.65063637715625688</v>
      </c>
      <c r="G195" s="72"/>
      <c r="H195" s="70"/>
      <c r="I195" s="74" t="e">
        <f>I194/H194</f>
        <v>#DIV/0!</v>
      </c>
      <c r="J195" s="72"/>
      <c r="K195" s="70"/>
      <c r="L195" s="74">
        <f>L194/K194</f>
        <v>0.70896192596020458</v>
      </c>
      <c r="M195" s="73"/>
      <c r="N195" s="74">
        <f>N194/F194</f>
        <v>0.23150334865674857</v>
      </c>
      <c r="O195" s="72"/>
      <c r="P195" s="70"/>
      <c r="Q195" s="74">
        <f>Q194/P194</f>
        <v>0.64884978059278176</v>
      </c>
      <c r="R195" s="73"/>
      <c r="S195" s="75">
        <f>L194/S194</f>
        <v>4.1311574973548391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1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1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1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124254.29230769232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148696.42000000001</v>
      </c>
      <c r="M198" s="41"/>
      <c r="N198" s="59">
        <f t="shared" ref="N198:N229" si="32">L198-F198</f>
        <v>24442.127692307695</v>
      </c>
      <c r="O198" s="41"/>
      <c r="P198" s="13"/>
      <c r="Q198" s="33">
        <f>+SUM(START:END!Q198)</f>
        <v>106449.18</v>
      </c>
      <c r="R198" s="41"/>
      <c r="S198" s="85">
        <f t="shared" ref="S198:S228" si="33">L198-Q198</f>
        <v>42247.24000000002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1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67125.25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57302</v>
      </c>
      <c r="M199" s="41"/>
      <c r="N199" s="59">
        <f t="shared" si="32"/>
        <v>-9823.25</v>
      </c>
      <c r="O199" s="41"/>
      <c r="P199" s="13"/>
      <c r="Q199" s="33">
        <f>+SUM(START:END!Q199)</f>
        <v>58715.180000000008</v>
      </c>
      <c r="R199" s="41"/>
      <c r="S199" s="85">
        <f t="shared" si="33"/>
        <v>-1413.1800000000076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1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69357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91472.34</v>
      </c>
      <c r="M200" s="107"/>
      <c r="N200" s="109">
        <f t="shared" si="32"/>
        <v>22115.339999999997</v>
      </c>
      <c r="O200" s="107"/>
      <c r="P200" s="105"/>
      <c r="Q200" s="108">
        <f>+SUM(START:END!Q200)</f>
        <v>66716.289999999994</v>
      </c>
      <c r="R200" s="107"/>
      <c r="S200" s="110">
        <f t="shared" si="33"/>
        <v>24756.050000000003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1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172166.052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174720.71000000002</v>
      </c>
      <c r="M201" s="41"/>
      <c r="N201" s="59">
        <f t="shared" si="32"/>
        <v>2554.6580000000249</v>
      </c>
      <c r="O201" s="41"/>
      <c r="P201" s="13"/>
      <c r="Q201" s="33">
        <f>+SUM(START:END!Q201)</f>
        <v>145388.35999999999</v>
      </c>
      <c r="R201" s="41"/>
      <c r="S201" s="85">
        <f t="shared" si="33"/>
        <v>29332.350000000035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1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2"/>
        <v>0</v>
      </c>
      <c r="O202" s="41"/>
      <c r="P202" s="13"/>
      <c r="Q202" s="33">
        <f>+SUM(START:END!Q202)</f>
        <v>0</v>
      </c>
      <c r="R202" s="41"/>
      <c r="S202" s="85">
        <f t="shared" si="33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1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2"/>
        <v>0</v>
      </c>
      <c r="O203" s="41"/>
      <c r="P203" s="13"/>
      <c r="Q203" s="33">
        <f>+SUM(START:END!Q203)</f>
        <v>0</v>
      </c>
      <c r="R203" s="41"/>
      <c r="S203" s="85">
        <f t="shared" si="33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1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2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1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119491.44347568029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116044.52</v>
      </c>
      <c r="M205" s="41"/>
      <c r="N205" s="59">
        <f t="shared" si="32"/>
        <v>-3446.9234756802907</v>
      </c>
      <c r="O205" s="41"/>
      <c r="P205" s="13"/>
      <c r="Q205" s="33">
        <f>+SUM(START:END!Q205)</f>
        <v>94283.599999999991</v>
      </c>
      <c r="R205" s="41"/>
      <c r="S205" s="85">
        <f>L205-Q205</f>
        <v>21760.920000000013</v>
      </c>
      <c r="T205" s="13"/>
      <c r="U205" s="13"/>
      <c r="V205" s="454">
        <f>L205/($L$198+$L$199+$L$200+$L$201+$K$185-$L$185)</f>
        <v>0.11576386902177571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1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138386.34735402188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155115.19999999998</v>
      </c>
      <c r="M206" s="107"/>
      <c r="N206" s="109">
        <f t="shared" si="32"/>
        <v>16728.852645978099</v>
      </c>
      <c r="O206" s="107"/>
      <c r="P206" s="105"/>
      <c r="Q206" s="108">
        <f>+SUM(START:END!Q206)</f>
        <v>119091.77000000002</v>
      </c>
      <c r="R206" s="107"/>
      <c r="S206" s="110">
        <f t="shared" si="33"/>
        <v>36023.429999999964</v>
      </c>
      <c r="T206" s="13"/>
      <c r="U206" s="13"/>
      <c r="V206" s="454">
        <f t="shared" ref="V206:V208" si="34">L206/($L$198+$L$199+$L$200+$L$201+$K$185-$L$185)</f>
        <v>0.15474005748902697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1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72294.054037369235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70437.22</v>
      </c>
      <c r="M207" s="41"/>
      <c r="N207" s="59">
        <f t="shared" si="32"/>
        <v>-1856.8340373692336</v>
      </c>
      <c r="O207" s="41"/>
      <c r="P207" s="13"/>
      <c r="Q207" s="33">
        <f>+SUM(START:END!Q207)</f>
        <v>51275.560000000005</v>
      </c>
      <c r="R207" s="41"/>
      <c r="S207" s="85">
        <f t="shared" si="33"/>
        <v>19161.659999999996</v>
      </c>
      <c r="T207" s="13"/>
      <c r="U207" s="13"/>
      <c r="V207" s="454">
        <f>L207/($L$198+$L$199+$L$200+$L$201+$K$185-$L$185)</f>
        <v>7.0266869218279335E-2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1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15491.583008007692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26206.68</v>
      </c>
      <c r="M208" s="467"/>
      <c r="N208" s="146">
        <f t="shared" si="32"/>
        <v>10715.096991992308</v>
      </c>
      <c r="O208" s="467"/>
      <c r="P208" s="468"/>
      <c r="Q208" s="22">
        <f>+SUM(START:END!Q208)</f>
        <v>14532.21</v>
      </c>
      <c r="R208" s="467"/>
      <c r="S208" s="469">
        <f t="shared" si="33"/>
        <v>11674.470000000001</v>
      </c>
      <c r="T208" s="13"/>
      <c r="U208" s="13"/>
      <c r="V208" s="454">
        <f t="shared" si="34"/>
        <v>2.6143299752677585E-2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1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2"/>
        <v>0</v>
      </c>
      <c r="O209" s="23"/>
      <c r="P209" s="111"/>
      <c r="Q209" s="33">
        <f>+SUM(START:END!Q209)</f>
        <v>0</v>
      </c>
      <c r="R209" s="23"/>
      <c r="S209" s="92">
        <f t="shared" si="33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1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0.65886769869711759</v>
      </c>
      <c r="F210" s="96">
        <f>+SUM(F198:F209)</f>
        <v>778566.02218277135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0.57722338918996374</v>
      </c>
      <c r="L210" s="96">
        <f>+SUM(L198:L209)</f>
        <v>839995.09</v>
      </c>
      <c r="M210" s="147"/>
      <c r="N210" s="113">
        <f t="shared" si="32"/>
        <v>61429.067817228613</v>
      </c>
      <c r="O210" s="97" t="s">
        <v>92</v>
      </c>
      <c r="P210" s="95">
        <f>Q210/Q$194</f>
        <v>0.59516459386357767</v>
      </c>
      <c r="Q210" s="96">
        <f>+SUM(Q198:Q209)</f>
        <v>656452.14999999991</v>
      </c>
      <c r="R210" s="147"/>
      <c r="S210" s="114">
        <f t="shared" si="33"/>
        <v>183542.94000000006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1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68040.05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81781.36</v>
      </c>
      <c r="M211" s="41"/>
      <c r="N211" s="59">
        <f t="shared" si="32"/>
        <v>13741.309999999998</v>
      </c>
      <c r="O211" s="41"/>
      <c r="P211" s="13"/>
      <c r="Q211" s="33">
        <f>+SUM(START:END!Q211)</f>
        <v>76296.850000000006</v>
      </c>
      <c r="R211" s="41"/>
      <c r="S211" s="85">
        <f t="shared" si="33"/>
        <v>5484.5099999999948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1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33099.999999999993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38037.480000000003</v>
      </c>
      <c r="M212" s="41"/>
      <c r="N212" s="59">
        <f t="shared" si="32"/>
        <v>4937.4800000000105</v>
      </c>
      <c r="O212" s="41"/>
      <c r="P212" s="13"/>
      <c r="Q212" s="33">
        <f>+SUM(START:END!Q212)</f>
        <v>38735.719999999979</v>
      </c>
      <c r="R212" s="41"/>
      <c r="S212" s="85">
        <f t="shared" si="33"/>
        <v>-698.23999999997613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1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67414.000000000015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68936.5</v>
      </c>
      <c r="M213" s="23"/>
      <c r="N213" s="91">
        <f t="shared" si="32"/>
        <v>1522.4999999999854</v>
      </c>
      <c r="O213" s="23"/>
      <c r="P213" s="111"/>
      <c r="Q213" s="33">
        <f>+SUM(START:END!Q213)</f>
        <v>59170.969999999987</v>
      </c>
      <c r="R213" s="23"/>
      <c r="S213" s="92">
        <f t="shared" si="33"/>
        <v>9765.5300000000134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1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72402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75313.95</v>
      </c>
      <c r="M214" s="41"/>
      <c r="N214" s="59">
        <f t="shared" si="32"/>
        <v>2911.9499999999971</v>
      </c>
      <c r="O214" s="41"/>
      <c r="P214" s="13"/>
      <c r="Q214" s="108">
        <f>+SUM(START:END!Q214)</f>
        <v>68693.52</v>
      </c>
      <c r="R214" s="41"/>
      <c r="S214" s="85">
        <f t="shared" si="33"/>
        <v>6620.429999999993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1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5499.9999999999991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10968.210000000001</v>
      </c>
      <c r="M215" s="41"/>
      <c r="N215" s="59">
        <f t="shared" si="32"/>
        <v>5468.2100000000019</v>
      </c>
      <c r="O215" s="41"/>
      <c r="P215" s="13"/>
      <c r="Q215" s="33">
        <f>+SUM(START:END!Q215)</f>
        <v>7242.4199999999983</v>
      </c>
      <c r="R215" s="41"/>
      <c r="S215" s="85">
        <f t="shared" si="33"/>
        <v>3725.7900000000027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1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67698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33254.880000000005</v>
      </c>
      <c r="M216" s="23"/>
      <c r="N216" s="91">
        <f t="shared" si="32"/>
        <v>-34443.119999999995</v>
      </c>
      <c r="O216" s="23"/>
      <c r="P216" s="111"/>
      <c r="Q216" s="33">
        <f>+SUM(START:END!Q216)</f>
        <v>70034.760000000009</v>
      </c>
      <c r="R216" s="23"/>
      <c r="S216" s="92">
        <f t="shared" si="33"/>
        <v>-36779.880000000005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1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2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1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13200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35076.86</v>
      </c>
      <c r="M218" s="41"/>
      <c r="N218" s="59">
        <f t="shared" si="32"/>
        <v>21876.86</v>
      </c>
      <c r="O218" s="41"/>
      <c r="P218" s="13"/>
      <c r="Q218" s="33">
        <f>+SUM(START:END!Q218)</f>
        <v>14561.639999999998</v>
      </c>
      <c r="R218" s="41"/>
      <c r="S218" s="85">
        <f t="shared" si="33"/>
        <v>20515.22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1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12000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14997.279999999999</v>
      </c>
      <c r="M219" s="41"/>
      <c r="N219" s="59">
        <f t="shared" si="32"/>
        <v>2997.2799999999988</v>
      </c>
      <c r="O219" s="41"/>
      <c r="P219" s="13"/>
      <c r="Q219" s="33">
        <f>+SUM(START:END!Q219)</f>
        <v>13543.330000000002</v>
      </c>
      <c r="R219" s="41"/>
      <c r="S219" s="85">
        <f t="shared" si="33"/>
        <v>1453.9499999999971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1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4725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6019.2</v>
      </c>
      <c r="M220" s="41"/>
      <c r="N220" s="59">
        <f t="shared" si="32"/>
        <v>1294.1999999999998</v>
      </c>
      <c r="O220" s="41"/>
      <c r="P220" s="13"/>
      <c r="Q220" s="32">
        <f>+SUM(START:END!Q220)</f>
        <v>4116.9699999999993</v>
      </c>
      <c r="R220" s="41"/>
      <c r="S220" s="85">
        <f t="shared" si="33"/>
        <v>1902.2300000000005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1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1440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1930.52</v>
      </c>
      <c r="M221" s="41"/>
      <c r="N221" s="59">
        <f t="shared" si="32"/>
        <v>490.52</v>
      </c>
      <c r="O221" s="41"/>
      <c r="P221" s="13"/>
      <c r="Q221" s="33">
        <f>+SUM(START:END!Q221)</f>
        <v>1381.67</v>
      </c>
      <c r="R221" s="41"/>
      <c r="S221" s="85">
        <f t="shared" si="33"/>
        <v>548.84999999999991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1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1350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1689.71</v>
      </c>
      <c r="M222" s="41"/>
      <c r="N222" s="59">
        <f t="shared" si="32"/>
        <v>339.71000000000004</v>
      </c>
      <c r="O222" s="41"/>
      <c r="P222" s="13"/>
      <c r="Q222" s="33">
        <f>+SUM(START:END!Q222)</f>
        <v>1474.79</v>
      </c>
      <c r="R222" s="41"/>
      <c r="S222" s="85">
        <f t="shared" si="33"/>
        <v>214.92000000000007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1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5223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9239.48</v>
      </c>
      <c r="M223" s="41"/>
      <c r="N223" s="59">
        <f t="shared" si="32"/>
        <v>4016.4799999999996</v>
      </c>
      <c r="O223" s="41"/>
      <c r="P223" s="13"/>
      <c r="Q223" s="33">
        <f>+SUM(START:END!Q223)</f>
        <v>5452.2899999999991</v>
      </c>
      <c r="R223" s="41"/>
      <c r="S223" s="85">
        <f t="shared" si="33"/>
        <v>3787.1900000000005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1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19724.583400000003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17447.87</v>
      </c>
      <c r="M224" s="41"/>
      <c r="N224" s="59">
        <f t="shared" si="32"/>
        <v>-2276.7134000000042</v>
      </c>
      <c r="O224" s="41"/>
      <c r="P224" s="13"/>
      <c r="Q224" s="33">
        <f>+SUM(START:END!Q224)</f>
        <v>12190.840000000002</v>
      </c>
      <c r="R224" s="41"/>
      <c r="S224" s="85">
        <f t="shared" si="33"/>
        <v>5257.029999999997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1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19631.58775147059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19404.02</v>
      </c>
      <c r="M225" s="41"/>
      <c r="N225" s="59">
        <f t="shared" si="32"/>
        <v>-227.56775147058943</v>
      </c>
      <c r="O225" s="41"/>
      <c r="P225" s="13"/>
      <c r="Q225" s="33">
        <f>+SUM(START:END!Q225)</f>
        <v>18079.160000000003</v>
      </c>
      <c r="R225" s="41"/>
      <c r="S225" s="85">
        <f t="shared" si="33"/>
        <v>1324.8599999999969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1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2"/>
        <v>0</v>
      </c>
      <c r="O226" s="41"/>
      <c r="P226" s="13"/>
      <c r="Q226" s="33">
        <f>+SUM(START:END!Q226)</f>
        <v>0</v>
      </c>
      <c r="R226" s="41"/>
      <c r="S226" s="85">
        <f t="shared" si="3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2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1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2"/>
        <v>0</v>
      </c>
      <c r="O228" s="41"/>
      <c r="P228" s="13"/>
      <c r="Q228" s="33">
        <f>+SUM(START:END!Q228)</f>
        <v>0</v>
      </c>
      <c r="R228" s="41"/>
      <c r="S228" s="85">
        <f t="shared" si="33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0.33126617561099242</v>
      </c>
      <c r="F229" s="96">
        <f>+SUM(F211:F228)</f>
        <v>391448.22115147056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0.28455720914378324</v>
      </c>
      <c r="L229" s="96">
        <f>+SUM(L211:L228)</f>
        <v>414097.32000000007</v>
      </c>
      <c r="M229" s="100"/>
      <c r="N229" s="96">
        <f t="shared" si="32"/>
        <v>22649.098848529509</v>
      </c>
      <c r="O229" s="97" t="s">
        <v>92</v>
      </c>
      <c r="P229" s="95">
        <f>Q229/Q$194</f>
        <v>0.35447280570913003</v>
      </c>
      <c r="Q229" s="96">
        <f>+SUM(Q211:Q228)</f>
        <v>390974.92999999993</v>
      </c>
      <c r="R229" s="100"/>
      <c r="S229" s="101">
        <f>L229-Q229</f>
        <v>23122.39000000013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0.99013387430811006</v>
      </c>
      <c r="F231" s="96">
        <f>F210+F229</f>
        <v>1170014.2433342419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0.86178059833374709</v>
      </c>
      <c r="L231" s="96">
        <f>L210+L229</f>
        <v>1254092.4100000001</v>
      </c>
      <c r="M231" s="100"/>
      <c r="N231" s="113">
        <f>L231-F231</f>
        <v>84078.166665758239</v>
      </c>
      <c r="O231" s="97" t="s">
        <v>38</v>
      </c>
      <c r="P231" s="95">
        <f>Q231/Q$194</f>
        <v>0.94963739957270765</v>
      </c>
      <c r="Q231" s="96">
        <f>Q210+Q229</f>
        <v>1047427.0799999998</v>
      </c>
      <c r="R231" s="100"/>
      <c r="S231" s="114">
        <f>L231-Q231</f>
        <v>206665.33000000031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11658.532129408792</v>
      </c>
      <c r="G233" s="153"/>
      <c r="H233" s="125"/>
      <c r="I233" s="127">
        <f>I194-I231</f>
        <v>0</v>
      </c>
      <c r="J233" s="154"/>
      <c r="K233" s="126"/>
      <c r="L233" s="127">
        <f>L194-L231</f>
        <v>201141.56999999983</v>
      </c>
      <c r="M233" s="154"/>
      <c r="N233" s="127">
        <f>L233-F233</f>
        <v>189483.03787059104</v>
      </c>
      <c r="O233" s="154"/>
      <c r="P233" s="126"/>
      <c r="Q233" s="127">
        <f>Q194-Q231</f>
        <v>55548.72999999905</v>
      </c>
      <c r="R233" s="154"/>
      <c r="S233" s="129">
        <f>L233-Q233</f>
        <v>145592.84000000078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11" t="s">
        <v>5</v>
      </c>
      <c r="E238" s="512"/>
      <c r="F238" s="513"/>
      <c r="G238" s="514" t="s">
        <v>71</v>
      </c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09" t="s">
        <v>214</v>
      </c>
      <c r="S238" s="510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5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5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5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2</v>
      </c>
      <c r="K241" s="30">
        <f>+SUM(START:END!K241)</f>
        <v>4637.87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93</v>
      </c>
      <c r="P241" s="30">
        <f>+SUM(START:END!P241)</f>
        <v>29658.19</v>
      </c>
      <c r="Q241" s="33">
        <f>+SUM(START:END!Q241)</f>
        <v>4480.2499999999936</v>
      </c>
      <c r="R241" s="157">
        <f>IF(O241=0,0,J241/O241)</f>
        <v>2.1505376344086023E-2</v>
      </c>
      <c r="S241" s="85">
        <f>L241-Q241</f>
        <v>-4480.2499999999936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5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0.15106282615358502</v>
      </c>
      <c r="R242" s="60"/>
      <c r="S242" s="85">
        <f>IFERROR(S241/R241,0)</f>
        <v>-208331.62499999968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5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5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5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5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5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5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5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5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29658.19</v>
      </c>
      <c r="Q250" s="65">
        <f>Q244+Q247+Q241</f>
        <v>4480.2499999999936</v>
      </c>
      <c r="R250" s="206">
        <f>L251-Q251</f>
        <v>-0.15106282615358502</v>
      </c>
      <c r="S250" s="68">
        <f>L250-Q250</f>
        <v>-4480.2499999999936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5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0.15106282615358502</v>
      </c>
      <c r="R251" s="73"/>
      <c r="S251" s="75">
        <f>IF(R250=0,0,S250/R250)</f>
        <v>29658.19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5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5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5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6">L254-F254</f>
        <v>0</v>
      </c>
      <c r="O254" s="41"/>
      <c r="P254" s="13"/>
      <c r="Q254" s="33">
        <f>+SUM(START:END!Q254)</f>
        <v>3651.24</v>
      </c>
      <c r="R254" s="41"/>
      <c r="S254" s="85">
        <f t="shared" ref="S254:S284" si="37">L254-Q254</f>
        <v>-3651.24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5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6"/>
        <v>0</v>
      </c>
      <c r="O255" s="41"/>
      <c r="P255" s="13"/>
      <c r="Q255" s="33">
        <f>+SUM(START:END!Q255)</f>
        <v>4059.8799999999997</v>
      </c>
      <c r="R255" s="41"/>
      <c r="S255" s="85">
        <f>L255-Q255</f>
        <v>-4059.8799999999997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5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6"/>
        <v>0</v>
      </c>
      <c r="O256" s="107"/>
      <c r="P256" s="105"/>
      <c r="Q256" s="108">
        <f>+SUM(START:END!Q256)</f>
        <v>228</v>
      </c>
      <c r="R256" s="107"/>
      <c r="S256" s="110">
        <f t="shared" si="37"/>
        <v>-228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5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6"/>
        <v>0</v>
      </c>
      <c r="O257" s="41"/>
      <c r="P257" s="13"/>
      <c r="Q257" s="33">
        <f>+SUM(START:END!Q257)</f>
        <v>0</v>
      </c>
      <c r="R257" s="41"/>
      <c r="S257" s="85">
        <f t="shared" si="37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5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6"/>
        <v>0</v>
      </c>
      <c r="O258" s="41"/>
      <c r="P258" s="13"/>
      <c r="Q258" s="33">
        <f>+SUM(START:END!Q258)</f>
        <v>0</v>
      </c>
      <c r="R258" s="41"/>
      <c r="S258" s="85">
        <f t="shared" si="37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5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6"/>
        <v>0</v>
      </c>
      <c r="O259" s="41"/>
      <c r="P259" s="13"/>
      <c r="Q259" s="33">
        <f>+SUM(START:END!Q259)</f>
        <v>0</v>
      </c>
      <c r="R259" s="41"/>
      <c r="S259" s="85">
        <f t="shared" si="37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5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6"/>
        <v>0</v>
      </c>
      <c r="O260" s="41"/>
      <c r="P260" s="13"/>
      <c r="Q260" s="33">
        <f>+SUM(START:END!Q260)</f>
        <v>0</v>
      </c>
      <c r="R260" s="41"/>
      <c r="S260" s="85">
        <f t="shared" si="37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5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6"/>
        <v>0</v>
      </c>
      <c r="O261" s="41"/>
      <c r="P261" s="13"/>
      <c r="Q261" s="33">
        <f>+SUM(START:END!Q261)</f>
        <v>1205.1300000000001</v>
      </c>
      <c r="R261" s="41"/>
      <c r="S261" s="85">
        <f t="shared" si="37"/>
        <v>-1205.1300000000001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5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6"/>
        <v>0</v>
      </c>
      <c r="O262" s="107"/>
      <c r="P262" s="105"/>
      <c r="Q262" s="108">
        <f>+SUM(START:END!Q262)</f>
        <v>3258.4599999999996</v>
      </c>
      <c r="R262" s="107"/>
      <c r="S262" s="110">
        <f t="shared" si="37"/>
        <v>-3258.4599999999996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5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6"/>
        <v>0</v>
      </c>
      <c r="O263" s="41"/>
      <c r="P263" s="13"/>
      <c r="Q263" s="33">
        <f>+SUM(START:END!Q263)</f>
        <v>455.77</v>
      </c>
      <c r="R263" s="41"/>
      <c r="S263" s="85">
        <f t="shared" si="37"/>
        <v>-455.77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5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6"/>
        <v>0</v>
      </c>
      <c r="O264" s="41"/>
      <c r="P264" s="13"/>
      <c r="Q264" s="33">
        <f>+SUM(START:END!Q264)</f>
        <v>54.580000000000013</v>
      </c>
      <c r="R264" s="41"/>
      <c r="S264" s="85">
        <f t="shared" si="37"/>
        <v>-54.580000000000013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5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5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12913.06</v>
      </c>
      <c r="R266" s="147"/>
      <c r="S266" s="114">
        <f t="shared" si="37"/>
        <v>-12913.06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5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6"/>
        <v>0</v>
      </c>
      <c r="O267" s="41"/>
      <c r="P267" s="13"/>
      <c r="Q267" s="33">
        <f>+SUM(START:END!Q267)</f>
        <v>256.23</v>
      </c>
      <c r="R267" s="41"/>
      <c r="S267" s="85">
        <f t="shared" si="37"/>
        <v>-256.23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5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6"/>
        <v>0</v>
      </c>
      <c r="O268" s="41"/>
      <c r="P268" s="13"/>
      <c r="Q268" s="33">
        <f>+SUM(START:END!Q268)</f>
        <v>223.74</v>
      </c>
      <c r="R268" s="41"/>
      <c r="S268" s="85">
        <f t="shared" si="37"/>
        <v>-223.74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5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6"/>
        <v>0</v>
      </c>
      <c r="O269" s="23"/>
      <c r="P269" s="111"/>
      <c r="Q269" s="33">
        <f>+SUM(START:END!Q269)</f>
        <v>1753.36</v>
      </c>
      <c r="R269" s="23"/>
      <c r="S269" s="92">
        <f t="shared" si="37"/>
        <v>-1753.36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5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6"/>
        <v>0</v>
      </c>
      <c r="O270" s="41"/>
      <c r="P270" s="13"/>
      <c r="Q270" s="108">
        <f>+SUM(START:END!Q270)</f>
        <v>2546.6800000000003</v>
      </c>
      <c r="R270" s="41"/>
      <c r="S270" s="85">
        <f t="shared" si="37"/>
        <v>-2546.6800000000003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5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6"/>
        <v>0</v>
      </c>
      <c r="O271" s="41"/>
      <c r="P271" s="13"/>
      <c r="Q271" s="33">
        <f>+SUM(START:END!Q271)</f>
        <v>329.49</v>
      </c>
      <c r="R271" s="41"/>
      <c r="S271" s="85">
        <f t="shared" si="37"/>
        <v>-329.49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5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6"/>
        <v>0</v>
      </c>
      <c r="O272" s="23"/>
      <c r="P272" s="111"/>
      <c r="Q272" s="22">
        <f>+SUM(START:END!Q272)</f>
        <v>1983.2299999999998</v>
      </c>
      <c r="R272" s="23"/>
      <c r="S272" s="92">
        <f t="shared" si="37"/>
        <v>-1983.2299999999998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5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6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5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6"/>
        <v>0</v>
      </c>
      <c r="O274" s="41"/>
      <c r="P274" s="13"/>
      <c r="Q274" s="33">
        <f>+SUM(START:END!Q274)</f>
        <v>1.35</v>
      </c>
      <c r="R274" s="41"/>
      <c r="S274" s="85">
        <f t="shared" si="37"/>
        <v>-1.35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5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6"/>
        <v>0</v>
      </c>
      <c r="O275" s="41"/>
      <c r="P275" s="13"/>
      <c r="Q275" s="33">
        <f>+SUM(START:END!Q275)</f>
        <v>23.08</v>
      </c>
      <c r="R275" s="41"/>
      <c r="S275" s="85">
        <f t="shared" si="37"/>
        <v>-23.08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5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6"/>
        <v>0</v>
      </c>
      <c r="O276" s="41"/>
      <c r="P276" s="13"/>
      <c r="Q276" s="32">
        <f>+SUM(START:END!Q276)</f>
        <v>355.77000000000004</v>
      </c>
      <c r="R276" s="41"/>
      <c r="S276" s="85">
        <f t="shared" si="37"/>
        <v>-355.77000000000004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5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6"/>
        <v>0</v>
      </c>
      <c r="O277" s="41"/>
      <c r="P277" s="13"/>
      <c r="Q277" s="33">
        <f>+SUM(START:END!Q277)</f>
        <v>113.03</v>
      </c>
      <c r="R277" s="41"/>
      <c r="S277" s="85">
        <f t="shared" si="37"/>
        <v>-113.03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5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6"/>
        <v>0</v>
      </c>
      <c r="O278" s="41"/>
      <c r="P278" s="13"/>
      <c r="Q278" s="33">
        <f>+SUM(START:END!Q278)</f>
        <v>60.899999999999991</v>
      </c>
      <c r="R278" s="41"/>
      <c r="S278" s="85">
        <f t="shared" si="37"/>
        <v>-60.899999999999991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5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6"/>
        <v>0</v>
      </c>
      <c r="O279" s="41"/>
      <c r="P279" s="13"/>
      <c r="Q279" s="33">
        <f>+SUM(START:END!Q279)</f>
        <v>479.85999999999979</v>
      </c>
      <c r="R279" s="41"/>
      <c r="S279" s="85">
        <f t="shared" si="37"/>
        <v>-479.85999999999979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5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6"/>
        <v>0</v>
      </c>
      <c r="O280" s="41"/>
      <c r="P280" s="13"/>
      <c r="Q280" s="33">
        <f>+SUM(START:END!Q280)</f>
        <v>169.94</v>
      </c>
      <c r="R280" s="41"/>
      <c r="S280" s="85">
        <f t="shared" si="37"/>
        <v>-169.94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5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6"/>
        <v>0</v>
      </c>
      <c r="O281" s="41"/>
      <c r="P281" s="13"/>
      <c r="Q281" s="33">
        <f>+SUM(START:END!Q281)</f>
        <v>1855.9699999999998</v>
      </c>
      <c r="R281" s="41"/>
      <c r="S281" s="85">
        <f t="shared" si="37"/>
        <v>-1855.9699999999998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5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6"/>
        <v>0</v>
      </c>
      <c r="O282" s="41"/>
      <c r="P282" s="13"/>
      <c r="Q282" s="33">
        <f>+SUM(START:END!Q282)</f>
        <v>0</v>
      </c>
      <c r="R282" s="41"/>
      <c r="S282" s="85">
        <f t="shared" si="37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5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6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5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6"/>
        <v>0</v>
      </c>
      <c r="O284" s="41"/>
      <c r="P284" s="13"/>
      <c r="Q284" s="33">
        <f>+SUM(START:END!Q284)</f>
        <v>0</v>
      </c>
      <c r="R284" s="41"/>
      <c r="S284" s="85">
        <f t="shared" si="37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2.2660855979019057</v>
      </c>
      <c r="Q285" s="96">
        <f>+SUM(Q267:Q284)</f>
        <v>10152.629999999999</v>
      </c>
      <c r="R285" s="100"/>
      <c r="S285" s="101">
        <f>L285-Q285</f>
        <v>-10152.629999999999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5.1483042240946446</v>
      </c>
      <c r="Q287" s="96">
        <f>Q266+Q285</f>
        <v>23065.69</v>
      </c>
      <c r="R287" s="100"/>
      <c r="S287" s="114">
        <f>L287-Q287</f>
        <v>-23065.69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-18585.440000000006</v>
      </c>
      <c r="R289" s="154"/>
      <c r="S289" s="129">
        <f>L289-Q289</f>
        <v>18585.440000000006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11" t="s">
        <v>5</v>
      </c>
      <c r="E293" s="512"/>
      <c r="F293" s="513"/>
      <c r="G293" s="514" t="s">
        <v>71</v>
      </c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09" t="s">
        <v>214</v>
      </c>
      <c r="S293" s="510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8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8"/>
        <v>PiècesPièces Ro Clients</v>
      </c>
      <c r="B295" s="11" t="s">
        <v>98</v>
      </c>
      <c r="C295" s="29" t="s">
        <v>100</v>
      </c>
      <c r="D295" s="82">
        <f>+SUM(START:END!D295)</f>
        <v>752599.99999999988</v>
      </c>
      <c r="E295" s="148">
        <f>IF(D295=0,0,F295/D295)</f>
        <v>0.41</v>
      </c>
      <c r="F295" s="85">
        <f>+SUM(START:END!F295)</f>
        <v>308565.99999999994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685102.18</v>
      </c>
      <c r="K295" s="148">
        <f>IF(J295=0,0,L295/J295)</f>
        <v>0.4020912763698985</v>
      </c>
      <c r="L295" s="33">
        <f>+SUM(START:END!L295)</f>
        <v>275473.61</v>
      </c>
      <c r="M295" s="157">
        <f t="shared" ref="M295:M301" si="39">(+J295-D295)/D295</f>
        <v>-8.9686181238373436E-2</v>
      </c>
      <c r="N295" s="59">
        <f t="shared" ref="N295:N304" si="40">L295-F295</f>
        <v>-33092.389999999956</v>
      </c>
      <c r="O295" s="30">
        <f>+SUM(START:END!O295)</f>
        <v>691663.80999999959</v>
      </c>
      <c r="P295" s="148">
        <f>IF(O295=0,0,Q295/O295)</f>
        <v>0.39906731566597298</v>
      </c>
      <c r="Q295" s="33">
        <f>+SUM(START:END!Q295)</f>
        <v>276020.4199999994</v>
      </c>
      <c r="R295" s="157">
        <f>IF(O295=0,0,(J295-O295)/O295)</f>
        <v>-9.4867331572538738E-3</v>
      </c>
      <c r="S295" s="85">
        <f t="shared" ref="S295:S300" si="41">L295-Q295</f>
        <v>-546.8099999994156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8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2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3">IF(G296=0,0,I296/G296)</f>
        <v>0</v>
      </c>
      <c r="I296" s="85">
        <f>+SUM(START:END!I296)</f>
        <v>0</v>
      </c>
      <c r="J296" s="30">
        <f>+SUM(START:END!J296)</f>
        <v>5835.08</v>
      </c>
      <c r="K296" s="148">
        <f t="shared" ref="K296:K303" si="44">IF(J296=0,0,L296/J296)</f>
        <v>0.29959829171151037</v>
      </c>
      <c r="L296" s="33">
        <f>+SUM(START:END!L296)</f>
        <v>1748.1799999999998</v>
      </c>
      <c r="M296" s="157" t="e">
        <f t="shared" si="39"/>
        <v>#DIV/0!</v>
      </c>
      <c r="N296" s="59">
        <f t="shared" si="40"/>
        <v>1748.1799999999998</v>
      </c>
      <c r="O296" s="30">
        <f>+SUM(START:END!O296)</f>
        <v>7465.0599999999995</v>
      </c>
      <c r="P296" s="148">
        <f t="shared" ref="P296:P303" si="45">IF(O296=0,0,Q296/O296)</f>
        <v>0.32626127586382414</v>
      </c>
      <c r="Q296" s="33">
        <f>+SUM(START:END!Q296)</f>
        <v>2435.559999999999</v>
      </c>
      <c r="R296" s="157">
        <f t="shared" ref="R296:R303" si="46">IF(O296=0,0,(J296-O296)/O296)</f>
        <v>-0.21834787664131294</v>
      </c>
      <c r="S296" s="85">
        <f t="shared" si="41"/>
        <v>-687.3799999999992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8"/>
        <v>PiècesP/A Garantie</v>
      </c>
      <c r="B297" s="11" t="s">
        <v>98</v>
      </c>
      <c r="C297" s="29" t="s">
        <v>102</v>
      </c>
      <c r="D297" s="82">
        <f>+SUM(START:END!D297)</f>
        <v>600000</v>
      </c>
      <c r="E297" s="148">
        <f t="shared" si="42"/>
        <v>0.28499999999999998</v>
      </c>
      <c r="F297" s="85">
        <f>+SUM(START:END!F297)</f>
        <v>170999.99999999997</v>
      </c>
      <c r="G297" s="82">
        <f>+SUM(START:END!G297)</f>
        <v>0</v>
      </c>
      <c r="H297" s="148">
        <f t="shared" si="43"/>
        <v>0</v>
      </c>
      <c r="I297" s="85">
        <f>+SUM(START:END!I297)</f>
        <v>0</v>
      </c>
      <c r="J297" s="30">
        <f>+SUM(START:END!J297)</f>
        <v>778292.10000000009</v>
      </c>
      <c r="K297" s="148">
        <f t="shared" si="44"/>
        <v>0.27681239472943392</v>
      </c>
      <c r="L297" s="33">
        <f>+SUM(START:END!L297)</f>
        <v>215440.90000000008</v>
      </c>
      <c r="M297" s="157">
        <f t="shared" si="39"/>
        <v>0.29715350000000018</v>
      </c>
      <c r="N297" s="59">
        <f t="shared" si="40"/>
        <v>44440.900000000111</v>
      </c>
      <c r="O297" s="30">
        <f>+SUM(START:END!O297)</f>
        <v>705651.38999999943</v>
      </c>
      <c r="P297" s="148">
        <f t="shared" si="45"/>
        <v>0.28172483299437628</v>
      </c>
      <c r="Q297" s="33">
        <f>+SUM(START:END!Q297)</f>
        <v>198799.51999999932</v>
      </c>
      <c r="R297" s="157">
        <f t="shared" si="46"/>
        <v>0.10294135465389039</v>
      </c>
      <c r="S297" s="85">
        <f t="shared" si="41"/>
        <v>16641.380000000761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8"/>
        <v>PiècesVentes Internes</v>
      </c>
      <c r="B298" s="11" t="s">
        <v>98</v>
      </c>
      <c r="C298" s="29" t="s">
        <v>103</v>
      </c>
      <c r="D298" s="82">
        <f>+SUM(START:END!D298)</f>
        <v>254799.99999999997</v>
      </c>
      <c r="E298" s="148">
        <f t="shared" si="42"/>
        <v>0.35</v>
      </c>
      <c r="F298" s="85">
        <f>+SUM(START:END!F298)</f>
        <v>89179.999999999985</v>
      </c>
      <c r="G298" s="82">
        <f>+SUM(START:END!G298)</f>
        <v>0</v>
      </c>
      <c r="H298" s="148">
        <f t="shared" si="43"/>
        <v>0</v>
      </c>
      <c r="I298" s="85">
        <f>+SUM(START:END!I298)</f>
        <v>0</v>
      </c>
      <c r="J298" s="30">
        <f>+SUM(START:END!J298)</f>
        <v>249559.73</v>
      </c>
      <c r="K298" s="148">
        <f t="shared" si="44"/>
        <v>0.33835382815969545</v>
      </c>
      <c r="L298" s="33">
        <f>+SUM(START:END!L298)</f>
        <v>84439.489999999991</v>
      </c>
      <c r="M298" s="157">
        <f t="shared" si="39"/>
        <v>-2.0566208791208639E-2</v>
      </c>
      <c r="N298" s="59">
        <f t="shared" si="40"/>
        <v>-4740.5099999999948</v>
      </c>
      <c r="O298" s="30">
        <f>+SUM(START:END!O298)</f>
        <v>215481.36</v>
      </c>
      <c r="P298" s="148">
        <f t="shared" si="45"/>
        <v>0.33547096602694543</v>
      </c>
      <c r="Q298" s="33">
        <f>+SUM(START:END!Q298)</f>
        <v>72287.739999999991</v>
      </c>
      <c r="R298" s="157">
        <f t="shared" si="46"/>
        <v>0.15814996712476673</v>
      </c>
      <c r="S298" s="85">
        <f t="shared" si="41"/>
        <v>12151.75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8"/>
        <v>PiècesVentes Détails</v>
      </c>
      <c r="B299" s="11" t="s">
        <v>98</v>
      </c>
      <c r="C299" s="29" t="s">
        <v>104</v>
      </c>
      <c r="D299" s="82">
        <f>+SUM(START:END!D299)</f>
        <v>297000</v>
      </c>
      <c r="E299" s="148">
        <f t="shared" si="42"/>
        <v>0.29999999999999993</v>
      </c>
      <c r="F299" s="85">
        <f>+SUM(START:END!F299)</f>
        <v>89099.999999999985</v>
      </c>
      <c r="G299" s="82">
        <f>+SUM(START:END!G299)</f>
        <v>0</v>
      </c>
      <c r="H299" s="148">
        <f t="shared" si="43"/>
        <v>0</v>
      </c>
      <c r="I299" s="85">
        <f>+SUM(START:END!I299)</f>
        <v>0</v>
      </c>
      <c r="J299" s="30">
        <f>+SUM(START:END!J299)</f>
        <v>208673.93</v>
      </c>
      <c r="K299" s="148">
        <f t="shared" si="44"/>
        <v>0.33056635296991804</v>
      </c>
      <c r="L299" s="33">
        <f>+SUM(START:END!L299)</f>
        <v>68980.579999999973</v>
      </c>
      <c r="M299" s="157">
        <f t="shared" si="39"/>
        <v>-0.29739417508417509</v>
      </c>
      <c r="N299" s="59">
        <f t="shared" si="40"/>
        <v>-20119.420000000013</v>
      </c>
      <c r="O299" s="30">
        <f>+SUM(START:END!O299)</f>
        <v>314665.81999999966</v>
      </c>
      <c r="P299" s="148">
        <f t="shared" si="45"/>
        <v>0.2797598099469461</v>
      </c>
      <c r="Q299" s="33">
        <f>+SUM(START:END!Q299)</f>
        <v>88030.84999999986</v>
      </c>
      <c r="R299" s="157">
        <f t="shared" si="46"/>
        <v>-0.33683953980130343</v>
      </c>
      <c r="S299" s="85">
        <f t="shared" si="41"/>
        <v>-19050.269999999888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8"/>
        <v>PiècesVentes de Gros</v>
      </c>
      <c r="B300" s="11" t="s">
        <v>98</v>
      </c>
      <c r="C300" s="29" t="s">
        <v>105</v>
      </c>
      <c r="D300" s="82">
        <f>+SUM(START:END!D300)</f>
        <v>580200</v>
      </c>
      <c r="E300" s="148">
        <f t="shared" si="42"/>
        <v>0.20000000000000004</v>
      </c>
      <c r="F300" s="85">
        <f>+SUM(START:END!F300)</f>
        <v>116040.00000000001</v>
      </c>
      <c r="G300" s="82">
        <f>+SUM(START:END!G300)</f>
        <v>0</v>
      </c>
      <c r="H300" s="148">
        <f t="shared" si="43"/>
        <v>0</v>
      </c>
      <c r="I300" s="85">
        <f>+SUM(START:END!I300)</f>
        <v>0</v>
      </c>
      <c r="J300" s="30">
        <f>+SUM(START:END!J300)</f>
        <v>646813.34000000008</v>
      </c>
      <c r="K300" s="148">
        <f t="shared" si="44"/>
        <v>0.19266297136048569</v>
      </c>
      <c r="L300" s="33">
        <f>+SUM(START:END!L300)</f>
        <v>124616.9800000001</v>
      </c>
      <c r="M300" s="157">
        <f t="shared" si="39"/>
        <v>0.11481099620820422</v>
      </c>
      <c r="N300" s="59">
        <f t="shared" si="40"/>
        <v>8576.9800000000832</v>
      </c>
      <c r="O300" s="30">
        <f>+SUM(START:END!O300)</f>
        <v>531794.52</v>
      </c>
      <c r="P300" s="148">
        <f t="shared" si="45"/>
        <v>0.2038442780493486</v>
      </c>
      <c r="Q300" s="33">
        <f>+SUM(START:END!Q300)</f>
        <v>108403.26999999987</v>
      </c>
      <c r="R300" s="157">
        <f t="shared" si="46"/>
        <v>0.21628432726234198</v>
      </c>
      <c r="S300" s="85">
        <f t="shared" si="41"/>
        <v>16213.710000000225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8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2"/>
        <v>0</v>
      </c>
      <c r="F301" s="85">
        <f>+SUM(START:END!F301)</f>
        <v>0</v>
      </c>
      <c r="G301" s="82">
        <f>+SUM(START:END!G301)</f>
        <v>0</v>
      </c>
      <c r="H301" s="148">
        <f t="shared" si="43"/>
        <v>0</v>
      </c>
      <c r="I301" s="85">
        <f>+SUM(START:END!I301)</f>
        <v>0</v>
      </c>
      <c r="J301" s="30">
        <f>+SUM(START:END!J301)</f>
        <v>0</v>
      </c>
      <c r="K301" s="148">
        <f t="shared" si="44"/>
        <v>0</v>
      </c>
      <c r="L301" s="33">
        <f>+SUM(START:END!L301)</f>
        <v>0</v>
      </c>
      <c r="M301" s="157" t="e">
        <f t="shared" si="39"/>
        <v>#DIV/0!</v>
      </c>
      <c r="N301" s="59">
        <f t="shared" si="40"/>
        <v>0</v>
      </c>
      <c r="O301" s="30">
        <f>+SUM(START:END!O301)</f>
        <v>0</v>
      </c>
      <c r="P301" s="148">
        <f t="shared" si="45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8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2"/>
        <v>0</v>
      </c>
      <c r="F302" s="85">
        <f>+SUM(START:END!F302)</f>
        <v>65000</v>
      </c>
      <c r="G302" s="82">
        <f>+SUM(START:END!G302)</f>
        <v>0</v>
      </c>
      <c r="H302" s="148">
        <f t="shared" si="43"/>
        <v>0</v>
      </c>
      <c r="I302" s="85">
        <f>+SUM(START:END!I302)</f>
        <v>0</v>
      </c>
      <c r="J302" s="30">
        <f>+SUM(START:END!J302)</f>
        <v>0</v>
      </c>
      <c r="K302" s="148">
        <f t="shared" si="44"/>
        <v>0</v>
      </c>
      <c r="L302" s="33">
        <f>+SUM(START:END!L302)</f>
        <v>96033.59</v>
      </c>
      <c r="M302" s="157"/>
      <c r="N302" s="59">
        <f t="shared" si="40"/>
        <v>31033.589999999997</v>
      </c>
      <c r="O302" s="30">
        <f>+SUM(START:END!O302)</f>
        <v>0</v>
      </c>
      <c r="P302" s="148">
        <f t="shared" si="45"/>
        <v>0</v>
      </c>
      <c r="Q302" s="33">
        <f>+SUM(START:END!Q302)</f>
        <v>66072.73</v>
      </c>
      <c r="R302" s="157">
        <f t="shared" si="46"/>
        <v>0</v>
      </c>
      <c r="S302" s="85">
        <f>L302-Q302</f>
        <v>29960.86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8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2"/>
        <v>0</v>
      </c>
      <c r="F303" s="85">
        <f>+SUM(START:END!F303)</f>
        <v>0</v>
      </c>
      <c r="G303" s="82">
        <f>+SUM(START:END!G303)</f>
        <v>0</v>
      </c>
      <c r="H303" s="148">
        <f t="shared" si="43"/>
        <v>0</v>
      </c>
      <c r="I303" s="85">
        <f>+SUM(START:END!I303)</f>
        <v>0</v>
      </c>
      <c r="J303" s="30">
        <f>+SUM(START:END!J303)</f>
        <v>0</v>
      </c>
      <c r="K303" s="148">
        <f t="shared" si="44"/>
        <v>0</v>
      </c>
      <c r="L303" s="33">
        <f>+SUM(START:END!L303)</f>
        <v>20577.169999999998</v>
      </c>
      <c r="M303" s="157"/>
      <c r="N303" s="59">
        <f t="shared" si="40"/>
        <v>20577.169999999998</v>
      </c>
      <c r="O303" s="30">
        <f>+SUM(START:END!O303)</f>
        <v>0</v>
      </c>
      <c r="P303" s="148">
        <f t="shared" si="45"/>
        <v>0</v>
      </c>
      <c r="Q303" s="33">
        <f>+SUM(START:END!Q303)</f>
        <v>9377.1</v>
      </c>
      <c r="R303" s="157">
        <f t="shared" si="46"/>
        <v>0</v>
      </c>
      <c r="S303" s="85">
        <f>L303-Q303</f>
        <v>11200.069999999998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8"/>
        <v>PiècesSous-total Pièces</v>
      </c>
      <c r="B304" s="11" t="s">
        <v>98</v>
      </c>
      <c r="C304" s="53" t="s">
        <v>108</v>
      </c>
      <c r="D304" s="195">
        <f>SUM(D295:D303)</f>
        <v>2484600</v>
      </c>
      <c r="E304" s="213">
        <f>IF(D304&lt;=0,0,F304/D304)</f>
        <v>0.33763422683731781</v>
      </c>
      <c r="F304" s="199">
        <f>SUM(F295:F303)</f>
        <v>838885.99999999988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2574276.3600000003</v>
      </c>
      <c r="K304" s="213">
        <f>IF(J304&lt;=0,0,L304/J304)</f>
        <v>0.34468346669663702</v>
      </c>
      <c r="L304" s="197">
        <f>SUM(L295:L303)</f>
        <v>887310.50000000012</v>
      </c>
      <c r="M304" s="214">
        <f>(+J304-D304)/D304</f>
        <v>3.6092876116880113E-2</v>
      </c>
      <c r="N304" s="197">
        <f t="shared" si="40"/>
        <v>48424.500000000233</v>
      </c>
      <c r="O304" s="195">
        <f>SUM(O295:O303)</f>
        <v>2466721.959999999</v>
      </c>
      <c r="P304" s="213">
        <f>IF(O304&lt;=0,0,Q304/O304)</f>
        <v>0.33300355829320899</v>
      </c>
      <c r="Q304" s="197">
        <f>SUM(Q295:Q303)</f>
        <v>821427.18999999843</v>
      </c>
      <c r="R304" s="214">
        <f>IF(O304=0,0,(J304-O304)/O304)</f>
        <v>4.3602157739740292E-2</v>
      </c>
      <c r="S304" s="199">
        <f>L304-Q304</f>
        <v>65883.310000001686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8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5.7724768323705773E-2</v>
      </c>
      <c r="O305" s="41"/>
      <c r="P305" s="13"/>
      <c r="Q305" s="40"/>
      <c r="R305" s="41"/>
      <c r="S305" s="44">
        <f>IF(Q304=0,0,S304/Q304)</f>
        <v>8.0205903581060917E-2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8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8"/>
        <v>PiècesVentes Pneus</v>
      </c>
      <c r="B307" s="11" t="s">
        <v>98</v>
      </c>
      <c r="C307" s="29" t="s">
        <v>109</v>
      </c>
      <c r="D307" s="82">
        <f>+SUM(START:END!D307)</f>
        <v>800000</v>
      </c>
      <c r="E307" s="148">
        <f>IF(D307=0,0,F307/D307)</f>
        <v>0.23999999999999996</v>
      </c>
      <c r="F307" s="110">
        <f>+SUM(START:END!F307)</f>
        <v>191999.99999999997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929937.22</v>
      </c>
      <c r="K307" s="148">
        <f>IF(J307=0,0,L307/J307)</f>
        <v>0.25242496477342841</v>
      </c>
      <c r="L307" s="33">
        <f>+SUM(START:END!L307)</f>
        <v>234739.36999999994</v>
      </c>
      <c r="M307" s="157">
        <f>(+J307-D307)/D307</f>
        <v>0.16242152499999996</v>
      </c>
      <c r="N307" s="59">
        <f>L307-F307</f>
        <v>42739.369999999966</v>
      </c>
      <c r="O307" s="30">
        <f>+SUM(START:END!O307)</f>
        <v>801655.19</v>
      </c>
      <c r="P307" s="148">
        <f>IF(O307=0,0,Q307/O307)</f>
        <v>0.24752835442879059</v>
      </c>
      <c r="Q307" s="33">
        <f>+SUM(START:END!Q307)</f>
        <v>198432.38999999946</v>
      </c>
      <c r="R307" s="157">
        <f>IF(O307=0,0,(J307-O307)/O307)</f>
        <v>0.16002145510964638</v>
      </c>
      <c r="S307" s="85">
        <f>L307-Q307</f>
        <v>36306.980000000476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8"/>
        <v>PiècesHuiles et Graisse</v>
      </c>
      <c r="B308" s="11" t="s">
        <v>98</v>
      </c>
      <c r="C308" s="86" t="s">
        <v>110</v>
      </c>
      <c r="D308" s="82">
        <f>+SUM(START:END!D308)</f>
        <v>135500</v>
      </c>
      <c r="E308" s="148">
        <f>IF(D308=0,0,F308/D308)</f>
        <v>0.34399999999999997</v>
      </c>
      <c r="F308" s="92">
        <f>+SUM(START:END!F308)</f>
        <v>46612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139294.45000000001</v>
      </c>
      <c r="K308" s="148">
        <f>IF(J308=0,0,L308/J308)</f>
        <v>0.35498363359057017</v>
      </c>
      <c r="L308" s="33">
        <f>+SUM(START:END!L308)</f>
        <v>49447.25</v>
      </c>
      <c r="M308" s="157">
        <f>(+J308-D308)/D308</f>
        <v>2.8003321033210418E-2</v>
      </c>
      <c r="N308" s="59">
        <f>L308-F308</f>
        <v>2835.25</v>
      </c>
      <c r="O308" s="30">
        <f>+SUM(START:END!O308)</f>
        <v>132021.76999999999</v>
      </c>
      <c r="P308" s="148">
        <f>IF(O308=0,0,Q308/O308)</f>
        <v>0.34740687085167832</v>
      </c>
      <c r="Q308" s="33">
        <f>+SUM(START:END!Q308)</f>
        <v>45865.269999999975</v>
      </c>
      <c r="R308" s="157">
        <f>IF(O308=0,0,(J308-O308)/O308)</f>
        <v>5.5086975428370814E-2</v>
      </c>
      <c r="S308" s="85">
        <f>L308-Q308</f>
        <v>3581.980000000025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8"/>
        <v>PiècesSous-total Pièces et Acc.</v>
      </c>
      <c r="B309" s="11" t="s">
        <v>98</v>
      </c>
      <c r="C309" s="53" t="s">
        <v>111</v>
      </c>
      <c r="D309" s="195">
        <f>D304+D307+D308</f>
        <v>3420100</v>
      </c>
      <c r="E309" s="213">
        <f>IF(D309&lt;=0,0,F309/D309)</f>
        <v>0.315048682787053</v>
      </c>
      <c r="F309" s="197">
        <f>F304+F307+F308</f>
        <v>1077498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3643508.0300000003</v>
      </c>
      <c r="K309" s="213">
        <f>IF(J309&lt;=0,0,L309/J309)</f>
        <v>0.32152999536548299</v>
      </c>
      <c r="L309" s="197">
        <f>L304+L307+L308</f>
        <v>1171497.1200000001</v>
      </c>
      <c r="M309" s="214">
        <f>(+J309-D309)/D309</f>
        <v>6.5322075377913E-2</v>
      </c>
      <c r="N309" s="197">
        <f>L309-F309</f>
        <v>93999.120000000112</v>
      </c>
      <c r="O309" s="198">
        <f>O304+O307+O308</f>
        <v>3400398.919999999</v>
      </c>
      <c r="P309" s="213">
        <f>IF(O309&lt;=0,0,Q309/O309)</f>
        <v>0.31341171288220443</v>
      </c>
      <c r="Q309" s="197">
        <f>Q304+Q307+Q308</f>
        <v>1065724.8499999978</v>
      </c>
      <c r="R309" s="214">
        <f>IF(O309=0,0,(J309-O309)/O309)</f>
        <v>7.1494291028654178E-2</v>
      </c>
      <c r="S309" s="199">
        <f>L309-Q309</f>
        <v>105772.27000000235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8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8.7238324340277298E-2</v>
      </c>
      <c r="O310" s="41"/>
      <c r="P310" s="13"/>
      <c r="Q310" s="40"/>
      <c r="R310" s="41"/>
      <c r="S310" s="44">
        <f>IF(Q309=0,0,S309/Q309)</f>
        <v>9.9249135459309759E-2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8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8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8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8"/>
        <v>PiècesTotal Dépt. Pièces</v>
      </c>
      <c r="B314" s="11" t="s">
        <v>98</v>
      </c>
      <c r="C314" s="62" t="s">
        <v>113</v>
      </c>
      <c r="D314" s="63">
        <f>D309+D312+D311</f>
        <v>3420100</v>
      </c>
      <c r="E314" s="219">
        <f>IF(D314&lt;=0,0,F314/D314)</f>
        <v>0.315048682787053</v>
      </c>
      <c r="F314" s="65">
        <f>F309+F312+F311</f>
        <v>1077498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3643508.0300000003</v>
      </c>
      <c r="K314" s="219">
        <f>IF(J314&lt;=0,0,L314/J314)</f>
        <v>0.32152999536548299</v>
      </c>
      <c r="L314" s="65">
        <f>L309+L312+L311</f>
        <v>1171497.1200000001</v>
      </c>
      <c r="M314" s="220">
        <f>(+J314-D314)/D314</f>
        <v>6.5322075377913E-2</v>
      </c>
      <c r="N314" s="221">
        <f>L314-F314</f>
        <v>93999.120000000112</v>
      </c>
      <c r="O314" s="66">
        <f>O309+O312+O311</f>
        <v>3400398.919999999</v>
      </c>
      <c r="P314" s="219">
        <f>IF(O314&lt;=0,0,Q314/O314)</f>
        <v>0.31341171288220443</v>
      </c>
      <c r="Q314" s="65">
        <f>Q309+Q312+Q311</f>
        <v>1065724.8499999978</v>
      </c>
      <c r="R314" s="220">
        <f>IF(O314=0,0,(J314-O314)/O314)</f>
        <v>7.1494291028654178E-2</v>
      </c>
      <c r="S314" s="222">
        <f>L314-Q314</f>
        <v>105772.27000000235</v>
      </c>
      <c r="T314" s="13"/>
      <c r="U314" s="13"/>
      <c r="V314" s="454">
        <f>(L314+L194)/(F194+F314)</f>
        <v>1.1626970074720955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8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8.7238324340277298E-2</v>
      </c>
      <c r="O315" s="227"/>
      <c r="P315" s="225"/>
      <c r="Q315" s="226"/>
      <c r="R315" s="228"/>
      <c r="S315" s="75">
        <f>IF(Q314=0,0,S314/Q314)</f>
        <v>9.9249135459309759E-2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8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8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8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51145.723076923074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46685.820000000007</v>
      </c>
      <c r="M318" s="41"/>
      <c r="N318" s="59">
        <f t="shared" ref="N318:N348" si="47">L318-F318</f>
        <v>-4459.9030769230667</v>
      </c>
      <c r="O318" s="41"/>
      <c r="P318" s="13"/>
      <c r="Q318" s="33">
        <f>+SUM(START:END!Q318)</f>
        <v>38915.579999999994</v>
      </c>
      <c r="R318" s="41"/>
      <c r="S318" s="85">
        <f t="shared" ref="S318:S343" si="48">L318-Q318</f>
        <v>7770.2400000000125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8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33795.4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32821.380000000005</v>
      </c>
      <c r="M319" s="41"/>
      <c r="N319" s="59">
        <f t="shared" si="47"/>
        <v>-974.0199999999968</v>
      </c>
      <c r="O319" s="41"/>
      <c r="P319" s="13"/>
      <c r="Q319" s="33">
        <f>+SUM(START:END!Q319)</f>
        <v>32563.379999999994</v>
      </c>
      <c r="R319" s="41"/>
      <c r="S319" s="85">
        <f t="shared" si="48"/>
        <v>258.00000000001091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8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170693.44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170838.55000000002</v>
      </c>
      <c r="M320" s="107"/>
      <c r="N320" s="109">
        <f t="shared" si="47"/>
        <v>145.11000000001513</v>
      </c>
      <c r="O320" s="107"/>
      <c r="P320" s="105"/>
      <c r="Q320" s="108">
        <f>+SUM(START:END!Q320)</f>
        <v>155162.27999999997</v>
      </c>
      <c r="R320" s="107"/>
      <c r="S320" s="110">
        <f t="shared" si="48"/>
        <v>15676.270000000048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8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7"/>
        <v>0</v>
      </c>
      <c r="O321" s="41"/>
      <c r="P321" s="13"/>
      <c r="Q321" s="33">
        <f>+SUM(START:END!Q321)</f>
        <v>0</v>
      </c>
      <c r="R321" s="41"/>
      <c r="S321" s="85">
        <f t="shared" si="48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8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7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8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7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8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7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8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33971.985520669259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31011.190000000002</v>
      </c>
      <c r="M325" s="41"/>
      <c r="N325" s="59">
        <f t="shared" si="47"/>
        <v>-2960.7955206692568</v>
      </c>
      <c r="O325" s="41"/>
      <c r="P325" s="13"/>
      <c r="Q325" s="33">
        <f>+SUM(START:END!Q325)</f>
        <v>30666.159999999996</v>
      </c>
      <c r="R325" s="41"/>
      <c r="S325" s="85">
        <f t="shared" si="48"/>
        <v>345.03000000000611</v>
      </c>
      <c r="T325" s="13"/>
      <c r="U325" s="13"/>
      <c r="V325" s="454">
        <f>L325/($L$318+$L$319+$L$320)</f>
        <v>0.12387344302829187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8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38971.385119418388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43830.82</v>
      </c>
      <c r="M326" s="107"/>
      <c r="N326" s="109">
        <f t="shared" si="47"/>
        <v>4859.4348805816117</v>
      </c>
      <c r="O326" s="107"/>
      <c r="P326" s="105"/>
      <c r="Q326" s="108">
        <f>+SUM(START:END!Q326)</f>
        <v>40449.560000000005</v>
      </c>
      <c r="R326" s="107"/>
      <c r="S326" s="110">
        <f t="shared" si="48"/>
        <v>3381.2599999999948</v>
      </c>
      <c r="T326" s="13"/>
      <c r="U326" s="13"/>
      <c r="V326" s="454">
        <f t="shared" ref="V326:V329" si="49">L326/($L$318+$L$319+$L$320)</f>
        <v>0.17508114277953588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8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20274.251630769235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25601.510000000002</v>
      </c>
      <c r="M327" s="41"/>
      <c r="N327" s="59">
        <f t="shared" si="47"/>
        <v>5327.2583692307671</v>
      </c>
      <c r="O327" s="41"/>
      <c r="P327" s="13"/>
      <c r="Q327" s="33">
        <f>+SUM(START:END!Q327)</f>
        <v>20175.999999999996</v>
      </c>
      <c r="R327" s="41"/>
      <c r="S327" s="85">
        <f t="shared" si="48"/>
        <v>5425.5100000000057</v>
      </c>
      <c r="T327" s="13"/>
      <c r="U327" s="13"/>
      <c r="V327" s="454">
        <f t="shared" si="49"/>
        <v>0.1022646080470709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8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4344.4824923076922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7072</v>
      </c>
      <c r="M328" s="467"/>
      <c r="N328" s="146">
        <f t="shared" si="47"/>
        <v>2727.5175076923078</v>
      </c>
      <c r="O328" s="41"/>
      <c r="P328" s="13"/>
      <c r="Q328" s="33">
        <f>+SUM(START:END!Q328)</f>
        <v>3409.29</v>
      </c>
      <c r="R328" s="41"/>
      <c r="S328" s="85">
        <f t="shared" si="48"/>
        <v>3662.71</v>
      </c>
      <c r="T328" s="13"/>
      <c r="U328" s="13"/>
      <c r="V328" s="454">
        <f t="shared" si="49"/>
        <v>2.8248931727420972E-2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8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454">
        <f t="shared" si="49"/>
        <v>0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8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0.32779333960720819</v>
      </c>
      <c r="F330" s="96">
        <f>+SUM(F318:F329)</f>
        <v>353196.66784008761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0.30547345263640091</v>
      </c>
      <c r="L330" s="96">
        <f>+SUM(L318:L329)</f>
        <v>357861.27000000008</v>
      </c>
      <c r="M330" s="147"/>
      <c r="N330" s="113">
        <f t="shared" si="47"/>
        <v>4664.6021599124651</v>
      </c>
      <c r="O330" s="97" t="s">
        <v>38</v>
      </c>
      <c r="P330" s="95">
        <f>Q330/Q$314</f>
        <v>0.30152459145529037</v>
      </c>
      <c r="Q330" s="96">
        <f>+SUM(Q318:Q329)</f>
        <v>321342.24999999994</v>
      </c>
      <c r="R330" s="147"/>
      <c r="S330" s="114">
        <f t="shared" si="48"/>
        <v>36519.020000000135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8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36636.950000000004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41843.939999999995</v>
      </c>
      <c r="M331" s="41"/>
      <c r="N331" s="59">
        <f t="shared" si="47"/>
        <v>5206.9899999999907</v>
      </c>
      <c r="O331" s="41"/>
      <c r="P331" s="13"/>
      <c r="Q331" s="33">
        <f>+SUM(START:END!Q331)</f>
        <v>38906.42</v>
      </c>
      <c r="R331" s="41"/>
      <c r="S331" s="85">
        <f t="shared" si="48"/>
        <v>2937.5199999999968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8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6900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7515.5599999999995</v>
      </c>
      <c r="M332" s="41"/>
      <c r="N332" s="59">
        <f t="shared" si="47"/>
        <v>615.55999999999949</v>
      </c>
      <c r="O332" s="41"/>
      <c r="P332" s="13"/>
      <c r="Q332" s="33">
        <f>+SUM(START:END!Q332)</f>
        <v>7545.0999999999985</v>
      </c>
      <c r="R332" s="41"/>
      <c r="S332" s="85">
        <f t="shared" si="48"/>
        <v>-29.539999999999054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8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60947.200000000004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60160.55</v>
      </c>
      <c r="M333" s="23"/>
      <c r="N333" s="91">
        <f t="shared" si="47"/>
        <v>-786.65000000000146</v>
      </c>
      <c r="O333" s="23"/>
      <c r="P333" s="111"/>
      <c r="Q333" s="33">
        <f>+SUM(START:END!Q333)</f>
        <v>57108.679999999986</v>
      </c>
      <c r="R333" s="23"/>
      <c r="S333" s="92">
        <f t="shared" si="48"/>
        <v>3051.8700000000172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8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21921.599999999995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22889.449999999997</v>
      </c>
      <c r="M334" s="41"/>
      <c r="N334" s="59">
        <f t="shared" si="47"/>
        <v>967.85000000000218</v>
      </c>
      <c r="O334" s="41"/>
      <c r="P334" s="13"/>
      <c r="Q334" s="108">
        <f>+SUM(START:END!Q334)</f>
        <v>21479.54</v>
      </c>
      <c r="R334" s="41"/>
      <c r="S334" s="85">
        <f t="shared" si="48"/>
        <v>1409.9099999999962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8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4399.9999999999991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2507.75</v>
      </c>
      <c r="M335" s="41"/>
      <c r="N335" s="59">
        <f t="shared" si="47"/>
        <v>-1892.2499999999991</v>
      </c>
      <c r="O335" s="41"/>
      <c r="P335" s="13"/>
      <c r="Q335" s="33">
        <f>+SUM(START:END!Q335)</f>
        <v>2754.8900000000003</v>
      </c>
      <c r="R335" s="41"/>
      <c r="S335" s="85">
        <f t="shared" si="48"/>
        <v>-247.14000000000033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8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24278.400000000005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24919.309999999998</v>
      </c>
      <c r="M336" s="23"/>
      <c r="N336" s="91">
        <f t="shared" si="47"/>
        <v>640.90999999999258</v>
      </c>
      <c r="O336" s="23"/>
      <c r="P336" s="111"/>
      <c r="Q336" s="48">
        <f>+SUM(START:END!Q336)</f>
        <v>21588.270000000004</v>
      </c>
      <c r="R336" s="23"/>
      <c r="S336" s="92">
        <f t="shared" si="48"/>
        <v>3331.0399999999936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8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7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8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120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179.44</v>
      </c>
      <c r="M338" s="41"/>
      <c r="N338" s="59">
        <f t="shared" si="47"/>
        <v>59.44</v>
      </c>
      <c r="O338" s="41"/>
      <c r="P338" s="13"/>
      <c r="Q338" s="33">
        <f>+SUM(START:END!Q338)</f>
        <v>289.81</v>
      </c>
      <c r="R338" s="41"/>
      <c r="S338" s="85">
        <f t="shared" si="48"/>
        <v>-110.37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8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240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450.41</v>
      </c>
      <c r="M339" s="41"/>
      <c r="N339" s="59">
        <f t="shared" si="47"/>
        <v>210.41000000000003</v>
      </c>
      <c r="O339" s="41"/>
      <c r="P339" s="13"/>
      <c r="Q339" s="33">
        <f>+SUM(START:END!Q339)</f>
        <v>184.7</v>
      </c>
      <c r="R339" s="41"/>
      <c r="S339" s="85">
        <f t="shared" si="48"/>
        <v>265.71000000000004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8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3780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2924.54</v>
      </c>
      <c r="M340" s="41"/>
      <c r="N340" s="59">
        <f t="shared" si="47"/>
        <v>-855.46</v>
      </c>
      <c r="O340" s="41"/>
      <c r="P340" s="13"/>
      <c r="Q340" s="32">
        <f>+SUM(START:END!Q340)</f>
        <v>3535.99</v>
      </c>
      <c r="R340" s="41"/>
      <c r="S340" s="85">
        <f t="shared" si="48"/>
        <v>-611.44999999999982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8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1420.8000000000002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1740.26</v>
      </c>
      <c r="M341" s="41"/>
      <c r="N341" s="59">
        <f t="shared" si="47"/>
        <v>319.45999999999981</v>
      </c>
      <c r="O341" s="41"/>
      <c r="P341" s="13"/>
      <c r="Q341" s="33">
        <f>+SUM(START:END!Q341)</f>
        <v>1427.3799999999999</v>
      </c>
      <c r="R341" s="41"/>
      <c r="S341" s="85">
        <f t="shared" si="48"/>
        <v>312.88000000000011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8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7080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9268.89</v>
      </c>
      <c r="M342" s="41"/>
      <c r="N342" s="59">
        <f t="shared" si="47"/>
        <v>2188.8899999999994</v>
      </c>
      <c r="O342" s="41"/>
      <c r="P342" s="13"/>
      <c r="Q342" s="33">
        <f>+SUM(START:END!Q342)</f>
        <v>6059.36</v>
      </c>
      <c r="R342" s="41"/>
      <c r="S342" s="85">
        <f t="shared" si="48"/>
        <v>3209.5299999999997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8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4178.3999999999996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4191.53</v>
      </c>
      <c r="M343" s="41"/>
      <c r="N343" s="59">
        <f t="shared" si="47"/>
        <v>13.130000000000109</v>
      </c>
      <c r="O343" s="41"/>
      <c r="P343" s="13"/>
      <c r="Q343" s="33">
        <f>+SUM(START:END!Q343)</f>
        <v>4033.7</v>
      </c>
      <c r="R343" s="41"/>
      <c r="S343" s="85">
        <f t="shared" si="48"/>
        <v>157.82999999999993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8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3076.9787199999987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1469.8600000000001</v>
      </c>
      <c r="M344" s="41"/>
      <c r="N344" s="59">
        <f t="shared" si="47"/>
        <v>-1607.1187199999986</v>
      </c>
      <c r="O344" s="41"/>
      <c r="P344" s="13"/>
      <c r="Q344" s="33">
        <f>+SUM(START:END!Q344)</f>
        <v>788.81</v>
      </c>
      <c r="R344" s="41"/>
      <c r="S344" s="85">
        <f>L344-Q344</f>
        <v>681.05000000000018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8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15705.270201176472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15523.07</v>
      </c>
      <c r="M345" s="41"/>
      <c r="N345" s="59">
        <f t="shared" si="47"/>
        <v>-182.20020117647255</v>
      </c>
      <c r="O345" s="41"/>
      <c r="P345" s="13"/>
      <c r="Q345" s="33">
        <f>+SUM(START:END!Q345)</f>
        <v>15948.069999999998</v>
      </c>
      <c r="R345" s="41"/>
      <c r="S345" s="85">
        <f>L345-Q345</f>
        <v>-424.99999999999818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8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7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8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7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8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7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0.17697072191426474</v>
      </c>
      <c r="F349" s="96">
        <f>+SUM(F331:F348)</f>
        <v>190685.59892117642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0.16695265968728973</v>
      </c>
      <c r="L349" s="96">
        <f>+SUM(L331:L348)</f>
        <v>195584.56000000003</v>
      </c>
      <c r="M349" s="100"/>
      <c r="N349" s="96">
        <f>+SUM(N331:N348)</f>
        <v>4898.9610788235123</v>
      </c>
      <c r="O349" s="97" t="s">
        <v>38</v>
      </c>
      <c r="P349" s="95">
        <f>Q349/Q$314</f>
        <v>0.170448047636311</v>
      </c>
      <c r="Q349" s="96">
        <f>+SUM(Q331:Q348)</f>
        <v>181650.72</v>
      </c>
      <c r="R349" s="100"/>
      <c r="S349" s="101">
        <f>+SUM(S331:S348)</f>
        <v>13933.840000000006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0.50476406152147291</v>
      </c>
      <c r="F351" s="96">
        <f>F330+F349</f>
        <v>543882.26676126407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0.47242611232369058</v>
      </c>
      <c r="L351" s="96">
        <f>L330+L349</f>
        <v>553445.83000000007</v>
      </c>
      <c r="M351" s="100"/>
      <c r="N351" s="113">
        <f>L351-F351</f>
        <v>9563.5632387360092</v>
      </c>
      <c r="O351" s="97" t="s">
        <v>38</v>
      </c>
      <c r="P351" s="95">
        <f>Q351/Q$314</f>
        <v>0.47197263909160136</v>
      </c>
      <c r="Q351" s="96">
        <f>Q330+Q349</f>
        <v>502992.97</v>
      </c>
      <c r="R351" s="100"/>
      <c r="S351" s="114">
        <f>L351-Q351</f>
        <v>50452.860000000102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533615.73323873593</v>
      </c>
      <c r="G353" s="153"/>
      <c r="H353" s="125"/>
      <c r="I353" s="127">
        <f>I314-I351</f>
        <v>0</v>
      </c>
      <c r="J353" s="154"/>
      <c r="K353" s="126"/>
      <c r="L353" s="127">
        <f>L314-L351</f>
        <v>618051.29</v>
      </c>
      <c r="M353" s="154"/>
      <c r="N353" s="127">
        <f>L353-F353</f>
        <v>84435.556761264103</v>
      </c>
      <c r="O353" s="154"/>
      <c r="P353" s="126"/>
      <c r="Q353" s="127">
        <f>Q314-Q351</f>
        <v>562731.87999999779</v>
      </c>
      <c r="R353" s="154"/>
      <c r="S353" s="129">
        <f>L353-Q353</f>
        <v>55319.410000002244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11" t="s">
        <v>5</v>
      </c>
      <c r="E358" s="512"/>
      <c r="F358" s="513"/>
      <c r="G358" s="514" t="s">
        <v>71</v>
      </c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8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50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50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50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50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50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50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50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50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51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50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51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50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51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50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51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50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51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50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51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50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51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50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51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50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51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50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51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50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51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50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51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50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51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50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51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50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51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50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51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50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51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50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51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50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51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50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51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50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51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50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51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50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51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50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51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50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51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50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51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50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51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50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51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50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51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9" t="s">
        <v>117</v>
      </c>
      <c r="Y404" s="516"/>
      <c r="Z404" s="520"/>
      <c r="AA404" s="515" t="s">
        <v>71</v>
      </c>
      <c r="AB404" s="516"/>
      <c r="AC404" s="520"/>
      <c r="AD404" s="515" t="s">
        <v>7</v>
      </c>
      <c r="AE404" s="516"/>
      <c r="AF404" s="520"/>
      <c r="AG404" s="515" t="s">
        <v>213</v>
      </c>
      <c r="AH404" s="516"/>
      <c r="AI404" s="520"/>
      <c r="AJ404" s="515" t="s">
        <v>118</v>
      </c>
      <c r="AK404" s="516"/>
      <c r="AL404" s="516"/>
      <c r="AM404" s="515" t="s">
        <v>119</v>
      </c>
      <c r="AN404" s="516"/>
      <c r="AO404" s="51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52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52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47591727.882352933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43431073.490000002</v>
      </c>
      <c r="AG406" s="265"/>
      <c r="AH406" s="266"/>
      <c r="AI406" s="267"/>
      <c r="AJ406" s="265"/>
      <c r="AK406" s="266"/>
      <c r="AL406" s="266">
        <f>Q5+Q93+P194+P250+O314+O362</f>
        <v>46633420.659999922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52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4548200.7754636509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4832642.3299999963</v>
      </c>
      <c r="AG407" s="273"/>
      <c r="AH407" s="274">
        <f>AF407-Z407</f>
        <v>284441.55453634541</v>
      </c>
      <c r="AI407" s="275">
        <f>AH407/Z407</f>
        <v>6.2539357556692071E-2</v>
      </c>
      <c r="AJ407" s="273"/>
      <c r="AK407" s="274"/>
      <c r="AL407" s="274">
        <f>Q27+Q108+Q194+Q250+Q314+Q362</f>
        <v>4529849.0699999947</v>
      </c>
      <c r="AM407" s="276"/>
      <c r="AN407" s="274">
        <f>AF407-AL407</f>
        <v>302793.26000000164</v>
      </c>
      <c r="AO407" s="277">
        <f>IF(AL407=0,0,AN407/AL407)</f>
        <v>6.6844006350083973E-2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52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52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933.23593073593076</v>
      </c>
      <c r="Z409" s="280">
        <f>+SUM(START:END!Z409)</f>
        <v>431155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933.09348717948728</v>
      </c>
      <c r="AF409" s="280">
        <f>+SUM(START:END!AF409)</f>
        <v>363906.46</v>
      </c>
      <c r="AG409" s="281">
        <f t="shared" ref="AG409:AH424" si="53">AE409-Y409</f>
        <v>-0.14244355644348161</v>
      </c>
      <c r="AH409" s="282">
        <f t="shared" si="53"/>
        <v>-67248.539999999979</v>
      </c>
      <c r="AI409" s="283">
        <f t="shared" ref="AI409:AI418" si="54">IF(Z409=0,0,AH409/Z409)</f>
        <v>-0.15597300274843148</v>
      </c>
      <c r="AJ409" s="288"/>
      <c r="AK409" s="282">
        <f>AL409/(O$13+O$97)</f>
        <v>1099.4775644028105</v>
      </c>
      <c r="AL409" s="280">
        <f>+SUMIF($C:$C,$V409,Q:Q)</f>
        <v>469476.92000000004</v>
      </c>
      <c r="AM409" s="284">
        <f t="shared" ref="AM409:AM414" si="55">AE409-Y409</f>
        <v>-0.14244355644348161</v>
      </c>
      <c r="AN409" s="282">
        <f t="shared" ref="AN409:AN414" si="56">AF409-AL409</f>
        <v>-105570.46000000002</v>
      </c>
      <c r="AO409" s="289">
        <f t="shared" ref="AO409:AO431" si="57">IF(AL409=0,0,AN409/AL409)</f>
        <v>-0.22486826402456592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52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8">Z410/(D$13+D$97)</f>
        <v>462.14880952380952</v>
      </c>
      <c r="Z410" s="264">
        <f>+SUM(START:END!Z410)</f>
        <v>213512.75</v>
      </c>
      <c r="AA410" s="263"/>
      <c r="AB410" s="291">
        <f t="shared" ref="AB410:AB415" si="59">IF(AC410=0,0,AC410/(G$13+G$97))</f>
        <v>0</v>
      </c>
      <c r="AC410" s="264">
        <f>+SUM(START:END!AC410)</f>
        <v>0</v>
      </c>
      <c r="AD410" s="292"/>
      <c r="AE410" s="291">
        <f t="shared" ref="AE410:AE415" si="60">IF(AF410=0,0,AF410/(J$13+J$97))</f>
        <v>556.92879487179493</v>
      </c>
      <c r="AF410" s="264">
        <f>+SUM(START:END!AF410)</f>
        <v>217202.23</v>
      </c>
      <c r="AG410" s="265">
        <f t="shared" si="53"/>
        <v>94.779985347985416</v>
      </c>
      <c r="AH410" s="266">
        <f t="shared" si="53"/>
        <v>3689.4800000000105</v>
      </c>
      <c r="AI410" s="293">
        <f t="shared" si="54"/>
        <v>1.7279904830039473E-2</v>
      </c>
      <c r="AJ410" s="292"/>
      <c r="AK410" s="266">
        <f t="shared" ref="AK410:AK415" si="61">AL410/(O$13+O$97)</f>
        <v>591.17866510538636</v>
      </c>
      <c r="AL410" s="264">
        <f t="shared" ref="AL410:AL415" si="62">+SUMIF($C:$C,$V410,Q:Q)</f>
        <v>252433.28999999998</v>
      </c>
      <c r="AM410" s="268">
        <f t="shared" si="55"/>
        <v>94.779985347985416</v>
      </c>
      <c r="AN410" s="266">
        <f t="shared" si="56"/>
        <v>-35231.059999999969</v>
      </c>
      <c r="AO410" s="294">
        <f t="shared" si="57"/>
        <v>-0.13956582350925256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52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8"/>
        <v>120.36796536796537</v>
      </c>
      <c r="Z411" s="280">
        <f>+SUM(START:END!Z411)</f>
        <v>55610</v>
      </c>
      <c r="AA411" s="279"/>
      <c r="AB411" s="287">
        <f t="shared" si="59"/>
        <v>0</v>
      </c>
      <c r="AC411" s="280">
        <f>+SUM(START:END!AC411)</f>
        <v>0</v>
      </c>
      <c r="AD411" s="288"/>
      <c r="AE411" s="287">
        <f t="shared" si="60"/>
        <v>112.20479487179487</v>
      </c>
      <c r="AF411" s="280">
        <f>+SUM(START:END!AF411)</f>
        <v>43759.87</v>
      </c>
      <c r="AG411" s="281">
        <f t="shared" si="53"/>
        <v>-8.1631704961704941</v>
      </c>
      <c r="AH411" s="282">
        <f t="shared" si="53"/>
        <v>-11850.129999999997</v>
      </c>
      <c r="AI411" s="283">
        <f t="shared" si="54"/>
        <v>-0.21309350836180538</v>
      </c>
      <c r="AJ411" s="288"/>
      <c r="AK411" s="282">
        <f t="shared" si="61"/>
        <v>116.8015925058548</v>
      </c>
      <c r="AL411" s="280">
        <f t="shared" si="62"/>
        <v>49874.28</v>
      </c>
      <c r="AM411" s="284">
        <f t="shared" si="55"/>
        <v>-8.1631704961704941</v>
      </c>
      <c r="AN411" s="282">
        <f t="shared" si="56"/>
        <v>-6114.4099999999962</v>
      </c>
      <c r="AO411" s="289">
        <f t="shared" si="57"/>
        <v>-0.12259645653029971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52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8"/>
        <v>67.562770562770567</v>
      </c>
      <c r="Z412" s="280">
        <f>+SUM(START:END!Z412)</f>
        <v>31214</v>
      </c>
      <c r="AA412" s="279"/>
      <c r="AB412" s="287">
        <f t="shared" si="59"/>
        <v>0</v>
      </c>
      <c r="AC412" s="280">
        <f>+SUM(START:END!AC412)</f>
        <v>0</v>
      </c>
      <c r="AD412" s="288"/>
      <c r="AE412" s="287">
        <f t="shared" si="60"/>
        <v>51.948179487179488</v>
      </c>
      <c r="AF412" s="280">
        <f>+SUM(START:END!AF412)</f>
        <v>20259.79</v>
      </c>
      <c r="AG412" s="281">
        <f t="shared" si="53"/>
        <v>-15.614591075591079</v>
      </c>
      <c r="AH412" s="282">
        <f t="shared" si="53"/>
        <v>-10954.21</v>
      </c>
      <c r="AI412" s="283">
        <f t="shared" si="54"/>
        <v>-0.35093900172999293</v>
      </c>
      <c r="AJ412" s="288"/>
      <c r="AK412" s="282">
        <f t="shared" si="61"/>
        <v>73.11545667447308</v>
      </c>
      <c r="AL412" s="280">
        <f t="shared" si="62"/>
        <v>31220.300000000003</v>
      </c>
      <c r="AM412" s="284">
        <f t="shared" si="55"/>
        <v>-15.614591075591079</v>
      </c>
      <c r="AN412" s="282">
        <f t="shared" si="56"/>
        <v>-10960.510000000002</v>
      </c>
      <c r="AO412" s="295">
        <f t="shared" si="57"/>
        <v>-0.35106997690605152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52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8"/>
        <v>85.303030303030297</v>
      </c>
      <c r="Z413" s="264">
        <f>+SUM(START:END!Z413)</f>
        <v>39410</v>
      </c>
      <c r="AA413" s="263"/>
      <c r="AB413" s="291">
        <f t="shared" si="59"/>
        <v>0</v>
      </c>
      <c r="AC413" s="264">
        <f>+SUM(START:END!AC413)</f>
        <v>0</v>
      </c>
      <c r="AD413" s="292"/>
      <c r="AE413" s="291">
        <f t="shared" si="60"/>
        <v>143.51348717948719</v>
      </c>
      <c r="AF413" s="264">
        <f>+SUM(START:END!AF413)</f>
        <v>55970.26</v>
      </c>
      <c r="AG413" s="265">
        <f t="shared" si="53"/>
        <v>58.210456876456888</v>
      </c>
      <c r="AH413" s="266">
        <f t="shared" si="53"/>
        <v>16560.260000000002</v>
      </c>
      <c r="AI413" s="293">
        <f t="shared" si="54"/>
        <v>0.42020451662014724</v>
      </c>
      <c r="AJ413" s="292"/>
      <c r="AK413" s="266">
        <f t="shared" si="61"/>
        <v>90.469906323185</v>
      </c>
      <c r="AL413" s="264">
        <f t="shared" si="62"/>
        <v>38630.649999999994</v>
      </c>
      <c r="AM413" s="268">
        <f t="shared" si="55"/>
        <v>58.210456876456888</v>
      </c>
      <c r="AN413" s="266">
        <f t="shared" si="56"/>
        <v>17339.610000000008</v>
      </c>
      <c r="AO413" s="294">
        <f t="shared" si="57"/>
        <v>0.44885628380573483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52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8"/>
        <v>477.9220779220779</v>
      </c>
      <c r="Z414" s="280">
        <f>+SUM(START:END!Z414)</f>
        <v>220800</v>
      </c>
      <c r="AA414" s="283"/>
      <c r="AB414" s="287">
        <f t="shared" si="59"/>
        <v>0</v>
      </c>
      <c r="AC414" s="280">
        <f>+SUM(START:END!AC414)</f>
        <v>0</v>
      </c>
      <c r="AD414" s="288"/>
      <c r="AE414" s="287">
        <f t="shared" si="60"/>
        <v>555.26817948717951</v>
      </c>
      <c r="AF414" s="280">
        <f>+SUM(START:END!AF414)</f>
        <v>216554.59</v>
      </c>
      <c r="AG414" s="281">
        <f t="shared" si="53"/>
        <v>77.346101565101606</v>
      </c>
      <c r="AH414" s="282">
        <f t="shared" si="53"/>
        <v>-4245.4100000000035</v>
      </c>
      <c r="AI414" s="283">
        <f t="shared" si="54"/>
        <v>-1.9227400362318858E-2</v>
      </c>
      <c r="AJ414" s="288"/>
      <c r="AK414" s="282">
        <f t="shared" si="61"/>
        <v>580.55817330210743</v>
      </c>
      <c r="AL414" s="280">
        <f t="shared" si="62"/>
        <v>247898.33999999985</v>
      </c>
      <c r="AM414" s="284">
        <f t="shared" si="55"/>
        <v>77.346101565101606</v>
      </c>
      <c r="AN414" s="282">
        <f t="shared" si="56"/>
        <v>-31343.749999999854</v>
      </c>
      <c r="AO414" s="289">
        <f t="shared" si="57"/>
        <v>-0.12643791805947499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52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8"/>
        <v>822.99886598307319</v>
      </c>
      <c r="Z415" s="280">
        <f>+SUM(START:END!Z415)</f>
        <v>380225.47608417983</v>
      </c>
      <c r="AA415" s="279"/>
      <c r="AB415" s="287">
        <f t="shared" si="59"/>
        <v>0</v>
      </c>
      <c r="AC415" s="280">
        <f>+SUM(START:END!AC415)</f>
        <v>0</v>
      </c>
      <c r="AD415" s="288"/>
      <c r="AE415" s="287">
        <f t="shared" si="60"/>
        <v>835.0740512820513</v>
      </c>
      <c r="AF415" s="280">
        <f>+SUM(START:END!AF415)</f>
        <v>325678.88</v>
      </c>
      <c r="AG415" s="281">
        <f t="shared" si="53"/>
        <v>12.075185298978113</v>
      </c>
      <c r="AH415" s="282">
        <f t="shared" si="53"/>
        <v>-54546.596084179822</v>
      </c>
      <c r="AI415" s="283">
        <f t="shared" si="54"/>
        <v>-0.1434585516097914</v>
      </c>
      <c r="AJ415" s="288"/>
      <c r="AK415" s="282">
        <f t="shared" si="61"/>
        <v>1050.7263466042155</v>
      </c>
      <c r="AL415" s="280">
        <f t="shared" si="62"/>
        <v>448660.14999999997</v>
      </c>
      <c r="AM415" s="284">
        <f>AE415-Y415</f>
        <v>12.075185298978113</v>
      </c>
      <c r="AN415" s="282">
        <f>AF415-AL415</f>
        <v>-122981.26999999996</v>
      </c>
      <c r="AO415" s="289">
        <f t="shared" si="57"/>
        <v>-0.27410785201226356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52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3"/>
        <v>0</v>
      </c>
      <c r="AH416" s="282">
        <f t="shared" si="53"/>
        <v>0</v>
      </c>
      <c r="AI416" s="283">
        <f t="shared" si="54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7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52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3"/>
        <v>0</v>
      </c>
      <c r="AH417" s="282">
        <f t="shared" si="53"/>
        <v>0</v>
      </c>
      <c r="AI417" s="283">
        <f t="shared" si="54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7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52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3"/>
        <v>0</v>
      </c>
      <c r="AH418" s="282">
        <f t="shared" si="53"/>
        <v>0</v>
      </c>
      <c r="AI418" s="283">
        <f t="shared" si="54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7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52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0.30164174666284893</v>
      </c>
      <c r="Y419" s="297"/>
      <c r="Z419" s="299">
        <f>SUM(Z409:Z418)</f>
        <v>1371927.2260841797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0.257277902045774</v>
      </c>
      <c r="AE419" s="297"/>
      <c r="AF419" s="299">
        <f>SUM(AF409:AF418)</f>
        <v>1243332.08</v>
      </c>
      <c r="AG419" s="301"/>
      <c r="AH419" s="302">
        <f t="shared" si="53"/>
        <v>-128595.14608417964</v>
      </c>
      <c r="AI419" s="298">
        <f>AH419/Z419</f>
        <v>-9.3733212403125821E-2</v>
      </c>
      <c r="AJ419" s="300">
        <f>IF($AL$407=0,0,AL419/$AL$407)</f>
        <v>0.33956847264229084</v>
      </c>
      <c r="AK419" s="297"/>
      <c r="AL419" s="299">
        <f>SUM(AL409:AL418)</f>
        <v>1538193.9299999997</v>
      </c>
      <c r="AM419" s="303"/>
      <c r="AN419" s="302">
        <f t="shared" ref="AN419:AN431" si="63">AF419-AL419</f>
        <v>-294861.84999999963</v>
      </c>
      <c r="AO419" s="277">
        <f t="shared" si="57"/>
        <v>-0.19169354672983249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52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169988.01538461537</v>
      </c>
      <c r="AA420" s="279"/>
      <c r="AB420" s="279">
        <f t="shared" ref="AB420:AB430" si="64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177787.49000000002</v>
      </c>
      <c r="AG420" s="281"/>
      <c r="AH420" s="282">
        <f t="shared" si="53"/>
        <v>7799.47461538465</v>
      </c>
      <c r="AI420" s="283">
        <f t="shared" ref="AI420:AI432" si="65">IF(Z420=0,0,AH420/Z420)</f>
        <v>4.5882497055674994E-2</v>
      </c>
      <c r="AJ420" s="288"/>
      <c r="AK420" s="279"/>
      <c r="AL420" s="280">
        <f>+SUM(START:END!AL420)</f>
        <v>163569.72999999989</v>
      </c>
      <c r="AM420" s="284"/>
      <c r="AN420" s="282">
        <f t="shared" si="63"/>
        <v>14217.760000000126</v>
      </c>
      <c r="AO420" s="289">
        <f t="shared" si="57"/>
        <v>8.6921706112739416E-2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52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385853.5384615385</v>
      </c>
      <c r="AA421" s="279"/>
      <c r="AB421" s="279">
        <f t="shared" si="64"/>
        <v>0</v>
      </c>
      <c r="AC421" s="280">
        <f>+SUM(START:END!AC421)</f>
        <v>0</v>
      </c>
      <c r="AD421" s="288"/>
      <c r="AE421" s="287"/>
      <c r="AF421" s="280">
        <f>+SUM(START:END!AF421)</f>
        <v>393964.35</v>
      </c>
      <c r="AG421" s="281"/>
      <c r="AH421" s="282">
        <f t="shared" si="53"/>
        <v>8110.8115384614794</v>
      </c>
      <c r="AI421" s="283">
        <f t="shared" si="65"/>
        <v>2.1020440996344411E-2</v>
      </c>
      <c r="AJ421" s="288"/>
      <c r="AK421" s="279"/>
      <c r="AL421" s="280">
        <f t="shared" ref="AL421:AL430" si="66">+SUMIF($C:$C,$V421,Q:Q)</f>
        <v>343977.00999999995</v>
      </c>
      <c r="AM421" s="284"/>
      <c r="AN421" s="282">
        <f t="shared" si="63"/>
        <v>49987.340000000026</v>
      </c>
      <c r="AO421" s="289">
        <f t="shared" si="57"/>
        <v>0.14532174693884348</v>
      </c>
      <c r="AP421" s="246"/>
      <c r="AQ421" s="246" t="s">
        <v>281</v>
      </c>
      <c r="AR421" t="s">
        <v>281</v>
      </c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52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250925</v>
      </c>
      <c r="AA422" s="263"/>
      <c r="AB422" s="263">
        <f t="shared" si="64"/>
        <v>0</v>
      </c>
      <c r="AC422" s="264">
        <f>+SUM(START:END!AC422)</f>
        <v>0</v>
      </c>
      <c r="AD422" s="292"/>
      <c r="AE422" s="291"/>
      <c r="AF422" s="264">
        <f>+SUM(START:END!AF422)</f>
        <v>235790.71000000002</v>
      </c>
      <c r="AG422" s="265"/>
      <c r="AH422" s="266">
        <f t="shared" si="53"/>
        <v>-15134.289999999979</v>
      </c>
      <c r="AI422" s="293">
        <f t="shared" si="65"/>
        <v>-6.0313998206635362E-2</v>
      </c>
      <c r="AJ422" s="292"/>
      <c r="AK422" s="263"/>
      <c r="AL422" s="264">
        <f t="shared" si="66"/>
        <v>240350.95</v>
      </c>
      <c r="AM422" s="268"/>
      <c r="AN422" s="266">
        <f t="shared" si="63"/>
        <v>-4560.2399999999907</v>
      </c>
      <c r="AO422" s="269">
        <f t="shared" si="57"/>
        <v>-1.8973255566495536E-2</v>
      </c>
      <c r="AP422" s="246"/>
      <c r="AQ422" s="246">
        <v>251016</v>
      </c>
      <c r="AR422">
        <v>251016</v>
      </c>
      <c r="AS422" s="246" t="s">
        <v>283</v>
      </c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52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277862.44</v>
      </c>
      <c r="AA423" s="279"/>
      <c r="AB423" s="279">
        <f t="shared" si="64"/>
        <v>0</v>
      </c>
      <c r="AC423" s="280">
        <f>+SUM(START:END!AC423)</f>
        <v>0</v>
      </c>
      <c r="AD423" s="288"/>
      <c r="AE423" s="287"/>
      <c r="AF423" s="280">
        <f>+SUM(START:END!AF423)</f>
        <v>296971.89</v>
      </c>
      <c r="AG423" s="281"/>
      <c r="AH423" s="282">
        <f t="shared" si="53"/>
        <v>19109.450000000012</v>
      </c>
      <c r="AI423" s="283">
        <f t="shared" si="65"/>
        <v>6.8773059071963849E-2</v>
      </c>
      <c r="AJ423" s="288"/>
      <c r="AK423" s="279"/>
      <c r="AL423" s="280">
        <f t="shared" si="66"/>
        <v>259918.56999999995</v>
      </c>
      <c r="AM423" s="284"/>
      <c r="AN423" s="282">
        <f t="shared" si="63"/>
        <v>37053.320000000065</v>
      </c>
      <c r="AO423" s="289">
        <f t="shared" si="57"/>
        <v>0.14255741711721512</v>
      </c>
      <c r="AP423" s="246"/>
      <c r="AQ423" s="246">
        <v>77844</v>
      </c>
      <c r="AR423">
        <v>77844</v>
      </c>
      <c r="AS423" s="246" t="s">
        <v>282</v>
      </c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52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172166.052</v>
      </c>
      <c r="AA424" s="279"/>
      <c r="AB424" s="279">
        <f t="shared" si="64"/>
        <v>0</v>
      </c>
      <c r="AC424" s="280">
        <f>+SUM(START:END!AC424)</f>
        <v>0</v>
      </c>
      <c r="AD424" s="288"/>
      <c r="AE424" s="287"/>
      <c r="AF424" s="280">
        <f>+SUM(START:END!AF424)</f>
        <v>174720.71000000002</v>
      </c>
      <c r="AG424" s="281"/>
      <c r="AH424" s="282">
        <f t="shared" si="53"/>
        <v>2554.6580000000249</v>
      </c>
      <c r="AI424" s="283">
        <f t="shared" si="65"/>
        <v>1.4838337583532583E-2</v>
      </c>
      <c r="AJ424" s="288"/>
      <c r="AK424" s="279"/>
      <c r="AL424" s="280">
        <f t="shared" si="66"/>
        <v>145388.35999999999</v>
      </c>
      <c r="AM424" s="284"/>
      <c r="AN424" s="282">
        <f t="shared" si="63"/>
        <v>29332.350000000035</v>
      </c>
      <c r="AO424" s="289">
        <f t="shared" si="57"/>
        <v>0.20175170832107905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52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4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7">AF425-Z425</f>
        <v>0</v>
      </c>
      <c r="AI425" s="283">
        <f t="shared" si="65"/>
        <v>0</v>
      </c>
      <c r="AJ425" s="288"/>
      <c r="AK425" s="279"/>
      <c r="AL425" s="280"/>
      <c r="AM425" s="284"/>
      <c r="AN425" s="282">
        <f t="shared" si="63"/>
        <v>0</v>
      </c>
      <c r="AO425" s="289">
        <f t="shared" si="57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52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4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7"/>
        <v>0</v>
      </c>
      <c r="AI426" s="283">
        <f t="shared" si="65"/>
        <v>0</v>
      </c>
      <c r="AJ426" s="288"/>
      <c r="AK426" s="279"/>
      <c r="AL426" s="280"/>
      <c r="AM426" s="284"/>
      <c r="AN426" s="282">
        <f t="shared" si="63"/>
        <v>0</v>
      </c>
      <c r="AO426" s="289">
        <f t="shared" si="57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52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4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7"/>
        <v>0</v>
      </c>
      <c r="AI427" s="283">
        <f t="shared" si="65"/>
        <v>0</v>
      </c>
      <c r="AJ427" s="288"/>
      <c r="AK427" s="279"/>
      <c r="AL427" s="280"/>
      <c r="AM427" s="284"/>
      <c r="AN427" s="282">
        <f t="shared" si="63"/>
        <v>0</v>
      </c>
      <c r="AO427" s="289">
        <f t="shared" si="57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52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285224.90616475983</v>
      </c>
      <c r="AA428" s="263"/>
      <c r="AB428" s="263">
        <f t="shared" si="64"/>
        <v>0</v>
      </c>
      <c r="AC428" s="264">
        <f>+SUM(START:END!AC428)</f>
        <v>0</v>
      </c>
      <c r="AD428" s="292"/>
      <c r="AE428" s="291"/>
      <c r="AF428" s="264">
        <f>+SUM(START:END!AF428)</f>
        <v>279524.40000000002</v>
      </c>
      <c r="AG428" s="265"/>
      <c r="AH428" s="266">
        <f t="shared" si="67"/>
        <v>-5700.506164759805</v>
      </c>
      <c r="AI428" s="293">
        <f t="shared" si="65"/>
        <v>-1.9986004172675279E-2</v>
      </c>
      <c r="AJ428" s="292"/>
      <c r="AK428" s="263"/>
      <c r="AL428" s="264">
        <f t="shared" si="66"/>
        <v>274069.66999999993</v>
      </c>
      <c r="AM428" s="268"/>
      <c r="AN428" s="266">
        <f t="shared" si="63"/>
        <v>5454.7300000000978</v>
      </c>
      <c r="AO428" s="294">
        <f t="shared" si="57"/>
        <v>1.9902713058326006E-2</v>
      </c>
      <c r="AP428" s="474">
        <f>Z428/($Z$420+$Z$421+$Z$422+$Z$423+$Z$424+$E$185-$F$185+$Z$409+$Z$410)</f>
        <v>0.11605523152594735</v>
      </c>
      <c r="AQ428" s="474">
        <f>AF428/($AF$420+$AF$421+$AF$422+$AF$423+$AF$424+$K$185-$L$185+$AF$409+$AF$410-$AQ$422)</f>
        <v>0.13064569689167643</v>
      </c>
      <c r="AR428" s="474">
        <f>AL428/($AL$420+$AL$421+$AL$422+$AL$423+$AL$424+$P$185-$Q$185+$AL$409+$AL$410-$AR$422)</f>
        <v>0.12607832299205693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52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329483.94336714322</v>
      </c>
      <c r="AA429" s="279"/>
      <c r="AB429" s="279">
        <f t="shared" si="64"/>
        <v>0</v>
      </c>
      <c r="AC429" s="280">
        <f>+SUM(START:END!AC429)</f>
        <v>0</v>
      </c>
      <c r="AD429" s="288"/>
      <c r="AE429" s="287"/>
      <c r="AF429" s="280">
        <f>+SUM(START:END!AF429)</f>
        <v>349018.61000000004</v>
      </c>
      <c r="AG429" s="281"/>
      <c r="AH429" s="282">
        <f t="shared" si="67"/>
        <v>19534.666632856824</v>
      </c>
      <c r="AI429" s="283">
        <f t="shared" si="65"/>
        <v>5.9288675597430826E-2</v>
      </c>
      <c r="AJ429" s="288"/>
      <c r="AK429" s="279"/>
      <c r="AL429" s="280">
        <f t="shared" si="66"/>
        <v>306868.37000000005</v>
      </c>
      <c r="AM429" s="284"/>
      <c r="AN429" s="282">
        <f t="shared" si="63"/>
        <v>42150.239999999991</v>
      </c>
      <c r="AO429" s="289">
        <f t="shared" si="57"/>
        <v>0.1373560917992297</v>
      </c>
      <c r="AP429" s="474">
        <f t="shared" ref="AP429:AP432" si="68">Z429/($Z$420+$Z$421+$Z$422+$Z$423+$Z$424+$E$185-$F$185+$Z$409+$Z$410)</f>
        <v>0.13406380195096848</v>
      </c>
      <c r="AQ429" s="474">
        <f>(AF429-$AQ$423)/($AF$420+$AF$421+$AF$422+$AF$423+$AF$424+$K$185-$L$185+$AF$409+$AF$410-$AQ$422)</f>
        <v>0.12674312476040936</v>
      </c>
      <c r="AR429" s="474">
        <f>(AL429-$AR$423)/($AL$420+$AL$421+$AL$422+$AL$423+$AL$424+$P$185-$Q$185+$AL$409+$AL$410-$AR$422)</f>
        <v>0.10535645368534347</v>
      </c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52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172118.47787583081</v>
      </c>
      <c r="AA430" s="279"/>
      <c r="AB430" s="279">
        <f t="shared" si="64"/>
        <v>0</v>
      </c>
      <c r="AC430" s="280">
        <f>+SUM(START:END!AC430)</f>
        <v>0</v>
      </c>
      <c r="AD430" s="288"/>
      <c r="AE430" s="287"/>
      <c r="AF430" s="280">
        <f>+SUM(START:END!AF430)</f>
        <v>174835.96</v>
      </c>
      <c r="AG430" s="281"/>
      <c r="AH430" s="282">
        <f t="shared" si="67"/>
        <v>2717.4821241691825</v>
      </c>
      <c r="AI430" s="283">
        <f t="shared" si="65"/>
        <v>1.5788439205984731E-2</v>
      </c>
      <c r="AJ430" s="288"/>
      <c r="AK430" s="279"/>
      <c r="AL430" s="280">
        <f t="shared" si="66"/>
        <v>151746.06</v>
      </c>
      <c r="AM430" s="284"/>
      <c r="AN430" s="282">
        <f t="shared" si="63"/>
        <v>23089.899999999994</v>
      </c>
      <c r="AO430" s="289">
        <f t="shared" si="57"/>
        <v>0.15216144656408209</v>
      </c>
      <c r="AP430" s="474">
        <f t="shared" si="68"/>
        <v>7.0033329376343142E-2</v>
      </c>
      <c r="AQ430" s="474">
        <f t="shared" ref="AQ430:AQ431" si="69">AF430/($AF$420+$AF$421+$AF$422+$AF$423+$AF$424+$K$185-$L$185+$AF$409+$AF$410-$AQ$422)</f>
        <v>8.1715821001405467E-2</v>
      </c>
      <c r="AR430" s="474">
        <f t="shared" ref="AR430:AR431" si="70">AL430/($AL$420+$AL$421+$AL$422+$AL$423+$AL$424+$P$185-$Q$185+$AL$409+$AL$410-$AR$422)</f>
        <v>6.9806661807751497E-2</v>
      </c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52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36882.530973392306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56744.069999999992</v>
      </c>
      <c r="AG431" s="281"/>
      <c r="AH431" s="282">
        <f t="shared" si="67"/>
        <v>19861.539026607687</v>
      </c>
      <c r="AI431" s="306">
        <f t="shared" si="65"/>
        <v>0.53850802812139287</v>
      </c>
      <c r="AJ431" s="288"/>
      <c r="AK431" s="279"/>
      <c r="AL431" s="280">
        <f>+SUMIF($C:$C,$V431,Q:Q)</f>
        <v>30462.840000000004</v>
      </c>
      <c r="AM431" s="284"/>
      <c r="AN431" s="282">
        <f t="shared" si="63"/>
        <v>26281.229999999989</v>
      </c>
      <c r="AO431" s="294">
        <f t="shared" si="57"/>
        <v>0.86273078938142289</v>
      </c>
      <c r="AP431" s="474">
        <f t="shared" si="68"/>
        <v>1.5007142009216384E-2</v>
      </c>
      <c r="AQ431" s="474">
        <f t="shared" si="69"/>
        <v>2.6521364752486967E-2</v>
      </c>
      <c r="AR431" s="474">
        <f t="shared" si="70"/>
        <v>1.4013603843049663E-2</v>
      </c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52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7"/>
        <v>0</v>
      </c>
      <c r="AI432" s="283">
        <f t="shared" si="65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474">
        <f t="shared" si="68"/>
        <v>0</v>
      </c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52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0.45743471032568694</v>
      </c>
      <c r="Y433" s="297"/>
      <c r="Z433" s="299">
        <f>SUM(Z420:Z432)</f>
        <v>2080504.9042272798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0.44268912199839988</v>
      </c>
      <c r="AE433" s="307"/>
      <c r="AF433" s="299">
        <f>SUM(AF420:AF432)</f>
        <v>2139358.19</v>
      </c>
      <c r="AG433" s="308"/>
      <c r="AH433" s="302">
        <f t="shared" si="67"/>
        <v>58853.285772720119</v>
      </c>
      <c r="AI433" s="298">
        <f>AH433/Z433</f>
        <v>2.8287982236013431E-2</v>
      </c>
      <c r="AJ433" s="300">
        <f>IF($AL$407=0,0,AL433/$AL$407)</f>
        <v>0.42304975958062158</v>
      </c>
      <c r="AK433" s="297"/>
      <c r="AL433" s="299">
        <f>SUM(AL420:AL432)</f>
        <v>1916351.56</v>
      </c>
      <c r="AM433" s="309"/>
      <c r="AN433" s="302">
        <f t="shared" ref="AN433:AN447" si="71">AF433-AL433</f>
        <v>223006.62999999989</v>
      </c>
      <c r="AO433" s="277">
        <f>IF(AL433=0,0,AN433/AL433)</f>
        <v>0.11637041691869934</v>
      </c>
      <c r="AP433" s="474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52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104677</v>
      </c>
      <c r="AA434" s="312"/>
      <c r="AB434" s="312">
        <f t="shared" ref="AB434:AB451" si="72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123625.3</v>
      </c>
      <c r="AG434" s="314"/>
      <c r="AH434" s="316">
        <f t="shared" si="67"/>
        <v>18948.300000000003</v>
      </c>
      <c r="AI434" s="317">
        <f t="shared" ref="AI434:AI451" si="73">IF(Z434=0,0,AH434/Z434)</f>
        <v>0.18101684228627113</v>
      </c>
      <c r="AJ434" s="314"/>
      <c r="AK434" s="312"/>
      <c r="AL434" s="313">
        <f t="shared" ref="AL434:AL449" si="74">+SUMIF($C:$C,$V434,Q:Q)</f>
        <v>115459.5</v>
      </c>
      <c r="AM434" s="318"/>
      <c r="AN434" s="316">
        <f t="shared" si="71"/>
        <v>8165.8000000000029</v>
      </c>
      <c r="AO434" s="285">
        <f t="shared" ref="AO434:AO447" si="75">IF(AL434=0,0,AN434/AL434)</f>
        <v>7.0724366552773948E-2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52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39999.999999999993</v>
      </c>
      <c r="AA435" s="279"/>
      <c r="AB435" s="279">
        <f t="shared" si="72"/>
        <v>0</v>
      </c>
      <c r="AC435" s="280">
        <f>+SUM(START:END!AC435)</f>
        <v>0</v>
      </c>
      <c r="AD435" s="288"/>
      <c r="AE435" s="287"/>
      <c r="AF435" s="280">
        <f>+SUM(START:END!AF435)</f>
        <v>45553.04</v>
      </c>
      <c r="AG435" s="281"/>
      <c r="AH435" s="282">
        <f t="shared" si="67"/>
        <v>5553.0400000000081</v>
      </c>
      <c r="AI435" s="283">
        <f t="shared" si="73"/>
        <v>0.13882600000000023</v>
      </c>
      <c r="AJ435" s="288"/>
      <c r="AK435" s="279"/>
      <c r="AL435" s="280">
        <f t="shared" si="74"/>
        <v>46504.559999999976</v>
      </c>
      <c r="AM435" s="284"/>
      <c r="AN435" s="282">
        <f t="shared" si="71"/>
        <v>-951.51999999997497</v>
      </c>
      <c r="AO435" s="289">
        <f t="shared" si="75"/>
        <v>-2.0460789221529576E-2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52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219136.00000000003</v>
      </c>
      <c r="AA436" s="263"/>
      <c r="AB436" s="263">
        <f t="shared" si="72"/>
        <v>0</v>
      </c>
      <c r="AC436" s="264">
        <f>+SUM(START:END!AC436)</f>
        <v>0</v>
      </c>
      <c r="AD436" s="292"/>
      <c r="AE436" s="291"/>
      <c r="AF436" s="264">
        <f>+SUM(START:END!AF436)</f>
        <v>233681.12999999998</v>
      </c>
      <c r="AG436" s="265"/>
      <c r="AH436" s="266">
        <f t="shared" si="67"/>
        <v>14545.129999999946</v>
      </c>
      <c r="AI436" s="293">
        <f t="shared" si="73"/>
        <v>6.6374899605724041E-2</v>
      </c>
      <c r="AJ436" s="292"/>
      <c r="AK436" s="263"/>
      <c r="AL436" s="264">
        <f t="shared" si="74"/>
        <v>219839</v>
      </c>
      <c r="AM436" s="268"/>
      <c r="AN436" s="266">
        <f t="shared" si="71"/>
        <v>13842.129999999976</v>
      </c>
      <c r="AO436" s="269">
        <f t="shared" si="75"/>
        <v>6.2964851550452713E-2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52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169968</v>
      </c>
      <c r="AA437" s="279"/>
      <c r="AB437" s="279">
        <f t="shared" si="72"/>
        <v>0</v>
      </c>
      <c r="AC437" s="280">
        <f>+SUM(START:END!AC437)</f>
        <v>0</v>
      </c>
      <c r="AD437" s="288"/>
      <c r="AE437" s="287"/>
      <c r="AF437" s="280">
        <f>+SUM(START:END!AF437)</f>
        <v>174646.25</v>
      </c>
      <c r="AG437" s="281"/>
      <c r="AH437" s="282">
        <f>AF437-Z437</f>
        <v>4678.25</v>
      </c>
      <c r="AI437" s="283">
        <f t="shared" si="73"/>
        <v>2.7524298691518404E-2</v>
      </c>
      <c r="AJ437" s="288"/>
      <c r="AK437" s="279"/>
      <c r="AL437" s="280">
        <f t="shared" si="74"/>
        <v>165556.25</v>
      </c>
      <c r="AM437" s="284"/>
      <c r="AN437" s="282">
        <f t="shared" si="71"/>
        <v>9090</v>
      </c>
      <c r="AO437" s="289">
        <f t="shared" si="75"/>
        <v>5.4905809958850846E-2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52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21999.999999999996</v>
      </c>
      <c r="AA438" s="279"/>
      <c r="AB438" s="279">
        <f t="shared" si="72"/>
        <v>0</v>
      </c>
      <c r="AC438" s="280">
        <f>+SUM(START:END!AC438)</f>
        <v>0</v>
      </c>
      <c r="AD438" s="288"/>
      <c r="AE438" s="287"/>
      <c r="AF438" s="280">
        <f>+SUM(START:END!AF438)</f>
        <v>23022.480000000003</v>
      </c>
      <c r="AG438" s="281"/>
      <c r="AH438" s="282">
        <f t="shared" si="67"/>
        <v>1022.4800000000068</v>
      </c>
      <c r="AI438" s="283">
        <f t="shared" si="73"/>
        <v>4.6476363636363954E-2</v>
      </c>
      <c r="AJ438" s="288"/>
      <c r="AK438" s="279"/>
      <c r="AL438" s="280">
        <f t="shared" si="74"/>
        <v>27925.21</v>
      </c>
      <c r="AM438" s="284"/>
      <c r="AN438" s="282">
        <f t="shared" si="71"/>
        <v>-4902.7299999999959</v>
      </c>
      <c r="AO438" s="289">
        <f t="shared" si="75"/>
        <v>-0.17556645052982578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52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140592</v>
      </c>
      <c r="AA439" s="279"/>
      <c r="AB439" s="279">
        <f t="shared" si="72"/>
        <v>0</v>
      </c>
      <c r="AC439" s="280">
        <f>+SUM(START:END!AC439)</f>
        <v>0</v>
      </c>
      <c r="AD439" s="288"/>
      <c r="AE439" s="287"/>
      <c r="AF439" s="280">
        <f>+SUM(START:END!AF439)</f>
        <v>107635.76000000001</v>
      </c>
      <c r="AG439" s="281"/>
      <c r="AH439" s="282">
        <f t="shared" si="67"/>
        <v>-32956.239999999991</v>
      </c>
      <c r="AI439" s="283">
        <f t="shared" si="73"/>
        <v>-0.23441049277341522</v>
      </c>
      <c r="AJ439" s="288"/>
      <c r="AK439" s="279"/>
      <c r="AL439" s="280">
        <f t="shared" si="74"/>
        <v>145609.51</v>
      </c>
      <c r="AM439" s="284"/>
      <c r="AN439" s="282">
        <f t="shared" si="71"/>
        <v>-37973.75</v>
      </c>
      <c r="AO439" s="289">
        <f t="shared" si="75"/>
        <v>-0.26079168867473007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72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7"/>
        <v>0</v>
      </c>
      <c r="AI440" s="326">
        <f t="shared" si="73"/>
        <v>0</v>
      </c>
      <c r="AJ440" s="322"/>
      <c r="AK440" s="320"/>
      <c r="AL440" s="321">
        <f t="shared" si="74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52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14010</v>
      </c>
      <c r="AA441" s="279"/>
      <c r="AB441" s="287">
        <f t="shared" si="72"/>
        <v>0</v>
      </c>
      <c r="AC441" s="280">
        <f>+SUM(START:END!AC441)</f>
        <v>0</v>
      </c>
      <c r="AD441" s="288"/>
      <c r="AE441" s="287"/>
      <c r="AF441" s="280">
        <f>+SUM(START:END!AF441)</f>
        <v>36248.83</v>
      </c>
      <c r="AG441" s="281"/>
      <c r="AH441" s="282">
        <f t="shared" si="67"/>
        <v>22238.83</v>
      </c>
      <c r="AI441" s="283">
        <f t="shared" si="73"/>
        <v>1.5873540328336904</v>
      </c>
      <c r="AJ441" s="288"/>
      <c r="AK441" s="279"/>
      <c r="AL441" s="280">
        <f t="shared" si="74"/>
        <v>16064.719999999998</v>
      </c>
      <c r="AM441" s="284"/>
      <c r="AN441" s="282">
        <f t="shared" si="71"/>
        <v>20184.110000000004</v>
      </c>
      <c r="AO441" s="289">
        <f t="shared" si="75"/>
        <v>1.2564246373419523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52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12720</v>
      </c>
      <c r="AA442" s="279"/>
      <c r="AB442" s="279">
        <f t="shared" si="72"/>
        <v>0</v>
      </c>
      <c r="AC442" s="280">
        <f>+SUM(START:END!AC442)</f>
        <v>0</v>
      </c>
      <c r="AD442" s="288"/>
      <c r="AE442" s="287"/>
      <c r="AF442" s="280">
        <f>+SUM(START:END!AF442)</f>
        <v>15887.579999999998</v>
      </c>
      <c r="AG442" s="281"/>
      <c r="AH442" s="282">
        <f t="shared" si="67"/>
        <v>3167.5799999999981</v>
      </c>
      <c r="AI442" s="306">
        <f t="shared" si="73"/>
        <v>0.24902358490566023</v>
      </c>
      <c r="AJ442" s="288"/>
      <c r="AK442" s="279"/>
      <c r="AL442" s="280">
        <f t="shared" si="74"/>
        <v>14490.840000000002</v>
      </c>
      <c r="AM442" s="284"/>
      <c r="AN442" s="282">
        <f t="shared" si="71"/>
        <v>1396.7399999999961</v>
      </c>
      <c r="AO442" s="289">
        <f t="shared" si="75"/>
        <v>9.6387787043400938E-2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52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18900</v>
      </c>
      <c r="AA443" s="279"/>
      <c r="AB443" s="279">
        <f t="shared" si="72"/>
        <v>0</v>
      </c>
      <c r="AC443" s="280">
        <f>+SUM(START:END!AC443)</f>
        <v>0</v>
      </c>
      <c r="AD443" s="288"/>
      <c r="AE443" s="287"/>
      <c r="AF443" s="280">
        <f>+SUM(START:END!AF443)</f>
        <v>16970.32</v>
      </c>
      <c r="AG443" s="281"/>
      <c r="AH443" s="282">
        <f t="shared" si="67"/>
        <v>-1929.6800000000003</v>
      </c>
      <c r="AI443" s="283">
        <f t="shared" si="73"/>
        <v>-0.10209947089947091</v>
      </c>
      <c r="AJ443" s="288"/>
      <c r="AK443" s="279"/>
      <c r="AL443" s="280">
        <f t="shared" si="74"/>
        <v>17261.150000000001</v>
      </c>
      <c r="AM443" s="284"/>
      <c r="AN443" s="282">
        <f t="shared" si="71"/>
        <v>-290.83000000000175</v>
      </c>
      <c r="AO443" s="289">
        <f t="shared" si="75"/>
        <v>-1.6848819458726776E-2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52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6144</v>
      </c>
      <c r="AA444" s="279"/>
      <c r="AB444" s="279">
        <f t="shared" si="72"/>
        <v>0</v>
      </c>
      <c r="AC444" s="280">
        <f>+SUM(START:END!AC444)</f>
        <v>0</v>
      </c>
      <c r="AD444" s="288"/>
      <c r="AE444" s="287"/>
      <c r="AF444" s="280">
        <f>+SUM(START:END!AF444)</f>
        <v>7953.03</v>
      </c>
      <c r="AG444" s="281"/>
      <c r="AH444" s="282">
        <f t="shared" si="67"/>
        <v>1809.0299999999997</v>
      </c>
      <c r="AI444" s="306">
        <f t="shared" si="73"/>
        <v>0.29443847656249994</v>
      </c>
      <c r="AJ444" s="288"/>
      <c r="AK444" s="279"/>
      <c r="AL444" s="280">
        <f t="shared" si="74"/>
        <v>6819.9699999999993</v>
      </c>
      <c r="AM444" s="284"/>
      <c r="AN444" s="282">
        <f t="shared" si="71"/>
        <v>1133.0600000000004</v>
      </c>
      <c r="AO444" s="289">
        <f t="shared" si="75"/>
        <v>0.1661385607268068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52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11400</v>
      </c>
      <c r="AA445" s="279"/>
      <c r="AB445" s="279">
        <f t="shared" si="72"/>
        <v>0</v>
      </c>
      <c r="AC445" s="280">
        <f>+SUM(START:END!AC445)</f>
        <v>0</v>
      </c>
      <c r="AD445" s="288"/>
      <c r="AE445" s="287"/>
      <c r="AF445" s="280">
        <f>+SUM(START:END!AF445)</f>
        <v>13779.63</v>
      </c>
      <c r="AG445" s="281"/>
      <c r="AH445" s="282">
        <f t="shared" si="67"/>
        <v>2379.6299999999992</v>
      </c>
      <c r="AI445" s="283">
        <f t="shared" si="73"/>
        <v>0.20873947368421045</v>
      </c>
      <c r="AJ445" s="288"/>
      <c r="AK445" s="279"/>
      <c r="AL445" s="280">
        <f t="shared" si="74"/>
        <v>11402.68</v>
      </c>
      <c r="AM445" s="284"/>
      <c r="AN445" s="282">
        <f t="shared" si="71"/>
        <v>2376.9499999999989</v>
      </c>
      <c r="AO445" s="289">
        <f t="shared" si="75"/>
        <v>0.20845538066489622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52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20892</v>
      </c>
      <c r="AA446" s="279"/>
      <c r="AB446" s="287">
        <f t="shared" si="72"/>
        <v>0</v>
      </c>
      <c r="AC446" s="280">
        <f>+SUM(START:END!AC446)</f>
        <v>0</v>
      </c>
      <c r="AD446" s="288"/>
      <c r="AE446" s="287"/>
      <c r="AF446" s="280">
        <f>+SUM(START:END!AF446)</f>
        <v>25297.8</v>
      </c>
      <c r="AG446" s="281"/>
      <c r="AH446" s="282">
        <f t="shared" si="67"/>
        <v>4405.7999999999993</v>
      </c>
      <c r="AI446" s="306">
        <f t="shared" si="73"/>
        <v>0.21088454910970703</v>
      </c>
      <c r="AJ446" s="288"/>
      <c r="AK446" s="279"/>
      <c r="AL446" s="280">
        <f t="shared" si="74"/>
        <v>21058.589999999989</v>
      </c>
      <c r="AM446" s="284"/>
      <c r="AN446" s="282">
        <f t="shared" si="71"/>
        <v>4239.21000000001</v>
      </c>
      <c r="AO446" s="289">
        <f t="shared" si="75"/>
        <v>0.20130550051071852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52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30988.2536</v>
      </c>
      <c r="AA447" s="279"/>
      <c r="AB447" s="287">
        <f t="shared" si="72"/>
        <v>0</v>
      </c>
      <c r="AC447" s="280">
        <f>+SUM(START:END!AC447)</f>
        <v>0</v>
      </c>
      <c r="AD447" s="288"/>
      <c r="AE447" s="287"/>
      <c r="AF447" s="280">
        <f>+SUM(START:END!AF447)</f>
        <v>23517.139999999996</v>
      </c>
      <c r="AG447" s="281"/>
      <c r="AH447" s="282">
        <f t="shared" si="67"/>
        <v>-7471.1136000000042</v>
      </c>
      <c r="AI447" s="283">
        <f t="shared" si="73"/>
        <v>-0.24109501930757415</v>
      </c>
      <c r="AJ447" s="288"/>
      <c r="AK447" s="279"/>
      <c r="AL447" s="280">
        <f t="shared" si="74"/>
        <v>17537.200000000004</v>
      </c>
      <c r="AM447" s="284"/>
      <c r="AN447" s="282">
        <f t="shared" si="71"/>
        <v>5979.9399999999914</v>
      </c>
      <c r="AO447" s="289">
        <f t="shared" si="75"/>
        <v>0.34098601829254327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52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78526.351005882359</v>
      </c>
      <c r="AA448" s="279"/>
      <c r="AB448" s="287">
        <f t="shared" si="72"/>
        <v>0</v>
      </c>
      <c r="AC448" s="280">
        <f>+SUM(START:END!AC448)</f>
        <v>0</v>
      </c>
      <c r="AD448" s="288"/>
      <c r="AE448" s="287"/>
      <c r="AF448" s="280">
        <f>+SUM(START:END!AF448)</f>
        <v>77615.799999999988</v>
      </c>
      <c r="AG448" s="281"/>
      <c r="AH448" s="282">
        <f t="shared" si="67"/>
        <v>-910.5510058823711</v>
      </c>
      <c r="AI448" s="283">
        <f t="shared" si="73"/>
        <v>-1.1595483480623749E-2</v>
      </c>
      <c r="AJ448" s="288"/>
      <c r="AK448" s="279"/>
      <c r="AL448" s="280">
        <f>+SUM(START:END!AL448)</f>
        <v>79740.439999999871</v>
      </c>
      <c r="AM448" s="284"/>
      <c r="AN448" s="282">
        <f>AF448-AL448</f>
        <v>-2124.639999999883</v>
      </c>
      <c r="AO448" s="289">
        <f>IF(AL448=0,0,AN448/AL448)</f>
        <v>-2.6644447911246621E-2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52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72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7"/>
        <v>0</v>
      </c>
      <c r="AI449" s="283">
        <f t="shared" si="73"/>
        <v>0</v>
      </c>
      <c r="AJ449" s="288"/>
      <c r="AK449" s="279"/>
      <c r="AL449" s="280">
        <f t="shared" si="74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52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72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7"/>
        <v>0</v>
      </c>
      <c r="AI450" s="283">
        <f t="shared" si="73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52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72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7"/>
        <v>0</v>
      </c>
      <c r="AI451" s="283">
        <f t="shared" si="73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52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0.19567157400063526</v>
      </c>
      <c r="Y452" s="297"/>
      <c r="Z452" s="299">
        <f>+SUM(Z434:Z451)</f>
        <v>889953.60460588243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0.19149649959714701</v>
      </c>
      <c r="AE452" s="297"/>
      <c r="AF452" s="299">
        <f>+SUM(AF434:AF451)</f>
        <v>925434.08999999985</v>
      </c>
      <c r="AG452" s="308"/>
      <c r="AH452" s="302">
        <f>+SUM(AH434:AH451)</f>
        <v>35480.485394117604</v>
      </c>
      <c r="AI452" s="298">
        <f>AH452/Z452</f>
        <v>3.9867792220281195E-2</v>
      </c>
      <c r="AJ452" s="300">
        <f>IF($AL$407=0,0,AL452/$AL$407)</f>
        <v>0.19984542663802277</v>
      </c>
      <c r="AK452" s="298"/>
      <c r="AL452" s="299">
        <f>+SUM(AL434:AL451)</f>
        <v>905269.61999999965</v>
      </c>
      <c r="AM452" s="309"/>
      <c r="AN452" s="302">
        <f>+SUM(AN434:AN451)</f>
        <v>20164.470000000125</v>
      </c>
      <c r="AO452" s="331">
        <f>IF(AL452=0,0,AN452/AL452)</f>
        <v>2.2274546228559105E-2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52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600000</v>
      </c>
      <c r="AA453" s="279"/>
      <c r="AB453" s="287">
        <f t="shared" ref="AB453:AB462" si="76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590000</v>
      </c>
      <c r="AG453" s="281"/>
      <c r="AH453" s="282">
        <f t="shared" ref="AH453:AH461" si="77">AF453-Z453</f>
        <v>-10000</v>
      </c>
      <c r="AI453" s="283">
        <f t="shared" ref="AI453:AI461" si="78">IF(Z453=0,0,AH453/Z453)</f>
        <v>-1.6666666666666666E-2</v>
      </c>
      <c r="AJ453" s="288"/>
      <c r="AK453" s="279"/>
      <c r="AL453" s="280">
        <f>+SUM(START:END!AL453)</f>
        <v>600000</v>
      </c>
      <c r="AM453" s="284"/>
      <c r="AN453" s="282">
        <f>AF453-AL453</f>
        <v>-10000</v>
      </c>
      <c r="AO453" s="289">
        <f t="shared" ref="AO453:AO461" si="79">IF(AL453=0,0,AN453/AL453)</f>
        <v>-1.6666666666666666E-2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52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71196.84</v>
      </c>
      <c r="AA454" s="279"/>
      <c r="AB454" s="287">
        <f t="shared" si="76"/>
        <v>0</v>
      </c>
      <c r="AC454" s="280">
        <f>+SUM(START:END!AC454)</f>
        <v>0</v>
      </c>
      <c r="AD454" s="288"/>
      <c r="AE454" s="287"/>
      <c r="AF454" s="280">
        <f>+SUM(START:END!AF454)</f>
        <v>67813.440000000002</v>
      </c>
      <c r="AG454" s="281"/>
      <c r="AH454" s="282">
        <f t="shared" si="77"/>
        <v>-3383.3999999999942</v>
      </c>
      <c r="AI454" s="283">
        <f t="shared" si="78"/>
        <v>-4.7521772033702538E-2</v>
      </c>
      <c r="AJ454" s="288"/>
      <c r="AK454" s="279"/>
      <c r="AL454" s="280">
        <f>+SUM(START:END!AL454)</f>
        <v>68445.899999999994</v>
      </c>
      <c r="AM454" s="284"/>
      <c r="AN454" s="282">
        <f t="shared" ref="AN454:AN461" si="80">AF454-AL454</f>
        <v>-632.45999999999185</v>
      </c>
      <c r="AO454" s="289">
        <f t="shared" si="79"/>
        <v>-9.240290506808909E-3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52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30513</v>
      </c>
      <c r="AA455" s="263"/>
      <c r="AB455" s="291">
        <f t="shared" si="76"/>
        <v>0</v>
      </c>
      <c r="AC455" s="264">
        <f>+SUM(START:END!AC455)</f>
        <v>0</v>
      </c>
      <c r="AD455" s="292"/>
      <c r="AE455" s="291"/>
      <c r="AF455" s="264">
        <f>+SUM(START:END!AF455)</f>
        <v>29212.920000000002</v>
      </c>
      <c r="AG455" s="265"/>
      <c r="AH455" s="266">
        <f t="shared" si="77"/>
        <v>-1300.0799999999981</v>
      </c>
      <c r="AI455" s="293">
        <f t="shared" si="78"/>
        <v>-4.2607413233703602E-2</v>
      </c>
      <c r="AJ455" s="292"/>
      <c r="AK455" s="263"/>
      <c r="AL455" s="264">
        <f>+SUM(START:END!AL455)</f>
        <v>29333.92999999996</v>
      </c>
      <c r="AM455" s="268"/>
      <c r="AN455" s="266">
        <f t="shared" si="80"/>
        <v>-121.00999999995838</v>
      </c>
      <c r="AO455" s="269">
        <f t="shared" si="79"/>
        <v>-4.1252569976119305E-3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52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6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7"/>
        <v>0</v>
      </c>
      <c r="AI456" s="283">
        <f t="shared" si="78"/>
        <v>0</v>
      </c>
      <c r="AJ456" s="288"/>
      <c r="AK456" s="279"/>
      <c r="AL456" s="280">
        <f>+SUM(START:END!AL456)</f>
        <v>0</v>
      </c>
      <c r="AM456" s="284"/>
      <c r="AN456" s="282">
        <f t="shared" si="80"/>
        <v>0</v>
      </c>
      <c r="AO456" s="289">
        <f t="shared" si="79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52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58248</v>
      </c>
      <c r="AA457" s="263"/>
      <c r="AB457" s="291">
        <f t="shared" si="76"/>
        <v>0</v>
      </c>
      <c r="AC457" s="264">
        <f>+SUM(START:END!AC457)</f>
        <v>0</v>
      </c>
      <c r="AD457" s="292"/>
      <c r="AE457" s="291"/>
      <c r="AF457" s="264">
        <f>+SUM(START:END!AF457)</f>
        <v>56963.299999999996</v>
      </c>
      <c r="AG457" s="265"/>
      <c r="AH457" s="266">
        <f t="shared" si="77"/>
        <v>-1284.7000000000044</v>
      </c>
      <c r="AI457" s="293">
        <f t="shared" si="78"/>
        <v>-2.205569289932709E-2</v>
      </c>
      <c r="AJ457" s="292"/>
      <c r="AK457" s="263"/>
      <c r="AL457" s="264">
        <f>+SUM(START:END!AL457)</f>
        <v>53510.45</v>
      </c>
      <c r="AM457" s="268"/>
      <c r="AN457" s="266">
        <f t="shared" si="80"/>
        <v>3452.8499999999985</v>
      </c>
      <c r="AO457" s="269">
        <f t="shared" si="79"/>
        <v>6.4526648533136957E-2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52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60000</v>
      </c>
      <c r="AA458" s="332"/>
      <c r="AB458" s="333">
        <f t="shared" si="76"/>
        <v>0</v>
      </c>
      <c r="AC458" s="280">
        <f>+SUM(START:END!AC458)</f>
        <v>0</v>
      </c>
      <c r="AD458" s="288"/>
      <c r="AE458" s="287"/>
      <c r="AF458" s="280">
        <f>+SUM(START:END!AF458)</f>
        <v>73650.850000000006</v>
      </c>
      <c r="AG458" s="281"/>
      <c r="AH458" s="282">
        <f t="shared" si="77"/>
        <v>13650.850000000006</v>
      </c>
      <c r="AI458" s="283">
        <f t="shared" si="78"/>
        <v>0.22751416666666677</v>
      </c>
      <c r="AJ458" s="288"/>
      <c r="AK458" s="279"/>
      <c r="AL458" s="280">
        <f>+SUM(START:END!AL458)</f>
        <v>57840.359999999971</v>
      </c>
      <c r="AM458" s="284"/>
      <c r="AN458" s="282">
        <f t="shared" si="80"/>
        <v>15810.490000000034</v>
      </c>
      <c r="AO458" s="289">
        <f t="shared" si="79"/>
        <v>0.27334701927858057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52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78496</v>
      </c>
      <c r="AA459" s="279"/>
      <c r="AB459" s="287">
        <f t="shared" si="76"/>
        <v>0</v>
      </c>
      <c r="AC459" s="280">
        <f>+SUM(START:END!AC459)</f>
        <v>0</v>
      </c>
      <c r="AD459" s="288"/>
      <c r="AE459" s="287"/>
      <c r="AF459" s="280">
        <f>+SUM(START:END!AF459)</f>
        <v>69380.63</v>
      </c>
      <c r="AG459" s="281"/>
      <c r="AH459" s="282">
        <f t="shared" si="77"/>
        <v>-9115.3699999999953</v>
      </c>
      <c r="AI459" s="283">
        <f t="shared" si="78"/>
        <v>-0.11612528026905823</v>
      </c>
      <c r="AJ459" s="288"/>
      <c r="AK459" s="279"/>
      <c r="AL459" s="280">
        <f>+SUM(START:END!AL459)</f>
        <v>75687.960000000006</v>
      </c>
      <c r="AM459" s="284"/>
      <c r="AN459" s="282">
        <f t="shared" si="80"/>
        <v>-6307.3300000000017</v>
      </c>
      <c r="AO459" s="289">
        <f t="shared" si="79"/>
        <v>-8.3333333333333343E-2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52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5200</v>
      </c>
      <c r="AA460" s="263"/>
      <c r="AB460" s="291">
        <f t="shared" si="76"/>
        <v>0</v>
      </c>
      <c r="AC460" s="264">
        <f>+SUM(START:END!AC460)</f>
        <v>0</v>
      </c>
      <c r="AD460" s="292"/>
      <c r="AE460" s="291"/>
      <c r="AF460" s="264">
        <f>+SUM(START:END!AF460)</f>
        <v>4362.8999999999996</v>
      </c>
      <c r="AG460" s="265"/>
      <c r="AH460" s="266">
        <f t="shared" si="77"/>
        <v>-837.10000000000036</v>
      </c>
      <c r="AI460" s="293">
        <f t="shared" si="78"/>
        <v>-0.16098076923076929</v>
      </c>
      <c r="AJ460" s="292"/>
      <c r="AK460" s="263"/>
      <c r="AL460" s="264">
        <f>+SUM(START:END!AL460)</f>
        <v>4079.18</v>
      </c>
      <c r="AM460" s="268"/>
      <c r="AN460" s="266">
        <f t="shared" si="80"/>
        <v>283.7199999999998</v>
      </c>
      <c r="AO460" s="269">
        <f t="shared" si="79"/>
        <v>6.9553194514583763E-2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52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2544.0000000000005</v>
      </c>
      <c r="AA461" s="279"/>
      <c r="AB461" s="287">
        <f t="shared" si="76"/>
        <v>0</v>
      </c>
      <c r="AC461" s="280">
        <f>+SUM(START:END!AC461)</f>
        <v>0</v>
      </c>
      <c r="AD461" s="288"/>
      <c r="AE461" s="287"/>
      <c r="AF461" s="280">
        <f>+SUM(START:END!AF461)</f>
        <v>3210.9</v>
      </c>
      <c r="AG461" s="281"/>
      <c r="AH461" s="282">
        <f t="shared" si="77"/>
        <v>666.89999999999964</v>
      </c>
      <c r="AI461" s="335">
        <f t="shared" si="78"/>
        <v>0.26214622641509416</v>
      </c>
      <c r="AJ461" s="279"/>
      <c r="AK461" s="279"/>
      <c r="AL461" s="280">
        <f>+SUM(START:END!AL461)</f>
        <v>2887.7799999999943</v>
      </c>
      <c r="AM461" s="284"/>
      <c r="AN461" s="282">
        <f t="shared" si="80"/>
        <v>323.1200000000058</v>
      </c>
      <c r="AO461" s="289">
        <f t="shared" si="79"/>
        <v>0.11189218015222989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52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6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52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52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52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52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0.19924314794735962</v>
      </c>
      <c r="Y466" s="297"/>
      <c r="Z466" s="299">
        <f>SUM(Z453:Z465)</f>
        <v>906197.84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0.18511507347575643</v>
      </c>
      <c r="AE466" s="297"/>
      <c r="AF466" s="299">
        <f>SUM(AF453:AF465)</f>
        <v>894594.94000000006</v>
      </c>
      <c r="AG466" s="308"/>
      <c r="AH466" s="302">
        <f>SUM(AH453:AH465)</f>
        <v>-11602.899999999987</v>
      </c>
      <c r="AI466" s="298">
        <f>IF(Z466=0,0,AH466/Z466)</f>
        <v>-1.2803936941628537E-2</v>
      </c>
      <c r="AJ466" s="300">
        <f>IF($AL$407=0,0,AL466/$AL$407)</f>
        <v>0.19686871377372425</v>
      </c>
      <c r="AK466" s="298"/>
      <c r="AL466" s="299">
        <f>SUM(AL453:AL465)</f>
        <v>891785.55999999994</v>
      </c>
      <c r="AM466" s="309"/>
      <c r="AN466" s="302">
        <f>SUM(AN453:AN465)</f>
        <v>2809.3800000000865</v>
      </c>
      <c r="AO466" s="331">
        <f t="shared" ref="AO466:AO483" si="81">IF(AL466=0,0,AN466/AL466)</f>
        <v>3.1502864881553889E-3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52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82">AF467-Z467</f>
        <v>0</v>
      </c>
      <c r="AI467" s="283"/>
      <c r="AJ467" s="288"/>
      <c r="AK467" s="279"/>
      <c r="AL467" s="336"/>
      <c r="AM467" s="337"/>
      <c r="AN467" s="282">
        <f t="shared" ref="AN467:AN483" si="83">AF467-AL467</f>
        <v>0</v>
      </c>
      <c r="AO467" s="338">
        <f t="shared" si="81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52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1.1539911789365307</v>
      </c>
      <c r="Y468" s="297"/>
      <c r="Z468" s="299">
        <f>Z419+Z433+Z452+Z466</f>
        <v>5248583.5749173416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1.0765785971170774</v>
      </c>
      <c r="AE468" s="297"/>
      <c r="AF468" s="299">
        <f>AF419+AF433+AF452+AF466</f>
        <v>5202719.3</v>
      </c>
      <c r="AG468" s="308"/>
      <c r="AH468" s="302">
        <f t="shared" si="82"/>
        <v>-45864.274917341769</v>
      </c>
      <c r="AI468" s="298">
        <f>AH468/Z468</f>
        <v>-8.7384099467376908E-3</v>
      </c>
      <c r="AJ468" s="300">
        <f>IF($AL$407=0,0,AL468/$AL$407)</f>
        <v>1.1593323726346594</v>
      </c>
      <c r="AK468" s="298"/>
      <c r="AL468" s="299">
        <f>AL419+AL433+AL452+AL466</f>
        <v>5251600.669999999</v>
      </c>
      <c r="AM468" s="309"/>
      <c r="AN468" s="302">
        <f t="shared" si="83"/>
        <v>-48881.36999999918</v>
      </c>
      <c r="AO468" s="277">
        <f t="shared" si="81"/>
        <v>-9.3078992618833654E-3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52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84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20402.570000000003</v>
      </c>
      <c r="AG469" s="342"/>
      <c r="AH469" s="282">
        <f t="shared" si="82"/>
        <v>20402.570000000003</v>
      </c>
      <c r="AI469" s="335" t="e">
        <f>IF(AH469=0,0,AH469/Z469)</f>
        <v>#DIV/0!</v>
      </c>
      <c r="AJ469" s="341"/>
      <c r="AK469" s="339"/>
      <c r="AL469" s="343">
        <f>+SUM(START:END!AL469)</f>
        <v>177799.07999999996</v>
      </c>
      <c r="AM469" s="344"/>
      <c r="AN469" s="282">
        <f t="shared" si="83"/>
        <v>-157396.50999999995</v>
      </c>
      <c r="AO469" s="289">
        <f t="shared" si="81"/>
        <v>-0.88524929375337591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52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470608.44</v>
      </c>
      <c r="AA470" s="332"/>
      <c r="AB470" s="333">
        <f t="shared" si="84"/>
        <v>0</v>
      </c>
      <c r="AC470" s="280">
        <f>+SUM(START:END!AC470)</f>
        <v>0</v>
      </c>
      <c r="AD470" s="345"/>
      <c r="AE470" s="333"/>
      <c r="AF470" s="280">
        <f>+SUM(START:END!AF470)</f>
        <v>449866.2</v>
      </c>
      <c r="AG470" s="346"/>
      <c r="AH470" s="282">
        <f t="shared" si="82"/>
        <v>-20742.239999999991</v>
      </c>
      <c r="AI470" s="306">
        <f>IF(Z470=0,0,AH470/Z470)</f>
        <v>-4.407536762409104E-2</v>
      </c>
      <c r="AJ470" s="345"/>
      <c r="AK470" s="332"/>
      <c r="AL470" s="347">
        <f>+SUM(START:END!AL470)</f>
        <v>480905.59999999992</v>
      </c>
      <c r="AM470" s="348"/>
      <c r="AN470" s="282">
        <f t="shared" si="83"/>
        <v>-31039.399999999907</v>
      </c>
      <c r="AO470" s="289">
        <f t="shared" si="81"/>
        <v>-6.4543644324374497E-2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52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435312.80699999997</v>
      </c>
      <c r="AA471" s="332"/>
      <c r="AB471" s="333">
        <f t="shared" si="84"/>
        <v>0</v>
      </c>
      <c r="AC471" s="280">
        <f>+SUM(START:END!AC471)</f>
        <v>0</v>
      </c>
      <c r="AD471" s="345"/>
      <c r="AE471" s="333"/>
      <c r="AF471" s="280">
        <f>+SUM(START:END!AF471)</f>
        <v>400729.24</v>
      </c>
      <c r="AG471" s="346"/>
      <c r="AH471" s="282">
        <f t="shared" si="82"/>
        <v>-34583.566999999981</v>
      </c>
      <c r="AI471" s="306">
        <f t="shared" ref="AI471:AI480" si="85">IF(AH471=0,0,AH471/Z471)</f>
        <v>-7.9445324015013377E-2</v>
      </c>
      <c r="AJ471" s="345"/>
      <c r="AK471" s="332"/>
      <c r="AL471" s="347">
        <f>+SUM(START:END!AL471)</f>
        <v>413289.73000000004</v>
      </c>
      <c r="AM471" s="348"/>
      <c r="AN471" s="282">
        <f t="shared" si="83"/>
        <v>-12560.490000000049</v>
      </c>
      <c r="AO471" s="289">
        <f t="shared" si="81"/>
        <v>-3.0391488314989216E-2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52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84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82"/>
        <v>0</v>
      </c>
      <c r="AI472" s="306">
        <f t="shared" si="85"/>
        <v>0</v>
      </c>
      <c r="AJ472" s="345"/>
      <c r="AK472" s="332"/>
      <c r="AL472" s="347">
        <f>+SUM(START:END!AL472)</f>
        <v>0</v>
      </c>
      <c r="AM472" s="348"/>
      <c r="AN472" s="282">
        <f t="shared" si="83"/>
        <v>0</v>
      </c>
      <c r="AO472" s="289">
        <f t="shared" si="81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52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84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82"/>
        <v>0</v>
      </c>
      <c r="AI473" s="306">
        <f t="shared" si="85"/>
        <v>0</v>
      </c>
      <c r="AJ473" s="345"/>
      <c r="AK473" s="332"/>
      <c r="AL473" s="347">
        <f>+SUM(START:END!AL473)</f>
        <v>0</v>
      </c>
      <c r="AM473" s="348"/>
      <c r="AN473" s="282">
        <f t="shared" si="83"/>
        <v>0</v>
      </c>
      <c r="AO473" s="289">
        <f t="shared" si="81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52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28125</v>
      </c>
      <c r="AA474" s="332"/>
      <c r="AB474" s="333">
        <f t="shared" si="84"/>
        <v>0</v>
      </c>
      <c r="AC474" s="280">
        <f>+SUM(START:END!AC474)</f>
        <v>0</v>
      </c>
      <c r="AD474" s="345"/>
      <c r="AE474" s="333"/>
      <c r="AF474" s="280">
        <f>+SUM(START:END!AF474)</f>
        <v>14775</v>
      </c>
      <c r="AG474" s="346"/>
      <c r="AH474" s="282">
        <f t="shared" si="82"/>
        <v>-13350</v>
      </c>
      <c r="AI474" s="306">
        <f t="shared" si="85"/>
        <v>-0.47466666666666668</v>
      </c>
      <c r="AJ474" s="345"/>
      <c r="AK474" s="332"/>
      <c r="AL474" s="347">
        <f>+SUM(START:END!AL474)</f>
        <v>16050</v>
      </c>
      <c r="AM474" s="348"/>
      <c r="AN474" s="282">
        <f t="shared" si="83"/>
        <v>-1275</v>
      </c>
      <c r="AO474" s="289">
        <f t="shared" si="81"/>
        <v>-7.9439252336448593E-2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52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10050</v>
      </c>
      <c r="AA475" s="332"/>
      <c r="AB475" s="333">
        <f t="shared" si="84"/>
        <v>0</v>
      </c>
      <c r="AC475" s="280">
        <f>+SUM(START:END!AC475)</f>
        <v>0</v>
      </c>
      <c r="AD475" s="345"/>
      <c r="AE475" s="333"/>
      <c r="AF475" s="280">
        <f>+SUM(START:END!AF475)</f>
        <v>875</v>
      </c>
      <c r="AG475" s="346"/>
      <c r="AH475" s="282">
        <f t="shared" si="82"/>
        <v>-9175</v>
      </c>
      <c r="AI475" s="306">
        <f t="shared" si="85"/>
        <v>-0.91293532338308458</v>
      </c>
      <c r="AJ475" s="345"/>
      <c r="AK475" s="332"/>
      <c r="AL475" s="347">
        <f>+SUM(START:END!AL475)</f>
        <v>24625</v>
      </c>
      <c r="AM475" s="348"/>
      <c r="AN475" s="282">
        <f t="shared" si="83"/>
        <v>-23750</v>
      </c>
      <c r="AO475" s="289">
        <f t="shared" si="81"/>
        <v>-0.96446700507614214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52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84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82"/>
        <v>0</v>
      </c>
      <c r="AI476" s="306">
        <f t="shared" si="85"/>
        <v>0</v>
      </c>
      <c r="AJ476" s="345"/>
      <c r="AK476" s="332"/>
      <c r="AL476" s="347">
        <f>+SUM(START:END!AL476)</f>
        <v>0</v>
      </c>
      <c r="AM476" s="348"/>
      <c r="AN476" s="282">
        <f t="shared" si="83"/>
        <v>0</v>
      </c>
      <c r="AO476" s="289">
        <f t="shared" si="81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52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247069.43100000004</v>
      </c>
      <c r="AA477" s="332"/>
      <c r="AB477" s="333">
        <f t="shared" si="84"/>
        <v>0</v>
      </c>
      <c r="AC477" s="280">
        <f>+SUM(START:END!AC477)</f>
        <v>0</v>
      </c>
      <c r="AD477" s="345"/>
      <c r="AE477" s="333"/>
      <c r="AF477" s="280">
        <f>+SUM(START:END!AF477)</f>
        <v>245871.14</v>
      </c>
      <c r="AG477" s="346"/>
      <c r="AH477" s="282">
        <f t="shared" si="82"/>
        <v>-1198.2910000000265</v>
      </c>
      <c r="AI477" s="306">
        <f t="shared" si="85"/>
        <v>-4.8500172407003536E-3</v>
      </c>
      <c r="AJ477" s="345"/>
      <c r="AK477" s="332"/>
      <c r="AL477" s="347">
        <f>+SUM(START:END!AL477)</f>
        <v>226407.91</v>
      </c>
      <c r="AM477" s="348"/>
      <c r="AN477" s="282">
        <f t="shared" si="83"/>
        <v>19463.23000000001</v>
      </c>
      <c r="AO477" s="289">
        <f t="shared" si="81"/>
        <v>8.5965326918127596E-2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52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82"/>
        <v>0</v>
      </c>
      <c r="AI478" s="283">
        <f t="shared" si="85"/>
        <v>0</v>
      </c>
      <c r="AJ478" s="288"/>
      <c r="AK478" s="279"/>
      <c r="AL478" s="280">
        <f>+SUM(START:END!AL478)</f>
        <v>0</v>
      </c>
      <c r="AM478" s="348"/>
      <c r="AN478" s="282">
        <f t="shared" si="83"/>
        <v>0</v>
      </c>
      <c r="AO478" s="289">
        <f t="shared" si="81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52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82"/>
        <v>0</v>
      </c>
      <c r="AI479" s="283">
        <f t="shared" si="85"/>
        <v>0</v>
      </c>
      <c r="AJ479" s="288"/>
      <c r="AK479" s="279"/>
      <c r="AL479" s="280">
        <f>+SUM(START:END!AL479)</f>
        <v>0</v>
      </c>
      <c r="AM479" s="348"/>
      <c r="AN479" s="282">
        <f t="shared" si="83"/>
        <v>0</v>
      </c>
      <c r="AO479" s="289">
        <f t="shared" si="81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52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270528.64999999997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244545</v>
      </c>
      <c r="AG480" s="346"/>
      <c r="AH480" s="282">
        <f t="shared" si="82"/>
        <v>-25983.649999999965</v>
      </c>
      <c r="AI480" s="306">
        <f t="shared" si="85"/>
        <v>-9.6047682934875728E-2</v>
      </c>
      <c r="AJ480" s="345"/>
      <c r="AK480" s="332"/>
      <c r="AL480" s="347">
        <f>+SUM(START:END!AL480)</f>
        <v>256445</v>
      </c>
      <c r="AM480" s="348"/>
      <c r="AN480" s="282">
        <f t="shared" si="83"/>
        <v>-11900</v>
      </c>
      <c r="AO480" s="289">
        <f t="shared" si="81"/>
        <v>-4.6403712296983757E-2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52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0.32137858466703079</v>
      </c>
      <c r="Y481" s="330"/>
      <c r="Z481" s="299">
        <f>SUM(Z469:Z480)</f>
        <v>1461694.328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0.28495056243899619</v>
      </c>
      <c r="AE481" s="330"/>
      <c r="AF481" s="299">
        <f>SUM(AF469:AF480)</f>
        <v>1377064.15</v>
      </c>
      <c r="AG481" s="308"/>
      <c r="AH481" s="302">
        <f t="shared" si="82"/>
        <v>-84630.178000000073</v>
      </c>
      <c r="AI481" s="298">
        <f>AH481/Z481</f>
        <v>-5.7898683998998231E-2</v>
      </c>
      <c r="AJ481" s="349"/>
      <c r="AK481" s="350"/>
      <c r="AL481" s="299">
        <f>SUM(AL469:AL480)</f>
        <v>1595522.3199999998</v>
      </c>
      <c r="AM481" s="351"/>
      <c r="AN481" s="302">
        <f t="shared" si="83"/>
        <v>-218458.16999999993</v>
      </c>
      <c r="AO481" s="331">
        <f t="shared" si="81"/>
        <v>-0.13691953240741875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52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83"/>
        <v>0</v>
      </c>
      <c r="AO482" s="364">
        <f t="shared" si="81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52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1.5996719649017083E-2</v>
      </c>
      <c r="Z483" s="369">
        <f>Z407-Z468+Z481</f>
        <v>761311.52854630933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2.3185868989212415E-2</v>
      </c>
      <c r="AF483" s="370">
        <f>AF407-AF468+AF481</f>
        <v>1006987.1799999964</v>
      </c>
      <c r="AG483" s="371"/>
      <c r="AH483" s="370">
        <f>AF483-Z483</f>
        <v>245675.65145368711</v>
      </c>
      <c r="AI483" s="487">
        <f>AH483/Z483</f>
        <v>0.32270055324499536</v>
      </c>
      <c r="AJ483" s="373" t="s">
        <v>180</v>
      </c>
      <c r="AK483" s="368">
        <f>IF($AL$406=0,0,AL483/$AL$406)</f>
        <v>1.8737006799706572E-2</v>
      </c>
      <c r="AL483" s="370">
        <f>AL407-AL468+AL481</f>
        <v>873770.71999999555</v>
      </c>
      <c r="AM483" s="374"/>
      <c r="AN483" s="370">
        <f t="shared" si="83"/>
        <v>133216.46000000089</v>
      </c>
      <c r="AO483" s="375">
        <f t="shared" si="81"/>
        <v>0.15246157481679126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52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6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6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454">
        <f>Z433/(Z407+Z481)</f>
        <v>0.34617990304493562</v>
      </c>
      <c r="AA486" s="13"/>
      <c r="AB486" s="13"/>
      <c r="AC486" s="82"/>
      <c r="AD486" s="13"/>
      <c r="AE486" s="13"/>
      <c r="AF486" s="454">
        <f>AF433/(AF407+AF481)</f>
        <v>0.34451840789743754</v>
      </c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6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6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2.3986038234467474E-2</v>
      </c>
      <c r="Z488" s="449">
        <f>+Z489+Z415</f>
        <v>1141537.0046304893</v>
      </c>
      <c r="AA488" s="446"/>
      <c r="AB488" s="447"/>
      <c r="AC488" s="448"/>
      <c r="AD488" s="446" t="s">
        <v>180</v>
      </c>
      <c r="AE488" s="447">
        <f>AF488/AF406</f>
        <v>3.0684621698490656E-2</v>
      </c>
      <c r="AF488" s="449">
        <f>+AF489+AF415</f>
        <v>1332666.0599999963</v>
      </c>
      <c r="AG488" s="450"/>
      <c r="AH488" s="450">
        <f>AF488-Z488</f>
        <v>191129.05536950706</v>
      </c>
      <c r="AI488" s="451">
        <f>AH488/Z488</f>
        <v>0.16743132688140472</v>
      </c>
      <c r="AJ488" s="446" t="s">
        <v>180</v>
      </c>
      <c r="AK488" s="447">
        <f>AL488/AL406</f>
        <v>2.8358007010502621E-2</v>
      </c>
      <c r="AL488" s="449">
        <f>+AL489+AL415</f>
        <v>1322430.8699999955</v>
      </c>
      <c r="AM488" s="452"/>
      <c r="AN488" s="449">
        <f>AF488-AL488</f>
        <v>10235.190000000875</v>
      </c>
      <c r="AO488" s="453">
        <f>IF(AL488=0,0,AN488/AL488)</f>
        <v>7.7396786722022833E-3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6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1.5996719649017083E-2</v>
      </c>
      <c r="Z489" s="381">
        <f>Z483</f>
        <v>761311.52854630933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2.3185868989212415E-2</v>
      </c>
      <c r="AF489" s="381">
        <f>AF483</f>
        <v>1006987.1799999964</v>
      </c>
      <c r="AG489" s="382"/>
      <c r="AH489" s="370">
        <f>AF489-Z489</f>
        <v>245675.65145368711</v>
      </c>
      <c r="AI489" s="487">
        <f>AH489/Z489</f>
        <v>0.32270055324499536</v>
      </c>
      <c r="AJ489" s="379" t="s">
        <v>180</v>
      </c>
      <c r="AK489" s="380">
        <f>IF($AL$406=0,0,AL489/$AL$406)</f>
        <v>1.8737006799706572E-2</v>
      </c>
      <c r="AL489" s="383">
        <f>AL483</f>
        <v>873770.71999999555</v>
      </c>
      <c r="AM489" s="384"/>
      <c r="AN489" s="385">
        <f>AF489-AL489</f>
        <v>133216.46000000089</v>
      </c>
      <c r="AO489" s="386">
        <f>IF(AL489=0,0,AN489/AL489)</f>
        <v>0.15246157481679126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6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6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231600</v>
      </c>
      <c r="AA491" s="279"/>
      <c r="AB491" s="287">
        <f t="shared" ref="AB491:AB497" si="87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207111.66</v>
      </c>
      <c r="AG491" s="279"/>
      <c r="AH491" s="282">
        <f t="shared" ref="AH491:AH498" si="88">AF491-Z491</f>
        <v>-24488.339999999997</v>
      </c>
      <c r="AI491" s="306">
        <f t="shared" ref="AI491:AI497" si="89">IF(Z491=0,0,AH491/Z491)</f>
        <v>-0.10573549222797926</v>
      </c>
      <c r="AJ491" s="279"/>
      <c r="AK491" s="279"/>
      <c r="AL491" s="280">
        <f>+SUM(START:END!AL491)</f>
        <v>234320.92</v>
      </c>
      <c r="AM491" s="284"/>
      <c r="AN491" s="282">
        <f t="shared" ref="AN491:AN498" si="90">AF491-AL491</f>
        <v>-27209.260000000009</v>
      </c>
      <c r="AO491" s="289">
        <f t="shared" ref="AO491:AO498" si="91">IF(AL491=0,0,AN491/AL491)</f>
        <v>-0.11611963626636498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6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7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8"/>
        <v>0</v>
      </c>
      <c r="AI492" s="306">
        <f t="shared" si="89"/>
        <v>0</v>
      </c>
      <c r="AJ492" s="10"/>
      <c r="AK492" s="10"/>
      <c r="AL492" s="280">
        <f>+SUM(START:END!AL492)</f>
        <v>0</v>
      </c>
      <c r="AM492" s="393"/>
      <c r="AN492" s="282">
        <f t="shared" si="90"/>
        <v>0</v>
      </c>
      <c r="AO492" s="289">
        <f t="shared" si="9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6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7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8"/>
        <v>0</v>
      </c>
      <c r="AI493" s="306">
        <f t="shared" si="89"/>
        <v>0</v>
      </c>
      <c r="AJ493" s="10"/>
      <c r="AK493" s="10"/>
      <c r="AL493" s="280">
        <f>+SUM(START:END!AL493)</f>
        <v>0</v>
      </c>
      <c r="AM493" s="393"/>
      <c r="AN493" s="282">
        <f t="shared" si="90"/>
        <v>0</v>
      </c>
      <c r="AO493" s="289">
        <f t="shared" si="9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6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7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8"/>
        <v>0</v>
      </c>
      <c r="AI494" s="306">
        <f t="shared" si="89"/>
        <v>0</v>
      </c>
      <c r="AJ494" s="10"/>
      <c r="AK494" s="10"/>
      <c r="AL494" s="280">
        <f>+SUM(START:END!AL494)</f>
        <v>0</v>
      </c>
      <c r="AM494" s="393"/>
      <c r="AN494" s="282">
        <f t="shared" si="90"/>
        <v>0</v>
      </c>
      <c r="AO494" s="289">
        <f t="shared" si="9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6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7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8"/>
        <v>0</v>
      </c>
      <c r="AI495" s="283">
        <f t="shared" si="89"/>
        <v>0</v>
      </c>
      <c r="AJ495" s="288"/>
      <c r="AK495" s="279"/>
      <c r="AL495" s="280">
        <f>+SUM(START:END!AL495)</f>
        <v>0</v>
      </c>
      <c r="AM495" s="393"/>
      <c r="AN495" s="282">
        <f t="shared" si="90"/>
        <v>0</v>
      </c>
      <c r="AO495" s="289">
        <f t="shared" si="9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6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-31080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-31479.010000000002</v>
      </c>
      <c r="AG496" s="281"/>
      <c r="AH496" s="282">
        <f t="shared" si="88"/>
        <v>-399.01000000000204</v>
      </c>
      <c r="AI496" s="283">
        <f t="shared" si="89"/>
        <v>1.2838159588159653E-2</v>
      </c>
      <c r="AJ496" s="288"/>
      <c r="AK496" s="279"/>
      <c r="AL496" s="280">
        <f>+SUM(START:END!AL496)</f>
        <v>-69462.67</v>
      </c>
      <c r="AM496" s="393"/>
      <c r="AN496" s="282">
        <f t="shared" si="90"/>
        <v>37983.659999999996</v>
      </c>
      <c r="AO496" s="289">
        <f t="shared" si="91"/>
        <v>-0.54682119187183553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6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7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8"/>
        <v>0</v>
      </c>
      <c r="AI497" s="283">
        <f t="shared" si="89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90"/>
        <v>0</v>
      </c>
      <c r="AO497" s="289">
        <f t="shared" si="9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6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1.1783382396465826E-2</v>
      </c>
      <c r="Z498" s="369">
        <f>Z489-Z491-Z492-Z493-Z497-Z494-Z495-Z496-Z497</f>
        <v>560791.52854630933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1.9141929111916048E-2</v>
      </c>
      <c r="AF498" s="370">
        <f>AF489-AF491-AF492-AF493-AF497-AF494-AF495-AF496-AF497</f>
        <v>831354.52999999642</v>
      </c>
      <c r="AG498" s="371"/>
      <c r="AH498" s="370">
        <f t="shared" si="88"/>
        <v>270563.00145368709</v>
      </c>
      <c r="AI498" s="487">
        <f>AH498/Z498</f>
        <v>0.48246627789660768</v>
      </c>
      <c r="AJ498" s="373" t="s">
        <v>180</v>
      </c>
      <c r="AK498" s="368">
        <f>IF($AL$406=0,0,AL498/$AL$406)</f>
        <v>1.5201811489845719E-2</v>
      </c>
      <c r="AL498" s="370">
        <f>AL489-AL491-AL492-AL493-AL497-AL494-AL495-AL496-AL497</f>
        <v>708912.46999999555</v>
      </c>
      <c r="AM498" s="374"/>
      <c r="AN498" s="370">
        <f t="shared" si="90"/>
        <v>122442.06000000087</v>
      </c>
      <c r="AO498" s="394">
        <f t="shared" si="91"/>
        <v>0.17271816364014819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6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31" type="noConversion"/>
  <conditionalFormatting sqref="D31:D32">
    <cfRule type="expression" dxfId="449" priority="17" stopIfTrue="1">
      <formula>"esterreur(reference)"</formula>
    </cfRule>
  </conditionalFormatting>
  <conditionalFormatting sqref="D112:D113">
    <cfRule type="expression" dxfId="448" priority="12" stopIfTrue="1">
      <formula>"esterreur(reference)"</formula>
    </cfRule>
  </conditionalFormatting>
  <conditionalFormatting sqref="F5">
    <cfRule type="expression" dxfId="447" priority="78" stopIfTrue="1">
      <formula>"esterreur(reference)"</formula>
    </cfRule>
  </conditionalFormatting>
  <conditionalFormatting sqref="F184">
    <cfRule type="expression" dxfId="446" priority="88" stopIfTrue="1">
      <formula>"esterreur(reference)"</formula>
    </cfRule>
  </conditionalFormatting>
  <conditionalFormatting sqref="G31:G32">
    <cfRule type="expression" dxfId="445" priority="16" stopIfTrue="1">
      <formula>"esterreur(reference)"</formula>
    </cfRule>
  </conditionalFormatting>
  <conditionalFormatting sqref="G112:G113">
    <cfRule type="expression" dxfId="444" priority="13" stopIfTrue="1">
      <formula>"esterreur(reference)"</formula>
    </cfRule>
  </conditionalFormatting>
  <conditionalFormatting sqref="H136:H152">
    <cfRule type="expression" dxfId="443" priority="42" stopIfTrue="1">
      <formula>"esterreur(reference)"</formula>
    </cfRule>
  </conditionalFormatting>
  <conditionalFormatting sqref="H360">
    <cfRule type="expression" dxfId="442" priority="121" stopIfTrue="1">
      <formula>"esterreur(reference)"</formula>
    </cfRule>
  </conditionalFormatting>
  <conditionalFormatting sqref="H197:L197">
    <cfRule type="expression" dxfId="441" priority="123" stopIfTrue="1">
      <formula>"esterreur(reference)"</formula>
    </cfRule>
  </conditionalFormatting>
  <conditionalFormatting sqref="H396:L399">
    <cfRule type="expression" dxfId="440" priority="119" stopIfTrue="1">
      <formula>"esterreur(reference)"</formula>
    </cfRule>
  </conditionalFormatting>
  <conditionalFormatting sqref="I377:L377 H378:H395">
    <cfRule type="expression" dxfId="439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38" priority="113" stopIfTrue="1">
      <formula>"esterreur(reference)"</formula>
    </cfRule>
  </conditionalFormatting>
  <conditionalFormatting sqref="J55:K71">
    <cfRule type="expression" dxfId="437" priority="124" stopIfTrue="1">
      <formula>"esterreur(reference)"</formula>
    </cfRule>
  </conditionalFormatting>
  <conditionalFormatting sqref="J102:L104">
    <cfRule type="expression" dxfId="436" priority="109" stopIfTrue="1">
      <formula>"esterreur(reference)"</formula>
    </cfRule>
  </conditionalFormatting>
  <conditionalFormatting sqref="J149:L152">
    <cfRule type="expression" dxfId="435" priority="41" stopIfTrue="1">
      <formula>"esterreur(reference)"</formula>
    </cfRule>
  </conditionalFormatting>
  <conditionalFormatting sqref="J295:L303">
    <cfRule type="expression" dxfId="434" priority="105" stopIfTrue="1">
      <formula>"esterreur(reference)"</formula>
    </cfRule>
  </conditionalFormatting>
  <conditionalFormatting sqref="J307:L308">
    <cfRule type="expression" dxfId="433" priority="95" stopIfTrue="1">
      <formula>"esterreur(reference)"</formula>
    </cfRule>
  </conditionalFormatting>
  <conditionalFormatting sqref="J360:L360">
    <cfRule type="expression" dxfId="432" priority="87" stopIfTrue="1">
      <formula>"esterreur(reference)"</formula>
    </cfRule>
  </conditionalFormatting>
  <conditionalFormatting sqref="J365:L376">
    <cfRule type="expression" dxfId="431" priority="92" stopIfTrue="1">
      <formula>"esterreur(reference)"</formula>
    </cfRule>
  </conditionalFormatting>
  <conditionalFormatting sqref="J378:L394">
    <cfRule type="expression" dxfId="430" priority="91" stopIfTrue="1">
      <formula>"esterreur(reference)"</formula>
    </cfRule>
  </conditionalFormatting>
  <conditionalFormatting sqref="J312:M312">
    <cfRule type="expression" dxfId="429" priority="93" stopIfTrue="1">
      <formula>"esterreur(reference)"</formula>
    </cfRule>
  </conditionalFormatting>
  <conditionalFormatting sqref="J112:Q121">
    <cfRule type="expression" dxfId="428" priority="14" stopIfTrue="1">
      <formula>"esterreur(reference)"</formula>
    </cfRule>
  </conditionalFormatting>
  <conditionalFormatting sqref="J123:Q134">
    <cfRule type="expression" dxfId="427" priority="68" stopIfTrue="1">
      <formula>"esterreur(reference)"</formula>
    </cfRule>
  </conditionalFormatting>
  <conditionalFormatting sqref="K5">
    <cfRule type="expression" dxfId="426" priority="102" stopIfTrue="1">
      <formula>"esterreur(reference)"</formula>
    </cfRule>
  </conditionalFormatting>
  <conditionalFormatting sqref="K175">
    <cfRule type="expression" dxfId="425" priority="99" stopIfTrue="1">
      <formula>"esterreur(reference)"</formula>
    </cfRule>
  </conditionalFormatting>
  <conditionalFormatting sqref="K183:K184">
    <cfRule type="expression" dxfId="424" priority="101" stopIfTrue="1">
      <formula>"esterreur(reference)"</formula>
    </cfRule>
  </conditionalFormatting>
  <conditionalFormatting sqref="K287">
    <cfRule type="expression" dxfId="423" priority="85" stopIfTrue="1">
      <formula>"esterreur(reference)"</formula>
    </cfRule>
  </conditionalFormatting>
  <conditionalFormatting sqref="K395">
    <cfRule type="expression" dxfId="422" priority="122" stopIfTrue="1">
      <formula>"esterreur(reference)"</formula>
    </cfRule>
  </conditionalFormatting>
  <conditionalFormatting sqref="K93:L96">
    <cfRule type="expression" dxfId="421" priority="90" stopIfTrue="1">
      <formula>"esterreur(reference)"</formula>
    </cfRule>
  </conditionalFormatting>
  <conditionalFormatting sqref="K99:L100">
    <cfRule type="expression" dxfId="420" priority="110" stopIfTrue="1">
      <formula>"esterreur(reference)"</formula>
    </cfRule>
  </conditionalFormatting>
  <conditionalFormatting sqref="K171:L173">
    <cfRule type="expression" dxfId="419" priority="100" stopIfTrue="1">
      <formula>"esterreur(reference)"</formula>
    </cfRule>
  </conditionalFormatting>
  <conditionalFormatting sqref="K176:L182">
    <cfRule type="expression" dxfId="418" priority="98" stopIfTrue="1">
      <formula>"esterreur(reference)"</formula>
    </cfRule>
  </conditionalFormatting>
  <conditionalFormatting sqref="K185:L196">
    <cfRule type="expression" dxfId="417" priority="94" stopIfTrue="1">
      <formula>"esterreur(reference)"</formula>
    </cfRule>
  </conditionalFormatting>
  <conditionalFormatting sqref="K239:L241">
    <cfRule type="expression" dxfId="416" priority="89" stopIfTrue="1">
      <formula>"esterreur(reference)"</formula>
    </cfRule>
  </conditionalFormatting>
  <conditionalFormatting sqref="K244:L244">
    <cfRule type="expression" dxfId="415" priority="97" stopIfTrue="1">
      <formula>"esterreur(reference)"</formula>
    </cfRule>
  </conditionalFormatting>
  <conditionalFormatting sqref="K247:L247">
    <cfRule type="expression" dxfId="414" priority="96" stopIfTrue="1">
      <formula>"esterreur(reference)"</formula>
    </cfRule>
  </conditionalFormatting>
  <conditionalFormatting sqref="L16:L24">
    <cfRule type="expression" dxfId="413" priority="112" stopIfTrue="1">
      <formula>"esterreur(reference)"</formula>
    </cfRule>
  </conditionalFormatting>
  <conditionalFormatting sqref="L42:L48">
    <cfRule type="expression" dxfId="412" priority="111" stopIfTrue="1">
      <formula>"esterreur(reference)"</formula>
    </cfRule>
  </conditionalFormatting>
  <conditionalFormatting sqref="L55:L66">
    <cfRule type="expression" dxfId="411" priority="79" stopIfTrue="1">
      <formula>"esterreur(reference)"</formula>
    </cfRule>
  </conditionalFormatting>
  <conditionalFormatting sqref="L68:L71">
    <cfRule type="expression" dxfId="410" priority="43" stopIfTrue="1">
      <formula>"esterreur(reference)"</formula>
    </cfRule>
  </conditionalFormatting>
  <conditionalFormatting sqref="L75:L82">
    <cfRule type="expression" dxfId="409" priority="80" stopIfTrue="1">
      <formula>"esterreur(reference)"</formula>
    </cfRule>
  </conditionalFormatting>
  <conditionalFormatting sqref="L136:L147">
    <cfRule type="expression" dxfId="408" priority="84" stopIfTrue="1">
      <formula>"esterreur(reference)"</formula>
    </cfRule>
  </conditionalFormatting>
  <conditionalFormatting sqref="L174:L175">
    <cfRule type="expression" dxfId="407" priority="108" stopIfTrue="1">
      <formula>"esterreur(reference)"</formula>
    </cfRule>
  </conditionalFormatting>
  <conditionalFormatting sqref="L198:L209">
    <cfRule type="expression" dxfId="406" priority="107" stopIfTrue="1">
      <formula>"esterreur(reference)"</formula>
    </cfRule>
  </conditionalFormatting>
  <conditionalFormatting sqref="L211:L228">
    <cfRule type="expression" dxfId="405" priority="83" stopIfTrue="1">
      <formula>"esterreur(reference)"</formula>
    </cfRule>
  </conditionalFormatting>
  <conditionalFormatting sqref="L254:L265">
    <cfRule type="expression" dxfId="404" priority="106" stopIfTrue="1">
      <formula>"esterreur(reference)"</formula>
    </cfRule>
  </conditionalFormatting>
  <conditionalFormatting sqref="L267:L284">
    <cfRule type="expression" dxfId="403" priority="82" stopIfTrue="1">
      <formula>"esterreur(reference)"</formula>
    </cfRule>
  </conditionalFormatting>
  <conditionalFormatting sqref="L318:L329">
    <cfRule type="expression" dxfId="402" priority="104" stopIfTrue="1">
      <formula>"esterreur(reference)"</formula>
    </cfRule>
  </conditionalFormatting>
  <conditionalFormatting sqref="L331">
    <cfRule type="expression" dxfId="401" priority="81" stopIfTrue="1">
      <formula>"esterreur(reference)"</formula>
    </cfRule>
  </conditionalFormatting>
  <conditionalFormatting sqref="L334:L343 L345:L348">
    <cfRule type="expression" dxfId="400" priority="103" stopIfTrue="1">
      <formula>"esterreur(reference)"</formula>
    </cfRule>
  </conditionalFormatting>
  <conditionalFormatting sqref="L356:L357 H357:I357 K357 J357:J358 H359:L359">
    <cfRule type="expression" dxfId="399" priority="118" stopIfTrue="1">
      <formula>"esterreur(reference)"</formula>
    </cfRule>
  </conditionalFormatting>
  <conditionalFormatting sqref="L5:Q14">
    <cfRule type="expression" dxfId="398" priority="73" stopIfTrue="1">
      <formula>"esterreur(reference)"</formula>
    </cfRule>
  </conditionalFormatting>
  <conditionalFormatting sqref="L156:Q162">
    <cfRule type="expression" dxfId="397" priority="39" stopIfTrue="1">
      <formula>"esterreur(reference)"</formula>
    </cfRule>
  </conditionalFormatting>
  <conditionalFormatting sqref="M95:M97">
    <cfRule type="expression" dxfId="396" priority="114" stopIfTrue="1">
      <formula>"esterreur(reference)"</formula>
    </cfRule>
  </conditionalFormatting>
  <conditionalFormatting sqref="O13:O14 O16 O18:O24 O83:Q85">
    <cfRule type="expression" dxfId="395" priority="77" stopIfTrue="1">
      <formula>"esterreur(reference)"</formula>
    </cfRule>
  </conditionalFormatting>
  <conditionalFormatting sqref="O172:O196 Q183 O198:P229 O232:Q232 O233:P233">
    <cfRule type="expression" dxfId="394" priority="66" stopIfTrue="1">
      <formula>"esterreur(reference)"</formula>
    </cfRule>
  </conditionalFormatting>
  <conditionalFormatting sqref="O318:P348 O349:Q349 O352:Q352 O353:P353">
    <cfRule type="expression" dxfId="393" priority="50" stopIfTrue="1">
      <formula>"esterreur(reference)"</formula>
    </cfRule>
  </conditionalFormatting>
  <conditionalFormatting sqref="O25:Q72">
    <cfRule type="expression" dxfId="392" priority="15" stopIfTrue="1">
      <formula>"esterreur(reference)"</formula>
    </cfRule>
  </conditionalFormatting>
  <conditionalFormatting sqref="O97:Q98 O122:Q122 O156:P157 O164:Q164 O165:P165">
    <cfRule type="expression" dxfId="391" priority="72" stopIfTrue="1">
      <formula>"esterreur(reference)"</formula>
    </cfRule>
  </conditionalFormatting>
  <conditionalFormatting sqref="O101:Q111">
    <cfRule type="expression" dxfId="390" priority="70" stopIfTrue="1">
      <formula>"esterreur(reference)"</formula>
    </cfRule>
  </conditionalFormatting>
  <conditionalFormatting sqref="O135:Q153">
    <cfRule type="expression" dxfId="389" priority="40" stopIfTrue="1">
      <formula>"esterreur(reference)"</formula>
    </cfRule>
  </conditionalFormatting>
  <conditionalFormatting sqref="O197:Q197">
    <cfRule type="expression" dxfId="388" priority="67" stopIfTrue="1">
      <formula>"esterreur(reference)"</formula>
    </cfRule>
  </conditionalFormatting>
  <conditionalFormatting sqref="O243:Q243 O252:Q253 O254:P284 O285:Q285 O288:Q288 O289:P289">
    <cfRule type="expression" dxfId="387" priority="57" stopIfTrue="1">
      <formula>"esterreur(reference)"</formula>
    </cfRule>
  </conditionalFormatting>
  <conditionalFormatting sqref="O295:Q317">
    <cfRule type="expression" dxfId="386" priority="48" stopIfTrue="1">
      <formula>"esterreur(reference)"</formula>
    </cfRule>
  </conditionalFormatting>
  <conditionalFormatting sqref="O359:Q394">
    <cfRule type="expression" dxfId="385" priority="44" stopIfTrue="1">
      <formula>"esterreur(reference)"</formula>
    </cfRule>
  </conditionalFormatting>
  <conditionalFormatting sqref="O396:Q399">
    <cfRule type="expression" dxfId="384" priority="45" stopIfTrue="1">
      <formula>"esterreur(reference)"</formula>
    </cfRule>
  </conditionalFormatting>
  <conditionalFormatting sqref="P5">
    <cfRule type="expression" dxfId="383" priority="74" stopIfTrue="1">
      <formula>"esterreur(reference)"</formula>
    </cfRule>
  </conditionalFormatting>
  <conditionalFormatting sqref="P175">
    <cfRule type="expression" dxfId="382" priority="61" stopIfTrue="1">
      <formula>"esterreur(reference)"</formula>
    </cfRule>
  </conditionalFormatting>
  <conditionalFormatting sqref="P183:P184">
    <cfRule type="expression" dxfId="381" priority="63" stopIfTrue="1">
      <formula>"esterreur(reference)"</formula>
    </cfRule>
  </conditionalFormatting>
  <conditionalFormatting sqref="P287">
    <cfRule type="expression" dxfId="380" priority="52" stopIfTrue="1">
      <formula>"esterreur(reference)"</formula>
    </cfRule>
  </conditionalFormatting>
  <conditionalFormatting sqref="P395">
    <cfRule type="expression" dxfId="379" priority="46" stopIfTrue="1">
      <formula>"esterreur(reference)"</formula>
    </cfRule>
  </conditionalFormatting>
  <conditionalFormatting sqref="P93:Q96">
    <cfRule type="expression" dxfId="378" priority="69" stopIfTrue="1">
      <formula>"esterreur(reference)"</formula>
    </cfRule>
  </conditionalFormatting>
  <conditionalFormatting sqref="P99:Q100">
    <cfRule type="expression" dxfId="377" priority="71" stopIfTrue="1">
      <formula>"esterreur(reference)"</formula>
    </cfRule>
  </conditionalFormatting>
  <conditionalFormatting sqref="P172:Q173">
    <cfRule type="expression" dxfId="376" priority="62" stopIfTrue="1">
      <formula>"esterreur(reference)"</formula>
    </cfRule>
  </conditionalFormatting>
  <conditionalFormatting sqref="P176:Q182">
    <cfRule type="expression" dxfId="375" priority="60" stopIfTrue="1">
      <formula>"esterreur(reference)"</formula>
    </cfRule>
  </conditionalFormatting>
  <conditionalFormatting sqref="P185:Q196">
    <cfRule type="expression" dxfId="374" priority="59" stopIfTrue="1">
      <formula>"esterreur(reference)"</formula>
    </cfRule>
  </conditionalFormatting>
  <conditionalFormatting sqref="P241:Q241">
    <cfRule type="expression" dxfId="373" priority="53" stopIfTrue="1">
      <formula>"esterreur(reference)"</formula>
    </cfRule>
  </conditionalFormatting>
  <conditionalFormatting sqref="P244:Q244">
    <cfRule type="expression" dxfId="372" priority="55" stopIfTrue="1">
      <formula>"esterreur(reference)"</formula>
    </cfRule>
  </conditionalFormatting>
  <conditionalFormatting sqref="P247:Q247">
    <cfRule type="expression" dxfId="371" priority="54" stopIfTrue="1">
      <formula>"esterreur(reference)"</formula>
    </cfRule>
  </conditionalFormatting>
  <conditionalFormatting sqref="Q16:Q24">
    <cfRule type="expression" dxfId="370" priority="76" stopIfTrue="1">
      <formula>"esterreur(reference)"</formula>
    </cfRule>
  </conditionalFormatting>
  <conditionalFormatting sqref="Q75:Q82">
    <cfRule type="expression" dxfId="369" priority="75" stopIfTrue="1">
      <formula>"esterreur(reference)"</formula>
    </cfRule>
  </conditionalFormatting>
  <conditionalFormatting sqref="Q174:Q175">
    <cfRule type="expression" dxfId="368" priority="65" stopIfTrue="1">
      <formula>"esterreur(reference)"</formula>
    </cfRule>
  </conditionalFormatting>
  <conditionalFormatting sqref="Q198:Q209">
    <cfRule type="expression" dxfId="367" priority="64" stopIfTrue="1">
      <formula>"esterreur(reference)"</formula>
    </cfRule>
  </conditionalFormatting>
  <conditionalFormatting sqref="Q211:Q228">
    <cfRule type="expression" dxfId="366" priority="58" stopIfTrue="1">
      <formula>"esterreur(reference)"</formula>
    </cfRule>
  </conditionalFormatting>
  <conditionalFormatting sqref="Q254:Q265">
    <cfRule type="expression" dxfId="365" priority="56" stopIfTrue="1">
      <formula>"esterreur(reference)"</formula>
    </cfRule>
  </conditionalFormatting>
  <conditionalFormatting sqref="Q267:Q284">
    <cfRule type="expression" dxfId="364" priority="51" stopIfTrue="1">
      <formula>"esterreur(reference)"</formula>
    </cfRule>
  </conditionalFormatting>
  <conditionalFormatting sqref="Q318:Q329">
    <cfRule type="expression" dxfId="363" priority="49" stopIfTrue="1">
      <formula>"esterreur(reference)"</formula>
    </cfRule>
  </conditionalFormatting>
  <conditionalFormatting sqref="Q331:Q348">
    <cfRule type="expression" dxfId="362" priority="47" stopIfTrue="1">
      <formula>"esterreur(reference)"</formula>
    </cfRule>
  </conditionalFormatting>
  <conditionalFormatting sqref="R312">
    <cfRule type="expression" dxfId="361" priority="115" stopIfTrue="1">
      <formula>"esterreur(reference)"</formula>
    </cfRule>
  </conditionalFormatting>
  <conditionalFormatting sqref="S186">
    <cfRule type="expression" dxfId="360" priority="86" stopIfTrue="1">
      <formula>"esterreur(reference)"</formula>
    </cfRule>
  </conditionalFormatting>
  <conditionalFormatting sqref="Z425:Z427">
    <cfRule type="cellIs" dxfId="359" priority="35" operator="greaterThan">
      <formula>0</formula>
    </cfRule>
  </conditionalFormatting>
  <conditionalFormatting sqref="Z432">
    <cfRule type="cellIs" dxfId="358" priority="32" operator="greaterThan">
      <formula>0</formula>
    </cfRule>
  </conditionalFormatting>
  <conditionalFormatting sqref="Z449:Z451">
    <cfRule type="cellIs" dxfId="357" priority="28" operator="greaterThan">
      <formula>0</formula>
    </cfRule>
  </conditionalFormatting>
  <conditionalFormatting sqref="Z463:Z465">
    <cfRule type="cellIs" dxfId="356" priority="24" operator="greaterThan">
      <formula>0</formula>
    </cfRule>
  </conditionalFormatting>
  <conditionalFormatting sqref="Z478:Z479">
    <cfRule type="cellIs" dxfId="355" priority="21" operator="greaterThan">
      <formula>0</formula>
    </cfRule>
  </conditionalFormatting>
  <conditionalFormatting sqref="Z495:Z497">
    <cfRule type="cellIs" dxfId="354" priority="18" operator="greaterThan">
      <formula>0</formula>
    </cfRule>
  </conditionalFormatting>
  <conditionalFormatting sqref="AC425:AC427">
    <cfRule type="cellIs" dxfId="353" priority="36" operator="greaterThan">
      <formula>0</formula>
    </cfRule>
  </conditionalFormatting>
  <conditionalFormatting sqref="AC432">
    <cfRule type="cellIs" dxfId="352" priority="33" operator="greaterThan">
      <formula>0</formula>
    </cfRule>
  </conditionalFormatting>
  <conditionalFormatting sqref="AC449:AC451">
    <cfRule type="cellIs" dxfId="351" priority="29" operator="greaterThan">
      <formula>0</formula>
    </cfRule>
  </conditionalFormatting>
  <conditionalFormatting sqref="AC463:AC465">
    <cfRule type="cellIs" dxfId="350" priority="25" operator="greaterThan">
      <formula>0</formula>
    </cfRule>
  </conditionalFormatting>
  <conditionalFormatting sqref="AC478:AC479">
    <cfRule type="cellIs" dxfId="349" priority="22" operator="greaterThan">
      <formula>0</formula>
    </cfRule>
  </conditionalFormatting>
  <conditionalFormatting sqref="AC495:AC497">
    <cfRule type="cellIs" dxfId="348" priority="19" operator="greaterThan">
      <formula>0</formula>
    </cfRule>
  </conditionalFormatting>
  <conditionalFormatting sqref="AG409:AI418">
    <cfRule type="cellIs" dxfId="347" priority="9" operator="greaterThan">
      <formula>0</formula>
    </cfRule>
  </conditionalFormatting>
  <conditionalFormatting sqref="AH449:AH452">
    <cfRule type="cellIs" dxfId="346" priority="6" operator="greaterThan">
      <formula>0</formula>
    </cfRule>
  </conditionalFormatting>
  <conditionalFormatting sqref="AH461:AH466">
    <cfRule type="cellIs" dxfId="345" priority="4" operator="greaterThan">
      <formula>0</formula>
    </cfRule>
  </conditionalFormatting>
  <conditionalFormatting sqref="AH420:AI448">
    <cfRule type="cellIs" dxfId="344" priority="8" operator="greaterThan">
      <formula>0</formula>
    </cfRule>
  </conditionalFormatting>
  <conditionalFormatting sqref="AH453:AI460 AH467:AI468">
    <cfRule type="cellIs" dxfId="343" priority="10" operator="greaterThan">
      <formula>0</formula>
    </cfRule>
  </conditionalFormatting>
  <conditionalFormatting sqref="AH469:AI477 AH480:AI480">
    <cfRule type="cellIs" dxfId="342" priority="11" operator="lessThan">
      <formula>0</formula>
    </cfRule>
  </conditionalFormatting>
  <conditionalFormatting sqref="AH478:AI479">
    <cfRule type="cellIs" dxfId="341" priority="3" operator="greaterThan">
      <formula>0</formula>
    </cfRule>
  </conditionalFormatting>
  <conditionalFormatting sqref="AH491:AI497">
    <cfRule type="cellIs" dxfId="340" priority="2" operator="greaterThan">
      <formula>0</formula>
    </cfRule>
  </conditionalFormatting>
  <conditionalFormatting sqref="AI449:AI451">
    <cfRule type="cellIs" dxfId="339" priority="7" operator="greaterThan">
      <formula>0</formula>
    </cfRule>
  </conditionalFormatting>
  <conditionalFormatting sqref="AI463:AI465">
    <cfRule type="cellIs" dxfId="338" priority="5" operator="greaterThan">
      <formula>0</formula>
    </cfRule>
  </conditionalFormatting>
  <conditionalFormatting sqref="AO409:AO418">
    <cfRule type="cellIs" dxfId="337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topLeftCell="A72" zoomScale="60" zoomScaleNormal="60" workbookViewId="0">
      <selection activeCell="K102" sqref="K102:K10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  <c r="X2" t="s">
        <v>2</v>
      </c>
      <c r="Y2" t="s">
        <v>3</v>
      </c>
      <c r="Z2" t="s">
        <v>4</v>
      </c>
      <c r="AJ2" t="s">
        <v>2</v>
      </c>
      <c r="AK2" t="s">
        <v>3</v>
      </c>
      <c r="AL2" t="s">
        <v>4</v>
      </c>
    </row>
    <row r="3" spans="1:40" ht="21" thickTop="1">
      <c r="B3" s="11"/>
      <c r="C3" s="12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09" t="s">
        <v>214</v>
      </c>
      <c r="S3" s="510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23640229.161891062</v>
      </c>
      <c r="G5" s="23"/>
      <c r="H5" s="21"/>
      <c r="I5" s="24"/>
      <c r="J5" s="23"/>
      <c r="K5" s="25"/>
      <c r="L5" s="22">
        <v>21929943.880000003</v>
      </c>
      <c r="M5" s="26"/>
      <c r="N5" s="27"/>
      <c r="O5" s="23"/>
      <c r="P5" s="25"/>
      <c r="Q5" s="22">
        <v>22998973.619999968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80</v>
      </c>
      <c r="E6" s="30">
        <f t="shared" ref="E6:E12" si="2">IF(D6=0,0,F6/D6)</f>
        <v>4306.3953488372081</v>
      </c>
      <c r="F6" s="30">
        <v>344511.62790697668</v>
      </c>
      <c r="G6" s="31"/>
      <c r="H6" s="30"/>
      <c r="I6" s="30"/>
      <c r="J6" s="31">
        <v>69</v>
      </c>
      <c r="K6" s="30">
        <f>IF(J6=0,0,L6/J6)</f>
        <v>5018.3786956521608</v>
      </c>
      <c r="L6" s="32">
        <v>346268.12999999907</v>
      </c>
      <c r="M6" s="31">
        <f t="shared" ref="M6:M12" si="3">J6-D6</f>
        <v>-11</v>
      </c>
      <c r="N6" s="33">
        <f t="shared" ref="N6:N12" si="4">L6-F6</f>
        <v>1756.5020930223982</v>
      </c>
      <c r="O6" s="31">
        <v>75</v>
      </c>
      <c r="P6" s="30">
        <f t="shared" ref="P6:P12" si="5">IF(O6=0,0,Q6/O6)</f>
        <v>4922.2714666666679</v>
      </c>
      <c r="Q6" s="32">
        <v>369170.3600000001</v>
      </c>
      <c r="R6" s="31">
        <f>J6-O6</f>
        <v>-6</v>
      </c>
      <c r="S6" s="34">
        <f>L6-Q6</f>
        <v>-22902.230000001029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141</v>
      </c>
      <c r="E7" s="30">
        <f t="shared" si="2"/>
        <v>4000.331125827814</v>
      </c>
      <c r="F7" s="30">
        <v>564046.68874172179</v>
      </c>
      <c r="G7" s="31"/>
      <c r="H7" s="30"/>
      <c r="I7" s="30"/>
      <c r="J7" s="31">
        <v>126</v>
      </c>
      <c r="K7" s="30">
        <f t="shared" ref="K7:K12" si="6">IF(J7=0,0,L7/J7)</f>
        <v>3784.2956349206202</v>
      </c>
      <c r="L7" s="32">
        <v>476821.24999999814</v>
      </c>
      <c r="M7" s="31">
        <f t="shared" si="3"/>
        <v>-15</v>
      </c>
      <c r="N7" s="33">
        <f t="shared" si="4"/>
        <v>-87225.438741723658</v>
      </c>
      <c r="O7" s="31">
        <v>131</v>
      </c>
      <c r="P7" s="30">
        <f t="shared" si="5"/>
        <v>4532.0123664122066</v>
      </c>
      <c r="Q7" s="32">
        <v>593693.61999999906</v>
      </c>
      <c r="R7" s="31">
        <f t="shared" ref="R7:R12" si="7">J7-O7</f>
        <v>-5</v>
      </c>
      <c r="S7" s="34">
        <f t="shared" ref="S7:S12" si="8">L7-Q7</f>
        <v>-116872.37000000093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2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3"/>
        <v>0</v>
      </c>
      <c r="N8" s="33">
        <f t="shared" si="4"/>
        <v>0</v>
      </c>
      <c r="O8" s="31">
        <v>0</v>
      </c>
      <c r="P8" s="30">
        <f t="shared" si="5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2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3"/>
        <v>0</v>
      </c>
      <c r="N9" s="33">
        <f t="shared" si="4"/>
        <v>0</v>
      </c>
      <c r="O9" s="31">
        <v>0</v>
      </c>
      <c r="P9" s="30">
        <f t="shared" si="5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2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3"/>
        <v>0</v>
      </c>
      <c r="N10" s="33">
        <f t="shared" si="4"/>
        <v>0</v>
      </c>
      <c r="O10" s="31">
        <v>0</v>
      </c>
      <c r="P10" s="30">
        <f t="shared" si="5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2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3"/>
        <v>0</v>
      </c>
      <c r="N11" s="33">
        <f t="shared" si="4"/>
        <v>0</v>
      </c>
      <c r="O11" s="31">
        <v>0</v>
      </c>
      <c r="P11" s="30">
        <f t="shared" si="5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2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3"/>
        <v>0</v>
      </c>
      <c r="N12" s="33">
        <f t="shared" si="4"/>
        <v>0</v>
      </c>
      <c r="O12" s="31">
        <v>0</v>
      </c>
      <c r="P12" s="30">
        <f t="shared" si="5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221</v>
      </c>
      <c r="E13" s="36">
        <f>IF(D13&lt;=0,0,F13/D13)</f>
        <v>4111.1236047452421</v>
      </c>
      <c r="F13" s="37">
        <f t="shared" ref="F13" si="10">+SUM(F6:F12)</f>
        <v>908558.31664869841</v>
      </c>
      <c r="G13" s="38"/>
      <c r="H13" s="36"/>
      <c r="I13" s="37"/>
      <c r="J13" s="38">
        <f>+SUM(J6:J12)</f>
        <v>195</v>
      </c>
      <c r="K13" s="36">
        <f>IF(J13&lt;=0,0,L13/J13)</f>
        <v>4220.9711794871655</v>
      </c>
      <c r="L13" s="37">
        <f>+SUM(L6:L12)</f>
        <v>823089.37999999721</v>
      </c>
      <c r="M13" s="38">
        <f>+SUM(M6:M12)</f>
        <v>-26</v>
      </c>
      <c r="N13" s="37">
        <f t="shared" ref="N13" si="11">+SUM(N6:N12)</f>
        <v>-85468.936648701259</v>
      </c>
      <c r="O13" s="38">
        <f>+SUM(O6:O12)</f>
        <v>206</v>
      </c>
      <c r="P13" s="36">
        <f>IF(O13&lt;=0,0,Q13/O13)</f>
        <v>4674.0969902912584</v>
      </c>
      <c r="Q13" s="37">
        <f t="shared" ref="Q13" si="12">+SUM(Q6:Q12)</f>
        <v>962863.97999999917</v>
      </c>
      <c r="R13" s="38">
        <f>+SUM(R6:R12)</f>
        <v>-11</v>
      </c>
      <c r="S13" s="39">
        <f>+SUM(S6:S12)</f>
        <v>-139774.60000000196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-0.11764705882352941</v>
      </c>
      <c r="N14" s="43">
        <f>IF(F13=0,0,N13/F13)</f>
        <v>-9.4070941933547383E-2</v>
      </c>
      <c r="O14" s="41"/>
      <c r="P14" s="30"/>
      <c r="Q14" s="40"/>
      <c r="R14" s="42">
        <f>R13/O13</f>
        <v>-5.3398058252427182E-2</v>
      </c>
      <c r="S14" s="44">
        <f>IF(Q13=0,0,(S13/Q13))</f>
        <v>-0.14516546771227445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33</v>
      </c>
      <c r="E15" s="25">
        <f>IF(D15=0,0,F15/D15)</f>
        <v>750</v>
      </c>
      <c r="F15" s="22">
        <v>24750</v>
      </c>
      <c r="G15" s="46"/>
      <c r="H15" s="47"/>
      <c r="I15" s="48"/>
      <c r="J15" s="49">
        <v>44</v>
      </c>
      <c r="K15" s="50">
        <f>IF(J15=0,0,L15/J15)</f>
        <v>2807.0756818181731</v>
      </c>
      <c r="L15" s="50">
        <v>123511.32999999961</v>
      </c>
      <c r="M15" s="51">
        <f>J15-D15</f>
        <v>11</v>
      </c>
      <c r="N15" s="48">
        <f>L15-F15</f>
        <v>98761.329999999609</v>
      </c>
      <c r="O15" s="49">
        <v>34</v>
      </c>
      <c r="P15" s="50">
        <f>IF(O15=0,0,Q15/O15)</f>
        <v>1415.8485294117665</v>
      </c>
      <c r="Q15" s="50">
        <v>48138.850000000064</v>
      </c>
      <c r="R15" s="51">
        <f>J15-O15</f>
        <v>10</v>
      </c>
      <c r="S15" s="52">
        <f>L15-Q15</f>
        <v>75372.479999999545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3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2881.0099999999948</v>
      </c>
      <c r="L17" s="33">
        <v>2881.0099999999948</v>
      </c>
      <c r="M17" s="51">
        <f>J17-D17</f>
        <v>-2</v>
      </c>
      <c r="N17" s="33">
        <f>L17-F17</f>
        <v>2881.0099999999948</v>
      </c>
      <c r="O17" s="51">
        <v>5</v>
      </c>
      <c r="P17" s="30">
        <f>IF(O17=0,0,Q17/O17)</f>
        <v>2686.7860000000019</v>
      </c>
      <c r="Q17" s="33">
        <v>13433.930000000009</v>
      </c>
      <c r="R17" s="31">
        <f>J17-O17</f>
        <v>-4</v>
      </c>
      <c r="S17" s="34">
        <f>L17-Q17</f>
        <v>-10552.920000000015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28043.892793886895</v>
      </c>
      <c r="G19" s="31"/>
      <c r="H19" s="30"/>
      <c r="I19" s="30"/>
      <c r="J19" s="46"/>
      <c r="K19" s="30"/>
      <c r="L19" s="33">
        <v>27010.619999999995</v>
      </c>
      <c r="M19" s="31"/>
      <c r="N19" s="33">
        <f>L19-F19</f>
        <v>-1033.2727938868993</v>
      </c>
      <c r="O19" s="46">
        <v>0</v>
      </c>
      <c r="P19" s="30">
        <f>IF(O19=0,0,Q19/O19)</f>
        <v>0</v>
      </c>
      <c r="Q19" s="33">
        <v>44239.579999999944</v>
      </c>
      <c r="R19" s="31">
        <f>O19-K19</f>
        <v>0</v>
      </c>
      <c r="S19" s="34">
        <f>L19-Q19</f>
        <v>-17228.959999999948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/>
      <c r="F21" s="30">
        <v>6350</v>
      </c>
      <c r="G21" s="41"/>
      <c r="H21" s="30"/>
      <c r="I21" s="30"/>
      <c r="J21" s="31"/>
      <c r="K21" s="30">
        <f>IF(J13=0,0,L21/(J13+J15))</f>
        <v>7.0791213389121346</v>
      </c>
      <c r="L21" s="33">
        <v>1691.91</v>
      </c>
      <c r="M21" s="31"/>
      <c r="N21" s="33">
        <f>L21-F21</f>
        <v>-4658.09</v>
      </c>
      <c r="O21" s="31"/>
      <c r="P21" s="30"/>
      <c r="Q21" s="33">
        <v>1769.38</v>
      </c>
      <c r="R21" s="31">
        <f>O21-K21</f>
        <v>-7.0791213389121346</v>
      </c>
      <c r="S21" s="34">
        <f>L21-Q21</f>
        <v>-77.470000000000027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/>
      <c r="F22" s="30">
        <v>292100</v>
      </c>
      <c r="G22" s="41"/>
      <c r="H22" s="30"/>
      <c r="I22" s="30"/>
      <c r="J22" s="31"/>
      <c r="K22" s="30">
        <f>IF(J13=0,0,L22/(J13+J15))</f>
        <v>1220.9001673640169</v>
      </c>
      <c r="L22" s="33">
        <v>291795.14</v>
      </c>
      <c r="M22" s="31"/>
      <c r="N22" s="33">
        <f>L22-F22</f>
        <v>-304.85999999998603</v>
      </c>
      <c r="O22" s="31"/>
      <c r="P22" s="30"/>
      <c r="Q22" s="33">
        <v>280608.22999999969</v>
      </c>
      <c r="R22" s="31">
        <f>O22-K22</f>
        <v>-1220.9001673640169</v>
      </c>
      <c r="S22" s="34">
        <f>L22-Q22</f>
        <v>11186.910000000324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/>
      <c r="F23" s="30">
        <v>121920</v>
      </c>
      <c r="G23" s="41"/>
      <c r="H23" s="30"/>
      <c r="I23" s="30"/>
      <c r="J23" s="31"/>
      <c r="K23" s="30">
        <f>IF(J13=0,0,L23/(J13+J15))</f>
        <v>666.08079497907977</v>
      </c>
      <c r="L23" s="33">
        <v>159193.31000000006</v>
      </c>
      <c r="M23" s="51"/>
      <c r="N23" s="33">
        <f>L23-F23</f>
        <v>37273.310000000056</v>
      </c>
      <c r="O23" s="31"/>
      <c r="P23" s="30"/>
      <c r="Q23" s="33">
        <v>113128.65999999999</v>
      </c>
      <c r="R23" s="31">
        <f>O23-K23</f>
        <v>-666.08079497907977</v>
      </c>
      <c r="S23" s="34">
        <f>L23-Q23</f>
        <v>46064.650000000067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254</v>
      </c>
      <c r="E24" s="36">
        <f>IF(D24&lt;=0,0,F24/D24)</f>
        <v>1655</v>
      </c>
      <c r="F24" s="37">
        <f>F21+F22+F23</f>
        <v>420370</v>
      </c>
      <c r="G24" s="38"/>
      <c r="H24" s="36"/>
      <c r="I24" s="37"/>
      <c r="J24" s="38">
        <f>+J15+J13</f>
        <v>239</v>
      </c>
      <c r="K24" s="36">
        <f>IF(J24&lt;=0,0,L24/J24)</f>
        <v>1894.0600836820086</v>
      </c>
      <c r="L24" s="37">
        <f>L21+L22+L23</f>
        <v>452680.36000000004</v>
      </c>
      <c r="M24" s="58">
        <f>J24-D24</f>
        <v>-15</v>
      </c>
      <c r="N24" s="37">
        <f>L24-F24</f>
        <v>32310.360000000044</v>
      </c>
      <c r="O24" s="38">
        <f>+O15+O13</f>
        <v>240</v>
      </c>
      <c r="P24" s="36">
        <f>IF(O24&lt;=0,0,Q24/O24)</f>
        <v>1647.9427916666652</v>
      </c>
      <c r="Q24" s="37">
        <f>Q21+Q22+Q23</f>
        <v>395506.26999999967</v>
      </c>
      <c r="R24" s="56"/>
      <c r="S24" s="39">
        <f>L24-Q24</f>
        <v>57174.090000000375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7.6861717058781656E-2</v>
      </c>
      <c r="O25" s="41"/>
      <c r="P25" s="13"/>
      <c r="Q25" s="59"/>
      <c r="R25" s="60"/>
      <c r="S25" s="44">
        <f>IF(Q24=0,0,(S24/Q24))</f>
        <v>0.14455925060303196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257</v>
      </c>
      <c r="E27" s="64">
        <f>IF(D27&lt;=0,0,F27/D27)</f>
        <v>5376.3510095042229</v>
      </c>
      <c r="F27" s="65">
        <f>F13+F17+F24+F19+F15</f>
        <v>1381722.2094425852</v>
      </c>
      <c r="G27" s="66"/>
      <c r="H27" s="67"/>
      <c r="I27" s="65"/>
      <c r="J27" s="66">
        <f>+J13+J15+J17</f>
        <v>240</v>
      </c>
      <c r="K27" s="67">
        <f>IF(J27&lt;=0,0,L27/J27)</f>
        <v>5954.8862499999868</v>
      </c>
      <c r="L27" s="65">
        <f>L13+L17+L24+L19+L15</f>
        <v>1429172.6999999969</v>
      </c>
      <c r="M27" s="66">
        <f>J27-D27</f>
        <v>-17</v>
      </c>
      <c r="N27" s="65">
        <f>L27-F27</f>
        <v>47450.490557411686</v>
      </c>
      <c r="O27" s="66">
        <f>+O13+O15+O17</f>
        <v>245</v>
      </c>
      <c r="P27" s="67">
        <f>IF(O27&lt;=0,0,Q27/O27)</f>
        <v>5976.2555510204029</v>
      </c>
      <c r="Q27" s="65">
        <f>Q13+Q17+Q24+Q19+Q15</f>
        <v>1464182.6099999987</v>
      </c>
      <c r="R27" s="66">
        <f>J27-O27</f>
        <v>-5</v>
      </c>
      <c r="S27" s="68">
        <f>L27-Q27</f>
        <v>-35009.910000001779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-6.6147859922178989E-2</v>
      </c>
      <c r="N28" s="74">
        <f>N27/F27</f>
        <v>3.4341555946006089E-2</v>
      </c>
      <c r="O28" s="72"/>
      <c r="P28" s="70"/>
      <c r="Q28" s="71"/>
      <c r="R28" s="73">
        <f>R27/O27</f>
        <v>-2.0408163265306121E-2</v>
      </c>
      <c r="S28" s="75">
        <f>IF(Q27=0,0,S27/Q27)</f>
        <v>-2.3910890459217932E-2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/>
      <c r="E31" s="82">
        <f t="shared" ref="E31:E40" si="13">F31/D$24</f>
        <v>1067.5571192887546</v>
      </c>
      <c r="F31" s="30">
        <v>271159.5082993437</v>
      </c>
      <c r="G31" s="157"/>
      <c r="H31" s="82"/>
      <c r="I31" s="30"/>
      <c r="J31" s="157">
        <f>L31/(L13+L15)</f>
        <v>0.26250106024112407</v>
      </c>
      <c r="K31" s="82">
        <f t="shared" ref="K31:K36" si="14">IF(L31=0,0,L31/J$24)</f>
        <v>1039.6807112970712</v>
      </c>
      <c r="L31" s="30">
        <v>248483.69</v>
      </c>
      <c r="M31" s="41"/>
      <c r="N31" s="59">
        <f t="shared" ref="N31:N53" si="15">L31-F31</f>
        <v>-22675.818299343693</v>
      </c>
      <c r="O31" s="157"/>
      <c r="P31" s="82">
        <f t="shared" ref="P31:P40" si="16">Q31/O$24</f>
        <v>1269.4513333333334</v>
      </c>
      <c r="Q31" s="33">
        <v>304668.32</v>
      </c>
      <c r="R31" s="41"/>
      <c r="S31" s="85">
        <f t="shared" ref="S31:S36" si="17">L31-Q31</f>
        <v>-56184.630000000005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/>
      <c r="E32" s="88">
        <f t="shared" si="13"/>
        <v>455.125</v>
      </c>
      <c r="F32" s="22">
        <v>115601.75</v>
      </c>
      <c r="G32" s="162"/>
      <c r="H32" s="90"/>
      <c r="I32" s="22"/>
      <c r="J32" s="162">
        <f>L32/L24</f>
        <v>0.30172652067343941</v>
      </c>
      <c r="K32" s="88">
        <f t="shared" si="14"/>
        <v>571.48815899581598</v>
      </c>
      <c r="L32" s="22">
        <v>136585.67000000001</v>
      </c>
      <c r="M32" s="23"/>
      <c r="N32" s="91">
        <f t="shared" si="15"/>
        <v>20983.920000000013</v>
      </c>
      <c r="O32" s="162"/>
      <c r="P32" s="88">
        <f t="shared" si="16"/>
        <v>628.3579166666666</v>
      </c>
      <c r="Q32" s="22">
        <v>150805.9</v>
      </c>
      <c r="R32" s="23"/>
      <c r="S32" s="92">
        <f t="shared" si="17"/>
        <v>-14220.229999999981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3"/>
        <v>130</v>
      </c>
      <c r="F33" s="30">
        <v>33020</v>
      </c>
      <c r="G33" s="83"/>
      <c r="H33" s="82"/>
      <c r="I33" s="30"/>
      <c r="J33" s="41"/>
      <c r="K33" s="82">
        <f t="shared" si="14"/>
        <v>120.76485355648535</v>
      </c>
      <c r="L33" s="30">
        <v>28862.799999999999</v>
      </c>
      <c r="M33" s="41"/>
      <c r="N33" s="59">
        <f t="shared" si="15"/>
        <v>-4157.2000000000007</v>
      </c>
      <c r="O33" s="41"/>
      <c r="P33" s="82">
        <f t="shared" si="16"/>
        <v>122.13533333333334</v>
      </c>
      <c r="Q33" s="33">
        <v>29312.48</v>
      </c>
      <c r="R33" s="41"/>
      <c r="S33" s="85">
        <f t="shared" si="17"/>
        <v>-449.68000000000029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3"/>
        <v>37</v>
      </c>
      <c r="F34" s="30">
        <v>9398</v>
      </c>
      <c r="G34" s="83"/>
      <c r="H34" s="82"/>
      <c r="I34" s="30"/>
      <c r="J34" s="41"/>
      <c r="K34" s="82">
        <f t="shared" si="14"/>
        <v>32.063096234309626</v>
      </c>
      <c r="L34" s="30">
        <v>7663.08</v>
      </c>
      <c r="M34" s="41"/>
      <c r="N34" s="59">
        <f t="shared" si="15"/>
        <v>-1734.92</v>
      </c>
      <c r="O34" s="41"/>
      <c r="P34" s="82">
        <f t="shared" si="16"/>
        <v>39.109124999999999</v>
      </c>
      <c r="Q34" s="33">
        <v>9386.19</v>
      </c>
      <c r="R34" s="41"/>
      <c r="S34" s="85">
        <f t="shared" si="17"/>
        <v>-1723.1100000000006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3"/>
        <v>61.496062992125985</v>
      </c>
      <c r="F35" s="22">
        <v>15620</v>
      </c>
      <c r="G35" s="89"/>
      <c r="H35" s="90"/>
      <c r="I35" s="22"/>
      <c r="J35" s="23"/>
      <c r="K35" s="88">
        <f t="shared" si="14"/>
        <v>88.50853556485356</v>
      </c>
      <c r="L35" s="22">
        <v>21153.54</v>
      </c>
      <c r="M35" s="23"/>
      <c r="N35" s="91">
        <f t="shared" si="15"/>
        <v>5533.5400000000009</v>
      </c>
      <c r="O35" s="23"/>
      <c r="P35" s="88">
        <f t="shared" si="16"/>
        <v>63.598416666666665</v>
      </c>
      <c r="Q35" s="33">
        <v>15263.619999999999</v>
      </c>
      <c r="R35" s="23"/>
      <c r="S35" s="92">
        <f t="shared" si="17"/>
        <v>5889.9200000000019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3"/>
        <v>513.97058823529414</v>
      </c>
      <c r="F36" s="30">
        <v>130548.5294117647</v>
      </c>
      <c r="G36" s="83"/>
      <c r="H36" s="82"/>
      <c r="I36" s="30"/>
      <c r="J36" s="41"/>
      <c r="K36" s="82">
        <f t="shared" si="14"/>
        <v>594.67276150627617</v>
      </c>
      <c r="L36" s="459">
        <v>142126.79</v>
      </c>
      <c r="M36" s="13"/>
      <c r="N36" s="59">
        <f t="shared" si="15"/>
        <v>11578.260588235309</v>
      </c>
      <c r="O36" s="41"/>
      <c r="P36" s="82">
        <f t="shared" si="16"/>
        <v>614.03854166666622</v>
      </c>
      <c r="Q36" s="55">
        <v>147369.24999999988</v>
      </c>
      <c r="R36" s="41"/>
      <c r="S36" s="85">
        <f t="shared" si="17"/>
        <v>-5242.4599999998754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3"/>
        <v>1177.9663146370883</v>
      </c>
      <c r="F37" s="30">
        <v>299203.4439178204</v>
      </c>
      <c r="G37" s="83"/>
      <c r="H37" s="82"/>
      <c r="I37" s="30"/>
      <c r="J37" s="41"/>
      <c r="K37" s="82">
        <f>IF(L37=0,0,L37/J$24)</f>
        <v>1071.8598744769874</v>
      </c>
      <c r="L37" s="460">
        <v>256174.51</v>
      </c>
      <c r="M37" s="13"/>
      <c r="N37" s="59">
        <f t="shared" si="15"/>
        <v>-43028.933917820395</v>
      </c>
      <c r="O37" s="41"/>
      <c r="P37" s="82">
        <f t="shared" si="16"/>
        <v>1414.1143333333334</v>
      </c>
      <c r="Q37" s="33">
        <v>339387.44</v>
      </c>
      <c r="R37" s="41"/>
      <c r="S37" s="85">
        <f>L37-Q37</f>
        <v>-83212.929999999993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3"/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5"/>
        <v>0</v>
      </c>
      <c r="O38" s="41"/>
      <c r="P38" s="82">
        <f t="shared" si="16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3"/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5"/>
        <v>0</v>
      </c>
      <c r="O39" s="41"/>
      <c r="P39" s="82">
        <f t="shared" si="16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8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3"/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5"/>
        <v>0</v>
      </c>
      <c r="O40" s="41"/>
      <c r="P40" s="82">
        <f t="shared" si="16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8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0.6329428778464381</v>
      </c>
      <c r="F41" s="96">
        <f>SUM(F31:F40)</f>
        <v>874551.2316289288</v>
      </c>
      <c r="G41" s="97"/>
      <c r="H41" s="95"/>
      <c r="I41" s="96"/>
      <c r="J41" s="97" t="s">
        <v>38</v>
      </c>
      <c r="K41" s="95">
        <f>L41/L$27</f>
        <v>0.58848736755187236</v>
      </c>
      <c r="L41" s="96">
        <f>SUM(L31:L40)</f>
        <v>841050.08</v>
      </c>
      <c r="M41" s="98"/>
      <c r="N41" s="96">
        <f t="shared" si="15"/>
        <v>-33501.151628928841</v>
      </c>
      <c r="O41" s="97" t="s">
        <v>38</v>
      </c>
      <c r="P41" s="95">
        <f>Q41/Q$27</f>
        <v>0.68037497044169959</v>
      </c>
      <c r="Q41" s="99">
        <f>SUM(Q31:Q40)</f>
        <v>996193.19999999972</v>
      </c>
      <c r="R41" s="100"/>
      <c r="S41" s="101">
        <f t="shared" ref="S41" si="19">L41-Q41</f>
        <v>-155143.11999999976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8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137541.51551724138</v>
      </c>
      <c r="G42" s="41"/>
      <c r="H42" s="13"/>
      <c r="I42" s="30"/>
      <c r="J42" s="41"/>
      <c r="K42" s="13"/>
      <c r="L42" s="33">
        <v>139942.81</v>
      </c>
      <c r="M42" s="41"/>
      <c r="N42" s="59">
        <f t="shared" si="15"/>
        <v>2401.294482758618</v>
      </c>
      <c r="O42" s="41"/>
      <c r="P42" s="13"/>
      <c r="Q42" s="33">
        <v>135259.81999999998</v>
      </c>
      <c r="R42" s="41"/>
      <c r="S42" s="85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8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105464.29540229886</v>
      </c>
      <c r="G43" s="83"/>
      <c r="H43" s="13"/>
      <c r="I43" s="22"/>
      <c r="J43" s="41"/>
      <c r="K43" s="13"/>
      <c r="L43" s="33">
        <v>102619</v>
      </c>
      <c r="M43" s="41"/>
      <c r="N43" s="59">
        <f t="shared" si="15"/>
        <v>-2845.2954022988561</v>
      </c>
      <c r="O43" s="41"/>
      <c r="P43" s="13"/>
      <c r="Q43" s="33">
        <v>98555.98000000001</v>
      </c>
      <c r="R43" s="41"/>
      <c r="S43" s="85">
        <f t="shared" ref="S43:S45" si="20">L43-Q43</f>
        <v>4063.0199999999895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8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3762</v>
      </c>
      <c r="G44" s="106"/>
      <c r="H44" s="105"/>
      <c r="I44" s="30"/>
      <c r="J44" s="107"/>
      <c r="K44" s="105"/>
      <c r="L44" s="108">
        <v>3762</v>
      </c>
      <c r="M44" s="107"/>
      <c r="N44" s="109">
        <f t="shared" si="15"/>
        <v>0</v>
      </c>
      <c r="O44" s="107"/>
      <c r="P44" s="105"/>
      <c r="Q44" s="108">
        <v>3762</v>
      </c>
      <c r="R44" s="107"/>
      <c r="S44" s="110">
        <f t="shared" si="20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8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5"/>
        <v>0</v>
      </c>
      <c r="O45" s="41"/>
      <c r="P45" s="13"/>
      <c r="Q45" s="33">
        <v>0</v>
      </c>
      <c r="R45" s="41"/>
      <c r="S45" s="85">
        <f t="shared" si="20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5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5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5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21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77495.772202889784</v>
      </c>
      <c r="G49" s="83"/>
      <c r="H49" s="13"/>
      <c r="I49" s="22"/>
      <c r="J49" s="41"/>
      <c r="K49" s="13"/>
      <c r="L49" s="22">
        <v>88577.83</v>
      </c>
      <c r="M49" s="41"/>
      <c r="N49" s="59">
        <f t="shared" si="15"/>
        <v>11082.057797110218</v>
      </c>
      <c r="O49" s="41"/>
      <c r="P49" s="13"/>
      <c r="Q49" s="22">
        <v>85468.579999999987</v>
      </c>
      <c r="R49" s="41"/>
      <c r="S49" s="85">
        <f t="shared" ref="S49:S53" si="22">L49-Q49</f>
        <v>3109.2500000000146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2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95236.039138859764</v>
      </c>
      <c r="G50" s="106"/>
      <c r="H50" s="105"/>
      <c r="I50" s="30"/>
      <c r="J50" s="107"/>
      <c r="K50" s="105"/>
      <c r="L50" s="33">
        <v>100036.26</v>
      </c>
      <c r="M50" s="107"/>
      <c r="N50" s="109">
        <f t="shared" si="15"/>
        <v>4800.2208611402311</v>
      </c>
      <c r="O50" s="107"/>
      <c r="P50" s="105"/>
      <c r="Q50" s="33">
        <v>94543.88</v>
      </c>
      <c r="R50" s="107"/>
      <c r="S50" s="110">
        <f t="shared" si="22"/>
        <v>5492.3799999999901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2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49237.779235507551</v>
      </c>
      <c r="G51" s="83"/>
      <c r="H51" s="13"/>
      <c r="I51" s="30"/>
      <c r="J51" s="41"/>
      <c r="K51" s="13"/>
      <c r="L51" s="33">
        <v>49755.38</v>
      </c>
      <c r="M51" s="41"/>
      <c r="N51" s="59">
        <f t="shared" si="15"/>
        <v>517.60076449244661</v>
      </c>
      <c r="O51" s="41"/>
      <c r="P51" s="13"/>
      <c r="Q51" s="33">
        <v>47300.77</v>
      </c>
      <c r="R51" s="41"/>
      <c r="S51" s="85">
        <f t="shared" si="22"/>
        <v>2454.6100000000006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2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10550.952693323046</v>
      </c>
      <c r="G52" s="83"/>
      <c r="H52" s="13"/>
      <c r="I52" s="30"/>
      <c r="J52" s="41"/>
      <c r="K52" s="13"/>
      <c r="L52" s="33">
        <v>14683.07</v>
      </c>
      <c r="M52" s="41"/>
      <c r="N52" s="59">
        <f t="shared" si="15"/>
        <v>4132.1173066769534</v>
      </c>
      <c r="O52" s="41"/>
      <c r="P52" s="13"/>
      <c r="Q52" s="33">
        <v>8154.66</v>
      </c>
      <c r="R52" s="41"/>
      <c r="S52" s="85">
        <f t="shared" si="22"/>
        <v>6528.41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2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5"/>
        <v>0</v>
      </c>
      <c r="O53" s="23"/>
      <c r="P53" s="111"/>
      <c r="Q53" s="33">
        <v>0</v>
      </c>
      <c r="R53" s="23"/>
      <c r="S53" s="92">
        <f t="shared" si="22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2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0.34687750614030805</v>
      </c>
      <c r="F54" s="96">
        <f>+SUM(F42:F53)</f>
        <v>479288.35419012036</v>
      </c>
      <c r="G54" s="97"/>
      <c r="H54" s="95"/>
      <c r="I54" s="96"/>
      <c r="J54" s="97" t="s">
        <v>38</v>
      </c>
      <c r="K54" s="95">
        <f>L54/L$27</f>
        <v>0.34941637914018447</v>
      </c>
      <c r="L54" s="96">
        <f>+SUM(L42:L53)</f>
        <v>499376.35000000003</v>
      </c>
      <c r="M54" s="100"/>
      <c r="N54" s="96">
        <f>+SUM(N42:N53)</f>
        <v>20087.995809879612</v>
      </c>
      <c r="O54" s="97" t="s">
        <v>38</v>
      </c>
      <c r="P54" s="95">
        <f>Q54/Q$27</f>
        <v>0.32307834198358659</v>
      </c>
      <c r="Q54" s="96">
        <f>+SUM(Q42:Q53)</f>
        <v>473045.69</v>
      </c>
      <c r="R54" s="100"/>
      <c r="S54" s="101">
        <f>+SUM(S42:S53)</f>
        <v>21647.669999999995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2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56" si="23">L55-F55</f>
        <v>0</v>
      </c>
      <c r="O55" s="41"/>
      <c r="P55" s="13"/>
      <c r="Q55" s="33">
        <v>0</v>
      </c>
      <c r="R55" s="41"/>
      <c r="S55" s="85">
        <f t="shared" ref="S55:S66" si="24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2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3"/>
        <v>0</v>
      </c>
      <c r="O56" s="41"/>
      <c r="P56" s="13"/>
      <c r="Q56" s="33">
        <v>0</v>
      </c>
      <c r="R56" s="41"/>
      <c r="S56" s="85">
        <f t="shared" si="24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2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72830.266666666663</v>
      </c>
      <c r="G57" s="89"/>
      <c r="H57" s="111"/>
      <c r="I57" s="22"/>
      <c r="J57" s="23"/>
      <c r="K57" s="111"/>
      <c r="L57" s="22">
        <v>90566.83</v>
      </c>
      <c r="M57" s="23"/>
      <c r="N57" s="91">
        <v>0</v>
      </c>
      <c r="O57" s="23"/>
      <c r="P57" s="111"/>
      <c r="Q57" s="22">
        <v>78229.27</v>
      </c>
      <c r="R57" s="23"/>
      <c r="S57" s="92">
        <f t="shared" si="24"/>
        <v>12337.559999999998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2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53661.30000000001</v>
      </c>
      <c r="G58" s="83"/>
      <c r="H58" s="13"/>
      <c r="I58" s="30"/>
      <c r="J58" s="41"/>
      <c r="K58" s="13"/>
      <c r="L58" s="33">
        <v>53039.8</v>
      </c>
      <c r="M58" s="41"/>
      <c r="N58" s="59">
        <f t="shared" ref="N58:N71" si="25">L58-F58</f>
        <v>-621.50000000000728</v>
      </c>
      <c r="O58" s="41"/>
      <c r="P58" s="13"/>
      <c r="Q58" s="33">
        <v>50337.67</v>
      </c>
      <c r="R58" s="41"/>
      <c r="S58" s="85">
        <f t="shared" si="24"/>
        <v>2702.1300000000047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2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9075</v>
      </c>
      <c r="G59" s="83"/>
      <c r="H59" s="13"/>
      <c r="I59" s="30"/>
      <c r="J59" s="41"/>
      <c r="K59" s="13"/>
      <c r="L59" s="33">
        <v>7717</v>
      </c>
      <c r="M59" s="41"/>
      <c r="N59" s="59">
        <f t="shared" si="25"/>
        <v>-1358</v>
      </c>
      <c r="O59" s="41"/>
      <c r="P59" s="13"/>
      <c r="Q59" s="33">
        <v>13934.57</v>
      </c>
      <c r="R59" s="41"/>
      <c r="S59" s="85">
        <f t="shared" si="24"/>
        <v>-6217.57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2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36461.699999999997</v>
      </c>
      <c r="G60" s="89"/>
      <c r="H60" s="111"/>
      <c r="I60" s="22"/>
      <c r="J60" s="23"/>
      <c r="K60" s="111"/>
      <c r="L60" s="22">
        <v>35324.639999999999</v>
      </c>
      <c r="M60" s="23"/>
      <c r="N60" s="91">
        <f t="shared" si="25"/>
        <v>-1137.0599999999977</v>
      </c>
      <c r="O60" s="23"/>
      <c r="P60" s="111"/>
      <c r="Q60" s="22">
        <v>36654.479999999996</v>
      </c>
      <c r="R60" s="23"/>
      <c r="S60" s="92">
        <f t="shared" si="24"/>
        <v>-1329.8399999999965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2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440</v>
      </c>
      <c r="G61" s="83"/>
      <c r="H61" s="13"/>
      <c r="I61" s="30"/>
      <c r="J61" s="41"/>
      <c r="K61" s="13"/>
      <c r="L61" s="33">
        <v>825.94</v>
      </c>
      <c r="M61" s="41"/>
      <c r="N61" s="59">
        <f t="shared" si="25"/>
        <v>385.94000000000005</v>
      </c>
      <c r="O61" s="41"/>
      <c r="P61" s="13"/>
      <c r="Q61" s="33">
        <v>441.99000000000007</v>
      </c>
      <c r="R61" s="41"/>
      <c r="S61" s="85">
        <f t="shared" si="24"/>
        <v>383.95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2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330</v>
      </c>
      <c r="G62" s="83"/>
      <c r="H62" s="13"/>
      <c r="I62" s="30"/>
      <c r="J62" s="41"/>
      <c r="K62" s="13"/>
      <c r="L62" s="33">
        <v>359.91</v>
      </c>
      <c r="M62" s="41"/>
      <c r="N62" s="59">
        <f t="shared" si="25"/>
        <v>29.910000000000025</v>
      </c>
      <c r="O62" s="41"/>
      <c r="P62" s="13"/>
      <c r="Q62" s="33">
        <v>554.66000000000008</v>
      </c>
      <c r="R62" s="41"/>
      <c r="S62" s="85">
        <f t="shared" si="24"/>
        <v>-194.75000000000006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2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7796.25</v>
      </c>
      <c r="G63" s="83"/>
      <c r="H63" s="13"/>
      <c r="I63" s="30"/>
      <c r="J63" s="41"/>
      <c r="K63" s="13"/>
      <c r="L63" s="32">
        <v>6095.42</v>
      </c>
      <c r="M63" s="41"/>
      <c r="N63" s="59">
        <f t="shared" si="25"/>
        <v>-1700.83</v>
      </c>
      <c r="O63" s="41"/>
      <c r="P63" s="13"/>
      <c r="Q63" s="32">
        <v>6775.91</v>
      </c>
      <c r="R63" s="41"/>
      <c r="S63" s="85">
        <f t="shared" si="24"/>
        <v>-680.48999999999978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2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2314.4000000000005</v>
      </c>
      <c r="G64" s="83"/>
      <c r="H64" s="13"/>
      <c r="I64" s="30"/>
      <c r="J64" s="41"/>
      <c r="K64" s="13"/>
      <c r="L64" s="33">
        <v>2941.92</v>
      </c>
      <c r="M64" s="41"/>
      <c r="N64" s="59">
        <f t="shared" si="25"/>
        <v>627.51999999999953</v>
      </c>
      <c r="O64" s="41"/>
      <c r="P64" s="13"/>
      <c r="Q64" s="33">
        <v>2700.64</v>
      </c>
      <c r="R64" s="41"/>
      <c r="S64" s="85">
        <f t="shared" si="24"/>
        <v>241.2800000000002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2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2227.5</v>
      </c>
      <c r="G65" s="83"/>
      <c r="H65" s="13"/>
      <c r="I65" s="30"/>
      <c r="J65" s="41"/>
      <c r="K65" s="13"/>
      <c r="L65" s="33">
        <v>1511.08</v>
      </c>
      <c r="M65" s="41"/>
      <c r="N65" s="59">
        <f t="shared" si="25"/>
        <v>-716.42000000000007</v>
      </c>
      <c r="O65" s="41"/>
      <c r="P65" s="13"/>
      <c r="Q65" s="33">
        <v>1780.7900000000004</v>
      </c>
      <c r="R65" s="41"/>
      <c r="S65" s="85">
        <f t="shared" si="24"/>
        <v>-269.71000000000049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2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8617.9499999999989</v>
      </c>
      <c r="G66" s="83"/>
      <c r="H66" s="13"/>
      <c r="I66" s="30"/>
      <c r="J66" s="41"/>
      <c r="K66" s="13"/>
      <c r="L66" s="33">
        <v>9431.02</v>
      </c>
      <c r="M66" s="41"/>
      <c r="N66" s="59">
        <f t="shared" si="25"/>
        <v>813.07000000000153</v>
      </c>
      <c r="O66" s="41"/>
      <c r="P66" s="13"/>
      <c r="Q66" s="33">
        <v>8000.4699999999984</v>
      </c>
      <c r="R66" s="41"/>
      <c r="S66" s="85">
        <f t="shared" si="24"/>
        <v>1430.550000000002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6140.0186099999983</v>
      </c>
      <c r="G67" s="83"/>
      <c r="H67" s="13"/>
      <c r="I67" s="30"/>
      <c r="J67" s="41"/>
      <c r="K67" s="13"/>
      <c r="L67" s="30">
        <v>2939.01</v>
      </c>
      <c r="M67" s="41"/>
      <c r="N67" s="59">
        <f t="shared" si="25"/>
        <v>-3201.008609999998</v>
      </c>
      <c r="O67" s="41"/>
      <c r="P67" s="13"/>
      <c r="Q67" s="33">
        <v>3326.38</v>
      </c>
      <c r="R67" s="41"/>
      <c r="S67" s="85">
        <f>L67-Q67</f>
        <v>-387.36999999999989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33194.291526790505</v>
      </c>
      <c r="G68" s="83"/>
      <c r="H68" s="13"/>
      <c r="I68" s="30"/>
      <c r="J68" s="41"/>
      <c r="K68" s="13"/>
      <c r="L68" s="30">
        <v>32625.279999999999</v>
      </c>
      <c r="M68" s="41"/>
      <c r="N68" s="59">
        <f t="shared" si="25"/>
        <v>-569.01152679050574</v>
      </c>
      <c r="O68" s="41"/>
      <c r="P68" s="13"/>
      <c r="Q68" s="33">
        <v>33326.58</v>
      </c>
      <c r="R68" s="41"/>
      <c r="S68" s="85">
        <f>L68-Q68</f>
        <v>-701.30000000000291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5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6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5"/>
        <v>0</v>
      </c>
      <c r="O70" s="41"/>
      <c r="P70" s="13"/>
      <c r="Q70" s="33">
        <v>0</v>
      </c>
      <c r="R70" s="41"/>
      <c r="S70" s="85">
        <f t="shared" ref="S70:S71" si="27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6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5"/>
        <v>0</v>
      </c>
      <c r="O71" s="41"/>
      <c r="P71" s="13"/>
      <c r="Q71" s="33">
        <v>0</v>
      </c>
      <c r="R71" s="41"/>
      <c r="S71" s="85">
        <f t="shared" si="2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6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0.16869431149803249</v>
      </c>
      <c r="F72" s="96">
        <f>+SUM(F55:F71)</f>
        <v>233088.67680345717</v>
      </c>
      <c r="G72" s="97"/>
      <c r="H72" s="95"/>
      <c r="I72" s="96"/>
      <c r="J72" s="97" t="s">
        <v>38</v>
      </c>
      <c r="K72" s="95">
        <f>L72/L$27</f>
        <v>0.17029282045479918</v>
      </c>
      <c r="L72" s="96">
        <f>+SUM(L55:L71)</f>
        <v>243377.85000000003</v>
      </c>
      <c r="M72" s="100"/>
      <c r="N72" s="96">
        <f>+SUM(N55:N71)</f>
        <v>-7447.3901367905073</v>
      </c>
      <c r="O72" s="97" t="s">
        <v>38</v>
      </c>
      <c r="P72" s="95">
        <f>Q72/Q$27</f>
        <v>0.16122538840971498</v>
      </c>
      <c r="Q72" s="96">
        <f>+SUM(Q55:Q71)</f>
        <v>236063.41000000003</v>
      </c>
      <c r="R72" s="100"/>
      <c r="S72" s="101">
        <f>+SUM(S55:S71)</f>
        <v>7314.4400000000051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6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6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1.1485146954847787</v>
      </c>
      <c r="F74" s="96">
        <f>F41+F54+F72</f>
        <v>1586928.2626225064</v>
      </c>
      <c r="G74" s="97"/>
      <c r="H74" s="95"/>
      <c r="I74" s="96"/>
      <c r="J74" s="97" t="s">
        <v>38</v>
      </c>
      <c r="K74" s="95">
        <f>L74/L$27</f>
        <v>1.1081965671468559</v>
      </c>
      <c r="L74" s="96">
        <f>L41+L54+L72</f>
        <v>1583804.28</v>
      </c>
      <c r="M74" s="100"/>
      <c r="N74" s="113">
        <f t="shared" ref="N74:N82" si="28">L74-F74</f>
        <v>-3123.9826225063298</v>
      </c>
      <c r="O74" s="97" t="s">
        <v>38</v>
      </c>
      <c r="P74" s="95">
        <f>Q74/Q$27</f>
        <v>1.1646787008350012</v>
      </c>
      <c r="Q74" s="96">
        <f>Q41+Q54+Q72</f>
        <v>1705302.2999999998</v>
      </c>
      <c r="R74" s="100"/>
      <c r="S74" s="114">
        <f>L74-Q74</f>
        <v>-121498.01999999979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6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406819.60508727271</v>
      </c>
      <c r="G75" s="83"/>
      <c r="H75" s="13"/>
      <c r="I75" s="30"/>
      <c r="J75" s="41"/>
      <c r="K75" s="13"/>
      <c r="L75" s="32">
        <v>380131.24</v>
      </c>
      <c r="M75" s="41"/>
      <c r="N75" s="59">
        <f t="shared" si="28"/>
        <v>-26688.365087272716</v>
      </c>
      <c r="O75" s="41"/>
      <c r="P75" s="13"/>
      <c r="Q75" s="32">
        <v>381369.73000000004</v>
      </c>
      <c r="R75" s="41"/>
      <c r="S75" s="85">
        <f t="shared" ref="S75" si="29">L75-Q75</f>
        <v>-1238.4900000000489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6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8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6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8"/>
        <v>0</v>
      </c>
      <c r="O77" s="41"/>
      <c r="P77" s="13"/>
      <c r="Q77" s="32">
        <v>0</v>
      </c>
      <c r="R77" s="41"/>
      <c r="S77" s="85">
        <f t="shared" ref="S77:S78" si="30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6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439804.97847272729</v>
      </c>
      <c r="G78" s="83"/>
      <c r="H78" s="13"/>
      <c r="I78" s="30"/>
      <c r="J78" s="41"/>
      <c r="K78" s="13"/>
      <c r="L78" s="33">
        <v>417148.2</v>
      </c>
      <c r="M78" s="41"/>
      <c r="N78" s="59">
        <f t="shared" si="28"/>
        <v>-22656.778472727281</v>
      </c>
      <c r="O78" s="41"/>
      <c r="P78" s="13"/>
      <c r="Q78" s="32">
        <v>436840.59999999992</v>
      </c>
      <c r="R78" s="41"/>
      <c r="S78" s="85">
        <f t="shared" si="30"/>
        <v>-19692.399999999907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8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8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8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31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148863.04999999999</v>
      </c>
      <c r="G82" s="83"/>
      <c r="H82" s="13"/>
      <c r="I82" s="30"/>
      <c r="J82" s="41"/>
      <c r="K82" s="13"/>
      <c r="L82" s="32">
        <v>142800</v>
      </c>
      <c r="M82" s="41"/>
      <c r="N82" s="59">
        <f t="shared" si="28"/>
        <v>-6063.0499999999884</v>
      </c>
      <c r="O82" s="41"/>
      <c r="P82" s="13"/>
      <c r="Q82" s="32">
        <v>142800</v>
      </c>
      <c r="R82" s="41"/>
      <c r="S82" s="85">
        <f t="shared" ref="S82" si="32">L82-Q82</f>
        <v>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3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995487.63355999999</v>
      </c>
      <c r="G83" s="97"/>
      <c r="H83" s="95"/>
      <c r="I83" s="96"/>
      <c r="J83" s="97"/>
      <c r="K83" s="95"/>
      <c r="L83" s="96">
        <f>+SUM(L75:L82)</f>
        <v>940079.44</v>
      </c>
      <c r="M83" s="100"/>
      <c r="N83" s="96">
        <f>+SUM(N75:N82)</f>
        <v>-55408.193559999985</v>
      </c>
      <c r="O83" s="97"/>
      <c r="P83" s="95"/>
      <c r="Q83" s="96">
        <f>+SUM(Q75:Q82)</f>
        <v>961010.33</v>
      </c>
      <c r="R83" s="100"/>
      <c r="S83" s="101">
        <f>+SUM(S75:S82)</f>
        <v>-20930.889999999956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3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3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790281.58038007887</v>
      </c>
      <c r="G85" s="128"/>
      <c r="H85" s="126"/>
      <c r="I85" s="127"/>
      <c r="J85" s="128"/>
      <c r="K85" s="125"/>
      <c r="L85" s="127">
        <f>L27-L74+L83</f>
        <v>785447.85999999684</v>
      </c>
      <c r="M85" s="128"/>
      <c r="N85" s="127">
        <f>N27-N74+N83</f>
        <v>-4833.7203800819698</v>
      </c>
      <c r="O85" s="128"/>
      <c r="P85" s="125"/>
      <c r="Q85" s="127">
        <f>Q27-Q74+Q83</f>
        <v>719890.63999999885</v>
      </c>
      <c r="R85" s="128"/>
      <c r="S85" s="129">
        <f>S27-S74+S83</f>
        <v>65557.219999998051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2025 AAD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09" t="s">
        <v>214</v>
      </c>
      <c r="S91" s="510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33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16168588.235294115</v>
      </c>
      <c r="G93" s="46"/>
      <c r="H93" s="25"/>
      <c r="I93" s="22"/>
      <c r="J93" s="23"/>
      <c r="K93" s="25"/>
      <c r="L93" s="22">
        <v>14139191.629999997</v>
      </c>
      <c r="M93" s="137"/>
      <c r="N93" s="138"/>
      <c r="O93" s="23"/>
      <c r="P93" s="25"/>
      <c r="Q93" s="22">
        <v>14606868.269999968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33"/>
        <v>Véhicules usagésCertifié</v>
      </c>
      <c r="B94" s="11" t="s">
        <v>70</v>
      </c>
      <c r="C94" s="29" t="s">
        <v>72</v>
      </c>
      <c r="D94" s="30">
        <v>71</v>
      </c>
      <c r="E94" s="30">
        <f t="shared" ref="E94:E97" si="34">IF(D94=0,0,F94/D94)</f>
        <v>2300</v>
      </c>
      <c r="F94" s="30">
        <v>163300</v>
      </c>
      <c r="G94" s="31"/>
      <c r="H94" s="30"/>
      <c r="I94" s="30"/>
      <c r="J94" s="31">
        <v>51</v>
      </c>
      <c r="K94" s="30">
        <f>IF(J94=0,0,L94/J94)</f>
        <v>2422.3088235294117</v>
      </c>
      <c r="L94" s="33">
        <v>123537.75</v>
      </c>
      <c r="M94" s="31">
        <f>J94-D94</f>
        <v>-20</v>
      </c>
      <c r="N94" s="33">
        <f>L94-F94</f>
        <v>-39762.25</v>
      </c>
      <c r="O94" s="31">
        <v>57</v>
      </c>
      <c r="P94" s="30">
        <f t="shared" ref="P94:P97" si="35">IF(O94=0,0,Q94/O94)</f>
        <v>2328.6563157894689</v>
      </c>
      <c r="Q94" s="33">
        <v>132733.40999999971</v>
      </c>
      <c r="R94" s="31">
        <f>J94-O94</f>
        <v>-6</v>
      </c>
      <c r="S94" s="34">
        <f>L94-Q94</f>
        <v>-9195.6599999997125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33"/>
        <v>Véhicules usagésNon Certifié</v>
      </c>
      <c r="B95" s="11" t="s">
        <v>70</v>
      </c>
      <c r="C95" s="29" t="s">
        <v>73</v>
      </c>
      <c r="D95" s="30">
        <v>71</v>
      </c>
      <c r="E95" s="30">
        <f t="shared" si="34"/>
        <v>1600</v>
      </c>
      <c r="F95" s="30">
        <v>113600</v>
      </c>
      <c r="G95" s="31"/>
      <c r="H95" s="30"/>
      <c r="I95" s="30"/>
      <c r="J95" s="31">
        <v>70</v>
      </c>
      <c r="K95" s="30">
        <f>IF(J95=0,0,L95/J95)</f>
        <v>1649.1134285714311</v>
      </c>
      <c r="L95" s="32">
        <v>115437.94000000018</v>
      </c>
      <c r="M95" s="31">
        <f>J95-D95</f>
        <v>-1</v>
      </c>
      <c r="N95" s="33">
        <f>L95-F95</f>
        <v>1837.940000000177</v>
      </c>
      <c r="O95" s="31">
        <v>66</v>
      </c>
      <c r="P95" s="30">
        <f t="shared" si="35"/>
        <v>2026.224545454543</v>
      </c>
      <c r="Q95" s="32">
        <v>133730.81999999983</v>
      </c>
      <c r="R95" s="31">
        <f t="shared" ref="R95:R96" si="36">J95-O95</f>
        <v>4</v>
      </c>
      <c r="S95" s="34">
        <f t="shared" ref="S95:S96" si="37">L95-Q95</f>
        <v>-18292.879999999655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33"/>
        <v>Véhicules usagésAutres marques</v>
      </c>
      <c r="B96" s="11" t="s">
        <v>70</v>
      </c>
      <c r="C96" s="29" t="s">
        <v>207</v>
      </c>
      <c r="D96" s="30">
        <v>71</v>
      </c>
      <c r="E96" s="25">
        <f t="shared" si="34"/>
        <v>1500</v>
      </c>
      <c r="F96" s="30">
        <v>106500</v>
      </c>
      <c r="G96" s="31"/>
      <c r="H96" s="30"/>
      <c r="I96" s="30"/>
      <c r="J96" s="31">
        <v>61</v>
      </c>
      <c r="K96" s="30">
        <f>IF(J96=0,0,L96/J96)</f>
        <v>1498.5888524590152</v>
      </c>
      <c r="L96" s="32">
        <v>91413.919999999925</v>
      </c>
      <c r="M96" s="31">
        <f>J96-D96</f>
        <v>-10</v>
      </c>
      <c r="N96" s="33">
        <f>L96-F96</f>
        <v>-15086.080000000075</v>
      </c>
      <c r="O96" s="31">
        <v>62</v>
      </c>
      <c r="P96" s="30">
        <f t="shared" si="35"/>
        <v>1129.7785483870948</v>
      </c>
      <c r="Q96" s="32">
        <v>70046.269999999873</v>
      </c>
      <c r="R96" s="31">
        <f t="shared" si="36"/>
        <v>-1</v>
      </c>
      <c r="S96" s="34">
        <f t="shared" si="37"/>
        <v>21367.650000000052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33"/>
        <v>Véhicules usagésTotal Usagés</v>
      </c>
      <c r="B97" s="11" t="s">
        <v>70</v>
      </c>
      <c r="C97" s="35" t="s">
        <v>74</v>
      </c>
      <c r="D97" s="36">
        <f>+D95+D94+D96</f>
        <v>213</v>
      </c>
      <c r="E97" s="30">
        <f t="shared" si="34"/>
        <v>1800</v>
      </c>
      <c r="F97" s="37">
        <f>+F94+F95+F96</f>
        <v>383400</v>
      </c>
      <c r="G97" s="38"/>
      <c r="H97" s="36"/>
      <c r="I97" s="37"/>
      <c r="J97" s="38">
        <f>+J94+J95+J96</f>
        <v>182</v>
      </c>
      <c r="K97" s="36">
        <f>IF(J97&lt;=0,0,L97/J97)</f>
        <v>1815.3275274725281</v>
      </c>
      <c r="L97" s="37">
        <f>+L94+L95+L96</f>
        <v>330389.6100000001</v>
      </c>
      <c r="M97" s="38">
        <f>J97-D97</f>
        <v>-31</v>
      </c>
      <c r="N97" s="37">
        <f>L97-F97</f>
        <v>-53010.389999999898</v>
      </c>
      <c r="O97" s="38">
        <f>+O95+O94+O96</f>
        <v>185</v>
      </c>
      <c r="P97" s="36">
        <f t="shared" si="35"/>
        <v>1818.9756756756726</v>
      </c>
      <c r="Q97" s="37">
        <f>+Q94+Q95+Q96</f>
        <v>336510.49999999942</v>
      </c>
      <c r="R97" s="38">
        <f>J97-O97</f>
        <v>-3</v>
      </c>
      <c r="S97" s="39">
        <f>L97-Q97</f>
        <v>-6120.8899999993155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33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-0.14553990610328638</v>
      </c>
      <c r="N98" s="43">
        <f>N97/F97</f>
        <v>-0.1382639280125193</v>
      </c>
      <c r="O98" s="41"/>
      <c r="P98" s="13"/>
      <c r="Q98" s="40"/>
      <c r="R98" s="42">
        <f>R97/O97</f>
        <v>-1.6216216216216217E-2</v>
      </c>
      <c r="S98" s="44">
        <f>IF(Q97=0,0,(S97/Q97))</f>
        <v>-1.8189298699444224E-2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33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33"/>
        <v>Véhicules usagésVentes au Gros</v>
      </c>
      <c r="B100" s="11" t="s">
        <v>70</v>
      </c>
      <c r="C100" s="29" t="s">
        <v>75</v>
      </c>
      <c r="D100" s="30">
        <v>209</v>
      </c>
      <c r="E100" s="30">
        <f t="shared" ref="E100" si="38">IF(D100=0,0,F100/D100)</f>
        <v>350</v>
      </c>
      <c r="F100" s="30">
        <v>73150</v>
      </c>
      <c r="G100" s="31"/>
      <c r="H100" s="30"/>
      <c r="I100" s="30"/>
      <c r="J100" s="31">
        <v>198</v>
      </c>
      <c r="K100" s="30">
        <f>IF(J100=0,0,L100/J100)</f>
        <v>405.88515151515037</v>
      </c>
      <c r="L100" s="33">
        <v>80365.259999999776</v>
      </c>
      <c r="M100" s="31">
        <f>J100-D100</f>
        <v>-11</v>
      </c>
      <c r="N100" s="33">
        <f>L100-F100</f>
        <v>7215.2599999997765</v>
      </c>
      <c r="O100" s="31">
        <v>207</v>
      </c>
      <c r="P100" s="30">
        <f t="shared" ref="P100" si="39">IF(O100=0,0,Q100/O100)</f>
        <v>426.6239130434771</v>
      </c>
      <c r="Q100" s="33">
        <v>88311.149999999761</v>
      </c>
      <c r="R100" s="31">
        <f>J100-O100</f>
        <v>-9</v>
      </c>
      <c r="S100" s="34">
        <f>L100-Q100</f>
        <v>-7945.8899999999849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33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33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40">IF(D102=0,0,F102/D102)</f>
        <v>0</v>
      </c>
      <c r="F102" s="33">
        <v>80940</v>
      </c>
      <c r="G102" s="31"/>
      <c r="H102" s="30"/>
      <c r="I102" s="30"/>
      <c r="J102" s="31"/>
      <c r="K102" s="30">
        <f>IF(J97=0,0,L102/J97)</f>
        <v>342.40961538461539</v>
      </c>
      <c r="L102" s="33">
        <v>62318.55</v>
      </c>
      <c r="M102" s="31"/>
      <c r="N102" s="33">
        <f>L102-F102</f>
        <v>-18621.449999999997</v>
      </c>
      <c r="O102" s="31">
        <v>0</v>
      </c>
      <c r="P102" s="30">
        <f t="shared" ref="P102:P105" si="41">IF(O102=0,0,Q102/O102)</f>
        <v>0</v>
      </c>
      <c r="Q102" s="33">
        <v>68430.559999999983</v>
      </c>
      <c r="R102" s="31">
        <f>O102-K102</f>
        <v>-342.40961538461539</v>
      </c>
      <c r="S102" s="34">
        <f>L102-Q102</f>
        <v>-6112.0099999999802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33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40"/>
        <v>0</v>
      </c>
      <c r="F103" s="33">
        <v>181050</v>
      </c>
      <c r="G103" s="31"/>
      <c r="H103" s="30"/>
      <c r="I103" s="30"/>
      <c r="J103" s="31"/>
      <c r="K103" s="30">
        <f>IF(J97=0,0,L103/J97)</f>
        <v>954.87307692307706</v>
      </c>
      <c r="L103" s="33">
        <v>173786.90000000002</v>
      </c>
      <c r="M103" s="31"/>
      <c r="N103" s="33">
        <f>L103-F103</f>
        <v>-7263.0999999999767</v>
      </c>
      <c r="O103" s="31">
        <v>0</v>
      </c>
      <c r="P103" s="30">
        <f t="shared" si="41"/>
        <v>0</v>
      </c>
      <c r="Q103" s="33">
        <v>149978.59</v>
      </c>
      <c r="R103" s="31">
        <f>O103-K103</f>
        <v>-954.87307692307706</v>
      </c>
      <c r="S103" s="34">
        <f>L103-Q103</f>
        <v>23808.310000000027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33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40"/>
        <v>0</v>
      </c>
      <c r="F104" s="33">
        <v>46860</v>
      </c>
      <c r="G104" s="31"/>
      <c r="H104" s="47"/>
      <c r="I104" s="30"/>
      <c r="J104" s="31"/>
      <c r="K104" s="47">
        <f>IF(J97=0,0,L104/J97)</f>
        <v>291.22164835164847</v>
      </c>
      <c r="L104" s="33">
        <v>53002.340000000018</v>
      </c>
      <c r="M104" s="51"/>
      <c r="N104" s="33">
        <f>L104-F104</f>
        <v>6142.3400000000183</v>
      </c>
      <c r="O104" s="31">
        <v>62</v>
      </c>
      <c r="P104" s="47">
        <f t="shared" si="41"/>
        <v>491.38774193548369</v>
      </c>
      <c r="Q104" s="33">
        <v>30466.03999999999</v>
      </c>
      <c r="R104" s="31">
        <f>O104-K104</f>
        <v>-229.22164835164847</v>
      </c>
      <c r="S104" s="34">
        <f>L104-Q104</f>
        <v>22536.300000000028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33"/>
        <v>Véhicules usagésTotal F&amp;I</v>
      </c>
      <c r="B105" s="11" t="s">
        <v>70</v>
      </c>
      <c r="C105" s="35" t="s">
        <v>27</v>
      </c>
      <c r="D105" s="36">
        <f>D97</f>
        <v>213</v>
      </c>
      <c r="E105" s="30">
        <f t="shared" si="40"/>
        <v>1450</v>
      </c>
      <c r="F105" s="37">
        <f>F102+F103+F104</f>
        <v>308850</v>
      </c>
      <c r="G105" s="38"/>
      <c r="H105" s="36"/>
      <c r="I105" s="37"/>
      <c r="J105" s="38">
        <f>J97</f>
        <v>182</v>
      </c>
      <c r="K105" s="36">
        <f>IF(J105&lt;=0,0,L105/J105)</f>
        <v>1588.5043406593409</v>
      </c>
      <c r="L105" s="37">
        <f>L102+L103+L104</f>
        <v>289107.79000000004</v>
      </c>
      <c r="M105" s="31">
        <f>J105-D105</f>
        <v>-31</v>
      </c>
      <c r="N105" s="37">
        <f>L105-F105</f>
        <v>-19742.209999999963</v>
      </c>
      <c r="O105" s="38">
        <f>O97</f>
        <v>185</v>
      </c>
      <c r="P105" s="36">
        <f t="shared" si="41"/>
        <v>1345.271297297297</v>
      </c>
      <c r="Q105" s="37">
        <f>Q102+Q103+Q104</f>
        <v>248875.18999999994</v>
      </c>
      <c r="R105" s="56"/>
      <c r="S105" s="39">
        <f>L105-Q105</f>
        <v>40232.600000000093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33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-6.3921677189574103E-2</v>
      </c>
      <c r="O106" s="41"/>
      <c r="P106" s="13"/>
      <c r="Q106" s="59"/>
      <c r="R106" s="60"/>
      <c r="S106" s="44">
        <f>IF(Q105=0,0,(S105/Q105))</f>
        <v>0.16165773695642424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33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33"/>
        <v>Véhicules usagésTotal Dépt. Usagés</v>
      </c>
      <c r="B108" s="11" t="s">
        <v>70</v>
      </c>
      <c r="C108" s="62" t="s">
        <v>76</v>
      </c>
      <c r="D108" s="63">
        <f>D97+D100</f>
        <v>422</v>
      </c>
      <c r="E108" s="67">
        <f>IF(D108&lt;=0,0,F108/D108)</f>
        <v>1813.744075829384</v>
      </c>
      <c r="F108" s="65">
        <f>F97+F105+F100</f>
        <v>765400</v>
      </c>
      <c r="G108" s="66"/>
      <c r="H108" s="67"/>
      <c r="I108" s="65"/>
      <c r="J108" s="66">
        <f>J97+J100</f>
        <v>380</v>
      </c>
      <c r="K108" s="67">
        <f>IF(J108&lt;=0,0,L108/J108)</f>
        <v>1841.743842105263</v>
      </c>
      <c r="L108" s="65">
        <f>L97+L105+L100</f>
        <v>699862.65999999992</v>
      </c>
      <c r="M108" s="66">
        <f>J108-D108</f>
        <v>-42</v>
      </c>
      <c r="N108" s="65">
        <f>L108-F108</f>
        <v>-65537.340000000084</v>
      </c>
      <c r="O108" s="66">
        <f>O97+O100</f>
        <v>392</v>
      </c>
      <c r="P108" s="67">
        <f>IF(O108&lt;=0,0,Q108/O108)</f>
        <v>1718.6143877550999</v>
      </c>
      <c r="Q108" s="65">
        <f>Q97+Q105+Q100</f>
        <v>673696.83999999915</v>
      </c>
      <c r="R108" s="66">
        <f>J108-O108</f>
        <v>-12</v>
      </c>
      <c r="S108" s="68">
        <f>L108-Q108</f>
        <v>26165.820000000764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33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-9.9526066350710901E-2</v>
      </c>
      <c r="N109" s="74">
        <f>N108/F108</f>
        <v>-8.5624954272276038E-2</v>
      </c>
      <c r="O109" s="72"/>
      <c r="P109" s="70"/>
      <c r="Q109" s="71"/>
      <c r="R109" s="73">
        <f>O108/R108</f>
        <v>-32.666666666666664</v>
      </c>
      <c r="S109" s="145">
        <f>IF(Q108=0,0,(S108/Q108))</f>
        <v>3.8839160949605753E-2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33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33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33"/>
        <v>Véhicules usagésComm. vendeurs</v>
      </c>
      <c r="B112" s="11" t="s">
        <v>70</v>
      </c>
      <c r="C112" s="29" t="s">
        <v>30</v>
      </c>
      <c r="D112" s="148">
        <f>F112/F97</f>
        <v>0.34328682468016558</v>
      </c>
      <c r="E112" s="82">
        <f t="shared" ref="E112:E121" si="42">F112/D$97</f>
        <v>617.91628442429806</v>
      </c>
      <c r="F112" s="30">
        <v>131616.16858237548</v>
      </c>
      <c r="G112" s="157"/>
      <c r="H112" s="82"/>
      <c r="I112" s="30"/>
      <c r="J112" s="157">
        <f>L112/L97</f>
        <v>0.30967795869851955</v>
      </c>
      <c r="K112" s="82">
        <f>IF($J$97=0,0,L112/(J$94+J$95+J96))</f>
        <v>562.16692307692313</v>
      </c>
      <c r="L112" s="33">
        <v>102314.38</v>
      </c>
      <c r="M112" s="41"/>
      <c r="N112" s="59">
        <f t="shared" ref="N112:N153" si="43">L112-F112</f>
        <v>-29301.788582375477</v>
      </c>
      <c r="O112" s="157">
        <f>Q112/Q97</f>
        <v>0.35156608783381266</v>
      </c>
      <c r="P112" s="82">
        <f t="shared" ref="P112:P121" si="44">Q112/O$97</f>
        <v>639.49016216216216</v>
      </c>
      <c r="Q112" s="33">
        <v>118305.68000000001</v>
      </c>
      <c r="R112" s="41"/>
      <c r="S112" s="85">
        <f t="shared" ref="S112:S117" si="45">L112-Q112</f>
        <v>-15991.300000000003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33"/>
        <v>Véhicules usagésComm. F&amp;I</v>
      </c>
      <c r="B113" s="11" t="s">
        <v>70</v>
      </c>
      <c r="C113" s="86" t="s">
        <v>31</v>
      </c>
      <c r="D113" s="218">
        <f>F113/(F105+F19)</f>
        <v>0.25210831011401807</v>
      </c>
      <c r="E113" s="88">
        <f t="shared" si="42"/>
        <v>398.75</v>
      </c>
      <c r="F113" s="22">
        <v>84933.75</v>
      </c>
      <c r="G113" s="162"/>
      <c r="H113" s="88"/>
      <c r="I113" s="22"/>
      <c r="J113" s="162">
        <f>L113/L105</f>
        <v>0.24431292563925722</v>
      </c>
      <c r="K113" s="88">
        <f>IF($J$97=0,0,L113/(J$94+J$95+J96))</f>
        <v>388.0921428571429</v>
      </c>
      <c r="L113" s="33">
        <v>70632.77</v>
      </c>
      <c r="M113" s="23"/>
      <c r="N113" s="91">
        <f t="shared" si="43"/>
        <v>-14300.979999999996</v>
      </c>
      <c r="O113" s="162">
        <f>Q113/(Q105+Q19)</f>
        <v>0.2840897099794733</v>
      </c>
      <c r="P113" s="88">
        <f t="shared" si="44"/>
        <v>450.11291891891892</v>
      </c>
      <c r="Q113" s="33">
        <v>83270.89</v>
      </c>
      <c r="R113" s="23"/>
      <c r="S113" s="92">
        <f t="shared" si="45"/>
        <v>-12638.119999999995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33"/>
        <v>Véhicules usagésFrais de livraison</v>
      </c>
      <c r="B114" s="11" t="s">
        <v>70</v>
      </c>
      <c r="C114" s="29" t="s">
        <v>32</v>
      </c>
      <c r="D114" s="81"/>
      <c r="E114" s="82">
        <f t="shared" si="42"/>
        <v>90</v>
      </c>
      <c r="F114" s="30">
        <v>19170</v>
      </c>
      <c r="G114" s="83"/>
      <c r="H114" s="82"/>
      <c r="I114" s="30"/>
      <c r="J114" s="41"/>
      <c r="K114" s="82">
        <f>IF($J$97=0,0,L114/(J$94+J$95+J96))</f>
        <v>79.240714285714276</v>
      </c>
      <c r="L114" s="108">
        <v>14421.81</v>
      </c>
      <c r="M114" s="41"/>
      <c r="N114" s="59">
        <f t="shared" si="43"/>
        <v>-4748.1900000000005</v>
      </c>
      <c r="O114" s="41"/>
      <c r="P114" s="82">
        <f t="shared" si="44"/>
        <v>94.005081081081073</v>
      </c>
      <c r="Q114" s="108">
        <v>17390.939999999999</v>
      </c>
      <c r="R114" s="41"/>
      <c r="S114" s="85">
        <f t="shared" si="45"/>
        <v>-2969.1299999999992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33"/>
        <v>Véhicules usagésService gratuit 1</v>
      </c>
      <c r="B115" s="11" t="s">
        <v>70</v>
      </c>
      <c r="C115" s="29" t="s">
        <v>33</v>
      </c>
      <c r="D115" s="81"/>
      <c r="E115" s="82">
        <f t="shared" si="42"/>
        <v>94</v>
      </c>
      <c r="F115" s="30">
        <v>20022</v>
      </c>
      <c r="G115" s="83"/>
      <c r="H115" s="82"/>
      <c r="I115" s="30"/>
      <c r="J115" s="41"/>
      <c r="K115" s="82">
        <f>IF($J$97=0,0,L115/(J$94+J$95+J96))</f>
        <v>68.157747252747242</v>
      </c>
      <c r="L115" s="33">
        <v>12404.71</v>
      </c>
      <c r="M115" s="41"/>
      <c r="N115" s="59">
        <f t="shared" si="43"/>
        <v>-7617.2900000000009</v>
      </c>
      <c r="O115" s="41"/>
      <c r="P115" s="82">
        <f t="shared" si="44"/>
        <v>102.25216216216216</v>
      </c>
      <c r="Q115" s="33">
        <v>18916.650000000001</v>
      </c>
      <c r="R115" s="41"/>
      <c r="S115" s="85">
        <f t="shared" si="45"/>
        <v>-6511.9400000000023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33"/>
        <v>Véhicules usagésEntretien stock</v>
      </c>
      <c r="B116" s="11" t="s">
        <v>70</v>
      </c>
      <c r="C116" s="86" t="s">
        <v>34</v>
      </c>
      <c r="D116" s="87"/>
      <c r="E116" s="88">
        <f t="shared" si="42"/>
        <v>97.793427230046944</v>
      </c>
      <c r="F116" s="22">
        <v>20830</v>
      </c>
      <c r="G116" s="89"/>
      <c r="H116" s="88"/>
      <c r="I116" s="22"/>
      <c r="J116" s="23"/>
      <c r="K116" s="88">
        <f>IF($J$97=0,0,L116/(J$94+J$95+J96))</f>
        <v>164.45895604395605</v>
      </c>
      <c r="L116" s="48">
        <v>29931.53</v>
      </c>
      <c r="M116" s="23"/>
      <c r="N116" s="91">
        <f t="shared" si="43"/>
        <v>9101.5299999999988</v>
      </c>
      <c r="O116" s="23"/>
      <c r="P116" s="88">
        <f t="shared" si="44"/>
        <v>105.71859459459459</v>
      </c>
      <c r="Q116" s="48">
        <v>19557.939999999999</v>
      </c>
      <c r="R116" s="23"/>
      <c r="S116" s="92">
        <f t="shared" si="45"/>
        <v>10373.59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33"/>
        <v>Véhicules usagésPublicité 1</v>
      </c>
      <c r="B117" s="11" t="s">
        <v>70</v>
      </c>
      <c r="C117" s="29" t="s">
        <v>35</v>
      </c>
      <c r="D117" s="81"/>
      <c r="E117" s="82">
        <f t="shared" si="42"/>
        <v>345.42253521126759</v>
      </c>
      <c r="F117" s="30">
        <v>73575</v>
      </c>
      <c r="G117" s="83"/>
      <c r="H117" s="82"/>
      <c r="I117" s="30"/>
      <c r="J117" s="41"/>
      <c r="K117" s="82">
        <f t="shared" ref="K117:K121" si="46">IF($J$97=0,0,L117/(J$94+J$95))</f>
        <v>528.73347107438019</v>
      </c>
      <c r="L117" s="33">
        <v>63976.75</v>
      </c>
      <c r="M117" s="41"/>
      <c r="N117" s="59">
        <f t="shared" si="43"/>
        <v>-9598.25</v>
      </c>
      <c r="O117" s="41"/>
      <c r="P117" s="82">
        <f t="shared" si="44"/>
        <v>394.574162162162</v>
      </c>
      <c r="Q117" s="33">
        <v>72996.219999999972</v>
      </c>
      <c r="R117" s="41"/>
      <c r="S117" s="85">
        <f t="shared" si="45"/>
        <v>-9019.4699999999721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42"/>
        <v>250.43996328792431</v>
      </c>
      <c r="F118" s="30">
        <v>53343.712180327879</v>
      </c>
      <c r="G118" s="83"/>
      <c r="H118" s="82"/>
      <c r="I118" s="30"/>
      <c r="J118" s="41"/>
      <c r="K118" s="82">
        <f t="shared" si="46"/>
        <v>371.5304132231405</v>
      </c>
      <c r="L118" s="33">
        <v>44955.18</v>
      </c>
      <c r="M118" s="41"/>
      <c r="N118" s="59">
        <f t="shared" si="43"/>
        <v>-8388.5321803278785</v>
      </c>
      <c r="O118" s="41"/>
      <c r="P118" s="82">
        <f t="shared" si="44"/>
        <v>420.51935135135136</v>
      </c>
      <c r="Q118" s="33">
        <v>77796.08</v>
      </c>
      <c r="R118" s="41"/>
      <c r="S118" s="85">
        <f>L118-Q118</f>
        <v>-32840.9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42"/>
        <v>0</v>
      </c>
      <c r="F119" s="30">
        <v>0</v>
      </c>
      <c r="G119" s="83"/>
      <c r="H119" s="82"/>
      <c r="I119" s="30"/>
      <c r="J119" s="41"/>
      <c r="K119" s="82">
        <f t="shared" si="46"/>
        <v>0</v>
      </c>
      <c r="L119" s="33">
        <v>0</v>
      </c>
      <c r="M119" s="41"/>
      <c r="N119" s="59">
        <f t="shared" si="43"/>
        <v>0</v>
      </c>
      <c r="O119" s="41"/>
      <c r="P119" s="82">
        <f t="shared" si="4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42"/>
        <v>0</v>
      </c>
      <c r="F120" s="30">
        <v>0</v>
      </c>
      <c r="G120" s="83"/>
      <c r="H120" s="82"/>
      <c r="I120" s="30"/>
      <c r="J120" s="41"/>
      <c r="K120" s="82">
        <f t="shared" si="46"/>
        <v>0</v>
      </c>
      <c r="L120" s="33">
        <v>0</v>
      </c>
      <c r="M120" s="41"/>
      <c r="N120" s="59">
        <f t="shared" si="43"/>
        <v>0</v>
      </c>
      <c r="O120" s="41"/>
      <c r="P120" s="82">
        <f t="shared" si="4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42"/>
        <v>0</v>
      </c>
      <c r="F121" s="30">
        <v>0</v>
      </c>
      <c r="G121" s="83"/>
      <c r="H121" s="82"/>
      <c r="I121" s="30"/>
      <c r="J121" s="41"/>
      <c r="K121" s="82">
        <f t="shared" si="46"/>
        <v>0</v>
      </c>
      <c r="L121" s="33">
        <v>0</v>
      </c>
      <c r="M121" s="41"/>
      <c r="N121" s="59">
        <f t="shared" si="43"/>
        <v>0</v>
      </c>
      <c r="O121" s="41"/>
      <c r="P121" s="82">
        <f t="shared" si="44"/>
        <v>0</v>
      </c>
      <c r="Q121" s="33">
        <v>0</v>
      </c>
      <c r="R121" s="41"/>
      <c r="S121" s="85">
        <f t="shared" ref="S121:S122" si="4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0.52716309219062374</v>
      </c>
      <c r="F122" s="96">
        <f>SUM(F112:F121)</f>
        <v>403490.63076270337</v>
      </c>
      <c r="G122" s="97"/>
      <c r="H122" s="95"/>
      <c r="I122" s="96"/>
      <c r="J122" s="97" t="s">
        <v>38</v>
      </c>
      <c r="K122" s="95">
        <f>L122/L$108</f>
        <v>0.48386226234730118</v>
      </c>
      <c r="L122" s="96">
        <f>SUM(L112:L121)</f>
        <v>338637.13</v>
      </c>
      <c r="M122" s="100"/>
      <c r="N122" s="96">
        <f t="shared" si="43"/>
        <v>-64853.500762703363</v>
      </c>
      <c r="O122" s="97" t="s">
        <v>38</v>
      </c>
      <c r="P122" s="95">
        <f>Q122/Q$108</f>
        <v>0.60596157761405034</v>
      </c>
      <c r="Q122" s="96">
        <f>SUM(Q112:Q121)</f>
        <v>408234.39999999997</v>
      </c>
      <c r="R122" s="100"/>
      <c r="S122" s="101">
        <f t="shared" si="47"/>
        <v>-69597.26999999996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55008.519893899211</v>
      </c>
      <c r="G123" s="41"/>
      <c r="H123" s="13"/>
      <c r="I123" s="30"/>
      <c r="J123" s="41"/>
      <c r="K123" s="13"/>
      <c r="L123" s="33">
        <v>44760.68</v>
      </c>
      <c r="M123" s="41"/>
      <c r="N123" s="59">
        <f t="shared" si="43"/>
        <v>-10247.83989389921</v>
      </c>
      <c r="O123" s="41"/>
      <c r="P123" s="13"/>
      <c r="Q123" s="33">
        <v>46510.609999999993</v>
      </c>
      <c r="R123" s="41"/>
      <c r="S123" s="85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30713.983524904212</v>
      </c>
      <c r="G124" s="83"/>
      <c r="H124" s="13"/>
      <c r="I124" s="22"/>
      <c r="J124" s="41"/>
      <c r="K124" s="13"/>
      <c r="L124" s="22">
        <v>33258.449999999997</v>
      </c>
      <c r="M124" s="41"/>
      <c r="N124" s="59">
        <f t="shared" si="43"/>
        <v>2544.4664750957854</v>
      </c>
      <c r="O124" s="41"/>
      <c r="P124" s="13"/>
      <c r="Q124" s="22">
        <v>31889.65</v>
      </c>
      <c r="R124" s="41"/>
      <c r="S124" s="85">
        <f t="shared" ref="S124:S126" si="49">L124-Q124</f>
        <v>1368.7999999999956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30899</v>
      </c>
      <c r="G125" s="106"/>
      <c r="H125" s="105"/>
      <c r="I125" s="30"/>
      <c r="J125" s="107"/>
      <c r="K125" s="105"/>
      <c r="L125" s="33">
        <v>30899</v>
      </c>
      <c r="M125" s="107"/>
      <c r="N125" s="109">
        <f t="shared" si="43"/>
        <v>0</v>
      </c>
      <c r="O125" s="107"/>
      <c r="P125" s="105"/>
      <c r="Q125" s="33">
        <v>30899</v>
      </c>
      <c r="R125" s="107"/>
      <c r="S125" s="110">
        <f t="shared" si="4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43"/>
        <v>0</v>
      </c>
      <c r="O126" s="41"/>
      <c r="P126" s="13"/>
      <c r="Q126" s="33">
        <v>0</v>
      </c>
      <c r="R126" s="41"/>
      <c r="S126" s="85">
        <f t="shared" si="4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4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4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4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50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38241.178538316701</v>
      </c>
      <c r="G130" s="83"/>
      <c r="H130" s="13"/>
      <c r="I130" s="30"/>
      <c r="J130" s="41"/>
      <c r="K130" s="13"/>
      <c r="L130" s="33">
        <v>41656.1</v>
      </c>
      <c r="M130" s="41"/>
      <c r="N130" s="59">
        <f t="shared" si="43"/>
        <v>3414.9214616832978</v>
      </c>
      <c r="O130" s="41"/>
      <c r="P130" s="13"/>
      <c r="Q130" s="33">
        <v>39490.81</v>
      </c>
      <c r="R130" s="41"/>
      <c r="S130" s="85">
        <f>L130-Q130</f>
        <v>2165.2900000000009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5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47275.800420915264</v>
      </c>
      <c r="G131" s="106"/>
      <c r="H131" s="105"/>
      <c r="I131" s="54"/>
      <c r="J131" s="107"/>
      <c r="K131" s="105"/>
      <c r="L131" s="55">
        <v>40852.49</v>
      </c>
      <c r="M131" s="107"/>
      <c r="N131" s="109">
        <f t="shared" si="43"/>
        <v>-6423.3104209152661</v>
      </c>
      <c r="O131" s="107"/>
      <c r="P131" s="105"/>
      <c r="Q131" s="55">
        <v>37401.350000000006</v>
      </c>
      <c r="R131" s="107"/>
      <c r="S131" s="110">
        <f t="shared" ref="S131:S148" si="51">L131-Q131</f>
        <v>3451.1399999999921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5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24408.831626790452</v>
      </c>
      <c r="G132" s="83"/>
      <c r="H132" s="13"/>
      <c r="I132" s="30"/>
      <c r="J132" s="41"/>
      <c r="K132" s="13"/>
      <c r="L132" s="33">
        <v>23935.63</v>
      </c>
      <c r="M132" s="41"/>
      <c r="N132" s="59">
        <f t="shared" si="43"/>
        <v>-473.20162679045097</v>
      </c>
      <c r="O132" s="41"/>
      <c r="P132" s="13"/>
      <c r="Q132" s="33">
        <v>23116.89</v>
      </c>
      <c r="R132" s="41"/>
      <c r="S132" s="85">
        <f t="shared" si="51"/>
        <v>818.7400000000016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50"/>
        <v>Véhicules usagésCsst</v>
      </c>
      <c r="B133" s="11" t="s">
        <v>70</v>
      </c>
      <c r="C133" s="102" t="s">
        <v>47</v>
      </c>
      <c r="D133" s="81"/>
      <c r="E133" s="13"/>
      <c r="F133" s="30">
        <v>5230.4639200265237</v>
      </c>
      <c r="G133" s="83"/>
      <c r="H133" s="13"/>
      <c r="I133" s="30"/>
      <c r="J133" s="41"/>
      <c r="K133" s="13"/>
      <c r="L133" s="33">
        <v>6588.98</v>
      </c>
      <c r="M133" s="41"/>
      <c r="N133" s="59">
        <f t="shared" si="43"/>
        <v>1358.5160799734758</v>
      </c>
      <c r="O133" s="41"/>
      <c r="P133" s="13"/>
      <c r="Q133" s="33">
        <v>4106.05</v>
      </c>
      <c r="R133" s="41"/>
      <c r="S133" s="85">
        <f t="shared" si="51"/>
        <v>2482.9299999999994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50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43"/>
        <v>0</v>
      </c>
      <c r="O134" s="23"/>
      <c r="P134" s="111"/>
      <c r="Q134" s="33">
        <v>0</v>
      </c>
      <c r="R134" s="23"/>
      <c r="S134" s="92">
        <f t="shared" si="51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5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0.30281915067265797</v>
      </c>
      <c r="F135" s="96">
        <f>+SUM(F123:F134)</f>
        <v>231777.77792485239</v>
      </c>
      <c r="G135" s="97"/>
      <c r="H135" s="95"/>
      <c r="I135" s="96"/>
      <c r="J135" s="97" t="s">
        <v>38</v>
      </c>
      <c r="K135" s="95">
        <f>L135/L$108</f>
        <v>0.31713555056644976</v>
      </c>
      <c r="L135" s="96">
        <f>SUM(L123:L134)</f>
        <v>221951.33000000002</v>
      </c>
      <c r="M135" s="463"/>
      <c r="N135" s="464">
        <f t="shared" si="43"/>
        <v>-9826.4479248523712</v>
      </c>
      <c r="O135" s="97" t="s">
        <v>38</v>
      </c>
      <c r="P135" s="95">
        <f>Q135/Q$108</f>
        <v>0.31678100197115405</v>
      </c>
      <c r="Q135" s="96">
        <f>+SUM(Q123:Q134)</f>
        <v>213414.36</v>
      </c>
      <c r="R135" s="147"/>
      <c r="S135" s="114">
        <f t="shared" si="51"/>
        <v>8536.9700000000303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50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43"/>
        <v>0</v>
      </c>
      <c r="O136" s="41"/>
      <c r="P136" s="13"/>
      <c r="Q136" s="33">
        <v>0</v>
      </c>
      <c r="R136" s="41"/>
      <c r="S136" s="85">
        <f t="shared" si="51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50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43"/>
        <v>0</v>
      </c>
      <c r="O137" s="41"/>
      <c r="P137" s="13"/>
      <c r="Q137" s="33">
        <v>0</v>
      </c>
      <c r="R137" s="41"/>
      <c r="S137" s="85">
        <f t="shared" si="51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5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10379.966666666667</v>
      </c>
      <c r="G138" s="89"/>
      <c r="H138" s="111"/>
      <c r="I138" s="22"/>
      <c r="J138" s="23"/>
      <c r="K138" s="111"/>
      <c r="L138" s="22">
        <v>11292.66</v>
      </c>
      <c r="M138" s="23"/>
      <c r="N138" s="91">
        <f t="shared" si="43"/>
        <v>912.6933333333327</v>
      </c>
      <c r="O138" s="23"/>
      <c r="P138" s="111"/>
      <c r="Q138" s="22">
        <v>11862.35</v>
      </c>
      <c r="R138" s="23"/>
      <c r="S138" s="92">
        <f t="shared" si="51"/>
        <v>-569.69000000000051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50"/>
        <v>Véhicules usagésInformatique</v>
      </c>
      <c r="B139" s="11" t="s">
        <v>70</v>
      </c>
      <c r="C139" s="29" t="s">
        <v>52</v>
      </c>
      <c r="D139" s="81"/>
      <c r="E139" s="13"/>
      <c r="F139" s="30">
        <v>15679.399999999998</v>
      </c>
      <c r="G139" s="83"/>
      <c r="H139" s="13"/>
      <c r="I139" s="30"/>
      <c r="J139" s="41"/>
      <c r="K139" s="13"/>
      <c r="L139" s="33">
        <v>16090.34</v>
      </c>
      <c r="M139" s="41"/>
      <c r="N139" s="59">
        <f t="shared" si="43"/>
        <v>410.94000000000233</v>
      </c>
      <c r="O139" s="41"/>
      <c r="P139" s="13"/>
      <c r="Q139" s="33">
        <v>16462.859999999997</v>
      </c>
      <c r="R139" s="41"/>
      <c r="S139" s="85">
        <f t="shared" si="51"/>
        <v>-372.5199999999968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5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2016.6666666666663</v>
      </c>
      <c r="G140" s="83"/>
      <c r="H140" s="13"/>
      <c r="I140" s="30"/>
      <c r="J140" s="41"/>
      <c r="K140" s="13"/>
      <c r="L140" s="33">
        <v>1549.39</v>
      </c>
      <c r="M140" s="41"/>
      <c r="N140" s="59">
        <f t="shared" si="43"/>
        <v>-467.27666666666619</v>
      </c>
      <c r="O140" s="41"/>
      <c r="P140" s="13"/>
      <c r="Q140" s="33">
        <v>1741.9999999999995</v>
      </c>
      <c r="R140" s="41"/>
      <c r="S140" s="85">
        <f t="shared" si="51"/>
        <v>-192.60999999999945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5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8102.6000000000022</v>
      </c>
      <c r="G141" s="89"/>
      <c r="H141" s="111"/>
      <c r="I141" s="22"/>
      <c r="J141" s="23"/>
      <c r="K141" s="111"/>
      <c r="L141" s="22">
        <v>8014.12</v>
      </c>
      <c r="M141" s="23"/>
      <c r="N141" s="91">
        <f t="shared" si="43"/>
        <v>-88.480000000002292</v>
      </c>
      <c r="O141" s="23"/>
      <c r="P141" s="111"/>
      <c r="Q141" s="22">
        <v>9538.409999999998</v>
      </c>
      <c r="R141" s="23"/>
      <c r="S141" s="92">
        <f t="shared" si="51"/>
        <v>-1524.2899999999981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50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192.5</v>
      </c>
      <c r="G142" s="83"/>
      <c r="H142" s="13"/>
      <c r="I142" s="30"/>
      <c r="J142" s="41"/>
      <c r="K142" s="13"/>
      <c r="L142" s="33">
        <v>150.55000000000001</v>
      </c>
      <c r="M142" s="41"/>
      <c r="N142" s="59">
        <f t="shared" si="43"/>
        <v>-41.949999999999989</v>
      </c>
      <c r="O142" s="41"/>
      <c r="P142" s="13"/>
      <c r="Q142" s="33">
        <v>175.34</v>
      </c>
      <c r="R142" s="41"/>
      <c r="S142" s="85">
        <f t="shared" si="51"/>
        <v>-24.789999999999992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50"/>
        <v>Véhicules usagésUniformes</v>
      </c>
      <c r="B143" s="11" t="s">
        <v>70</v>
      </c>
      <c r="C143" s="29" t="s">
        <v>56</v>
      </c>
      <c r="D143" s="81"/>
      <c r="E143" s="13"/>
      <c r="F143" s="30">
        <v>110</v>
      </c>
      <c r="G143" s="83"/>
      <c r="H143" s="13"/>
      <c r="I143" s="30"/>
      <c r="J143" s="41"/>
      <c r="K143" s="13"/>
      <c r="L143" s="33">
        <v>79.98</v>
      </c>
      <c r="M143" s="41"/>
      <c r="N143" s="59">
        <f t="shared" si="43"/>
        <v>-30.019999999999996</v>
      </c>
      <c r="O143" s="41"/>
      <c r="P143" s="13"/>
      <c r="Q143" s="33">
        <v>185.07</v>
      </c>
      <c r="R143" s="41"/>
      <c r="S143" s="85">
        <f t="shared" si="51"/>
        <v>-105.08999999999999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50"/>
        <v>Véhicules usagésPapeterie</v>
      </c>
      <c r="B144" s="11" t="s">
        <v>70</v>
      </c>
      <c r="C144" s="29" t="s">
        <v>57</v>
      </c>
      <c r="D144" s="81"/>
      <c r="E144" s="13"/>
      <c r="F144" s="30">
        <v>1732.5</v>
      </c>
      <c r="G144" s="83"/>
      <c r="H144" s="13"/>
      <c r="I144" s="30"/>
      <c r="J144" s="41"/>
      <c r="K144" s="13"/>
      <c r="L144" s="32">
        <v>1723.16</v>
      </c>
      <c r="M144" s="41"/>
      <c r="N144" s="59">
        <f t="shared" si="43"/>
        <v>-9.3399999999999181</v>
      </c>
      <c r="O144" s="41"/>
      <c r="P144" s="13"/>
      <c r="Q144" s="32">
        <v>1885.75</v>
      </c>
      <c r="R144" s="41"/>
      <c r="S144" s="85">
        <f t="shared" si="51"/>
        <v>-162.58999999999992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50"/>
        <v>Véhicules usagésTéléphone</v>
      </c>
      <c r="B145" s="11" t="s">
        <v>70</v>
      </c>
      <c r="C145" s="29" t="s">
        <v>58</v>
      </c>
      <c r="D145" s="81"/>
      <c r="E145" s="13"/>
      <c r="F145" s="30">
        <v>695.2</v>
      </c>
      <c r="G145" s="83"/>
      <c r="H145" s="13"/>
      <c r="I145" s="30"/>
      <c r="J145" s="41"/>
      <c r="K145" s="13"/>
      <c r="L145" s="33">
        <v>892.25</v>
      </c>
      <c r="M145" s="41"/>
      <c r="N145" s="59">
        <f t="shared" si="43"/>
        <v>197.04999999999995</v>
      </c>
      <c r="O145" s="41"/>
      <c r="P145" s="13"/>
      <c r="Q145" s="33">
        <v>944.31</v>
      </c>
      <c r="R145" s="41"/>
      <c r="S145" s="85">
        <f t="shared" si="51"/>
        <v>-52.059999999999945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50"/>
        <v>Véhicules usagésFrais postaux</v>
      </c>
      <c r="B146" s="11" t="s">
        <v>70</v>
      </c>
      <c r="C146" s="29" t="s">
        <v>59</v>
      </c>
      <c r="D146" s="81"/>
      <c r="E146" s="13"/>
      <c r="F146" s="30">
        <v>495</v>
      </c>
      <c r="G146" s="83"/>
      <c r="H146" s="13"/>
      <c r="I146" s="30"/>
      <c r="J146" s="41"/>
      <c r="K146" s="13"/>
      <c r="L146" s="33">
        <v>1206.8699999999999</v>
      </c>
      <c r="M146" s="41"/>
      <c r="N146" s="59">
        <f t="shared" si="43"/>
        <v>711.86999999999989</v>
      </c>
      <c r="O146" s="41"/>
      <c r="P146" s="13"/>
      <c r="Q146" s="33">
        <v>1730.7899999999997</v>
      </c>
      <c r="R146" s="41"/>
      <c r="S146" s="85">
        <f t="shared" si="51"/>
        <v>-523.91999999999985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50"/>
        <v>Véhicules usagésDivers</v>
      </c>
      <c r="B147" s="11" t="s">
        <v>70</v>
      </c>
      <c r="C147" s="29" t="s">
        <v>60</v>
      </c>
      <c r="D147" s="81"/>
      <c r="E147" s="13"/>
      <c r="F147" s="30">
        <v>1915.1</v>
      </c>
      <c r="G147" s="83"/>
      <c r="H147" s="13"/>
      <c r="I147" s="30"/>
      <c r="J147" s="41"/>
      <c r="K147" s="13"/>
      <c r="L147" s="33">
        <v>2095.7800000000002</v>
      </c>
      <c r="M147" s="41"/>
      <c r="N147" s="59">
        <f t="shared" si="43"/>
        <v>180.68000000000029</v>
      </c>
      <c r="O147" s="41"/>
      <c r="P147" s="13"/>
      <c r="Q147" s="33">
        <v>1777.8799999999999</v>
      </c>
      <c r="R147" s="41"/>
      <c r="S147" s="85">
        <f t="shared" si="51"/>
        <v>317.90000000000032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50"/>
        <v>Véhicules usagésFormation</v>
      </c>
      <c r="B148" s="11" t="s">
        <v>70</v>
      </c>
      <c r="C148" s="29" t="s">
        <v>61</v>
      </c>
      <c r="D148" s="81"/>
      <c r="E148" s="13"/>
      <c r="F148" s="30">
        <v>1364.4485800000002</v>
      </c>
      <c r="G148" s="83"/>
      <c r="H148" s="13"/>
      <c r="I148" s="30"/>
      <c r="J148" s="41"/>
      <c r="K148" s="13"/>
      <c r="L148" s="59">
        <v>529.20000000000005</v>
      </c>
      <c r="M148" s="41"/>
      <c r="N148" s="59">
        <f t="shared" si="43"/>
        <v>-835.24858000000017</v>
      </c>
      <c r="O148" s="41"/>
      <c r="P148" s="13"/>
      <c r="Q148" s="33">
        <v>655.74</v>
      </c>
      <c r="R148" s="41"/>
      <c r="S148" s="85">
        <f t="shared" si="51"/>
        <v>-126.53999999999996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7376.5092281756679</v>
      </c>
      <c r="G149" s="83"/>
      <c r="H149" s="13"/>
      <c r="I149" s="30"/>
      <c r="J149" s="41"/>
      <c r="K149" s="13"/>
      <c r="L149" s="33">
        <v>7250.06</v>
      </c>
      <c r="M149" s="41"/>
      <c r="N149" s="59">
        <f t="shared" si="43"/>
        <v>-126.44922817566749</v>
      </c>
      <c r="O149" s="41"/>
      <c r="P149" s="13"/>
      <c r="Q149" s="33">
        <v>7405.91</v>
      </c>
      <c r="R149" s="41"/>
      <c r="S149" s="85">
        <f>L149-Q149</f>
        <v>-155.84999999999945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4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4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4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52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6.5403568253865951E-2</v>
      </c>
      <c r="F153" s="96">
        <f>+SUM(F136:F152)</f>
        <v>50059.891141508997</v>
      </c>
      <c r="G153" s="97"/>
      <c r="H153" s="95"/>
      <c r="I153" s="96"/>
      <c r="J153" s="97" t="s">
        <v>38</v>
      </c>
      <c r="K153" s="95">
        <f>L153/L$108</f>
        <v>7.2691919297423316E-2</v>
      </c>
      <c r="L153" s="96">
        <f>+SUM(L136:L152)</f>
        <v>50874.360000000008</v>
      </c>
      <c r="M153" s="100"/>
      <c r="N153" s="96">
        <f t="shared" si="43"/>
        <v>814.46885849101091</v>
      </c>
      <c r="O153" s="97" t="s">
        <v>38</v>
      </c>
      <c r="P153" s="95">
        <f>Q153/Q$108</f>
        <v>8.0698626996677111E-2</v>
      </c>
      <c r="Q153" s="96">
        <f>+SUM(Q136:Q152)</f>
        <v>54366.409999999989</v>
      </c>
      <c r="R153" s="100"/>
      <c r="S153" s="101">
        <f t="shared" ref="S153" si="53">L153-Q153</f>
        <v>-3492.0499999999811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52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52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0.89538581111714743</v>
      </c>
      <c r="F155" s="96">
        <f>F122+F135+F153</f>
        <v>685328.29982906464</v>
      </c>
      <c r="G155" s="97"/>
      <c r="H155" s="95"/>
      <c r="I155" s="96"/>
      <c r="J155" s="97" t="s">
        <v>38</v>
      </c>
      <c r="K155" s="95">
        <f>L155/L$108</f>
        <v>0.87368973221117419</v>
      </c>
      <c r="L155" s="96">
        <f>L122+L135+L153</f>
        <v>611462.81999999995</v>
      </c>
      <c r="M155" s="100"/>
      <c r="N155" s="113">
        <f t="shared" ref="N155:N162" si="54">L155-F155</f>
        <v>-73865.479829064687</v>
      </c>
      <c r="O155" s="97" t="s">
        <v>38</v>
      </c>
      <c r="P155" s="95">
        <f>Q155/Q$108</f>
        <v>1.0034412065818816</v>
      </c>
      <c r="Q155" s="96">
        <f>Q122+Q135+Q153</f>
        <v>676015.17</v>
      </c>
      <c r="R155" s="100"/>
      <c r="S155" s="114">
        <f t="shared" ref="S155:S162" si="55">L155-Q155</f>
        <v>-64552.350000000093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52"/>
        <v>Véhicules usagésRBSC used</v>
      </c>
      <c r="B156" s="11" t="s">
        <v>70</v>
      </c>
      <c r="C156" s="29" t="s">
        <v>218</v>
      </c>
      <c r="D156" s="149"/>
      <c r="E156" s="150"/>
      <c r="F156" s="30">
        <v>26625</v>
      </c>
      <c r="G156" s="151"/>
      <c r="H156" s="150"/>
      <c r="I156" s="30"/>
      <c r="J156" s="151"/>
      <c r="K156" s="150"/>
      <c r="L156" s="32">
        <v>14775</v>
      </c>
      <c r="M156" s="41"/>
      <c r="N156" s="59">
        <f t="shared" si="54"/>
        <v>-11850</v>
      </c>
      <c r="O156" s="151"/>
      <c r="P156" s="150"/>
      <c r="Q156" s="33">
        <v>16050</v>
      </c>
      <c r="R156" s="41"/>
      <c r="S156" s="85">
        <f t="shared" si="55"/>
        <v>-1275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52"/>
        <v>Véhicules usagésProgramme 360</v>
      </c>
      <c r="B157" s="11" t="s">
        <v>70</v>
      </c>
      <c r="C157" s="29" t="s">
        <v>219</v>
      </c>
      <c r="D157" s="149"/>
      <c r="E157" s="150"/>
      <c r="F157" s="30">
        <v>9514</v>
      </c>
      <c r="G157" s="151"/>
      <c r="H157" s="150"/>
      <c r="I157" s="30"/>
      <c r="J157" s="151"/>
      <c r="K157" s="150"/>
      <c r="L157" s="33">
        <v>875</v>
      </c>
      <c r="M157" s="41"/>
      <c r="N157" s="59">
        <f t="shared" si="54"/>
        <v>-8639</v>
      </c>
      <c r="O157" s="151"/>
      <c r="P157" s="150"/>
      <c r="Q157" s="33">
        <v>26075</v>
      </c>
      <c r="R157" s="41"/>
      <c r="S157" s="85">
        <f t="shared" si="55"/>
        <v>-25200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5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54"/>
        <v>0</v>
      </c>
      <c r="O158" s="41"/>
      <c r="P158" s="13"/>
      <c r="Q158" s="33">
        <v>0</v>
      </c>
      <c r="R158" s="41"/>
      <c r="S158" s="85">
        <f t="shared" si="5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105190.05</v>
      </c>
      <c r="G159" s="83"/>
      <c r="H159" s="13"/>
      <c r="I159" s="30"/>
      <c r="J159" s="41"/>
      <c r="K159" s="13"/>
      <c r="L159" s="32">
        <v>94605</v>
      </c>
      <c r="M159" s="41"/>
      <c r="N159" s="59">
        <f t="shared" si="54"/>
        <v>-10585.050000000003</v>
      </c>
      <c r="O159" s="41"/>
      <c r="P159" s="13"/>
      <c r="Q159" s="33">
        <v>92225</v>
      </c>
      <c r="R159" s="41"/>
      <c r="S159" s="85">
        <f t="shared" si="55"/>
        <v>2380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54"/>
        <v>0</v>
      </c>
      <c r="O160" s="41"/>
      <c r="P160" s="13"/>
      <c r="Q160" s="33">
        <v>0</v>
      </c>
      <c r="R160" s="41"/>
      <c r="S160" s="85">
        <f t="shared" si="5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54"/>
        <v>0</v>
      </c>
      <c r="O161" s="41"/>
      <c r="P161" s="13"/>
      <c r="Q161" s="33">
        <v>0</v>
      </c>
      <c r="R161" s="41"/>
      <c r="S161" s="85">
        <f t="shared" si="5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54"/>
        <v>0</v>
      </c>
      <c r="O162" s="41"/>
      <c r="P162" s="13"/>
      <c r="Q162" s="33">
        <v>0</v>
      </c>
      <c r="R162" s="41"/>
      <c r="S162" s="85">
        <f t="shared" si="5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141329.04999999999</v>
      </c>
      <c r="G163" s="97"/>
      <c r="H163" s="95"/>
      <c r="I163" s="96"/>
      <c r="J163" s="97"/>
      <c r="K163" s="95"/>
      <c r="L163" s="96">
        <f>+SUM(L156:L162)</f>
        <v>110255</v>
      </c>
      <c r="M163" s="100"/>
      <c r="N163" s="96">
        <f>SUM(N156:N159)</f>
        <v>-31074.050000000003</v>
      </c>
      <c r="O163" s="97"/>
      <c r="P163" s="95"/>
      <c r="Q163" s="96">
        <f>+SUM(Q156:Q162)</f>
        <v>134350</v>
      </c>
      <c r="R163" s="100"/>
      <c r="S163" s="101">
        <f>+SUM(S156:S162)</f>
        <v>-24095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221400.75017093535</v>
      </c>
      <c r="G165" s="153"/>
      <c r="H165" s="125"/>
      <c r="I165" s="127"/>
      <c r="J165" s="154"/>
      <c r="K165" s="126"/>
      <c r="L165" s="127">
        <f>L108-L155+L163</f>
        <v>198654.83999999997</v>
      </c>
      <c r="M165" s="154"/>
      <c r="N165" s="127">
        <f>L165-F165</f>
        <v>-22745.910170935385</v>
      </c>
      <c r="O165" s="154"/>
      <c r="P165" s="126"/>
      <c r="Q165" s="127">
        <f>Q108-Q155+Q163</f>
        <v>132031.66999999911</v>
      </c>
      <c r="R165" s="154"/>
      <c r="S165" s="129">
        <f>L165-Q165</f>
        <v>66623.170000000857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55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2025 AAD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09" t="s">
        <v>214</v>
      </c>
      <c r="S170" s="510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5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56"/>
        <v>ServiceM/O Client</v>
      </c>
      <c r="B172" s="11" t="s">
        <v>78</v>
      </c>
      <c r="C172" s="29" t="s">
        <v>81</v>
      </c>
      <c r="D172" s="491">
        <v>2231.1971689912957</v>
      </c>
      <c r="E172" s="82">
        <v>758607.03745704051</v>
      </c>
      <c r="F172" s="82">
        <v>594747.91736631969</v>
      </c>
      <c r="G172" s="156"/>
      <c r="H172" s="82"/>
      <c r="I172" s="82"/>
      <c r="J172" s="60">
        <v>2311</v>
      </c>
      <c r="K172" s="30">
        <v>760679.4</v>
      </c>
      <c r="L172" s="33">
        <v>601476.55999999994</v>
      </c>
      <c r="M172" s="157">
        <f>(K172-E172)/E172</f>
        <v>2.7317997864960077E-3</v>
      </c>
      <c r="N172" s="59">
        <f>L172-F172</f>
        <v>6728.6426336802542</v>
      </c>
      <c r="O172" s="60">
        <v>2197</v>
      </c>
      <c r="P172" s="30">
        <v>688107.67999999993</v>
      </c>
      <c r="Q172" s="33">
        <v>544584.13999999966</v>
      </c>
      <c r="R172" s="157">
        <f>IF(O172=0,0,J172/O172)</f>
        <v>1.0518889394629038</v>
      </c>
      <c r="S172" s="85">
        <f>L172-Q172</f>
        <v>56892.420000000275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56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0.78399999999999992</v>
      </c>
      <c r="G173" s="41"/>
      <c r="H173" s="144"/>
      <c r="I173" s="158"/>
      <c r="J173" s="60"/>
      <c r="K173" s="13"/>
      <c r="L173" s="158">
        <f>IF(L172=0,0,L172/K172)</f>
        <v>0.79070967348399324</v>
      </c>
      <c r="M173" s="157"/>
      <c r="N173" s="59"/>
      <c r="O173" s="60"/>
      <c r="P173" s="13"/>
      <c r="Q173" s="158">
        <f>Q172/P172</f>
        <v>0.79142284823793818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56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501">
        <f>IFERROR(K172/J172,0)</f>
        <v>329.15594980527914</v>
      </c>
      <c r="L174" s="160"/>
      <c r="M174" s="162"/>
      <c r="N174" s="91"/>
      <c r="O174" s="161"/>
      <c r="P174" s="465">
        <f>IFERROR(P172/O172,0)</f>
        <v>313.20331360946744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56"/>
        <v>ServiceM/O Garantie</v>
      </c>
      <c r="B175" s="11" t="s">
        <v>78</v>
      </c>
      <c r="C175" s="14" t="s">
        <v>83</v>
      </c>
      <c r="D175" s="493">
        <v>1827.2123869250167</v>
      </c>
      <c r="E175" s="82">
        <v>266773.00849105249</v>
      </c>
      <c r="F175" s="82">
        <v>170734.7254342736</v>
      </c>
      <c r="G175" s="164"/>
      <c r="H175" s="82"/>
      <c r="I175" s="82"/>
      <c r="J175" s="164">
        <v>2112</v>
      </c>
      <c r="K175" s="165">
        <v>408974.56999999995</v>
      </c>
      <c r="L175" s="33">
        <v>271648.53999999992</v>
      </c>
      <c r="M175" s="157">
        <f>(K175-E175)/E175</f>
        <v>0.5330432876747232</v>
      </c>
      <c r="N175" s="109">
        <f>L175-F175</f>
        <v>100913.81456572632</v>
      </c>
      <c r="O175" s="164">
        <v>1810</v>
      </c>
      <c r="P175" s="165">
        <v>283107.37999999977</v>
      </c>
      <c r="Q175" s="33">
        <v>190413.2399999997</v>
      </c>
      <c r="R175" s="157">
        <f>IF(O175=0,0,J175/O175)</f>
        <v>1.1668508287292818</v>
      </c>
      <c r="S175" s="85">
        <f>L175-Q175</f>
        <v>81235.300000000221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56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0.66421865789846046</v>
      </c>
      <c r="M176" s="42"/>
      <c r="N176" s="43"/>
      <c r="O176" s="41"/>
      <c r="P176" s="13"/>
      <c r="Q176" s="158">
        <f>Q175/P175</f>
        <v>0.67258310256694775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56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56"/>
        <v>ServiceM/O Interne</v>
      </c>
      <c r="B178" s="11" t="s">
        <v>78</v>
      </c>
      <c r="C178" s="29" t="s">
        <v>84</v>
      </c>
      <c r="D178" s="491">
        <v>1980.8338835491652</v>
      </c>
      <c r="E178" s="82">
        <v>475400.13205179968</v>
      </c>
      <c r="F178" s="82">
        <v>320895.0891349648</v>
      </c>
      <c r="G178" s="41"/>
      <c r="H178" s="82"/>
      <c r="I178" s="82"/>
      <c r="J178" s="60">
        <v>1494</v>
      </c>
      <c r="K178" s="165">
        <v>596491.68000000005</v>
      </c>
      <c r="L178" s="33">
        <v>451020.27999999997</v>
      </c>
      <c r="M178" s="157">
        <f>(K178-E178)/E178</f>
        <v>0.25471500696808014</v>
      </c>
      <c r="N178" s="59">
        <f>L178-F178</f>
        <v>130125.19086503517</v>
      </c>
      <c r="O178" s="60">
        <v>1846</v>
      </c>
      <c r="P178" s="165">
        <v>445130.58999999973</v>
      </c>
      <c r="Q178" s="33">
        <v>276142.3699999997</v>
      </c>
      <c r="R178" s="157">
        <f>IF(O178=0,0,J178/O178)</f>
        <v>0.80931744312025999</v>
      </c>
      <c r="S178" s="85">
        <f>L178-Q178</f>
        <v>174877.91000000027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56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0.75612166124429414</v>
      </c>
      <c r="M179" s="157"/>
      <c r="N179" s="59">
        <f>L179-F179</f>
        <v>8.1121661244294097E-2</v>
      </c>
      <c r="O179" s="60"/>
      <c r="P179" s="144"/>
      <c r="Q179" s="158">
        <f>Q178/P178</f>
        <v>0.62036259965867513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56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56"/>
        <v>ServiceM/O Esthétique</v>
      </c>
      <c r="B181" s="11" t="s">
        <v>78</v>
      </c>
      <c r="C181" s="14" t="s">
        <v>85</v>
      </c>
      <c r="D181" s="493">
        <v>665.82478362879669</v>
      </c>
      <c r="E181" s="82">
        <v>133164.95672575932</v>
      </c>
      <c r="F181" s="82">
        <v>53265.982690303739</v>
      </c>
      <c r="G181" s="107"/>
      <c r="H181" s="82"/>
      <c r="I181" s="82"/>
      <c r="J181" s="164">
        <v>519</v>
      </c>
      <c r="K181" s="165">
        <v>110276.9</v>
      </c>
      <c r="L181" s="108">
        <v>79035.209999999992</v>
      </c>
      <c r="M181" s="173">
        <f>IF(E181=0,0,(K181-E181)/E181)</f>
        <v>-0.17187747654133301</v>
      </c>
      <c r="N181" s="109">
        <f>L181-F181</f>
        <v>25769.227309696253</v>
      </c>
      <c r="O181" s="164">
        <v>642</v>
      </c>
      <c r="P181" s="165">
        <v>122458.62999999998</v>
      </c>
      <c r="Q181" s="108">
        <v>45390.909999999989</v>
      </c>
      <c r="R181" s="157">
        <f>IF(O181=0,0,J181/O181)</f>
        <v>0.80841121495327106</v>
      </c>
      <c r="S181" s="110">
        <f>L181-Q181</f>
        <v>33644.300000000003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5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/>
      <c r="J182" s="175"/>
      <c r="K182" s="174">
        <f>IF(J181&lt;=0,0,L181/J181)</f>
        <v>152.28364161849709</v>
      </c>
      <c r="L182" s="158">
        <f>IF(L181=0,0,L181/K181)</f>
        <v>0.71669778530227091</v>
      </c>
      <c r="M182" s="60">
        <f>J182-D182</f>
        <v>0</v>
      </c>
      <c r="N182" s="176"/>
      <c r="O182" s="175"/>
      <c r="P182" s="174"/>
      <c r="Q182" s="158">
        <f>IFERROR(Q181/P181,0)</f>
        <v>0.37066321908059885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5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56"/>
        <v>ServiceAjustement M/O</v>
      </c>
      <c r="B184" s="11" t="s">
        <v>78</v>
      </c>
      <c r="C184" s="29" t="s">
        <v>86</v>
      </c>
      <c r="D184" s="13"/>
      <c r="E184" s="13"/>
      <c r="F184" s="59">
        <v>-31505.173263194119</v>
      </c>
      <c r="G184" s="41"/>
      <c r="H184" s="82"/>
      <c r="I184" s="82"/>
      <c r="J184" s="60"/>
      <c r="K184" s="82"/>
      <c r="L184" s="82">
        <v>-26451.7</v>
      </c>
      <c r="M184" s="175"/>
      <c r="N184" s="59">
        <f>L184-F184</f>
        <v>5053.4732631941188</v>
      </c>
      <c r="O184" s="60"/>
      <c r="P184" s="82"/>
      <c r="Q184" s="82">
        <v>-28364.28</v>
      </c>
      <c r="R184" s="184"/>
      <c r="S184" s="85">
        <f>L184-Q184</f>
        <v>1912.5799999999981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56"/>
        <v>ServiceSous-total M/O</v>
      </c>
      <c r="B185" s="11" t="s">
        <v>78</v>
      </c>
      <c r="C185" s="185" t="s">
        <v>87</v>
      </c>
      <c r="D185" s="186">
        <f t="shared" ref="D185" si="57">D172+D175+D178+D181+D184</f>
        <v>6705.0682230942739</v>
      </c>
      <c r="E185" s="186">
        <f>E172+E175+E178+E181+E184</f>
        <v>1633945.1347256522</v>
      </c>
      <c r="F185" s="187">
        <f t="shared" ref="F185" si="58">F172+F175+F178+F181+F184</f>
        <v>1108138.5413626679</v>
      </c>
      <c r="G185" s="188"/>
      <c r="H185" s="186"/>
      <c r="I185" s="187"/>
      <c r="J185" s="188">
        <f>J172+J175+J178+J181+J184</f>
        <v>6436</v>
      </c>
      <c r="K185" s="186">
        <f>K172+K175+K178+K181+K184</f>
        <v>1876422.5499999998</v>
      </c>
      <c r="L185" s="187">
        <f>L172+L175+L178+L181+L184</f>
        <v>1376728.89</v>
      </c>
      <c r="M185" s="189">
        <f>(K185-E185)/E185</f>
        <v>0.14839997385534054</v>
      </c>
      <c r="N185" s="187">
        <f>L185-F185</f>
        <v>268590.34863733198</v>
      </c>
      <c r="O185" s="188">
        <f t="shared" ref="O185" si="59">O172+O175+O178+O181+O184</f>
        <v>6495</v>
      </c>
      <c r="P185" s="186">
        <f>P172+P175+P178+P181+P184</f>
        <v>1538804.2799999993</v>
      </c>
      <c r="Q185" s="187">
        <f t="shared" ref="Q185" si="60">Q172+Q175+Q178+Q181+Q184</f>
        <v>1028166.379999999</v>
      </c>
      <c r="R185" s="42">
        <f>IF(O185=0,0,J185/O185)</f>
        <v>0.99091608929946118</v>
      </c>
      <c r="S185" s="190">
        <f>L185-Q185</f>
        <v>348562.51000000094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56"/>
        <v>Service% protit / ventes</v>
      </c>
      <c r="B186" s="11" t="s">
        <v>78</v>
      </c>
      <c r="C186" s="191" t="s">
        <v>88</v>
      </c>
      <c r="D186" s="192"/>
      <c r="E186" s="192">
        <f>IF(D185=0,0,E185/D185)</f>
        <v>243.68807003303161</v>
      </c>
      <c r="F186" s="193">
        <f>F185/E185</f>
        <v>0.67819813395921036</v>
      </c>
      <c r="G186" s="194"/>
      <c r="H186" s="192"/>
      <c r="I186" s="43"/>
      <c r="J186" s="194"/>
      <c r="K186" s="443">
        <f>IF(J185=0,0,K185/J185)</f>
        <v>291.55104878806708</v>
      </c>
      <c r="L186" s="43">
        <f>IF(L185=0,0,L185/K185)</f>
        <v>0.73369875564541687</v>
      </c>
      <c r="M186" s="194"/>
      <c r="N186" s="193">
        <f>N185/F185</f>
        <v>0.24237975542936072</v>
      </c>
      <c r="O186" s="194"/>
      <c r="P186" s="443">
        <f>IF(O185=0,0,P185/O185)</f>
        <v>236.92136720554262</v>
      </c>
      <c r="Q186" s="43">
        <f>Q185/P185</f>
        <v>0.66815929313635614</v>
      </c>
      <c r="R186" s="194"/>
      <c r="S186" s="44">
        <f>IF(R185=0,0,S185/R185)</f>
        <v>351757.84686917433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5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56"/>
        <v>ServiceSous-traitement</v>
      </c>
      <c r="B188" s="11" t="s">
        <v>78</v>
      </c>
      <c r="C188" s="29" t="s">
        <v>89</v>
      </c>
      <c r="D188" s="82"/>
      <c r="E188" s="82">
        <v>81743.884539426246</v>
      </c>
      <c r="F188" s="82">
        <v>9400.5467220340215</v>
      </c>
      <c r="G188" s="60"/>
      <c r="H188" s="82"/>
      <c r="I188" s="82"/>
      <c r="J188" s="60"/>
      <c r="K188" s="30">
        <v>78471.31</v>
      </c>
      <c r="L188" s="33">
        <v>11643.54</v>
      </c>
      <c r="M188" s="84">
        <f>IF(E188=0,0,(K188-E188)/E188)</f>
        <v>-4.0034487691220977E-2</v>
      </c>
      <c r="N188" s="59">
        <f>L188-F188</f>
        <v>2242.9932779659794</v>
      </c>
      <c r="O188" s="60"/>
      <c r="P188" s="30">
        <v>38818.969999999899</v>
      </c>
      <c r="Q188" s="33">
        <v>2557.0799999999981</v>
      </c>
      <c r="R188" s="157">
        <f>IF(O188=0,0,J188/O188)</f>
        <v>0</v>
      </c>
      <c r="S188" s="85">
        <f>L188-Q188</f>
        <v>9086.4600000000028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5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0.11500000000000003</v>
      </c>
      <c r="G189" s="41"/>
      <c r="H189" s="144"/>
      <c r="I189" s="158"/>
      <c r="J189" s="175"/>
      <c r="K189" s="174"/>
      <c r="L189" s="158">
        <f>IF(L188=0,0,L188/K188)</f>
        <v>0.14837957974704388</v>
      </c>
      <c r="M189" s="175"/>
      <c r="N189" s="176"/>
      <c r="O189" s="175"/>
      <c r="P189" s="174"/>
      <c r="Q189" s="158">
        <f>IFERROR(Q188/P188,0)</f>
        <v>6.5871917776283206E-2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5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5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5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5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56"/>
        <v>ServiceTotal Mécanique</v>
      </c>
      <c r="B194" s="11" t="s">
        <v>78</v>
      </c>
      <c r="C194" s="62" t="s">
        <v>91</v>
      </c>
      <c r="D194" s="63"/>
      <c r="E194" s="63">
        <f t="shared" ref="E194:F194" si="61">E185+E188+E191</f>
        <v>1715689.0192650785</v>
      </c>
      <c r="F194" s="65">
        <f t="shared" si="61"/>
        <v>1117539.0880847019</v>
      </c>
      <c r="G194" s="66"/>
      <c r="H194" s="63"/>
      <c r="I194" s="65"/>
      <c r="J194" s="66"/>
      <c r="K194" s="63">
        <f>K185+K188+K191</f>
        <v>1954893.8599999999</v>
      </c>
      <c r="L194" s="65">
        <f>L185+L188+L191</f>
        <v>1388372.43</v>
      </c>
      <c r="M194" s="206">
        <f>L195-F195</f>
        <v>5.8838886027331228E-2</v>
      </c>
      <c r="N194" s="65">
        <f>L194-F194</f>
        <v>270833.34191529802</v>
      </c>
      <c r="O194" s="66"/>
      <c r="P194" s="63">
        <f t="shared" ref="P194:Q194" si="62">P185+P188+P191</f>
        <v>1577623.2499999993</v>
      </c>
      <c r="Q194" s="65">
        <f t="shared" si="62"/>
        <v>1030723.4599999989</v>
      </c>
      <c r="R194" s="206">
        <f>L195-Q195</f>
        <v>5.6864063337098369E-2</v>
      </c>
      <c r="S194" s="68">
        <f>L194-Q194</f>
        <v>357648.97000000102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56"/>
        <v>Service</v>
      </c>
      <c r="B195" s="11" t="s">
        <v>78</v>
      </c>
      <c r="C195" s="69"/>
      <c r="D195" s="70"/>
      <c r="E195" s="70"/>
      <c r="F195" s="74">
        <f>F194/E194</f>
        <v>0.65136459785900114</v>
      </c>
      <c r="G195" s="72"/>
      <c r="H195" s="70"/>
      <c r="I195" s="74"/>
      <c r="J195" s="72"/>
      <c r="K195" s="70"/>
      <c r="L195" s="74">
        <f>L194/K194</f>
        <v>0.71020348388633237</v>
      </c>
      <c r="M195" s="73"/>
      <c r="N195" s="74">
        <f>N194/F194</f>
        <v>0.24234798120526294</v>
      </c>
      <c r="O195" s="72"/>
      <c r="P195" s="70"/>
      <c r="Q195" s="74">
        <f>Q194/P194</f>
        <v>0.653339420549234</v>
      </c>
      <c r="R195" s="73"/>
      <c r="S195" s="75">
        <f>L194/S194</f>
        <v>3.8819416423874951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5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5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56"/>
        <v>ServiceSalaires cadres</v>
      </c>
      <c r="B198" s="11" t="s">
        <v>78</v>
      </c>
      <c r="C198" s="102" t="s">
        <v>40</v>
      </c>
      <c r="D198" s="13"/>
      <c r="E198" s="13"/>
      <c r="F198" s="30">
        <v>113644.35562923667</v>
      </c>
      <c r="G198" s="41"/>
      <c r="H198" s="13"/>
      <c r="I198" s="30"/>
      <c r="J198" s="41"/>
      <c r="K198" s="13"/>
      <c r="L198" s="33">
        <v>136669.89000000001</v>
      </c>
      <c r="M198" s="41"/>
      <c r="N198" s="59">
        <f t="shared" ref="N198:N229" si="63">L198-F198</f>
        <v>23025.534370763344</v>
      </c>
      <c r="O198" s="41"/>
      <c r="P198" s="13"/>
      <c r="Q198" s="33">
        <v>96344.45</v>
      </c>
      <c r="R198" s="41"/>
      <c r="S198" s="85">
        <f>L198-Q198</f>
        <v>40325.440000000017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56"/>
        <v>ServiceSalaires commis</v>
      </c>
      <c r="B199" s="11" t="s">
        <v>78</v>
      </c>
      <c r="C199" s="103" t="s">
        <v>41</v>
      </c>
      <c r="D199" s="81"/>
      <c r="E199" s="13"/>
      <c r="F199" s="22">
        <v>61404.648467432955</v>
      </c>
      <c r="G199" s="83"/>
      <c r="H199" s="13"/>
      <c r="I199" s="22"/>
      <c r="J199" s="41"/>
      <c r="K199" s="13"/>
      <c r="L199" s="33">
        <v>54920.63</v>
      </c>
      <c r="M199" s="41"/>
      <c r="N199" s="59">
        <f t="shared" si="63"/>
        <v>-6484.0184674329576</v>
      </c>
      <c r="O199" s="41"/>
      <c r="P199" s="13"/>
      <c r="Q199" s="33">
        <v>52757.16</v>
      </c>
      <c r="R199" s="41"/>
      <c r="S199" s="85">
        <f t="shared" ref="S199:S203" si="64">L199-Q199</f>
        <v>2163.4699999999939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56"/>
        <v>ServiceSalaires autres</v>
      </c>
      <c r="B200" s="11" t="s">
        <v>78</v>
      </c>
      <c r="C200" s="102" t="s">
        <v>42</v>
      </c>
      <c r="D200" s="104"/>
      <c r="E200" s="105"/>
      <c r="F200" s="30">
        <v>64554.237547892721</v>
      </c>
      <c r="G200" s="106"/>
      <c r="H200" s="105"/>
      <c r="I200" s="30"/>
      <c r="J200" s="107"/>
      <c r="K200" s="105"/>
      <c r="L200" s="108">
        <v>85678.55</v>
      </c>
      <c r="M200" s="107"/>
      <c r="N200" s="109">
        <f t="shared" si="63"/>
        <v>21124.312452107282</v>
      </c>
      <c r="O200" s="107"/>
      <c r="P200" s="105"/>
      <c r="Q200" s="108">
        <v>63073.749999999993</v>
      </c>
      <c r="R200" s="107"/>
      <c r="S200" s="110">
        <f t="shared" si="64"/>
        <v>22604.80000000001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56"/>
        <v>ServiceSalaires spécialistes</v>
      </c>
      <c r="B201" s="11" t="s">
        <v>78</v>
      </c>
      <c r="C201" s="102" t="s">
        <v>43</v>
      </c>
      <c r="D201" s="81"/>
      <c r="E201" s="13"/>
      <c r="F201" s="30">
        <v>157463.18655555556</v>
      </c>
      <c r="G201" s="83"/>
      <c r="H201" s="13"/>
      <c r="I201" s="30"/>
      <c r="J201" s="41"/>
      <c r="K201" s="13"/>
      <c r="L201" s="33">
        <v>162412.04</v>
      </c>
      <c r="M201" s="41"/>
      <c r="N201" s="59">
        <f t="shared" si="63"/>
        <v>4948.8534444444522</v>
      </c>
      <c r="O201" s="41"/>
      <c r="P201" s="13"/>
      <c r="Q201" s="33">
        <v>128732.62999999999</v>
      </c>
      <c r="R201" s="41"/>
      <c r="S201" s="85">
        <f t="shared" si="64"/>
        <v>33679.410000000018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5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63"/>
        <v>0</v>
      </c>
      <c r="O202" s="41"/>
      <c r="P202" s="13"/>
      <c r="Q202" s="33">
        <v>0</v>
      </c>
      <c r="R202" s="41"/>
      <c r="S202" s="85">
        <f t="shared" si="64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5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63"/>
        <v>0</v>
      </c>
      <c r="O203" s="41"/>
      <c r="P203" s="13"/>
      <c r="Q203" s="33">
        <v>0</v>
      </c>
      <c r="R203" s="41"/>
      <c r="S203" s="85">
        <f t="shared" si="64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5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63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56"/>
        <v>ServiceSalaires en absences</v>
      </c>
      <c r="B205" s="11" t="s">
        <v>78</v>
      </c>
      <c r="C205" s="103" t="s">
        <v>44</v>
      </c>
      <c r="D205" s="81"/>
      <c r="E205" s="13"/>
      <c r="F205" s="30">
        <v>105347.39706593216</v>
      </c>
      <c r="G205" s="83"/>
      <c r="H205" s="13"/>
      <c r="I205" s="30"/>
      <c r="J205" s="41"/>
      <c r="K205" s="13"/>
      <c r="L205" s="33">
        <v>104392</v>
      </c>
      <c r="M205" s="41"/>
      <c r="N205" s="59">
        <f t="shared" si="63"/>
        <v>-955.39706593216397</v>
      </c>
      <c r="O205" s="41"/>
      <c r="P205" s="13"/>
      <c r="Q205" s="33">
        <v>78253.579999999987</v>
      </c>
      <c r="R205" s="41"/>
      <c r="S205" s="85">
        <f>L205-Q205</f>
        <v>26138.420000000013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56"/>
        <v>ServiceDéduction à la source</v>
      </c>
      <c r="B206" s="11" t="s">
        <v>78</v>
      </c>
      <c r="C206" s="102" t="s">
        <v>45</v>
      </c>
      <c r="D206" s="104"/>
      <c r="E206" s="105"/>
      <c r="F206" s="55">
        <v>129900.22360082486</v>
      </c>
      <c r="G206" s="106"/>
      <c r="H206" s="105"/>
      <c r="I206" s="55"/>
      <c r="J206" s="107"/>
      <c r="K206" s="105"/>
      <c r="L206" s="108">
        <v>143705.26999999999</v>
      </c>
      <c r="M206" s="107"/>
      <c r="N206" s="109">
        <f t="shared" si="63"/>
        <v>13805.046399175131</v>
      </c>
      <c r="O206" s="107"/>
      <c r="P206" s="105"/>
      <c r="Q206" s="108">
        <v>109296.95000000001</v>
      </c>
      <c r="R206" s="107"/>
      <c r="S206" s="110">
        <f t="shared" ref="S206:S216" si="65">L206-Q206</f>
        <v>34408.319999999978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56"/>
        <v>ServiceBénéfices marginaux</v>
      </c>
      <c r="B207" s="11" t="s">
        <v>78</v>
      </c>
      <c r="C207" s="102" t="s">
        <v>46</v>
      </c>
      <c r="D207" s="81"/>
      <c r="E207" s="13"/>
      <c r="F207" s="30">
        <v>67083.276294178082</v>
      </c>
      <c r="G207" s="83"/>
      <c r="H207" s="13"/>
      <c r="I207" s="30"/>
      <c r="J207" s="41"/>
      <c r="K207" s="13"/>
      <c r="L207" s="33">
        <v>65388.38</v>
      </c>
      <c r="M207" s="41"/>
      <c r="N207" s="59">
        <f t="shared" si="63"/>
        <v>-1694.8962941780846</v>
      </c>
      <c r="O207" s="41"/>
      <c r="P207" s="13"/>
      <c r="Q207" s="33">
        <v>47227.380000000005</v>
      </c>
      <c r="R207" s="41"/>
      <c r="S207" s="85">
        <f t="shared" si="65"/>
        <v>18160.999999999993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56"/>
        <v>ServiceCsst</v>
      </c>
      <c r="B208" s="11" t="s">
        <v>78</v>
      </c>
      <c r="C208" s="102" t="s">
        <v>47</v>
      </c>
      <c r="D208" s="81"/>
      <c r="E208" s="13"/>
      <c r="F208" s="30">
        <v>14374.987777323873</v>
      </c>
      <c r="G208" s="83"/>
      <c r="H208" s="13"/>
      <c r="I208" s="30"/>
      <c r="J208" s="41"/>
      <c r="K208" s="13"/>
      <c r="L208" s="33">
        <v>23792.1</v>
      </c>
      <c r="M208" s="467"/>
      <c r="N208" s="146">
        <f t="shared" si="63"/>
        <v>9417.1122226761254</v>
      </c>
      <c r="O208" s="467"/>
      <c r="P208" s="468"/>
      <c r="Q208" s="22">
        <v>13328.65</v>
      </c>
      <c r="R208" s="467"/>
      <c r="S208" s="469">
        <f t="shared" si="65"/>
        <v>10463.449999999999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5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63"/>
        <v>0</v>
      </c>
      <c r="O209" s="23"/>
      <c r="P209" s="111"/>
      <c r="Q209" s="33">
        <v>0</v>
      </c>
      <c r="R209" s="23"/>
      <c r="S209" s="92">
        <f t="shared" si="6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5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0.63870008713670856</v>
      </c>
      <c r="F210" s="96">
        <f>+SUM(F198:F209)</f>
        <v>713772.31293837691</v>
      </c>
      <c r="G210" s="97"/>
      <c r="H210" s="95"/>
      <c r="I210" s="96"/>
      <c r="J210" s="97" t="s">
        <v>92</v>
      </c>
      <c r="K210" s="95">
        <f>L210/L$194</f>
        <v>0.55961847355323813</v>
      </c>
      <c r="L210" s="96">
        <f>+SUM(L198:L209)</f>
        <v>776958.86</v>
      </c>
      <c r="M210" s="147"/>
      <c r="N210" s="113">
        <f t="shared" si="63"/>
        <v>63186.547061623074</v>
      </c>
      <c r="O210" s="97" t="s">
        <v>92</v>
      </c>
      <c r="P210" s="95">
        <f>Q210/Q$194</f>
        <v>0.57145740138678969</v>
      </c>
      <c r="Q210" s="96">
        <f>+SUM(Q198:Q209)</f>
        <v>589014.55000000005</v>
      </c>
      <c r="R210" s="147"/>
      <c r="S210" s="114">
        <f t="shared" si="65"/>
        <v>187944.30999999994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56"/>
        <v>ServicePublicité 2</v>
      </c>
      <c r="B211" s="11" t="s">
        <v>78</v>
      </c>
      <c r="C211" s="29" t="s">
        <v>49</v>
      </c>
      <c r="D211" s="81"/>
      <c r="E211" s="13"/>
      <c r="F211" s="30">
        <v>61498.552319947819</v>
      </c>
      <c r="G211" s="83"/>
      <c r="H211" s="13"/>
      <c r="I211" s="30"/>
      <c r="J211" s="41"/>
      <c r="K211" s="13"/>
      <c r="L211" s="33">
        <v>80399.3</v>
      </c>
      <c r="M211" s="41"/>
      <c r="N211" s="59">
        <f t="shared" si="63"/>
        <v>18900.747680052184</v>
      </c>
      <c r="O211" s="41"/>
      <c r="P211" s="13"/>
      <c r="Q211" s="33">
        <v>69860.52</v>
      </c>
      <c r="R211" s="41"/>
      <c r="S211" s="85">
        <f t="shared" si="65"/>
        <v>10538.779999999999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56"/>
        <v>ServiceService gratuit 2</v>
      </c>
      <c r="B212" s="11" t="s">
        <v>78</v>
      </c>
      <c r="C212" s="29" t="s">
        <v>50</v>
      </c>
      <c r="D212" s="81"/>
      <c r="E212" s="13"/>
      <c r="F212" s="30">
        <v>30341.666666666661</v>
      </c>
      <c r="G212" s="83"/>
      <c r="H212" s="13"/>
      <c r="I212" s="30"/>
      <c r="J212" s="41"/>
      <c r="K212" s="13"/>
      <c r="L212" s="33">
        <v>36962.25</v>
      </c>
      <c r="M212" s="41"/>
      <c r="N212" s="59">
        <f t="shared" si="63"/>
        <v>6620.5833333333394</v>
      </c>
      <c r="O212" s="41"/>
      <c r="P212" s="13"/>
      <c r="Q212" s="33">
        <v>33138.75999999998</v>
      </c>
      <c r="R212" s="41"/>
      <c r="S212" s="85">
        <f t="shared" si="65"/>
        <v>3823.4900000000198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56"/>
        <v>ServiceFrais véhicules de cie</v>
      </c>
      <c r="B213" s="11" t="s">
        <v>78</v>
      </c>
      <c r="C213" s="86" t="s">
        <v>51</v>
      </c>
      <c r="D213" s="87"/>
      <c r="E213" s="111"/>
      <c r="F213" s="22">
        <v>63421.166666666686</v>
      </c>
      <c r="G213" s="89"/>
      <c r="H213" s="111"/>
      <c r="I213" s="22"/>
      <c r="J213" s="23"/>
      <c r="K213" s="111"/>
      <c r="L213" s="33">
        <v>66527.62</v>
      </c>
      <c r="M213" s="23"/>
      <c r="N213" s="91">
        <f t="shared" si="63"/>
        <v>3106.4533333333093</v>
      </c>
      <c r="O213" s="23"/>
      <c r="P213" s="111"/>
      <c r="Q213" s="33">
        <v>51929.62999999999</v>
      </c>
      <c r="R213" s="23"/>
      <c r="S213" s="92">
        <f t="shared" si="65"/>
        <v>14597.990000000005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56"/>
        <v>ServiceInformatique</v>
      </c>
      <c r="B214" s="11" t="s">
        <v>78</v>
      </c>
      <c r="C214" s="29" t="s">
        <v>52</v>
      </c>
      <c r="D214" s="81"/>
      <c r="E214" s="13"/>
      <c r="F214" s="30">
        <v>66368.5</v>
      </c>
      <c r="G214" s="83"/>
      <c r="H214" s="13"/>
      <c r="I214" s="30"/>
      <c r="J214" s="41"/>
      <c r="K214" s="13"/>
      <c r="L214" s="108">
        <v>69266.17</v>
      </c>
      <c r="M214" s="41"/>
      <c r="N214" s="59">
        <f t="shared" si="63"/>
        <v>2897.6699999999983</v>
      </c>
      <c r="O214" s="41"/>
      <c r="P214" s="13"/>
      <c r="Q214" s="108">
        <v>62315.21</v>
      </c>
      <c r="R214" s="41"/>
      <c r="S214" s="85">
        <f t="shared" si="65"/>
        <v>6950.9599999999991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56"/>
        <v>ServiceFrais de déplacement</v>
      </c>
      <c r="B215" s="11" t="s">
        <v>78</v>
      </c>
      <c r="C215" s="29" t="s">
        <v>53</v>
      </c>
      <c r="D215" s="81"/>
      <c r="E215" s="13"/>
      <c r="F215" s="30">
        <v>5041.6666666666661</v>
      </c>
      <c r="G215" s="83"/>
      <c r="H215" s="13"/>
      <c r="I215" s="30"/>
      <c r="J215" s="41"/>
      <c r="K215" s="13"/>
      <c r="L215" s="33">
        <v>10718.37</v>
      </c>
      <c r="M215" s="41"/>
      <c r="N215" s="59">
        <f t="shared" si="63"/>
        <v>5676.7033333333347</v>
      </c>
      <c r="O215" s="41"/>
      <c r="P215" s="13"/>
      <c r="Q215" s="33">
        <v>7255.3399999999983</v>
      </c>
      <c r="R215" s="41"/>
      <c r="S215" s="85">
        <f t="shared" si="65"/>
        <v>3463.0300000000025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56"/>
        <v>ServiceServices extérieurs</v>
      </c>
      <c r="B216" s="11" t="s">
        <v>78</v>
      </c>
      <c r="C216" s="86" t="s">
        <v>54</v>
      </c>
      <c r="D216" s="87"/>
      <c r="E216" s="111"/>
      <c r="F216" s="22">
        <v>62056.5</v>
      </c>
      <c r="G216" s="89"/>
      <c r="H216" s="111"/>
      <c r="I216" s="22"/>
      <c r="J216" s="23"/>
      <c r="K216" s="111"/>
      <c r="L216" s="22">
        <v>27143.31</v>
      </c>
      <c r="M216" s="23"/>
      <c r="N216" s="91">
        <f t="shared" si="63"/>
        <v>-34913.19</v>
      </c>
      <c r="O216" s="23"/>
      <c r="P216" s="111"/>
      <c r="Q216" s="22">
        <v>65614.94</v>
      </c>
      <c r="R216" s="23"/>
      <c r="S216" s="92">
        <f t="shared" si="65"/>
        <v>-38471.630000000005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>
        <v>0</v>
      </c>
      <c r="G217" s="83"/>
      <c r="H217" s="13"/>
      <c r="I217" s="30"/>
      <c r="J217" s="41"/>
      <c r="K217" s="13"/>
      <c r="L217" s="108">
        <v>0</v>
      </c>
      <c r="M217" s="41"/>
      <c r="N217" s="59">
        <f t="shared" si="63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66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12100</v>
      </c>
      <c r="G218" s="83"/>
      <c r="H218" s="13"/>
      <c r="I218" s="30"/>
      <c r="J218" s="41"/>
      <c r="K218" s="13"/>
      <c r="L218" s="33">
        <v>33339.870000000003</v>
      </c>
      <c r="M218" s="41"/>
      <c r="N218" s="59">
        <f t="shared" si="63"/>
        <v>21239.870000000003</v>
      </c>
      <c r="O218" s="41"/>
      <c r="P218" s="13"/>
      <c r="Q218" s="33">
        <v>11479.579999999998</v>
      </c>
      <c r="R218" s="41"/>
      <c r="S218" s="85">
        <f t="shared" ref="S218:S226" si="67">L218-Q218</f>
        <v>21860.290000000005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66"/>
        <v>ServiceUniformes</v>
      </c>
      <c r="B219" s="11" t="s">
        <v>78</v>
      </c>
      <c r="C219" s="29" t="s">
        <v>56</v>
      </c>
      <c r="D219" s="81"/>
      <c r="E219" s="13"/>
      <c r="F219" s="30">
        <v>11000</v>
      </c>
      <c r="G219" s="83"/>
      <c r="H219" s="13"/>
      <c r="I219" s="30"/>
      <c r="J219" s="41"/>
      <c r="K219" s="13"/>
      <c r="L219" s="33">
        <v>14312.74</v>
      </c>
      <c r="M219" s="41"/>
      <c r="N219" s="59">
        <f t="shared" si="63"/>
        <v>3312.74</v>
      </c>
      <c r="O219" s="41"/>
      <c r="P219" s="13"/>
      <c r="Q219" s="33">
        <v>12301.130000000001</v>
      </c>
      <c r="R219" s="41"/>
      <c r="S219" s="85">
        <f t="shared" si="67"/>
        <v>2011.6099999999988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66"/>
        <v>ServicePapeterie</v>
      </c>
      <c r="B220" s="11" t="s">
        <v>78</v>
      </c>
      <c r="C220" s="29" t="s">
        <v>57</v>
      </c>
      <c r="D220" s="81"/>
      <c r="E220" s="13"/>
      <c r="F220" s="30">
        <v>4331.25</v>
      </c>
      <c r="G220" s="83"/>
      <c r="H220" s="13"/>
      <c r="I220" s="30"/>
      <c r="J220" s="41"/>
      <c r="K220" s="13"/>
      <c r="L220" s="32">
        <v>5859.65</v>
      </c>
      <c r="M220" s="41"/>
      <c r="N220" s="59">
        <f t="shared" si="63"/>
        <v>1528.3999999999996</v>
      </c>
      <c r="O220" s="41"/>
      <c r="P220" s="13"/>
      <c r="Q220" s="32">
        <v>3875.2999999999997</v>
      </c>
      <c r="R220" s="41"/>
      <c r="S220" s="85">
        <f t="shared" si="67"/>
        <v>1984.35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66"/>
        <v>ServiceTéléphone</v>
      </c>
      <c r="B221" s="11" t="s">
        <v>78</v>
      </c>
      <c r="C221" s="29" t="s">
        <v>58</v>
      </c>
      <c r="D221" s="81"/>
      <c r="E221" s="13"/>
      <c r="F221" s="30">
        <v>1320</v>
      </c>
      <c r="G221" s="83"/>
      <c r="H221" s="13"/>
      <c r="I221" s="30"/>
      <c r="J221" s="41"/>
      <c r="K221" s="13"/>
      <c r="L221" s="33">
        <v>1730.87</v>
      </c>
      <c r="M221" s="41"/>
      <c r="N221" s="59">
        <f t="shared" si="63"/>
        <v>410.86999999999989</v>
      </c>
      <c r="O221" s="41"/>
      <c r="P221" s="13"/>
      <c r="Q221" s="33">
        <v>1271.47</v>
      </c>
      <c r="R221" s="41"/>
      <c r="S221" s="85">
        <f t="shared" si="67"/>
        <v>459.39999999999986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66"/>
        <v>ServiceFrais postaux</v>
      </c>
      <c r="B222" s="11" t="s">
        <v>78</v>
      </c>
      <c r="C222" s="29" t="s">
        <v>59</v>
      </c>
      <c r="D222" s="81"/>
      <c r="E222" s="13"/>
      <c r="F222" s="30">
        <v>1237.5</v>
      </c>
      <c r="G222" s="83"/>
      <c r="H222" s="13"/>
      <c r="I222" s="30"/>
      <c r="J222" s="41"/>
      <c r="K222" s="13"/>
      <c r="L222" s="33">
        <v>1575.97</v>
      </c>
      <c r="M222" s="41"/>
      <c r="N222" s="59">
        <f t="shared" si="63"/>
        <v>338.47</v>
      </c>
      <c r="O222" s="41"/>
      <c r="P222" s="13"/>
      <c r="Q222" s="33">
        <v>1344.49</v>
      </c>
      <c r="R222" s="41"/>
      <c r="S222" s="85">
        <f t="shared" si="67"/>
        <v>231.48000000000002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66"/>
        <v>ServiceDivers</v>
      </c>
      <c r="B223" s="11" t="s">
        <v>78</v>
      </c>
      <c r="C223" s="29" t="s">
        <v>60</v>
      </c>
      <c r="D223" s="81"/>
      <c r="E223" s="13"/>
      <c r="F223" s="30">
        <v>4787.75</v>
      </c>
      <c r="G223" s="83"/>
      <c r="H223" s="13"/>
      <c r="I223" s="30"/>
      <c r="J223" s="41"/>
      <c r="K223" s="13"/>
      <c r="L223" s="33">
        <v>9239.48</v>
      </c>
      <c r="M223" s="41"/>
      <c r="N223" s="59">
        <f t="shared" si="63"/>
        <v>4451.7299999999996</v>
      </c>
      <c r="O223" s="41"/>
      <c r="P223" s="13"/>
      <c r="Q223" s="33">
        <v>4890.3499999999995</v>
      </c>
      <c r="R223" s="41"/>
      <c r="S223" s="85">
        <f t="shared" si="67"/>
        <v>4349.13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66"/>
        <v>ServiceFormation</v>
      </c>
      <c r="B224" s="11" t="s">
        <v>78</v>
      </c>
      <c r="C224" s="29" t="s">
        <v>61</v>
      </c>
      <c r="D224" s="81"/>
      <c r="E224" s="13"/>
      <c r="F224" s="30">
        <v>18080.868116666668</v>
      </c>
      <c r="G224" s="83"/>
      <c r="H224" s="13"/>
      <c r="I224" s="30"/>
      <c r="J224" s="41"/>
      <c r="K224" s="13"/>
      <c r="L224" s="33">
        <v>16573.689999999999</v>
      </c>
      <c r="M224" s="41"/>
      <c r="N224" s="59">
        <f t="shared" si="63"/>
        <v>-1507.1781166666697</v>
      </c>
      <c r="O224" s="41"/>
      <c r="P224" s="13"/>
      <c r="Q224" s="33">
        <v>12492.360000000002</v>
      </c>
      <c r="R224" s="41"/>
      <c r="S224" s="85">
        <f t="shared" si="67"/>
        <v>4081.3299999999963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66"/>
        <v>ServiceFrais bancaires</v>
      </c>
      <c r="B225" s="11" t="s">
        <v>78</v>
      </c>
      <c r="C225" s="29" t="s">
        <v>62</v>
      </c>
      <c r="D225" s="81"/>
      <c r="E225" s="13"/>
      <c r="F225" s="30">
        <v>18441.273070439169</v>
      </c>
      <c r="G225" s="83"/>
      <c r="H225" s="13"/>
      <c r="I225" s="30"/>
      <c r="J225" s="41"/>
      <c r="K225" s="13"/>
      <c r="L225" s="33">
        <v>18125.21</v>
      </c>
      <c r="M225" s="41"/>
      <c r="N225" s="59">
        <f t="shared" si="63"/>
        <v>-316.06307043916968</v>
      </c>
      <c r="O225" s="41"/>
      <c r="P225" s="13"/>
      <c r="Q225" s="33">
        <v>16663.340000000004</v>
      </c>
      <c r="R225" s="41"/>
      <c r="S225" s="85">
        <f t="shared" si="67"/>
        <v>1461.8699999999953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6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63"/>
        <v>0</v>
      </c>
      <c r="O226" s="41"/>
      <c r="P226" s="13"/>
      <c r="Q226" s="33">
        <v>0</v>
      </c>
      <c r="R226" s="41"/>
      <c r="S226" s="85">
        <f t="shared" si="67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63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68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63"/>
        <v>0</v>
      </c>
      <c r="O228" s="41"/>
      <c r="P228" s="13"/>
      <c r="Q228" s="33">
        <v>0</v>
      </c>
      <c r="R228" s="41"/>
      <c r="S228" s="85">
        <f t="shared" ref="S228:S229" si="69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0.32216026924309793</v>
      </c>
      <c r="F229" s="96">
        <f>+SUM(F211:F228)</f>
        <v>360026.69350705371</v>
      </c>
      <c r="G229" s="97"/>
      <c r="H229" s="95"/>
      <c r="I229" s="96"/>
      <c r="J229" s="97" t="s">
        <v>92</v>
      </c>
      <c r="K229" s="95">
        <f>L229/L$194</f>
        <v>0.28218256970141647</v>
      </c>
      <c r="L229" s="96">
        <f>+SUM(L211:L228)</f>
        <v>391774.49999999994</v>
      </c>
      <c r="M229" s="100"/>
      <c r="N229" s="96">
        <f t="shared" si="63"/>
        <v>31747.806492946227</v>
      </c>
      <c r="O229" s="97" t="s">
        <v>92</v>
      </c>
      <c r="P229" s="95">
        <f>Q229/Q$194</f>
        <v>0.34386761702309587</v>
      </c>
      <c r="Q229" s="96">
        <f>+SUM(Q211:Q228)</f>
        <v>354432.41999999993</v>
      </c>
      <c r="R229" s="100"/>
      <c r="S229" s="101">
        <f t="shared" si="69"/>
        <v>37342.080000000016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0.96086035637980649</v>
      </c>
      <c r="F231" s="96">
        <f>F210+F229</f>
        <v>1073799.0064454307</v>
      </c>
      <c r="G231" s="97"/>
      <c r="H231" s="95"/>
      <c r="I231" s="96"/>
      <c r="J231" s="97" t="s">
        <v>38</v>
      </c>
      <c r="K231" s="95">
        <f>L231/L$194</f>
        <v>0.84180104325465466</v>
      </c>
      <c r="L231" s="96">
        <f>L210+L229</f>
        <v>1168733.3599999999</v>
      </c>
      <c r="M231" s="100"/>
      <c r="N231" s="113">
        <f>L231-F231</f>
        <v>94934.353554569185</v>
      </c>
      <c r="O231" s="97" t="s">
        <v>38</v>
      </c>
      <c r="P231" s="95">
        <f>Q231/Q$194</f>
        <v>0.91532501840988556</v>
      </c>
      <c r="Q231" s="96">
        <f>Q210+Q229</f>
        <v>943446.97</v>
      </c>
      <c r="R231" s="100"/>
      <c r="S231" s="114">
        <f>L231-Q231</f>
        <v>225286.3899999999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43740.08163927123</v>
      </c>
      <c r="G233" s="153"/>
      <c r="H233" s="125"/>
      <c r="I233" s="127"/>
      <c r="J233" s="154"/>
      <c r="K233" s="126"/>
      <c r="L233" s="127">
        <f>L194-L231</f>
        <v>219639.07000000007</v>
      </c>
      <c r="M233" s="154"/>
      <c r="N233" s="127">
        <f>L233-F233</f>
        <v>175898.98836072884</v>
      </c>
      <c r="O233" s="154"/>
      <c r="P233" s="126"/>
      <c r="Q233" s="127">
        <f>Q194-Q231</f>
        <v>87276.489999998943</v>
      </c>
      <c r="R233" s="154"/>
      <c r="S233" s="129">
        <f>L233-Q233</f>
        <v>132362.58000000112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2025 AAD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09" t="s">
        <v>214</v>
      </c>
      <c r="S238" s="510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70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70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70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2</v>
      </c>
      <c r="K241" s="30">
        <v>4637.87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90</v>
      </c>
      <c r="P241" s="30">
        <v>28483.079999999998</v>
      </c>
      <c r="Q241" s="33">
        <v>4378.5499999999947</v>
      </c>
      <c r="R241" s="157">
        <f>IF(O241=0,0,J241/O241)</f>
        <v>2.2222222222222223E-2</v>
      </c>
      <c r="S241" s="85">
        <f>L241-Q241</f>
        <v>-4378.5499999999947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70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0.15372459719945999</v>
      </c>
      <c r="R242" s="60"/>
      <c r="S242" s="85">
        <f>IFERROR(S241/R241,0)</f>
        <v>-197034.74999999977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70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70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70"/>
        <v>Carrosserie% profit / ventes</v>
      </c>
      <c r="B245" s="11" t="s">
        <v>94</v>
      </c>
      <c r="C245" s="29" t="s">
        <v>82</v>
      </c>
      <c r="D245" s="13"/>
      <c r="E245" s="144"/>
      <c r="F245" s="158">
        <f>IFERROR(F244/E244,0)</f>
        <v>0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70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70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70"/>
        <v>Carrosserie% profit / ventes</v>
      </c>
      <c r="B248" s="11" t="s">
        <v>94</v>
      </c>
      <c r="C248" s="29" t="s">
        <v>82</v>
      </c>
      <c r="D248" s="13"/>
      <c r="E248" s="13"/>
      <c r="F248" s="158">
        <f>IFERROR(F247/E247,0)</f>
        <v>0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70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70"/>
        <v>CarrosserieTotal Mécanique</v>
      </c>
      <c r="B250" s="11" t="s">
        <v>94</v>
      </c>
      <c r="C250" s="62" t="s">
        <v>91</v>
      </c>
      <c r="D250" s="63"/>
      <c r="E250" s="63">
        <f t="shared" ref="E250:F250" si="71">E244+E247+E241</f>
        <v>0</v>
      </c>
      <c r="F250" s="65">
        <f t="shared" si="71"/>
        <v>0</v>
      </c>
      <c r="G250" s="66"/>
      <c r="H250" s="63"/>
      <c r="I250" s="65"/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72">P244+P247+P241</f>
        <v>28483.079999999998</v>
      </c>
      <c r="Q250" s="65">
        <f t="shared" si="72"/>
        <v>4378.5499999999947</v>
      </c>
      <c r="R250" s="206">
        <f>L251-Q251</f>
        <v>-0.15372459719945999</v>
      </c>
      <c r="S250" s="68">
        <f>L250-Q250</f>
        <v>-4378.5499999999947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70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0.15372459719945999</v>
      </c>
      <c r="R251" s="73"/>
      <c r="S251" s="75">
        <f>IF(R250=0,0,S250/R250)</f>
        <v>28483.079999999998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70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70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70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73">L254-F254</f>
        <v>0</v>
      </c>
      <c r="O254" s="41"/>
      <c r="P254" s="13"/>
      <c r="Q254" s="33">
        <v>3346.97</v>
      </c>
      <c r="R254" s="41"/>
      <c r="S254" s="85">
        <f>L254-Q254</f>
        <v>-3346.97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70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73"/>
        <v>0</v>
      </c>
      <c r="O255" s="41"/>
      <c r="P255" s="13"/>
      <c r="Q255" s="33">
        <v>3720.45</v>
      </c>
      <c r="R255" s="41"/>
      <c r="S255" s="85">
        <f>L255-Q255</f>
        <v>-3720.45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70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73"/>
        <v>0</v>
      </c>
      <c r="O256" s="107"/>
      <c r="P256" s="105"/>
      <c r="Q256" s="108">
        <v>209</v>
      </c>
      <c r="R256" s="107"/>
      <c r="S256" s="110">
        <f t="shared" ref="S256:S272" si="74">L256-Q256</f>
        <v>-209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70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73"/>
        <v>0</v>
      </c>
      <c r="O257" s="41"/>
      <c r="P257" s="13"/>
      <c r="Q257" s="33">
        <v>0</v>
      </c>
      <c r="R257" s="41"/>
      <c r="S257" s="85">
        <f t="shared" si="74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70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73"/>
        <v>0</v>
      </c>
      <c r="O258" s="41"/>
      <c r="P258" s="13"/>
      <c r="Q258" s="33">
        <v>0</v>
      </c>
      <c r="R258" s="41"/>
      <c r="S258" s="85">
        <f t="shared" si="74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70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73"/>
        <v>0</v>
      </c>
      <c r="O259" s="41"/>
      <c r="P259" s="13"/>
      <c r="Q259" s="33">
        <v>0</v>
      </c>
      <c r="R259" s="41"/>
      <c r="S259" s="85">
        <f t="shared" si="74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70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73"/>
        <v>0</v>
      </c>
      <c r="O260" s="41"/>
      <c r="P260" s="13"/>
      <c r="Q260" s="33">
        <v>0</v>
      </c>
      <c r="R260" s="41"/>
      <c r="S260" s="85">
        <f t="shared" si="74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70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73"/>
        <v>0</v>
      </c>
      <c r="O261" s="41"/>
      <c r="P261" s="13"/>
      <c r="Q261" s="33">
        <v>1147.3400000000001</v>
      </c>
      <c r="R261" s="41"/>
      <c r="S261" s="85">
        <f t="shared" si="74"/>
        <v>-1147.3400000000001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70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73"/>
        <v>0</v>
      </c>
      <c r="O262" s="107"/>
      <c r="P262" s="105"/>
      <c r="Q262" s="108">
        <v>3044.3599999999997</v>
      </c>
      <c r="R262" s="107"/>
      <c r="S262" s="110">
        <f t="shared" si="74"/>
        <v>-3044.3599999999997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70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73"/>
        <v>0</v>
      </c>
      <c r="O263" s="41"/>
      <c r="P263" s="13"/>
      <c r="Q263" s="33">
        <v>413.27</v>
      </c>
      <c r="R263" s="41"/>
      <c r="S263" s="85">
        <f t="shared" si="74"/>
        <v>-413.27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70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73"/>
        <v>0</v>
      </c>
      <c r="O264" s="41"/>
      <c r="P264" s="13"/>
      <c r="Q264" s="33">
        <v>50.220000000000013</v>
      </c>
      <c r="R264" s="41"/>
      <c r="S264" s="85">
        <f t="shared" si="74"/>
        <v>-50.220000000000013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70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73"/>
        <v>0</v>
      </c>
      <c r="O265" s="23"/>
      <c r="P265" s="111"/>
      <c r="Q265" s="33">
        <v>0</v>
      </c>
      <c r="R265" s="23"/>
      <c r="S265" s="92">
        <f t="shared" si="74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70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73"/>
        <v>0</v>
      </c>
      <c r="O266" s="97" t="s">
        <v>38</v>
      </c>
      <c r="P266" s="95" t="e">
        <f>Q266/Q$244</f>
        <v>#DIV/0!</v>
      </c>
      <c r="Q266" s="96">
        <f>+SUM(Q254:Q265)</f>
        <v>11931.609999999999</v>
      </c>
      <c r="R266" s="147"/>
      <c r="S266" s="114">
        <f t="shared" si="74"/>
        <v>-11931.609999999999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70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73"/>
        <v>0</v>
      </c>
      <c r="O267" s="41"/>
      <c r="P267" s="13"/>
      <c r="Q267" s="33">
        <v>152.22999999999999</v>
      </c>
      <c r="R267" s="41"/>
      <c r="S267" s="85">
        <f t="shared" si="74"/>
        <v>-152.22999999999999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70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73"/>
        <v>0</v>
      </c>
      <c r="O268" s="41"/>
      <c r="P268" s="13"/>
      <c r="Q268" s="33">
        <v>223.74</v>
      </c>
      <c r="R268" s="41"/>
      <c r="S268" s="85">
        <f t="shared" si="74"/>
        <v>-223.74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70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73"/>
        <v>0</v>
      </c>
      <c r="O269" s="23"/>
      <c r="P269" s="111"/>
      <c r="Q269" s="33">
        <v>1678.1599999999999</v>
      </c>
      <c r="R269" s="23"/>
      <c r="S269" s="92">
        <f t="shared" si="74"/>
        <v>-1678.1599999999999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70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73"/>
        <v>0</v>
      </c>
      <c r="O270" s="41"/>
      <c r="P270" s="13"/>
      <c r="Q270" s="108">
        <v>2369.7800000000002</v>
      </c>
      <c r="R270" s="41"/>
      <c r="S270" s="85">
        <f t="shared" si="74"/>
        <v>-2369.7800000000002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70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73"/>
        <v>0</v>
      </c>
      <c r="O271" s="41"/>
      <c r="P271" s="13"/>
      <c r="Q271" s="33">
        <v>325.05</v>
      </c>
      <c r="R271" s="41"/>
      <c r="S271" s="85">
        <f t="shared" si="74"/>
        <v>-325.05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70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73"/>
        <v>0</v>
      </c>
      <c r="O272" s="23"/>
      <c r="P272" s="111"/>
      <c r="Q272" s="22">
        <v>1863.0799999999997</v>
      </c>
      <c r="R272" s="23"/>
      <c r="S272" s="92">
        <f t="shared" si="74"/>
        <v>-1863.0799999999997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73"/>
        <v>0</v>
      </c>
      <c r="O273" s="41"/>
      <c r="P273" s="13"/>
      <c r="Q273" s="33"/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75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73"/>
        <v>0</v>
      </c>
      <c r="O274" s="41"/>
      <c r="P274" s="13"/>
      <c r="Q274" s="33">
        <v>0.80999999999999994</v>
      </c>
      <c r="R274" s="41"/>
      <c r="S274" s="85">
        <f t="shared" ref="S274:S282" si="76">L274-Q274</f>
        <v>-0.80999999999999994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75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73"/>
        <v>0</v>
      </c>
      <c r="O275" s="41"/>
      <c r="P275" s="13"/>
      <c r="Q275" s="33">
        <v>23.08</v>
      </c>
      <c r="R275" s="41"/>
      <c r="S275" s="85">
        <f t="shared" si="76"/>
        <v>-23.08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75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73"/>
        <v>0</v>
      </c>
      <c r="O276" s="41"/>
      <c r="P276" s="13"/>
      <c r="Q276" s="32">
        <v>328.92</v>
      </c>
      <c r="R276" s="41"/>
      <c r="S276" s="85">
        <f t="shared" si="76"/>
        <v>-328.92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75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73"/>
        <v>0</v>
      </c>
      <c r="O277" s="41"/>
      <c r="P277" s="13"/>
      <c r="Q277" s="33">
        <v>104.9</v>
      </c>
      <c r="R277" s="41"/>
      <c r="S277" s="85">
        <f t="shared" si="76"/>
        <v>-104.9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75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73"/>
        <v>0</v>
      </c>
      <c r="O278" s="41"/>
      <c r="P278" s="13"/>
      <c r="Q278" s="33">
        <v>56.629999999999995</v>
      </c>
      <c r="R278" s="41"/>
      <c r="S278" s="85">
        <f t="shared" si="76"/>
        <v>-56.629999999999995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75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73"/>
        <v>0</v>
      </c>
      <c r="O279" s="41"/>
      <c r="P279" s="13"/>
      <c r="Q279" s="33">
        <v>444.3499999999998</v>
      </c>
      <c r="R279" s="41"/>
      <c r="S279" s="85">
        <f t="shared" si="76"/>
        <v>-444.3499999999998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75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73"/>
        <v>0</v>
      </c>
      <c r="O280" s="41"/>
      <c r="P280" s="13"/>
      <c r="Q280" s="33">
        <v>80.11</v>
      </c>
      <c r="R280" s="41"/>
      <c r="S280" s="85">
        <f t="shared" si="76"/>
        <v>-80.11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75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73"/>
        <v>0</v>
      </c>
      <c r="O281" s="41"/>
      <c r="P281" s="13"/>
      <c r="Q281" s="33">
        <v>1851.4499999999998</v>
      </c>
      <c r="R281" s="41"/>
      <c r="S281" s="85">
        <f t="shared" si="76"/>
        <v>-1851.4499999999998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75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73"/>
        <v>0</v>
      </c>
      <c r="O282" s="41"/>
      <c r="P282" s="13"/>
      <c r="Q282" s="33">
        <v>0</v>
      </c>
      <c r="R282" s="41"/>
      <c r="S282" s="85">
        <f t="shared" si="76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73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77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73"/>
        <v>0</v>
      </c>
      <c r="O284" s="41"/>
      <c r="P284" s="13"/>
      <c r="Q284" s="33">
        <v>0</v>
      </c>
      <c r="R284" s="41"/>
      <c r="S284" s="85">
        <f t="shared" ref="S284:S285" si="78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>
        <f>IF(F250=0,0,F285/F$250)</f>
        <v>0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IF(Q250=0,0,Q285/Q$250)</f>
        <v>2.1701910449806467</v>
      </c>
      <c r="Q285" s="96">
        <f>+SUM(Q267:Q284)</f>
        <v>9502.2899999999991</v>
      </c>
      <c r="R285" s="100"/>
      <c r="S285" s="101">
        <f t="shared" si="78"/>
        <v>-9502.2899999999991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>
        <f>IF(F250=0,0,F287/F$250)</f>
        <v>0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IF(Q250=0,0,Q287/Q$250)</f>
        <v>4.8952050336298596</v>
      </c>
      <c r="Q287" s="96">
        <f>Q266+Q285</f>
        <v>21433.899999999998</v>
      </c>
      <c r="R287" s="100"/>
      <c r="S287" s="114">
        <f>L287-Q287</f>
        <v>-21433.899999999998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-17055.350000000002</v>
      </c>
      <c r="R289" s="154"/>
      <c r="S289" s="129">
        <f>L289-Q289</f>
        <v>17055.350000000002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2025 AAD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09" t="s">
        <v>214</v>
      </c>
      <c r="S293" s="510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79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79"/>
        <v>PiècesPièces Ro Clients</v>
      </c>
      <c r="B295" s="11" t="s">
        <v>98</v>
      </c>
      <c r="C295" s="29" t="s">
        <v>100</v>
      </c>
      <c r="D295" s="82">
        <v>706112.68300259789</v>
      </c>
      <c r="E295" s="148">
        <f t="shared" ref="E295:E303" si="80">IF(D295=0,0,F295/D295)</f>
        <v>0.41000000000000003</v>
      </c>
      <c r="F295" s="85">
        <v>289506.20003106515</v>
      </c>
      <c r="G295" s="82"/>
      <c r="H295" s="148"/>
      <c r="I295" s="85"/>
      <c r="J295" s="30">
        <v>637437.75</v>
      </c>
      <c r="K295" s="148">
        <f t="shared" ref="K295:K300" si="81">IF(J295&lt;=0,0,L295/J295)</f>
        <v>0.40026095097129089</v>
      </c>
      <c r="L295" s="33">
        <v>255141.43999999997</v>
      </c>
      <c r="M295" s="157">
        <f t="shared" ref="M295:M301" si="82">(+J295-D295)/D295</f>
        <v>-9.7257753125991109E-2</v>
      </c>
      <c r="N295" s="59">
        <f t="shared" ref="N295:N304" si="83">L295-F295</f>
        <v>-34364.760031065176</v>
      </c>
      <c r="O295" s="30">
        <v>658246.09999999963</v>
      </c>
      <c r="P295" s="148">
        <f t="shared" ref="P295:P303" si="84">IF(O295=0,0,Q295/O295)</f>
        <v>0.39753376434740695</v>
      </c>
      <c r="Q295" s="33">
        <v>261675.04999999952</v>
      </c>
      <c r="R295" s="157">
        <f>IF(O295=0,0,(J295-O295)/O295)</f>
        <v>-3.1611809017933624E-2</v>
      </c>
      <c r="S295" s="85">
        <f t="shared" ref="S295:S300" si="85">L295-Q295</f>
        <v>-6533.6099999995495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79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si="80"/>
        <v>0</v>
      </c>
      <c r="F296" s="85">
        <v>0</v>
      </c>
      <c r="G296" s="82"/>
      <c r="H296" s="148"/>
      <c r="I296" s="85"/>
      <c r="J296" s="30">
        <v>5835.08</v>
      </c>
      <c r="K296" s="148">
        <f t="shared" si="81"/>
        <v>0.29959829171151037</v>
      </c>
      <c r="L296" s="33">
        <v>1748.1799999999998</v>
      </c>
      <c r="M296" s="157" t="e">
        <f t="shared" si="82"/>
        <v>#DIV/0!</v>
      </c>
      <c r="N296" s="59">
        <f t="shared" si="83"/>
        <v>1748.1799999999998</v>
      </c>
      <c r="O296" s="30">
        <v>7465.0599999999995</v>
      </c>
      <c r="P296" s="148">
        <f t="shared" si="84"/>
        <v>0.32626127586382414</v>
      </c>
      <c r="Q296" s="33">
        <v>2435.559999999999</v>
      </c>
      <c r="R296" s="157">
        <f t="shared" ref="R296:R300" si="86">IF(O296=0,0,(J296-O296)/O296)</f>
        <v>-0.21834787664131294</v>
      </c>
      <c r="S296" s="85">
        <f t="shared" si="85"/>
        <v>-687.3799999999992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79"/>
        <v>PiècesP/A Garantie</v>
      </c>
      <c r="B297" s="11" t="s">
        <v>98</v>
      </c>
      <c r="C297" s="29" t="s">
        <v>102</v>
      </c>
      <c r="D297" s="82">
        <v>560511.15573540912</v>
      </c>
      <c r="E297" s="148">
        <f t="shared" si="80"/>
        <v>0.28499999999999998</v>
      </c>
      <c r="F297" s="85">
        <v>159745.67938459158</v>
      </c>
      <c r="G297" s="82"/>
      <c r="H297" s="148"/>
      <c r="I297" s="85"/>
      <c r="J297" s="30">
        <v>751912.37000000011</v>
      </c>
      <c r="K297" s="148">
        <f t="shared" si="81"/>
        <v>0.27645347821581928</v>
      </c>
      <c r="L297" s="33">
        <v>207868.79000000007</v>
      </c>
      <c r="M297" s="157">
        <f t="shared" si="82"/>
        <v>0.3414761906272254</v>
      </c>
      <c r="N297" s="59">
        <f t="shared" si="83"/>
        <v>48123.110615408485</v>
      </c>
      <c r="O297" s="30">
        <v>648402.76999999955</v>
      </c>
      <c r="P297" s="148">
        <f t="shared" si="84"/>
        <v>0.28149128665813622</v>
      </c>
      <c r="Q297" s="33">
        <v>182519.72999999943</v>
      </c>
      <c r="R297" s="157">
        <f t="shared" si="86"/>
        <v>0.15963781277492173</v>
      </c>
      <c r="S297" s="85">
        <f t="shared" si="85"/>
        <v>25349.060000000638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79"/>
        <v>PiècesVentes Internes</v>
      </c>
      <c r="B298" s="11" t="s">
        <v>98</v>
      </c>
      <c r="C298" s="29" t="s">
        <v>103</v>
      </c>
      <c r="D298" s="82">
        <v>234335.28258385853</v>
      </c>
      <c r="E298" s="148">
        <f t="shared" si="80"/>
        <v>0.35</v>
      </c>
      <c r="F298" s="85">
        <v>82017.348904350481</v>
      </c>
      <c r="G298" s="82"/>
      <c r="H298" s="148"/>
      <c r="I298" s="85"/>
      <c r="J298" s="30">
        <v>235420.35</v>
      </c>
      <c r="K298" s="148">
        <f t="shared" si="81"/>
        <v>0.34245212871359676</v>
      </c>
      <c r="L298" s="33">
        <v>80620.2</v>
      </c>
      <c r="M298" s="157">
        <f t="shared" si="82"/>
        <v>4.6304056485953204E-3</v>
      </c>
      <c r="N298" s="59">
        <f t="shared" si="83"/>
        <v>-1397.1489043504844</v>
      </c>
      <c r="O298" s="30">
        <v>192183.88999999998</v>
      </c>
      <c r="P298" s="148">
        <f t="shared" si="84"/>
        <v>0.33071403643666486</v>
      </c>
      <c r="Q298" s="33">
        <v>63557.909999999989</v>
      </c>
      <c r="R298" s="157">
        <f t="shared" si="86"/>
        <v>0.22497442423503877</v>
      </c>
      <c r="S298" s="85">
        <f t="shared" si="85"/>
        <v>17062.290000000008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79"/>
        <v>PiècesVentes Détails</v>
      </c>
      <c r="B299" s="11" t="s">
        <v>98</v>
      </c>
      <c r="C299" s="29" t="s">
        <v>104</v>
      </c>
      <c r="D299" s="82">
        <v>279181.51717761433</v>
      </c>
      <c r="E299" s="148">
        <f t="shared" si="80"/>
        <v>0.3</v>
      </c>
      <c r="F299" s="85">
        <v>83754.455153284289</v>
      </c>
      <c r="G299" s="82"/>
      <c r="H299" s="148"/>
      <c r="I299" s="85"/>
      <c r="J299" s="30">
        <v>194796.22</v>
      </c>
      <c r="K299" s="148">
        <f t="shared" si="81"/>
        <v>0.33204597091257709</v>
      </c>
      <c r="L299" s="33">
        <v>64681.299999999974</v>
      </c>
      <c r="M299" s="157">
        <f t="shared" si="82"/>
        <v>-0.30225961242243943</v>
      </c>
      <c r="N299" s="59">
        <f t="shared" si="83"/>
        <v>-19073.155153284315</v>
      </c>
      <c r="O299" s="30">
        <v>295840.64999999967</v>
      </c>
      <c r="P299" s="148">
        <f t="shared" si="84"/>
        <v>0.27840325526596821</v>
      </c>
      <c r="Q299" s="33">
        <v>82362.999999999869</v>
      </c>
      <c r="R299" s="157">
        <f t="shared" si="86"/>
        <v>-0.34155018926574082</v>
      </c>
      <c r="S299" s="85">
        <f t="shared" si="85"/>
        <v>-17681.699999999895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528113.69124276831</v>
      </c>
      <c r="E300" s="148">
        <f t="shared" si="80"/>
        <v>0.2</v>
      </c>
      <c r="F300" s="85">
        <v>105622.73824855367</v>
      </c>
      <c r="G300" s="82"/>
      <c r="H300" s="148"/>
      <c r="I300" s="85"/>
      <c r="J300" s="30">
        <v>599245.91</v>
      </c>
      <c r="K300" s="148">
        <f t="shared" si="81"/>
        <v>0.19248311598822607</v>
      </c>
      <c r="L300" s="33">
        <v>115344.72000000009</v>
      </c>
      <c r="M300" s="157">
        <f t="shared" si="82"/>
        <v>0.13469110901071676</v>
      </c>
      <c r="N300" s="59">
        <f t="shared" si="83"/>
        <v>9721.981751446423</v>
      </c>
      <c r="O300" s="30">
        <v>498337.62000000005</v>
      </c>
      <c r="P300" s="148">
        <f t="shared" si="84"/>
        <v>0.20703514215924509</v>
      </c>
      <c r="Q300" s="33">
        <v>103173.39999999988</v>
      </c>
      <c r="R300" s="157">
        <f t="shared" si="86"/>
        <v>0.20248981002076458</v>
      </c>
      <c r="S300" s="85">
        <f t="shared" si="85"/>
        <v>12171.320000000211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 t="shared" si="80"/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82"/>
        <v>#DIV/0!</v>
      </c>
      <c r="N301" s="59">
        <f t="shared" si="83"/>
        <v>0</v>
      </c>
      <c r="O301" s="30">
        <v>0</v>
      </c>
      <c r="P301" s="148">
        <f t="shared" si="84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87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si="80"/>
        <v>0</v>
      </c>
      <c r="F302" s="85">
        <v>60386.593992290967</v>
      </c>
      <c r="G302" s="82"/>
      <c r="H302" s="148"/>
      <c r="I302" s="85"/>
      <c r="J302" s="30">
        <v>0</v>
      </c>
      <c r="K302" s="148">
        <f t="shared" ref="K302:K304" si="88">IF(J302&lt;=0,0,L302/J302)</f>
        <v>0</v>
      </c>
      <c r="L302" s="33">
        <v>95989.37</v>
      </c>
      <c r="M302" s="157"/>
      <c r="N302" s="59">
        <f t="shared" si="83"/>
        <v>35602.776007709028</v>
      </c>
      <c r="O302" s="30">
        <v>0</v>
      </c>
      <c r="P302" s="148">
        <f t="shared" si="84"/>
        <v>0</v>
      </c>
      <c r="Q302" s="33">
        <v>53383.17</v>
      </c>
      <c r="R302" s="157">
        <f t="shared" ref="R302:R303" si="89">IF(O302=0,0,(J302-O302)/O302)</f>
        <v>0</v>
      </c>
      <c r="S302" s="85">
        <f t="shared" ref="S302:S304" si="90">L302-Q302</f>
        <v>42606.2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87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80"/>
        <v>0</v>
      </c>
      <c r="F303" s="85">
        <v>0</v>
      </c>
      <c r="G303" s="82"/>
      <c r="H303" s="148"/>
      <c r="I303" s="85"/>
      <c r="J303" s="30">
        <v>0</v>
      </c>
      <c r="K303" s="148">
        <f t="shared" si="88"/>
        <v>0</v>
      </c>
      <c r="L303" s="33">
        <v>20577.169999999998</v>
      </c>
      <c r="M303" s="157"/>
      <c r="N303" s="59">
        <f t="shared" si="83"/>
        <v>20577.169999999998</v>
      </c>
      <c r="O303" s="30">
        <v>0</v>
      </c>
      <c r="P303" s="148">
        <f t="shared" si="84"/>
        <v>0</v>
      </c>
      <c r="Q303" s="33">
        <v>0</v>
      </c>
      <c r="R303" s="157">
        <f t="shared" si="89"/>
        <v>0</v>
      </c>
      <c r="S303" s="85">
        <f t="shared" si="90"/>
        <v>20577.169999999998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87"/>
        <v>PiècesSous-total Pièces</v>
      </c>
      <c r="B304" s="11" t="s">
        <v>98</v>
      </c>
      <c r="C304" s="53" t="s">
        <v>108</v>
      </c>
      <c r="D304" s="195">
        <f>SUM(D295:D303)</f>
        <v>2308254.3297422482</v>
      </c>
      <c r="E304" s="213">
        <f>IF(D304&lt;=0,0,F304/D304)</f>
        <v>0.33836523369647503</v>
      </c>
      <c r="F304" s="199">
        <f t="shared" ref="F304" si="91">SUM(F295:F303)</f>
        <v>781033.01571413619</v>
      </c>
      <c r="G304" s="195"/>
      <c r="H304" s="213"/>
      <c r="I304" s="199"/>
      <c r="J304" s="195">
        <f>SUM(J295:J303)</f>
        <v>2424647.6800000002</v>
      </c>
      <c r="K304" s="213">
        <f t="shared" si="88"/>
        <v>0.34725505769151582</v>
      </c>
      <c r="L304" s="197">
        <f>SUM(L295:L303)</f>
        <v>841971.17</v>
      </c>
      <c r="M304" s="214">
        <f>(+J304-D304)/D304</f>
        <v>5.0424837834377241E-2</v>
      </c>
      <c r="N304" s="197">
        <f t="shared" si="83"/>
        <v>60938.154285863857</v>
      </c>
      <c r="O304" s="195">
        <f>SUM(O295:O303)</f>
        <v>2300476.0899999989</v>
      </c>
      <c r="P304" s="213">
        <f>IF(O304&lt;=0,0,Q304/O304)</f>
        <v>0.32563164783859982</v>
      </c>
      <c r="Q304" s="197">
        <f t="shared" ref="Q304" si="92">SUM(Q295:Q303)</f>
        <v>749107.81999999867</v>
      </c>
      <c r="R304" s="214">
        <f>IF(O304=0,0,(J304-O304)/O304)</f>
        <v>5.3976474930457242E-2</v>
      </c>
      <c r="S304" s="199">
        <f t="shared" si="90"/>
        <v>92863.350000001374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87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7.8022507448222478E-2</v>
      </c>
      <c r="O305" s="41"/>
      <c r="P305" s="13"/>
      <c r="Q305" s="40"/>
      <c r="R305" s="41"/>
      <c r="S305" s="44">
        <f>IF(Q304=0,0,S304/Q304)</f>
        <v>0.12396526577442689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87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87"/>
        <v>PiècesVentes Pneus</v>
      </c>
      <c r="B307" s="11" t="s">
        <v>98</v>
      </c>
      <c r="C307" s="29" t="s">
        <v>109</v>
      </c>
      <c r="D307" s="82">
        <v>746928.04897910939</v>
      </c>
      <c r="E307" s="148">
        <f t="shared" ref="E307:E308" si="93">IF(D307=0,0,F307/D307)</f>
        <v>0.23999999999999996</v>
      </c>
      <c r="F307" s="110">
        <v>179262.73175498622</v>
      </c>
      <c r="G307" s="82"/>
      <c r="H307" s="148"/>
      <c r="I307" s="110"/>
      <c r="J307" s="30">
        <v>876698.86</v>
      </c>
      <c r="K307" s="148">
        <f>IF(J307&lt;=0,0,L307/J307)</f>
        <v>0.25184753861776432</v>
      </c>
      <c r="L307" s="33">
        <v>220794.44999999995</v>
      </c>
      <c r="M307" s="157">
        <f>(+J307-D307)/D307</f>
        <v>0.17373937315416055</v>
      </c>
      <c r="N307" s="59">
        <f>L307-F307</f>
        <v>41531.718245013733</v>
      </c>
      <c r="O307" s="30">
        <v>739544.84</v>
      </c>
      <c r="P307" s="148">
        <f t="shared" ref="P307:P308" si="94">IF(O307=0,0,Q307/O307)</f>
        <v>0.24754715346266168</v>
      </c>
      <c r="Q307" s="33">
        <v>183072.21999999956</v>
      </c>
      <c r="R307" s="157">
        <f>IF(O307=0,0,(J307-O307)/O307)</f>
        <v>0.18545734157241908</v>
      </c>
      <c r="S307" s="85">
        <f>L307-Q307</f>
        <v>37722.230000000389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87"/>
        <v>PiècesHuiles et Graisse</v>
      </c>
      <c r="B308" s="11" t="s">
        <v>98</v>
      </c>
      <c r="C308" s="86" t="s">
        <v>110</v>
      </c>
      <c r="D308" s="82">
        <v>126427.73922636437</v>
      </c>
      <c r="E308" s="148">
        <f t="shared" si="93"/>
        <v>0.34399999999999997</v>
      </c>
      <c r="F308" s="92">
        <v>43491.142293869343</v>
      </c>
      <c r="G308" s="82"/>
      <c r="H308" s="148"/>
      <c r="I308" s="92"/>
      <c r="J308" s="30">
        <v>131189.38</v>
      </c>
      <c r="K308" s="148">
        <f>IF(J308&lt;=0,0,L308/J308)</f>
        <v>0.3550259937199185</v>
      </c>
      <c r="L308" s="33">
        <v>46575.64</v>
      </c>
      <c r="M308" s="157">
        <f>(+J308-D308)/D308</f>
        <v>3.7662943296882703E-2</v>
      </c>
      <c r="N308" s="59">
        <f>L308-F308</f>
        <v>3084.4977061306563</v>
      </c>
      <c r="O308" s="30">
        <v>122894.34</v>
      </c>
      <c r="P308" s="148">
        <f t="shared" si="94"/>
        <v>0.34659203995887833</v>
      </c>
      <c r="Q308" s="33">
        <v>42594.199999999975</v>
      </c>
      <c r="R308" s="157">
        <f>IF(O308=0,0,(J308-O308)/O308)</f>
        <v>6.7497331447485764E-2</v>
      </c>
      <c r="S308" s="85">
        <f>L308-Q308</f>
        <v>3981.4400000000242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87"/>
        <v>PiècesSous-total Pièces et Acc.</v>
      </c>
      <c r="B309" s="11" t="s">
        <v>98</v>
      </c>
      <c r="C309" s="53" t="s">
        <v>111</v>
      </c>
      <c r="D309" s="195">
        <f>D304+D307+D308</f>
        <v>3181610.1179477219</v>
      </c>
      <c r="E309" s="213">
        <f>IF(D309&lt;=0,0,F309/D309)</f>
        <v>0.31549651043053584</v>
      </c>
      <c r="F309" s="197">
        <f t="shared" ref="F309" si="95">F304+F307+F308</f>
        <v>1003786.8897629918</v>
      </c>
      <c r="G309" s="198"/>
      <c r="H309" s="213"/>
      <c r="I309" s="197"/>
      <c r="J309" s="198">
        <f>J304+J307+J308</f>
        <v>3432535.92</v>
      </c>
      <c r="K309" s="213">
        <f>IF(J309&lt;=0,0,L309/J309)</f>
        <v>0.32318416641653092</v>
      </c>
      <c r="L309" s="197">
        <f>L304+L307+L308</f>
        <v>1109341.26</v>
      </c>
      <c r="M309" s="214">
        <f>(+J309-D309)/D309</f>
        <v>7.8867552198424687E-2</v>
      </c>
      <c r="N309" s="197">
        <f>L309-F309</f>
        <v>105554.3702370082</v>
      </c>
      <c r="O309" s="198">
        <f>O304+O307+O308</f>
        <v>3162915.2699999986</v>
      </c>
      <c r="P309" s="213">
        <f>IF(O309&lt;=0,0,Q309/O309)</f>
        <v>0.30818854025134812</v>
      </c>
      <c r="Q309" s="197">
        <f t="shared" ref="Q309" si="96">Q304+Q307+Q308</f>
        <v>974774.23999999813</v>
      </c>
      <c r="R309" s="214">
        <f>IF(O309=0,0,(J309-O309)/O309)</f>
        <v>8.5244348009360815E-2</v>
      </c>
      <c r="S309" s="199">
        <f>L309-Q309</f>
        <v>134567.02000000188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87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0.10515615546834954</v>
      </c>
      <c r="O310" s="41"/>
      <c r="P310" s="13"/>
      <c r="Q310" s="40"/>
      <c r="R310" s="41"/>
      <c r="S310" s="44">
        <f>IF(Q309=0,0,S309/Q309)</f>
        <v>0.13804942157683828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 hidden="1">
      <c r="A311" t="str">
        <f t="shared" si="87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 hidden="1">
      <c r="A312" t="str">
        <f t="shared" si="87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87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87"/>
        <v>PiècesTotal Dépt. Pièces</v>
      </c>
      <c r="B314" s="11" t="s">
        <v>98</v>
      </c>
      <c r="C314" s="62" t="s">
        <v>113</v>
      </c>
      <c r="D314" s="63">
        <f>D309+D312</f>
        <v>3181610.1179477219</v>
      </c>
      <c r="E314" s="219">
        <f>IF(D314&lt;=0,0,F314/D314)</f>
        <v>0.31549651043053584</v>
      </c>
      <c r="F314" s="65">
        <f t="shared" ref="F314" si="97">F309+F312</f>
        <v>1003786.8897629918</v>
      </c>
      <c r="G314" s="66"/>
      <c r="H314" s="219"/>
      <c r="I314" s="65"/>
      <c r="J314" s="66">
        <f>J309+J312</f>
        <v>3432535.92</v>
      </c>
      <c r="K314" s="219">
        <f>IF(J314&lt;=0,0,L314/J314)</f>
        <v>0.32318416641653092</v>
      </c>
      <c r="L314" s="65">
        <f>L309+L312</f>
        <v>1109341.26</v>
      </c>
      <c r="M314" s="220">
        <f>(+J314-D314)/D314</f>
        <v>7.8867552198424687E-2</v>
      </c>
      <c r="N314" s="221">
        <f>L314-F314</f>
        <v>105554.3702370082</v>
      </c>
      <c r="O314" s="66">
        <f>O309+O312</f>
        <v>3162915.2699999986</v>
      </c>
      <c r="P314" s="219">
        <f>IF(O314&lt;=0,0,Q314/O314)</f>
        <v>0.30818854025134812</v>
      </c>
      <c r="Q314" s="65">
        <f t="shared" ref="Q314" si="98">Q309+Q312</f>
        <v>974774.23999999813</v>
      </c>
      <c r="R314" s="220">
        <f>IF(O314=0,0,(J314-O314)/O314)</f>
        <v>8.5244348009360815E-2</v>
      </c>
      <c r="S314" s="222">
        <f>L314-Q314</f>
        <v>134567.02000000188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87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0.10515615546834954</v>
      </c>
      <c r="O315" s="227"/>
      <c r="P315" s="225"/>
      <c r="Q315" s="226"/>
      <c r="R315" s="228"/>
      <c r="S315" s="75">
        <f>IF(Q314=0,0,S314/Q314)</f>
        <v>0.13804942157683828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87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87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87"/>
        <v>PiècesSalaires cadres</v>
      </c>
      <c r="B318" s="11" t="s">
        <v>98</v>
      </c>
      <c r="C318" s="102" t="s">
        <v>40</v>
      </c>
      <c r="D318" s="13"/>
      <c r="E318" s="13"/>
      <c r="F318" s="30">
        <v>46819.726407309165</v>
      </c>
      <c r="G318" s="41"/>
      <c r="H318" s="13"/>
      <c r="I318" s="30"/>
      <c r="J318" s="41"/>
      <c r="K318" s="13"/>
      <c r="L318" s="33">
        <v>42214.73</v>
      </c>
      <c r="M318" s="41"/>
      <c r="N318" s="59">
        <f t="shared" ref="N318:N348" si="99">L318-F318</f>
        <v>-4604.9964073091614</v>
      </c>
      <c r="O318" s="41"/>
      <c r="P318" s="13"/>
      <c r="Q318" s="33">
        <v>36481.379999999997</v>
      </c>
      <c r="R318" s="41"/>
      <c r="S318" s="85">
        <f>L318-Q318</f>
        <v>5733.3500000000058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87"/>
        <v>PiècesSalaires commis</v>
      </c>
      <c r="B319" s="11" t="s">
        <v>98</v>
      </c>
      <c r="C319" s="103" t="s">
        <v>41</v>
      </c>
      <c r="D319" s="81"/>
      <c r="E319" s="13"/>
      <c r="F319" s="22">
        <v>30877.652107279693</v>
      </c>
      <c r="G319" s="83"/>
      <c r="H319" s="13"/>
      <c r="I319" s="22"/>
      <c r="J319" s="41"/>
      <c r="K319" s="13"/>
      <c r="L319" s="33">
        <v>30916.31</v>
      </c>
      <c r="M319" s="41"/>
      <c r="N319" s="59">
        <f t="shared" si="99"/>
        <v>38.657892720308155</v>
      </c>
      <c r="O319" s="41"/>
      <c r="P319" s="13"/>
      <c r="Q319" s="33">
        <v>29765.029999999995</v>
      </c>
      <c r="R319" s="41"/>
      <c r="S319" s="85">
        <f t="shared" ref="S319:S321" si="100">L319-Q319</f>
        <v>1151.2800000000061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87"/>
        <v>PiècesSalaires autres</v>
      </c>
      <c r="B320" s="11" t="s">
        <v>98</v>
      </c>
      <c r="C320" s="102" t="s">
        <v>42</v>
      </c>
      <c r="D320" s="104"/>
      <c r="E320" s="105"/>
      <c r="F320" s="30">
        <v>155263.88130268198</v>
      </c>
      <c r="G320" s="106"/>
      <c r="H320" s="105"/>
      <c r="I320" s="30"/>
      <c r="J320" s="107"/>
      <c r="K320" s="105"/>
      <c r="L320" s="108">
        <v>157209.63</v>
      </c>
      <c r="M320" s="107"/>
      <c r="N320" s="109">
        <f t="shared" si="99"/>
        <v>1945.7486973180203</v>
      </c>
      <c r="O320" s="107"/>
      <c r="P320" s="105"/>
      <c r="Q320" s="108">
        <v>141248.22999999998</v>
      </c>
      <c r="R320" s="107"/>
      <c r="S320" s="110">
        <f t="shared" si="100"/>
        <v>15961.400000000023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87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99"/>
        <v>0</v>
      </c>
      <c r="O321" s="41"/>
      <c r="P321" s="13"/>
      <c r="Q321" s="33">
        <v>0</v>
      </c>
      <c r="R321" s="41"/>
      <c r="S321" s="85">
        <f t="shared" si="100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99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99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99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101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29104.284506817068</v>
      </c>
      <c r="G325" s="83"/>
      <c r="H325" s="13"/>
      <c r="I325" s="22"/>
      <c r="J325" s="41"/>
      <c r="K325" s="13"/>
      <c r="L325" s="33">
        <v>31370.13</v>
      </c>
      <c r="M325" s="41"/>
      <c r="N325" s="59">
        <f t="shared" si="99"/>
        <v>2265.8454931829328</v>
      </c>
      <c r="O325" s="41"/>
      <c r="P325" s="13"/>
      <c r="Q325" s="33">
        <v>28864.169999999995</v>
      </c>
      <c r="R325" s="41"/>
      <c r="S325" s="85">
        <f t="shared" ref="S325:S336" si="102">L325-Q325</f>
        <v>2505.9600000000064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101"/>
        <v>PiècesDéduction à la source</v>
      </c>
      <c r="B326" s="11" t="s">
        <v>98</v>
      </c>
      <c r="C326" s="102" t="s">
        <v>45</v>
      </c>
      <c r="D326" s="104"/>
      <c r="E326" s="105"/>
      <c r="F326" s="30">
        <v>36050.869165183198</v>
      </c>
      <c r="G326" s="106"/>
      <c r="H326" s="105"/>
      <c r="I326" s="30"/>
      <c r="J326" s="107"/>
      <c r="K326" s="105"/>
      <c r="L326" s="108">
        <v>40300.959999999999</v>
      </c>
      <c r="M326" s="107"/>
      <c r="N326" s="109">
        <f t="shared" si="99"/>
        <v>4250.0908348168014</v>
      </c>
      <c r="O326" s="107"/>
      <c r="P326" s="105"/>
      <c r="Q326" s="108">
        <v>37391.020000000004</v>
      </c>
      <c r="R326" s="107"/>
      <c r="S326" s="110">
        <f t="shared" si="102"/>
        <v>2909.9399999999951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101"/>
        <v>PiècesBénéfices marginaux</v>
      </c>
      <c r="B327" s="11" t="s">
        <v>98</v>
      </c>
      <c r="C327" s="102" t="s">
        <v>46</v>
      </c>
      <c r="D327" s="81"/>
      <c r="E327" s="13"/>
      <c r="F327" s="30">
        <v>18480.952360624819</v>
      </c>
      <c r="G327" s="83"/>
      <c r="H327" s="13"/>
      <c r="I327" s="30"/>
      <c r="J327" s="41"/>
      <c r="K327" s="13"/>
      <c r="L327" s="33">
        <v>23310.560000000001</v>
      </c>
      <c r="M327" s="41"/>
      <c r="N327" s="59">
        <f t="shared" si="99"/>
        <v>4829.6076393751828</v>
      </c>
      <c r="O327" s="41"/>
      <c r="P327" s="13"/>
      <c r="Q327" s="33">
        <v>18499.149999999998</v>
      </c>
      <c r="R327" s="41"/>
      <c r="S327" s="85">
        <f t="shared" si="102"/>
        <v>4811.4100000000035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101"/>
        <v>PiècesCsst</v>
      </c>
      <c r="B328" s="11" t="s">
        <v>98</v>
      </c>
      <c r="C328" s="102" t="s">
        <v>47</v>
      </c>
      <c r="D328" s="81"/>
      <c r="E328" s="13"/>
      <c r="F328" s="30">
        <v>3960.2040772767464</v>
      </c>
      <c r="G328" s="83"/>
      <c r="H328" s="13"/>
      <c r="I328" s="30"/>
      <c r="J328" s="41"/>
      <c r="K328" s="13"/>
      <c r="L328" s="33">
        <v>6329.92</v>
      </c>
      <c r="M328" s="467"/>
      <c r="N328" s="146">
        <f t="shared" si="99"/>
        <v>2369.7159227232537</v>
      </c>
      <c r="O328" s="41"/>
      <c r="P328" s="13"/>
      <c r="Q328" s="33">
        <v>3194.18</v>
      </c>
      <c r="R328" s="41"/>
      <c r="S328" s="85">
        <f t="shared" si="102"/>
        <v>3135.7400000000002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101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99"/>
        <v>0</v>
      </c>
      <c r="O329" s="23"/>
      <c r="P329" s="111"/>
      <c r="Q329" s="33">
        <v>0</v>
      </c>
      <c r="R329" s="23"/>
      <c r="S329" s="92">
        <f t="shared" si="102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101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0.31934823337138907</v>
      </c>
      <c r="F330" s="96">
        <f>+SUM(F318:F329)</f>
        <v>320557.56992717268</v>
      </c>
      <c r="G330" s="97"/>
      <c r="H330" s="95"/>
      <c r="I330" s="96"/>
      <c r="J330" s="97" t="s">
        <v>38</v>
      </c>
      <c r="K330" s="95">
        <f>L330/L$314</f>
        <v>0.29896322435532596</v>
      </c>
      <c r="L330" s="96">
        <f>+SUM(L318:L329)</f>
        <v>331652.24</v>
      </c>
      <c r="M330" s="147"/>
      <c r="N330" s="113">
        <f t="shared" si="99"/>
        <v>11094.670072827314</v>
      </c>
      <c r="O330" s="97" t="s">
        <v>38</v>
      </c>
      <c r="P330" s="95">
        <f>Q330/Q$314</f>
        <v>0.30308880546535633</v>
      </c>
      <c r="Q330" s="96">
        <f>+SUM(Q318:Q329)</f>
        <v>295443.15999999997</v>
      </c>
      <c r="R330" s="147"/>
      <c r="S330" s="114">
        <f t="shared" si="102"/>
        <v>36209.080000000016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101"/>
        <v>PiècesPublicité 2</v>
      </c>
      <c r="B331" s="11" t="s">
        <v>98</v>
      </c>
      <c r="C331" s="211" t="s">
        <v>49</v>
      </c>
      <c r="D331" s="81"/>
      <c r="E331" s="13"/>
      <c r="F331" s="30">
        <v>33114.605095356521</v>
      </c>
      <c r="G331" s="83"/>
      <c r="H331" s="13"/>
      <c r="I331" s="30"/>
      <c r="J331" s="41"/>
      <c r="K331" s="13"/>
      <c r="L331" s="33">
        <v>41030.81</v>
      </c>
      <c r="M331" s="41"/>
      <c r="N331" s="59">
        <f t="shared" si="99"/>
        <v>7916.2049046434768</v>
      </c>
      <c r="O331" s="41"/>
      <c r="P331" s="13"/>
      <c r="Q331" s="33">
        <v>35302.949999999997</v>
      </c>
      <c r="R331" s="41"/>
      <c r="S331" s="85">
        <f t="shared" si="102"/>
        <v>5727.8600000000006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101"/>
        <v>PiècesService gratuit 2</v>
      </c>
      <c r="B332" s="11" t="s">
        <v>98</v>
      </c>
      <c r="C332" s="102" t="s">
        <v>50</v>
      </c>
      <c r="D332" s="81"/>
      <c r="E332" s="13"/>
      <c r="F332" s="30">
        <v>6325</v>
      </c>
      <c r="G332" s="83"/>
      <c r="H332" s="13"/>
      <c r="I332" s="30"/>
      <c r="J332" s="41"/>
      <c r="K332" s="13"/>
      <c r="L332" s="59">
        <v>7515.5599999999995</v>
      </c>
      <c r="M332" s="41"/>
      <c r="N332" s="59">
        <f t="shared" si="99"/>
        <v>1190.5599999999995</v>
      </c>
      <c r="O332" s="41"/>
      <c r="P332" s="13"/>
      <c r="Q332" s="33">
        <v>7576.4499999999989</v>
      </c>
      <c r="R332" s="41"/>
      <c r="S332" s="85">
        <f t="shared" si="102"/>
        <v>-60.889999999999418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101"/>
        <v>PiècesFrais véhicules de cie</v>
      </c>
      <c r="B333" s="11" t="s">
        <v>98</v>
      </c>
      <c r="C333" s="103" t="s">
        <v>51</v>
      </c>
      <c r="D333" s="87"/>
      <c r="E333" s="111"/>
      <c r="F333" s="22">
        <v>57493.26666666667</v>
      </c>
      <c r="G333" s="89"/>
      <c r="H333" s="111"/>
      <c r="I333" s="22"/>
      <c r="J333" s="23"/>
      <c r="K333" s="111"/>
      <c r="L333" s="91">
        <v>58018.19</v>
      </c>
      <c r="M333" s="23"/>
      <c r="N333" s="91">
        <f t="shared" si="99"/>
        <v>524.92333333333227</v>
      </c>
      <c r="O333" s="23"/>
      <c r="P333" s="111"/>
      <c r="Q333" s="33">
        <v>50870.309999999983</v>
      </c>
      <c r="R333" s="23"/>
      <c r="S333" s="92">
        <f t="shared" si="102"/>
        <v>7147.8800000000192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101"/>
        <v>PiècesInformatique</v>
      </c>
      <c r="B334" s="11" t="s">
        <v>98</v>
      </c>
      <c r="C334" s="102" t="s">
        <v>52</v>
      </c>
      <c r="D334" s="81"/>
      <c r="E334" s="13"/>
      <c r="F334" s="30">
        <v>20094.799999999996</v>
      </c>
      <c r="G334" s="83"/>
      <c r="H334" s="13"/>
      <c r="I334" s="30"/>
      <c r="J334" s="41"/>
      <c r="K334" s="13"/>
      <c r="L334" s="108">
        <v>21002.35</v>
      </c>
      <c r="M334" s="41"/>
      <c r="N334" s="59">
        <f t="shared" si="99"/>
        <v>907.55000000000291</v>
      </c>
      <c r="O334" s="41"/>
      <c r="P334" s="13"/>
      <c r="Q334" s="108">
        <v>19529.530000000002</v>
      </c>
      <c r="R334" s="41"/>
      <c r="S334" s="85">
        <f t="shared" si="102"/>
        <v>1472.8199999999961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101"/>
        <v>PiècesFrais de déplacement</v>
      </c>
      <c r="B335" s="11" t="s">
        <v>98</v>
      </c>
      <c r="C335" s="102" t="s">
        <v>53</v>
      </c>
      <c r="D335" s="81"/>
      <c r="E335" s="13"/>
      <c r="F335" s="30">
        <v>4033.3333333333326</v>
      </c>
      <c r="G335" s="83"/>
      <c r="H335" s="13"/>
      <c r="I335" s="30"/>
      <c r="J335" s="41"/>
      <c r="K335" s="13"/>
      <c r="L335" s="33">
        <v>2405.9299999999998</v>
      </c>
      <c r="M335" s="41"/>
      <c r="N335" s="59">
        <f t="shared" si="99"/>
        <v>-1627.4033333333327</v>
      </c>
      <c r="O335" s="41"/>
      <c r="P335" s="13"/>
      <c r="Q335" s="33">
        <v>2761.6800000000003</v>
      </c>
      <c r="R335" s="41"/>
      <c r="S335" s="85">
        <f t="shared" si="102"/>
        <v>-355.75000000000045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101"/>
        <v>PiècesServices extérieurs</v>
      </c>
      <c r="B336" s="11" t="s">
        <v>98</v>
      </c>
      <c r="C336" s="230" t="s">
        <v>54</v>
      </c>
      <c r="D336" s="87"/>
      <c r="E336" s="111"/>
      <c r="F336" s="22">
        <v>22255.200000000004</v>
      </c>
      <c r="G336" s="89"/>
      <c r="H336" s="111"/>
      <c r="I336" s="22"/>
      <c r="J336" s="23"/>
      <c r="K336" s="111"/>
      <c r="L336" s="48">
        <v>22710.89</v>
      </c>
      <c r="M336" s="23"/>
      <c r="N336" s="91">
        <f t="shared" si="99"/>
        <v>455.68999999999505</v>
      </c>
      <c r="O336" s="23"/>
      <c r="P336" s="111"/>
      <c r="Q336" s="48">
        <v>19361.010000000002</v>
      </c>
      <c r="R336" s="23"/>
      <c r="S336" s="92">
        <f t="shared" si="102"/>
        <v>3349.8799999999974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99"/>
        <v>0</v>
      </c>
      <c r="O337" s="41"/>
      <c r="P337" s="13"/>
      <c r="Q337" s="33"/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103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110</v>
      </c>
      <c r="G338" s="83"/>
      <c r="H338" s="13"/>
      <c r="I338" s="30"/>
      <c r="J338" s="41"/>
      <c r="K338" s="13"/>
      <c r="L338" s="33">
        <v>173.62</v>
      </c>
      <c r="M338" s="41"/>
      <c r="N338" s="59">
        <f t="shared" si="99"/>
        <v>63.620000000000005</v>
      </c>
      <c r="O338" s="41"/>
      <c r="P338" s="13"/>
      <c r="Q338" s="33">
        <v>73.61</v>
      </c>
      <c r="R338" s="41"/>
      <c r="S338" s="85">
        <f t="shared" ref="S338:S343" si="104">L338-Q338</f>
        <v>100.01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103"/>
        <v>PiècesUniformes</v>
      </c>
      <c r="B339" s="11" t="s">
        <v>98</v>
      </c>
      <c r="C339" s="102" t="s">
        <v>56</v>
      </c>
      <c r="D339" s="81"/>
      <c r="E339" s="13"/>
      <c r="F339" s="30">
        <v>220</v>
      </c>
      <c r="G339" s="83"/>
      <c r="H339" s="13"/>
      <c r="I339" s="30"/>
      <c r="J339" s="41"/>
      <c r="K339" s="13"/>
      <c r="L339" s="33">
        <v>450.41</v>
      </c>
      <c r="M339" s="41"/>
      <c r="N339" s="59">
        <f t="shared" si="99"/>
        <v>230.41000000000003</v>
      </c>
      <c r="O339" s="41"/>
      <c r="P339" s="13"/>
      <c r="Q339" s="33">
        <v>184.7</v>
      </c>
      <c r="R339" s="41"/>
      <c r="S339" s="85">
        <f t="shared" si="104"/>
        <v>265.71000000000004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103"/>
        <v>PiècesPapeterie</v>
      </c>
      <c r="B340" s="11" t="s">
        <v>98</v>
      </c>
      <c r="C340" s="102" t="s">
        <v>57</v>
      </c>
      <c r="D340" s="81"/>
      <c r="E340" s="13"/>
      <c r="F340" s="30">
        <v>3465</v>
      </c>
      <c r="G340" s="83"/>
      <c r="H340" s="13"/>
      <c r="I340" s="30"/>
      <c r="J340" s="41"/>
      <c r="K340" s="13"/>
      <c r="L340" s="32">
        <v>2809.42</v>
      </c>
      <c r="M340" s="41"/>
      <c r="N340" s="59">
        <f t="shared" si="99"/>
        <v>-655.57999999999993</v>
      </c>
      <c r="O340" s="41"/>
      <c r="P340" s="13"/>
      <c r="Q340" s="32">
        <v>3321.1699999999996</v>
      </c>
      <c r="R340" s="41"/>
      <c r="S340" s="85">
        <f t="shared" si="104"/>
        <v>-511.74999999999955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103"/>
        <v>PiècesTéléphone</v>
      </c>
      <c r="B341" s="11" t="s">
        <v>98</v>
      </c>
      <c r="C341" s="102" t="s">
        <v>58</v>
      </c>
      <c r="D341" s="81"/>
      <c r="E341" s="13"/>
      <c r="F341" s="30">
        <v>1302.4000000000001</v>
      </c>
      <c r="G341" s="83"/>
      <c r="H341" s="13"/>
      <c r="I341" s="30"/>
      <c r="J341" s="41"/>
      <c r="K341" s="13"/>
      <c r="L341" s="33">
        <v>1559.83</v>
      </c>
      <c r="M341" s="41"/>
      <c r="N341" s="59">
        <f t="shared" si="99"/>
        <v>257.42999999999984</v>
      </c>
      <c r="O341" s="41"/>
      <c r="P341" s="13"/>
      <c r="Q341" s="33">
        <v>1325.34</v>
      </c>
      <c r="R341" s="41"/>
      <c r="S341" s="85">
        <f t="shared" si="104"/>
        <v>234.49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103"/>
        <v>PiècesFrais postaux</v>
      </c>
      <c r="B342" s="11" t="s">
        <v>98</v>
      </c>
      <c r="C342" s="102" t="s">
        <v>59</v>
      </c>
      <c r="D342" s="81"/>
      <c r="E342" s="13"/>
      <c r="F342" s="30">
        <v>6490</v>
      </c>
      <c r="G342" s="83"/>
      <c r="H342" s="13"/>
      <c r="I342" s="30"/>
      <c r="J342" s="41"/>
      <c r="K342" s="13"/>
      <c r="L342" s="33">
        <v>8789.56</v>
      </c>
      <c r="M342" s="41"/>
      <c r="N342" s="59">
        <f t="shared" si="99"/>
        <v>2299.5599999999995</v>
      </c>
      <c r="O342" s="41"/>
      <c r="P342" s="13"/>
      <c r="Q342" s="33">
        <v>5545.75</v>
      </c>
      <c r="R342" s="41"/>
      <c r="S342" s="85">
        <f t="shared" si="104"/>
        <v>3243.8099999999995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103"/>
        <v>PiècesDivers</v>
      </c>
      <c r="B343" s="11" t="s">
        <v>98</v>
      </c>
      <c r="C343" s="102" t="s">
        <v>60</v>
      </c>
      <c r="D343" s="81"/>
      <c r="E343" s="13"/>
      <c r="F343" s="30">
        <v>3830.2</v>
      </c>
      <c r="G343" s="83"/>
      <c r="H343" s="13"/>
      <c r="I343" s="30"/>
      <c r="J343" s="41"/>
      <c r="K343" s="13"/>
      <c r="L343" s="33">
        <v>4191.53</v>
      </c>
      <c r="M343" s="41"/>
      <c r="N343" s="59">
        <f t="shared" si="99"/>
        <v>361.32999999999993</v>
      </c>
      <c r="O343" s="41"/>
      <c r="P343" s="13"/>
      <c r="Q343" s="33">
        <v>3555.7599999999998</v>
      </c>
      <c r="R343" s="41"/>
      <c r="S343" s="85">
        <f t="shared" si="104"/>
        <v>635.77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2820.5638266666656</v>
      </c>
      <c r="G344" s="83"/>
      <c r="H344" s="13"/>
      <c r="I344" s="30"/>
      <c r="J344" s="41"/>
      <c r="K344" s="13"/>
      <c r="L344" s="59">
        <v>1058.51</v>
      </c>
      <c r="M344" s="41"/>
      <c r="N344" s="59">
        <f t="shared" si="99"/>
        <v>-1762.0538266666656</v>
      </c>
      <c r="O344" s="41"/>
      <c r="P344" s="13"/>
      <c r="Q344" s="33">
        <v>641.3599999999999</v>
      </c>
      <c r="R344" s="41"/>
      <c r="S344" s="85">
        <f>L344-Q344</f>
        <v>417.15000000000009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14753.018456351336</v>
      </c>
      <c r="G345" s="83"/>
      <c r="H345" s="13"/>
      <c r="I345" s="30"/>
      <c r="J345" s="41"/>
      <c r="K345" s="13"/>
      <c r="L345" s="32">
        <v>14500.07</v>
      </c>
      <c r="M345" s="41"/>
      <c r="N345" s="59">
        <f t="shared" si="99"/>
        <v>-252.94845635133606</v>
      </c>
      <c r="O345" s="41"/>
      <c r="P345" s="13"/>
      <c r="Q345" s="33">
        <v>14811.799999999997</v>
      </c>
      <c r="R345" s="41"/>
      <c r="S345" s="85">
        <f>L345-Q345</f>
        <v>-311.72999999999774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99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99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99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0.17564224954163646</v>
      </c>
      <c r="F349" s="96">
        <f>+SUM(F331:F348)</f>
        <v>176307.38737837452</v>
      </c>
      <c r="G349" s="97"/>
      <c r="H349" s="95"/>
      <c r="I349" s="96"/>
      <c r="J349" s="97" t="s">
        <v>38</v>
      </c>
      <c r="K349" s="95">
        <f>L349/L$314</f>
        <v>0.16786239430055994</v>
      </c>
      <c r="L349" s="96">
        <f>+SUM(L331:L348)</f>
        <v>186216.68</v>
      </c>
      <c r="M349" s="100"/>
      <c r="N349" s="96">
        <f>+SUM(N331:N348)</f>
        <v>9909.2926216254709</v>
      </c>
      <c r="O349" s="97" t="s">
        <v>38</v>
      </c>
      <c r="P349" s="95">
        <f>Q349/Q$314</f>
        <v>0.16912779722205246</v>
      </c>
      <c r="Q349" s="96">
        <f>+SUM(Q331:Q348)</f>
        <v>164861.41999999998</v>
      </c>
      <c r="R349" s="100"/>
      <c r="S349" s="101">
        <f>+SUM(S331:S348)</f>
        <v>21355.260000000017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0.4949904829130255</v>
      </c>
      <c r="F351" s="96">
        <f>F330+F349</f>
        <v>496864.9573055472</v>
      </c>
      <c r="G351" s="97"/>
      <c r="H351" s="95"/>
      <c r="I351" s="96"/>
      <c r="J351" s="97" t="s">
        <v>38</v>
      </c>
      <c r="K351" s="95">
        <f>L351/L$314</f>
        <v>0.4668256186558859</v>
      </c>
      <c r="L351" s="96">
        <f>L330+L349</f>
        <v>517868.92</v>
      </c>
      <c r="M351" s="100"/>
      <c r="N351" s="113">
        <f>L351-F351</f>
        <v>21003.962694452784</v>
      </c>
      <c r="O351" s="97" t="s">
        <v>38</v>
      </c>
      <c r="P351" s="95">
        <f>Q351/Q$314</f>
        <v>0.47221660268740878</v>
      </c>
      <c r="Q351" s="96">
        <f>Q330+Q349</f>
        <v>460304.57999999996</v>
      </c>
      <c r="R351" s="100"/>
      <c r="S351" s="114">
        <f>L351-Q351</f>
        <v>57564.340000000026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506921.93245744461</v>
      </c>
      <c r="G353" s="153"/>
      <c r="H353" s="125"/>
      <c r="I353" s="127"/>
      <c r="J353" s="154"/>
      <c r="K353" s="126"/>
      <c r="L353" s="127">
        <f>L314-L351</f>
        <v>591472.34000000008</v>
      </c>
      <c r="M353" s="154"/>
      <c r="N353" s="127">
        <f>L353-F353</f>
        <v>84550.407542555477</v>
      </c>
      <c r="O353" s="154"/>
      <c r="P353" s="126"/>
      <c r="Q353" s="127">
        <f>Q314-Q351</f>
        <v>514469.65999999817</v>
      </c>
      <c r="R353" s="154"/>
      <c r="S353" s="129">
        <f>L353-Q353</f>
        <v>77002.680000001914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2025 AAD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8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105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105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105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105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 t="shared" ref="F362" si="106"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10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105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105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105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105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10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105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10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105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10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105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10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105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10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105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10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105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10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105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10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105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10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105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10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105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10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105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10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105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10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105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10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105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10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105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10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105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10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105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10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105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10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105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10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105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10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105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10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105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10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105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10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105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10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105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10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105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10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105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10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105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10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550662.01409671584</v>
      </c>
      <c r="G401" s="13"/>
      <c r="H401" s="13"/>
      <c r="I401" s="13"/>
      <c r="J401" s="13"/>
      <c r="K401" s="13"/>
      <c r="L401" s="82">
        <f>L353+L289+L233</f>
        <v>811111.41000000015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2025 AAD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9" t="s">
        <v>117</v>
      </c>
      <c r="Y404" s="516"/>
      <c r="Z404" s="520"/>
      <c r="AA404" s="515"/>
      <c r="AB404" s="516"/>
      <c r="AC404" s="520"/>
      <c r="AD404" s="515" t="s">
        <v>7</v>
      </c>
      <c r="AE404" s="516"/>
      <c r="AF404" s="520"/>
      <c r="AG404" s="515" t="s">
        <v>213</v>
      </c>
      <c r="AH404" s="516"/>
      <c r="AI404" s="520"/>
      <c r="AJ404" s="515" t="s">
        <v>118</v>
      </c>
      <c r="AK404" s="516"/>
      <c r="AL404" s="516"/>
      <c r="AM404" s="515" t="s">
        <v>119</v>
      </c>
      <c r="AN404" s="516"/>
      <c r="AO404" s="51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10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10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44706116.534397975</v>
      </c>
      <c r="AA406" s="263"/>
      <c r="AB406" s="263"/>
      <c r="AC406" s="264"/>
      <c r="AD406" s="265"/>
      <c r="AE406" s="266"/>
      <c r="AF406" s="266">
        <f>L5+L93+K194+K250+J314+J362</f>
        <v>41461203.159999996</v>
      </c>
      <c r="AG406" s="265"/>
      <c r="AH406" s="266"/>
      <c r="AI406" s="267"/>
      <c r="AJ406" s="265"/>
      <c r="AK406" s="266"/>
      <c r="AL406" s="266">
        <f>Q5+Q93+P194+P250+O314+O362</f>
        <v>42374863.489999928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10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4268448.1872902792</v>
      </c>
      <c r="AA407" s="271"/>
      <c r="AB407" s="271"/>
      <c r="AC407" s="272"/>
      <c r="AD407" s="273"/>
      <c r="AE407" s="274"/>
      <c r="AF407" s="274">
        <f>L27+L108+L194+L250+L314+L362</f>
        <v>4626749.0499999961</v>
      </c>
      <c r="AG407" s="273"/>
      <c r="AH407" s="274">
        <f>AF407-Z407</f>
        <v>358300.86270971689</v>
      </c>
      <c r="AI407" s="275">
        <f>AH407/Z407</f>
        <v>8.3941715346713741E-2</v>
      </c>
      <c r="AJ407" s="273">
        <f>+AL407/AL406</f>
        <v>9.7882455738856275E-2</v>
      </c>
      <c r="AK407" s="274"/>
      <c r="AL407" s="274">
        <f>Q27+Q108+Q194+Q250+Q314+Q362</f>
        <v>4147755.6999999946</v>
      </c>
      <c r="AM407" s="276"/>
      <c r="AN407" s="274">
        <f>AF407-AL407</f>
        <v>478993.35000000149</v>
      </c>
      <c r="AO407" s="277">
        <f>IF(AL407=0,0,AN407/AL407)</f>
        <v>0.11548253673667476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10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10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110">Z409/(D$13+D$97)</f>
        <v>928.05455502700261</v>
      </c>
      <c r="Z409" s="280">
        <f t="shared" ref="Z409:Z418" si="111">+SUMIF($C:$C,$V409,F:F)</f>
        <v>402775.67688171915</v>
      </c>
      <c r="AA409" s="279"/>
      <c r="AB409" s="287"/>
      <c r="AC409" s="280"/>
      <c r="AD409" s="288"/>
      <c r="AE409" s="287">
        <f t="shared" ref="AE409:AE414" si="112">IF(AF409=0,0,AF409/(J$13+J$97))</f>
        <v>930.49885941644561</v>
      </c>
      <c r="AF409" s="280">
        <f t="shared" ref="AF409:AF418" si="113">+SUMIF($C:$C,$V409,L:L)</f>
        <v>350798.07</v>
      </c>
      <c r="AG409" s="281">
        <f t="shared" ref="AG409:AH424" si="114">AE409-Y409</f>
        <v>2.4443043894430048</v>
      </c>
      <c r="AH409" s="282">
        <f t="shared" si="114"/>
        <v>-51977.606881719141</v>
      </c>
      <c r="AI409" s="283">
        <f t="shared" ref="AI409:AI418" si="115">IF(Z409=0,0,AH409/Z409)</f>
        <v>-0.12904852468780809</v>
      </c>
      <c r="AJ409" s="288"/>
      <c r="AK409" s="282">
        <f t="shared" ref="AK409:AK418" si="116">AL409/(O$13+O$97)</f>
        <v>1081.7749360613811</v>
      </c>
      <c r="AL409" s="280">
        <f t="shared" ref="AL409:AL418" si="117">+SUMIF($C:$C,$V409,Q:Q)</f>
        <v>422974</v>
      </c>
      <c r="AM409" s="284">
        <f t="shared" ref="AM409:AM414" si="118">AE409-Y409</f>
        <v>2.4443043894430048</v>
      </c>
      <c r="AN409" s="282">
        <f t="shared" ref="AN409:AN431" si="119">AF409-AL409</f>
        <v>-72175.929999999993</v>
      </c>
      <c r="AO409" s="289">
        <f t="shared" ref="AO409:AO431" si="120">IF(AL409=0,0,AN409/AL409)</f>
        <v>-0.17063916458222017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10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110"/>
        <v>462.06336405529953</v>
      </c>
      <c r="Z410" s="264">
        <f t="shared" si="111"/>
        <v>200535.5</v>
      </c>
      <c r="AA410" s="263"/>
      <c r="AB410" s="291"/>
      <c r="AC410" s="264"/>
      <c r="AD410" s="292"/>
      <c r="AE410" s="291">
        <f t="shared" si="112"/>
        <v>549.65103448275863</v>
      </c>
      <c r="AF410" s="264">
        <f t="shared" si="113"/>
        <v>207218.44</v>
      </c>
      <c r="AG410" s="265">
        <f t="shared" si="114"/>
        <v>87.587670427459102</v>
      </c>
      <c r="AH410" s="266">
        <f t="shared" si="114"/>
        <v>6682.9400000000023</v>
      </c>
      <c r="AI410" s="293">
        <f t="shared" si="115"/>
        <v>3.3325471051260262E-2</v>
      </c>
      <c r="AJ410" s="292"/>
      <c r="AK410" s="266">
        <f t="shared" si="116"/>
        <v>598.66186700767253</v>
      </c>
      <c r="AL410" s="264">
        <f t="shared" si="117"/>
        <v>234076.78999999998</v>
      </c>
      <c r="AM410" s="268">
        <f t="shared" si="118"/>
        <v>87.587670427459102</v>
      </c>
      <c r="AN410" s="266">
        <f t="shared" si="119"/>
        <v>-26858.349999999977</v>
      </c>
      <c r="AO410" s="294">
        <f t="shared" si="120"/>
        <v>-0.11474161961978366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10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110"/>
        <v>120.25345622119816</v>
      </c>
      <c r="Z411" s="280">
        <f t="shared" si="111"/>
        <v>52190</v>
      </c>
      <c r="AA411" s="279"/>
      <c r="AB411" s="287"/>
      <c r="AC411" s="280"/>
      <c r="AD411" s="288"/>
      <c r="AE411" s="287">
        <f t="shared" si="112"/>
        <v>114.81328912466843</v>
      </c>
      <c r="AF411" s="280">
        <f t="shared" si="113"/>
        <v>43284.61</v>
      </c>
      <c r="AG411" s="281">
        <f t="shared" si="114"/>
        <v>-5.4401670965297342</v>
      </c>
      <c r="AH411" s="282">
        <f t="shared" si="114"/>
        <v>-8905.39</v>
      </c>
      <c r="AI411" s="283">
        <f t="shared" si="115"/>
        <v>-0.17063402950756848</v>
      </c>
      <c r="AJ411" s="288"/>
      <c r="AK411" s="282">
        <f t="shared" si="116"/>
        <v>119.44608695652174</v>
      </c>
      <c r="AL411" s="280">
        <f t="shared" si="117"/>
        <v>46703.42</v>
      </c>
      <c r="AM411" s="284">
        <f t="shared" si="118"/>
        <v>-5.4401670965297342</v>
      </c>
      <c r="AN411" s="282">
        <f t="shared" si="119"/>
        <v>-3418.8099999999977</v>
      </c>
      <c r="AO411" s="289">
        <f t="shared" si="120"/>
        <v>-7.3202562039353811E-2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10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110"/>
        <v>67.78801843317973</v>
      </c>
      <c r="Z412" s="280">
        <f t="shared" si="111"/>
        <v>29420</v>
      </c>
      <c r="AA412" s="279"/>
      <c r="AB412" s="287"/>
      <c r="AC412" s="280"/>
      <c r="AD412" s="288"/>
      <c r="AE412" s="287">
        <f t="shared" si="112"/>
        <v>53.230212201591513</v>
      </c>
      <c r="AF412" s="280">
        <f t="shared" si="113"/>
        <v>20067.79</v>
      </c>
      <c r="AG412" s="281">
        <f t="shared" si="114"/>
        <v>-14.557806231588216</v>
      </c>
      <c r="AH412" s="282">
        <f t="shared" si="114"/>
        <v>-9352.2099999999991</v>
      </c>
      <c r="AI412" s="283">
        <f t="shared" si="115"/>
        <v>-0.31788613188307269</v>
      </c>
      <c r="AJ412" s="288"/>
      <c r="AK412" s="282">
        <f t="shared" si="116"/>
        <v>72.385780051150903</v>
      </c>
      <c r="AL412" s="280">
        <f t="shared" si="117"/>
        <v>28302.840000000004</v>
      </c>
      <c r="AM412" s="284">
        <f t="shared" si="118"/>
        <v>-14.557806231588216</v>
      </c>
      <c r="AN412" s="282">
        <f t="shared" si="119"/>
        <v>-8235.0500000000029</v>
      </c>
      <c r="AO412" s="295">
        <f t="shared" si="120"/>
        <v>-0.2909619670676159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10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110"/>
        <v>83.986175115207374</v>
      </c>
      <c r="Z413" s="264">
        <f t="shared" si="111"/>
        <v>36450</v>
      </c>
      <c r="AA413" s="263"/>
      <c r="AB413" s="291"/>
      <c r="AC413" s="264"/>
      <c r="AD413" s="292"/>
      <c r="AE413" s="291">
        <f t="shared" si="112"/>
        <v>135.50416445623341</v>
      </c>
      <c r="AF413" s="264">
        <f t="shared" si="113"/>
        <v>51085.07</v>
      </c>
      <c r="AG413" s="265">
        <f t="shared" si="114"/>
        <v>51.517989341026038</v>
      </c>
      <c r="AH413" s="266">
        <f t="shared" si="114"/>
        <v>14635.07</v>
      </c>
      <c r="AI413" s="293">
        <f t="shared" si="115"/>
        <v>0.40151083676268862</v>
      </c>
      <c r="AJ413" s="292"/>
      <c r="AK413" s="266">
        <f t="shared" si="116"/>
        <v>89.057698209718666</v>
      </c>
      <c r="AL413" s="264">
        <f t="shared" si="117"/>
        <v>34821.56</v>
      </c>
      <c r="AM413" s="268">
        <f t="shared" si="118"/>
        <v>51.517989341026038</v>
      </c>
      <c r="AN413" s="266">
        <f t="shared" si="119"/>
        <v>16263.510000000002</v>
      </c>
      <c r="AO413" s="294">
        <f t="shared" si="120"/>
        <v>0.46705288332860456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10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110"/>
        <v>470.33071293033339</v>
      </c>
      <c r="Z414" s="280">
        <f t="shared" si="111"/>
        <v>204123.5294117647</v>
      </c>
      <c r="AA414" s="283"/>
      <c r="AB414" s="287"/>
      <c r="AC414" s="280"/>
      <c r="AD414" s="288"/>
      <c r="AE414" s="287">
        <f t="shared" si="112"/>
        <v>546.69374005305042</v>
      </c>
      <c r="AF414" s="280">
        <f t="shared" si="113"/>
        <v>206103.54</v>
      </c>
      <c r="AG414" s="281">
        <f t="shared" si="114"/>
        <v>76.363027122717028</v>
      </c>
      <c r="AH414" s="282">
        <f t="shared" si="114"/>
        <v>1980.0105882353091</v>
      </c>
      <c r="AI414" s="283">
        <f t="shared" si="115"/>
        <v>9.7000605169880565E-3</v>
      </c>
      <c r="AJ414" s="288"/>
      <c r="AK414" s="282">
        <f t="shared" si="116"/>
        <v>563.59455242966715</v>
      </c>
      <c r="AL414" s="280">
        <f t="shared" si="117"/>
        <v>220365.46999999986</v>
      </c>
      <c r="AM414" s="284">
        <f t="shared" si="118"/>
        <v>76.363027122717028</v>
      </c>
      <c r="AN414" s="282">
        <f t="shared" si="119"/>
        <v>-14261.929999999847</v>
      </c>
      <c r="AO414" s="289">
        <f t="shared" si="120"/>
        <v>-6.4719440845246112E-2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10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110"/>
        <v>812.3206361708485</v>
      </c>
      <c r="Z415" s="280">
        <f t="shared" si="111"/>
        <v>352547.15609814826</v>
      </c>
      <c r="AA415" s="279"/>
      <c r="AB415" s="287"/>
      <c r="AC415" s="280"/>
      <c r="AD415" s="288"/>
      <c r="AE415" s="287">
        <f>IF(AF415=0,0,AF415/(J$13+J$13))</f>
        <v>772.12741025641026</v>
      </c>
      <c r="AF415" s="280">
        <f t="shared" si="113"/>
        <v>301129.69</v>
      </c>
      <c r="AG415" s="281">
        <f t="shared" si="114"/>
        <v>-40.193225914438244</v>
      </c>
      <c r="AH415" s="282">
        <f t="shared" si="114"/>
        <v>-51417.466098148259</v>
      </c>
      <c r="AI415" s="283">
        <f t="shared" si="115"/>
        <v>-0.14584564138090442</v>
      </c>
      <c r="AJ415" s="288"/>
      <c r="AK415" s="282">
        <f t="shared" si="116"/>
        <v>1066.9655242966753</v>
      </c>
      <c r="AL415" s="280">
        <f t="shared" si="117"/>
        <v>417183.52</v>
      </c>
      <c r="AM415" s="284">
        <f>AE415-Y415</f>
        <v>-40.193225914438244</v>
      </c>
      <c r="AN415" s="282">
        <f>AF415-AL415</f>
        <v>-116053.83000000002</v>
      </c>
      <c r="AO415" s="289">
        <f t="shared" si="120"/>
        <v>-0.27818411906587298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10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110"/>
        <v>0</v>
      </c>
      <c r="Z416" s="280">
        <f t="shared" si="111"/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 t="shared" si="113"/>
        <v>0</v>
      </c>
      <c r="AG416" s="281">
        <f t="shared" si="114"/>
        <v>0</v>
      </c>
      <c r="AH416" s="282">
        <f t="shared" si="114"/>
        <v>0</v>
      </c>
      <c r="AI416" s="283">
        <f t="shared" si="115"/>
        <v>0</v>
      </c>
      <c r="AJ416" s="288"/>
      <c r="AK416" s="282">
        <f t="shared" si="116"/>
        <v>0</v>
      </c>
      <c r="AL416" s="280">
        <f t="shared" si="117"/>
        <v>0</v>
      </c>
      <c r="AM416" s="284">
        <f>AE416-Y416</f>
        <v>0</v>
      </c>
      <c r="AN416" s="282">
        <f>AF416-AL416</f>
        <v>0</v>
      </c>
      <c r="AO416" s="289">
        <f t="shared" si="12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10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110"/>
        <v>0</v>
      </c>
      <c r="Z417" s="280">
        <f t="shared" si="111"/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 t="shared" si="113"/>
        <v>0</v>
      </c>
      <c r="AG417" s="281">
        <f t="shared" si="114"/>
        <v>0</v>
      </c>
      <c r="AH417" s="282">
        <f t="shared" si="114"/>
        <v>0</v>
      </c>
      <c r="AI417" s="283">
        <f t="shared" si="115"/>
        <v>0</v>
      </c>
      <c r="AJ417" s="288"/>
      <c r="AK417" s="282">
        <f t="shared" si="116"/>
        <v>0</v>
      </c>
      <c r="AL417" s="280">
        <f t="shared" si="117"/>
        <v>0</v>
      </c>
      <c r="AM417" s="284">
        <f>AE417-Y417</f>
        <v>0</v>
      </c>
      <c r="AN417" s="282">
        <f>AF417-AL417</f>
        <v>0</v>
      </c>
      <c r="AO417" s="289">
        <f t="shared" si="12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10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110"/>
        <v>0</v>
      </c>
      <c r="Z418" s="280">
        <f t="shared" si="111"/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 t="shared" si="113"/>
        <v>0</v>
      </c>
      <c r="AG418" s="281">
        <f t="shared" si="114"/>
        <v>0</v>
      </c>
      <c r="AH418" s="282">
        <f t="shared" si="114"/>
        <v>0</v>
      </c>
      <c r="AI418" s="283">
        <f t="shared" si="115"/>
        <v>0</v>
      </c>
      <c r="AJ418" s="288"/>
      <c r="AK418" s="282">
        <f t="shared" si="116"/>
        <v>0</v>
      </c>
      <c r="AL418" s="280">
        <f t="shared" si="117"/>
        <v>0</v>
      </c>
      <c r="AM418" s="284">
        <f>AE418-Y418</f>
        <v>0</v>
      </c>
      <c r="AN418" s="282">
        <f>AF418-AL418</f>
        <v>0</v>
      </c>
      <c r="AO418" s="289">
        <f t="shared" si="12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10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0.29941604215722389</v>
      </c>
      <c r="Y419" s="297"/>
      <c r="Z419" s="299">
        <f>SUM(Z409:Z418)</f>
        <v>1278041.8623916321</v>
      </c>
      <c r="AA419" s="298"/>
      <c r="AB419" s="297"/>
      <c r="AC419" s="299"/>
      <c r="AD419" s="300">
        <f>AF419/AF407</f>
        <v>0.25497108169287913</v>
      </c>
      <c r="AE419" s="297"/>
      <c r="AF419" s="299">
        <f>SUM(AF409:AF418)</f>
        <v>1179687.21</v>
      </c>
      <c r="AG419" s="301"/>
      <c r="AH419" s="302">
        <f t="shared" si="114"/>
        <v>-98354.652391632088</v>
      </c>
      <c r="AI419" s="298">
        <f>AH419/Z419</f>
        <v>-7.6957301075865028E-2</v>
      </c>
      <c r="AJ419" s="300">
        <f>IF($AL$407=0,0,AL419/$AL$407)</f>
        <v>0.33859940208146827</v>
      </c>
      <c r="AK419" s="297"/>
      <c r="AL419" s="299">
        <f>SUM(AL409:AL418)</f>
        <v>1404427.6</v>
      </c>
      <c r="AM419" s="303"/>
      <c r="AN419" s="302">
        <f t="shared" si="119"/>
        <v>-224740.39000000013</v>
      </c>
      <c r="AO419" s="277">
        <f t="shared" si="120"/>
        <v>-0.16002276657052319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10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v>155261.72667256114</v>
      </c>
      <c r="AA420" s="279"/>
      <c r="AB420" s="279"/>
      <c r="AC420" s="280"/>
      <c r="AD420" s="288"/>
      <c r="AE420" s="287"/>
      <c r="AF420" s="280">
        <v>163308.28000000003</v>
      </c>
      <c r="AG420" s="281"/>
      <c r="AH420" s="282">
        <f t="shared" si="114"/>
        <v>8046.5533274388872</v>
      </c>
      <c r="AI420" s="283">
        <f t="shared" ref="AI420:AI432" si="121">IF(Z420=0,0,AH420/Z420)</f>
        <v>5.1825736450868201E-2</v>
      </c>
      <c r="AJ420" s="288"/>
      <c r="AK420" s="279"/>
      <c r="AL420" s="280">
        <v>147455.2999999999</v>
      </c>
      <c r="AM420" s="284"/>
      <c r="AN420" s="282">
        <f t="shared" si="119"/>
        <v>15852.980000000127</v>
      </c>
      <c r="AO420" s="289">
        <f t="shared" si="120"/>
        <v>0.10751041162983045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10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 t="shared" ref="Z421:Z432" si="122">+SUMIF($C:$C,$V421,F:F)</f>
        <v>353014.11744768644</v>
      </c>
      <c r="AA421" s="279"/>
      <c r="AB421" s="279"/>
      <c r="AC421" s="280"/>
      <c r="AD421" s="288"/>
      <c r="AE421" s="287"/>
      <c r="AF421" s="280">
        <f t="shared" ref="AF421:AF432" si="123">+SUMIF($C:$C,$V421,L:L)</f>
        <v>363588.11</v>
      </c>
      <c r="AG421" s="281"/>
      <c r="AH421" s="282">
        <f t="shared" si="114"/>
        <v>10573.992552313546</v>
      </c>
      <c r="AI421" s="283">
        <f t="shared" si="121"/>
        <v>2.9953455201067188E-2</v>
      </c>
      <c r="AJ421" s="288"/>
      <c r="AK421" s="279"/>
      <c r="AL421" s="280">
        <f t="shared" ref="AL421:AL432" si="124">+SUMIF($C:$C,$V421,Q:Q)</f>
        <v>317943.22999999992</v>
      </c>
      <c r="AM421" s="284"/>
      <c r="AN421" s="282">
        <f t="shared" si="119"/>
        <v>45644.880000000063</v>
      </c>
      <c r="AO421" s="289">
        <f t="shared" si="120"/>
        <v>0.14356298764405229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10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22"/>
        <v>228460.57950191572</v>
      </c>
      <c r="AA422" s="263"/>
      <c r="AB422" s="263"/>
      <c r="AC422" s="264"/>
      <c r="AD422" s="292"/>
      <c r="AE422" s="291"/>
      <c r="AF422" s="264">
        <f t="shared" si="123"/>
        <v>221714.39</v>
      </c>
      <c r="AG422" s="265"/>
      <c r="AH422" s="266">
        <f t="shared" si="114"/>
        <v>-6746.1895019157091</v>
      </c>
      <c r="AI422" s="293">
        <f t="shared" si="121"/>
        <v>-2.9528899544173395E-2</v>
      </c>
      <c r="AJ422" s="292"/>
      <c r="AK422" s="263"/>
      <c r="AL422" s="264">
        <f t="shared" si="124"/>
        <v>216688.27000000002</v>
      </c>
      <c r="AM422" s="268"/>
      <c r="AN422" s="266">
        <f t="shared" si="119"/>
        <v>5026.1199999999953</v>
      </c>
      <c r="AO422" s="269">
        <f t="shared" si="120"/>
        <v>2.3195164186783138E-2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10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22"/>
        <v>254479.11885057471</v>
      </c>
      <c r="AA423" s="279"/>
      <c r="AB423" s="279"/>
      <c r="AC423" s="280"/>
      <c r="AD423" s="288"/>
      <c r="AE423" s="287"/>
      <c r="AF423" s="280">
        <f t="shared" si="123"/>
        <v>277549.18</v>
      </c>
      <c r="AG423" s="281"/>
      <c r="AH423" s="282">
        <f t="shared" si="114"/>
        <v>23070.061149425281</v>
      </c>
      <c r="AI423" s="283">
        <f t="shared" si="121"/>
        <v>9.0656008452196749E-2</v>
      </c>
      <c r="AJ423" s="288"/>
      <c r="AK423" s="279"/>
      <c r="AL423" s="280">
        <f t="shared" si="124"/>
        <v>239191.97999999998</v>
      </c>
      <c r="AM423" s="284"/>
      <c r="AN423" s="282">
        <f t="shared" si="119"/>
        <v>38357.200000000012</v>
      </c>
      <c r="AO423" s="289">
        <f t="shared" si="120"/>
        <v>0.16036156396213624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10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 t="shared" si="122"/>
        <v>157463.18655555556</v>
      </c>
      <c r="AA424" s="279"/>
      <c r="AB424" s="279"/>
      <c r="AC424" s="280"/>
      <c r="AD424" s="288"/>
      <c r="AE424" s="287"/>
      <c r="AF424" s="280">
        <f t="shared" si="123"/>
        <v>162412.04</v>
      </c>
      <c r="AG424" s="281"/>
      <c r="AH424" s="282">
        <f t="shared" si="114"/>
        <v>4948.8534444444522</v>
      </c>
      <c r="AI424" s="283">
        <f t="shared" si="121"/>
        <v>3.1428637719702293E-2</v>
      </c>
      <c r="AJ424" s="288"/>
      <c r="AK424" s="279"/>
      <c r="AL424" s="280">
        <f t="shared" si="124"/>
        <v>128732.62999999999</v>
      </c>
      <c r="AM424" s="284"/>
      <c r="AN424" s="282">
        <f t="shared" si="119"/>
        <v>33679.410000000018</v>
      </c>
      <c r="AO424" s="289">
        <f t="shared" si="120"/>
        <v>0.26162294672298719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10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22"/>
        <v>0</v>
      </c>
      <c r="AA425" s="279"/>
      <c r="AB425" s="279"/>
      <c r="AC425" s="282"/>
      <c r="AD425" s="288"/>
      <c r="AE425" s="287"/>
      <c r="AF425" s="280">
        <f t="shared" si="123"/>
        <v>0</v>
      </c>
      <c r="AG425" s="281"/>
      <c r="AH425" s="282">
        <f t="shared" ref="AH425:AH451" si="125">AF425-Z425</f>
        <v>0</v>
      </c>
      <c r="AI425" s="283">
        <f t="shared" si="121"/>
        <v>0</v>
      </c>
      <c r="AJ425" s="288"/>
      <c r="AK425" s="279"/>
      <c r="AL425" s="280">
        <f t="shared" si="124"/>
        <v>0</v>
      </c>
      <c r="AM425" s="284"/>
      <c r="AN425" s="282">
        <f>AF425-AL425</f>
        <v>0</v>
      </c>
      <c r="AO425" s="289">
        <f>IF(AL425=0,0,AN425/AL425)</f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10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22"/>
        <v>0</v>
      </c>
      <c r="AA426" s="279"/>
      <c r="AB426" s="279"/>
      <c r="AC426" s="282"/>
      <c r="AD426" s="288"/>
      <c r="AE426" s="287"/>
      <c r="AF426" s="280">
        <f t="shared" si="123"/>
        <v>0</v>
      </c>
      <c r="AG426" s="281"/>
      <c r="AH426" s="282">
        <f t="shared" si="125"/>
        <v>0</v>
      </c>
      <c r="AI426" s="283">
        <f t="shared" si="121"/>
        <v>0</v>
      </c>
      <c r="AJ426" s="288"/>
      <c r="AK426" s="279"/>
      <c r="AL426" s="280">
        <f t="shared" si="124"/>
        <v>0</v>
      </c>
      <c r="AM426" s="284"/>
      <c r="AN426" s="282">
        <f>AF426-AL426</f>
        <v>0</v>
      </c>
      <c r="AO426" s="289">
        <f>IF(AL426=0,0,AN426/AL426)</f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10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22"/>
        <v>0</v>
      </c>
      <c r="AA427" s="279"/>
      <c r="AB427" s="279"/>
      <c r="AC427" s="282"/>
      <c r="AD427" s="288"/>
      <c r="AE427" s="287"/>
      <c r="AF427" s="280">
        <f t="shared" si="123"/>
        <v>0</v>
      </c>
      <c r="AG427" s="281"/>
      <c r="AH427" s="282">
        <f t="shared" si="125"/>
        <v>0</v>
      </c>
      <c r="AI427" s="283">
        <f t="shared" si="121"/>
        <v>0</v>
      </c>
      <c r="AJ427" s="288"/>
      <c r="AK427" s="279"/>
      <c r="AL427" s="280">
        <f t="shared" si="124"/>
        <v>0</v>
      </c>
      <c r="AM427" s="284"/>
      <c r="AN427" s="282">
        <f>AF427-AL427</f>
        <v>0</v>
      </c>
      <c r="AO427" s="289">
        <f>IF(AL427=0,0,AN427/AL427)</f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10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22"/>
        <v>250188.63231395569</v>
      </c>
      <c r="AA428" s="263"/>
      <c r="AB428" s="263"/>
      <c r="AC428" s="264"/>
      <c r="AD428" s="292"/>
      <c r="AE428" s="291"/>
      <c r="AF428" s="264">
        <f t="shared" si="123"/>
        <v>265996.06</v>
      </c>
      <c r="AG428" s="265"/>
      <c r="AH428" s="266">
        <f t="shared" si="125"/>
        <v>15807.427686044306</v>
      </c>
      <c r="AI428" s="293">
        <f t="shared" si="121"/>
        <v>6.3182038048027481E-2</v>
      </c>
      <c r="AJ428" s="292"/>
      <c r="AK428" s="263"/>
      <c r="AL428" s="264">
        <f t="shared" si="124"/>
        <v>233224.47999999995</v>
      </c>
      <c r="AM428" s="268"/>
      <c r="AN428" s="266">
        <f t="shared" si="119"/>
        <v>32771.580000000045</v>
      </c>
      <c r="AO428" s="294">
        <f t="shared" si="120"/>
        <v>0.14051518091068335</v>
      </c>
      <c r="AP428" s="475"/>
      <c r="AQ428" s="483">
        <f>AF428/($AF$420+$AF$421+$AF$422+$AF$423+$AF$424+$AF$409+$AF$410+$K$185-$L$185)</f>
        <v>0.11841613825390424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10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22"/>
        <v>308462.93232578313</v>
      </c>
      <c r="AA429" s="279"/>
      <c r="AB429" s="279"/>
      <c r="AC429" s="280"/>
      <c r="AD429" s="288"/>
      <c r="AE429" s="287"/>
      <c r="AF429" s="280">
        <f t="shared" si="123"/>
        <v>324894.98000000004</v>
      </c>
      <c r="AG429" s="281"/>
      <c r="AH429" s="282">
        <f t="shared" si="125"/>
        <v>16432.047674216912</v>
      </c>
      <c r="AI429" s="283">
        <f t="shared" si="121"/>
        <v>5.3270736779686079E-2</v>
      </c>
      <c r="AJ429" s="288"/>
      <c r="AK429" s="279"/>
      <c r="AL429" s="280">
        <f t="shared" si="124"/>
        <v>281677.56</v>
      </c>
      <c r="AM429" s="284"/>
      <c r="AN429" s="282">
        <f t="shared" si="119"/>
        <v>43217.420000000042</v>
      </c>
      <c r="AO429" s="289">
        <f t="shared" si="120"/>
        <v>0.15342869343230622</v>
      </c>
      <c r="AP429" s="475"/>
      <c r="AQ429" s="474">
        <f>AF429/($AF$420+$AF$421+$AF$422+$AF$423+$AF$424+$AF$409+$AF$410+$K$185-$L$185)</f>
        <v>0.14463676217489632</v>
      </c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10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 t="shared" si="122"/>
        <v>159210.83951710092</v>
      </c>
      <c r="AA430" s="279"/>
      <c r="AB430" s="279"/>
      <c r="AC430" s="280"/>
      <c r="AD430" s="288"/>
      <c r="AE430" s="287"/>
      <c r="AF430" s="280">
        <f t="shared" si="123"/>
        <v>162389.94999999998</v>
      </c>
      <c r="AG430" s="281"/>
      <c r="AH430" s="282">
        <f t="shared" si="125"/>
        <v>3179.1104828990647</v>
      </c>
      <c r="AI430" s="283">
        <f t="shared" si="121"/>
        <v>1.9967927388245415E-2</v>
      </c>
      <c r="AJ430" s="288"/>
      <c r="AK430" s="279"/>
      <c r="AL430" s="280">
        <f t="shared" si="124"/>
        <v>136557.46000000002</v>
      </c>
      <c r="AM430" s="284"/>
      <c r="AN430" s="282">
        <f t="shared" si="119"/>
        <v>25832.489999999962</v>
      </c>
      <c r="AO430" s="289">
        <f t="shared" si="120"/>
        <v>0.18916937968822764</v>
      </c>
      <c r="AP430" s="475"/>
      <c r="AQ430" s="474">
        <f>AF430/($AF$420+$AF$421+$AF$422+$AF$423+$AF$424+$AF$409+$AF$410+$K$185-$L$185)</f>
        <v>7.2292765427595412E-2</v>
      </c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10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 t="shared" si="122"/>
        <v>34116.608467950187</v>
      </c>
      <c r="AA431" s="279"/>
      <c r="AB431" s="279"/>
      <c r="AC431" s="280"/>
      <c r="AD431" s="288"/>
      <c r="AE431" s="287"/>
      <c r="AF431" s="280">
        <f t="shared" si="123"/>
        <v>51394.069999999992</v>
      </c>
      <c r="AG431" s="281"/>
      <c r="AH431" s="282">
        <f t="shared" si="125"/>
        <v>17277.461532049805</v>
      </c>
      <c r="AI431" s="306">
        <f t="shared" si="121"/>
        <v>0.50642377152701423</v>
      </c>
      <c r="AJ431" s="288"/>
      <c r="AK431" s="279"/>
      <c r="AL431" s="280">
        <f t="shared" si="124"/>
        <v>28833.760000000002</v>
      </c>
      <c r="AM431" s="284"/>
      <c r="AN431" s="282">
        <f t="shared" si="119"/>
        <v>22560.30999999999</v>
      </c>
      <c r="AO431" s="294">
        <f t="shared" si="120"/>
        <v>0.78242691900050454</v>
      </c>
      <c r="AP431" s="475"/>
      <c r="AQ431" s="474">
        <f>AF431/($AF$420+$AF$421+$AF$422+$AF$423+$AF$424+$AF$409+$AF$410+$K$185-$L$185)</f>
        <v>2.2879614451999142E-2</v>
      </c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10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 t="shared" si="122"/>
        <v>0</v>
      </c>
      <c r="AA432" s="279"/>
      <c r="AB432" s="279"/>
      <c r="AC432" s="282"/>
      <c r="AD432" s="288"/>
      <c r="AE432" s="287"/>
      <c r="AF432" s="280">
        <f t="shared" si="123"/>
        <v>0</v>
      </c>
      <c r="AG432" s="281"/>
      <c r="AH432" s="282">
        <f t="shared" si="125"/>
        <v>0</v>
      </c>
      <c r="AI432" s="283">
        <f t="shared" si="121"/>
        <v>0</v>
      </c>
      <c r="AJ432" s="288"/>
      <c r="AK432" s="279"/>
      <c r="AL432" s="280">
        <f t="shared" si="124"/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10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0.44528073394740442</v>
      </c>
      <c r="Y433" s="297"/>
      <c r="Z433" s="299">
        <f>SUM(Z420:Z432)</f>
        <v>1900657.7416530834</v>
      </c>
      <c r="AA433" s="298"/>
      <c r="AB433" s="297"/>
      <c r="AC433" s="299"/>
      <c r="AD433" s="300">
        <f>AF433/AF407</f>
        <v>0.43080941681935436</v>
      </c>
      <c r="AE433" s="307"/>
      <c r="AF433" s="299">
        <f>SUM(AF420:AF432)</f>
        <v>1993247.06</v>
      </c>
      <c r="AG433" s="308"/>
      <c r="AH433" s="302">
        <f t="shared" si="125"/>
        <v>92589.318346916698</v>
      </c>
      <c r="AI433" s="298">
        <f>AH433/Z433</f>
        <v>4.8714356255633806E-2</v>
      </c>
      <c r="AJ433" s="300">
        <f>IF($AL$407=0,0,AL433/$AL$407)</f>
        <v>0.41716648596251749</v>
      </c>
      <c r="AK433" s="297"/>
      <c r="AL433" s="299">
        <f>SUM(AL420:AL432)</f>
        <v>1730304.6699999997</v>
      </c>
      <c r="AM433" s="309"/>
      <c r="AN433" s="302">
        <f t="shared" ref="AN433:AN447" si="126">AF433-AL433</f>
        <v>262942.39000000036</v>
      </c>
      <c r="AO433" s="277">
        <f>IF(AL433=0,0,AN433/AL433)</f>
        <v>0.15196305862134696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10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 t="shared" ref="Z434:Z451" si="127">+SUMIF($C:$C,$V434,F:F)</f>
        <v>94613.157415304333</v>
      </c>
      <c r="AA434" s="312"/>
      <c r="AB434" s="312"/>
      <c r="AC434" s="313"/>
      <c r="AD434" s="314"/>
      <c r="AE434" s="315"/>
      <c r="AF434" s="313">
        <f t="shared" ref="AF434:AF451" si="128">+SUMIF($C:$C,$V434,L:L)</f>
        <v>121430.11</v>
      </c>
      <c r="AG434" s="314"/>
      <c r="AH434" s="316">
        <f t="shared" si="125"/>
        <v>26816.952584695668</v>
      </c>
      <c r="AI434" s="317">
        <f t="shared" ref="AI434:AI451" si="129">IF(Z434=0,0,AH434/Z434)</f>
        <v>0.28343787816934052</v>
      </c>
      <c r="AJ434" s="314"/>
      <c r="AK434" s="312"/>
      <c r="AL434" s="313">
        <f t="shared" ref="AL434:AL447" si="130">+SUMIF($C:$C,$V434,Q:Q)</f>
        <v>105315.7</v>
      </c>
      <c r="AM434" s="318"/>
      <c r="AN434" s="316">
        <f t="shared" si="126"/>
        <v>16114.410000000003</v>
      </c>
      <c r="AO434" s="285">
        <f t="shared" ref="AO434:AO447" si="131">IF(AL434=0,0,AN434/AL434)</f>
        <v>0.15301051979904234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10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 t="shared" si="127"/>
        <v>36666.666666666657</v>
      </c>
      <c r="AA435" s="279"/>
      <c r="AB435" s="279"/>
      <c r="AC435" s="280"/>
      <c r="AD435" s="288"/>
      <c r="AE435" s="287"/>
      <c r="AF435" s="280">
        <f t="shared" si="128"/>
        <v>44477.81</v>
      </c>
      <c r="AG435" s="281"/>
      <c r="AH435" s="282">
        <f t="shared" si="125"/>
        <v>7811.1433333333407</v>
      </c>
      <c r="AI435" s="283">
        <f t="shared" si="129"/>
        <v>0.21303118181818206</v>
      </c>
      <c r="AJ435" s="288"/>
      <c r="AK435" s="279"/>
      <c r="AL435" s="280">
        <f t="shared" si="130"/>
        <v>40938.949999999975</v>
      </c>
      <c r="AM435" s="284"/>
      <c r="AN435" s="282">
        <f t="shared" si="126"/>
        <v>3538.8600000000224</v>
      </c>
      <c r="AO435" s="289">
        <f t="shared" si="131"/>
        <v>8.6442373338838058E-2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10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 t="shared" si="127"/>
        <v>204124.66666666669</v>
      </c>
      <c r="AA436" s="263"/>
      <c r="AB436" s="263"/>
      <c r="AC436" s="264"/>
      <c r="AD436" s="292"/>
      <c r="AE436" s="291"/>
      <c r="AF436" s="264">
        <f t="shared" si="128"/>
        <v>226405.3</v>
      </c>
      <c r="AG436" s="265"/>
      <c r="AH436" s="266">
        <f t="shared" si="125"/>
        <v>22280.633333333302</v>
      </c>
      <c r="AI436" s="293">
        <f t="shared" si="129"/>
        <v>0.10915208679663066</v>
      </c>
      <c r="AJ436" s="292"/>
      <c r="AK436" s="263"/>
      <c r="AL436" s="264">
        <f t="shared" si="130"/>
        <v>194569.71999999997</v>
      </c>
      <c r="AM436" s="268"/>
      <c r="AN436" s="266">
        <f t="shared" si="126"/>
        <v>31835.580000000016</v>
      </c>
      <c r="AO436" s="269">
        <f t="shared" si="131"/>
        <v>0.16362042356847725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10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 t="shared" si="127"/>
        <v>155804</v>
      </c>
      <c r="AA437" s="279"/>
      <c r="AB437" s="279"/>
      <c r="AC437" s="280"/>
      <c r="AD437" s="288"/>
      <c r="AE437" s="287"/>
      <c r="AF437" s="280">
        <f t="shared" si="128"/>
        <v>159398.66</v>
      </c>
      <c r="AG437" s="281"/>
      <c r="AH437" s="282">
        <f t="shared" si="125"/>
        <v>3594.6600000000035</v>
      </c>
      <c r="AI437" s="283">
        <f t="shared" si="129"/>
        <v>2.3071679802829217E-2</v>
      </c>
      <c r="AJ437" s="288"/>
      <c r="AK437" s="279"/>
      <c r="AL437" s="280">
        <f t="shared" si="130"/>
        <v>151015.04999999999</v>
      </c>
      <c r="AM437" s="284"/>
      <c r="AN437" s="282">
        <f t="shared" si="126"/>
        <v>8383.6100000000151</v>
      </c>
      <c r="AO437" s="289">
        <f t="shared" si="131"/>
        <v>5.5515062902671067E-2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10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 t="shared" si="127"/>
        <v>20166.666666666664</v>
      </c>
      <c r="AA438" s="279"/>
      <c r="AB438" s="279"/>
      <c r="AC438" s="280"/>
      <c r="AD438" s="288"/>
      <c r="AE438" s="287"/>
      <c r="AF438" s="280">
        <f t="shared" si="128"/>
        <v>22390.690000000002</v>
      </c>
      <c r="AG438" s="281"/>
      <c r="AH438" s="282">
        <f t="shared" si="125"/>
        <v>2224.0233333333381</v>
      </c>
      <c r="AI438" s="283">
        <f t="shared" si="129"/>
        <v>0.11028214876033082</v>
      </c>
      <c r="AJ438" s="288"/>
      <c r="AK438" s="279"/>
      <c r="AL438" s="280">
        <f t="shared" si="130"/>
        <v>26018.639999999996</v>
      </c>
      <c r="AM438" s="284"/>
      <c r="AN438" s="282">
        <f t="shared" si="126"/>
        <v>-3627.9499999999935</v>
      </c>
      <c r="AO438" s="289">
        <f t="shared" si="131"/>
        <v>-0.13943657316446956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10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 t="shared" si="127"/>
        <v>128876</v>
      </c>
      <c r="AA439" s="279"/>
      <c r="AB439" s="279"/>
      <c r="AC439" s="280"/>
      <c r="AD439" s="288"/>
      <c r="AE439" s="287"/>
      <c r="AF439" s="280">
        <f t="shared" si="128"/>
        <v>93192.960000000006</v>
      </c>
      <c r="AG439" s="281"/>
      <c r="AH439" s="282">
        <f t="shared" si="125"/>
        <v>-35683.039999999994</v>
      </c>
      <c r="AI439" s="283">
        <f t="shared" si="129"/>
        <v>-0.27687886029982306</v>
      </c>
      <c r="AJ439" s="288"/>
      <c r="AK439" s="279"/>
      <c r="AL439" s="280">
        <f t="shared" si="130"/>
        <v>133031.91999999998</v>
      </c>
      <c r="AM439" s="284"/>
      <c r="AN439" s="282">
        <f t="shared" si="126"/>
        <v>-39838.959999999977</v>
      </c>
      <c r="AO439" s="289">
        <f t="shared" si="131"/>
        <v>-0.29946918002837203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27"/>
        <v>0</v>
      </c>
      <c r="AA440" s="320"/>
      <c r="AB440" s="320"/>
      <c r="AC440" s="321"/>
      <c r="AD440" s="322"/>
      <c r="AE440" s="323"/>
      <c r="AF440" s="321">
        <f t="shared" si="128"/>
        <v>0</v>
      </c>
      <c r="AG440" s="324"/>
      <c r="AH440" s="325">
        <f t="shared" si="125"/>
        <v>0</v>
      </c>
      <c r="AI440" s="326">
        <f t="shared" si="129"/>
        <v>0</v>
      </c>
      <c r="AJ440" s="322"/>
      <c r="AK440" s="320"/>
      <c r="AL440" s="321">
        <f t="shared" si="130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10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27"/>
        <v>12842.5</v>
      </c>
      <c r="AA441" s="279"/>
      <c r="AB441" s="287"/>
      <c r="AC441" s="280"/>
      <c r="AD441" s="288"/>
      <c r="AE441" s="287"/>
      <c r="AF441" s="280">
        <f t="shared" si="128"/>
        <v>34489.980000000003</v>
      </c>
      <c r="AG441" s="281"/>
      <c r="AH441" s="282">
        <f t="shared" si="125"/>
        <v>21647.480000000003</v>
      </c>
      <c r="AI441" s="283">
        <f t="shared" si="129"/>
        <v>1.6856126143663619</v>
      </c>
      <c r="AJ441" s="288"/>
      <c r="AK441" s="279"/>
      <c r="AL441" s="280">
        <f t="shared" si="130"/>
        <v>12171.329999999998</v>
      </c>
      <c r="AM441" s="284"/>
      <c r="AN441" s="282">
        <f t="shared" si="126"/>
        <v>22318.650000000005</v>
      </c>
      <c r="AO441" s="289">
        <f t="shared" si="131"/>
        <v>1.8337067518504557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10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27"/>
        <v>11660</v>
      </c>
      <c r="AA442" s="279"/>
      <c r="AB442" s="279"/>
      <c r="AC442" s="280"/>
      <c r="AD442" s="288"/>
      <c r="AE442" s="287"/>
      <c r="AF442" s="280">
        <f t="shared" si="128"/>
        <v>15203.039999999999</v>
      </c>
      <c r="AG442" s="281"/>
      <c r="AH442" s="282">
        <f t="shared" si="125"/>
        <v>3543.0399999999991</v>
      </c>
      <c r="AI442" s="306">
        <f t="shared" si="129"/>
        <v>0.30386277873070316</v>
      </c>
      <c r="AJ442" s="288"/>
      <c r="AK442" s="279"/>
      <c r="AL442" s="280">
        <f t="shared" si="130"/>
        <v>13248.640000000001</v>
      </c>
      <c r="AM442" s="284"/>
      <c r="AN442" s="282">
        <f t="shared" si="126"/>
        <v>1954.3999999999978</v>
      </c>
      <c r="AO442" s="289">
        <f t="shared" si="131"/>
        <v>0.1475170281628905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10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27"/>
        <v>17325</v>
      </c>
      <c r="AA443" s="279"/>
      <c r="AB443" s="279"/>
      <c r="AC443" s="280"/>
      <c r="AD443" s="288"/>
      <c r="AE443" s="287"/>
      <c r="AF443" s="280">
        <f t="shared" si="128"/>
        <v>16487.650000000001</v>
      </c>
      <c r="AG443" s="281"/>
      <c r="AH443" s="282">
        <f t="shared" si="125"/>
        <v>-837.34999999999854</v>
      </c>
      <c r="AI443" s="283">
        <f t="shared" si="129"/>
        <v>-4.8331890331890247E-2</v>
      </c>
      <c r="AJ443" s="288"/>
      <c r="AK443" s="279"/>
      <c r="AL443" s="280">
        <f t="shared" si="130"/>
        <v>16187.05</v>
      </c>
      <c r="AM443" s="284"/>
      <c r="AN443" s="282">
        <f t="shared" si="126"/>
        <v>300.60000000000218</v>
      </c>
      <c r="AO443" s="289">
        <f t="shared" si="131"/>
        <v>1.85704004126757E-2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10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 t="shared" si="127"/>
        <v>5632</v>
      </c>
      <c r="AA444" s="279"/>
      <c r="AB444" s="279"/>
      <c r="AC444" s="280"/>
      <c r="AD444" s="288"/>
      <c r="AE444" s="287"/>
      <c r="AF444" s="280">
        <f t="shared" si="128"/>
        <v>7124.87</v>
      </c>
      <c r="AG444" s="281"/>
      <c r="AH444" s="282">
        <f t="shared" si="125"/>
        <v>1492.87</v>
      </c>
      <c r="AI444" s="306">
        <f t="shared" si="129"/>
        <v>0.26506924715909091</v>
      </c>
      <c r="AJ444" s="288"/>
      <c r="AK444" s="279"/>
      <c r="AL444" s="280">
        <f t="shared" si="130"/>
        <v>6346.66</v>
      </c>
      <c r="AM444" s="284"/>
      <c r="AN444" s="282">
        <f t="shared" si="126"/>
        <v>778.21</v>
      </c>
      <c r="AO444" s="289">
        <f t="shared" si="131"/>
        <v>0.12261725064837253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10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 t="shared" si="127"/>
        <v>10450</v>
      </c>
      <c r="AA445" s="279"/>
      <c r="AB445" s="279"/>
      <c r="AC445" s="280"/>
      <c r="AD445" s="288"/>
      <c r="AE445" s="287"/>
      <c r="AF445" s="280">
        <f t="shared" si="128"/>
        <v>13083.48</v>
      </c>
      <c r="AG445" s="281"/>
      <c r="AH445" s="282">
        <f t="shared" si="125"/>
        <v>2633.4799999999996</v>
      </c>
      <c r="AI445" s="283">
        <f t="shared" si="129"/>
        <v>0.25200765550239229</v>
      </c>
      <c r="AJ445" s="288"/>
      <c r="AK445" s="279"/>
      <c r="AL445" s="280">
        <f t="shared" si="130"/>
        <v>10458.450000000001</v>
      </c>
      <c r="AM445" s="284"/>
      <c r="AN445" s="282">
        <f t="shared" si="126"/>
        <v>2625.0299999999988</v>
      </c>
      <c r="AO445" s="289">
        <f t="shared" si="131"/>
        <v>0.25099608450583011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10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 t="shared" si="127"/>
        <v>19151</v>
      </c>
      <c r="AA446" s="279"/>
      <c r="AB446" s="287"/>
      <c r="AC446" s="280"/>
      <c r="AD446" s="288"/>
      <c r="AE446" s="287"/>
      <c r="AF446" s="280">
        <f t="shared" si="128"/>
        <v>24957.809999999998</v>
      </c>
      <c r="AG446" s="281"/>
      <c r="AH446" s="282">
        <f t="shared" si="125"/>
        <v>5806.8099999999977</v>
      </c>
      <c r="AI446" s="306">
        <f t="shared" si="129"/>
        <v>0.30321184272361745</v>
      </c>
      <c r="AJ446" s="288"/>
      <c r="AK446" s="279"/>
      <c r="AL446" s="280">
        <f t="shared" si="130"/>
        <v>18668.809999999998</v>
      </c>
      <c r="AM446" s="284"/>
      <c r="AN446" s="282">
        <f t="shared" si="126"/>
        <v>6289</v>
      </c>
      <c r="AO446" s="289">
        <f t="shared" si="131"/>
        <v>0.33687203415750661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10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 t="shared" si="127"/>
        <v>28405.899133333332</v>
      </c>
      <c r="AA447" s="279"/>
      <c r="AB447" s="287"/>
      <c r="AC447" s="280"/>
      <c r="AD447" s="288"/>
      <c r="AE447" s="287"/>
      <c r="AF447" s="280">
        <f t="shared" si="128"/>
        <v>21100.409999999996</v>
      </c>
      <c r="AG447" s="281"/>
      <c r="AH447" s="282">
        <f t="shared" si="125"/>
        <v>-7305.4891333333362</v>
      </c>
      <c r="AI447" s="283">
        <f t="shared" si="129"/>
        <v>-0.25718211203392605</v>
      </c>
      <c r="AJ447" s="288"/>
      <c r="AK447" s="279"/>
      <c r="AL447" s="280">
        <f t="shared" si="130"/>
        <v>17195.950000000004</v>
      </c>
      <c r="AM447" s="284"/>
      <c r="AN447" s="282">
        <f t="shared" si="126"/>
        <v>3904.4599999999919</v>
      </c>
      <c r="AO447" s="289">
        <f t="shared" si="131"/>
        <v>0.22705695236378279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10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 t="shared" si="127"/>
        <v>73765.092281756675</v>
      </c>
      <c r="AA448" s="279"/>
      <c r="AB448" s="287"/>
      <c r="AC448" s="280"/>
      <c r="AD448" s="288"/>
      <c r="AE448" s="287"/>
      <c r="AF448" s="280">
        <f t="shared" si="128"/>
        <v>72500.62</v>
      </c>
      <c r="AG448" s="281"/>
      <c r="AH448" s="282">
        <f t="shared" si="125"/>
        <v>-1264.4722817566799</v>
      </c>
      <c r="AI448" s="283">
        <f t="shared" si="129"/>
        <v>-1.7141878938168219E-2</v>
      </c>
      <c r="AJ448" s="288"/>
      <c r="AK448" s="279"/>
      <c r="AL448" s="280">
        <v>74059.079999999871</v>
      </c>
      <c r="AM448" s="284"/>
      <c r="AN448" s="282">
        <f>AF448-AL448</f>
        <v>-1558.4599999998754</v>
      </c>
      <c r="AO448" s="289">
        <f>IF(AL448=0,0,AN448/AL448)</f>
        <v>-2.1043469619118658E-2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10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 t="shared" si="127"/>
        <v>0</v>
      </c>
      <c r="AA449" s="279"/>
      <c r="AB449" s="279"/>
      <c r="AC449" s="282"/>
      <c r="AD449" s="288"/>
      <c r="AE449" s="287"/>
      <c r="AF449" s="280">
        <f t="shared" si="128"/>
        <v>0</v>
      </c>
      <c r="AG449" s="281"/>
      <c r="AH449" s="282">
        <f t="shared" si="125"/>
        <v>0</v>
      </c>
      <c r="AI449" s="283">
        <f t="shared" si="129"/>
        <v>0</v>
      </c>
      <c r="AJ449" s="288"/>
      <c r="AK449" s="279"/>
      <c r="AL449" s="280">
        <f>+SUMIF($C:$C,$V449,Q:Q)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10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 t="shared" si="127"/>
        <v>0</v>
      </c>
      <c r="AA450" s="279"/>
      <c r="AB450" s="279"/>
      <c r="AC450" s="282"/>
      <c r="AD450" s="288"/>
      <c r="AE450" s="287"/>
      <c r="AF450" s="280">
        <f t="shared" si="128"/>
        <v>0</v>
      </c>
      <c r="AG450" s="281"/>
      <c r="AH450" s="282">
        <f t="shared" si="125"/>
        <v>0</v>
      </c>
      <c r="AI450" s="283">
        <f t="shared" si="129"/>
        <v>0</v>
      </c>
      <c r="AJ450" s="288"/>
      <c r="AK450" s="279"/>
      <c r="AL450" s="280">
        <f>+SUMIF($C:$C,$V450,Q:Q)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10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 t="shared" si="127"/>
        <v>0</v>
      </c>
      <c r="AA451" s="279"/>
      <c r="AB451" s="279"/>
      <c r="AC451" s="282"/>
      <c r="AD451" s="288"/>
      <c r="AE451" s="287"/>
      <c r="AF451" s="280">
        <f t="shared" si="128"/>
        <v>0</v>
      </c>
      <c r="AG451" s="281"/>
      <c r="AH451" s="282">
        <f t="shared" si="125"/>
        <v>0</v>
      </c>
      <c r="AI451" s="283">
        <f t="shared" si="129"/>
        <v>0</v>
      </c>
      <c r="AJ451" s="288"/>
      <c r="AK451" s="279"/>
      <c r="AL451" s="280">
        <f>+SUMIF($C:$C,$V451,Q:Q)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10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0.19198608320243499</v>
      </c>
      <c r="Y452" s="297"/>
      <c r="Z452" s="299">
        <f>+SUM(Z434:Z451)</f>
        <v>819482.64883039438</v>
      </c>
      <c r="AA452" s="298"/>
      <c r="AB452" s="297"/>
      <c r="AC452" s="299"/>
      <c r="AD452" s="300">
        <f>AF452/AF407</f>
        <v>0.18852187152877914</v>
      </c>
      <c r="AE452" s="297"/>
      <c r="AF452" s="299">
        <f>+SUM(AF434:AF451)</f>
        <v>872243.39000000013</v>
      </c>
      <c r="AG452" s="308"/>
      <c r="AH452" s="302">
        <f>+SUM(AH434:AH451)</f>
        <v>52760.741169605652</v>
      </c>
      <c r="AI452" s="298">
        <f>AH452/Z452</f>
        <v>6.4382987540869061E-2</v>
      </c>
      <c r="AJ452" s="300">
        <f>IF($AL$407=0,0,AL452/$AL$407)</f>
        <v>0.19751065618450017</v>
      </c>
      <c r="AK452" s="298"/>
      <c r="AL452" s="299">
        <f>+SUM(AL434:AL451)</f>
        <v>819225.94999999972</v>
      </c>
      <c r="AM452" s="309"/>
      <c r="AN452" s="302">
        <f>+SUM(AN434:AN451)</f>
        <v>53017.440000000213</v>
      </c>
      <c r="AO452" s="331">
        <f>IF(AL452=0,0,AN452/AL452)</f>
        <v>6.4716504646856257E-2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10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550000</v>
      </c>
      <c r="AA453" s="279"/>
      <c r="AB453" s="287"/>
      <c r="AC453" s="280"/>
      <c r="AD453" s="288"/>
      <c r="AE453" s="287"/>
      <c r="AF453" s="280">
        <v>550000</v>
      </c>
      <c r="AG453" s="281"/>
      <c r="AH453" s="282">
        <f t="shared" ref="AH453:AH461" si="132">AF453-Z453</f>
        <v>0</v>
      </c>
      <c r="AI453" s="283">
        <f t="shared" ref="AI453:AI461" si="133">IF(Z453=0,0,AH453/Z453)</f>
        <v>0</v>
      </c>
      <c r="AJ453" s="288"/>
      <c r="AK453" s="279"/>
      <c r="AL453" s="280">
        <v>550000</v>
      </c>
      <c r="AM453" s="284"/>
      <c r="AN453" s="282">
        <f t="shared" ref="AN453:AN461" si="134">AF453-AL453</f>
        <v>0</v>
      </c>
      <c r="AO453" s="289">
        <f t="shared" ref="AO453:AO461" si="135">IF(AL453=0,0,AN453/AL453)</f>
        <v>0</v>
      </c>
      <c r="AP453" s="246"/>
      <c r="AQ453" s="24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10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65263.77</v>
      </c>
      <c r="AA454" s="279"/>
      <c r="AB454" s="287"/>
      <c r="AC454" s="280"/>
      <c r="AD454" s="288"/>
      <c r="AE454" s="287"/>
      <c r="AF454" s="280">
        <v>67813.440000000002</v>
      </c>
      <c r="AG454" s="281"/>
      <c r="AH454" s="282">
        <f t="shared" si="132"/>
        <v>2549.6700000000055</v>
      </c>
      <c r="AI454" s="283">
        <f t="shared" si="133"/>
        <v>3.906715778141541E-2</v>
      </c>
      <c r="AJ454" s="288"/>
      <c r="AK454" s="279"/>
      <c r="AL454" s="280">
        <v>62910.39</v>
      </c>
      <c r="AM454" s="284"/>
      <c r="AN454" s="282">
        <f t="shared" si="134"/>
        <v>4903.0500000000029</v>
      </c>
      <c r="AO454" s="289">
        <f t="shared" si="135"/>
        <v>7.7937046646825797E-2</v>
      </c>
      <c r="AP454" s="246"/>
      <c r="AQ454" s="24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10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27970.25</v>
      </c>
      <c r="AA455" s="263"/>
      <c r="AB455" s="291"/>
      <c r="AC455" s="264"/>
      <c r="AD455" s="292"/>
      <c r="AE455" s="291"/>
      <c r="AF455" s="264">
        <v>29062.920000000002</v>
      </c>
      <c r="AG455" s="265"/>
      <c r="AH455" s="266">
        <f t="shared" si="132"/>
        <v>1092.6700000000019</v>
      </c>
      <c r="AI455" s="293">
        <f t="shared" si="133"/>
        <v>3.9065435596750187E-2</v>
      </c>
      <c r="AJ455" s="292"/>
      <c r="AK455" s="263"/>
      <c r="AL455" s="264">
        <v>26961.579999999962</v>
      </c>
      <c r="AM455" s="268"/>
      <c r="AN455" s="266">
        <f t="shared" si="134"/>
        <v>2101.3400000000402</v>
      </c>
      <c r="AO455" s="269">
        <f t="shared" si="135"/>
        <v>7.7938310736983638E-2</v>
      </c>
      <c r="AP455" s="246"/>
      <c r="AQ455" s="24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10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32"/>
        <v>0</v>
      </c>
      <c r="AI456" s="283">
        <f t="shared" si="133"/>
        <v>0</v>
      </c>
      <c r="AJ456" s="288"/>
      <c r="AK456" s="279"/>
      <c r="AL456" s="280">
        <v>0</v>
      </c>
      <c r="AM456" s="284"/>
      <c r="AN456" s="282">
        <f t="shared" si="134"/>
        <v>0</v>
      </c>
      <c r="AO456" s="289">
        <f t="shared" si="13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10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53394</v>
      </c>
      <c r="AA457" s="263"/>
      <c r="AB457" s="291"/>
      <c r="AC457" s="264"/>
      <c r="AD457" s="292"/>
      <c r="AE457" s="291"/>
      <c r="AF457" s="264">
        <v>53392.13</v>
      </c>
      <c r="AG457" s="265"/>
      <c r="AH457" s="266">
        <f t="shared" si="132"/>
        <v>-1.8700000000026193</v>
      </c>
      <c r="AI457" s="293">
        <f t="shared" si="133"/>
        <v>-3.5022661722339952E-5</v>
      </c>
      <c r="AJ457" s="292"/>
      <c r="AK457" s="263"/>
      <c r="AL457" s="264">
        <v>49160.7</v>
      </c>
      <c r="AM457" s="268"/>
      <c r="AN457" s="266">
        <f t="shared" si="134"/>
        <v>4231.43</v>
      </c>
      <c r="AO457" s="269">
        <f t="shared" si="135"/>
        <v>8.6073428572009766E-2</v>
      </c>
      <c r="AP457" s="246"/>
      <c r="AQ457" s="24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10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55000</v>
      </c>
      <c r="AA458" s="332"/>
      <c r="AB458" s="333"/>
      <c r="AC458" s="280"/>
      <c r="AD458" s="288"/>
      <c r="AE458" s="287"/>
      <c r="AF458" s="280">
        <v>62596.57</v>
      </c>
      <c r="AG458" s="281"/>
      <c r="AH458" s="282">
        <f t="shared" si="132"/>
        <v>7596.57</v>
      </c>
      <c r="AI458" s="283">
        <f t="shared" si="133"/>
        <v>0.13811945454545455</v>
      </c>
      <c r="AJ458" s="288"/>
      <c r="AK458" s="279"/>
      <c r="AL458" s="280">
        <v>53073.859999999971</v>
      </c>
      <c r="AM458" s="284"/>
      <c r="AN458" s="282">
        <f t="shared" si="134"/>
        <v>9522.7100000000282</v>
      </c>
      <c r="AO458" s="289">
        <f t="shared" si="135"/>
        <v>0.17942373138113626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10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v>71954.666666666672</v>
      </c>
      <c r="AA459" s="279"/>
      <c r="AB459" s="287"/>
      <c r="AC459" s="280"/>
      <c r="AD459" s="288"/>
      <c r="AE459" s="287"/>
      <c r="AF459" s="280">
        <v>69380.63</v>
      </c>
      <c r="AG459" s="281"/>
      <c r="AH459" s="282">
        <f t="shared" si="132"/>
        <v>-2574.0366666666669</v>
      </c>
      <c r="AI459" s="283">
        <f t="shared" si="133"/>
        <v>-3.5773033020790872E-2</v>
      </c>
      <c r="AJ459" s="288"/>
      <c r="AK459" s="279"/>
      <c r="AL459" s="280">
        <v>69380.63</v>
      </c>
      <c r="AM459" s="284"/>
      <c r="AN459" s="282">
        <f t="shared" si="134"/>
        <v>0</v>
      </c>
      <c r="AO459" s="289">
        <f t="shared" si="135"/>
        <v>0</v>
      </c>
      <c r="AP459" s="246"/>
      <c r="AQ459" s="24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10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v>4766.666666666667</v>
      </c>
      <c r="AA460" s="263"/>
      <c r="AB460" s="291"/>
      <c r="AC460" s="264"/>
      <c r="AD460" s="292"/>
      <c r="AE460" s="291"/>
      <c r="AF460" s="264">
        <v>3991.9</v>
      </c>
      <c r="AG460" s="265"/>
      <c r="AH460" s="266">
        <f t="shared" si="132"/>
        <v>-774.76666666666688</v>
      </c>
      <c r="AI460" s="293">
        <f t="shared" si="133"/>
        <v>-0.16253846153846158</v>
      </c>
      <c r="AJ460" s="292"/>
      <c r="AK460" s="263"/>
      <c r="AL460" s="264">
        <v>3957.29</v>
      </c>
      <c r="AM460" s="268"/>
      <c r="AN460" s="266">
        <f t="shared" si="134"/>
        <v>34.610000000000127</v>
      </c>
      <c r="AO460" s="269">
        <f t="shared" si="135"/>
        <v>8.7458841783139788E-3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10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2332.0000000000005</v>
      </c>
      <c r="AA461" s="279"/>
      <c r="AB461" s="287"/>
      <c r="AC461" s="280"/>
      <c r="AD461" s="288"/>
      <c r="AE461" s="287"/>
      <c r="AF461" s="280">
        <v>2865.3</v>
      </c>
      <c r="AG461" s="281"/>
      <c r="AH461" s="282">
        <f t="shared" si="132"/>
        <v>533.29999999999973</v>
      </c>
      <c r="AI461" s="335">
        <f t="shared" si="133"/>
        <v>0.22868782161234974</v>
      </c>
      <c r="AJ461" s="279"/>
      <c r="AK461" s="279"/>
      <c r="AL461" s="280">
        <v>2713.8199999999952</v>
      </c>
      <c r="AM461" s="284"/>
      <c r="AN461" s="282">
        <f t="shared" si="134"/>
        <v>151.48000000000502</v>
      </c>
      <c r="AO461" s="289">
        <f t="shared" si="135"/>
        <v>5.5817998246016791E-2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10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10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v>0</v>
      </c>
      <c r="AA463" s="279"/>
      <c r="AB463" s="279"/>
      <c r="AC463" s="282"/>
      <c r="AD463" s="288"/>
      <c r="AE463" s="287"/>
      <c r="AF463" s="280"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10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v>0</v>
      </c>
      <c r="AA464" s="279"/>
      <c r="AB464" s="279"/>
      <c r="AC464" s="282"/>
      <c r="AD464" s="288"/>
      <c r="AE464" s="287"/>
      <c r="AF464" s="280"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10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v>0</v>
      </c>
      <c r="AA465" s="279"/>
      <c r="AB465" s="279"/>
      <c r="AC465" s="282"/>
      <c r="AD465" s="288"/>
      <c r="AE465" s="287"/>
      <c r="AF465" s="280"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10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0.19460968410176982</v>
      </c>
      <c r="Y466" s="297"/>
      <c r="Z466" s="299">
        <f>SUM(Z453:Z465)</f>
        <v>830681.35333333327</v>
      </c>
      <c r="AA466" s="298"/>
      <c r="AB466" s="297"/>
      <c r="AC466" s="299"/>
      <c r="AD466" s="300">
        <f>AF466/AF407</f>
        <v>0.18135906679442679</v>
      </c>
      <c r="AE466" s="297"/>
      <c r="AF466" s="299">
        <f>SUM(AF453:AF465)</f>
        <v>839102.89</v>
      </c>
      <c r="AG466" s="308"/>
      <c r="AH466" s="302">
        <f>SUM(AH453:AH465)</f>
        <v>8421.5366666666705</v>
      </c>
      <c r="AI466" s="298">
        <f>IF(Z466=0,0,AH466/Z466)</f>
        <v>1.0138107269259121E-2</v>
      </c>
      <c r="AJ466" s="300">
        <f>IF($AL$407=0,0,AL466/$AL$407)</f>
        <v>0.19725324468844704</v>
      </c>
      <c r="AK466" s="298"/>
      <c r="AL466" s="299">
        <f>SUM(AL453:AL465)</f>
        <v>818158.2699999999</v>
      </c>
      <c r="AM466" s="309"/>
      <c r="AN466" s="302">
        <f>SUM(AN453:AN465)</f>
        <v>20944.620000000075</v>
      </c>
      <c r="AO466" s="331">
        <f t="shared" ref="AO466:AO483" si="136">IF(AL466=0,0,AN466/AL466)</f>
        <v>2.559971678829339E-2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10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37">AF467-Z467</f>
        <v>0</v>
      </c>
      <c r="AI467" s="283"/>
      <c r="AJ467" s="288"/>
      <c r="AK467" s="279"/>
      <c r="AL467" s="336"/>
      <c r="AM467" s="337"/>
      <c r="AN467" s="282">
        <f t="shared" ref="AN467:AN483" si="138">AF467-AL467</f>
        <v>0</v>
      </c>
      <c r="AO467" s="338">
        <f t="shared" si="136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10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1.131292543408833</v>
      </c>
      <c r="Y468" s="297"/>
      <c r="Z468" s="299">
        <f>Z419+Z433+Z452+Z466</f>
        <v>4828863.6062084427</v>
      </c>
      <c r="AA468" s="298"/>
      <c r="AB468" s="297"/>
      <c r="AC468" s="299"/>
      <c r="AD468" s="300">
        <f>AF468/AF407</f>
        <v>1.0556614368354393</v>
      </c>
      <c r="AE468" s="297"/>
      <c r="AF468" s="299">
        <f>AF419+AF433+AF452+AF466</f>
        <v>4884280.55</v>
      </c>
      <c r="AG468" s="308"/>
      <c r="AH468" s="302">
        <f t="shared" si="137"/>
        <v>55416.943791557103</v>
      </c>
      <c r="AI468" s="298">
        <f>AH468/Z468</f>
        <v>1.1476187424367889E-2</v>
      </c>
      <c r="AJ468" s="300">
        <f>IF($AL$407=0,0,AL468/$AL$407)</f>
        <v>1.150529788916933</v>
      </c>
      <c r="AK468" s="298"/>
      <c r="AL468" s="299">
        <f>AL419+AL433+AL452+AL466</f>
        <v>4772116.4899999993</v>
      </c>
      <c r="AM468" s="309"/>
      <c r="AN468" s="302">
        <f t="shared" si="138"/>
        <v>112164.06000000052</v>
      </c>
      <c r="AO468" s="277">
        <f t="shared" si="136"/>
        <v>2.3504049038836548E-2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10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20402.420000000002</v>
      </c>
      <c r="AG469" s="342"/>
      <c r="AH469" s="282">
        <f t="shared" si="137"/>
        <v>20402.420000000002</v>
      </c>
      <c r="AI469" s="335" t="e">
        <f>IF(AH469=0,0,AH469/Z469)</f>
        <v>#DIV/0!</v>
      </c>
      <c r="AJ469" s="341"/>
      <c r="AK469" s="339"/>
      <c r="AL469" s="343">
        <v>176923.27999999997</v>
      </c>
      <c r="AM469" s="344"/>
      <c r="AN469" s="282">
        <f t="shared" si="138"/>
        <v>-156520.85999999996</v>
      </c>
      <c r="AO469" s="289">
        <f t="shared" si="136"/>
        <v>-0.88468210627793009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10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39">+SUMIF($C:$C,$V470,F:F)</f>
        <v>439804.97847272729</v>
      </c>
      <c r="AA470" s="332"/>
      <c r="AB470" s="333"/>
      <c r="AC470" s="280"/>
      <c r="AD470" s="345"/>
      <c r="AE470" s="333"/>
      <c r="AF470" s="280">
        <f t="shared" ref="AF470:AF476" si="140">+SUMIF($C:$C,$V470,L:L)</f>
        <v>417148.2</v>
      </c>
      <c r="AG470" s="346"/>
      <c r="AH470" s="282">
        <f t="shared" si="137"/>
        <v>-22656.778472727281</v>
      </c>
      <c r="AI470" s="306">
        <f>IF(Z470=0,0,AH470/Z470)</f>
        <v>-5.1515511605633744E-2</v>
      </c>
      <c r="AJ470" s="345"/>
      <c r="AK470" s="332"/>
      <c r="AL470" s="347">
        <f t="shared" ref="AL470:AL476" si="141">+SUMIF($C:$C,$V470,Q:Q)</f>
        <v>436840.59999999992</v>
      </c>
      <c r="AM470" s="348"/>
      <c r="AN470" s="282">
        <f t="shared" si="138"/>
        <v>-19692.399999999907</v>
      </c>
      <c r="AO470" s="289">
        <f t="shared" si="136"/>
        <v>-4.5079143284758587E-2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10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39"/>
        <v>406819.60508727271</v>
      </c>
      <c r="AA471" s="332"/>
      <c r="AB471" s="333"/>
      <c r="AC471" s="280"/>
      <c r="AD471" s="345"/>
      <c r="AE471" s="333"/>
      <c r="AF471" s="280">
        <f t="shared" si="140"/>
        <v>380131.24</v>
      </c>
      <c r="AG471" s="346"/>
      <c r="AH471" s="282">
        <f t="shared" si="137"/>
        <v>-26688.365087272716</v>
      </c>
      <c r="AI471" s="306">
        <f t="shared" ref="AI471:AI480" si="142">IF(AH471=0,0,AH471/Z471)</f>
        <v>-6.5602455618006442E-2</v>
      </c>
      <c r="AJ471" s="345"/>
      <c r="AK471" s="332"/>
      <c r="AL471" s="347">
        <f t="shared" si="141"/>
        <v>381369.73000000004</v>
      </c>
      <c r="AM471" s="348"/>
      <c r="AN471" s="282">
        <f t="shared" si="138"/>
        <v>-1238.4900000000489</v>
      </c>
      <c r="AO471" s="289">
        <f t="shared" si="136"/>
        <v>-3.2474785033412296E-3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10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39"/>
        <v>0</v>
      </c>
      <c r="AA472" s="332"/>
      <c r="AB472" s="333"/>
      <c r="AC472" s="280"/>
      <c r="AD472" s="345"/>
      <c r="AE472" s="333"/>
      <c r="AF472" s="280">
        <f t="shared" si="140"/>
        <v>0</v>
      </c>
      <c r="AG472" s="346"/>
      <c r="AH472" s="282">
        <f t="shared" si="137"/>
        <v>0</v>
      </c>
      <c r="AI472" s="306">
        <f t="shared" si="142"/>
        <v>0</v>
      </c>
      <c r="AJ472" s="345"/>
      <c r="AK472" s="332"/>
      <c r="AL472" s="347">
        <f t="shared" si="141"/>
        <v>0</v>
      </c>
      <c r="AM472" s="348"/>
      <c r="AN472" s="282">
        <f t="shared" si="138"/>
        <v>0</v>
      </c>
      <c r="AO472" s="289">
        <f t="shared" si="136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10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39"/>
        <v>0</v>
      </c>
      <c r="AA473" s="332"/>
      <c r="AB473" s="333"/>
      <c r="AC473" s="280"/>
      <c r="AD473" s="345"/>
      <c r="AE473" s="333"/>
      <c r="AF473" s="280">
        <f t="shared" si="140"/>
        <v>0</v>
      </c>
      <c r="AG473" s="346"/>
      <c r="AH473" s="282">
        <f t="shared" si="137"/>
        <v>0</v>
      </c>
      <c r="AI473" s="306">
        <f t="shared" si="142"/>
        <v>0</v>
      </c>
      <c r="AJ473" s="345"/>
      <c r="AK473" s="332"/>
      <c r="AL473" s="347">
        <f t="shared" si="141"/>
        <v>0</v>
      </c>
      <c r="AM473" s="348"/>
      <c r="AN473" s="282">
        <f t="shared" si="138"/>
        <v>0</v>
      </c>
      <c r="AO473" s="289">
        <f t="shared" si="136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10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39"/>
        <v>26625</v>
      </c>
      <c r="AA474" s="332"/>
      <c r="AB474" s="333"/>
      <c r="AC474" s="280"/>
      <c r="AD474" s="345"/>
      <c r="AE474" s="333"/>
      <c r="AF474" s="280">
        <f t="shared" si="140"/>
        <v>14775</v>
      </c>
      <c r="AG474" s="346"/>
      <c r="AH474" s="282">
        <f t="shared" si="137"/>
        <v>-11850</v>
      </c>
      <c r="AI474" s="306">
        <f t="shared" si="142"/>
        <v>-0.44507042253521129</v>
      </c>
      <c r="AJ474" s="345"/>
      <c r="AK474" s="332"/>
      <c r="AL474" s="347">
        <f t="shared" si="141"/>
        <v>16050</v>
      </c>
      <c r="AM474" s="348"/>
      <c r="AN474" s="282">
        <f t="shared" si="138"/>
        <v>-1275</v>
      </c>
      <c r="AO474" s="289">
        <f t="shared" si="136"/>
        <v>-7.9439252336448593E-2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10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39"/>
        <v>9514</v>
      </c>
      <c r="AA475" s="332"/>
      <c r="AB475" s="333"/>
      <c r="AC475" s="280"/>
      <c r="AD475" s="345"/>
      <c r="AE475" s="333"/>
      <c r="AF475" s="280">
        <f t="shared" si="140"/>
        <v>875</v>
      </c>
      <c r="AG475" s="346"/>
      <c r="AH475" s="282">
        <f t="shared" si="137"/>
        <v>-8639</v>
      </c>
      <c r="AI475" s="306">
        <f t="shared" si="142"/>
        <v>-0.90803027117931467</v>
      </c>
      <c r="AJ475" s="345"/>
      <c r="AK475" s="332"/>
      <c r="AL475" s="347">
        <f t="shared" si="141"/>
        <v>26075</v>
      </c>
      <c r="AM475" s="348"/>
      <c r="AN475" s="282">
        <f t="shared" si="138"/>
        <v>-25200</v>
      </c>
      <c r="AO475" s="289">
        <f t="shared" si="136"/>
        <v>-0.96644295302013428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10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39"/>
        <v>0</v>
      </c>
      <c r="AA476" s="332"/>
      <c r="AB476" s="333"/>
      <c r="AC476" s="280"/>
      <c r="AD476" s="345"/>
      <c r="AE476" s="333"/>
      <c r="AF476" s="280">
        <f t="shared" si="140"/>
        <v>0</v>
      </c>
      <c r="AG476" s="346"/>
      <c r="AH476" s="282">
        <f t="shared" si="137"/>
        <v>0</v>
      </c>
      <c r="AI476" s="306">
        <f t="shared" si="142"/>
        <v>0</v>
      </c>
      <c r="AJ476" s="345"/>
      <c r="AK476" s="332"/>
      <c r="AL476" s="347">
        <f t="shared" si="141"/>
        <v>0</v>
      </c>
      <c r="AM476" s="348"/>
      <c r="AN476" s="282">
        <f t="shared" si="138"/>
        <v>0</v>
      </c>
      <c r="AO476" s="289">
        <f t="shared" si="136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10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230897.61369818184</v>
      </c>
      <c r="AA477" s="332"/>
      <c r="AB477" s="333"/>
      <c r="AC477" s="280"/>
      <c r="AD477" s="345"/>
      <c r="AE477" s="333"/>
      <c r="AF477" s="280">
        <v>235707.14</v>
      </c>
      <c r="AG477" s="346"/>
      <c r="AH477" s="282">
        <f t="shared" si="137"/>
        <v>4809.5263018181722</v>
      </c>
      <c r="AI477" s="306">
        <f t="shared" si="142"/>
        <v>2.082969254114922E-2</v>
      </c>
      <c r="AJ477" s="345"/>
      <c r="AK477" s="332"/>
      <c r="AL477" s="347">
        <v>213807.91</v>
      </c>
      <c r="AM477" s="348"/>
      <c r="AN477" s="282">
        <f t="shared" si="138"/>
        <v>21899.23000000001</v>
      </c>
      <c r="AO477" s="289">
        <f t="shared" si="136"/>
        <v>0.10242478868064334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10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 t="shared" ref="Z478:Z480" si="143">+SUMIF($C:$C,$V478,F:F)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37"/>
        <v>0</v>
      </c>
      <c r="AI478" s="283">
        <f t="shared" si="142"/>
        <v>0</v>
      </c>
      <c r="AJ478" s="288"/>
      <c r="AK478" s="279"/>
      <c r="AL478" s="280">
        <f t="shared" ref="AL478:AL479" si="144">+SUMIF($C:$C,$V478,Q:Q)</f>
        <v>0</v>
      </c>
      <c r="AM478" s="348"/>
      <c r="AN478" s="282">
        <f t="shared" si="138"/>
        <v>0</v>
      </c>
      <c r="AO478" s="289">
        <f t="shared" si="136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10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 t="shared" si="143"/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37"/>
        <v>0</v>
      </c>
      <c r="AI479" s="283">
        <f t="shared" si="142"/>
        <v>0</v>
      </c>
      <c r="AJ479" s="288"/>
      <c r="AK479" s="279"/>
      <c r="AL479" s="280">
        <f t="shared" si="144"/>
        <v>0</v>
      </c>
      <c r="AM479" s="348"/>
      <c r="AN479" s="282">
        <f t="shared" si="138"/>
        <v>0</v>
      </c>
      <c r="AO479" s="289">
        <f t="shared" si="136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10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 t="shared" si="143"/>
        <v>254053.09999999998</v>
      </c>
      <c r="AA480" s="332"/>
      <c r="AB480" s="333"/>
      <c r="AC480" s="280"/>
      <c r="AD480" s="345"/>
      <c r="AE480" s="333"/>
      <c r="AF480" s="280">
        <f>+SUMIF($C:$C,$V480,L:L)</f>
        <v>237405</v>
      </c>
      <c r="AG480" s="346"/>
      <c r="AH480" s="282">
        <f t="shared" si="137"/>
        <v>-16648.099999999977</v>
      </c>
      <c r="AI480" s="306">
        <f t="shared" si="142"/>
        <v>-6.5530001405217961E-2</v>
      </c>
      <c r="AJ480" s="345"/>
      <c r="AK480" s="332"/>
      <c r="AL480" s="347">
        <v>235025</v>
      </c>
      <c r="AM480" s="348"/>
      <c r="AN480" s="282">
        <f t="shared" si="138"/>
        <v>2380</v>
      </c>
      <c r="AO480" s="289">
        <f t="shared" si="136"/>
        <v>1.0126582278481013E-2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10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0.32042424723127355</v>
      </c>
      <c r="Y481" s="330"/>
      <c r="Z481" s="299">
        <f>SUM(Z469:Z480)</f>
        <v>1367714.297258182</v>
      </c>
      <c r="AA481" s="298"/>
      <c r="AB481" s="330"/>
      <c r="AC481" s="299"/>
      <c r="AD481" s="298">
        <f>AF481/+AF407</f>
        <v>0.28236759458566291</v>
      </c>
      <c r="AE481" s="330"/>
      <c r="AF481" s="299">
        <f>SUM(AF469:AF480)</f>
        <v>1306444</v>
      </c>
      <c r="AG481" s="308"/>
      <c r="AH481" s="302">
        <f t="shared" si="137"/>
        <v>-61270.297258181963</v>
      </c>
      <c r="AI481" s="298">
        <f>AH481/Z481</f>
        <v>-4.4797584832599026E-2</v>
      </c>
      <c r="AJ481" s="349"/>
      <c r="AK481" s="350"/>
      <c r="AL481" s="299">
        <f>SUM(AL469:AL480)</f>
        <v>1486091.5199999998</v>
      </c>
      <c r="AM481" s="351"/>
      <c r="AN481" s="302">
        <f t="shared" si="138"/>
        <v>-179647.51999999979</v>
      </c>
      <c r="AO481" s="331">
        <f t="shared" si="136"/>
        <v>-0.12088590613853971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10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38"/>
        <v>0</v>
      </c>
      <c r="AO482" s="364">
        <f t="shared" si="136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10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1.8057906633846467E-2</v>
      </c>
      <c r="Z483" s="369">
        <f>Z407-Z468+Z481</f>
        <v>807298.87834001845</v>
      </c>
      <c r="AA483" s="367"/>
      <c r="AB483" s="368"/>
      <c r="AC483" s="369"/>
      <c r="AD483" s="367" t="s">
        <v>180</v>
      </c>
      <c r="AE483" s="368">
        <f>AF483/AF406</f>
        <v>2.5298650788116599E-2</v>
      </c>
      <c r="AF483" s="370">
        <f>AF407-AF468+AF481</f>
        <v>1048912.4999999963</v>
      </c>
      <c r="AG483" s="371"/>
      <c r="AH483" s="370">
        <f>AF483-Z483</f>
        <v>241613.62165997783</v>
      </c>
      <c r="AI483" s="487">
        <f>AH483/Z483</f>
        <v>0.29928645776987556</v>
      </c>
      <c r="AJ483" s="373" t="s">
        <v>180</v>
      </c>
      <c r="AK483" s="368">
        <f>IF($AL$406=0,0,AL483/$AL$406)</f>
        <v>2.0335893948150548E-2</v>
      </c>
      <c r="AL483" s="370">
        <f>AL407-AL468+AL481</f>
        <v>861730.72999999509</v>
      </c>
      <c r="AM483" s="374"/>
      <c r="AN483" s="370">
        <f t="shared" si="138"/>
        <v>187181.77000000118</v>
      </c>
      <c r="AO483" s="375">
        <f t="shared" si="136"/>
        <v>0.217216078623542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10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45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2025 AAD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45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45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2.5943788553983504E-2</v>
      </c>
      <c r="Z488" s="449">
        <f>Z489+Z415</f>
        <v>1159846.0344381668</v>
      </c>
      <c r="AA488" s="446"/>
      <c r="AB488" s="447"/>
      <c r="AC488" s="448"/>
      <c r="AD488" s="446" t="s">
        <v>180</v>
      </c>
      <c r="AE488" s="447">
        <f>AF488/AF406</f>
        <v>3.2561577742694629E-2</v>
      </c>
      <c r="AF488" s="449">
        <f>AF489+AF415</f>
        <v>1350042.1899999962</v>
      </c>
      <c r="AG488" s="450"/>
      <c r="AH488" s="449">
        <f t="shared" ref="AH488" si="146">AF488-Z488</f>
        <v>190196.15556182945</v>
      </c>
      <c r="AI488" s="500">
        <f>AH488/Z488</f>
        <v>0.16398396848764593</v>
      </c>
      <c r="AJ488" s="446" t="s">
        <v>180</v>
      </c>
      <c r="AK488" s="447">
        <f>IF($AL$406=0,0,AL488/$AL$406)</f>
        <v>3.0180964483857438E-2</v>
      </c>
      <c r="AL488" s="449">
        <f>AL489+AL415</f>
        <v>1278914.2499999951</v>
      </c>
      <c r="AM488" s="452"/>
      <c r="AN488" s="449">
        <f t="shared" ref="AN488" si="147">AF488-AL488</f>
        <v>71127.940000001108</v>
      </c>
      <c r="AO488" s="453">
        <f t="shared" ref="AO488" si="148">IF(AL488=0,0,AN488/AL488)</f>
        <v>5.5615878859744804E-2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45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1.8057906633846467E-2</v>
      </c>
      <c r="Z489" s="381">
        <f>Z483</f>
        <v>807298.87834001845</v>
      </c>
      <c r="AA489" s="379"/>
      <c r="AB489" s="380"/>
      <c r="AC489" s="381"/>
      <c r="AD489" s="379" t="s">
        <v>180</v>
      </c>
      <c r="AE489" s="380">
        <f>AF489/AF406</f>
        <v>2.5298650788116599E-2</v>
      </c>
      <c r="AF489" s="381">
        <f>AF483</f>
        <v>1048912.4999999963</v>
      </c>
      <c r="AG489" s="382"/>
      <c r="AH489" s="370">
        <f>AF489-Z489</f>
        <v>241613.62165997783</v>
      </c>
      <c r="AI489" s="487">
        <f>AH489/Z489</f>
        <v>0.29928645776987556</v>
      </c>
      <c r="AJ489" s="379" t="s">
        <v>180</v>
      </c>
      <c r="AK489" s="380">
        <f>IF($AL$406=0,0,AL489/$AL$406)</f>
        <v>2.0335893948150548E-2</v>
      </c>
      <c r="AL489" s="383">
        <f>AL483</f>
        <v>861730.72999999509</v>
      </c>
      <c r="AM489" s="384"/>
      <c r="AN489" s="385">
        <f>AF489-AL489</f>
        <v>187181.77000000118</v>
      </c>
      <c r="AO489" s="386">
        <f>IF(AL489=0,0,AN489/AL489)</f>
        <v>0.217216078623542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45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45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212300</v>
      </c>
      <c r="AA491" s="279"/>
      <c r="AB491" s="287"/>
      <c r="AC491" s="280"/>
      <c r="AD491" s="279"/>
      <c r="AE491" s="287"/>
      <c r="AF491" s="280">
        <v>203360.41</v>
      </c>
      <c r="AG491" s="279"/>
      <c r="AH491" s="282">
        <f t="shared" ref="AH491:AH498" si="149">AF491-Z491</f>
        <v>-8939.5899999999965</v>
      </c>
      <c r="AI491" s="306">
        <f t="shared" ref="AI491:AI497" si="150">IF(Z491=0,0,AH491/Z491)</f>
        <v>-4.2108290155440396E-2</v>
      </c>
      <c r="AJ491" s="279"/>
      <c r="AK491" s="279"/>
      <c r="AL491" s="280">
        <v>230670</v>
      </c>
      <c r="AM491" s="284"/>
      <c r="AN491" s="282">
        <f t="shared" ref="AN491:AN498" si="151">AF491-AL491</f>
        <v>-27309.589999999997</v>
      </c>
      <c r="AO491" s="289">
        <f t="shared" ref="AO491:AO498" si="152">IF(AL491=0,0,AN491/AL491)</f>
        <v>-0.11839246542680018</v>
      </c>
      <c r="AP491" s="246"/>
      <c r="AQ491" s="24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45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49"/>
        <v>0</v>
      </c>
      <c r="AI492" s="306">
        <f t="shared" si="150"/>
        <v>0</v>
      </c>
      <c r="AJ492" s="10"/>
      <c r="AK492" s="10"/>
      <c r="AL492" s="280">
        <v>0</v>
      </c>
      <c r="AM492" s="393"/>
      <c r="AN492" s="282">
        <f t="shared" si="151"/>
        <v>0</v>
      </c>
      <c r="AO492" s="289">
        <f t="shared" si="152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 hidden="1">
      <c r="A493" t="str">
        <f t="shared" si="145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49"/>
        <v>0</v>
      </c>
      <c r="AI493" s="306">
        <f t="shared" si="150"/>
        <v>0</v>
      </c>
      <c r="AJ493" s="10"/>
      <c r="AK493" s="10"/>
      <c r="AL493" s="280">
        <v>0</v>
      </c>
      <c r="AM493" s="393"/>
      <c r="AN493" s="282">
        <f t="shared" si="151"/>
        <v>0</v>
      </c>
      <c r="AO493" s="289">
        <f t="shared" si="152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45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49"/>
        <v>0</v>
      </c>
      <c r="AI494" s="306">
        <f t="shared" si="150"/>
        <v>0</v>
      </c>
      <c r="AJ494" s="10"/>
      <c r="AK494" s="10"/>
      <c r="AL494" s="280">
        <v>0</v>
      </c>
      <c r="AM494" s="393"/>
      <c r="AN494" s="282">
        <f t="shared" si="151"/>
        <v>0</v>
      </c>
      <c r="AO494" s="289">
        <f t="shared" si="152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45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49"/>
        <v>0</v>
      </c>
      <c r="AI495" s="283">
        <f t="shared" si="150"/>
        <v>0</v>
      </c>
      <c r="AJ495" s="288"/>
      <c r="AK495" s="279"/>
      <c r="AL495" s="280">
        <v>0</v>
      </c>
      <c r="AM495" s="393"/>
      <c r="AN495" s="282">
        <f t="shared" si="151"/>
        <v>0</v>
      </c>
      <c r="AO495" s="289">
        <f t="shared" si="152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45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248</v>
      </c>
      <c r="W496" s="13"/>
      <c r="X496" s="13"/>
      <c r="Y496" s="13"/>
      <c r="Z496" s="282">
        <v>-28447.540983606559</v>
      </c>
      <c r="AA496" s="279"/>
      <c r="AB496" s="279"/>
      <c r="AC496" s="282"/>
      <c r="AD496" s="288"/>
      <c r="AE496" s="287"/>
      <c r="AF496" s="280">
        <v>-28447.54</v>
      </c>
      <c r="AG496" s="281"/>
      <c r="AH496" s="282">
        <f t="shared" si="149"/>
        <v>9.8360655829310417E-4</v>
      </c>
      <c r="AI496" s="283">
        <f t="shared" si="150"/>
        <v>-3.4576154011340607E-8</v>
      </c>
      <c r="AJ496" s="288"/>
      <c r="AK496" s="279"/>
      <c r="AL496" s="280">
        <v>-64518.409999999996</v>
      </c>
      <c r="AM496" s="393"/>
      <c r="AN496" s="282">
        <f t="shared" si="151"/>
        <v>36070.869999999995</v>
      </c>
      <c r="AO496" s="289">
        <f t="shared" si="152"/>
        <v>-0.55907871877189774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45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49"/>
        <v>0</v>
      </c>
      <c r="AI497" s="283">
        <f t="shared" si="150"/>
        <v>0</v>
      </c>
      <c r="AJ497" s="288"/>
      <c r="AK497" s="279"/>
      <c r="AL497" s="280">
        <v>0</v>
      </c>
      <c r="AM497" s="393"/>
      <c r="AN497" s="282">
        <f t="shared" si="151"/>
        <v>0</v>
      </c>
      <c r="AO497" s="289">
        <f t="shared" si="152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45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1.3945438961219773E-2</v>
      </c>
      <c r="Z498" s="369">
        <f>Z489-Z491-Z492-Z493-Z497-Z496-Z494-Z495</f>
        <v>623446.41932362504</v>
      </c>
      <c r="AA498" s="367"/>
      <c r="AB498" s="368"/>
      <c r="AC498" s="369"/>
      <c r="AD498" s="367" t="s">
        <v>180</v>
      </c>
      <c r="AE498" s="368">
        <f>AF498/AF406</f>
        <v>2.1079938916080319E-2</v>
      </c>
      <c r="AF498" s="370">
        <f>AF489-AF491-AF492-AF493-AF497-AF496-AF494-AF495</f>
        <v>873999.62999999628</v>
      </c>
      <c r="AG498" s="371"/>
      <c r="AH498" s="370">
        <f t="shared" si="149"/>
        <v>250553.21067637124</v>
      </c>
      <c r="AI498" s="487">
        <f>AH498/Z498</f>
        <v>0.40188411210733327</v>
      </c>
      <c r="AJ498" s="373" t="s">
        <v>180</v>
      </c>
      <c r="AK498" s="368">
        <f>IF($AL$406=0,0,AL498/$AL$406)</f>
        <v>1.6414899841840087E-2</v>
      </c>
      <c r="AL498" s="370">
        <f>AL489-AL491-AL492-AL493-AL497-AL496-AL494-AL495</f>
        <v>695579.13999999512</v>
      </c>
      <c r="AM498" s="374"/>
      <c r="AN498" s="370">
        <f t="shared" si="151"/>
        <v>178420.49000000115</v>
      </c>
      <c r="AO498" s="394">
        <f t="shared" si="152"/>
        <v>0.25650638401836262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>
        <v>228527.27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645472.35999999626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AF498/Z498</f>
        <v>1.4018841121073333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474">
        <f>AF500/AF498</f>
        <v>0.26147295966246686</v>
      </c>
      <c r="AG508" s="246"/>
      <c r="AH508" s="474">
        <f>AF498/Z498</f>
        <v>1.4018841121073333</v>
      </c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X404:Z404"/>
    <mergeCell ref="AA404:AC404"/>
    <mergeCell ref="AD404:AF404"/>
    <mergeCell ref="AG404:AI404"/>
    <mergeCell ref="AJ404:AL404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31:D32">
    <cfRule type="expression" dxfId="336" priority="8" stopIfTrue="1">
      <formula>"esterreur(reference)"</formula>
    </cfRule>
  </conditionalFormatting>
  <conditionalFormatting sqref="D112:D113">
    <cfRule type="expression" dxfId="335" priority="3" stopIfTrue="1">
      <formula>"esterreur(reference)"</formula>
    </cfRule>
  </conditionalFormatting>
  <conditionalFormatting sqref="D292">
    <cfRule type="expression" dxfId="334" priority="2" stopIfTrue="1">
      <formula>"esterreur(reference)"</formula>
    </cfRule>
  </conditionalFormatting>
  <conditionalFormatting sqref="F5">
    <cfRule type="expression" dxfId="333" priority="69" stopIfTrue="1">
      <formula>"esterreur(reference)"</formula>
    </cfRule>
  </conditionalFormatting>
  <conditionalFormatting sqref="F184">
    <cfRule type="expression" dxfId="332" priority="79" stopIfTrue="1">
      <formula>"esterreur(reference)"</formula>
    </cfRule>
  </conditionalFormatting>
  <conditionalFormatting sqref="G31:G32">
    <cfRule type="expression" dxfId="331" priority="7" stopIfTrue="1">
      <formula>"esterreur(reference)"</formula>
    </cfRule>
  </conditionalFormatting>
  <conditionalFormatting sqref="G112:G113">
    <cfRule type="expression" dxfId="330" priority="4" stopIfTrue="1">
      <formula>"esterreur(reference)"</formula>
    </cfRule>
  </conditionalFormatting>
  <conditionalFormatting sqref="H136:H152">
    <cfRule type="expression" dxfId="329" priority="33" stopIfTrue="1">
      <formula>"esterreur(reference)"</formula>
    </cfRule>
  </conditionalFormatting>
  <conditionalFormatting sqref="H360">
    <cfRule type="expression" dxfId="328" priority="112" stopIfTrue="1">
      <formula>"esterreur(reference)"</formula>
    </cfRule>
  </conditionalFormatting>
  <conditionalFormatting sqref="H197:L197">
    <cfRule type="expression" dxfId="327" priority="114" stopIfTrue="1">
      <formula>"esterreur(reference)"</formula>
    </cfRule>
  </conditionalFormatting>
  <conditionalFormatting sqref="H396:L399">
    <cfRule type="expression" dxfId="326" priority="110" stopIfTrue="1">
      <formula>"esterreur(reference)"</formula>
    </cfRule>
  </conditionalFormatting>
  <conditionalFormatting sqref="I377:L377 H378:H395">
    <cfRule type="expression" dxfId="325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4" priority="104" stopIfTrue="1">
      <formula>"esterreur(reference)"</formula>
    </cfRule>
  </conditionalFormatting>
  <conditionalFormatting sqref="J55:K71">
    <cfRule type="expression" dxfId="323" priority="115" stopIfTrue="1">
      <formula>"esterreur(reference)"</formula>
    </cfRule>
  </conditionalFormatting>
  <conditionalFormatting sqref="J102:L104">
    <cfRule type="expression" dxfId="322" priority="100" stopIfTrue="1">
      <formula>"esterreur(reference)"</formula>
    </cfRule>
  </conditionalFormatting>
  <conditionalFormatting sqref="J149:L152">
    <cfRule type="expression" dxfId="321" priority="32" stopIfTrue="1">
      <formula>"esterreur(reference)"</formula>
    </cfRule>
  </conditionalFormatting>
  <conditionalFormatting sqref="J295:L303">
    <cfRule type="expression" dxfId="320" priority="96" stopIfTrue="1">
      <formula>"esterreur(reference)"</formula>
    </cfRule>
  </conditionalFormatting>
  <conditionalFormatting sqref="J307:L308">
    <cfRule type="expression" dxfId="319" priority="86" stopIfTrue="1">
      <formula>"esterreur(reference)"</formula>
    </cfRule>
  </conditionalFormatting>
  <conditionalFormatting sqref="J360:L360">
    <cfRule type="expression" dxfId="318" priority="78" stopIfTrue="1">
      <formula>"esterreur(reference)"</formula>
    </cfRule>
  </conditionalFormatting>
  <conditionalFormatting sqref="J365:L376">
    <cfRule type="expression" dxfId="317" priority="83" stopIfTrue="1">
      <formula>"esterreur(reference)"</formula>
    </cfRule>
  </conditionalFormatting>
  <conditionalFormatting sqref="J378:L394">
    <cfRule type="expression" dxfId="316" priority="82" stopIfTrue="1">
      <formula>"esterreur(reference)"</formula>
    </cfRule>
  </conditionalFormatting>
  <conditionalFormatting sqref="J312:M312">
    <cfRule type="expression" dxfId="315" priority="84" stopIfTrue="1">
      <formula>"esterreur(reference)"</formula>
    </cfRule>
  </conditionalFormatting>
  <conditionalFormatting sqref="J112:Q121">
    <cfRule type="expression" dxfId="314" priority="5" stopIfTrue="1">
      <formula>"esterreur(reference)"</formula>
    </cfRule>
  </conditionalFormatting>
  <conditionalFormatting sqref="J123:Q134">
    <cfRule type="expression" dxfId="313" priority="59" stopIfTrue="1">
      <formula>"esterreur(reference)"</formula>
    </cfRule>
  </conditionalFormatting>
  <conditionalFormatting sqref="K5">
    <cfRule type="expression" dxfId="312" priority="93" stopIfTrue="1">
      <formula>"esterreur(reference)"</formula>
    </cfRule>
  </conditionalFormatting>
  <conditionalFormatting sqref="K175">
    <cfRule type="expression" dxfId="311" priority="90" stopIfTrue="1">
      <formula>"esterreur(reference)"</formula>
    </cfRule>
  </conditionalFormatting>
  <conditionalFormatting sqref="K183:K184">
    <cfRule type="expression" dxfId="310" priority="92" stopIfTrue="1">
      <formula>"esterreur(reference)"</formula>
    </cfRule>
  </conditionalFormatting>
  <conditionalFormatting sqref="K287">
    <cfRule type="expression" dxfId="309" priority="76" stopIfTrue="1">
      <formula>"esterreur(reference)"</formula>
    </cfRule>
  </conditionalFormatting>
  <conditionalFormatting sqref="K395">
    <cfRule type="expression" dxfId="308" priority="113" stopIfTrue="1">
      <formula>"esterreur(reference)"</formula>
    </cfRule>
  </conditionalFormatting>
  <conditionalFormatting sqref="K93:L96">
    <cfRule type="expression" dxfId="307" priority="81" stopIfTrue="1">
      <formula>"esterreur(reference)"</formula>
    </cfRule>
  </conditionalFormatting>
  <conditionalFormatting sqref="K99:L100">
    <cfRule type="expression" dxfId="306" priority="101" stopIfTrue="1">
      <formula>"esterreur(reference)"</formula>
    </cfRule>
  </conditionalFormatting>
  <conditionalFormatting sqref="K171:L173">
    <cfRule type="expression" dxfId="305" priority="91" stopIfTrue="1">
      <formula>"esterreur(reference)"</formula>
    </cfRule>
  </conditionalFormatting>
  <conditionalFormatting sqref="K176:L182">
    <cfRule type="expression" dxfId="304" priority="89" stopIfTrue="1">
      <formula>"esterreur(reference)"</formula>
    </cfRule>
  </conditionalFormatting>
  <conditionalFormatting sqref="K185:L196">
    <cfRule type="expression" dxfId="303" priority="85" stopIfTrue="1">
      <formula>"esterreur(reference)"</formula>
    </cfRule>
  </conditionalFormatting>
  <conditionalFormatting sqref="K239:L241">
    <cfRule type="expression" dxfId="302" priority="80" stopIfTrue="1">
      <formula>"esterreur(reference)"</formula>
    </cfRule>
  </conditionalFormatting>
  <conditionalFormatting sqref="K244:L244">
    <cfRule type="expression" dxfId="301" priority="88" stopIfTrue="1">
      <formula>"esterreur(reference)"</formula>
    </cfRule>
  </conditionalFormatting>
  <conditionalFormatting sqref="K247:L247">
    <cfRule type="expression" dxfId="300" priority="87" stopIfTrue="1">
      <formula>"esterreur(reference)"</formula>
    </cfRule>
  </conditionalFormatting>
  <conditionalFormatting sqref="L16:L24">
    <cfRule type="expression" dxfId="299" priority="103" stopIfTrue="1">
      <formula>"esterreur(reference)"</formula>
    </cfRule>
  </conditionalFormatting>
  <conditionalFormatting sqref="L42:L48">
    <cfRule type="expression" dxfId="298" priority="102" stopIfTrue="1">
      <formula>"esterreur(reference)"</formula>
    </cfRule>
  </conditionalFormatting>
  <conditionalFormatting sqref="L55:L66">
    <cfRule type="expression" dxfId="297" priority="70" stopIfTrue="1">
      <formula>"esterreur(reference)"</formula>
    </cfRule>
  </conditionalFormatting>
  <conditionalFormatting sqref="L69:L71">
    <cfRule type="expression" dxfId="296" priority="34" stopIfTrue="1">
      <formula>"esterreur(reference)"</formula>
    </cfRule>
  </conditionalFormatting>
  <conditionalFormatting sqref="L75:L82">
    <cfRule type="expression" dxfId="295" priority="71" stopIfTrue="1">
      <formula>"esterreur(reference)"</formula>
    </cfRule>
  </conditionalFormatting>
  <conditionalFormatting sqref="L136:L147">
    <cfRule type="expression" dxfId="294" priority="75" stopIfTrue="1">
      <formula>"esterreur(reference)"</formula>
    </cfRule>
  </conditionalFormatting>
  <conditionalFormatting sqref="L174:L175">
    <cfRule type="expression" dxfId="293" priority="99" stopIfTrue="1">
      <formula>"esterreur(reference)"</formula>
    </cfRule>
  </conditionalFormatting>
  <conditionalFormatting sqref="L198:L209">
    <cfRule type="expression" dxfId="292" priority="98" stopIfTrue="1">
      <formula>"esterreur(reference)"</formula>
    </cfRule>
  </conditionalFormatting>
  <conditionalFormatting sqref="L211:L228">
    <cfRule type="expression" dxfId="291" priority="74" stopIfTrue="1">
      <formula>"esterreur(reference)"</formula>
    </cfRule>
  </conditionalFormatting>
  <conditionalFormatting sqref="L254:L265">
    <cfRule type="expression" dxfId="290" priority="97" stopIfTrue="1">
      <formula>"esterreur(reference)"</formula>
    </cfRule>
  </conditionalFormatting>
  <conditionalFormatting sqref="L267:L284">
    <cfRule type="expression" dxfId="289" priority="73" stopIfTrue="1">
      <formula>"esterreur(reference)"</formula>
    </cfRule>
  </conditionalFormatting>
  <conditionalFormatting sqref="L318:L329">
    <cfRule type="expression" dxfId="288" priority="95" stopIfTrue="1">
      <formula>"esterreur(reference)"</formula>
    </cfRule>
  </conditionalFormatting>
  <conditionalFormatting sqref="L331">
    <cfRule type="expression" dxfId="287" priority="72" stopIfTrue="1">
      <formula>"esterreur(reference)"</formula>
    </cfRule>
  </conditionalFormatting>
  <conditionalFormatting sqref="L334:L343 L345:L348">
    <cfRule type="expression" dxfId="286" priority="94" stopIfTrue="1">
      <formula>"esterreur(reference)"</formula>
    </cfRule>
  </conditionalFormatting>
  <conditionalFormatting sqref="L356:L357 H357:I357 K357 J357:J358 H359:L359">
    <cfRule type="expression" dxfId="285" priority="109" stopIfTrue="1">
      <formula>"esterreur(reference)"</formula>
    </cfRule>
  </conditionalFormatting>
  <conditionalFormatting sqref="L5:Q14">
    <cfRule type="expression" dxfId="284" priority="64" stopIfTrue="1">
      <formula>"esterreur(reference)"</formula>
    </cfRule>
  </conditionalFormatting>
  <conditionalFormatting sqref="L156:Q162">
    <cfRule type="expression" dxfId="283" priority="30" stopIfTrue="1">
      <formula>"esterreur(reference)"</formula>
    </cfRule>
  </conditionalFormatting>
  <conditionalFormatting sqref="M95:M97">
    <cfRule type="expression" dxfId="282" priority="105" stopIfTrue="1">
      <formula>"esterreur(reference)"</formula>
    </cfRule>
  </conditionalFormatting>
  <conditionalFormatting sqref="O13:O14 O16 O18:O24 O83:Q85">
    <cfRule type="expression" dxfId="281" priority="68" stopIfTrue="1">
      <formula>"esterreur(reference)"</formula>
    </cfRule>
  </conditionalFormatting>
  <conditionalFormatting sqref="O172:O196 Q183 O198:P229 O232:Q232 O233:P233">
    <cfRule type="expression" dxfId="280" priority="57" stopIfTrue="1">
      <formula>"esterreur(reference)"</formula>
    </cfRule>
  </conditionalFormatting>
  <conditionalFormatting sqref="O292">
    <cfRule type="expression" dxfId="279" priority="1" stopIfTrue="1">
      <formula>"esterreur(reference)"</formula>
    </cfRule>
  </conditionalFormatting>
  <conditionalFormatting sqref="O318:P348 O349:Q349 O352:Q352 O353:P353">
    <cfRule type="expression" dxfId="278" priority="41" stopIfTrue="1">
      <formula>"esterreur(reference)"</formula>
    </cfRule>
  </conditionalFormatting>
  <conditionalFormatting sqref="O25:Q72">
    <cfRule type="expression" dxfId="277" priority="6" stopIfTrue="1">
      <formula>"esterreur(reference)"</formula>
    </cfRule>
  </conditionalFormatting>
  <conditionalFormatting sqref="O97:Q98 O122:Q122 O156:P157 O164:Q164 O165:P165">
    <cfRule type="expression" dxfId="276" priority="63" stopIfTrue="1">
      <formula>"esterreur(reference)"</formula>
    </cfRule>
  </conditionalFormatting>
  <conditionalFormatting sqref="O101:Q111">
    <cfRule type="expression" dxfId="275" priority="61" stopIfTrue="1">
      <formula>"esterreur(reference)"</formula>
    </cfRule>
  </conditionalFormatting>
  <conditionalFormatting sqref="O135:Q153">
    <cfRule type="expression" dxfId="274" priority="31" stopIfTrue="1">
      <formula>"esterreur(reference)"</formula>
    </cfRule>
  </conditionalFormatting>
  <conditionalFormatting sqref="O197:Q197">
    <cfRule type="expression" dxfId="273" priority="58" stopIfTrue="1">
      <formula>"esterreur(reference)"</formula>
    </cfRule>
  </conditionalFormatting>
  <conditionalFormatting sqref="O243:Q243 O252:Q253 O254:P284 O285:Q285 O288:Q288 O289:P289">
    <cfRule type="expression" dxfId="272" priority="48" stopIfTrue="1">
      <formula>"esterreur(reference)"</formula>
    </cfRule>
  </conditionalFormatting>
  <conditionalFormatting sqref="O295:Q317">
    <cfRule type="expression" dxfId="271" priority="39" stopIfTrue="1">
      <formula>"esterreur(reference)"</formula>
    </cfRule>
  </conditionalFormatting>
  <conditionalFormatting sqref="O359:Q394">
    <cfRule type="expression" dxfId="270" priority="35" stopIfTrue="1">
      <formula>"esterreur(reference)"</formula>
    </cfRule>
  </conditionalFormatting>
  <conditionalFormatting sqref="O396:Q399">
    <cfRule type="expression" dxfId="269" priority="36" stopIfTrue="1">
      <formula>"esterreur(reference)"</formula>
    </cfRule>
  </conditionalFormatting>
  <conditionalFormatting sqref="P5">
    <cfRule type="expression" dxfId="268" priority="65" stopIfTrue="1">
      <formula>"esterreur(reference)"</formula>
    </cfRule>
  </conditionalFormatting>
  <conditionalFormatting sqref="P175">
    <cfRule type="expression" dxfId="267" priority="52" stopIfTrue="1">
      <formula>"esterreur(reference)"</formula>
    </cfRule>
  </conditionalFormatting>
  <conditionalFormatting sqref="P183:P184">
    <cfRule type="expression" dxfId="266" priority="54" stopIfTrue="1">
      <formula>"esterreur(reference)"</formula>
    </cfRule>
  </conditionalFormatting>
  <conditionalFormatting sqref="P287">
    <cfRule type="expression" dxfId="265" priority="43" stopIfTrue="1">
      <formula>"esterreur(reference)"</formula>
    </cfRule>
  </conditionalFormatting>
  <conditionalFormatting sqref="P395">
    <cfRule type="expression" dxfId="264" priority="37" stopIfTrue="1">
      <formula>"esterreur(reference)"</formula>
    </cfRule>
  </conditionalFormatting>
  <conditionalFormatting sqref="P93:Q96">
    <cfRule type="expression" dxfId="263" priority="60" stopIfTrue="1">
      <formula>"esterreur(reference)"</formula>
    </cfRule>
  </conditionalFormatting>
  <conditionalFormatting sqref="P99:Q100">
    <cfRule type="expression" dxfId="262" priority="62" stopIfTrue="1">
      <formula>"esterreur(reference)"</formula>
    </cfRule>
  </conditionalFormatting>
  <conditionalFormatting sqref="P172:Q173">
    <cfRule type="expression" dxfId="261" priority="53" stopIfTrue="1">
      <formula>"esterreur(reference)"</formula>
    </cfRule>
  </conditionalFormatting>
  <conditionalFormatting sqref="P176:Q182">
    <cfRule type="expression" dxfId="260" priority="51" stopIfTrue="1">
      <formula>"esterreur(reference)"</formula>
    </cfRule>
  </conditionalFormatting>
  <conditionalFormatting sqref="P185:Q196">
    <cfRule type="expression" dxfId="259" priority="50" stopIfTrue="1">
      <formula>"esterreur(reference)"</formula>
    </cfRule>
  </conditionalFormatting>
  <conditionalFormatting sqref="P241:Q241">
    <cfRule type="expression" dxfId="258" priority="44" stopIfTrue="1">
      <formula>"esterreur(reference)"</formula>
    </cfRule>
  </conditionalFormatting>
  <conditionalFormatting sqref="P244:Q244">
    <cfRule type="expression" dxfId="257" priority="46" stopIfTrue="1">
      <formula>"esterreur(reference)"</formula>
    </cfRule>
  </conditionalFormatting>
  <conditionalFormatting sqref="P247:Q247">
    <cfRule type="expression" dxfId="256" priority="45" stopIfTrue="1">
      <formula>"esterreur(reference)"</formula>
    </cfRule>
  </conditionalFormatting>
  <conditionalFormatting sqref="Q16:Q24">
    <cfRule type="expression" dxfId="255" priority="67" stopIfTrue="1">
      <formula>"esterreur(reference)"</formula>
    </cfRule>
  </conditionalFormatting>
  <conditionalFormatting sqref="Q75:Q82">
    <cfRule type="expression" dxfId="254" priority="66" stopIfTrue="1">
      <formula>"esterreur(reference)"</formula>
    </cfRule>
  </conditionalFormatting>
  <conditionalFormatting sqref="Q174:Q175">
    <cfRule type="expression" dxfId="253" priority="56" stopIfTrue="1">
      <formula>"esterreur(reference)"</formula>
    </cfRule>
  </conditionalFormatting>
  <conditionalFormatting sqref="Q198:Q209">
    <cfRule type="expression" dxfId="252" priority="55" stopIfTrue="1">
      <formula>"esterreur(reference)"</formula>
    </cfRule>
  </conditionalFormatting>
  <conditionalFormatting sqref="Q211:Q228">
    <cfRule type="expression" dxfId="251" priority="49" stopIfTrue="1">
      <formula>"esterreur(reference)"</formula>
    </cfRule>
  </conditionalFormatting>
  <conditionalFormatting sqref="Q254:Q265">
    <cfRule type="expression" dxfId="250" priority="47" stopIfTrue="1">
      <formula>"esterreur(reference)"</formula>
    </cfRule>
  </conditionalFormatting>
  <conditionalFormatting sqref="Q267:Q284">
    <cfRule type="expression" dxfId="249" priority="42" stopIfTrue="1">
      <formula>"esterreur(reference)"</formula>
    </cfRule>
  </conditionalFormatting>
  <conditionalFormatting sqref="Q318:Q329">
    <cfRule type="expression" dxfId="248" priority="40" stopIfTrue="1">
      <formula>"esterreur(reference)"</formula>
    </cfRule>
  </conditionalFormatting>
  <conditionalFormatting sqref="Q331:Q348">
    <cfRule type="expression" dxfId="247" priority="38" stopIfTrue="1">
      <formula>"esterreur(reference)"</formula>
    </cfRule>
  </conditionalFormatting>
  <conditionalFormatting sqref="R312">
    <cfRule type="expression" dxfId="246" priority="106" stopIfTrue="1">
      <formula>"esterreur(reference)"</formula>
    </cfRule>
  </conditionalFormatting>
  <conditionalFormatting sqref="S186">
    <cfRule type="expression" dxfId="245" priority="77" stopIfTrue="1">
      <formula>"esterreur(reference)"</formula>
    </cfRule>
  </conditionalFormatting>
  <conditionalFormatting sqref="Z425:Z427">
    <cfRule type="cellIs" dxfId="244" priority="26" operator="greaterThan">
      <formula>0</formula>
    </cfRule>
  </conditionalFormatting>
  <conditionalFormatting sqref="Z432">
    <cfRule type="cellIs" dxfId="243" priority="23" operator="greaterThan">
      <formula>0</formula>
    </cfRule>
  </conditionalFormatting>
  <conditionalFormatting sqref="Z449:Z451">
    <cfRule type="cellIs" dxfId="242" priority="19" operator="greaterThan">
      <formula>0</formula>
    </cfRule>
  </conditionalFormatting>
  <conditionalFormatting sqref="Z463:Z465">
    <cfRule type="cellIs" dxfId="241" priority="15" operator="greaterThan">
      <formula>0</formula>
    </cfRule>
  </conditionalFormatting>
  <conditionalFormatting sqref="Z478:Z479">
    <cfRule type="cellIs" dxfId="240" priority="12" operator="greaterThan">
      <formula>0</formula>
    </cfRule>
  </conditionalFormatting>
  <conditionalFormatting sqref="Z495:Z497">
    <cfRule type="cellIs" dxfId="239" priority="9" operator="greaterThan">
      <formula>0</formula>
    </cfRule>
  </conditionalFormatting>
  <conditionalFormatting sqref="AC425:AC427">
    <cfRule type="cellIs" dxfId="238" priority="27" operator="greaterThan">
      <formula>0</formula>
    </cfRule>
  </conditionalFormatting>
  <conditionalFormatting sqref="AC432">
    <cfRule type="cellIs" dxfId="237" priority="24" operator="greaterThan">
      <formula>0</formula>
    </cfRule>
  </conditionalFormatting>
  <conditionalFormatting sqref="AC449:AC451">
    <cfRule type="cellIs" dxfId="236" priority="20" operator="greaterThan">
      <formula>0</formula>
    </cfRule>
  </conditionalFormatting>
  <conditionalFormatting sqref="AC463:AC465">
    <cfRule type="cellIs" dxfId="235" priority="16" operator="greaterThan">
      <formula>0</formula>
    </cfRule>
  </conditionalFormatting>
  <conditionalFormatting sqref="AC478:AC479">
    <cfRule type="cellIs" dxfId="234" priority="13" operator="greaterThan">
      <formula>0</formula>
    </cfRule>
  </conditionalFormatting>
  <conditionalFormatting sqref="AC495:AC497">
    <cfRule type="cellIs" dxfId="233" priority="10" operator="greaterThan">
      <formula>0</formula>
    </cfRule>
  </conditionalFormatting>
  <conditionalFormatting sqref="AG409:AI418">
    <cfRule type="cellIs" dxfId="232" priority="29" operator="greaterThan">
      <formula>0</formula>
    </cfRule>
  </conditionalFormatting>
  <conditionalFormatting sqref="AH449:AH452">
    <cfRule type="cellIs" dxfId="231" priority="21" operator="greaterThan">
      <formula>0</formula>
    </cfRule>
  </conditionalFormatting>
  <conditionalFormatting sqref="AH461:AH466">
    <cfRule type="cellIs" dxfId="230" priority="17" operator="greaterThan">
      <formula>0</formula>
    </cfRule>
  </conditionalFormatting>
  <conditionalFormatting sqref="AH420:AI448">
    <cfRule type="cellIs" dxfId="229" priority="25" operator="greaterThan">
      <formula>0</formula>
    </cfRule>
  </conditionalFormatting>
  <conditionalFormatting sqref="AH453:AI460 AH467:AI468">
    <cfRule type="cellIs" dxfId="228" priority="107" operator="greaterThan">
      <formula>0</formula>
    </cfRule>
  </conditionalFormatting>
  <conditionalFormatting sqref="AH469:AI477 AH480:AI480">
    <cfRule type="cellIs" dxfId="227" priority="108" operator="lessThan">
      <formula>0</formula>
    </cfRule>
  </conditionalFormatting>
  <conditionalFormatting sqref="AH478:AI479">
    <cfRule type="cellIs" dxfId="226" priority="14" operator="greaterThan">
      <formula>0</formula>
    </cfRule>
  </conditionalFormatting>
  <conditionalFormatting sqref="AH491:AI497">
    <cfRule type="cellIs" dxfId="225" priority="11" operator="greaterThan">
      <formula>0</formula>
    </cfRule>
  </conditionalFormatting>
  <conditionalFormatting sqref="AI449:AI451">
    <cfRule type="cellIs" dxfId="224" priority="22" operator="greaterThan">
      <formula>0</formula>
    </cfRule>
  </conditionalFormatting>
  <conditionalFormatting sqref="AI463:AI465">
    <cfRule type="cellIs" dxfId="223" priority="18" operator="greaterThan">
      <formula>0</formula>
    </cfRule>
  </conditionalFormatting>
  <conditionalFormatting sqref="AO409:AO418">
    <cfRule type="cellIs" dxfId="222" priority="28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A225" zoomScale="60" zoomScaleNormal="60" workbookViewId="0">
      <selection activeCell="A240" sqref="A240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502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280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213</v>
      </c>
      <c r="N3" s="513"/>
      <c r="O3" s="511" t="s">
        <v>8</v>
      </c>
      <c r="P3" s="512"/>
      <c r="Q3" s="513"/>
      <c r="R3" s="509" t="s">
        <v>214</v>
      </c>
      <c r="S3" s="510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1660512.8381089361</v>
      </c>
      <c r="G5" s="23"/>
      <c r="H5" s="21"/>
      <c r="I5" s="24"/>
      <c r="J5" s="23"/>
      <c r="K5" s="25"/>
      <c r="L5" s="22">
        <v>1337137.3800000001</v>
      </c>
      <c r="M5" s="26"/>
      <c r="N5" s="27"/>
      <c r="O5" s="23"/>
      <c r="P5" s="25"/>
      <c r="Q5" s="22">
        <v>2488233.5999999898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4306.395348837209</v>
      </c>
      <c r="F6" s="30">
        <v>25838.372093023252</v>
      </c>
      <c r="G6" s="31"/>
      <c r="H6" s="30"/>
      <c r="I6" s="30"/>
      <c r="J6" s="31">
        <v>2</v>
      </c>
      <c r="K6" s="30">
        <f>IF(J6=0,0,L6/J6)</f>
        <v>4989.5299999999988</v>
      </c>
      <c r="L6" s="32">
        <v>9979.0599999999977</v>
      </c>
      <c r="M6" s="31">
        <f t="shared" ref="M6:M12" si="2">J6-D6</f>
        <v>-4</v>
      </c>
      <c r="N6" s="33">
        <f t="shared" ref="N6:N12" si="3">L6-F6</f>
        <v>-15859.312093023254</v>
      </c>
      <c r="O6" s="31">
        <v>12</v>
      </c>
      <c r="P6" s="30">
        <f t="shared" ref="P6:P12" si="4">IF(O6=0,0,Q6/O6)</f>
        <v>6636.944166666658</v>
      </c>
      <c r="Q6" s="32">
        <v>79643.3299999999</v>
      </c>
      <c r="R6" s="31">
        <f>J6-O6</f>
        <v>-10</v>
      </c>
      <c r="S6" s="34">
        <f>L6-Q6</f>
        <v>-69664.269999999902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4000.3311258278145</v>
      </c>
      <c r="F7" s="30">
        <v>40003.311258278147</v>
      </c>
      <c r="G7" s="31"/>
      <c r="H7" s="30"/>
      <c r="I7" s="30"/>
      <c r="J7" s="31">
        <v>6</v>
      </c>
      <c r="K7" s="30">
        <f t="shared" ref="K7:K12" si="6">IF(J7=0,0,L7/J7)</f>
        <v>3057.8933333333334</v>
      </c>
      <c r="L7" s="32">
        <v>18347.36</v>
      </c>
      <c r="M7" s="31">
        <f t="shared" si="2"/>
        <v>-4</v>
      </c>
      <c r="N7" s="33">
        <f t="shared" si="3"/>
        <v>-21655.951258278146</v>
      </c>
      <c r="O7" s="31">
        <v>11</v>
      </c>
      <c r="P7" s="30">
        <f t="shared" si="4"/>
        <v>5085.2609090909364</v>
      </c>
      <c r="Q7" s="32">
        <v>55937.870000000301</v>
      </c>
      <c r="R7" s="31">
        <f t="shared" ref="R7:R12" si="7">J7-O7</f>
        <v>-5</v>
      </c>
      <c r="S7" s="34">
        <f t="shared" ref="S7:S12" si="8">L7-Q7</f>
        <v>-37590.5100000003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16</v>
      </c>
      <c r="E13" s="36">
        <f>IF(D13&lt;=0,0,F13/D13)</f>
        <v>4115.1052094563374</v>
      </c>
      <c r="F13" s="37">
        <f>+SUM(F6:F12)</f>
        <v>65841.683351301399</v>
      </c>
      <c r="G13" s="38"/>
      <c r="H13" s="36"/>
      <c r="I13" s="37"/>
      <c r="J13" s="38">
        <f>+SUM(J6:J12)</f>
        <v>8</v>
      </c>
      <c r="K13" s="36">
        <f>IF(J13&lt;=0,0,L13/J13)</f>
        <v>3540.8024999999998</v>
      </c>
      <c r="L13" s="37">
        <f>+SUM(L6:L12)</f>
        <v>28326.42</v>
      </c>
      <c r="M13" s="38">
        <f>+SUM(M6:M12)</f>
        <v>-8</v>
      </c>
      <c r="N13" s="37">
        <f>+SUM(N6:N12)</f>
        <v>-37515.263351301401</v>
      </c>
      <c r="O13" s="38">
        <f>+SUM(O6:O12)</f>
        <v>23</v>
      </c>
      <c r="P13" s="36">
        <f>IF(O13&lt;=0,0,Q13/O13)</f>
        <v>5894.8347826087038</v>
      </c>
      <c r="Q13" s="37">
        <f>+SUM(Q6:Q12)</f>
        <v>135581.20000000019</v>
      </c>
      <c r="R13" s="38">
        <f>+SUM(R6:R12)</f>
        <v>-15</v>
      </c>
      <c r="S13" s="39">
        <f>+SUM(S6:S12)</f>
        <v>-107254.7800000002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-0.56977983310567792</v>
      </c>
      <c r="O14" s="41"/>
      <c r="P14" s="30"/>
      <c r="Q14" s="40"/>
      <c r="R14" s="42">
        <f>R13/O13</f>
        <v>-0.65217391304347827</v>
      </c>
      <c r="S14" s="44">
        <f>IF(Q13=0,0,(S13/Q13))</f>
        <v>-0.7910741312217332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750</v>
      </c>
      <c r="F15" s="22">
        <v>1500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-1500</v>
      </c>
      <c r="O15" s="49">
        <v>2</v>
      </c>
      <c r="P15" s="50">
        <f>IF(O15=0,0,Q15/O15)</f>
        <v>588.41999999999496</v>
      </c>
      <c r="Q15" s="50">
        <v>1176.8399999999899</v>
      </c>
      <c r="R15" s="51">
        <f>J15-O15</f>
        <v>-2</v>
      </c>
      <c r="S15" s="52">
        <f>L15-Q15</f>
        <v>-1176.8399999999899</v>
      </c>
      <c r="T15" s="13"/>
      <c r="U15" s="13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4</v>
      </c>
      <c r="K17" s="30">
        <f>IF(J17=0,0,L17/J17)</f>
        <v>1875.1650000000045</v>
      </c>
      <c r="L17" s="33">
        <v>7500.660000000018</v>
      </c>
      <c r="M17" s="51">
        <f>J17-D17</f>
        <v>4</v>
      </c>
      <c r="N17" s="33">
        <f>L17-F17</f>
        <v>7500.660000000018</v>
      </c>
      <c r="O17" s="51">
        <v>0</v>
      </c>
      <c r="P17" s="30">
        <f>IF(O17=0,0,Q17/O17)</f>
        <v>0</v>
      </c>
      <c r="Q17" s="33">
        <v>0</v>
      </c>
      <c r="R17" s="31">
        <f>J17-O17</f>
        <v>4</v>
      </c>
      <c r="S17" s="34">
        <f>L17-Q17</f>
        <v>7500.660000000018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1926.107206113109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-927.10720611310899</v>
      </c>
      <c r="O19" s="46"/>
      <c r="P19" s="30"/>
      <c r="Q19" s="33">
        <v>1506.8799999999901</v>
      </c>
      <c r="R19" s="31">
        <f>O19-K19</f>
        <v>0</v>
      </c>
      <c r="S19" s="34">
        <f>L19-Q19</f>
        <v>-507.8799999999901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450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-450</v>
      </c>
      <c r="O21" s="31"/>
      <c r="P21" s="30"/>
      <c r="Q21" s="33">
        <v>1241.6099999999999</v>
      </c>
      <c r="R21" s="31">
        <f>O21-K21</f>
        <v>0</v>
      </c>
      <c r="S21" s="34">
        <f>L21-Q21</f>
        <v>-1241.6099999999999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20700</v>
      </c>
      <c r="G22" s="41"/>
      <c r="H22" s="30"/>
      <c r="I22" s="30"/>
      <c r="J22" s="31"/>
      <c r="K22" s="30">
        <f>IF(J13=0,0,L22/(J13+J15))</f>
        <v>912.25</v>
      </c>
      <c r="L22" s="33">
        <v>7298</v>
      </c>
      <c r="M22" s="31"/>
      <c r="N22" s="33">
        <f>L22-F22</f>
        <v>-13402</v>
      </c>
      <c r="O22" s="31"/>
      <c r="P22" s="30"/>
      <c r="Q22" s="33">
        <v>27169.62</v>
      </c>
      <c r="R22" s="31">
        <f>O22-K22</f>
        <v>-912.25</v>
      </c>
      <c r="S22" s="34">
        <f>L22-Q22</f>
        <v>-19871.62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8640</v>
      </c>
      <c r="G23" s="41"/>
      <c r="H23" s="30"/>
      <c r="I23" s="30"/>
      <c r="J23" s="31"/>
      <c r="K23" s="30">
        <f>IF(J13=0,0,L23/(J13+J15))</f>
        <v>891.08125000000018</v>
      </c>
      <c r="L23" s="33">
        <v>7128.6500000000015</v>
      </c>
      <c r="M23" s="51"/>
      <c r="N23" s="33">
        <f>L23-F23</f>
        <v>-1511.3499999999985</v>
      </c>
      <c r="O23" s="31"/>
      <c r="P23" s="30"/>
      <c r="Q23" s="33">
        <v>11508.039999999901</v>
      </c>
      <c r="R23" s="31">
        <f>O23-K23</f>
        <v>-891.08125000000018</v>
      </c>
      <c r="S23" s="34">
        <f>L23-Q23</f>
        <v>-4379.3899999998994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18</v>
      </c>
      <c r="E24" s="36">
        <f>IF(D24&lt;=0,0,F24/D24)</f>
        <v>1655</v>
      </c>
      <c r="F24" s="37">
        <f>F21+F22+F23</f>
        <v>29790</v>
      </c>
      <c r="G24" s="38"/>
      <c r="H24" s="36"/>
      <c r="I24" s="37"/>
      <c r="J24" s="38">
        <f>+J15+J13</f>
        <v>8</v>
      </c>
      <c r="K24" s="36">
        <f>IF(J24&lt;=0,0,L24/J24)</f>
        <v>1803.3312500000002</v>
      </c>
      <c r="L24" s="37">
        <f>L21+L22+L23</f>
        <v>14426.650000000001</v>
      </c>
      <c r="M24" s="58">
        <f>J24-D24</f>
        <v>-10</v>
      </c>
      <c r="N24" s="37">
        <f>L24-F24</f>
        <v>-15363.349999999999</v>
      </c>
      <c r="O24" s="38">
        <f>+O15+O13</f>
        <v>25</v>
      </c>
      <c r="P24" s="36">
        <f>IF(O24&lt;=0,0,Q24/O24)</f>
        <v>1596.7707999999961</v>
      </c>
      <c r="Q24" s="37">
        <f>Q21+Q22+Q23</f>
        <v>39919.269999999902</v>
      </c>
      <c r="R24" s="56"/>
      <c r="S24" s="39">
        <f>L24-Q24</f>
        <v>-25492.619999999901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-0.51572171869754946</v>
      </c>
      <c r="O25" s="41"/>
      <c r="P25" s="13"/>
      <c r="Q25" s="59"/>
      <c r="R25" s="60"/>
      <c r="S25" s="44">
        <f>IF(Q24=0,0,(S24/Q24))</f>
        <v>-0.63860436325614078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18</v>
      </c>
      <c r="E27" s="64">
        <f>IF(D27&lt;=0,0,F27/D27)</f>
        <v>5503.2105865230287</v>
      </c>
      <c r="F27" s="65">
        <f>F13+F17+F24+F19+F15</f>
        <v>99057.790557414512</v>
      </c>
      <c r="G27" s="66"/>
      <c r="H27" s="67"/>
      <c r="I27" s="65"/>
      <c r="J27" s="66">
        <f>+J13+J15+J17</f>
        <v>12</v>
      </c>
      <c r="K27" s="67">
        <f>IF(J27&lt;=0,0,L27/J27)</f>
        <v>4271.0608333333348</v>
      </c>
      <c r="L27" s="65">
        <f>L13+L17+L24+L19+L15</f>
        <v>51252.730000000018</v>
      </c>
      <c r="M27" s="66">
        <f>J27-D27</f>
        <v>-6</v>
      </c>
      <c r="N27" s="65">
        <f>L27-F27</f>
        <v>-47805.060557414494</v>
      </c>
      <c r="O27" s="66">
        <f>+O13+O15+O17</f>
        <v>25</v>
      </c>
      <c r="P27" s="67">
        <f>IF(O27&lt;=0,0,Q27/O27)</f>
        <v>7127.3676000000032</v>
      </c>
      <c r="Q27" s="65">
        <f>Q13+Q17+Q24+Q19+Q15</f>
        <v>178184.19000000009</v>
      </c>
      <c r="R27" s="66">
        <f>J27-O27</f>
        <v>-13</v>
      </c>
      <c r="S27" s="68">
        <f>L27-Q27</f>
        <v>-126931.46000000008</v>
      </c>
      <c r="T27" s="13"/>
      <c r="U27" s="13"/>
      <c r="W27" s="11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-0.33333333333333331</v>
      </c>
      <c r="N28" s="74">
        <f>N27/F27</f>
        <v>-0.48259768654648505</v>
      </c>
      <c r="O28" s="72"/>
      <c r="P28" s="70"/>
      <c r="Q28" s="71"/>
      <c r="R28" s="73">
        <f>R27/O27</f>
        <v>-0.52</v>
      </c>
      <c r="S28" s="75">
        <f>IF(Q27=0,0,S27/Q27)</f>
        <v>-0.71236095637890218</v>
      </c>
      <c r="T28" s="13"/>
      <c r="U28" s="13"/>
      <c r="W28" s="11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0.30138081928811916</v>
      </c>
      <c r="E31" s="82">
        <f t="shared" ref="E31:E36" si="10">F31/D$24</f>
        <v>1127.5273167031282</v>
      </c>
      <c r="F31" s="30">
        <v>20295.491700656308</v>
      </c>
      <c r="G31" s="157"/>
      <c r="H31" s="82"/>
      <c r="I31" s="30"/>
      <c r="J31" s="157">
        <f>L31/(L13+L15)</f>
        <v>0.32221826831629274</v>
      </c>
      <c r="K31" s="82">
        <f t="shared" ref="K31:K36" si="11">IF(L31=0,0,L31/J$24)</f>
        <v>1140.9112500000001</v>
      </c>
      <c r="L31" s="30">
        <v>9127.2900000000009</v>
      </c>
      <c r="M31" s="41"/>
      <c r="N31" s="59">
        <f t="shared" ref="N31:N53" si="12">L31-F31</f>
        <v>-11168.201700656307</v>
      </c>
      <c r="O31" s="157">
        <f>Q31/(Q13+Q15+Q17)</f>
        <v>0.26180588724436199</v>
      </c>
      <c r="P31" s="82">
        <f t="shared" ref="P31:P40" si="13">Q31/O$24</f>
        <v>1432.1623999999999</v>
      </c>
      <c r="Q31" s="33">
        <v>35804.06</v>
      </c>
      <c r="R31" s="41"/>
      <c r="S31" s="85">
        <f t="shared" ref="S31:S36" si="14">L31-Q31</f>
        <v>-26676.769999999997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8192.25</v>
      </c>
      <c r="G32" s="162"/>
      <c r="H32" s="90"/>
      <c r="I32" s="22"/>
      <c r="J32" s="162">
        <f>L32/L24</f>
        <v>0.32295924556289918</v>
      </c>
      <c r="K32" s="88">
        <f t="shared" si="11"/>
        <v>582.40250000000003</v>
      </c>
      <c r="L32" s="22">
        <v>4659.22</v>
      </c>
      <c r="M32" s="23"/>
      <c r="N32" s="91">
        <f t="shared" si="12"/>
        <v>-3533.0299999999997</v>
      </c>
      <c r="O32" s="162">
        <f>Q32/Q24</f>
        <v>0.3335449270490175</v>
      </c>
      <c r="P32" s="88">
        <f t="shared" si="13"/>
        <v>532.59480000000008</v>
      </c>
      <c r="Q32" s="22">
        <v>13314.87</v>
      </c>
      <c r="R32" s="23"/>
      <c r="S32" s="92">
        <f t="shared" si="14"/>
        <v>-8655.6500000000015</v>
      </c>
      <c r="T32" s="13"/>
      <c r="U32" s="13"/>
      <c r="V32" s="502" t="s">
        <v>249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2340</v>
      </c>
      <c r="G33" s="83"/>
      <c r="H33" s="82"/>
      <c r="I33" s="30"/>
      <c r="J33" s="41"/>
      <c r="K33" s="82">
        <f t="shared" si="11"/>
        <v>0.46250000000000002</v>
      </c>
      <c r="L33" s="30">
        <v>3.7</v>
      </c>
      <c r="M33" s="41"/>
      <c r="N33" s="59">
        <f t="shared" si="12"/>
        <v>-2336.3000000000002</v>
      </c>
      <c r="O33" s="41"/>
      <c r="P33" s="82">
        <f t="shared" si="13"/>
        <v>100.46719999999999</v>
      </c>
      <c r="Q33" s="33">
        <v>2511.6799999999998</v>
      </c>
      <c r="R33" s="41"/>
      <c r="S33" s="85">
        <f t="shared" si="14"/>
        <v>-2507.98</v>
      </c>
      <c r="T33" s="13"/>
      <c r="U33" s="13"/>
      <c r="V33" s="502" t="s">
        <v>250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666</v>
      </c>
      <c r="G34" s="83"/>
      <c r="H34" s="82"/>
      <c r="I34" s="30"/>
      <c r="J34" s="41"/>
      <c r="K34" s="82">
        <f t="shared" si="11"/>
        <v>0</v>
      </c>
      <c r="L34" s="30">
        <v>0</v>
      </c>
      <c r="M34" s="41"/>
      <c r="N34" s="59">
        <f t="shared" si="12"/>
        <v>-666</v>
      </c>
      <c r="O34" s="41"/>
      <c r="P34" s="82">
        <f t="shared" si="13"/>
        <v>37.722799999999999</v>
      </c>
      <c r="Q34" s="33">
        <v>943.07</v>
      </c>
      <c r="R34" s="41"/>
      <c r="S34" s="85">
        <f t="shared" si="14"/>
        <v>-943.07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63.333333333333336</v>
      </c>
      <c r="F35" s="22">
        <v>1140</v>
      </c>
      <c r="G35" s="89"/>
      <c r="H35" s="90"/>
      <c r="I35" s="22"/>
      <c r="J35" s="23"/>
      <c r="K35" s="88">
        <f t="shared" si="11"/>
        <v>356.60874999999999</v>
      </c>
      <c r="L35" s="22">
        <v>2852.87</v>
      </c>
      <c r="M35" s="23"/>
      <c r="N35" s="91">
        <f t="shared" si="12"/>
        <v>1712.87</v>
      </c>
      <c r="O35" s="23"/>
      <c r="P35" s="88">
        <f t="shared" si="13"/>
        <v>83.334800000000001</v>
      </c>
      <c r="Q35" s="33">
        <v>2083.37</v>
      </c>
      <c r="R35" s="23"/>
      <c r="S35" s="92">
        <f t="shared" si="14"/>
        <v>769.5</v>
      </c>
      <c r="T35" s="13"/>
      <c r="U35" s="13"/>
      <c r="V35" s="502" t="s">
        <v>251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9251.4705882352937</v>
      </c>
      <c r="G36" s="83"/>
      <c r="H36" s="82"/>
      <c r="I36" s="30"/>
      <c r="J36" s="41"/>
      <c r="K36" s="82">
        <f t="shared" si="11"/>
        <v>1325.5687499999999</v>
      </c>
      <c r="L36" s="459">
        <v>10604.55</v>
      </c>
      <c r="M36" s="13"/>
      <c r="N36" s="59">
        <f t="shared" si="12"/>
        <v>1353.0794117647056</v>
      </c>
      <c r="O36" s="41"/>
      <c r="P36" s="82">
        <f t="shared" si="13"/>
        <v>813.90160000000003</v>
      </c>
      <c r="Q36" s="55">
        <v>20347.54</v>
      </c>
      <c r="R36" s="41"/>
      <c r="S36" s="85">
        <f t="shared" si="14"/>
        <v>-9742.9900000000016</v>
      </c>
      <c r="T36" s="13"/>
      <c r="U36" s="13"/>
      <c r="V36" s="502" t="s">
        <v>252</v>
      </c>
      <c r="W36" s="502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1313.562245429197</v>
      </c>
      <c r="F37" s="30">
        <v>23644.120417725546</v>
      </c>
      <c r="G37" s="83"/>
      <c r="H37" s="82"/>
      <c r="I37" s="30"/>
      <c r="J37" s="41"/>
      <c r="K37" s="82">
        <f>IF(L37=0,0,L37/J$24)</f>
        <v>2816.66</v>
      </c>
      <c r="L37" s="460">
        <v>22533.279999999999</v>
      </c>
      <c r="M37" s="13"/>
      <c r="N37" s="59">
        <f t="shared" si="12"/>
        <v>-1110.840417725547</v>
      </c>
      <c r="O37" s="41"/>
      <c r="P37" s="82">
        <f t="shared" si="13"/>
        <v>1073.2664</v>
      </c>
      <c r="Q37" s="33">
        <v>26831.66</v>
      </c>
      <c r="R37" s="41"/>
      <c r="S37" s="85">
        <f>L37-Q37</f>
        <v>-4298.380000000001</v>
      </c>
      <c r="T37" s="13"/>
      <c r="U37" s="13"/>
      <c r="V37" s="502" t="s">
        <v>253</v>
      </c>
      <c r="W37" s="503">
        <f>21204.8+1328.44</f>
        <v>22533.239999999998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0.66152629023797915</v>
      </c>
      <c r="F41" s="96">
        <f>SUM(F31:F40)</f>
        <v>65529.332706617148</v>
      </c>
      <c r="G41" s="97"/>
      <c r="H41" s="95"/>
      <c r="I41" s="96"/>
      <c r="J41" s="97" t="s">
        <v>38</v>
      </c>
      <c r="K41" s="95">
        <f>L41/L$27</f>
        <v>0.97128309067634033</v>
      </c>
      <c r="L41" s="96">
        <f>SUM(L31:L40)</f>
        <v>49780.91</v>
      </c>
      <c r="M41" s="98"/>
      <c r="N41" s="96">
        <f t="shared" si="12"/>
        <v>-15748.422706617144</v>
      </c>
      <c r="O41" s="97" t="s">
        <v>38</v>
      </c>
      <c r="P41" s="95">
        <f>Q41/Q$27</f>
        <v>0.57152236682726987</v>
      </c>
      <c r="Q41" s="99">
        <f>SUM(Q31:Q40)</f>
        <v>101836.25</v>
      </c>
      <c r="R41" s="100"/>
      <c r="S41" s="101">
        <f t="shared" ref="S41:S45" si="16">L41-Q41</f>
        <v>-52055.34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10268.969999999999</v>
      </c>
      <c r="M42" s="41"/>
      <c r="N42" s="59">
        <f t="shared" si="12"/>
        <v>-2494.1144827586231</v>
      </c>
      <c r="O42" s="41"/>
      <c r="P42" s="13"/>
      <c r="Q42" s="33">
        <v>10172.200000000001</v>
      </c>
      <c r="R42" s="41"/>
      <c r="S42" s="85">
        <f t="shared" si="16"/>
        <v>96.769999999998618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10418.90459770115</v>
      </c>
      <c r="G43" s="83"/>
      <c r="H43" s="13"/>
      <c r="I43" s="22"/>
      <c r="J43" s="41"/>
      <c r="K43" s="13"/>
      <c r="L43" s="33">
        <v>7244.51</v>
      </c>
      <c r="M43" s="41"/>
      <c r="N43" s="59">
        <f t="shared" si="12"/>
        <v>-3174.3945977011499</v>
      </c>
      <c r="O43" s="41"/>
      <c r="P43" s="13"/>
      <c r="Q43" s="33">
        <v>10762.7</v>
      </c>
      <c r="R43" s="41"/>
      <c r="S43" s="85">
        <f t="shared" si="16"/>
        <v>-3518.1900000000005</v>
      </c>
      <c r="T43" s="13"/>
      <c r="U43" s="13"/>
      <c r="V43" s="502" t="s">
        <v>254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0</v>
      </c>
      <c r="M44" s="107"/>
      <c r="N44" s="109">
        <f t="shared" si="12"/>
        <v>-342</v>
      </c>
      <c r="O44" s="107"/>
      <c r="P44" s="105"/>
      <c r="Q44" s="108">
        <v>342</v>
      </c>
      <c r="R44" s="107"/>
      <c r="S44" s="110">
        <f t="shared" si="16"/>
        <v>-342</v>
      </c>
      <c r="T44" s="13"/>
      <c r="U44" s="13"/>
      <c r="V44" s="502" t="s">
        <v>255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11141.725772760459</v>
      </c>
      <c r="G49" s="83"/>
      <c r="H49" s="13"/>
      <c r="I49" s="22"/>
      <c r="J49" s="41"/>
      <c r="K49" s="13"/>
      <c r="L49" s="22">
        <v>179.64</v>
      </c>
      <c r="M49" s="41"/>
      <c r="N49" s="59">
        <f t="shared" si="12"/>
        <v>-10962.08577276046</v>
      </c>
      <c r="O49" s="41"/>
      <c r="P49" s="13"/>
      <c r="Q49" s="22">
        <v>14638.9</v>
      </c>
      <c r="R49" s="41"/>
      <c r="S49" s="85">
        <f t="shared" ref="S49:S53" si="18">L49-Q49</f>
        <v>-14459.26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6684.795919975616</v>
      </c>
      <c r="G50" s="106"/>
      <c r="H50" s="105"/>
      <c r="I50" s="30"/>
      <c r="J50" s="107"/>
      <c r="K50" s="105"/>
      <c r="L50" s="33">
        <v>6796.55</v>
      </c>
      <c r="M50" s="107"/>
      <c r="N50" s="109">
        <f t="shared" si="12"/>
        <v>111.75408002438417</v>
      </c>
      <c r="O50" s="107"/>
      <c r="P50" s="105"/>
      <c r="Q50" s="33">
        <v>8819.43</v>
      </c>
      <c r="R50" s="107"/>
      <c r="S50" s="110">
        <f t="shared" si="18"/>
        <v>-2022.88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4104.6992491078345</v>
      </c>
      <c r="G51" s="83"/>
      <c r="H51" s="13"/>
      <c r="I51" s="30"/>
      <c r="J51" s="41"/>
      <c r="K51" s="13"/>
      <c r="L51" s="33">
        <v>3722.69</v>
      </c>
      <c r="M51" s="41"/>
      <c r="N51" s="59">
        <f t="shared" si="12"/>
        <v>-382.00924910783442</v>
      </c>
      <c r="O51" s="41"/>
      <c r="P51" s="13"/>
      <c r="Q51" s="33">
        <v>6289</v>
      </c>
      <c r="R51" s="41"/>
      <c r="S51" s="85">
        <f t="shared" si="18"/>
        <v>-2566.31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879.57841052310732</v>
      </c>
      <c r="G52" s="83"/>
      <c r="H52" s="13"/>
      <c r="I52" s="30"/>
      <c r="J52" s="41"/>
      <c r="K52" s="13"/>
      <c r="L52" s="33">
        <v>1572.23</v>
      </c>
      <c r="M52" s="41"/>
      <c r="N52" s="59">
        <f t="shared" si="12"/>
        <v>692.6515894768927</v>
      </c>
      <c r="O52" s="41"/>
      <c r="P52" s="13"/>
      <c r="Q52" s="33">
        <v>124.53</v>
      </c>
      <c r="R52" s="41"/>
      <c r="S52" s="85">
        <f t="shared" si="18"/>
        <v>1447.7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0.46775511721080493</v>
      </c>
      <c r="F54" s="96">
        <f>+SUM(F42:F53)</f>
        <v>46334.78843282679</v>
      </c>
      <c r="G54" s="97"/>
      <c r="H54" s="95"/>
      <c r="I54" s="96"/>
      <c r="J54" s="97" t="s">
        <v>38</v>
      </c>
      <c r="K54" s="95">
        <f>L54/L$27</f>
        <v>0.58113177580979558</v>
      </c>
      <c r="L54" s="96">
        <f>+SUM(L42:L53)</f>
        <v>29784.589999999997</v>
      </c>
      <c r="M54" s="100"/>
      <c r="N54" s="96">
        <f>+SUM(N42:N53)</f>
        <v>-16550.19843282679</v>
      </c>
      <c r="O54" s="97" t="s">
        <v>38</v>
      </c>
      <c r="P54" s="95">
        <f>Q54/Q$27</f>
        <v>0.28705554628612101</v>
      </c>
      <c r="Q54" s="96">
        <f>+SUM(Q42:Q53)</f>
        <v>51148.76</v>
      </c>
      <c r="R54" s="100"/>
      <c r="S54" s="101">
        <f>+SUM(S42:S53)</f>
        <v>-21364.170000000002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2004.38</v>
      </c>
      <c r="M57" s="23"/>
      <c r="N57" s="91">
        <f t="shared" si="19"/>
        <v>-4616.5533333333324</v>
      </c>
      <c r="O57" s="23"/>
      <c r="P57" s="111"/>
      <c r="Q57" s="22">
        <v>10008.93</v>
      </c>
      <c r="R57" s="23"/>
      <c r="S57" s="92">
        <f t="shared" si="20"/>
        <v>-8004.55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5491.56</v>
      </c>
      <c r="M58" s="41"/>
      <c r="N58" s="59">
        <f t="shared" si="19"/>
        <v>613.26000000000022</v>
      </c>
      <c r="O58" s="41"/>
      <c r="P58" s="13"/>
      <c r="Q58" s="33">
        <v>4493.79</v>
      </c>
      <c r="R58" s="41"/>
      <c r="S58" s="85">
        <f t="shared" si="20"/>
        <v>997.77000000000044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229.19</v>
      </c>
      <c r="M59" s="41"/>
      <c r="N59" s="59">
        <f t="shared" si="19"/>
        <v>-595.80999999999995</v>
      </c>
      <c r="O59" s="41"/>
      <c r="P59" s="13"/>
      <c r="Q59" s="33">
        <v>1127.21</v>
      </c>
      <c r="R59" s="41"/>
      <c r="S59" s="85">
        <f t="shared" si="20"/>
        <v>-898.02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4998.7700000000004</v>
      </c>
      <c r="M60" s="23"/>
      <c r="N60" s="91">
        <f t="shared" si="19"/>
        <v>1684.0700000000002</v>
      </c>
      <c r="O60" s="23"/>
      <c r="P60" s="111"/>
      <c r="Q60" s="22">
        <v>4492.53</v>
      </c>
      <c r="R60" s="23"/>
      <c r="S60" s="92">
        <f t="shared" si="20"/>
        <v>506.24000000000069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13.12</v>
      </c>
      <c r="M61" s="41"/>
      <c r="N61" s="59">
        <f t="shared" si="19"/>
        <v>-26.880000000000003</v>
      </c>
      <c r="O61" s="41"/>
      <c r="P61" s="13"/>
      <c r="Q61" s="33">
        <v>486.48</v>
      </c>
      <c r="R61" s="41"/>
      <c r="S61" s="85">
        <f t="shared" si="20"/>
        <v>-473.36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170.18</v>
      </c>
      <c r="M63" s="41"/>
      <c r="N63" s="59">
        <f t="shared" si="19"/>
        <v>-538.56999999999994</v>
      </c>
      <c r="O63" s="41"/>
      <c r="P63" s="13"/>
      <c r="Q63" s="32">
        <v>483.35</v>
      </c>
      <c r="R63" s="41"/>
      <c r="S63" s="85">
        <f t="shared" si="20"/>
        <v>-313.17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350.52</v>
      </c>
      <c r="M64" s="41"/>
      <c r="N64" s="59">
        <f t="shared" si="19"/>
        <v>140.11999999999998</v>
      </c>
      <c r="O64" s="41"/>
      <c r="P64" s="13"/>
      <c r="Q64" s="33">
        <v>190.85</v>
      </c>
      <c r="R64" s="41"/>
      <c r="S64" s="85">
        <f t="shared" si="20"/>
        <v>159.66999999999999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88.66</v>
      </c>
      <c r="M65" s="41"/>
      <c r="N65" s="59">
        <f t="shared" si="19"/>
        <v>-113.84</v>
      </c>
      <c r="O65" s="41"/>
      <c r="P65" s="13"/>
      <c r="Q65" s="33">
        <v>242.21</v>
      </c>
      <c r="R65" s="41"/>
      <c r="S65" s="85">
        <f t="shared" si="20"/>
        <v>-153.55000000000001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203.99</v>
      </c>
      <c r="M66" s="41"/>
      <c r="N66" s="59">
        <f t="shared" si="19"/>
        <v>-579.46</v>
      </c>
      <c r="O66" s="41"/>
      <c r="P66" s="13"/>
      <c r="Q66" s="33">
        <v>1075.4099999999901</v>
      </c>
      <c r="R66" s="41"/>
      <c r="S66" s="85">
        <f t="shared" si="20"/>
        <v>-871.41999999999007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925.53</v>
      </c>
      <c r="M67" s="41"/>
      <c r="N67" s="59">
        <f t="shared" si="19"/>
        <v>367.34649000000013</v>
      </c>
      <c r="O67" s="41"/>
      <c r="P67" s="13"/>
      <c r="Q67" s="33">
        <v>331.76</v>
      </c>
      <c r="R67" s="41"/>
      <c r="S67" s="85">
        <f>L67-Q67</f>
        <v>593.77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2142.5664258565575</v>
      </c>
      <c r="G68" s="83"/>
      <c r="H68" s="13"/>
      <c r="I68" s="30"/>
      <c r="J68" s="41"/>
      <c r="K68" s="13"/>
      <c r="L68" s="32">
        <v>2301.85</v>
      </c>
      <c r="M68" s="41"/>
      <c r="N68" s="59">
        <f t="shared" si="19"/>
        <v>159.28357414344237</v>
      </c>
      <c r="O68" s="41"/>
      <c r="P68" s="13"/>
      <c r="Q68" s="33">
        <v>2556.62</v>
      </c>
      <c r="R68" s="41"/>
      <c r="S68" s="85">
        <f>L68-Q68</f>
        <v>-254.76999999999998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0.20508011691836919</v>
      </c>
      <c r="F72" s="96">
        <f>+SUM(F55:F71)</f>
        <v>20314.783269189895</v>
      </c>
      <c r="G72" s="97"/>
      <c r="H72" s="95"/>
      <c r="I72" s="96"/>
      <c r="J72" s="97" t="s">
        <v>38</v>
      </c>
      <c r="K72" s="95">
        <f>L72/L$27</f>
        <v>0.32735329415623321</v>
      </c>
      <c r="L72" s="96">
        <f>+SUM(L55:L71)</f>
        <v>16777.750000000004</v>
      </c>
      <c r="M72" s="100"/>
      <c r="N72" s="96">
        <f>+SUM(N55:N71)</f>
        <v>-3537.0332691898907</v>
      </c>
      <c r="O72" s="97" t="s">
        <v>38</v>
      </c>
      <c r="P72" s="95">
        <f>Q72/Q$27</f>
        <v>0.14304939175580039</v>
      </c>
      <c r="Q72" s="96">
        <f>+SUM(Q55:Q71)</f>
        <v>25489.139999999981</v>
      </c>
      <c r="R72" s="100"/>
      <c r="S72" s="101">
        <f>+SUM(S55:S71)</f>
        <v>-8711.3899999999885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1.3343615243671532</v>
      </c>
      <c r="F74" s="96">
        <f>F41+F54+F72</f>
        <v>132178.90440863383</v>
      </c>
      <c r="G74" s="97"/>
      <c r="H74" s="95"/>
      <c r="I74" s="96"/>
      <c r="J74" s="97" t="s">
        <v>38</v>
      </c>
      <c r="K74" s="95">
        <f>L74/L$27</f>
        <v>1.8797681606423691</v>
      </c>
      <c r="L74" s="96">
        <f>L41+L54+L72</f>
        <v>96343.25</v>
      </c>
      <c r="M74" s="100"/>
      <c r="N74" s="113">
        <f t="shared" ref="N74:N82" si="23">L74-F74</f>
        <v>-35835.654408633825</v>
      </c>
      <c r="O74" s="97" t="s">
        <v>38</v>
      </c>
      <c r="P74" s="95">
        <f>Q74/Q$27</f>
        <v>1.0016273048691913</v>
      </c>
      <c r="Q74" s="96">
        <f>Q41+Q54+Q72</f>
        <v>178474.15</v>
      </c>
      <c r="R74" s="100"/>
      <c r="S74" s="114">
        <f>L74-Q74</f>
        <v>-82130.899999999994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28493.201912727272</v>
      </c>
      <c r="G75" s="83"/>
      <c r="H75" s="13"/>
      <c r="I75" s="30"/>
      <c r="J75" s="41"/>
      <c r="K75" s="13"/>
      <c r="L75" s="32">
        <v>20598</v>
      </c>
      <c r="M75" s="41"/>
      <c r="N75" s="59">
        <f t="shared" si="23"/>
        <v>-7895.2019127272724</v>
      </c>
      <c r="O75" s="41"/>
      <c r="P75" s="13"/>
      <c r="Q75" s="32">
        <v>31920</v>
      </c>
      <c r="R75" s="41"/>
      <c r="S75" s="85">
        <f>L75-Q75</f>
        <v>-11322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30803.461527272728</v>
      </c>
      <c r="G78" s="83"/>
      <c r="H78" s="13"/>
      <c r="I78" s="30"/>
      <c r="J78" s="41"/>
      <c r="K78" s="13"/>
      <c r="L78" s="33">
        <v>32718</v>
      </c>
      <c r="M78" s="41"/>
      <c r="N78" s="59">
        <f t="shared" si="23"/>
        <v>1914.5384727272722</v>
      </c>
      <c r="O78" s="41"/>
      <c r="P78" s="13"/>
      <c r="Q78" s="32">
        <v>44065</v>
      </c>
      <c r="R78" s="41"/>
      <c r="S78" s="85">
        <f t="shared" si="24"/>
        <v>-11347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10549.35</v>
      </c>
      <c r="G82" s="83"/>
      <c r="H82" s="13"/>
      <c r="I82" s="30"/>
      <c r="J82" s="41"/>
      <c r="K82" s="13"/>
      <c r="L82" s="32">
        <v>4165</v>
      </c>
      <c r="M82" s="41"/>
      <c r="N82" s="59">
        <f t="shared" si="23"/>
        <v>-6384.35</v>
      </c>
      <c r="O82" s="41"/>
      <c r="P82" s="13"/>
      <c r="Q82" s="32">
        <v>14875</v>
      </c>
      <c r="R82" s="41"/>
      <c r="S82" s="85">
        <f t="shared" ref="S82" si="26">L82-Q82</f>
        <v>-10710</v>
      </c>
      <c r="T82" s="13"/>
      <c r="U82" s="13"/>
      <c r="V82" s="502">
        <f>L82/595</f>
        <v>7</v>
      </c>
      <c r="W82" s="489">
        <f>V82/J27</f>
        <v>0.58333333333333337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69846.01344000001</v>
      </c>
      <c r="G83" s="97"/>
      <c r="H83" s="95"/>
      <c r="I83" s="96"/>
      <c r="J83" s="97"/>
      <c r="K83" s="95"/>
      <c r="L83" s="96">
        <f>+SUM(L75:L82)</f>
        <v>57481</v>
      </c>
      <c r="M83" s="100"/>
      <c r="N83" s="96">
        <f>+SUM(N75:N82)</f>
        <v>-12365.013440000001</v>
      </c>
      <c r="O83" s="97"/>
      <c r="P83" s="95"/>
      <c r="Q83" s="96">
        <f>+SUM(Q75:Q82)</f>
        <v>90860</v>
      </c>
      <c r="R83" s="100"/>
      <c r="S83" s="101">
        <f>+SUM(S75:S82)</f>
        <v>-33379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36724.899588780696</v>
      </c>
      <c r="G85" s="128"/>
      <c r="H85" s="126"/>
      <c r="I85" s="127"/>
      <c r="J85" s="128"/>
      <c r="K85" s="125"/>
      <c r="L85" s="127">
        <f>L27-L74+L83</f>
        <v>12390.480000000018</v>
      </c>
      <c r="M85" s="128"/>
      <c r="N85" s="127">
        <f>N27-N41-N54-N72+N83</f>
        <v>-24334.419588780671</v>
      </c>
      <c r="O85" s="128"/>
      <c r="P85" s="125"/>
      <c r="Q85" s="127">
        <f>Q27-Q74+Q83</f>
        <v>90570.040000000095</v>
      </c>
      <c r="R85" s="128"/>
      <c r="S85" s="129">
        <f>S27-S41-S54-S72+S83</f>
        <v>-78179.5600000001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2025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213</v>
      </c>
      <c r="N91" s="513"/>
      <c r="O91" s="511" t="s">
        <v>8</v>
      </c>
      <c r="P91" s="512"/>
      <c r="Q91" s="513"/>
      <c r="R91" s="509" t="s">
        <v>214</v>
      </c>
      <c r="S91" s="510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886117.6470588235</v>
      </c>
      <c r="G93" s="46"/>
      <c r="H93" s="25"/>
      <c r="I93" s="22"/>
      <c r="J93" s="23"/>
      <c r="K93" s="25"/>
      <c r="L93" s="22">
        <v>324028.27999999997</v>
      </c>
      <c r="M93" s="137"/>
      <c r="N93" s="138"/>
      <c r="O93" s="23"/>
      <c r="P93" s="25"/>
      <c r="Q93" s="22">
        <v>1409394.12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4</v>
      </c>
      <c r="E94" s="30">
        <f>IF(D94=0,0,F94/D94)</f>
        <v>2300</v>
      </c>
      <c r="F94" s="30">
        <v>9200</v>
      </c>
      <c r="G94" s="31"/>
      <c r="H94" s="30"/>
      <c r="I94" s="30"/>
      <c r="J94" s="31">
        <v>3</v>
      </c>
      <c r="K94" s="30">
        <f>IF(J94=0,0,L94/J94)</f>
        <v>1877.2533333333324</v>
      </c>
      <c r="L94" s="33">
        <v>5631.7599999999975</v>
      </c>
      <c r="M94" s="31">
        <f>J94-D94</f>
        <v>-1</v>
      </c>
      <c r="N94" s="33">
        <f>L94-F94</f>
        <v>-3568.2400000000025</v>
      </c>
      <c r="O94" s="31">
        <v>5</v>
      </c>
      <c r="P94" s="30">
        <f t="shared" ref="P94:P96" si="28">IF(O94=0,0,Q94/O94)</f>
        <v>2218.59</v>
      </c>
      <c r="Q94" s="33">
        <v>11092.95</v>
      </c>
      <c r="R94" s="31">
        <f>J94-O94</f>
        <v>-2</v>
      </c>
      <c r="S94" s="34">
        <f>L94-Q94</f>
        <v>-5461.1900000000032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100" si="29">IF(D95=0,0,F95/D95)</f>
        <v>1600</v>
      </c>
      <c r="F95" s="30">
        <v>6400</v>
      </c>
      <c r="G95" s="31"/>
      <c r="H95" s="30"/>
      <c r="I95" s="30"/>
      <c r="J95" s="31">
        <v>2</v>
      </c>
      <c r="K95" s="30">
        <f>IF(J95=0,0,L95/J95)</f>
        <v>968.67500000000325</v>
      </c>
      <c r="L95" s="32">
        <v>1937.3500000000065</v>
      </c>
      <c r="M95" s="31">
        <f>J95-D95</f>
        <v>-2</v>
      </c>
      <c r="N95" s="33">
        <f>L95-F95</f>
        <v>-4462.6499999999933</v>
      </c>
      <c r="O95" s="31">
        <v>7</v>
      </c>
      <c r="P95" s="30">
        <f t="shared" si="28"/>
        <v>-183.16857142857</v>
      </c>
      <c r="Q95" s="32">
        <v>-1282.1799999999901</v>
      </c>
      <c r="R95" s="31">
        <f>J95-O95</f>
        <v>-5</v>
      </c>
      <c r="S95" s="34">
        <f>L95-Q95</f>
        <v>3219.5299999999966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 t="shared" si="27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29"/>
        <v>1500</v>
      </c>
      <c r="F96" s="30">
        <v>6000</v>
      </c>
      <c r="G96" s="31"/>
      <c r="H96" s="30"/>
      <c r="I96" s="30"/>
      <c r="J96" s="31">
        <v>0</v>
      </c>
      <c r="K96" s="30">
        <f>IF(J96=0,0,L96/J96)</f>
        <v>0</v>
      </c>
      <c r="L96" s="32">
        <v>0</v>
      </c>
      <c r="M96" s="31">
        <f>J96-D96</f>
        <v>-4</v>
      </c>
      <c r="N96" s="33">
        <f>L96-F96</f>
        <v>-6000</v>
      </c>
      <c r="O96" s="31">
        <v>1</v>
      </c>
      <c r="P96" s="30">
        <f t="shared" si="28"/>
        <v>500</v>
      </c>
      <c r="Q96" s="32">
        <v>500</v>
      </c>
      <c r="R96" s="31">
        <f>J96-O96</f>
        <v>-1</v>
      </c>
      <c r="S96" s="34">
        <f>L96-Q96</f>
        <v>-500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12</v>
      </c>
      <c r="E97" s="30">
        <f t="shared" si="29"/>
        <v>1800</v>
      </c>
      <c r="F97" s="37">
        <f>+F94+F95+F96</f>
        <v>21600</v>
      </c>
      <c r="G97" s="38"/>
      <c r="H97" s="36"/>
      <c r="I97" s="37"/>
      <c r="J97" s="38">
        <f>+J94+J95+J96</f>
        <v>5</v>
      </c>
      <c r="K97" s="36">
        <f>IF(J97&lt;=0,0,L97/J97)</f>
        <v>1513.8220000000008</v>
      </c>
      <c r="L97" s="37">
        <f>+L94+L95+L96</f>
        <v>7569.1100000000042</v>
      </c>
      <c r="M97" s="38">
        <f>J97-D97</f>
        <v>-7</v>
      </c>
      <c r="N97" s="37">
        <f>L97-F97</f>
        <v>-14030.889999999996</v>
      </c>
      <c r="O97" s="38">
        <f>+O95+O94+O96</f>
        <v>13</v>
      </c>
      <c r="P97" s="36">
        <f>IF(O97=0,0,Q97/O97)</f>
        <v>793.13615384615468</v>
      </c>
      <c r="Q97" s="37">
        <f>+Q94+Q95+Q96</f>
        <v>10310.770000000011</v>
      </c>
      <c r="R97" s="38">
        <f>J97-O97</f>
        <v>-8</v>
      </c>
      <c r="S97" s="39">
        <f>L97-Q97</f>
        <v>-2741.6600000000071</v>
      </c>
      <c r="T97" s="13"/>
      <c r="U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-0.58333333333333337</v>
      </c>
      <c r="N98" s="43">
        <f>N97/F97</f>
        <v>-0.64957824074074055</v>
      </c>
      <c r="O98" s="41"/>
      <c r="P98" s="13"/>
      <c r="Q98" s="40"/>
      <c r="R98" s="42">
        <f>R97/O97</f>
        <v>-0.61538461538461542</v>
      </c>
      <c r="S98" s="44">
        <f>IF(Q97=0,0,(S97/Q97))</f>
        <v>-0.26590254656053858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29"/>
        <v>350</v>
      </c>
      <c r="F100" s="30">
        <v>3850</v>
      </c>
      <c r="G100" s="31"/>
      <c r="H100" s="30"/>
      <c r="I100" s="30"/>
      <c r="J100" s="31">
        <v>2</v>
      </c>
      <c r="K100" s="30">
        <f>IF(J100=0,0,L100/J100)</f>
        <v>788.04999999999927</v>
      </c>
      <c r="L100" s="33">
        <v>1576.0999999999985</v>
      </c>
      <c r="M100" s="31">
        <f>J100-D100</f>
        <v>-9</v>
      </c>
      <c r="N100" s="33">
        <f>L100-F100</f>
        <v>-2273.9000000000015</v>
      </c>
      <c r="O100" s="31">
        <v>23</v>
      </c>
      <c r="P100" s="30">
        <f>IF(O100=0,0,Q100/O100)</f>
        <v>509.69086956521738</v>
      </c>
      <c r="Q100" s="33">
        <v>11722.89</v>
      </c>
      <c r="R100" s="31">
        <f>J100-O100</f>
        <v>-21</v>
      </c>
      <c r="S100" s="34">
        <f>L100-Q100</f>
        <v>-10146.790000000001</v>
      </c>
      <c r="T100" s="13"/>
      <c r="U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0">IF(D102=0,0,F102/D102)</f>
        <v>0</v>
      </c>
      <c r="F102" s="33">
        <v>4560</v>
      </c>
      <c r="G102" s="31"/>
      <c r="H102" s="30"/>
      <c r="I102" s="30"/>
      <c r="J102" s="31"/>
      <c r="K102" s="30">
        <f>IF(J97=0,0,L102/J97)</f>
        <v>648.38600000000008</v>
      </c>
      <c r="L102" s="33">
        <v>3241.9300000000003</v>
      </c>
      <c r="M102" s="31"/>
      <c r="N102" s="33">
        <f>L102-F102</f>
        <v>-1318.0699999999997</v>
      </c>
      <c r="O102" s="31"/>
      <c r="P102" s="30"/>
      <c r="Q102" s="33">
        <v>2962.7599999999902</v>
      </c>
      <c r="R102" s="31">
        <f>O102-K102</f>
        <v>-648.38600000000008</v>
      </c>
      <c r="S102" s="34">
        <f>L102-Q102</f>
        <v>279.17000000001008</v>
      </c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10200</v>
      </c>
      <c r="G103" s="31"/>
      <c r="H103" s="30"/>
      <c r="I103" s="30"/>
      <c r="J103" s="31"/>
      <c r="K103" s="30">
        <f>IF(J97=0,0,L103/J97)</f>
        <v>2259.6</v>
      </c>
      <c r="L103" s="33">
        <v>11298</v>
      </c>
      <c r="M103" s="31"/>
      <c r="N103" s="33">
        <f>L103-F103</f>
        <v>1098</v>
      </c>
      <c r="O103" s="31"/>
      <c r="P103" s="30"/>
      <c r="Q103" s="33">
        <v>13963.0999999999</v>
      </c>
      <c r="R103" s="31">
        <f>O103-K103</f>
        <v>-2259.6</v>
      </c>
      <c r="S103" s="34">
        <f>L103-Q103</f>
        <v>-2665.0999999999003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2640</v>
      </c>
      <c r="G104" s="31"/>
      <c r="H104" s="47"/>
      <c r="I104" s="30"/>
      <c r="J104" s="31"/>
      <c r="K104" s="47">
        <f>IF(J97=0,0,L104/J97)</f>
        <v>387.6</v>
      </c>
      <c r="L104" s="33">
        <v>1938</v>
      </c>
      <c r="M104" s="51"/>
      <c r="N104" s="33">
        <f>L104-F104</f>
        <v>-702</v>
      </c>
      <c r="O104" s="31"/>
      <c r="P104" s="47"/>
      <c r="Q104" s="33">
        <v>1645</v>
      </c>
      <c r="R104" s="31">
        <f>O104-K104</f>
        <v>-387.6</v>
      </c>
      <c r="S104" s="34">
        <f>L104-Q104</f>
        <v>293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12</v>
      </c>
      <c r="E105" s="30">
        <f t="shared" si="30"/>
        <v>1450</v>
      </c>
      <c r="F105" s="37">
        <f>F102+F103+F104</f>
        <v>17400</v>
      </c>
      <c r="G105" s="38"/>
      <c r="H105" s="36"/>
      <c r="I105" s="37"/>
      <c r="J105" s="38">
        <f>J97</f>
        <v>5</v>
      </c>
      <c r="K105" s="36">
        <f>IF(J105&lt;=0,0,L105/J105)</f>
        <v>3295.5860000000002</v>
      </c>
      <c r="L105" s="37">
        <f>L102+L103+L104</f>
        <v>16477.93</v>
      </c>
      <c r="M105" s="31">
        <f>J105-D105</f>
        <v>-7</v>
      </c>
      <c r="N105" s="37">
        <f>L105-F105</f>
        <v>-922.06999999999971</v>
      </c>
      <c r="O105" s="38">
        <f>O97</f>
        <v>13</v>
      </c>
      <c r="P105" s="36">
        <f t="shared" ref="P105" si="31">IF(O105=0,0,Q105/O105)</f>
        <v>1428.527692307684</v>
      </c>
      <c r="Q105" s="37">
        <f>Q102+Q103+Q104</f>
        <v>18570.859999999891</v>
      </c>
      <c r="R105" s="56"/>
      <c r="S105" s="39">
        <f>L105-Q105</f>
        <v>-2092.9299999998912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-5.299252873563217E-2</v>
      </c>
      <c r="O106" s="41"/>
      <c r="P106" s="13"/>
      <c r="Q106" s="59"/>
      <c r="R106" s="60"/>
      <c r="S106" s="44">
        <f>IF(Q105=0,0,(S105/Q105))</f>
        <v>-0.11269968111330889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23</v>
      </c>
      <c r="E108" s="67">
        <f>IF(D108&lt;=0,0,F108/D108)</f>
        <v>1863.0434782608695</v>
      </c>
      <c r="F108" s="65">
        <f>F97+F105+F100</f>
        <v>42850</v>
      </c>
      <c r="G108" s="66"/>
      <c r="H108" s="67"/>
      <c r="I108" s="65"/>
      <c r="J108" s="66">
        <f>J97+J100</f>
        <v>7</v>
      </c>
      <c r="K108" s="67">
        <f>IF(J108&lt;=0,0,L108/J108)</f>
        <v>3660.448571428572</v>
      </c>
      <c r="L108" s="65">
        <f>L97+L105+L100</f>
        <v>25623.140000000003</v>
      </c>
      <c r="M108" s="66">
        <f>J108-D108</f>
        <v>-16</v>
      </c>
      <c r="N108" s="65">
        <f>L108-F108</f>
        <v>-17226.859999999997</v>
      </c>
      <c r="O108" s="66">
        <f>O97+O100</f>
        <v>36</v>
      </c>
      <c r="P108" s="67">
        <f>IF(O108&lt;=0,0,Q108/O108)</f>
        <v>1127.9033333333307</v>
      </c>
      <c r="Q108" s="65">
        <f>Q97+Q105+Q100</f>
        <v>40604.519999999902</v>
      </c>
      <c r="R108" s="66">
        <f>J108-O108</f>
        <v>-29</v>
      </c>
      <c r="S108" s="68">
        <f>L108-Q108</f>
        <v>-14981.379999999899</v>
      </c>
      <c r="T108" s="13"/>
      <c r="U108" s="13"/>
      <c r="W108" s="11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-0.69565217391304346</v>
      </c>
      <c r="N109" s="74">
        <f>N108/F108</f>
        <v>-0.4020270711785297</v>
      </c>
      <c r="O109" s="72"/>
      <c r="P109" s="70"/>
      <c r="Q109" s="71"/>
      <c r="R109" s="73">
        <f>O108/R108</f>
        <v>-1.2413793103448276</v>
      </c>
      <c r="S109" s="145">
        <f>IF(Q108=0,0,(S108/Q108))</f>
        <v>-0.36895843122883698</v>
      </c>
      <c r="T109" s="13"/>
      <c r="U109" s="13"/>
      <c r="W109" s="13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0.207277728657039</v>
      </c>
      <c r="E112" s="82">
        <f t="shared" ref="E112:E121" si="32">F112/D$97</f>
        <v>673.65261813537677</v>
      </c>
      <c r="F112" s="30">
        <v>8083.8314176245212</v>
      </c>
      <c r="G112" s="157"/>
      <c r="H112" s="82"/>
      <c r="I112" s="30"/>
      <c r="J112" s="157">
        <f>L112/L97</f>
        <v>0.5259667252821002</v>
      </c>
      <c r="K112" s="82">
        <f>IF($J$97=0,0,L112/(J$94+J$95+J96))</f>
        <v>796.22</v>
      </c>
      <c r="L112" s="33">
        <v>3981.1</v>
      </c>
      <c r="M112" s="41"/>
      <c r="N112" s="59">
        <f t="shared" ref="N112:N153" si="33">L112-F112</f>
        <v>-4102.7314176245218</v>
      </c>
      <c r="O112" s="157">
        <f>Q112/Q97</f>
        <v>1.037639283972001</v>
      </c>
      <c r="P112" s="82">
        <f t="shared" ref="P112:P121" si="34">Q112/O$97</f>
        <v>822.98923076923086</v>
      </c>
      <c r="Q112" s="33">
        <v>10698.86</v>
      </c>
      <c r="R112" s="41"/>
      <c r="S112" s="85">
        <f t="shared" ref="S112:S117" si="35">L112-Q112</f>
        <v>-6717.76</v>
      </c>
      <c r="T112" s="13"/>
      <c r="U112" s="13"/>
      <c r="V112" s="502" t="s">
        <v>256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0.24759254147604232</v>
      </c>
      <c r="E113" s="88">
        <f t="shared" si="32"/>
        <v>398.75</v>
      </c>
      <c r="F113" s="22">
        <v>4785</v>
      </c>
      <c r="G113" s="162"/>
      <c r="H113" s="88"/>
      <c r="I113" s="22"/>
      <c r="J113" s="162">
        <f>L113/L105</f>
        <v>0.32313342756037922</v>
      </c>
      <c r="K113" s="88">
        <f>IF($J$97=0,0,L113/(J$94+J$95+J96))</f>
        <v>1064.914</v>
      </c>
      <c r="L113" s="33">
        <v>5324.57</v>
      </c>
      <c r="M113" s="23"/>
      <c r="N113" s="91">
        <f t="shared" si="33"/>
        <v>539.56999999999971</v>
      </c>
      <c r="O113" s="162">
        <f>Q113/(Q105+Q19)</f>
        <v>0.25110545310378707</v>
      </c>
      <c r="P113" s="88">
        <f t="shared" si="34"/>
        <v>387.81769230769231</v>
      </c>
      <c r="Q113" s="33">
        <v>5041.63</v>
      </c>
      <c r="R113" s="23"/>
      <c r="S113" s="92">
        <f t="shared" si="35"/>
        <v>282.9399999999996</v>
      </c>
      <c r="T113" s="13"/>
      <c r="U113" s="13"/>
      <c r="V113" s="502" t="s">
        <v>257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1080</v>
      </c>
      <c r="G114" s="83"/>
      <c r="H114" s="82"/>
      <c r="I114" s="30"/>
      <c r="J114" s="41"/>
      <c r="K114" s="82">
        <f>IF($J$97=0,0,L114/(J$94+J$95+J96))</f>
        <v>94.311999999999998</v>
      </c>
      <c r="L114" s="108">
        <v>471.56</v>
      </c>
      <c r="M114" s="41"/>
      <c r="N114" s="59">
        <f t="shared" si="33"/>
        <v>-608.44000000000005</v>
      </c>
      <c r="O114" s="41"/>
      <c r="P114" s="82">
        <f t="shared" si="34"/>
        <v>50.706153846153839</v>
      </c>
      <c r="Q114" s="108">
        <v>659.18</v>
      </c>
      <c r="R114" s="41"/>
      <c r="S114" s="85">
        <f t="shared" si="35"/>
        <v>-187.61999999999995</v>
      </c>
      <c r="T114" s="13"/>
      <c r="U114" s="13"/>
      <c r="V114" s="502" t="s">
        <v>258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1128</v>
      </c>
      <c r="G115" s="83"/>
      <c r="H115" s="82"/>
      <c r="I115" s="30"/>
      <c r="J115" s="41"/>
      <c r="K115" s="82">
        <f>IF($J$97=0,0,L115/(J$94+J$95+J96))</f>
        <v>38.4</v>
      </c>
      <c r="L115" s="33">
        <v>192</v>
      </c>
      <c r="M115" s="41"/>
      <c r="N115" s="59">
        <f t="shared" si="33"/>
        <v>-936</v>
      </c>
      <c r="O115" s="41"/>
      <c r="P115" s="82">
        <f t="shared" si="34"/>
        <v>151.87615384615384</v>
      </c>
      <c r="Q115" s="33">
        <v>1974.39</v>
      </c>
      <c r="R115" s="41"/>
      <c r="S115" s="85">
        <f t="shared" si="35"/>
        <v>-1782.39</v>
      </c>
      <c r="T115" s="13"/>
      <c r="U115" s="13"/>
      <c r="V115" s="502" t="s">
        <v>259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151.66666666666666</v>
      </c>
      <c r="F116" s="22">
        <v>1820</v>
      </c>
      <c r="G116" s="89"/>
      <c r="H116" s="88"/>
      <c r="I116" s="22"/>
      <c r="J116" s="23"/>
      <c r="K116" s="88">
        <f>IF($J$97=0,0,L116/(J$94+J$95+J96))</f>
        <v>406.464</v>
      </c>
      <c r="L116" s="48">
        <v>2032.32</v>
      </c>
      <c r="M116" s="23"/>
      <c r="N116" s="91">
        <f t="shared" si="33"/>
        <v>212.31999999999994</v>
      </c>
      <c r="O116" s="23"/>
      <c r="P116" s="88">
        <f t="shared" si="34"/>
        <v>132.74769230769232</v>
      </c>
      <c r="Q116" s="48">
        <v>1725.72</v>
      </c>
      <c r="R116" s="23"/>
      <c r="S116" s="92">
        <f t="shared" si="35"/>
        <v>306.59999999999991</v>
      </c>
      <c r="T116" s="13"/>
      <c r="U116" s="13"/>
      <c r="V116" s="502" t="s">
        <v>260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618.75</v>
      </c>
      <c r="F117" s="30">
        <v>7425</v>
      </c>
      <c r="G117" s="83"/>
      <c r="H117" s="82"/>
      <c r="I117" s="30"/>
      <c r="J117" s="41"/>
      <c r="K117" s="82">
        <f>IF($J$97=0,0,L117/(J$94+J$95+J96))</f>
        <v>-30.7</v>
      </c>
      <c r="L117" s="33">
        <v>-153.5</v>
      </c>
      <c r="M117" s="41"/>
      <c r="N117" s="59">
        <f t="shared" si="33"/>
        <v>-7578.5</v>
      </c>
      <c r="O117" s="41"/>
      <c r="P117" s="82">
        <f t="shared" si="34"/>
        <v>552.71769230769235</v>
      </c>
      <c r="Q117" s="33">
        <v>7185.33</v>
      </c>
      <c r="R117" s="41"/>
      <c r="S117" s="85">
        <f t="shared" si="35"/>
        <v>-7338.83</v>
      </c>
      <c r="T117" s="13"/>
      <c r="U117" s="13"/>
      <c r="V117" s="502" t="s">
        <v>261</v>
      </c>
      <c r="W117" s="502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336.1832973588343</v>
      </c>
      <c r="F118" s="30">
        <v>4034.1995683060113</v>
      </c>
      <c r="G118" s="83"/>
      <c r="H118" s="82"/>
      <c r="I118" s="30"/>
      <c r="J118" s="41"/>
      <c r="K118" s="82">
        <f>IF($J$97=0,0,L118/(J$94+J$95+J96))</f>
        <v>403.18200000000002</v>
      </c>
      <c r="L118" s="33">
        <v>2015.91</v>
      </c>
      <c r="M118" s="41"/>
      <c r="N118" s="59">
        <f t="shared" si="33"/>
        <v>-2018.2895683060112</v>
      </c>
      <c r="O118" s="41"/>
      <c r="P118" s="82">
        <f t="shared" si="34"/>
        <v>357.30538461538464</v>
      </c>
      <c r="Q118" s="33">
        <v>4644.97</v>
      </c>
      <c r="R118" s="41"/>
      <c r="S118" s="85">
        <f>L118-Q118</f>
        <v>-2629.0600000000004</v>
      </c>
      <c r="T118" s="13"/>
      <c r="U118" s="13"/>
      <c r="V118" s="502" t="s">
        <v>253</v>
      </c>
      <c r="W118" s="503">
        <f>1879.85+136.05</f>
        <v>2015.8999999999999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26" si="37"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0.66175101484085264</v>
      </c>
      <c r="F122" s="96">
        <f>SUM(F112:F121)</f>
        <v>28356.030985930534</v>
      </c>
      <c r="G122" s="97"/>
      <c r="H122" s="95"/>
      <c r="I122" s="96"/>
      <c r="J122" s="97" t="s">
        <v>38</v>
      </c>
      <c r="K122" s="95">
        <f>L122/L$108</f>
        <v>0.54107185926471146</v>
      </c>
      <c r="L122" s="96">
        <f>SUM(L112:L121)</f>
        <v>13863.96</v>
      </c>
      <c r="M122" s="100"/>
      <c r="N122" s="96">
        <f t="shared" si="33"/>
        <v>-14492.070985930535</v>
      </c>
      <c r="O122" s="97" t="s">
        <v>38</v>
      </c>
      <c r="P122" s="95">
        <f>Q122/Q$108</f>
        <v>0.78636762606724764</v>
      </c>
      <c r="Q122" s="96">
        <f>SUM(Q112:Q121)</f>
        <v>31930.080000000002</v>
      </c>
      <c r="R122" s="100"/>
      <c r="S122" s="101">
        <f t="shared" si="37"/>
        <v>-18066.120000000003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3609.65</v>
      </c>
      <c r="M123" s="41"/>
      <c r="N123" s="59">
        <f t="shared" si="33"/>
        <v>-1530.7531830238727</v>
      </c>
      <c r="O123" s="41"/>
      <c r="P123" s="13"/>
      <c r="Q123" s="33">
        <v>3018.38</v>
      </c>
      <c r="R123" s="41"/>
      <c r="S123" s="85">
        <f t="shared" si="37"/>
        <v>591.27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3407.1664750957852</v>
      </c>
      <c r="G124" s="83"/>
      <c r="H124" s="13"/>
      <c r="I124" s="22"/>
      <c r="J124" s="41"/>
      <c r="K124" s="13"/>
      <c r="L124" s="22">
        <v>2545.37</v>
      </c>
      <c r="M124" s="41"/>
      <c r="N124" s="59">
        <f t="shared" si="33"/>
        <v>-861.79647509578535</v>
      </c>
      <c r="O124" s="41"/>
      <c r="P124" s="13"/>
      <c r="Q124" s="22">
        <v>3804.18</v>
      </c>
      <c r="R124" s="41"/>
      <c r="S124" s="85">
        <f t="shared" si="37"/>
        <v>-1258.81</v>
      </c>
      <c r="T124" s="13"/>
      <c r="U124" s="13"/>
      <c r="V124" s="502" t="s">
        <v>254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0</v>
      </c>
      <c r="M125" s="107"/>
      <c r="N125" s="109">
        <f t="shared" si="33"/>
        <v>-2809</v>
      </c>
      <c r="O125" s="107"/>
      <c r="P125" s="105"/>
      <c r="Q125" s="33">
        <v>2809</v>
      </c>
      <c r="R125" s="107"/>
      <c r="S125" s="110">
        <f t="shared" si="37"/>
        <v>-2809</v>
      </c>
      <c r="T125" s="13"/>
      <c r="U125" s="13"/>
      <c r="V125" s="502" t="s">
        <v>255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4882.8006544433583</v>
      </c>
      <c r="G130" s="83"/>
      <c r="H130" s="13"/>
      <c r="I130" s="30"/>
      <c r="J130" s="41"/>
      <c r="K130" s="13"/>
      <c r="L130" s="33">
        <v>2055.12</v>
      </c>
      <c r="M130" s="41"/>
      <c r="N130" s="59">
        <f t="shared" si="33"/>
        <v>-2827.6806544433584</v>
      </c>
      <c r="O130" s="41"/>
      <c r="P130" s="13"/>
      <c r="Q130" s="33">
        <v>8316.49</v>
      </c>
      <c r="R130" s="41"/>
      <c r="S130" s="85">
        <f>L130-Q130</f>
        <v>-6261.37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2929.5754139522546</v>
      </c>
      <c r="G131" s="106"/>
      <c r="H131" s="105"/>
      <c r="I131" s="54"/>
      <c r="J131" s="107"/>
      <c r="K131" s="105"/>
      <c r="L131" s="55">
        <v>2387.29</v>
      </c>
      <c r="M131" s="107"/>
      <c r="N131" s="109">
        <f t="shared" si="33"/>
        <v>-542.28541395225466</v>
      </c>
      <c r="O131" s="107"/>
      <c r="P131" s="105"/>
      <c r="Q131" s="55">
        <v>3303.92</v>
      </c>
      <c r="R131" s="107"/>
      <c r="S131" s="110">
        <f t="shared" ref="S131:S148" si="40">L131-Q131</f>
        <v>-916.63000000000011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1798.8620962864723</v>
      </c>
      <c r="G132" s="83"/>
      <c r="H132" s="13"/>
      <c r="I132" s="30"/>
      <c r="J132" s="41"/>
      <c r="K132" s="13"/>
      <c r="L132" s="33">
        <v>1383.53</v>
      </c>
      <c r="M132" s="41"/>
      <c r="N132" s="59">
        <f t="shared" si="33"/>
        <v>-415.33209628647228</v>
      </c>
      <c r="O132" s="41"/>
      <c r="P132" s="13"/>
      <c r="Q132" s="33">
        <v>3132.07</v>
      </c>
      <c r="R132" s="41"/>
      <c r="S132" s="85">
        <f t="shared" si="40"/>
        <v>-1748.5400000000002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385.47044920424401</v>
      </c>
      <c r="G133" s="83"/>
      <c r="H133" s="13"/>
      <c r="I133" s="30"/>
      <c r="J133" s="41"/>
      <c r="K133" s="13"/>
      <c r="L133" s="33">
        <v>621.11</v>
      </c>
      <c r="M133" s="41"/>
      <c r="N133" s="59">
        <f t="shared" si="33"/>
        <v>235.63955079575601</v>
      </c>
      <c r="O133" s="41"/>
      <c r="P133" s="13"/>
      <c r="Q133" s="33">
        <v>81.52</v>
      </c>
      <c r="R133" s="41"/>
      <c r="S133" s="85">
        <f t="shared" si="40"/>
        <v>539.59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0.4983262140491479</v>
      </c>
      <c r="F135" s="96">
        <f>+SUM(F123:F134)</f>
        <v>21353.278272005988</v>
      </c>
      <c r="G135" s="97"/>
      <c r="H135" s="95"/>
      <c r="I135" s="96"/>
      <c r="J135" s="97" t="s">
        <v>38</v>
      </c>
      <c r="K135" s="95">
        <f>L135/L$108</f>
        <v>0.49182379677119981</v>
      </c>
      <c r="L135" s="96">
        <f>SUM(L123:L134)</f>
        <v>12602.070000000002</v>
      </c>
      <c r="M135" s="463"/>
      <c r="N135" s="464">
        <f t="shared" si="33"/>
        <v>-8751.2082720059861</v>
      </c>
      <c r="O135" s="97" t="s">
        <v>38</v>
      </c>
      <c r="P135" s="95">
        <f>Q135/Q$108</f>
        <v>0.60253291998033864</v>
      </c>
      <c r="Q135" s="96">
        <f>+SUM(Q123:Q134)</f>
        <v>24465.56</v>
      </c>
      <c r="R135" s="147"/>
      <c r="S135" s="114">
        <f t="shared" si="40"/>
        <v>-11863.49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720.21</v>
      </c>
      <c r="M138" s="23"/>
      <c r="N138" s="91">
        <f t="shared" si="33"/>
        <v>-223.4233333333334</v>
      </c>
      <c r="O138" s="23"/>
      <c r="P138" s="111"/>
      <c r="Q138" s="22">
        <v>1705.44</v>
      </c>
      <c r="R138" s="23"/>
      <c r="S138" s="92">
        <f t="shared" si="40"/>
        <v>-985.23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1821.15</v>
      </c>
      <c r="M139" s="41"/>
      <c r="N139" s="59">
        <f t="shared" si="33"/>
        <v>395.75</v>
      </c>
      <c r="O139" s="41"/>
      <c r="P139" s="13"/>
      <c r="Q139" s="33">
        <v>1542.19</v>
      </c>
      <c r="R139" s="41"/>
      <c r="S139" s="85">
        <f t="shared" si="40"/>
        <v>278.96000000000004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50.94</v>
      </c>
      <c r="M140" s="41"/>
      <c r="N140" s="59">
        <f t="shared" si="33"/>
        <v>-132.39333333333335</v>
      </c>
      <c r="O140" s="41"/>
      <c r="P140" s="13"/>
      <c r="Q140" s="33">
        <v>794.63</v>
      </c>
      <c r="R140" s="41"/>
      <c r="S140" s="85">
        <f t="shared" si="40"/>
        <v>-743.69</v>
      </c>
      <c r="T140" s="148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1124.04</v>
      </c>
      <c r="M141" s="23"/>
      <c r="N141" s="91">
        <f t="shared" si="33"/>
        <v>387.43999999999994</v>
      </c>
      <c r="O141" s="23"/>
      <c r="P141" s="111"/>
      <c r="Q141" s="22">
        <v>1317.83</v>
      </c>
      <c r="R141" s="23"/>
      <c r="S141" s="92">
        <f t="shared" si="40"/>
        <v>-193.78999999999996</v>
      </c>
      <c r="T141" s="13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2.92</v>
      </c>
      <c r="M142" s="41"/>
      <c r="N142" s="59">
        <f t="shared" si="33"/>
        <v>-14.58</v>
      </c>
      <c r="O142" s="41"/>
      <c r="P142" s="13"/>
      <c r="Q142" s="33">
        <v>108.11</v>
      </c>
      <c r="R142" s="41"/>
      <c r="S142" s="85">
        <f t="shared" si="40"/>
        <v>-105.19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37.82</v>
      </c>
      <c r="M144" s="41"/>
      <c r="N144" s="59">
        <f t="shared" si="33"/>
        <v>-119.68</v>
      </c>
      <c r="O144" s="41"/>
      <c r="P144" s="13"/>
      <c r="Q144" s="32">
        <v>107.41</v>
      </c>
      <c r="R144" s="41"/>
      <c r="S144" s="85">
        <f t="shared" si="40"/>
        <v>-69.59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97.56</v>
      </c>
      <c r="M145" s="41"/>
      <c r="N145" s="59">
        <f t="shared" si="33"/>
        <v>34.36</v>
      </c>
      <c r="O145" s="41"/>
      <c r="P145" s="13"/>
      <c r="Q145" s="33">
        <v>62.09</v>
      </c>
      <c r="R145" s="41"/>
      <c r="S145" s="85">
        <f t="shared" si="40"/>
        <v>35.47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14.42</v>
      </c>
      <c r="M146" s="41"/>
      <c r="N146" s="59">
        <f t="shared" si="33"/>
        <v>-30.58</v>
      </c>
      <c r="O146" s="41"/>
      <c r="P146" s="13"/>
      <c r="Q146" s="33">
        <v>53.84</v>
      </c>
      <c r="R146" s="41"/>
      <c r="S146" s="85">
        <f t="shared" si="40"/>
        <v>-39.42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136</v>
      </c>
      <c r="M147" s="41"/>
      <c r="N147" s="59">
        <f t="shared" si="33"/>
        <v>-38.100000000000023</v>
      </c>
      <c r="O147" s="41"/>
      <c r="P147" s="13"/>
      <c r="Q147" s="33">
        <v>238.98</v>
      </c>
      <c r="R147" s="41"/>
      <c r="S147" s="85">
        <f t="shared" si="40"/>
        <v>-102.97999999999999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205.67</v>
      </c>
      <c r="M148" s="41"/>
      <c r="N148" s="59">
        <f t="shared" si="33"/>
        <v>81.629220000000004</v>
      </c>
      <c r="O148" s="41"/>
      <c r="P148" s="13"/>
      <c r="Q148" s="33">
        <v>73.73</v>
      </c>
      <c r="R148" s="41"/>
      <c r="S148" s="85">
        <f t="shared" si="40"/>
        <v>131.94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476.12587241256836</v>
      </c>
      <c r="G149" s="83"/>
      <c r="H149" s="13"/>
      <c r="I149" s="30"/>
      <c r="J149" s="41"/>
      <c r="K149" s="13"/>
      <c r="L149" s="33">
        <v>511.52</v>
      </c>
      <c r="M149" s="41"/>
      <c r="N149" s="59">
        <f t="shared" si="33"/>
        <v>35.394127587431626</v>
      </c>
      <c r="O149" s="41"/>
      <c r="P149" s="13"/>
      <c r="Q149" s="33">
        <v>568.13</v>
      </c>
      <c r="R149" s="41"/>
      <c r="S149" s="85">
        <f>L149-Q149</f>
        <v>-56.610000000000014</v>
      </c>
      <c r="T149" s="82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0.10166705528773011</v>
      </c>
      <c r="F153" s="96">
        <f>+SUM(F136:F152)</f>
        <v>4356.4333190792349</v>
      </c>
      <c r="G153" s="97"/>
      <c r="H153" s="95"/>
      <c r="I153" s="96"/>
      <c r="J153" s="97" t="s">
        <v>38</v>
      </c>
      <c r="K153" s="95">
        <f>L153/L$108</f>
        <v>0.18429630404392278</v>
      </c>
      <c r="L153" s="96">
        <f>+SUM(L136:L152)</f>
        <v>4722.25</v>
      </c>
      <c r="M153" s="100"/>
      <c r="N153" s="96">
        <f t="shared" si="33"/>
        <v>365.81668092076507</v>
      </c>
      <c r="O153" s="97" t="s">
        <v>38</v>
      </c>
      <c r="P153" s="95">
        <f>Q153/Q$108</f>
        <v>0.16186326054340786</v>
      </c>
      <c r="Q153" s="96">
        <f>+SUM(Q136:Q152)</f>
        <v>6572.3799999999992</v>
      </c>
      <c r="R153" s="100"/>
      <c r="S153" s="101">
        <f>L153-Q153</f>
        <v>-1850.1299999999992</v>
      </c>
      <c r="T153" s="11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1.2617442841777307</v>
      </c>
      <c r="F155" s="96">
        <f>F122+F135+F153</f>
        <v>54065.742577015757</v>
      </c>
      <c r="G155" s="97"/>
      <c r="H155" s="95"/>
      <c r="I155" s="96"/>
      <c r="J155" s="97" t="s">
        <v>38</v>
      </c>
      <c r="K155" s="95">
        <f>L155/L$108</f>
        <v>1.217191960079834</v>
      </c>
      <c r="L155" s="96">
        <f>L122+L135+L153</f>
        <v>31188.28</v>
      </c>
      <c r="M155" s="100"/>
      <c r="N155" s="113">
        <f t="shared" ref="N155:N162" si="42">L155-F155</f>
        <v>-22877.462577015758</v>
      </c>
      <c r="O155" s="97" t="s">
        <v>38</v>
      </c>
      <c r="P155" s="95">
        <f>Q155/Q$108</f>
        <v>1.5507638065909941</v>
      </c>
      <c r="Q155" s="96">
        <f>Q122+Q135+Q153</f>
        <v>62968.02</v>
      </c>
      <c r="R155" s="100"/>
      <c r="S155" s="114">
        <f t="shared" ref="S155:S162" si="43">L155-Q155</f>
        <v>-31779.739999999998</v>
      </c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1500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-1500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536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-536</v>
      </c>
      <c r="O157" s="151"/>
      <c r="P157" s="150"/>
      <c r="Q157" s="33">
        <v>-1450</v>
      </c>
      <c r="R157" s="41"/>
      <c r="S157" s="85">
        <f t="shared" si="43"/>
        <v>1450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5926.2</v>
      </c>
      <c r="G159" s="83"/>
      <c r="H159" s="13"/>
      <c r="I159" s="30"/>
      <c r="J159" s="41"/>
      <c r="K159" s="13"/>
      <c r="L159" s="32">
        <v>2975</v>
      </c>
      <c r="M159" s="41"/>
      <c r="N159" s="59">
        <f t="shared" si="42"/>
        <v>-2951.2</v>
      </c>
      <c r="O159" s="41"/>
      <c r="P159" s="13"/>
      <c r="Q159" s="33">
        <v>6545</v>
      </c>
      <c r="R159" s="41"/>
      <c r="S159" s="85">
        <f t="shared" si="43"/>
        <v>-3570</v>
      </c>
      <c r="T159" s="112"/>
      <c r="U159" s="13"/>
      <c r="V159" s="502">
        <f>L159/595</f>
        <v>5</v>
      </c>
      <c r="W159" s="489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7962.2</v>
      </c>
      <c r="G163" s="97"/>
      <c r="H163" s="95"/>
      <c r="I163" s="96"/>
      <c r="J163" s="97"/>
      <c r="K163" s="95"/>
      <c r="L163" s="96">
        <f>+SUM(L156:L162)</f>
        <v>2975</v>
      </c>
      <c r="M163" s="100"/>
      <c r="N163" s="96">
        <f>SUM(N156:N159)</f>
        <v>-4987.2</v>
      </c>
      <c r="O163" s="97"/>
      <c r="P163" s="95"/>
      <c r="Q163" s="96">
        <f>+SUM(Q156:Q162)</f>
        <v>5095</v>
      </c>
      <c r="R163" s="100"/>
      <c r="S163" s="101">
        <f>+SUM(S156:S162)</f>
        <v>-2120</v>
      </c>
      <c r="T163" s="112"/>
      <c r="U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-3253.5425770157572</v>
      </c>
      <c r="G165" s="153"/>
      <c r="H165" s="125"/>
      <c r="I165" s="127"/>
      <c r="J165" s="154"/>
      <c r="K165" s="126"/>
      <c r="L165" s="127">
        <f>L108-L155+L163</f>
        <v>-2590.1399999999958</v>
      </c>
      <c r="M165" s="154"/>
      <c r="N165" s="127">
        <f>L165-F165</f>
        <v>663.40257701576138</v>
      </c>
      <c r="O165" s="154"/>
      <c r="P165" s="126"/>
      <c r="Q165" s="127">
        <f>Q108-Q155+Q163</f>
        <v>-17268.500000000095</v>
      </c>
      <c r="R165" s="154"/>
      <c r="S165" s="129">
        <f>L165-Q165</f>
        <v>14678.360000000099</v>
      </c>
      <c r="T165" s="82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2025</v>
      </c>
      <c r="T168" s="2"/>
      <c r="U168" s="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213</v>
      </c>
      <c r="N170" s="513"/>
      <c r="O170" s="511" t="s">
        <v>8</v>
      </c>
      <c r="P170" s="512"/>
      <c r="Q170" s="513"/>
      <c r="R170" s="509" t="s">
        <v>214</v>
      </c>
      <c r="S170" s="510"/>
      <c r="T170" s="149"/>
      <c r="U170" s="13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118.80283100870454</v>
      </c>
      <c r="E172" s="82">
        <v>40392.962542959547</v>
      </c>
      <c r="F172" s="82">
        <v>31668.082633680286</v>
      </c>
      <c r="G172" s="156"/>
      <c r="H172" s="82"/>
      <c r="I172" s="82"/>
      <c r="J172" s="60">
        <v>122</v>
      </c>
      <c r="K172" s="30">
        <v>43642.539999999994</v>
      </c>
      <c r="L172" s="33">
        <v>33796.769999999997</v>
      </c>
      <c r="M172" s="157">
        <f>(K172-E172)/E172</f>
        <v>8.0449099359433951E-2</v>
      </c>
      <c r="N172" s="59">
        <f>L172-F172</f>
        <v>2128.6873663197111</v>
      </c>
      <c r="O172" s="60">
        <v>97</v>
      </c>
      <c r="P172" s="30">
        <v>29494.33</v>
      </c>
      <c r="Q172" s="33">
        <v>23199.91</v>
      </c>
      <c r="R172" s="157">
        <f>IF(O172=0,0,J172/O172)</f>
        <v>1.2577319587628866</v>
      </c>
      <c r="S172" s="85">
        <f>L172-Q172</f>
        <v>10596.859999999997</v>
      </c>
      <c r="T172" s="82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0.77439970267541725</v>
      </c>
      <c r="M173" s="157"/>
      <c r="N173" s="59"/>
      <c r="O173" s="60"/>
      <c r="P173" s="13"/>
      <c r="Q173" s="158">
        <f>Q172/P172</f>
        <v>0.78658881215474286</v>
      </c>
      <c r="R173" s="60"/>
      <c r="S173" s="85"/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357.725737704918</v>
      </c>
      <c r="L174" s="160"/>
      <c r="M174" s="162"/>
      <c r="N174" s="91"/>
      <c r="O174" s="161"/>
      <c r="P174" s="465">
        <f>IFERROR(P172/O172,0)</f>
        <v>304.06525773195881</v>
      </c>
      <c r="Q174" s="160"/>
      <c r="R174" s="161"/>
      <c r="S174" s="92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122.78761307498306</v>
      </c>
      <c r="E175" s="82">
        <v>17926.991508947525</v>
      </c>
      <c r="F175" s="82">
        <v>11473.274565726417</v>
      </c>
      <c r="G175" s="164"/>
      <c r="H175" s="82"/>
      <c r="I175" s="82"/>
      <c r="J175" s="164">
        <v>179</v>
      </c>
      <c r="K175" s="165">
        <v>23967.52</v>
      </c>
      <c r="L175" s="33">
        <v>16036.509999999998</v>
      </c>
      <c r="M175" s="157">
        <f>(K175-E175)/E175</f>
        <v>0.33695160105573724</v>
      </c>
      <c r="N175" s="109">
        <f>L175-F175</f>
        <v>4563.2354342735816</v>
      </c>
      <c r="O175" s="164">
        <v>143</v>
      </c>
      <c r="P175" s="165">
        <v>35002.620000000003</v>
      </c>
      <c r="Q175" s="33">
        <v>23761.64</v>
      </c>
      <c r="R175" s="157">
        <f>IF(O175=0,0,J175/O175)</f>
        <v>1.2517482517482517</v>
      </c>
      <c r="S175" s="85">
        <f>L175-Q175</f>
        <v>-7725.130000000001</v>
      </c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0.6690934230992609</v>
      </c>
      <c r="M176" s="42"/>
      <c r="N176" s="43"/>
      <c r="O176" s="41"/>
      <c r="P176" s="13"/>
      <c r="Q176" s="158">
        <f>Q175/P175</f>
        <v>0.67885318299030184</v>
      </c>
      <c r="R176" s="42"/>
      <c r="S176" s="44"/>
      <c r="T176" s="13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244.77356643356646</v>
      </c>
      <c r="Q177" s="160"/>
      <c r="R177" s="167"/>
      <c r="S177" s="169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119.16611645083479</v>
      </c>
      <c r="E178" s="82">
        <v>28599.867948200354</v>
      </c>
      <c r="F178" s="82">
        <v>19304.910865035239</v>
      </c>
      <c r="G178" s="41"/>
      <c r="H178" s="82"/>
      <c r="I178" s="82"/>
      <c r="J178" s="60">
        <v>82</v>
      </c>
      <c r="K178" s="165">
        <v>27839.84</v>
      </c>
      <c r="L178" s="33">
        <v>19376.63</v>
      </c>
      <c r="M178" s="157">
        <f>(K178-E178)/E178</f>
        <v>-2.6574526483020989E-2</v>
      </c>
      <c r="N178" s="59">
        <f>L178-F178</f>
        <v>71.719134964761906</v>
      </c>
      <c r="O178" s="60">
        <v>155</v>
      </c>
      <c r="P178" s="165">
        <v>43073.03</v>
      </c>
      <c r="Q178" s="33">
        <v>26387.31</v>
      </c>
      <c r="R178" s="157">
        <f>IF(O178=0,0,J178/O178)</f>
        <v>0.52903225806451615</v>
      </c>
      <c r="S178" s="85">
        <f>L178-Q178</f>
        <v>-7010.68</v>
      </c>
      <c r="T178" s="82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0.69600364082552202</v>
      </c>
      <c r="M179" s="157"/>
      <c r="N179" s="59">
        <f>L179-F179</f>
        <v>2.1003640825521974E-2</v>
      </c>
      <c r="O179" s="60"/>
      <c r="P179" s="144"/>
      <c r="Q179" s="158">
        <f>Q178/P178</f>
        <v>0.6126179189158506</v>
      </c>
      <c r="R179" s="60">
        <f>O179-K179</f>
        <v>0</v>
      </c>
      <c r="S179" s="85"/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277.89051612903228</v>
      </c>
      <c r="Q180" s="158"/>
      <c r="R180" s="172"/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34.175216371203391</v>
      </c>
      <c r="E181" s="82">
        <v>6835.0432742406792</v>
      </c>
      <c r="F181" s="82">
        <v>2734.0173096962717</v>
      </c>
      <c r="G181" s="107"/>
      <c r="H181" s="82"/>
      <c r="I181" s="82"/>
      <c r="J181" s="164">
        <v>9</v>
      </c>
      <c r="K181" s="165">
        <v>1950.8600000000001</v>
      </c>
      <c r="L181" s="108">
        <v>1343.8600000000001</v>
      </c>
      <c r="M181" s="173">
        <f>IF(E181=0,0,(K181-E181)/E181)</f>
        <v>-0.71457971490067473</v>
      </c>
      <c r="N181" s="109">
        <f>L181-F181</f>
        <v>-1390.1573096962716</v>
      </c>
      <c r="O181" s="164">
        <v>18</v>
      </c>
      <c r="P181" s="165">
        <v>3523.4</v>
      </c>
      <c r="Q181" s="108">
        <v>1241.74</v>
      </c>
      <c r="R181" s="157">
        <f>IF(O181=0,0,J181/O181)</f>
        <v>0.5</v>
      </c>
      <c r="S181" s="110">
        <f>L181-Q181</f>
        <v>102.12000000000012</v>
      </c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0.68885517156536091</v>
      </c>
      <c r="M182" s="60">
        <f>J182-D182</f>
        <v>0</v>
      </c>
      <c r="N182" s="176"/>
      <c r="O182" s="175"/>
      <c r="P182" s="174"/>
      <c r="Q182" s="158">
        <f>IFERROR(Q181/P181,0)</f>
        <v>0.35242663336549923</v>
      </c>
      <c r="R182" s="41"/>
      <c r="S182" s="177"/>
      <c r="T182" s="11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195.74444444444444</v>
      </c>
      <c r="Q183" s="160"/>
      <c r="R183" s="23"/>
      <c r="S183" s="183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-1821.2512731550603</v>
      </c>
      <c r="G184" s="41"/>
      <c r="H184" s="82"/>
      <c r="I184" s="82"/>
      <c r="J184" s="60"/>
      <c r="K184" s="82"/>
      <c r="L184" s="82">
        <v>-3692.2200000000003</v>
      </c>
      <c r="M184" s="175"/>
      <c r="N184" s="59">
        <f>L184-F184</f>
        <v>-1870.96872684494</v>
      </c>
      <c r="O184" s="60"/>
      <c r="P184" s="82"/>
      <c r="Q184" s="82">
        <v>-2565.34</v>
      </c>
      <c r="R184" s="184"/>
      <c r="S184" s="85">
        <f>L184-Q184</f>
        <v>-1126.8800000000001</v>
      </c>
      <c r="T184" s="13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394.93177690572577</v>
      </c>
      <c r="E185" s="186">
        <f>E172+E175+E178+E181+E184</f>
        <v>93754.865274348107</v>
      </c>
      <c r="F185" s="187">
        <f>F172+F175+F178+F181+F184</f>
        <v>63359.034100983154</v>
      </c>
      <c r="G185" s="188"/>
      <c r="H185" s="186"/>
      <c r="I185" s="187"/>
      <c r="J185" s="188">
        <f>J172+J175+J178+J181+J184</f>
        <v>392</v>
      </c>
      <c r="K185" s="186">
        <f>K172+K175+K178+K181+K184</f>
        <v>97400.76</v>
      </c>
      <c r="L185" s="187">
        <f>L172+L175+L178+L181+L184</f>
        <v>66861.55</v>
      </c>
      <c r="M185" s="189">
        <f>(K185-E185)/E185</f>
        <v>3.8887525623157462E-2</v>
      </c>
      <c r="N185" s="187">
        <f>L185-F185</f>
        <v>3502.5158990168493</v>
      </c>
      <c r="O185" s="188">
        <f t="shared" ref="O185:Q185" si="45">O172+O175+O178+O181+O184</f>
        <v>413</v>
      </c>
      <c r="P185" s="186">
        <f t="shared" si="45"/>
        <v>111093.38</v>
      </c>
      <c r="Q185" s="187">
        <f t="shared" si="45"/>
        <v>72025.260000000009</v>
      </c>
      <c r="R185" s="42">
        <f>IF(O185=0,0,J185/O185)</f>
        <v>0.94915254237288138</v>
      </c>
      <c r="S185" s="190">
        <f>L185-Q185</f>
        <v>-5163.7100000000064</v>
      </c>
      <c r="T185" s="112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0.67579462586373706</v>
      </c>
      <c r="G186" s="194"/>
      <c r="H186" s="192"/>
      <c r="I186" s="43"/>
      <c r="J186" s="194"/>
      <c r="K186" s="443">
        <f>IF(J185=0,0,K185/J185)</f>
        <v>248.47132653061223</v>
      </c>
      <c r="L186" s="43">
        <f>IF(L185=0,0,L185/K185)</f>
        <v>0.68645819601407632</v>
      </c>
      <c r="M186" s="194"/>
      <c r="N186" s="193">
        <f>N185/F185</f>
        <v>5.5280449721415499E-2</v>
      </c>
      <c r="O186" s="194"/>
      <c r="P186" s="443">
        <f>IF(O185=0,0,P185/O185)</f>
        <v>268.99123486682811</v>
      </c>
      <c r="Q186" s="43">
        <f>Q185/P185</f>
        <v>0.64833080062916448</v>
      </c>
      <c r="R186" s="194"/>
      <c r="S186" s="44">
        <f>IF(R185=0,0,S185/R185)</f>
        <v>-5440.3373214285784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6736.1154605737429</v>
      </c>
      <c r="F188" s="82">
        <v>774.65327796598046</v>
      </c>
      <c r="G188" s="60"/>
      <c r="H188" s="82"/>
      <c r="I188" s="82"/>
      <c r="J188" s="60"/>
      <c r="K188" s="30">
        <v>331.8</v>
      </c>
      <c r="L188" s="33">
        <v>0</v>
      </c>
      <c r="M188" s="84">
        <f>IF(E188=0,0,(K188-E188)/E188)</f>
        <v>-0.95074312458834553</v>
      </c>
      <c r="N188" s="59">
        <f>L188-F188</f>
        <v>-774.65327796598046</v>
      </c>
      <c r="O188" s="60"/>
      <c r="P188" s="30">
        <v>11177.31</v>
      </c>
      <c r="Q188" s="33">
        <v>227.090000000001</v>
      </c>
      <c r="R188" s="157">
        <f>IF(O188=0,0,J188/O188)</f>
        <v>0</v>
      </c>
      <c r="S188" s="85">
        <f>L188-Q188</f>
        <v>-227.090000000001</v>
      </c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</v>
      </c>
      <c r="M189" s="175"/>
      <c r="N189" s="176"/>
      <c r="O189" s="175"/>
      <c r="P189" s="174"/>
      <c r="Q189" s="158">
        <f>IFERROR(Q188/P188,0)</f>
        <v>2.0317053029754117E-2</v>
      </c>
      <c r="R189" s="175"/>
      <c r="S189" s="177"/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100490.98073492185</v>
      </c>
      <c r="F194" s="65">
        <f>F185+F188+F191</f>
        <v>64133.687378949136</v>
      </c>
      <c r="G194" s="66"/>
      <c r="H194" s="63"/>
      <c r="I194" s="65"/>
      <c r="J194" s="66"/>
      <c r="K194" s="63">
        <f>K185+K188+K191</f>
        <v>97732.56</v>
      </c>
      <c r="L194" s="65">
        <f>L185+L188+L191</f>
        <v>66861.55</v>
      </c>
      <c r="M194" s="206">
        <f>L195-F195</f>
        <v>4.5924266817971349E-2</v>
      </c>
      <c r="N194" s="65">
        <f>L194-F194</f>
        <v>2727.8626210508664</v>
      </c>
      <c r="O194" s="66"/>
      <c r="P194" s="63">
        <f t="shared" ref="P194:Q194" si="46">P185+P188+P191</f>
        <v>122270.69</v>
      </c>
      <c r="Q194" s="65">
        <f t="shared" si="46"/>
        <v>72252.350000000006</v>
      </c>
      <c r="R194" s="206">
        <f>L195-Q195</f>
        <v>9.320642637761023E-2</v>
      </c>
      <c r="S194" s="68">
        <f>L194-Q194</f>
        <v>-5390.8000000000029</v>
      </c>
      <c r="T194" s="112"/>
      <c r="U194" s="13"/>
      <c r="V194" s="502" t="s">
        <v>221</v>
      </c>
      <c r="W194" s="497"/>
      <c r="X194" s="490">
        <f>L194-W194</f>
        <v>66861.55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0.6382034179577063</v>
      </c>
      <c r="G195" s="72"/>
      <c r="H195" s="70"/>
      <c r="I195" s="74"/>
      <c r="J195" s="72"/>
      <c r="K195" s="70"/>
      <c r="L195" s="74">
        <f>L194/K194</f>
        <v>0.68412768477567765</v>
      </c>
      <c r="M195" s="73"/>
      <c r="N195" s="74">
        <f>N194/F194</f>
        <v>4.2534005645623367E-2</v>
      </c>
      <c r="O195" s="72"/>
      <c r="P195" s="70"/>
      <c r="Q195" s="74">
        <f>Q194/P194</f>
        <v>0.59092125839806742</v>
      </c>
      <c r="R195" s="73"/>
      <c r="S195" s="75">
        <f>L194/S194</f>
        <v>-12.40289938413593</v>
      </c>
      <c r="T195" s="76"/>
      <c r="U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12026.53</v>
      </c>
      <c r="M198" s="41"/>
      <c r="N198" s="59">
        <f t="shared" ref="N198:N229" si="47">L198-F198</f>
        <v>1416.5933215443565</v>
      </c>
      <c r="O198" s="41"/>
      <c r="P198" s="13"/>
      <c r="Q198" s="33">
        <v>10104.73</v>
      </c>
      <c r="R198" s="41"/>
      <c r="S198" s="85">
        <f t="shared" ref="S198:S203" si="48">L198-Q198</f>
        <v>1921.8000000000011</v>
      </c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2381.37</v>
      </c>
      <c r="M199" s="41"/>
      <c r="N199" s="59">
        <f t="shared" si="47"/>
        <v>-3339.2315325670506</v>
      </c>
      <c r="O199" s="41"/>
      <c r="P199" s="13"/>
      <c r="Q199" s="33">
        <v>5958.02</v>
      </c>
      <c r="R199" s="41"/>
      <c r="S199" s="85">
        <f t="shared" si="48"/>
        <v>-3576.6500000000005</v>
      </c>
      <c r="T199" s="13"/>
      <c r="U199" s="13"/>
      <c r="V199" s="502" t="s">
        <v>262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4802.7624521072794</v>
      </c>
      <c r="G200" s="106"/>
      <c r="H200" s="105"/>
      <c r="I200" s="30"/>
      <c r="J200" s="107"/>
      <c r="K200" s="105"/>
      <c r="L200" s="108">
        <v>5793.79</v>
      </c>
      <c r="M200" s="107"/>
      <c r="N200" s="109">
        <f t="shared" si="47"/>
        <v>991.02754789272058</v>
      </c>
      <c r="O200" s="107"/>
      <c r="P200" s="105"/>
      <c r="Q200" s="108">
        <v>3642.54</v>
      </c>
      <c r="R200" s="107"/>
      <c r="S200" s="110">
        <f t="shared" si="48"/>
        <v>2151.25</v>
      </c>
      <c r="T200" s="13"/>
      <c r="U200" s="13"/>
      <c r="V200" s="502" t="s">
        <v>263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12308.67</v>
      </c>
      <c r="M201" s="41"/>
      <c r="N201" s="59">
        <f t="shared" si="47"/>
        <v>-2394.1954444444436</v>
      </c>
      <c r="O201" s="41"/>
      <c r="P201" s="13"/>
      <c r="Q201" s="33">
        <v>16655.73</v>
      </c>
      <c r="R201" s="41"/>
      <c r="S201" s="85">
        <f t="shared" si="48"/>
        <v>-4347.0599999999995</v>
      </c>
      <c r="T201" s="13"/>
      <c r="U201" s="13"/>
      <c r="V201" s="502" t="s">
        <v>264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14144.046409748131</v>
      </c>
      <c r="G205" s="83"/>
      <c r="H205" s="13"/>
      <c r="I205" s="30"/>
      <c r="J205" s="41"/>
      <c r="K205" s="13"/>
      <c r="L205" s="33">
        <v>11652.52</v>
      </c>
      <c r="M205" s="41"/>
      <c r="N205" s="59">
        <f t="shared" si="47"/>
        <v>-2491.5264097481304</v>
      </c>
      <c r="O205" s="41"/>
      <c r="P205" s="13"/>
      <c r="Q205" s="33">
        <v>16030.02</v>
      </c>
      <c r="R205" s="41"/>
      <c r="S205" s="85">
        <f>L205-Q205</f>
        <v>-4377.5</v>
      </c>
      <c r="T205" s="13"/>
      <c r="U205" s="13"/>
      <c r="V205" s="502" t="s">
        <v>265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8486.1237531970291</v>
      </c>
      <c r="G206" s="106"/>
      <c r="H206" s="105"/>
      <c r="I206" s="55"/>
      <c r="J206" s="107"/>
      <c r="K206" s="105"/>
      <c r="L206" s="108">
        <v>11409.93</v>
      </c>
      <c r="M206" s="107"/>
      <c r="N206" s="109">
        <f t="shared" si="47"/>
        <v>2923.8062468029711</v>
      </c>
      <c r="O206" s="107"/>
      <c r="P206" s="105"/>
      <c r="Q206" s="108">
        <v>9794.82</v>
      </c>
      <c r="R206" s="107"/>
      <c r="S206" s="110">
        <f t="shared" ref="S206:S216" si="49">L206-Q206</f>
        <v>1615.1100000000006</v>
      </c>
      <c r="T206" s="13"/>
      <c r="U206" s="13"/>
      <c r="V206" s="502" t="s">
        <v>265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5210.7777431911591</v>
      </c>
      <c r="G207" s="83"/>
      <c r="H207" s="13"/>
      <c r="I207" s="30"/>
      <c r="J207" s="41"/>
      <c r="K207" s="13"/>
      <c r="L207" s="33">
        <v>5048.84</v>
      </c>
      <c r="M207" s="41"/>
      <c r="N207" s="59">
        <f t="shared" si="47"/>
        <v>-161.93774319115892</v>
      </c>
      <c r="O207" s="41"/>
      <c r="P207" s="13"/>
      <c r="Q207" s="33">
        <v>4048.18</v>
      </c>
      <c r="R207" s="41"/>
      <c r="S207" s="85">
        <f t="shared" si="49"/>
        <v>1000.6600000000003</v>
      </c>
      <c r="T207" s="13"/>
      <c r="U207" s="13"/>
      <c r="V207" s="502" t="s">
        <v>265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1116.5952306838196</v>
      </c>
      <c r="G208" s="83"/>
      <c r="H208" s="13"/>
      <c r="I208" s="30"/>
      <c r="J208" s="41"/>
      <c r="K208" s="13"/>
      <c r="L208" s="33">
        <v>2414.58</v>
      </c>
      <c r="M208" s="467"/>
      <c r="N208" s="146">
        <f t="shared" si="47"/>
        <v>1297.9847693161803</v>
      </c>
      <c r="O208" s="467"/>
      <c r="P208" s="468"/>
      <c r="Q208" s="22">
        <v>1203.56</v>
      </c>
      <c r="R208" s="467"/>
      <c r="S208" s="469">
        <f t="shared" si="49"/>
        <v>1211.02</v>
      </c>
      <c r="T208" s="13"/>
      <c r="U208" s="13"/>
      <c r="V208" s="502" t="s">
        <v>265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1.0102913444153854</v>
      </c>
      <c r="F210" s="96">
        <f>+SUM(F198:F209)</f>
        <v>64793.709244394558</v>
      </c>
      <c r="G210" s="97"/>
      <c r="H210" s="95"/>
      <c r="I210" s="96"/>
      <c r="J210" s="97" t="s">
        <v>92</v>
      </c>
      <c r="K210" s="95">
        <f>L210/L$194</f>
        <v>0.94278744659673619</v>
      </c>
      <c r="L210" s="96">
        <f>+SUM(L198:L209)</f>
        <v>63036.23000000001</v>
      </c>
      <c r="M210" s="147"/>
      <c r="N210" s="113">
        <f t="shared" si="47"/>
        <v>-1757.479244394548</v>
      </c>
      <c r="O210" s="97" t="s">
        <v>92</v>
      </c>
      <c r="P210" s="95">
        <f>Q210/Q$194</f>
        <v>0.93336202905511034</v>
      </c>
      <c r="Q210" s="96">
        <f>+SUM(Q198:Q209)</f>
        <v>67437.600000000006</v>
      </c>
      <c r="R210" s="147"/>
      <c r="S210" s="114">
        <f t="shared" si="49"/>
        <v>-4401.3699999999953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6541.4976800521836</v>
      </c>
      <c r="G211" s="83"/>
      <c r="H211" s="13"/>
      <c r="I211" s="30"/>
      <c r="J211" s="41"/>
      <c r="K211" s="13"/>
      <c r="L211" s="33">
        <v>1382.06</v>
      </c>
      <c r="M211" s="41"/>
      <c r="N211" s="59">
        <f t="shared" si="47"/>
        <v>-5159.4376800521841</v>
      </c>
      <c r="O211" s="41"/>
      <c r="P211" s="13"/>
      <c r="Q211" s="33">
        <v>6436.33</v>
      </c>
      <c r="R211" s="41"/>
      <c r="S211" s="85">
        <f t="shared" si="49"/>
        <v>-5054.2700000000004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1075.23</v>
      </c>
      <c r="M212" s="41"/>
      <c r="N212" s="59">
        <f t="shared" si="47"/>
        <v>-1683.1033333333335</v>
      </c>
      <c r="O212" s="41"/>
      <c r="P212" s="13"/>
      <c r="Q212" s="33">
        <v>5596.96</v>
      </c>
      <c r="R212" s="41"/>
      <c r="S212" s="85">
        <f t="shared" si="49"/>
        <v>-4521.7299999999996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3992.8333333333335</v>
      </c>
      <c r="G213" s="89"/>
      <c r="H213" s="111"/>
      <c r="I213" s="22"/>
      <c r="J213" s="23"/>
      <c r="K213" s="111"/>
      <c r="L213" s="33">
        <v>2408.88</v>
      </c>
      <c r="M213" s="23"/>
      <c r="N213" s="91">
        <f t="shared" si="47"/>
        <v>-1583.9533333333334</v>
      </c>
      <c r="O213" s="23"/>
      <c r="P213" s="111"/>
      <c r="Q213" s="33">
        <v>7241.34</v>
      </c>
      <c r="R213" s="23"/>
      <c r="S213" s="92">
        <f t="shared" si="49"/>
        <v>-4832.46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6047.78</v>
      </c>
      <c r="M214" s="41"/>
      <c r="N214" s="59">
        <f t="shared" si="47"/>
        <v>14.279999999999745</v>
      </c>
      <c r="O214" s="41"/>
      <c r="P214" s="13"/>
      <c r="Q214" s="108">
        <v>6378.31</v>
      </c>
      <c r="R214" s="41"/>
      <c r="S214" s="85">
        <f t="shared" si="49"/>
        <v>-330.53000000000065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249.84</v>
      </c>
      <c r="M215" s="41"/>
      <c r="N215" s="59">
        <f t="shared" si="47"/>
        <v>-208.49333333333331</v>
      </c>
      <c r="O215" s="41"/>
      <c r="P215" s="13"/>
      <c r="Q215" s="33">
        <v>-12.92</v>
      </c>
      <c r="R215" s="41"/>
      <c r="S215" s="85">
        <f t="shared" si="49"/>
        <v>262.76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6111.57</v>
      </c>
      <c r="M216" s="467"/>
      <c r="N216" s="146">
        <f t="shared" si="47"/>
        <v>470.06999999999971</v>
      </c>
      <c r="O216" s="467"/>
      <c r="P216" s="468"/>
      <c r="Q216" s="22">
        <v>4419.82</v>
      </c>
      <c r="R216" s="23"/>
      <c r="S216" s="92">
        <f t="shared" si="49"/>
        <v>1691.75</v>
      </c>
      <c r="T216" s="13"/>
      <c r="U216" s="13"/>
      <c r="V216" s="502" t="s">
        <v>244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1736.99</v>
      </c>
      <c r="M218" s="41"/>
      <c r="N218" s="59">
        <f t="shared" si="47"/>
        <v>636.99</v>
      </c>
      <c r="O218" s="41"/>
      <c r="P218" s="13"/>
      <c r="Q218" s="33">
        <v>3082.06</v>
      </c>
      <c r="R218" s="41"/>
      <c r="S218" s="85">
        <f t="shared" ref="S218:S226" si="51">L218-Q218</f>
        <v>-1345.07</v>
      </c>
      <c r="T218" s="13"/>
      <c r="U218" s="13"/>
      <c r="V218" s="502" t="s">
        <v>245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684.54</v>
      </c>
      <c r="M219" s="41"/>
      <c r="N219" s="59">
        <f t="shared" si="47"/>
        <v>-315.46000000000004</v>
      </c>
      <c r="O219" s="41"/>
      <c r="P219" s="13"/>
      <c r="Q219" s="33">
        <v>1242.2</v>
      </c>
      <c r="R219" s="41"/>
      <c r="S219" s="85">
        <f t="shared" si="51"/>
        <v>-557.66000000000008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159.55000000000001</v>
      </c>
      <c r="M220" s="41"/>
      <c r="N220" s="59">
        <f t="shared" si="47"/>
        <v>-234.2</v>
      </c>
      <c r="O220" s="41"/>
      <c r="P220" s="13"/>
      <c r="Q220" s="32">
        <v>241.67</v>
      </c>
      <c r="R220" s="41"/>
      <c r="S220" s="85">
        <f t="shared" si="51"/>
        <v>-82.119999999999976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199.65</v>
      </c>
      <c r="M221" s="41"/>
      <c r="N221" s="59">
        <f t="shared" si="47"/>
        <v>79.650000000000006</v>
      </c>
      <c r="O221" s="41"/>
      <c r="P221" s="13"/>
      <c r="Q221" s="33">
        <v>110.2</v>
      </c>
      <c r="R221" s="41"/>
      <c r="S221" s="85">
        <f t="shared" si="51"/>
        <v>89.45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113.74</v>
      </c>
      <c r="M222" s="41"/>
      <c r="N222" s="59">
        <f t="shared" si="47"/>
        <v>1.2399999999999949</v>
      </c>
      <c r="O222" s="41"/>
      <c r="P222" s="13"/>
      <c r="Q222" s="33">
        <v>130.30000000000001</v>
      </c>
      <c r="R222" s="41"/>
      <c r="S222" s="85">
        <f t="shared" si="51"/>
        <v>-16.560000000000016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0</v>
      </c>
      <c r="M223" s="41"/>
      <c r="N223" s="59">
        <f t="shared" si="47"/>
        <v>-435.25</v>
      </c>
      <c r="O223" s="41"/>
      <c r="P223" s="13"/>
      <c r="Q223" s="33">
        <v>561.94000000000005</v>
      </c>
      <c r="R223" s="41"/>
      <c r="S223" s="85">
        <f t="shared" si="51"/>
        <v>-561.94000000000005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874.18</v>
      </c>
      <c r="M224" s="41"/>
      <c r="N224" s="59">
        <f t="shared" si="47"/>
        <v>-769.5352833333335</v>
      </c>
      <c r="O224" s="41"/>
      <c r="P224" s="13"/>
      <c r="Q224" s="33">
        <v>-301.52</v>
      </c>
      <c r="R224" s="41"/>
      <c r="S224" s="85">
        <f t="shared" si="51"/>
        <v>1175.6999999999998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1190.3146810314208</v>
      </c>
      <c r="G225" s="83"/>
      <c r="H225" s="13"/>
      <c r="I225" s="30"/>
      <c r="J225" s="41"/>
      <c r="K225" s="13"/>
      <c r="L225" s="33">
        <v>1278.81</v>
      </c>
      <c r="M225" s="41"/>
      <c r="N225" s="59">
        <f t="shared" si="47"/>
        <v>88.495318968579113</v>
      </c>
      <c r="O225" s="41"/>
      <c r="P225" s="13"/>
      <c r="Q225" s="33">
        <v>1415.82</v>
      </c>
      <c r="R225" s="41"/>
      <c r="S225" s="85">
        <f t="shared" si="51"/>
        <v>-137.01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" si="53"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0.48993795505247306</v>
      </c>
      <c r="F229" s="96">
        <f>+SUM(F211:F228)</f>
        <v>31421.527644416939</v>
      </c>
      <c r="G229" s="97"/>
      <c r="H229" s="95"/>
      <c r="I229" s="96"/>
      <c r="J229" s="97" t="s">
        <v>92</v>
      </c>
      <c r="K229" s="95">
        <f>L229/L$194</f>
        <v>0.33386632526467014</v>
      </c>
      <c r="L229" s="96">
        <f>+SUM(L211:L228)</f>
        <v>22322.820000000007</v>
      </c>
      <c r="M229" s="100"/>
      <c r="N229" s="96">
        <f t="shared" si="47"/>
        <v>-9098.7076444169325</v>
      </c>
      <c r="O229" s="97" t="s">
        <v>92</v>
      </c>
      <c r="P229" s="95">
        <f>Q229/Q$194</f>
        <v>0.50576223472316129</v>
      </c>
      <c r="Q229" s="96">
        <f>+SUM(Q211:Q228)</f>
        <v>36542.51</v>
      </c>
      <c r="R229" s="100"/>
      <c r="S229" s="101">
        <f>L229-Q229</f>
        <v>-14219.689999999995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1.5002292994678585</v>
      </c>
      <c r="F231" s="96">
        <f>F210+F229</f>
        <v>96215.236888811502</v>
      </c>
      <c r="G231" s="97"/>
      <c r="H231" s="95"/>
      <c r="I231" s="96"/>
      <c r="J231" s="97" t="s">
        <v>38</v>
      </c>
      <c r="K231" s="95">
        <f>L231/L$194</f>
        <v>1.2766537718614064</v>
      </c>
      <c r="L231" s="96">
        <f>L210+L229</f>
        <v>85359.050000000017</v>
      </c>
      <c r="M231" s="100"/>
      <c r="N231" s="113">
        <f>L231-F231</f>
        <v>-10856.186888811484</v>
      </c>
      <c r="O231" s="97" t="s">
        <v>38</v>
      </c>
      <c r="P231" s="95">
        <f>Q231/Q$194</f>
        <v>1.4391242637782717</v>
      </c>
      <c r="Q231" s="96">
        <f>Q210+Q229</f>
        <v>103980.11000000002</v>
      </c>
      <c r="R231" s="100"/>
      <c r="S231" s="114">
        <f>L231-Q231</f>
        <v>-18621.059999999998</v>
      </c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-32081.549509862365</v>
      </c>
      <c r="G233" s="153"/>
      <c r="H233" s="125"/>
      <c r="I233" s="127"/>
      <c r="J233" s="154"/>
      <c r="K233" s="126"/>
      <c r="L233" s="127">
        <f>L194-L231</f>
        <v>-18497.500000000015</v>
      </c>
      <c r="M233" s="154"/>
      <c r="N233" s="127">
        <f>L233-F233</f>
        <v>13584.049509862351</v>
      </c>
      <c r="O233" s="154"/>
      <c r="P233" s="126"/>
      <c r="Q233" s="127">
        <f>Q194-Q231</f>
        <v>-31727.760000000009</v>
      </c>
      <c r="R233" s="154"/>
      <c r="S233" s="129">
        <f>L233-Q233</f>
        <v>13230.259999999995</v>
      </c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2025</v>
      </c>
      <c r="T236" s="2"/>
      <c r="U236" s="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213</v>
      </c>
      <c r="N238" s="513"/>
      <c r="O238" s="511" t="s">
        <v>8</v>
      </c>
      <c r="P238" s="512"/>
      <c r="Q238" s="513"/>
      <c r="R238" s="509" t="s">
        <v>214</v>
      </c>
      <c r="S238" s="510"/>
      <c r="T238" s="149"/>
      <c r="U238" s="13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3</v>
      </c>
      <c r="P241" s="30">
        <v>1175.1099999999999</v>
      </c>
      <c r="Q241" s="33">
        <v>101.69999999999899</v>
      </c>
      <c r="R241" s="157">
        <f>IF(O241=0,0,J241/O241)</f>
        <v>0</v>
      </c>
      <c r="S241" s="85">
        <f>L241-Q241</f>
        <v>-101.69999999999899</v>
      </c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8.6545089395885497E-2</v>
      </c>
      <c r="R242" s="60"/>
      <c r="S242" s="85">
        <f>IFERROR(S241/R241,0)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1175.1099999999999</v>
      </c>
      <c r="Q250" s="65">
        <f t="shared" si="55"/>
        <v>101.69999999999899</v>
      </c>
      <c r="R250" s="206">
        <f>L251-Q251</f>
        <v>-8.6545089395885497E-2</v>
      </c>
      <c r="S250" s="68">
        <f>L250-Q250</f>
        <v>-101.69999999999899</v>
      </c>
      <c r="T250" s="148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8.6545089395885497E-2</v>
      </c>
      <c r="R251" s="73"/>
      <c r="S251" s="75">
        <f>IF(R250=0,0,S250/R250)</f>
        <v>1175.1099999999999</v>
      </c>
      <c r="T251" s="148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" si="57">L254-Q254</f>
        <v>-304.27</v>
      </c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339.43</v>
      </c>
      <c r="R255" s="41"/>
      <c r="S255" s="85">
        <f>L255-Q255</f>
        <v>-339.43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57.79</v>
      </c>
      <c r="R261" s="41"/>
      <c r="S261" s="85">
        <f t="shared" si="58"/>
        <v>-57.79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214.1</v>
      </c>
      <c r="R262" s="107"/>
      <c r="S262" s="110">
        <f t="shared" si="58"/>
        <v>-214.1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42.5</v>
      </c>
      <c r="R263" s="41"/>
      <c r="S263" s="85">
        <f t="shared" si="58"/>
        <v>-42.5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4.3600000000000003</v>
      </c>
      <c r="R264" s="41"/>
      <c r="S264" s="85">
        <f t="shared" si="58"/>
        <v>-4.3600000000000003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981.45</v>
      </c>
      <c r="R266" s="147"/>
      <c r="S266" s="114">
        <f t="shared" si="58"/>
        <v>-981.45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104</v>
      </c>
      <c r="R267" s="41"/>
      <c r="S267" s="85">
        <f t="shared" si="58"/>
        <v>-104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75.2</v>
      </c>
      <c r="R269" s="23"/>
      <c r="S269" s="92">
        <f t="shared" si="58"/>
        <v>-75.2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176.9</v>
      </c>
      <c r="R270" s="41"/>
      <c r="S270" s="85">
        <f t="shared" si="58"/>
        <v>-176.9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4.4400000000000004</v>
      </c>
      <c r="R271" s="41"/>
      <c r="S271" s="85">
        <f t="shared" si="58"/>
        <v>-4.4400000000000004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120.15</v>
      </c>
      <c r="R272" s="23"/>
      <c r="S272" s="92">
        <f t="shared" si="58"/>
        <v>-120.15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0.54</v>
      </c>
      <c r="R274" s="41"/>
      <c r="S274" s="85">
        <f t="shared" ref="S274:S282" si="60">L274-Q274</f>
        <v>-0.54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26.85</v>
      </c>
      <c r="R276" s="41"/>
      <c r="S276" s="85">
        <f t="shared" si="60"/>
        <v>-26.85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8.1300000000000008</v>
      </c>
      <c r="R277" s="41"/>
      <c r="S277" s="85">
        <f t="shared" si="60"/>
        <v>-8.1300000000000008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4.2699999999999996</v>
      </c>
      <c r="R278" s="41"/>
      <c r="S278" s="85">
        <f t="shared" si="60"/>
        <v>-4.2699999999999996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35.51</v>
      </c>
      <c r="R279" s="41"/>
      <c r="S279" s="85">
        <f t="shared" si="60"/>
        <v>-35.51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89.83</v>
      </c>
      <c r="R280" s="41"/>
      <c r="S280" s="85">
        <f t="shared" si="60"/>
        <v>-89.83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4.5199999999999996</v>
      </c>
      <c r="R281" s="41"/>
      <c r="S281" s="85">
        <f t="shared" si="60"/>
        <v>-4.5199999999999996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" si="62"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650.34000000000015</v>
      </c>
      <c r="R285" s="100"/>
      <c r="S285" s="101">
        <f>L285-Q285</f>
        <v>-650.34000000000015</v>
      </c>
      <c r="T285" s="76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1631.7900000000002</v>
      </c>
      <c r="R287" s="100"/>
      <c r="S287" s="114">
        <f>L287-Q287</f>
        <v>-1631.7900000000002</v>
      </c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-1530.0900000000013</v>
      </c>
      <c r="R289" s="154"/>
      <c r="S289" s="129">
        <f>L289-Q289</f>
        <v>1530.0900000000013</v>
      </c>
      <c r="T289" s="76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2025</v>
      </c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213</v>
      </c>
      <c r="N293" s="513"/>
      <c r="O293" s="511" t="s">
        <v>8</v>
      </c>
      <c r="P293" s="512"/>
      <c r="Q293" s="513"/>
      <c r="R293" s="509" t="s">
        <v>214</v>
      </c>
      <c r="S293" s="5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46487.316997401977</v>
      </c>
      <c r="E295" s="148">
        <f>IF(D295=0,0,F295/D295)</f>
        <v>0.41000000000000003</v>
      </c>
      <c r="F295" s="85">
        <v>19059.799968934811</v>
      </c>
      <c r="G295" s="82"/>
      <c r="H295" s="148"/>
      <c r="I295" s="85"/>
      <c r="J295" s="30">
        <v>47664.43</v>
      </c>
      <c r="K295" s="148">
        <f t="shared" ref="K295:K300" si="64">IF(J295&lt;=0,0,L295/J295)</f>
        <v>0.42656903691075293</v>
      </c>
      <c r="L295" s="33">
        <v>20332.169999999998</v>
      </c>
      <c r="M295" s="157">
        <f t="shared" ref="M295:M301" si="65">(+J295-D295)/D295</f>
        <v>2.5321164537497588E-2</v>
      </c>
      <c r="N295" s="59">
        <f t="shared" ref="N295:N304" si="66">L295-F295</f>
        <v>1272.3700310651875</v>
      </c>
      <c r="O295" s="30">
        <v>33417.71</v>
      </c>
      <c r="P295" s="148">
        <f t="shared" ref="P295:P303" si="67">IF(O295=0,0,Q295/O295)</f>
        <v>0.42927447751506315</v>
      </c>
      <c r="Q295" s="33">
        <v>14345.369999999901</v>
      </c>
      <c r="R295" s="157">
        <f>IF(O295=0,0,(J295-O295)/O295)</f>
        <v>0.42632244998235969</v>
      </c>
      <c r="S295" s="85">
        <f t="shared" ref="S295:S300" si="68">L295-Q295</f>
        <v>5986.8000000000975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0" si="70">IF(O296=0,0,(J296-O296)/O296)</f>
        <v>0</v>
      </c>
      <c r="S296" s="85">
        <f t="shared" si="68"/>
        <v>0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39488.844264590873</v>
      </c>
      <c r="E297" s="148">
        <f t="shared" si="69"/>
        <v>0.28499999999999998</v>
      </c>
      <c r="F297" s="85">
        <v>11254.320615408398</v>
      </c>
      <c r="G297" s="82"/>
      <c r="H297" s="148"/>
      <c r="I297" s="85"/>
      <c r="J297" s="30">
        <v>26379.730000000003</v>
      </c>
      <c r="K297" s="148">
        <f t="shared" si="64"/>
        <v>0.28704274077103925</v>
      </c>
      <c r="L297" s="33">
        <v>7572.1100000000079</v>
      </c>
      <c r="M297" s="157">
        <f t="shared" si="65"/>
        <v>-0.3319700667042727</v>
      </c>
      <c r="N297" s="59">
        <f t="shared" si="66"/>
        <v>-3682.2106154083904</v>
      </c>
      <c r="O297" s="30">
        <v>57248.619999999901</v>
      </c>
      <c r="P297" s="148">
        <f t="shared" si="67"/>
        <v>0.28436999878774244</v>
      </c>
      <c r="Q297" s="33">
        <v>16279.789999999901</v>
      </c>
      <c r="R297" s="157">
        <f t="shared" si="70"/>
        <v>-0.53920758264565938</v>
      </c>
      <c r="S297" s="85">
        <f t="shared" si="68"/>
        <v>-8707.679999999893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20464.717416141451</v>
      </c>
      <c r="E298" s="148">
        <f t="shared" si="69"/>
        <v>0.35</v>
      </c>
      <c r="F298" s="85">
        <v>7162.6510956495076</v>
      </c>
      <c r="G298" s="82"/>
      <c r="H298" s="148"/>
      <c r="I298" s="85"/>
      <c r="J298" s="30">
        <v>14139.380000000001</v>
      </c>
      <c r="K298" s="148">
        <f t="shared" si="64"/>
        <v>0.2701172187182182</v>
      </c>
      <c r="L298" s="33">
        <v>3819.2900000000004</v>
      </c>
      <c r="M298" s="157">
        <f t="shared" si="65"/>
        <v>-0.30908501141346667</v>
      </c>
      <c r="N298" s="59">
        <f t="shared" si="66"/>
        <v>-3343.3610956495072</v>
      </c>
      <c r="O298" s="30">
        <v>23297.47</v>
      </c>
      <c r="P298" s="148">
        <f t="shared" si="67"/>
        <v>0.37471150300869577</v>
      </c>
      <c r="Q298" s="33">
        <v>8729.83</v>
      </c>
      <c r="R298" s="157">
        <f t="shared" si="70"/>
        <v>-0.39309375653236167</v>
      </c>
      <c r="S298" s="85">
        <f t="shared" si="68"/>
        <v>-4910.5399999999991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17818.482822385668</v>
      </c>
      <c r="E299" s="148">
        <f t="shared" si="69"/>
        <v>0.3</v>
      </c>
      <c r="F299" s="85">
        <v>5345.5448467157003</v>
      </c>
      <c r="G299" s="82"/>
      <c r="H299" s="148"/>
      <c r="I299" s="85"/>
      <c r="J299" s="30">
        <v>13877.710000000001</v>
      </c>
      <c r="K299" s="148">
        <f t="shared" si="64"/>
        <v>0.30979750981970378</v>
      </c>
      <c r="L299" s="33">
        <v>4299.2800000000016</v>
      </c>
      <c r="M299" s="157">
        <f t="shared" si="65"/>
        <v>-0.2211620855528062</v>
      </c>
      <c r="N299" s="59">
        <f t="shared" si="66"/>
        <v>-1046.2648467156987</v>
      </c>
      <c r="O299" s="30">
        <v>18825.169999999998</v>
      </c>
      <c r="P299" s="148">
        <f t="shared" si="67"/>
        <v>0.30107829039525225</v>
      </c>
      <c r="Q299" s="33">
        <v>5667.8499999999904</v>
      </c>
      <c r="R299" s="157">
        <f t="shared" si="70"/>
        <v>-0.26281090688689651</v>
      </c>
      <c r="S299" s="85">
        <f t="shared" si="68"/>
        <v>-1368.5699999999888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52086.308757231716</v>
      </c>
      <c r="E300" s="148">
        <f t="shared" si="69"/>
        <v>0.2</v>
      </c>
      <c r="F300" s="85">
        <v>10417.261751446344</v>
      </c>
      <c r="G300" s="82"/>
      <c r="H300" s="148"/>
      <c r="I300" s="85"/>
      <c r="J300" s="30">
        <v>47567.43</v>
      </c>
      <c r="K300" s="148">
        <f t="shared" si="64"/>
        <v>0.19492875692464365</v>
      </c>
      <c r="L300" s="33">
        <v>9272.260000000002</v>
      </c>
      <c r="M300" s="157">
        <f t="shared" si="65"/>
        <v>-8.6757515843437646E-2</v>
      </c>
      <c r="N300" s="59">
        <f t="shared" si="66"/>
        <v>-1145.0017514463416</v>
      </c>
      <c r="O300" s="30">
        <v>33456.9</v>
      </c>
      <c r="P300" s="148">
        <f t="shared" si="67"/>
        <v>0.15631663423688386</v>
      </c>
      <c r="Q300" s="33">
        <v>5229.87</v>
      </c>
      <c r="R300" s="157">
        <f t="shared" si="70"/>
        <v>0.42175246361737034</v>
      </c>
      <c r="S300" s="85">
        <f t="shared" si="68"/>
        <v>4042.3900000000021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2">IF(D302=0,0,F302/D302)</f>
        <v>0</v>
      </c>
      <c r="F302" s="85">
        <v>4613.4060077090317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44.22</v>
      </c>
      <c r="M302" s="157"/>
      <c r="N302" s="59">
        <f t="shared" si="66"/>
        <v>-4569.1860077090314</v>
      </c>
      <c r="O302" s="30">
        <v>0</v>
      </c>
      <c r="P302" s="148">
        <f t="shared" si="67"/>
        <v>0</v>
      </c>
      <c r="Q302" s="33">
        <v>12689.56</v>
      </c>
      <c r="R302" s="157">
        <f t="shared" ref="R302:R303" si="73">IF(O302=0,0,(J302-O302)/O302)</f>
        <v>0</v>
      </c>
      <c r="S302" s="85">
        <f>L302-Q302</f>
        <v>-12645.34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9377.1</v>
      </c>
      <c r="R303" s="157">
        <f t="shared" si="73"/>
        <v>0</v>
      </c>
      <c r="S303" s="85">
        <f>L303-Q303</f>
        <v>-9377.1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176345.67025775168</v>
      </c>
      <c r="E304" s="213">
        <f>IF(D304&lt;=0,0,F304/D304)</f>
        <v>0.32806580508216771</v>
      </c>
      <c r="F304" s="199">
        <f>SUM(F295:F303)</f>
        <v>57852.984285863786</v>
      </c>
      <c r="G304" s="195"/>
      <c r="H304" s="213"/>
      <c r="I304" s="199"/>
      <c r="J304" s="195">
        <f>SUM(J295:J303)</f>
        <v>149628.68000000002</v>
      </c>
      <c r="K304" s="213">
        <f>IF(J304&lt;=0,0,L304/J304)</f>
        <v>0.30301229684041858</v>
      </c>
      <c r="L304" s="197">
        <f>SUM(L295:L303)</f>
        <v>45339.330000000009</v>
      </c>
      <c r="M304" s="214">
        <f>(+J304-D304)/D304</f>
        <v>-0.15150352270459136</v>
      </c>
      <c r="N304" s="197">
        <f t="shared" si="66"/>
        <v>-12513.654285863777</v>
      </c>
      <c r="O304" s="195">
        <f>SUM(O295:O303)</f>
        <v>166245.86999999991</v>
      </c>
      <c r="P304" s="213">
        <f>IF(O304&lt;=0,0,Q304/O304)</f>
        <v>0.43501453600020157</v>
      </c>
      <c r="Q304" s="197">
        <f t="shared" ref="Q304" si="74">SUM(Q295:Q303)</f>
        <v>72319.369999999792</v>
      </c>
      <c r="R304" s="214">
        <f>IF(O304=0,0,(J304-O304)/O304)</f>
        <v>-9.9955505661583621E-2</v>
      </c>
      <c r="S304" s="199">
        <f>L304-Q304</f>
        <v>-26980.039999999783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-0.21630092968119283</v>
      </c>
      <c r="O305" s="41"/>
      <c r="P305" s="13"/>
      <c r="Q305" s="40"/>
      <c r="R305" s="41"/>
      <c r="S305" s="44">
        <f>IF(Q304=0,0,S304/Q304)</f>
        <v>-0.37306796229004568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53071.95102089065</v>
      </c>
      <c r="E307" s="148">
        <f>IF(D307=0,0,F307/D307)</f>
        <v>0.24</v>
      </c>
      <c r="F307" s="110">
        <v>12737.268245013756</v>
      </c>
      <c r="G307" s="82"/>
      <c r="H307" s="148"/>
      <c r="I307" s="110"/>
      <c r="J307" s="30">
        <v>53238.36</v>
      </c>
      <c r="K307" s="148">
        <f>IF(J307&lt;=0,0,L307/J307)</f>
        <v>0.26193368841564613</v>
      </c>
      <c r="L307" s="33">
        <v>13944.919999999998</v>
      </c>
      <c r="M307" s="157">
        <f>(+J307-D307)/D307</f>
        <v>3.1355353611147029E-3</v>
      </c>
      <c r="N307" s="59">
        <f>L307-F307</f>
        <v>1207.6517549862419</v>
      </c>
      <c r="O307" s="30">
        <v>62110.35</v>
      </c>
      <c r="P307" s="148">
        <f t="shared" ref="P307:P308" si="75">IF(O307=0,0,Q307/O307)</f>
        <v>0.24730451526999769</v>
      </c>
      <c r="Q307" s="33">
        <v>15360.1699999999</v>
      </c>
      <c r="R307" s="157">
        <f>IF(O307=0,0,(J307-O307)/O307)</f>
        <v>-0.14284237651212717</v>
      </c>
      <c r="S307" s="85">
        <f>L307-Q307</f>
        <v>-1415.2499999999018</v>
      </c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9072.2607736356331</v>
      </c>
      <c r="E308" s="148">
        <f>IF(D308=0,0,F308/D308)</f>
        <v>0.34399999999999997</v>
      </c>
      <c r="F308" s="92">
        <v>3120.8577061306573</v>
      </c>
      <c r="G308" s="82"/>
      <c r="H308" s="148"/>
      <c r="I308" s="92"/>
      <c r="J308" s="30">
        <v>8105.07</v>
      </c>
      <c r="K308" s="148">
        <f>IF(J308&lt;=0,0,L308/J308)</f>
        <v>0.35429798878973284</v>
      </c>
      <c r="L308" s="33">
        <v>2871.6099999999997</v>
      </c>
      <c r="M308" s="157">
        <f>(+J308-D308)/D308</f>
        <v>-0.10660967511497575</v>
      </c>
      <c r="N308" s="59">
        <f>L308-F308</f>
        <v>-249.24770613065766</v>
      </c>
      <c r="O308" s="30">
        <v>9127.43</v>
      </c>
      <c r="P308" s="148">
        <f t="shared" si="75"/>
        <v>0.35837798810837224</v>
      </c>
      <c r="Q308" s="33">
        <v>3271.07</v>
      </c>
      <c r="R308" s="157">
        <f>IF(O308=0,0,(J308-O308)/O308)</f>
        <v>-0.11200962373855516</v>
      </c>
      <c r="S308" s="85">
        <f>L308-Q308</f>
        <v>-399.46000000000049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238489.88205227797</v>
      </c>
      <c r="E309" s="213">
        <f>IF(D309&lt;=0,0,F309/D309)</f>
        <v>0.30907437079804673</v>
      </c>
      <c r="F309" s="197">
        <f>F304+F307+F308</f>
        <v>73711.110237008194</v>
      </c>
      <c r="G309" s="198"/>
      <c r="H309" s="213"/>
      <c r="I309" s="197"/>
      <c r="J309" s="198">
        <f>J304+J307+J308</f>
        <v>210972.11000000004</v>
      </c>
      <c r="K309" s="213">
        <f>IF(J309&lt;=0,0,L309/J309)</f>
        <v>0.2946164779790087</v>
      </c>
      <c r="L309" s="197">
        <f>L304+L307+L308</f>
        <v>62155.860000000008</v>
      </c>
      <c r="M309" s="214">
        <f>(+J309-D309)/D309</f>
        <v>-0.11538339411080725</v>
      </c>
      <c r="N309" s="197">
        <f>L309-F309</f>
        <v>-11555.250237008186</v>
      </c>
      <c r="O309" s="198">
        <f>O304+O307+O308</f>
        <v>237483.64999999991</v>
      </c>
      <c r="P309" s="213">
        <f>IF(O309&lt;=0,0,Q309/O309)</f>
        <v>0.38297630173698161</v>
      </c>
      <c r="Q309" s="197">
        <f t="shared" ref="Q309" si="76">Q304+Q307+Q308</f>
        <v>90950.609999999695</v>
      </c>
      <c r="R309" s="214">
        <f>IF(O309=0,0,(J309-O309)/O309)</f>
        <v>-0.11163522204581189</v>
      </c>
      <c r="S309" s="199">
        <f>L309-Q309</f>
        <v>-28794.749999999687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-0.15676402376594015</v>
      </c>
      <c r="O310" s="41"/>
      <c r="P310" s="13"/>
      <c r="Q310" s="40"/>
      <c r="R310" s="41"/>
      <c r="S310" s="44">
        <f>IF(Q309=0,0,S309/Q309)</f>
        <v>-0.31659765668421336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238489.88205227797</v>
      </c>
      <c r="E314" s="219">
        <f>IF(D314&lt;=0,0,F314/D314)</f>
        <v>0.30907437079804673</v>
      </c>
      <c r="F314" s="65">
        <f>F309+F312</f>
        <v>73711.110237008194</v>
      </c>
      <c r="G314" s="66"/>
      <c r="H314" s="219"/>
      <c r="I314" s="65"/>
      <c r="J314" s="66">
        <f>J309+J312</f>
        <v>210972.11000000004</v>
      </c>
      <c r="K314" s="219">
        <f>IF(J314&lt;=0,0,L314/J314)</f>
        <v>0.2946164779790087</v>
      </c>
      <c r="L314" s="65">
        <f>L309+L312</f>
        <v>62155.860000000008</v>
      </c>
      <c r="M314" s="220">
        <f>(+J314-D314)/D314</f>
        <v>-0.11538339411080725</v>
      </c>
      <c r="N314" s="221">
        <f>L314-F314</f>
        <v>-11555.250237008186</v>
      </c>
      <c r="O314" s="66">
        <f>O309+O312</f>
        <v>237483.64999999991</v>
      </c>
      <c r="P314" s="219">
        <f>IF(O314&lt;=0,0,Q314/O314)</f>
        <v>0.38297630173698161</v>
      </c>
      <c r="Q314" s="65">
        <f t="shared" ref="Q314" si="77">Q309+Q312</f>
        <v>90950.609999999695</v>
      </c>
      <c r="R314" s="220">
        <f>IF(O314=0,0,(J314-O314)/O314)</f>
        <v>-0.11163522204581189</v>
      </c>
      <c r="S314" s="222">
        <f>L314-Q314</f>
        <v>-28794.749999999687</v>
      </c>
      <c r="T314" s="13"/>
      <c r="U314" s="13"/>
      <c r="V314" s="502" t="s">
        <v>221</v>
      </c>
      <c r="W314" s="497"/>
      <c r="X314" s="490">
        <f>L314-W314</f>
        <v>62155.860000000008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-0.15676402376594015</v>
      </c>
      <c r="O315" s="227"/>
      <c r="P315" s="225"/>
      <c r="Q315" s="226"/>
      <c r="R315" s="228"/>
      <c r="S315" s="75">
        <f>IF(Q314=0,0,S314/Q314)</f>
        <v>-0.31659765668421336</v>
      </c>
      <c r="T315" s="13"/>
      <c r="U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4471.09</v>
      </c>
      <c r="M318" s="41"/>
      <c r="N318" s="59">
        <f t="shared" ref="N318:N348" si="78">L318-F318</f>
        <v>145.09333038608838</v>
      </c>
      <c r="O318" s="41"/>
      <c r="P318" s="13"/>
      <c r="Q318" s="33">
        <v>2434.1999999999998</v>
      </c>
      <c r="R318" s="41"/>
      <c r="S318" s="85">
        <f t="shared" ref="S318:S321" si="79">L318-Q318</f>
        <v>2036.8900000000003</v>
      </c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1905.07</v>
      </c>
      <c r="M319" s="41"/>
      <c r="N319" s="59">
        <f t="shared" si="78"/>
        <v>-1012.6778927203065</v>
      </c>
      <c r="O319" s="41"/>
      <c r="P319" s="13"/>
      <c r="Q319" s="33">
        <v>2798.35</v>
      </c>
      <c r="R319" s="41"/>
      <c r="S319" s="85">
        <f t="shared" si="79"/>
        <v>-893.28</v>
      </c>
      <c r="T319" s="13"/>
      <c r="U319" s="13"/>
      <c r="V319" s="502" t="s">
        <v>255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13628.92</v>
      </c>
      <c r="M320" s="107"/>
      <c r="N320" s="109">
        <f t="shared" si="78"/>
        <v>-1800.638697318007</v>
      </c>
      <c r="O320" s="107"/>
      <c r="P320" s="105"/>
      <c r="Q320" s="108">
        <v>13914.05</v>
      </c>
      <c r="R320" s="107"/>
      <c r="S320" s="110">
        <f t="shared" si="79"/>
        <v>-285.1299999999992</v>
      </c>
      <c r="T320" s="13"/>
      <c r="U320" s="13"/>
      <c r="V320" s="502" t="s">
        <v>266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4867.7010138521946</v>
      </c>
      <c r="G325" s="83"/>
      <c r="H325" s="13"/>
      <c r="I325" s="22"/>
      <c r="J325" s="41"/>
      <c r="K325" s="13"/>
      <c r="L325" s="33">
        <v>-358.94</v>
      </c>
      <c r="M325" s="41"/>
      <c r="N325" s="59">
        <f t="shared" si="78"/>
        <v>-5226.6410138521942</v>
      </c>
      <c r="O325" s="41"/>
      <c r="P325" s="13"/>
      <c r="Q325" s="33">
        <v>1801.99</v>
      </c>
      <c r="R325" s="41"/>
      <c r="S325" s="85">
        <f t="shared" ref="S325:S336" si="81">L325-Q325</f>
        <v>-2160.9299999999998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2920.5159542351903</v>
      </c>
      <c r="G326" s="106"/>
      <c r="H326" s="105"/>
      <c r="I326" s="30"/>
      <c r="J326" s="107"/>
      <c r="K326" s="105"/>
      <c r="L326" s="108">
        <v>3529.86</v>
      </c>
      <c r="M326" s="107"/>
      <c r="N326" s="109">
        <f t="shared" si="78"/>
        <v>609.34404576480983</v>
      </c>
      <c r="O326" s="107"/>
      <c r="P326" s="105"/>
      <c r="Q326" s="108">
        <v>3058.54</v>
      </c>
      <c r="R326" s="107"/>
      <c r="S326" s="110">
        <f t="shared" si="81"/>
        <v>471.32000000000016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2290.9499999999998</v>
      </c>
      <c r="M327" s="41"/>
      <c r="N327" s="59">
        <f t="shared" si="78"/>
        <v>497.65072985558481</v>
      </c>
      <c r="O327" s="41"/>
      <c r="P327" s="13"/>
      <c r="Q327" s="33">
        <v>1676.85</v>
      </c>
      <c r="R327" s="41"/>
      <c r="S327" s="85">
        <f t="shared" si="81"/>
        <v>614.09999999999991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742.08</v>
      </c>
      <c r="M328" s="467"/>
      <c r="N328" s="146">
        <f t="shared" si="78"/>
        <v>357.80158496905398</v>
      </c>
      <c r="O328" s="41"/>
      <c r="P328" s="13"/>
      <c r="Q328" s="33">
        <v>215.11</v>
      </c>
      <c r="R328" s="41"/>
      <c r="S328" s="85">
        <f t="shared" si="81"/>
        <v>526.97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0.4427975349708928</v>
      </c>
      <c r="F330" s="96">
        <f>+SUM(F318:F329)</f>
        <v>32639.097912914971</v>
      </c>
      <c r="G330" s="97"/>
      <c r="H330" s="95"/>
      <c r="I330" s="96"/>
      <c r="J330" s="97" t="s">
        <v>38</v>
      </c>
      <c r="K330" s="95">
        <f>L330/L$314</f>
        <v>0.4216662757139874</v>
      </c>
      <c r="L330" s="96">
        <f>+SUM(L318:L329)</f>
        <v>26209.030000000006</v>
      </c>
      <c r="M330" s="147"/>
      <c r="N330" s="113">
        <f t="shared" si="78"/>
        <v>-6430.0679129149648</v>
      </c>
      <c r="O330" s="97" t="s">
        <v>38</v>
      </c>
      <c r="P330" s="95">
        <f>Q330/Q$314</f>
        <v>0.2847599372890417</v>
      </c>
      <c r="Q330" s="96">
        <f>+SUM(Q318:Q329)</f>
        <v>25899.09</v>
      </c>
      <c r="R330" s="147"/>
      <c r="S330" s="114">
        <f t="shared" si="81"/>
        <v>309.94000000000597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3522.344904643483</v>
      </c>
      <c r="G331" s="83"/>
      <c r="H331" s="13"/>
      <c r="I331" s="30"/>
      <c r="J331" s="41"/>
      <c r="K331" s="13"/>
      <c r="L331" s="33">
        <v>813.13</v>
      </c>
      <c r="M331" s="41"/>
      <c r="N331" s="59">
        <f t="shared" si="78"/>
        <v>-2709.2149046434829</v>
      </c>
      <c r="O331" s="41"/>
      <c r="P331" s="13"/>
      <c r="Q331" s="33">
        <v>3603.47</v>
      </c>
      <c r="R331" s="41"/>
      <c r="S331" s="85">
        <f t="shared" si="81"/>
        <v>-2790.3399999999997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0</v>
      </c>
      <c r="M332" s="41"/>
      <c r="N332" s="59">
        <f t="shared" si="78"/>
        <v>-575</v>
      </c>
      <c r="O332" s="41"/>
      <c r="P332" s="13"/>
      <c r="Q332" s="33">
        <v>-31.35</v>
      </c>
      <c r="R332" s="41"/>
      <c r="S332" s="85">
        <f t="shared" si="81"/>
        <v>31.35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3453.9333333333334</v>
      </c>
      <c r="G333" s="89"/>
      <c r="H333" s="111"/>
      <c r="I333" s="22"/>
      <c r="J333" s="23"/>
      <c r="K333" s="111"/>
      <c r="L333" s="22">
        <v>2142.3599999999997</v>
      </c>
      <c r="M333" s="23"/>
      <c r="N333" s="91">
        <f t="shared" si="78"/>
        <v>-1311.5733333333337</v>
      </c>
      <c r="O333" s="23"/>
      <c r="P333" s="111"/>
      <c r="Q333" s="33">
        <v>6238.37</v>
      </c>
      <c r="R333" s="23"/>
      <c r="S333" s="92">
        <f t="shared" si="81"/>
        <v>-4096.01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1887.1</v>
      </c>
      <c r="M334" s="41"/>
      <c r="N334" s="59">
        <f t="shared" si="78"/>
        <v>60.299999999999727</v>
      </c>
      <c r="O334" s="41"/>
      <c r="P334" s="13"/>
      <c r="Q334" s="108">
        <v>1950.01</v>
      </c>
      <c r="R334" s="41"/>
      <c r="S334" s="85">
        <f t="shared" si="81"/>
        <v>-62.910000000000082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101.82</v>
      </c>
      <c r="M335" s="41"/>
      <c r="N335" s="59">
        <f t="shared" si="78"/>
        <v>-264.84666666666669</v>
      </c>
      <c r="O335" s="41"/>
      <c r="P335" s="13"/>
      <c r="Q335" s="33">
        <v>-6.79</v>
      </c>
      <c r="R335" s="41"/>
      <c r="S335" s="85">
        <f t="shared" si="81"/>
        <v>108.61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2208.42</v>
      </c>
      <c r="M336" s="23"/>
      <c r="N336" s="91">
        <f t="shared" si="78"/>
        <v>185.22000000000003</v>
      </c>
      <c r="O336" s="23"/>
      <c r="P336" s="111"/>
      <c r="Q336" s="48">
        <v>2227.2600000000002</v>
      </c>
      <c r="R336" s="23"/>
      <c r="S336" s="92">
        <f t="shared" si="81"/>
        <v>-18.840000000000146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5.82</v>
      </c>
      <c r="M338" s="41"/>
      <c r="N338" s="59">
        <f t="shared" si="78"/>
        <v>-4.18</v>
      </c>
      <c r="O338" s="41"/>
      <c r="P338" s="13"/>
      <c r="Q338" s="33">
        <v>216.2</v>
      </c>
      <c r="R338" s="41"/>
      <c r="S338" s="85">
        <f t="shared" ref="S338:S343" si="83">L338-Q338</f>
        <v>-210.38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115.12</v>
      </c>
      <c r="M340" s="41"/>
      <c r="N340" s="59">
        <f t="shared" si="78"/>
        <v>-199.88</v>
      </c>
      <c r="O340" s="41"/>
      <c r="P340" s="13"/>
      <c r="Q340" s="32">
        <v>214.82</v>
      </c>
      <c r="R340" s="41"/>
      <c r="S340" s="85">
        <f t="shared" si="83"/>
        <v>-99.699999999999989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180.43</v>
      </c>
      <c r="M341" s="41"/>
      <c r="N341" s="59">
        <f t="shared" si="78"/>
        <v>62.03</v>
      </c>
      <c r="O341" s="41"/>
      <c r="P341" s="13"/>
      <c r="Q341" s="33">
        <v>102.04</v>
      </c>
      <c r="R341" s="41"/>
      <c r="S341" s="85">
        <f t="shared" si="83"/>
        <v>78.39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479.33</v>
      </c>
      <c r="M342" s="41"/>
      <c r="N342" s="59">
        <f t="shared" si="78"/>
        <v>-110.67000000000002</v>
      </c>
      <c r="O342" s="41"/>
      <c r="P342" s="13"/>
      <c r="Q342" s="33">
        <v>513.61</v>
      </c>
      <c r="R342" s="41"/>
      <c r="S342" s="85">
        <f t="shared" si="83"/>
        <v>-34.28000000000003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0</v>
      </c>
      <c r="M343" s="41"/>
      <c r="N343" s="59">
        <f t="shared" si="78"/>
        <v>-348.20000000000005</v>
      </c>
      <c r="O343" s="41"/>
      <c r="P343" s="13"/>
      <c r="Q343" s="33">
        <v>477.94</v>
      </c>
      <c r="R343" s="41"/>
      <c r="S343" s="85">
        <f t="shared" si="83"/>
        <v>-477.94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411.35</v>
      </c>
      <c r="M344" s="41"/>
      <c r="N344" s="59">
        <f t="shared" si="78"/>
        <v>154.93510666666674</v>
      </c>
      <c r="O344" s="41"/>
      <c r="P344" s="13"/>
      <c r="Q344" s="33">
        <v>147.44999999999999</v>
      </c>
      <c r="R344" s="41"/>
      <c r="S344" s="85">
        <f>L344-Q344</f>
        <v>263.90000000000003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952.25174482513671</v>
      </c>
      <c r="G345" s="83"/>
      <c r="H345" s="13"/>
      <c r="I345" s="30"/>
      <c r="J345" s="41"/>
      <c r="K345" s="13"/>
      <c r="L345" s="32">
        <v>1023</v>
      </c>
      <c r="M345" s="41"/>
      <c r="N345" s="59">
        <f t="shared" si="78"/>
        <v>70.748255174863289</v>
      </c>
      <c r="O345" s="41"/>
      <c r="P345" s="13"/>
      <c r="Q345" s="33">
        <v>1136.27</v>
      </c>
      <c r="R345" s="41"/>
      <c r="S345" s="85">
        <f>L345-Q345</f>
        <v>-113.26999999999998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0.19506166026492805</v>
      </c>
      <c r="F349" s="96">
        <f>+SUM(F331:F348)</f>
        <v>14378.211542801953</v>
      </c>
      <c r="G349" s="97"/>
      <c r="H349" s="95"/>
      <c r="I349" s="96"/>
      <c r="J349" s="97" t="s">
        <v>38</v>
      </c>
      <c r="K349" s="95">
        <f>L349/L$314</f>
        <v>0.15071595823788775</v>
      </c>
      <c r="L349" s="96">
        <f>+SUM(L331:L348)</f>
        <v>9367.8799999999992</v>
      </c>
      <c r="M349" s="100"/>
      <c r="N349" s="96">
        <f>+SUM(N331:N348)</f>
        <v>-5010.3315428019532</v>
      </c>
      <c r="O349" s="97" t="s">
        <v>38</v>
      </c>
      <c r="P349" s="95">
        <f>Q349/Q$314</f>
        <v>0.18459799225095971</v>
      </c>
      <c r="Q349" s="96">
        <f>+SUM(Q331:Q348)</f>
        <v>16789.300000000003</v>
      </c>
      <c r="R349" s="100"/>
      <c r="S349" s="101">
        <f>+SUM(S331:S348)</f>
        <v>-7421.42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0.63785919523582091</v>
      </c>
      <c r="F351" s="96">
        <f>F330+F349</f>
        <v>47017.309455716924</v>
      </c>
      <c r="G351" s="97"/>
      <c r="H351" s="95"/>
      <c r="I351" s="96"/>
      <c r="J351" s="97" t="s">
        <v>38</v>
      </c>
      <c r="K351" s="95">
        <f>L351/L$314</f>
        <v>0.57238223395187515</v>
      </c>
      <c r="L351" s="96">
        <f>L330+L349</f>
        <v>35576.910000000003</v>
      </c>
      <c r="M351" s="100"/>
      <c r="N351" s="113">
        <f>L351-F351</f>
        <v>-11440.399455716921</v>
      </c>
      <c r="O351" s="97" t="s">
        <v>38</v>
      </c>
      <c r="P351" s="95">
        <f>Q351/Q$314</f>
        <v>0.46935792954000133</v>
      </c>
      <c r="Q351" s="96">
        <f>Q330+Q349</f>
        <v>42688.39</v>
      </c>
      <c r="R351" s="100"/>
      <c r="S351" s="114">
        <f>L351-Q351</f>
        <v>-7111.4799999999959</v>
      </c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26693.800781291269</v>
      </c>
      <c r="G353" s="153"/>
      <c r="H353" s="125"/>
      <c r="I353" s="127"/>
      <c r="J353" s="154"/>
      <c r="K353" s="126"/>
      <c r="L353" s="127">
        <f>L314-L351</f>
        <v>26578.950000000004</v>
      </c>
      <c r="M353" s="154"/>
      <c r="N353" s="127">
        <f>L353-F353</f>
        <v>-114.85078129126487</v>
      </c>
      <c r="O353" s="154"/>
      <c r="P353" s="126"/>
      <c r="Q353" s="127">
        <f>Q314-Q351</f>
        <v>48262.219999999696</v>
      </c>
      <c r="R353" s="154"/>
      <c r="S353" s="129">
        <f>L353-Q353</f>
        <v>-21683.269999999691</v>
      </c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2025</v>
      </c>
      <c r="T356" s="10"/>
      <c r="U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16.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8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-5387.7487285710959</v>
      </c>
      <c r="G401" s="13"/>
      <c r="H401" s="13"/>
      <c r="I401" s="13"/>
      <c r="J401" s="13"/>
      <c r="K401" s="13"/>
      <c r="L401" s="82">
        <f>L353+L289+L233</f>
        <v>8081.4499999999898</v>
      </c>
      <c r="M401" s="13"/>
      <c r="N401" s="13"/>
      <c r="O401" s="13"/>
      <c r="P401" s="13"/>
      <c r="Q401" s="13"/>
      <c r="R401" s="13"/>
      <c r="S401" s="13"/>
      <c r="T401" s="10"/>
      <c r="U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9" t="s">
        <v>117</v>
      </c>
      <c r="Y404" s="516"/>
      <c r="Z404" s="520"/>
      <c r="AA404" s="515"/>
      <c r="AB404" s="516"/>
      <c r="AC404" s="520"/>
      <c r="AD404" s="515" t="s">
        <v>7</v>
      </c>
      <c r="AE404" s="516"/>
      <c r="AF404" s="520"/>
      <c r="AG404" s="515" t="s">
        <v>213</v>
      </c>
      <c r="AH404" s="516"/>
      <c r="AI404" s="520"/>
      <c r="AJ404" s="515" t="s">
        <v>118</v>
      </c>
      <c r="AK404" s="516"/>
      <c r="AL404" s="516"/>
      <c r="AM404" s="515" t="s">
        <v>119</v>
      </c>
      <c r="AN404" s="516"/>
      <c r="AO404" s="51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2885611.3479549596</v>
      </c>
      <c r="AA406" s="263"/>
      <c r="AB406" s="263"/>
      <c r="AC406" s="264"/>
      <c r="AD406" s="265"/>
      <c r="AE406" s="266"/>
      <c r="AF406" s="266">
        <f>L5+L93+K194+K250+J314+J362</f>
        <v>1969870.3300000003</v>
      </c>
      <c r="AG406" s="265"/>
      <c r="AH406" s="266"/>
      <c r="AI406" s="267"/>
      <c r="AJ406" s="265"/>
      <c r="AK406" s="266"/>
      <c r="AL406" s="266">
        <f>Q5+Q93+P194+P250+O314+O362</f>
        <v>4258557.1699999897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279752.58817337186</v>
      </c>
      <c r="AA407" s="271"/>
      <c r="AB407" s="271"/>
      <c r="AC407" s="272"/>
      <c r="AD407" s="273"/>
      <c r="AE407" s="274"/>
      <c r="AF407" s="274">
        <f>L27+L108+L194+L250+L314+L362</f>
        <v>205893.28000000006</v>
      </c>
      <c r="AG407" s="273"/>
      <c r="AH407" s="274">
        <f>AF407-Z407</f>
        <v>-73859.308173371799</v>
      </c>
      <c r="AI407" s="275">
        <f>AH407/Z407</f>
        <v>-0.26401653209227421</v>
      </c>
      <c r="AJ407" s="273">
        <f>+AL407/AL406</f>
        <v>8.9723668075119584E-2</v>
      </c>
      <c r="AK407" s="274"/>
      <c r="AL407" s="274">
        <f>Q27+Q108+Q194+Q250+Q314+Q362</f>
        <v>382093.3699999997</v>
      </c>
      <c r="AM407" s="276"/>
      <c r="AN407" s="274">
        <f>AF407-AL407</f>
        <v>-176200.08999999965</v>
      </c>
      <c r="AO407" s="277">
        <f>IF(AL407=0,0,AN407/AL407)</f>
        <v>-0.46114406538904296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1013.5472542243153</v>
      </c>
      <c r="Z409" s="280">
        <f t="shared" ref="Z409:Z414" si="89">+SUMIF($C:$C,$V409,F:F)</f>
        <v>28379.32311828083</v>
      </c>
      <c r="AA409" s="279"/>
      <c r="AB409" s="287"/>
      <c r="AC409" s="280"/>
      <c r="AD409" s="288"/>
      <c r="AE409" s="287">
        <f t="shared" ref="AE409:AE414" si="90">IF(AF409=0,0,AF409/(J$13+J$97))</f>
        <v>1008.3376923076924</v>
      </c>
      <c r="AF409" s="280">
        <f t="shared" ref="AF409:AF415" si="91">+SUMIF($C:$C,$V409,L:L)</f>
        <v>13108.390000000001</v>
      </c>
      <c r="AG409" s="281">
        <f t="shared" ref="AG409:AH424" si="92">AE409-Y409</f>
        <v>-5.2095619166229881</v>
      </c>
      <c r="AH409" s="282">
        <f t="shared" si="92"/>
        <v>-15270.933118280829</v>
      </c>
      <c r="AI409" s="283">
        <f t="shared" ref="AI409:AI418" si="93">IF(Z409=0,0,AH409/Z409)</f>
        <v>-0.53810068177573633</v>
      </c>
      <c r="AJ409" s="288"/>
      <c r="AK409" s="282">
        <f t="shared" ref="AK409:AK418" si="94">AL409/(O$13+O$97)</f>
        <v>1291.7477777777776</v>
      </c>
      <c r="AL409" s="280">
        <f t="shared" ref="AL409:AL414" si="95">+SUMIF($C:$C,$V409,Q:Q)</f>
        <v>46502.92</v>
      </c>
      <c r="AM409" s="284">
        <f t="shared" ref="AM409:AM414" si="96">AE409-Y409</f>
        <v>-5.2095619166229881</v>
      </c>
      <c r="AN409" s="282">
        <f t="shared" ref="AN409:AN414" si="97">AF409-AL409</f>
        <v>-33394.53</v>
      </c>
      <c r="AO409" s="289">
        <f t="shared" ref="AO409:AO431" si="98">IF(AL409=0,0,AN409/AL409)</f>
        <v>-0.71811684083494109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463.47321428571428</v>
      </c>
      <c r="Z410" s="264">
        <f t="shared" si="89"/>
        <v>12977.25</v>
      </c>
      <c r="AA410" s="263"/>
      <c r="AB410" s="291"/>
      <c r="AC410" s="264"/>
      <c r="AD410" s="292"/>
      <c r="AE410" s="291">
        <f t="shared" si="90"/>
        <v>767.98384615384623</v>
      </c>
      <c r="AF410" s="264">
        <f t="shared" si="91"/>
        <v>9983.7900000000009</v>
      </c>
      <c r="AG410" s="265">
        <f t="shared" si="92"/>
        <v>304.51063186813195</v>
      </c>
      <c r="AH410" s="266">
        <f t="shared" si="92"/>
        <v>-2993.4599999999991</v>
      </c>
      <c r="AI410" s="293">
        <f t="shared" si="93"/>
        <v>-0.23066982604172681</v>
      </c>
      <c r="AJ410" s="292"/>
      <c r="AK410" s="266">
        <f t="shared" si="94"/>
        <v>509.90277777777777</v>
      </c>
      <c r="AL410" s="264">
        <f t="shared" si="95"/>
        <v>18356.5</v>
      </c>
      <c r="AM410" s="268">
        <f t="shared" si="96"/>
        <v>304.51063186813195</v>
      </c>
      <c r="AN410" s="266">
        <f t="shared" si="97"/>
        <v>-8372.7099999999991</v>
      </c>
      <c r="AO410" s="294">
        <f t="shared" si="98"/>
        <v>-0.45611690681774841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122.14285714285714</v>
      </c>
      <c r="Z411" s="280">
        <f t="shared" si="89"/>
        <v>3420</v>
      </c>
      <c r="AA411" s="279"/>
      <c r="AB411" s="287"/>
      <c r="AC411" s="280"/>
      <c r="AD411" s="288"/>
      <c r="AE411" s="287">
        <f t="shared" si="90"/>
        <v>36.558461538461536</v>
      </c>
      <c r="AF411" s="280">
        <f t="shared" si="91"/>
        <v>475.26</v>
      </c>
      <c r="AG411" s="281">
        <f t="shared" si="92"/>
        <v>-85.58439560439561</v>
      </c>
      <c r="AH411" s="282">
        <f t="shared" si="92"/>
        <v>-2944.74</v>
      </c>
      <c r="AI411" s="283">
        <f t="shared" si="93"/>
        <v>-0.86103508771929815</v>
      </c>
      <c r="AJ411" s="288"/>
      <c r="AK411" s="282">
        <f t="shared" si="94"/>
        <v>88.079444444444434</v>
      </c>
      <c r="AL411" s="280">
        <f t="shared" si="95"/>
        <v>3170.8599999999997</v>
      </c>
      <c r="AM411" s="284">
        <f t="shared" si="96"/>
        <v>-85.58439560439561</v>
      </c>
      <c r="AN411" s="282">
        <f t="shared" si="97"/>
        <v>-2695.5999999999995</v>
      </c>
      <c r="AO411" s="289">
        <f t="shared" si="98"/>
        <v>-0.850116372214478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64.071428571428569</v>
      </c>
      <c r="Z412" s="280">
        <f t="shared" si="89"/>
        <v>1794</v>
      </c>
      <c r="AA412" s="279"/>
      <c r="AB412" s="287"/>
      <c r="AC412" s="280"/>
      <c r="AD412" s="288"/>
      <c r="AE412" s="287">
        <f t="shared" si="90"/>
        <v>14.76923076923077</v>
      </c>
      <c r="AF412" s="280">
        <f t="shared" si="91"/>
        <v>192</v>
      </c>
      <c r="AG412" s="281">
        <f t="shared" si="92"/>
        <v>-49.302197802197796</v>
      </c>
      <c r="AH412" s="282">
        <f t="shared" si="92"/>
        <v>-1602</v>
      </c>
      <c r="AI412" s="283">
        <f t="shared" si="93"/>
        <v>-0.8929765886287625</v>
      </c>
      <c r="AJ412" s="288"/>
      <c r="AK412" s="282">
        <f t="shared" si="94"/>
        <v>81.040555555555557</v>
      </c>
      <c r="AL412" s="280">
        <f t="shared" si="95"/>
        <v>2917.46</v>
      </c>
      <c r="AM412" s="284">
        <f t="shared" si="96"/>
        <v>-49.302197802197796</v>
      </c>
      <c r="AN412" s="282">
        <f t="shared" si="97"/>
        <v>-2725.46</v>
      </c>
      <c r="AO412" s="295">
        <f t="shared" si="98"/>
        <v>-0.93418932907392049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105.71428571428571</v>
      </c>
      <c r="Z413" s="264">
        <f t="shared" si="89"/>
        <v>2960</v>
      </c>
      <c r="AA413" s="263"/>
      <c r="AB413" s="291"/>
      <c r="AC413" s="264"/>
      <c r="AD413" s="292"/>
      <c r="AE413" s="291">
        <f t="shared" si="90"/>
        <v>375.78384615384613</v>
      </c>
      <c r="AF413" s="264">
        <f t="shared" si="91"/>
        <v>4885.1899999999996</v>
      </c>
      <c r="AG413" s="265">
        <f t="shared" si="92"/>
        <v>270.06956043956041</v>
      </c>
      <c r="AH413" s="266">
        <f t="shared" si="92"/>
        <v>1925.1899999999996</v>
      </c>
      <c r="AI413" s="293">
        <f t="shared" si="93"/>
        <v>0.65040202702702687</v>
      </c>
      <c r="AJ413" s="292"/>
      <c r="AK413" s="266">
        <f t="shared" si="94"/>
        <v>105.80805555555555</v>
      </c>
      <c r="AL413" s="264">
        <f t="shared" si="95"/>
        <v>3809.09</v>
      </c>
      <c r="AM413" s="268">
        <f t="shared" si="96"/>
        <v>270.06956043956041</v>
      </c>
      <c r="AN413" s="266">
        <f t="shared" si="97"/>
        <v>1076.0999999999995</v>
      </c>
      <c r="AO413" s="294">
        <f t="shared" si="98"/>
        <v>0.28250842064640097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595.58823529411768</v>
      </c>
      <c r="Z414" s="280">
        <f t="shared" si="89"/>
        <v>16676.470588235294</v>
      </c>
      <c r="AA414" s="283"/>
      <c r="AB414" s="287"/>
      <c r="AC414" s="280"/>
      <c r="AD414" s="288"/>
      <c r="AE414" s="287">
        <f t="shared" si="90"/>
        <v>803.926923076923</v>
      </c>
      <c r="AF414" s="280">
        <f t="shared" si="91"/>
        <v>10451.049999999999</v>
      </c>
      <c r="AG414" s="281">
        <f t="shared" si="92"/>
        <v>208.33868778280532</v>
      </c>
      <c r="AH414" s="282">
        <f t="shared" si="92"/>
        <v>-6225.4205882352944</v>
      </c>
      <c r="AI414" s="283">
        <f t="shared" si="93"/>
        <v>-0.37330564373897712</v>
      </c>
      <c r="AJ414" s="288"/>
      <c r="AK414" s="282">
        <f t="shared" si="94"/>
        <v>764.80194444444453</v>
      </c>
      <c r="AL414" s="280">
        <f t="shared" si="95"/>
        <v>27532.870000000003</v>
      </c>
      <c r="AM414" s="284">
        <f t="shared" si="96"/>
        <v>208.33868778280532</v>
      </c>
      <c r="AN414" s="282">
        <f t="shared" si="97"/>
        <v>-17081.820000000003</v>
      </c>
      <c r="AO414" s="289">
        <f t="shared" si="98"/>
        <v>-0.62041552515229981</v>
      </c>
      <c r="AP414" s="246"/>
      <c r="AQ414" s="246">
        <f>14847-4396</f>
        <v>10451</v>
      </c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988.51142807255565</v>
      </c>
      <c r="Z415" s="280">
        <f>+SUMIF($C:$C,$V415,F:F)</f>
        <v>27678.319986031558</v>
      </c>
      <c r="AA415" s="279"/>
      <c r="AB415" s="287"/>
      <c r="AC415" s="280"/>
      <c r="AD415" s="288"/>
      <c r="AE415" s="287">
        <f>IF(AF415=0,0,AF415/(J$13+J$13))</f>
        <v>1534.3243749999999</v>
      </c>
      <c r="AF415" s="280">
        <f t="shared" si="91"/>
        <v>24549.19</v>
      </c>
      <c r="AG415" s="281">
        <f t="shared" si="92"/>
        <v>545.81294692744427</v>
      </c>
      <c r="AH415" s="282">
        <f t="shared" si="92"/>
        <v>-3129.1299860315594</v>
      </c>
      <c r="AI415" s="283">
        <f t="shared" si="93"/>
        <v>-0.11305346522515601</v>
      </c>
      <c r="AJ415" s="288"/>
      <c r="AK415" s="282">
        <f t="shared" si="94"/>
        <v>874.35083333333341</v>
      </c>
      <c r="AL415" s="280">
        <f>IFERROR(SUMIF($C:$C,$V415,Q:Q),0)</f>
        <v>31476.63</v>
      </c>
      <c r="AM415" s="284">
        <f>AE415-Y415</f>
        <v>545.81294692744427</v>
      </c>
      <c r="AN415" s="282">
        <f>AF415-AL415</f>
        <v>-6927.4400000000023</v>
      </c>
      <c r="AO415" s="289">
        <f t="shared" si="98"/>
        <v>-0.22008201004999589</v>
      </c>
      <c r="AP415" s="246"/>
      <c r="AQ415" s="475">
        <f>W37+W118</f>
        <v>24549.14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0.33560141232496427</v>
      </c>
      <c r="Y419" s="297"/>
      <c r="Z419" s="299">
        <f>SUM(Z409:Z418)</f>
        <v>93885.363692547689</v>
      </c>
      <c r="AA419" s="298"/>
      <c r="AB419" s="297"/>
      <c r="AC419" s="299"/>
      <c r="AD419" s="300">
        <f>AF419/AF407</f>
        <v>0.30911581961295664</v>
      </c>
      <c r="AE419" s="297"/>
      <c r="AF419" s="299">
        <f>SUM(AF409:AF418)</f>
        <v>63644.869999999995</v>
      </c>
      <c r="AG419" s="301"/>
      <c r="AH419" s="302">
        <f t="shared" si="92"/>
        <v>-30240.493692547694</v>
      </c>
      <c r="AI419" s="298">
        <f>AH419/Z419</f>
        <v>-0.3221001922256822</v>
      </c>
      <c r="AJ419" s="300">
        <f>IF($AL$407=0,0,AL419/$AL$407)</f>
        <v>0.35008806878800364</v>
      </c>
      <c r="AK419" s="297"/>
      <c r="AL419" s="299">
        <f>SUM(AL409:AL418)</f>
        <v>133766.33000000002</v>
      </c>
      <c r="AM419" s="303"/>
      <c r="AN419" s="302">
        <f t="shared" ref="AN419:AN431" si="99">AF419-AL419</f>
        <v>-70121.460000000021</v>
      </c>
      <c r="AO419" s="277">
        <f t="shared" si="98"/>
        <v>-0.52420859569070943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14479.21</v>
      </c>
      <c r="AG420" s="281"/>
      <c r="AH420" s="282">
        <f t="shared" si="92"/>
        <v>-247.07871205422998</v>
      </c>
      <c r="AI420" s="283">
        <f t="shared" ref="AI420:AI432" si="100">IF(Z420=0,0,AH420/Z420)</f>
        <v>-1.6778070624948651E-2</v>
      </c>
      <c r="AJ420" s="288"/>
      <c r="AK420" s="279"/>
      <c r="AL420" s="280">
        <v>16114.43</v>
      </c>
      <c r="AM420" s="284"/>
      <c r="AN420" s="282">
        <f t="shared" si="99"/>
        <v>-1635.2200000000012</v>
      </c>
      <c r="AO420" s="289">
        <f t="shared" si="98"/>
        <v>-0.10147550983807688</v>
      </c>
      <c r="AP420" s="246"/>
      <c r="AQ420" s="246">
        <v>14811</v>
      </c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30376.240000000002</v>
      </c>
      <c r="AG421" s="281"/>
      <c r="AH421" s="282">
        <f t="shared" si="92"/>
        <v>-2463.1810138520486</v>
      </c>
      <c r="AI421" s="283">
        <f t="shared" si="100"/>
        <v>-7.5006834402258499E-2</v>
      </c>
      <c r="AJ421" s="288"/>
      <c r="AK421" s="279"/>
      <c r="AL421" s="280">
        <f t="shared" ref="AL421:AL429" si="103">+SUMIF($C:$C,$V421,Q:Q)</f>
        <v>26033.780000000002</v>
      </c>
      <c r="AM421" s="284"/>
      <c r="AN421" s="282">
        <f t="shared" si="99"/>
        <v>4342.4599999999991</v>
      </c>
      <c r="AO421" s="289">
        <f t="shared" si="98"/>
        <v>0.16680097934299201</v>
      </c>
      <c r="AP421" s="246"/>
      <c r="AQ421" s="246"/>
      <c r="AR421" s="440" t="s">
        <v>267</v>
      </c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22464.420498084291</v>
      </c>
      <c r="AA422" s="263"/>
      <c r="AB422" s="263"/>
      <c r="AC422" s="264"/>
      <c r="AD422" s="292"/>
      <c r="AE422" s="291"/>
      <c r="AF422" s="264">
        <f t="shared" si="102"/>
        <v>14076.32</v>
      </c>
      <c r="AG422" s="265"/>
      <c r="AH422" s="266">
        <f t="shared" si="92"/>
        <v>-8388.1004980842918</v>
      </c>
      <c r="AI422" s="293">
        <f t="shared" si="100"/>
        <v>-0.37339492014938053</v>
      </c>
      <c r="AJ422" s="292"/>
      <c r="AK422" s="263"/>
      <c r="AL422" s="264">
        <f t="shared" si="103"/>
        <v>23662.68</v>
      </c>
      <c r="AM422" s="268"/>
      <c r="AN422" s="266">
        <f t="shared" si="99"/>
        <v>-9586.36</v>
      </c>
      <c r="AO422" s="269">
        <f t="shared" si="98"/>
        <v>-0.40512570849962898</v>
      </c>
      <c r="AP422" s="246"/>
      <c r="AQ422" s="246">
        <v>14076</v>
      </c>
      <c r="AR422" s="440" t="s">
        <v>268</v>
      </c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23383.321149425286</v>
      </c>
      <c r="AA423" s="279"/>
      <c r="AB423" s="279"/>
      <c r="AC423" s="280"/>
      <c r="AD423" s="288"/>
      <c r="AE423" s="287"/>
      <c r="AF423" s="280">
        <f t="shared" si="102"/>
        <v>19422.71</v>
      </c>
      <c r="AG423" s="281"/>
      <c r="AH423" s="282">
        <f t="shared" si="92"/>
        <v>-3960.6111494252873</v>
      </c>
      <c r="AI423" s="283">
        <f t="shared" si="100"/>
        <v>-0.16937761424546963</v>
      </c>
      <c r="AJ423" s="288"/>
      <c r="AK423" s="279"/>
      <c r="AL423" s="280">
        <f t="shared" si="103"/>
        <v>20726.59</v>
      </c>
      <c r="AM423" s="284"/>
      <c r="AN423" s="282">
        <f t="shared" si="99"/>
        <v>-1303.880000000001</v>
      </c>
      <c r="AO423" s="289">
        <f t="shared" si="98"/>
        <v>-6.2908563347854177E-2</v>
      </c>
      <c r="AP423" s="246"/>
      <c r="AQ423" s="246">
        <v>18070</v>
      </c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12308.67</v>
      </c>
      <c r="AG424" s="281"/>
      <c r="AH424" s="282">
        <f t="shared" si="92"/>
        <v>-2394.1954444444436</v>
      </c>
      <c r="AI424" s="283">
        <f t="shared" si="100"/>
        <v>-0.16283869654463193</v>
      </c>
      <c r="AJ424" s="288"/>
      <c r="AK424" s="279"/>
      <c r="AL424" s="280">
        <f t="shared" si="103"/>
        <v>16655.73</v>
      </c>
      <c r="AM424" s="284"/>
      <c r="AN424" s="282">
        <f t="shared" si="99"/>
        <v>-4347.0599999999995</v>
      </c>
      <c r="AO424" s="289">
        <f t="shared" si="98"/>
        <v>-0.2609948648303016</v>
      </c>
      <c r="AP424" s="246"/>
      <c r="AQ424" s="246">
        <v>12309</v>
      </c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1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35036.273850804144</v>
      </c>
      <c r="AA428" s="263"/>
      <c r="AB428" s="263"/>
      <c r="AC428" s="264"/>
      <c r="AD428" s="292"/>
      <c r="AE428" s="291"/>
      <c r="AF428" s="264">
        <f t="shared" si="102"/>
        <v>13528.34</v>
      </c>
      <c r="AG428" s="265"/>
      <c r="AH428" s="266">
        <f t="shared" si="104"/>
        <v>-21507.933850804144</v>
      </c>
      <c r="AI428" s="293">
        <f t="shared" si="100"/>
        <v>-0.61387617708412501</v>
      </c>
      <c r="AJ428" s="292"/>
      <c r="AK428" s="263"/>
      <c r="AL428" s="264">
        <f t="shared" si="103"/>
        <v>40845.19</v>
      </c>
      <c r="AM428" s="268"/>
      <c r="AN428" s="266">
        <f t="shared" si="99"/>
        <v>-27316.850000000002</v>
      </c>
      <c r="AO428" s="294">
        <f t="shared" si="98"/>
        <v>-0.66878988688753804</v>
      </c>
      <c r="AP428" s="475"/>
      <c r="AQ428" s="483"/>
      <c r="AR428" s="504" t="s">
        <v>269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21021.011041360092</v>
      </c>
      <c r="AA429" s="279"/>
      <c r="AB429" s="279"/>
      <c r="AC429" s="280"/>
      <c r="AD429" s="288"/>
      <c r="AE429" s="287"/>
      <c r="AF429" s="280">
        <f t="shared" si="102"/>
        <v>24123.63</v>
      </c>
      <c r="AG429" s="281"/>
      <c r="AH429" s="282">
        <f t="shared" si="104"/>
        <v>3102.6189586399087</v>
      </c>
      <c r="AI429" s="283">
        <f>IF(Z429=0,0,AH429/Z429)</f>
        <v>0.14759608624605738</v>
      </c>
      <c r="AJ429" s="288"/>
      <c r="AK429" s="279"/>
      <c r="AL429" s="280">
        <f t="shared" si="103"/>
        <v>25190.809999999998</v>
      </c>
      <c r="AM429" s="284"/>
      <c r="AN429" s="282">
        <f t="shared" si="99"/>
        <v>-1067.1799999999967</v>
      </c>
      <c r="AO429" s="289">
        <f t="shared" si="98"/>
        <v>-4.2363862059219083E-2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12907.638358729881</v>
      </c>
      <c r="AA430" s="279"/>
      <c r="AB430" s="279"/>
      <c r="AC430" s="280"/>
      <c r="AD430" s="288"/>
      <c r="AE430" s="287"/>
      <c r="AF430" s="280">
        <f t="shared" si="102"/>
        <v>12446.010000000002</v>
      </c>
      <c r="AG430" s="281"/>
      <c r="AH430" s="282">
        <f t="shared" si="104"/>
        <v>-461.62835872987853</v>
      </c>
      <c r="AI430" s="283">
        <f t="shared" si="100"/>
        <v>-3.5763967497405395E-2</v>
      </c>
      <c r="AJ430" s="288"/>
      <c r="AK430" s="279"/>
      <c r="AL430" s="280">
        <f>IFERROR(SUMIF($C:$C,$V430,Q:Q),0)</f>
        <v>15188.6</v>
      </c>
      <c r="AM430" s="284"/>
      <c r="AN430" s="282">
        <f t="shared" si="99"/>
        <v>-2742.5899999999983</v>
      </c>
      <c r="AO430" s="289">
        <f t="shared" si="98"/>
        <v>-0.18056897936610342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2765.9225054421172</v>
      </c>
      <c r="AA431" s="279"/>
      <c r="AB431" s="279"/>
      <c r="AC431" s="280"/>
      <c r="AD431" s="288"/>
      <c r="AE431" s="287"/>
      <c r="AF431" s="280">
        <f t="shared" si="102"/>
        <v>5350</v>
      </c>
      <c r="AG431" s="281"/>
      <c r="AH431" s="282">
        <f t="shared" si="104"/>
        <v>2584.0774945578828</v>
      </c>
      <c r="AI431" s="306">
        <f t="shared" si="100"/>
        <v>0.93425520399561324</v>
      </c>
      <c r="AJ431" s="288"/>
      <c r="AK431" s="279"/>
      <c r="AL431" s="280">
        <f>IFERROR(SUMIF($C:$C,$V431,Q:Q),0)</f>
        <v>1629.08</v>
      </c>
      <c r="AM431" s="284"/>
      <c r="AN431" s="282">
        <f t="shared" si="99"/>
        <v>3720.92</v>
      </c>
      <c r="AO431" s="294">
        <f t="shared" si="98"/>
        <v>2.2840621700591748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18" hidden="1" customHeight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0.64287935188910328</v>
      </c>
      <c r="Y433" s="297"/>
      <c r="Z433" s="299">
        <f>SUM(Z420:Z432)</f>
        <v>179847.16257419653</v>
      </c>
      <c r="AA433" s="298"/>
      <c r="AB433" s="297"/>
      <c r="AC433" s="299"/>
      <c r="AD433" s="300">
        <f>AF433/AF407</f>
        <v>0.7096449675288089</v>
      </c>
      <c r="AE433" s="307"/>
      <c r="AF433" s="299">
        <f>SUM(AF420:AF432)</f>
        <v>146111.13</v>
      </c>
      <c r="AG433" s="308"/>
      <c r="AH433" s="302">
        <f t="shared" si="104"/>
        <v>-33736.032574196521</v>
      </c>
      <c r="AI433" s="298">
        <f>AH433/Z433</f>
        <v>-0.18758167819455374</v>
      </c>
      <c r="AJ433" s="300">
        <f>IF($AL$407=0,0,AL433/$AL$407)</f>
        <v>0.48691472976880013</v>
      </c>
      <c r="AK433" s="297"/>
      <c r="AL433" s="299">
        <f>SUM(AL420:AL432)</f>
        <v>186046.89</v>
      </c>
      <c r="AM433" s="309"/>
      <c r="AN433" s="302">
        <f t="shared" ref="AN433:AN447" si="105">AF433-AL433</f>
        <v>-39935.760000000009</v>
      </c>
      <c r="AO433" s="277">
        <f>IF(AL433=0,0,AN433/AL433)</f>
        <v>-0.21465427344687141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10063.842584695667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2195.19</v>
      </c>
      <c r="AG434" s="314"/>
      <c r="AH434" s="316">
        <f t="shared" si="104"/>
        <v>-7868.6525846956665</v>
      </c>
      <c r="AI434" s="317">
        <f t="shared" ref="AI434:AI451" si="108">IF(Z434=0,0,AH434/Z434)</f>
        <v>-0.78187357547322134</v>
      </c>
      <c r="AJ434" s="314"/>
      <c r="AK434" s="312"/>
      <c r="AL434" s="313">
        <f t="shared" ref="AL434:AL448" si="109">+SUMIF($C:$C,$V434,Q:Q)</f>
        <v>10143.799999999999</v>
      </c>
      <c r="AM434" s="318"/>
      <c r="AN434" s="316">
        <f t="shared" si="105"/>
        <v>-7948.6099999999988</v>
      </c>
      <c r="AO434" s="285">
        <f t="shared" ref="AO434:AO447" si="110">IF(AL434=0,0,AN434/AL434)</f>
        <v>-0.78359293361462168</v>
      </c>
      <c r="AP434" s="246"/>
      <c r="AQ434" s="246">
        <f>2395-200</f>
        <v>2195</v>
      </c>
      <c r="AR434" s="246" t="s">
        <v>270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1075.23</v>
      </c>
      <c r="AG435" s="281"/>
      <c r="AH435" s="282">
        <f t="shared" si="104"/>
        <v>-2258.1033333333335</v>
      </c>
      <c r="AI435" s="283">
        <f t="shared" si="108"/>
        <v>-0.67743100000000001</v>
      </c>
      <c r="AJ435" s="288"/>
      <c r="AK435" s="279"/>
      <c r="AL435" s="280">
        <f t="shared" si="109"/>
        <v>5565.61</v>
      </c>
      <c r="AM435" s="284"/>
      <c r="AN435" s="282">
        <f t="shared" si="105"/>
        <v>-4490.3799999999992</v>
      </c>
      <c r="AO435" s="289">
        <f t="shared" si="110"/>
        <v>-0.80680823845005301</v>
      </c>
      <c r="AP435" s="246"/>
      <c r="AQ435" s="246">
        <v>1075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15011.333333333332</v>
      </c>
      <c r="AA436" s="263"/>
      <c r="AB436" s="263"/>
      <c r="AC436" s="264"/>
      <c r="AD436" s="292"/>
      <c r="AE436" s="291"/>
      <c r="AF436" s="264">
        <f t="shared" si="107"/>
        <v>7275.83</v>
      </c>
      <c r="AG436" s="265"/>
      <c r="AH436" s="266">
        <f t="shared" si="104"/>
        <v>-7735.5033333333322</v>
      </c>
      <c r="AI436" s="293">
        <f t="shared" si="108"/>
        <v>-0.51531087622685079</v>
      </c>
      <c r="AJ436" s="292"/>
      <c r="AK436" s="263"/>
      <c r="AL436" s="264">
        <f t="shared" si="109"/>
        <v>25269.279999999999</v>
      </c>
      <c r="AM436" s="268"/>
      <c r="AN436" s="266">
        <f t="shared" si="105"/>
        <v>-17993.449999999997</v>
      </c>
      <c r="AO436" s="269">
        <f t="shared" si="110"/>
        <v>-0.7120681713131517</v>
      </c>
      <c r="AP436" s="246"/>
      <c r="AQ436" s="485">
        <v>7276</v>
      </c>
      <c r="AR436" s="485" t="s">
        <v>271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15247.590000000002</v>
      </c>
      <c r="AG437" s="281"/>
      <c r="AH437" s="282">
        <f>AF437-Z437</f>
        <v>1083.590000000002</v>
      </c>
      <c r="AI437" s="283">
        <f t="shared" si="108"/>
        <v>7.6503106467099832E-2</v>
      </c>
      <c r="AJ437" s="288"/>
      <c r="AK437" s="279"/>
      <c r="AL437" s="280">
        <f t="shared" si="109"/>
        <v>14541.2</v>
      </c>
      <c r="AM437" s="284"/>
      <c r="AN437" s="282">
        <f t="shared" si="105"/>
        <v>706.39000000000124</v>
      </c>
      <c r="AO437" s="289">
        <f t="shared" si="110"/>
        <v>4.8578521717602484E-2</v>
      </c>
      <c r="AP437" s="485"/>
      <c r="AQ437" s="494">
        <f>18229-2981</f>
        <v>15248</v>
      </c>
      <c r="AR437" s="485" t="s">
        <v>272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631.79</v>
      </c>
      <c r="AG438" s="281"/>
      <c r="AH438" s="282">
        <f t="shared" si="104"/>
        <v>-1201.5433333333335</v>
      </c>
      <c r="AI438" s="283">
        <f t="shared" si="108"/>
        <v>-0.65538727272727282</v>
      </c>
      <c r="AJ438" s="288"/>
      <c r="AK438" s="279"/>
      <c r="AL438" s="280">
        <f t="shared" si="109"/>
        <v>1906.5700000000002</v>
      </c>
      <c r="AM438" s="284"/>
      <c r="AN438" s="282">
        <f t="shared" si="105"/>
        <v>-1274.7800000000002</v>
      </c>
      <c r="AO438" s="289">
        <f t="shared" si="110"/>
        <v>-0.6686248079010999</v>
      </c>
      <c r="AP438" s="485"/>
      <c r="AQ438" s="246">
        <v>632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14442.800000000001</v>
      </c>
      <c r="AG439" s="281"/>
      <c r="AH439" s="282">
        <f t="shared" si="104"/>
        <v>2726.8000000000011</v>
      </c>
      <c r="AI439" s="283">
        <f t="shared" si="108"/>
        <v>0.23274155001707075</v>
      </c>
      <c r="AJ439" s="288"/>
      <c r="AK439" s="279"/>
      <c r="AL439" s="280">
        <f t="shared" si="109"/>
        <v>12577.59</v>
      </c>
      <c r="AM439" s="284"/>
      <c r="AN439" s="282">
        <f t="shared" si="105"/>
        <v>1865.2100000000009</v>
      </c>
      <c r="AO439" s="289">
        <f t="shared" si="110"/>
        <v>0.14829629523620988</v>
      </c>
      <c r="AP439" s="246"/>
      <c r="AQ439" s="485">
        <v>14443</v>
      </c>
      <c r="AR439" s="485" t="s">
        <v>273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 customHeight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1758.85</v>
      </c>
      <c r="AG441" s="281"/>
      <c r="AH441" s="282">
        <f t="shared" si="104"/>
        <v>591.34999999999991</v>
      </c>
      <c r="AI441" s="283">
        <f t="shared" si="108"/>
        <v>0.50650963597430398</v>
      </c>
      <c r="AJ441" s="288"/>
      <c r="AK441" s="279"/>
      <c r="AL441" s="280">
        <f t="shared" si="109"/>
        <v>3893.39</v>
      </c>
      <c r="AM441" s="284"/>
      <c r="AN441" s="282">
        <f t="shared" si="105"/>
        <v>-2134.54</v>
      </c>
      <c r="AO441" s="289">
        <f t="shared" si="110"/>
        <v>-0.54824715736157947</v>
      </c>
      <c r="AP441" s="246"/>
      <c r="AQ441" s="246">
        <v>1759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684.54</v>
      </c>
      <c r="AG442" s="281"/>
      <c r="AH442" s="282">
        <f t="shared" si="104"/>
        <v>-375.46000000000004</v>
      </c>
      <c r="AI442" s="306">
        <f t="shared" si="108"/>
        <v>-0.35420754716981134</v>
      </c>
      <c r="AJ442" s="288"/>
      <c r="AK442" s="279"/>
      <c r="AL442" s="280">
        <f t="shared" si="109"/>
        <v>1242.2</v>
      </c>
      <c r="AM442" s="284"/>
      <c r="AN442" s="282">
        <f t="shared" si="105"/>
        <v>-557.66000000000008</v>
      </c>
      <c r="AO442" s="289">
        <f t="shared" si="110"/>
        <v>-0.44892931895024962</v>
      </c>
      <c r="AP442" s="246"/>
      <c r="AQ442" s="246">
        <v>685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482.67</v>
      </c>
      <c r="AG443" s="281"/>
      <c r="AH443" s="282">
        <f t="shared" si="104"/>
        <v>-1092.33</v>
      </c>
      <c r="AI443" s="283">
        <f t="shared" si="108"/>
        <v>-0.69354285714285713</v>
      </c>
      <c r="AJ443" s="288"/>
      <c r="AK443" s="279"/>
      <c r="AL443" s="280">
        <f t="shared" si="109"/>
        <v>1074.0999999999999</v>
      </c>
      <c r="AM443" s="284"/>
      <c r="AN443" s="282">
        <f t="shared" si="105"/>
        <v>-591.42999999999984</v>
      </c>
      <c r="AO443" s="289">
        <f t="shared" si="110"/>
        <v>-0.550628433106787</v>
      </c>
      <c r="AP443" s="246"/>
      <c r="AQ443" s="246">
        <v>483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828.16000000000008</v>
      </c>
      <c r="AG444" s="281"/>
      <c r="AH444" s="282">
        <f t="shared" si="104"/>
        <v>316.16000000000008</v>
      </c>
      <c r="AI444" s="306">
        <f t="shared" si="108"/>
        <v>0.61750000000000016</v>
      </c>
      <c r="AJ444" s="288"/>
      <c r="AK444" s="279"/>
      <c r="AL444" s="280">
        <f t="shared" si="109"/>
        <v>473.31</v>
      </c>
      <c r="AM444" s="284"/>
      <c r="AN444" s="282">
        <f t="shared" si="105"/>
        <v>354.85000000000008</v>
      </c>
      <c r="AO444" s="289">
        <f t="shared" si="110"/>
        <v>0.74972005662250973</v>
      </c>
      <c r="AP444" s="246"/>
      <c r="AQ444" s="246">
        <v>828</v>
      </c>
      <c r="AR444" s="485" t="s">
        <v>274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696.15</v>
      </c>
      <c r="AG445" s="281"/>
      <c r="AH445" s="282">
        <f t="shared" si="104"/>
        <v>-253.85000000000002</v>
      </c>
      <c r="AI445" s="283">
        <f t="shared" si="108"/>
        <v>-0.26721052631578951</v>
      </c>
      <c r="AJ445" s="288"/>
      <c r="AK445" s="279"/>
      <c r="AL445" s="280">
        <f t="shared" si="109"/>
        <v>944.23</v>
      </c>
      <c r="AM445" s="284"/>
      <c r="AN445" s="282">
        <f t="shared" si="105"/>
        <v>-248.08000000000004</v>
      </c>
      <c r="AO445" s="289">
        <f t="shared" si="110"/>
        <v>-0.26273259693083256</v>
      </c>
      <c r="AP445" s="246"/>
      <c r="AQ445" s="246">
        <v>696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339.99</v>
      </c>
      <c r="AG446" s="281"/>
      <c r="AH446" s="282">
        <f t="shared" si="104"/>
        <v>-1401.0100000000002</v>
      </c>
      <c r="AI446" s="306">
        <f t="shared" si="108"/>
        <v>-0.80471568064330845</v>
      </c>
      <c r="AJ446" s="288"/>
      <c r="AK446" s="279"/>
      <c r="AL446" s="280">
        <f t="shared" si="109"/>
        <v>2389.7799999999902</v>
      </c>
      <c r="AM446" s="284"/>
      <c r="AN446" s="282">
        <f t="shared" si="105"/>
        <v>-2049.78999999999</v>
      </c>
      <c r="AO446" s="289">
        <f t="shared" si="110"/>
        <v>-0.85773167404530892</v>
      </c>
      <c r="AP446" s="246"/>
      <c r="AQ446" s="246">
        <v>340</v>
      </c>
      <c r="AR446" s="485" t="s">
        <v>275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2416.73</v>
      </c>
      <c r="AG447" s="281"/>
      <c r="AH447" s="282">
        <f t="shared" si="104"/>
        <v>-165.62446666666619</v>
      </c>
      <c r="AI447" s="283">
        <f t="shared" si="108"/>
        <v>-6.4136999317702587E-2</v>
      </c>
      <c r="AJ447" s="288"/>
      <c r="AK447" s="279"/>
      <c r="AL447" s="280">
        <f t="shared" si="109"/>
        <v>341.25</v>
      </c>
      <c r="AM447" s="284"/>
      <c r="AN447" s="282">
        <f t="shared" si="105"/>
        <v>2075.48</v>
      </c>
      <c r="AO447" s="289">
        <f t="shared" si="110"/>
        <v>6.0819926739926737</v>
      </c>
      <c r="AP447" s="246"/>
      <c r="AQ447" s="246">
        <v>2417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4761.2587241256833</v>
      </c>
      <c r="AA448" s="279"/>
      <c r="AB448" s="287"/>
      <c r="AC448" s="280"/>
      <c r="AD448" s="288"/>
      <c r="AE448" s="287"/>
      <c r="AF448" s="280">
        <f t="shared" si="107"/>
        <v>5115.18</v>
      </c>
      <c r="AG448" s="281"/>
      <c r="AH448" s="282">
        <f t="shared" si="104"/>
        <v>353.92127587431696</v>
      </c>
      <c r="AI448" s="283">
        <f t="shared" si="108"/>
        <v>7.4333552613087203E-2</v>
      </c>
      <c r="AJ448" s="288"/>
      <c r="AK448" s="279"/>
      <c r="AL448" s="280">
        <f t="shared" si="109"/>
        <v>5681.3600000000006</v>
      </c>
      <c r="AM448" s="284"/>
      <c r="AN448" s="282">
        <f>AF448-AL448</f>
        <v>-566.18000000000029</v>
      </c>
      <c r="AO448" s="289">
        <f>IF(AL448=0,0,AN448/AL448)</f>
        <v>-9.965571623695739E-2</v>
      </c>
      <c r="AP448" s="246"/>
      <c r="AQ448" s="246">
        <f>12057-7000+58</f>
        <v>5115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0.25190457123426097</v>
      </c>
      <c r="Y452" s="297"/>
      <c r="Z452" s="299">
        <f>+SUM(Z434:Z451)</f>
        <v>70470.955775488022</v>
      </c>
      <c r="AA452" s="298"/>
      <c r="AB452" s="297"/>
      <c r="AC452" s="299"/>
      <c r="AD452" s="300">
        <f>AF452/AF407</f>
        <v>0.25834111730115716</v>
      </c>
      <c r="AE452" s="297"/>
      <c r="AF452" s="299">
        <f>+SUM(AF434:AF451)</f>
        <v>53190.700000000012</v>
      </c>
      <c r="AG452" s="308"/>
      <c r="AH452" s="302">
        <f>+SUM(AH434:AH451)</f>
        <v>-17280.255775488011</v>
      </c>
      <c r="AI452" s="298">
        <f>AH452/Z452</f>
        <v>-0.2452110317694686</v>
      </c>
      <c r="AJ452" s="300">
        <f>IF($AL$407=0,0,AL452/$AL$407)</f>
        <v>0.22519016752371299</v>
      </c>
      <c r="AK452" s="298"/>
      <c r="AL452" s="299">
        <f>+SUM(AL434:AL451)</f>
        <v>86043.669999999984</v>
      </c>
      <c r="AM452" s="309"/>
      <c r="AN452" s="302">
        <f>+SUM(AN434:AN451)</f>
        <v>-32852.969999999987</v>
      </c>
      <c r="AO452" s="331">
        <f>IF(AL452=0,0,AN452/AL452)</f>
        <v>-0.38181739574799628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40000</v>
      </c>
      <c r="AG453" s="281"/>
      <c r="AH453" s="282">
        <f t="shared" ref="AH453:AH461" si="111">AF453-Z453</f>
        <v>-10000</v>
      </c>
      <c r="AI453" s="283">
        <f t="shared" ref="AI453:AI461" si="112">IF(Z453=0,0,AH453/Z453)</f>
        <v>-0.2</v>
      </c>
      <c r="AJ453" s="288"/>
      <c r="AK453" s="279"/>
      <c r="AL453" s="280">
        <v>50000</v>
      </c>
      <c r="AM453" s="284"/>
      <c r="AN453" s="282">
        <f>AF453-AL453</f>
        <v>-10000</v>
      </c>
      <c r="AO453" s="289">
        <f t="shared" ref="AO453:AO461" si="113">IF(AL453=0,0,AN453/AL453)</f>
        <v>-0.2</v>
      </c>
      <c r="AP453" s="246"/>
      <c r="AQ453" s="246">
        <v>40000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0</v>
      </c>
      <c r="AG454" s="281"/>
      <c r="AH454" s="282">
        <f t="shared" si="111"/>
        <v>-5933.07</v>
      </c>
      <c r="AI454" s="283">
        <f t="shared" si="112"/>
        <v>-1</v>
      </c>
      <c r="AJ454" s="288"/>
      <c r="AK454" s="279"/>
      <c r="AL454" s="280">
        <v>5535.51</v>
      </c>
      <c r="AM454" s="284"/>
      <c r="AN454" s="282">
        <f t="shared" ref="AN454:AN461" si="114">AF454-AL454</f>
        <v>-5535.51</v>
      </c>
      <c r="AO454" s="289">
        <f t="shared" si="113"/>
        <v>-1</v>
      </c>
      <c r="AP454" s="246"/>
      <c r="AQ454" s="246">
        <v>0</v>
      </c>
      <c r="AR454" s="310" t="s">
        <v>276</v>
      </c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150</v>
      </c>
      <c r="AG455" s="265"/>
      <c r="AH455" s="266">
        <f t="shared" si="111"/>
        <v>-2392.75</v>
      </c>
      <c r="AI455" s="293">
        <f t="shared" si="112"/>
        <v>-0.94100875036869536</v>
      </c>
      <c r="AJ455" s="292"/>
      <c r="AK455" s="263"/>
      <c r="AL455" s="264">
        <v>2372.35</v>
      </c>
      <c r="AM455" s="268"/>
      <c r="AN455" s="266">
        <f t="shared" si="114"/>
        <v>-2222.35</v>
      </c>
      <c r="AO455" s="269">
        <f t="shared" si="113"/>
        <v>-0.93677155563049297</v>
      </c>
      <c r="AP455" s="246"/>
      <c r="AQ455" s="246">
        <v>150</v>
      </c>
      <c r="AR455" s="310" t="s">
        <v>277</v>
      </c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 customHeight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3571.17</v>
      </c>
      <c r="AG457" s="265"/>
      <c r="AH457" s="266">
        <f t="shared" si="111"/>
        <v>-1282.83</v>
      </c>
      <c r="AI457" s="293">
        <f t="shared" si="112"/>
        <v>-0.26428306551297898</v>
      </c>
      <c r="AJ457" s="292"/>
      <c r="AK457" s="263"/>
      <c r="AL457" s="264">
        <v>4349.75</v>
      </c>
      <c r="AM457" s="268"/>
      <c r="AN457" s="266">
        <f t="shared" si="114"/>
        <v>-778.57999999999993</v>
      </c>
      <c r="AO457" s="269">
        <f t="shared" si="113"/>
        <v>-0.17899419506868208</v>
      </c>
      <c r="AP457" s="246"/>
      <c r="AQ457" s="246">
        <v>3571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11054.28</v>
      </c>
      <c r="AG458" s="281"/>
      <c r="AH458" s="282">
        <f t="shared" si="111"/>
        <v>6054.2800000000007</v>
      </c>
      <c r="AI458" s="283">
        <f t="shared" si="112"/>
        <v>1.2108560000000002</v>
      </c>
      <c r="AJ458" s="288"/>
      <c r="AK458" s="279"/>
      <c r="AL458" s="280">
        <v>4766.5</v>
      </c>
      <c r="AM458" s="284"/>
      <c r="AN458" s="282">
        <f t="shared" si="114"/>
        <v>6287.7800000000007</v>
      </c>
      <c r="AO458" s="289">
        <f t="shared" si="113"/>
        <v>1.3191608098185252</v>
      </c>
      <c r="AP458" s="246"/>
      <c r="AQ458" s="246">
        <f>2439+8616</f>
        <v>11055</v>
      </c>
      <c r="AR458" s="310" t="s">
        <v>278</v>
      </c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0</v>
      </c>
      <c r="AG459" s="281"/>
      <c r="AH459" s="282">
        <f t="shared" si="111"/>
        <v>-6541.333333333333</v>
      </c>
      <c r="AI459" s="283">
        <f t="shared" si="112"/>
        <v>-1</v>
      </c>
      <c r="AJ459" s="288"/>
      <c r="AK459" s="279"/>
      <c r="AL459" s="280">
        <v>6307.33</v>
      </c>
      <c r="AM459" s="284"/>
      <c r="AN459" s="282">
        <f t="shared" si="114"/>
        <v>-6307.33</v>
      </c>
      <c r="AO459" s="289">
        <f t="shared" si="113"/>
        <v>-1</v>
      </c>
      <c r="AP459" s="246"/>
      <c r="AQ459" s="246">
        <v>0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371</v>
      </c>
      <c r="AG460" s="265"/>
      <c r="AH460" s="266">
        <f t="shared" si="111"/>
        <v>-62.333333333333314</v>
      </c>
      <c r="AI460" s="293">
        <f t="shared" si="112"/>
        <v>-0.14384615384615382</v>
      </c>
      <c r="AJ460" s="292"/>
      <c r="AK460" s="263"/>
      <c r="AL460" s="264">
        <v>121.89</v>
      </c>
      <c r="AM460" s="268"/>
      <c r="AN460" s="266">
        <f t="shared" si="114"/>
        <v>249.11</v>
      </c>
      <c r="AO460" s="269">
        <f t="shared" si="113"/>
        <v>2.0437279514316189</v>
      </c>
      <c r="AP460" s="246"/>
      <c r="AQ460" s="246">
        <v>371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345.59999999999997</v>
      </c>
      <c r="AG461" s="281"/>
      <c r="AH461" s="282">
        <f t="shared" si="111"/>
        <v>133.59999999999994</v>
      </c>
      <c r="AI461" s="335">
        <f t="shared" si="112"/>
        <v>0.63018867924528266</v>
      </c>
      <c r="AJ461" s="279"/>
      <c r="AK461" s="279"/>
      <c r="AL461" s="280">
        <v>173.95999999999901</v>
      </c>
      <c r="AM461" s="284"/>
      <c r="AN461" s="282">
        <f t="shared" si="114"/>
        <v>171.64000000000095</v>
      </c>
      <c r="AO461" s="289">
        <f t="shared" si="113"/>
        <v>0.98666360082778759</v>
      </c>
      <c r="AP461" s="246"/>
      <c r="AQ461" s="246">
        <v>346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 customHeight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0.26994026099900326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0.26951850978332065</v>
      </c>
      <c r="AE466" s="297"/>
      <c r="AF466" s="299">
        <f>SUM(AF453:AF465)</f>
        <v>55492.049999999996</v>
      </c>
      <c r="AG466" s="308"/>
      <c r="AH466" s="302">
        <f>SUM(AH453:AH465)</f>
        <v>-20024.436666666668</v>
      </c>
      <c r="AI466" s="298">
        <f>IF(Z466=0,0,AH466/Z466)</f>
        <v>-0.26516642326139295</v>
      </c>
      <c r="AJ466" s="300">
        <f>IF($AL$407=0,0,AL466/$AL$407)</f>
        <v>0.19269449768259536</v>
      </c>
      <c r="AK466" s="298"/>
      <c r="AL466" s="299">
        <f>SUM(AL453:AL465)</f>
        <v>73627.289999999994</v>
      </c>
      <c r="AM466" s="309"/>
      <c r="AN466" s="302">
        <f>SUM(AN453:AN465)</f>
        <v>-18135.240000000002</v>
      </c>
      <c r="AO466" s="331">
        <f t="shared" ref="AO466:AO483" si="115">IF(AL466=0,0,AN466/AL466)</f>
        <v>-0.24631138807363415</v>
      </c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1.5003255964473321</v>
      </c>
      <c r="Y468" s="297"/>
      <c r="Z468" s="299">
        <f>Z419+Z433+Z452+Z466</f>
        <v>419719.96870889899</v>
      </c>
      <c r="AA468" s="298"/>
      <c r="AB468" s="297"/>
      <c r="AC468" s="299"/>
      <c r="AD468" s="300">
        <f>AF468/AF407</f>
        <v>1.5466204142262434</v>
      </c>
      <c r="AE468" s="297"/>
      <c r="AF468" s="299">
        <f>AF419+AF433+AF452+AF466</f>
        <v>318438.75</v>
      </c>
      <c r="AG468" s="308"/>
      <c r="AH468" s="302">
        <f t="shared" si="116"/>
        <v>-101281.21870889899</v>
      </c>
      <c r="AI468" s="298">
        <f>AH468/Z468</f>
        <v>-0.24130664790729459</v>
      </c>
      <c r="AJ468" s="300">
        <f>IF($AL$407=0,0,AL468/$AL$407)</f>
        <v>1.254887463763112</v>
      </c>
      <c r="AK468" s="298"/>
      <c r="AL468" s="299">
        <f>AL419+AL433+AL452+AL466</f>
        <v>479484.18</v>
      </c>
      <c r="AM468" s="309"/>
      <c r="AN468" s="302">
        <f t="shared" si="117"/>
        <v>-161045.43</v>
      </c>
      <c r="AO468" s="277">
        <f t="shared" si="115"/>
        <v>-0.33587224921581355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0.15</v>
      </c>
      <c r="AG469" s="342"/>
      <c r="AH469" s="282">
        <f t="shared" si="116"/>
        <v>0.15</v>
      </c>
      <c r="AI469" s="335" t="e">
        <f>IF(AH469=0,0,AH469/Z469)</f>
        <v>#DIV/0!</v>
      </c>
      <c r="AJ469" s="341"/>
      <c r="AK469" s="339"/>
      <c r="AL469" s="343">
        <v>875.8</v>
      </c>
      <c r="AM469" s="344"/>
      <c r="AN469" s="282">
        <f t="shared" si="117"/>
        <v>-875.65</v>
      </c>
      <c r="AO469" s="289">
        <f t="shared" si="115"/>
        <v>-0.99982872802009592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30803.461527272728</v>
      </c>
      <c r="AA470" s="332"/>
      <c r="AB470" s="333"/>
      <c r="AC470" s="280"/>
      <c r="AD470" s="345"/>
      <c r="AE470" s="333"/>
      <c r="AF470" s="280">
        <f t="shared" ref="AF470:AF476" si="118">+SUMIF($C:$C,$V470,L:L)</f>
        <v>32718</v>
      </c>
      <c r="AG470" s="346"/>
      <c r="AH470" s="282">
        <f t="shared" si="116"/>
        <v>1914.5384727272722</v>
      </c>
      <c r="AI470" s="306">
        <f>IF(Z470=0,0,AH470/Z470)</f>
        <v>6.2153354779045877E-2</v>
      </c>
      <c r="AJ470" s="345"/>
      <c r="AK470" s="332"/>
      <c r="AL470" s="347">
        <f>+SUMIF($C:$C,$V470,Q:Q)</f>
        <v>44065</v>
      </c>
      <c r="AM470" s="348"/>
      <c r="AN470" s="282">
        <f t="shared" si="117"/>
        <v>-11347</v>
      </c>
      <c r="AO470" s="289">
        <f t="shared" si="115"/>
        <v>-0.25750595710881652</v>
      </c>
      <c r="AP470" s="246"/>
      <c r="AQ470" s="246">
        <v>32718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28493.201912727272</v>
      </c>
      <c r="AA471" s="332"/>
      <c r="AB471" s="333"/>
      <c r="AC471" s="280"/>
      <c r="AD471" s="345"/>
      <c r="AE471" s="333"/>
      <c r="AF471" s="280">
        <f t="shared" si="118"/>
        <v>20598</v>
      </c>
      <c r="AG471" s="346"/>
      <c r="AH471" s="282">
        <f t="shared" si="116"/>
        <v>-7895.2019127272724</v>
      </c>
      <c r="AI471" s="306">
        <f t="shared" ref="AI471:AI480" si="119">IF(AH471=0,0,AH471/Z471)</f>
        <v>-0.27709072279450148</v>
      </c>
      <c r="AJ471" s="345"/>
      <c r="AK471" s="332"/>
      <c r="AL471" s="347">
        <v>31920</v>
      </c>
      <c r="AM471" s="348"/>
      <c r="AN471" s="282">
        <f t="shared" si="117"/>
        <v>-11322</v>
      </c>
      <c r="AO471" s="289">
        <f t="shared" si="115"/>
        <v>-0.35469924812030074</v>
      </c>
      <c r="AP471" s="246"/>
      <c r="AQ471" s="246">
        <v>20598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1500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-1500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536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-536</v>
      </c>
      <c r="AI475" s="306">
        <f t="shared" si="119"/>
        <v>-1</v>
      </c>
      <c r="AJ475" s="345"/>
      <c r="AK475" s="332"/>
      <c r="AL475" s="347">
        <f>+SUMIF($C:$C,$V475,Q:Q)</f>
        <v>-1450</v>
      </c>
      <c r="AM475" s="348"/>
      <c r="AN475" s="282">
        <f t="shared" si="117"/>
        <v>1450</v>
      </c>
      <c r="AO475" s="289">
        <f t="shared" si="11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16171.817301818184</v>
      </c>
      <c r="AA477" s="332"/>
      <c r="AB477" s="333"/>
      <c r="AC477" s="280"/>
      <c r="AD477" s="345"/>
      <c r="AE477" s="333"/>
      <c r="AF477" s="280">
        <v>10164</v>
      </c>
      <c r="AG477" s="346"/>
      <c r="AH477" s="282">
        <f t="shared" si="116"/>
        <v>-6007.8173018181842</v>
      </c>
      <c r="AI477" s="306">
        <f t="shared" si="119"/>
        <v>-0.37149920690377392</v>
      </c>
      <c r="AJ477" s="345"/>
      <c r="AK477" s="332"/>
      <c r="AL477" s="347">
        <v>12600</v>
      </c>
      <c r="AM477" s="348"/>
      <c r="AN477" s="282">
        <f t="shared" si="117"/>
        <v>-2436</v>
      </c>
      <c r="AO477" s="289">
        <f t="shared" si="115"/>
        <v>-0.19333333333333333</v>
      </c>
      <c r="AP477" s="246"/>
      <c r="AQ477" s="246">
        <v>10164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16475.55</v>
      </c>
      <c r="AA480" s="332"/>
      <c r="AB480" s="333"/>
      <c r="AC480" s="280"/>
      <c r="AD480" s="345"/>
      <c r="AE480" s="333"/>
      <c r="AF480" s="280">
        <f>+SUMIF($C:$C,$V480,L:L)</f>
        <v>7140</v>
      </c>
      <c r="AG480" s="346"/>
      <c r="AH480" s="282">
        <f t="shared" si="116"/>
        <v>-9335.5499999999993</v>
      </c>
      <c r="AI480" s="306">
        <f t="shared" si="119"/>
        <v>-0.56663055254604544</v>
      </c>
      <c r="AJ480" s="345"/>
      <c r="AK480" s="332"/>
      <c r="AL480" s="347">
        <v>21420</v>
      </c>
      <c r="AM480" s="348"/>
      <c r="AN480" s="282">
        <f t="shared" si="117"/>
        <v>-14280</v>
      </c>
      <c r="AO480" s="289">
        <f t="shared" si="115"/>
        <v>-0.66666666666666663</v>
      </c>
      <c r="AP480" s="246"/>
      <c r="AQ480" s="246">
        <v>7140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0.33593980794049233</v>
      </c>
      <c r="Y481" s="330"/>
      <c r="Z481" s="299">
        <f>SUM(Z469:Z480)</f>
        <v>93980.030741818191</v>
      </c>
      <c r="AA481" s="298"/>
      <c r="AB481" s="330"/>
      <c r="AC481" s="299"/>
      <c r="AD481" s="298">
        <f>AF481/+AF407</f>
        <v>0.34299395298379809</v>
      </c>
      <c r="AE481" s="330"/>
      <c r="AF481" s="299">
        <f>SUM(AF469:AF480)</f>
        <v>70620.149999999994</v>
      </c>
      <c r="AG481" s="308"/>
      <c r="AH481" s="302">
        <f t="shared" si="116"/>
        <v>-23359.880741818197</v>
      </c>
      <c r="AI481" s="298">
        <f>AH481/Z481</f>
        <v>-0.2485621738727925</v>
      </c>
      <c r="AJ481" s="349"/>
      <c r="AK481" s="350"/>
      <c r="AL481" s="299">
        <f>SUM(AL469:AL480)</f>
        <v>109430.8</v>
      </c>
      <c r="AM481" s="351"/>
      <c r="AN481" s="302">
        <f t="shared" si="117"/>
        <v>-38810.650000000009</v>
      </c>
      <c r="AO481" s="331">
        <f t="shared" si="115"/>
        <v>-0.3546592915340106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-1.5936778813370103E-2</v>
      </c>
      <c r="Z483" s="369">
        <f>Z407-Z468+Z481</f>
        <v>-45987.349793708941</v>
      </c>
      <c r="AA483" s="367"/>
      <c r="AB483" s="368"/>
      <c r="AC483" s="369"/>
      <c r="AD483" s="367" t="s">
        <v>180</v>
      </c>
      <c r="AE483" s="368">
        <f>AF483/AF406</f>
        <v>-2.128328924066791E-2</v>
      </c>
      <c r="AF483" s="370">
        <f>AF407-AF468+AF481</f>
        <v>-41925.319999999949</v>
      </c>
      <c r="AG483" s="371"/>
      <c r="AH483" s="370">
        <f>AF483-Z483</f>
        <v>4062.0297937089927</v>
      </c>
      <c r="AI483" s="487">
        <f>AH483/Z483</f>
        <v>-8.8329286465311324E-2</v>
      </c>
      <c r="AJ483" s="373" t="s">
        <v>180</v>
      </c>
      <c r="AK483" s="368">
        <f>IF($AL$406=0,0,AL483/$AL$406)</f>
        <v>2.8272462994784085E-3</v>
      </c>
      <c r="AL483" s="370">
        <f>AL407-AL468+AL481</f>
        <v>12039.989999999714</v>
      </c>
      <c r="AM483" s="374"/>
      <c r="AN483" s="370">
        <f t="shared" si="117"/>
        <v>-53965.309999999663</v>
      </c>
      <c r="AO483" s="375">
        <f t="shared" si="115"/>
        <v>-4.4821723273857321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 customHeight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-6.3449396332091084E-3</v>
      </c>
      <c r="Z488" s="449">
        <f>Z489+Z415</f>
        <v>-18309.029807677383</v>
      </c>
      <c r="AA488" s="446"/>
      <c r="AB488" s="447"/>
      <c r="AC488" s="448"/>
      <c r="AD488" s="446" t="s">
        <v>180</v>
      </c>
      <c r="AE488" s="447">
        <f>AF488/AF406</f>
        <v>-8.8209511739790244E-3</v>
      </c>
      <c r="AF488" s="449">
        <f>AF489+AF415</f>
        <v>-17376.12999999995</v>
      </c>
      <c r="AG488" s="450"/>
      <c r="AH488" s="449">
        <f t="shared" ref="AH488" si="121">AF488-Z488</f>
        <v>932.89980767743327</v>
      </c>
      <c r="AI488" s="500">
        <f>AH488/Z488</f>
        <v>-5.0952989725662451E-2</v>
      </c>
      <c r="AJ488" s="446" t="s">
        <v>180</v>
      </c>
      <c r="AK488" s="447">
        <f>IF($AL$406=0,0,AL488/$AL$406)</f>
        <v>1.0218629987301503E-2</v>
      </c>
      <c r="AL488" s="449">
        <f>AL489+AL415</f>
        <v>43516.619999999719</v>
      </c>
      <c r="AM488" s="452"/>
      <c r="AN488" s="449">
        <f t="shared" ref="AN488" si="122">AF488-AL488</f>
        <v>-60892.749999999665</v>
      </c>
      <c r="AO488" s="453">
        <f t="shared" ref="AO488" si="123">IF(AL488=0,0,AN488/AL488)</f>
        <v>-1.3992987047247709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-1.5936778813370103E-2</v>
      </c>
      <c r="Z489" s="381">
        <f>Z483</f>
        <v>-45987.349793708941</v>
      </c>
      <c r="AA489" s="379"/>
      <c r="AB489" s="380"/>
      <c r="AC489" s="381"/>
      <c r="AD489" s="379" t="s">
        <v>180</v>
      </c>
      <c r="AE489" s="380">
        <f>AF489/AF406</f>
        <v>-2.128328924066791E-2</v>
      </c>
      <c r="AF489" s="381">
        <f>AF483</f>
        <v>-41925.319999999949</v>
      </c>
      <c r="AG489" s="382"/>
      <c r="AH489" s="370">
        <f>AF489-Z489</f>
        <v>4062.0297937089927</v>
      </c>
      <c r="AI489" s="487">
        <f>AH489/Z489</f>
        <v>-8.8329286465311324E-2</v>
      </c>
      <c r="AJ489" s="379" t="s">
        <v>180</v>
      </c>
      <c r="AK489" s="380">
        <f>IF($AL$406=0,0,AL489/$AL$406)</f>
        <v>2.8272462994784085E-3</v>
      </c>
      <c r="AL489" s="383">
        <f>AL483</f>
        <v>12039.989999999714</v>
      </c>
      <c r="AM489" s="384"/>
      <c r="AN489" s="385">
        <f>AF489-AL489</f>
        <v>-53965.309999999663</v>
      </c>
      <c r="AO489" s="386">
        <f>IF(AL489=0,0,AN489/AL489)</f>
        <v>-4.4821723273857321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3751.2499999999995</v>
      </c>
      <c r="AG491" s="279"/>
      <c r="AH491" s="282">
        <f t="shared" ref="AH491:AH498" si="124">AF491-Z491</f>
        <v>-15548.75</v>
      </c>
      <c r="AI491" s="306">
        <f t="shared" ref="AI491:AI497" si="125">IF(Z491=0,0,AH491/Z491)</f>
        <v>-0.80563471502590678</v>
      </c>
      <c r="AJ491" s="279"/>
      <c r="AK491" s="279"/>
      <c r="AL491" s="280">
        <v>3650.92</v>
      </c>
      <c r="AM491" s="284"/>
      <c r="AN491" s="282">
        <f t="shared" ref="AN491:AN498" si="126">AF491-AL491</f>
        <v>100.32999999999947</v>
      </c>
      <c r="AO491" s="289">
        <f t="shared" ref="AO491:AO498" si="127">IF(AL491=0,0,AN491/AL491)</f>
        <v>2.7480744579448324E-2</v>
      </c>
      <c r="AP491" s="246"/>
      <c r="AQ491" s="246">
        <v>3751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 customHeight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 customHeight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 customHeight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79"/>
      <c r="AB496" s="279"/>
      <c r="AC496" s="282"/>
      <c r="AD496" s="288"/>
      <c r="AE496" s="287"/>
      <c r="AF496" s="280">
        <v>-3031.47</v>
      </c>
      <c r="AG496" s="281"/>
      <c r="AH496" s="282">
        <f t="shared" si="124"/>
        <v>-399.01098360655715</v>
      </c>
      <c r="AI496" s="283">
        <f t="shared" si="125"/>
        <v>0.15157348362187062</v>
      </c>
      <c r="AJ496" s="288"/>
      <c r="AK496" s="279"/>
      <c r="AL496" s="280">
        <v>-4944.26</v>
      </c>
      <c r="AM496" s="393"/>
      <c r="AN496" s="282">
        <f t="shared" si="126"/>
        <v>1912.7900000000004</v>
      </c>
      <c r="AO496" s="289">
        <f t="shared" si="127"/>
        <v>-0.38687083608062689</v>
      </c>
      <c r="AP496" s="246"/>
      <c r="AQ496" s="310">
        <v>-3031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customHeight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-2.1712865393920491E-2</v>
      </c>
      <c r="Z498" s="369">
        <f>Z489-Z491-Z492-Z493-Z497-Z496-Z494-Z495</f>
        <v>-62654.890777315501</v>
      </c>
      <c r="AA498" s="367"/>
      <c r="AB498" s="368"/>
      <c r="AC498" s="369"/>
      <c r="AD498" s="367" t="s">
        <v>180</v>
      </c>
      <c r="AE498" s="368">
        <f>AF498/AF406</f>
        <v>-2.1648683850169947E-2</v>
      </c>
      <c r="AF498" s="370">
        <f>AF489-AF491-AF492-AF493-AF497-AF496-AF494-AF495</f>
        <v>-42645.099999999948</v>
      </c>
      <c r="AG498" s="371"/>
      <c r="AH498" s="370">
        <f t="shared" si="124"/>
        <v>20009.790777315553</v>
      </c>
      <c r="AI498" s="487">
        <f>AH498/Z498</f>
        <v>-0.31936518488928867</v>
      </c>
      <c r="AJ498" s="373" t="s">
        <v>180</v>
      </c>
      <c r="AK498" s="368">
        <f>IF($AL$406=0,0,AL498/$AL$406)</f>
        <v>3.130950100641656E-3</v>
      </c>
      <c r="AL498" s="370">
        <f>AL489-AL491-AL492-AL493-AL497-AL496-AL494-AL495</f>
        <v>13333.329999999714</v>
      </c>
      <c r="AM498" s="374"/>
      <c r="AN498" s="370">
        <f t="shared" si="126"/>
        <v>-55978.429999999658</v>
      </c>
      <c r="AO498" s="394">
        <f t="shared" si="127"/>
        <v>-4.1983832995958892</v>
      </c>
      <c r="AP498" s="310"/>
      <c r="AQ498" s="246"/>
      <c r="AR498" s="246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>
        <v>0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-42645.099999999948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7.2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6.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6.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-42645.099999999948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6.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6.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6.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6.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W511" s="246"/>
      <c r="X511" s="246"/>
      <c r="Y511" s="246"/>
      <c r="Z511" s="246"/>
      <c r="AA511" s="246"/>
      <c r="AB511" s="246"/>
      <c r="AC511" s="246"/>
      <c r="AD511" s="246" t="s">
        <v>246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6.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W512" s="246"/>
      <c r="X512" s="246"/>
      <c r="Y512" s="246"/>
      <c r="Z512" s="246"/>
      <c r="AA512" s="246"/>
      <c r="AB512" s="246"/>
      <c r="AC512" s="246"/>
      <c r="AD512" s="246" t="s">
        <v>247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6.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-42645.099999999948</v>
      </c>
      <c r="AG513" s="310">
        <f>AF513-AF505</f>
        <v>-42645.099999999948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6.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6.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6.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6.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6.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6.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6.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6.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6.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6.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6.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6.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6.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6.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6.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6.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6.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6.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6.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6.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6.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6.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6.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6.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6.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6.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6.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6.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6.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6.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6.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6.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6.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6.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6.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6.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6.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6.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6.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6.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6.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6.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6.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6.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6.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6.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6.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6.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6.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6.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6.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6.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6.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6.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6.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6.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6.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6.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6.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6.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6.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6.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6.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6.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6.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6.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6.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6.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6.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6.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6.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6.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6.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6.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6.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6.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6.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6.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6.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6.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6.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6.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6.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6.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6.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6.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6.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6.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6.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6.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6.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6.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6.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6.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6.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6.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6.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6.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6.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6.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6.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6.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6.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6.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6.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6.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6.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6.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6.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6.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6.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6.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6.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6.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6.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6.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6.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6.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6.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6.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6.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6.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6.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6.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6.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6.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6.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6.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6.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6.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6.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6.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6.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6.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6.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6.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6.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6.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6.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6.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6.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6.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6.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6.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6.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6.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6.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6.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6.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6.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6.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6.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6.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6.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6.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6.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6.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6.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6.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6.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6.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6.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6.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6.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6.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6.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6.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6.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6.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6.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6.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6.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6.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6.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6.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6.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6.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6.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6.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6.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6.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6.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6.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6.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6.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6.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6.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6.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1" priority="29" stopIfTrue="1">
      <formula>"esterreur(reference)"</formula>
    </cfRule>
  </conditionalFormatting>
  <conditionalFormatting sqref="D112:D113">
    <cfRule type="expression" dxfId="220" priority="24" stopIfTrue="1">
      <formula>"esterreur(reference)"</formula>
    </cfRule>
  </conditionalFormatting>
  <conditionalFormatting sqref="F5">
    <cfRule type="expression" dxfId="219" priority="69" stopIfTrue="1">
      <formula>"esterreur(reference)"</formula>
    </cfRule>
  </conditionalFormatting>
  <conditionalFormatting sqref="F184">
    <cfRule type="expression" dxfId="218" priority="78" stopIfTrue="1">
      <formula>"esterreur(reference)"</formula>
    </cfRule>
  </conditionalFormatting>
  <conditionalFormatting sqref="G31:G32">
    <cfRule type="expression" dxfId="217" priority="28" stopIfTrue="1">
      <formula>"esterreur(reference)"</formula>
    </cfRule>
  </conditionalFormatting>
  <conditionalFormatting sqref="G112:G113">
    <cfRule type="expression" dxfId="216" priority="25" stopIfTrue="1">
      <formula>"esterreur(reference)"</formula>
    </cfRule>
  </conditionalFormatting>
  <conditionalFormatting sqref="H136:H152">
    <cfRule type="expression" dxfId="215" priority="33" stopIfTrue="1">
      <formula>"esterreur(reference)"</formula>
    </cfRule>
  </conditionalFormatting>
  <conditionalFormatting sqref="H360">
    <cfRule type="expression" dxfId="214" priority="109" stopIfTrue="1">
      <formula>"esterreur(reference)"</formula>
    </cfRule>
  </conditionalFormatting>
  <conditionalFormatting sqref="H197:L197">
    <cfRule type="expression" dxfId="213" priority="111" stopIfTrue="1">
      <formula>"esterreur(reference)"</formula>
    </cfRule>
  </conditionalFormatting>
  <conditionalFormatting sqref="H396:L399">
    <cfRule type="expression" dxfId="212" priority="107" stopIfTrue="1">
      <formula>"esterreur(reference)"</formula>
    </cfRule>
  </conditionalFormatting>
  <conditionalFormatting sqref="I377:L377 H378:H395">
    <cfRule type="expression" dxfId="211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0" priority="103" stopIfTrue="1">
      <formula>"esterreur(reference)"</formula>
    </cfRule>
  </conditionalFormatting>
  <conditionalFormatting sqref="J49:L72">
    <cfRule type="expression" dxfId="209" priority="34" stopIfTrue="1">
      <formula>"esterreur(reference)"</formula>
    </cfRule>
  </conditionalFormatting>
  <conditionalFormatting sqref="J102:L104">
    <cfRule type="expression" dxfId="208" priority="99" stopIfTrue="1">
      <formula>"esterreur(reference)"</formula>
    </cfRule>
  </conditionalFormatting>
  <conditionalFormatting sqref="J149:L152">
    <cfRule type="expression" dxfId="207" priority="32" stopIfTrue="1">
      <formula>"esterreur(reference)"</formula>
    </cfRule>
  </conditionalFormatting>
  <conditionalFormatting sqref="J295:L303">
    <cfRule type="expression" dxfId="206" priority="95" stopIfTrue="1">
      <formula>"esterreur(reference)"</formula>
    </cfRule>
  </conditionalFormatting>
  <conditionalFormatting sqref="J307:L308">
    <cfRule type="expression" dxfId="205" priority="85" stopIfTrue="1">
      <formula>"esterreur(reference)"</formula>
    </cfRule>
  </conditionalFormatting>
  <conditionalFormatting sqref="J360:L360">
    <cfRule type="expression" dxfId="204" priority="77" stopIfTrue="1">
      <formula>"esterreur(reference)"</formula>
    </cfRule>
  </conditionalFormatting>
  <conditionalFormatting sqref="J365:L376">
    <cfRule type="expression" dxfId="203" priority="82" stopIfTrue="1">
      <formula>"esterreur(reference)"</formula>
    </cfRule>
  </conditionalFormatting>
  <conditionalFormatting sqref="J378:L394">
    <cfRule type="expression" dxfId="202" priority="81" stopIfTrue="1">
      <formula>"esterreur(reference)"</formula>
    </cfRule>
  </conditionalFormatting>
  <conditionalFormatting sqref="J312:M312">
    <cfRule type="expression" dxfId="201" priority="83" stopIfTrue="1">
      <formula>"esterreur(reference)"</formula>
    </cfRule>
  </conditionalFormatting>
  <conditionalFormatting sqref="J112:Q121">
    <cfRule type="expression" dxfId="200" priority="26" stopIfTrue="1">
      <formula>"esterreur(reference)"</formula>
    </cfRule>
  </conditionalFormatting>
  <conditionalFormatting sqref="J123:Q134">
    <cfRule type="expression" dxfId="199" priority="59" stopIfTrue="1">
      <formula>"esterreur(reference)"</formula>
    </cfRule>
  </conditionalFormatting>
  <conditionalFormatting sqref="K5">
    <cfRule type="expression" dxfId="198" priority="92" stopIfTrue="1">
      <formula>"esterreur(reference)"</formula>
    </cfRule>
  </conditionalFormatting>
  <conditionalFormatting sqref="K175">
    <cfRule type="expression" dxfId="197" priority="89" stopIfTrue="1">
      <formula>"esterreur(reference)"</formula>
    </cfRule>
  </conditionalFormatting>
  <conditionalFormatting sqref="K183:K184">
    <cfRule type="expression" dxfId="196" priority="91" stopIfTrue="1">
      <formula>"esterreur(reference)"</formula>
    </cfRule>
  </conditionalFormatting>
  <conditionalFormatting sqref="K287">
    <cfRule type="expression" dxfId="195" priority="75" stopIfTrue="1">
      <formula>"esterreur(reference)"</formula>
    </cfRule>
  </conditionalFormatting>
  <conditionalFormatting sqref="K395">
    <cfRule type="expression" dxfId="194" priority="110" stopIfTrue="1">
      <formula>"esterreur(reference)"</formula>
    </cfRule>
  </conditionalFormatting>
  <conditionalFormatting sqref="K93:L96">
    <cfRule type="expression" dxfId="193" priority="80" stopIfTrue="1">
      <formula>"esterreur(reference)"</formula>
    </cfRule>
  </conditionalFormatting>
  <conditionalFormatting sqref="K99:L100">
    <cfRule type="expression" dxfId="192" priority="100" stopIfTrue="1">
      <formula>"esterreur(reference)"</formula>
    </cfRule>
  </conditionalFormatting>
  <conditionalFormatting sqref="K171:L173">
    <cfRule type="expression" dxfId="191" priority="90" stopIfTrue="1">
      <formula>"esterreur(reference)"</formula>
    </cfRule>
  </conditionalFormatting>
  <conditionalFormatting sqref="K176:L182">
    <cfRule type="expression" dxfId="190" priority="88" stopIfTrue="1">
      <formula>"esterreur(reference)"</formula>
    </cfRule>
  </conditionalFormatting>
  <conditionalFormatting sqref="K185:L196">
    <cfRule type="expression" dxfId="189" priority="84" stopIfTrue="1">
      <formula>"esterreur(reference)"</formula>
    </cfRule>
  </conditionalFormatting>
  <conditionalFormatting sqref="K239:L241">
    <cfRule type="expression" dxfId="188" priority="79" stopIfTrue="1">
      <formula>"esterreur(reference)"</formula>
    </cfRule>
  </conditionalFormatting>
  <conditionalFormatting sqref="K244:L244">
    <cfRule type="expression" dxfId="187" priority="87" stopIfTrue="1">
      <formula>"esterreur(reference)"</formula>
    </cfRule>
  </conditionalFormatting>
  <conditionalFormatting sqref="K247:L247">
    <cfRule type="expression" dxfId="186" priority="86" stopIfTrue="1">
      <formula>"esterreur(reference)"</formula>
    </cfRule>
  </conditionalFormatting>
  <conditionalFormatting sqref="L16:L24">
    <cfRule type="expression" dxfId="185" priority="102" stopIfTrue="1">
      <formula>"esterreur(reference)"</formula>
    </cfRule>
  </conditionalFormatting>
  <conditionalFormatting sqref="L42:L48">
    <cfRule type="expression" dxfId="184" priority="101" stopIfTrue="1">
      <formula>"esterreur(reference)"</formula>
    </cfRule>
  </conditionalFormatting>
  <conditionalFormatting sqref="L75:L82">
    <cfRule type="expression" dxfId="183" priority="70" stopIfTrue="1">
      <formula>"esterreur(reference)"</formula>
    </cfRule>
  </conditionalFormatting>
  <conditionalFormatting sqref="L136:L147">
    <cfRule type="expression" dxfId="182" priority="74" stopIfTrue="1">
      <formula>"esterreur(reference)"</formula>
    </cfRule>
  </conditionalFormatting>
  <conditionalFormatting sqref="L174:L175">
    <cfRule type="expression" dxfId="181" priority="98" stopIfTrue="1">
      <formula>"esterreur(reference)"</formula>
    </cfRule>
  </conditionalFormatting>
  <conditionalFormatting sqref="L198:L209">
    <cfRule type="expression" dxfId="180" priority="97" stopIfTrue="1">
      <formula>"esterreur(reference)"</formula>
    </cfRule>
  </conditionalFormatting>
  <conditionalFormatting sqref="L211:L228">
    <cfRule type="expression" dxfId="179" priority="73" stopIfTrue="1">
      <formula>"esterreur(reference)"</formula>
    </cfRule>
  </conditionalFormatting>
  <conditionalFormatting sqref="L254:L265">
    <cfRule type="expression" dxfId="178" priority="96" stopIfTrue="1">
      <formula>"esterreur(reference)"</formula>
    </cfRule>
  </conditionalFormatting>
  <conditionalFormatting sqref="L267:L284">
    <cfRule type="expression" dxfId="177" priority="72" stopIfTrue="1">
      <formula>"esterreur(reference)"</formula>
    </cfRule>
  </conditionalFormatting>
  <conditionalFormatting sqref="L318:L329">
    <cfRule type="expression" dxfId="176" priority="94" stopIfTrue="1">
      <formula>"esterreur(reference)"</formula>
    </cfRule>
  </conditionalFormatting>
  <conditionalFormatting sqref="L331">
    <cfRule type="expression" dxfId="175" priority="71" stopIfTrue="1">
      <formula>"esterreur(reference)"</formula>
    </cfRule>
  </conditionalFormatting>
  <conditionalFormatting sqref="L334:L343 L345:L348">
    <cfRule type="expression" dxfId="174" priority="93" stopIfTrue="1">
      <formula>"esterreur(reference)"</formula>
    </cfRule>
  </conditionalFormatting>
  <conditionalFormatting sqref="L356:L357 H357:I357 K357 J357:J358 H359:L359">
    <cfRule type="expression" dxfId="173" priority="106" stopIfTrue="1">
      <formula>"esterreur(reference)"</formula>
    </cfRule>
  </conditionalFormatting>
  <conditionalFormatting sqref="L5:Q14">
    <cfRule type="expression" dxfId="172" priority="64" stopIfTrue="1">
      <formula>"esterreur(reference)"</formula>
    </cfRule>
  </conditionalFormatting>
  <conditionalFormatting sqref="L156:Q162">
    <cfRule type="expression" dxfId="171" priority="30" stopIfTrue="1">
      <formula>"esterreur(reference)"</formula>
    </cfRule>
  </conditionalFormatting>
  <conditionalFormatting sqref="M95:M97">
    <cfRule type="expression" dxfId="170" priority="104" stopIfTrue="1">
      <formula>"esterreur(reference)"</formula>
    </cfRule>
  </conditionalFormatting>
  <conditionalFormatting sqref="O13:O14 O16 O18:O24 O83:Q85">
    <cfRule type="expression" dxfId="169" priority="68" stopIfTrue="1">
      <formula>"esterreur(reference)"</formula>
    </cfRule>
  </conditionalFormatting>
  <conditionalFormatting sqref="O172:O196 Q183 O198:P229 O232:Q232 O233:P233">
    <cfRule type="expression" dxfId="168" priority="57" stopIfTrue="1">
      <formula>"esterreur(reference)"</formula>
    </cfRule>
  </conditionalFormatting>
  <conditionalFormatting sqref="O318:P348 O349:Q349 O352:Q352 O353:P353">
    <cfRule type="expression" dxfId="167" priority="41" stopIfTrue="1">
      <formula>"esterreur(reference)"</formula>
    </cfRule>
  </conditionalFormatting>
  <conditionalFormatting sqref="O25:Q72">
    <cfRule type="expression" dxfId="166" priority="27" stopIfTrue="1">
      <formula>"esterreur(reference)"</formula>
    </cfRule>
  </conditionalFormatting>
  <conditionalFormatting sqref="O97:Q98 O122:Q122 O156:P157 O164:Q164 O165:P165">
    <cfRule type="expression" dxfId="165" priority="63" stopIfTrue="1">
      <formula>"esterreur(reference)"</formula>
    </cfRule>
  </conditionalFormatting>
  <conditionalFormatting sqref="O101:Q111">
    <cfRule type="expression" dxfId="164" priority="61" stopIfTrue="1">
      <formula>"esterreur(reference)"</formula>
    </cfRule>
  </conditionalFormatting>
  <conditionalFormatting sqref="O135:Q153">
    <cfRule type="expression" dxfId="163" priority="31" stopIfTrue="1">
      <formula>"esterreur(reference)"</formula>
    </cfRule>
  </conditionalFormatting>
  <conditionalFormatting sqref="O197:Q197">
    <cfRule type="expression" dxfId="162" priority="58" stopIfTrue="1">
      <formula>"esterreur(reference)"</formula>
    </cfRule>
  </conditionalFormatting>
  <conditionalFormatting sqref="O243:Q243 O252:Q253 O254:P284 O285:Q285 O288:Q288 O289:P289">
    <cfRule type="expression" dxfId="161" priority="48" stopIfTrue="1">
      <formula>"esterreur(reference)"</formula>
    </cfRule>
  </conditionalFormatting>
  <conditionalFormatting sqref="O295:Q317">
    <cfRule type="expression" dxfId="160" priority="39" stopIfTrue="1">
      <formula>"esterreur(reference)"</formula>
    </cfRule>
  </conditionalFormatting>
  <conditionalFormatting sqref="O359:Q394">
    <cfRule type="expression" dxfId="159" priority="35" stopIfTrue="1">
      <formula>"esterreur(reference)"</formula>
    </cfRule>
  </conditionalFormatting>
  <conditionalFormatting sqref="O396:Q399">
    <cfRule type="expression" dxfId="158" priority="36" stopIfTrue="1">
      <formula>"esterreur(reference)"</formula>
    </cfRule>
  </conditionalFormatting>
  <conditionalFormatting sqref="P5">
    <cfRule type="expression" dxfId="157" priority="65" stopIfTrue="1">
      <formula>"esterreur(reference)"</formula>
    </cfRule>
  </conditionalFormatting>
  <conditionalFormatting sqref="P175">
    <cfRule type="expression" dxfId="156" priority="52" stopIfTrue="1">
      <formula>"esterreur(reference)"</formula>
    </cfRule>
  </conditionalFormatting>
  <conditionalFormatting sqref="P183:P184">
    <cfRule type="expression" dxfId="155" priority="54" stopIfTrue="1">
      <formula>"esterreur(reference)"</formula>
    </cfRule>
  </conditionalFormatting>
  <conditionalFormatting sqref="P287">
    <cfRule type="expression" dxfId="154" priority="43" stopIfTrue="1">
      <formula>"esterreur(reference)"</formula>
    </cfRule>
  </conditionalFormatting>
  <conditionalFormatting sqref="P395">
    <cfRule type="expression" dxfId="153" priority="37" stopIfTrue="1">
      <formula>"esterreur(reference)"</formula>
    </cfRule>
  </conditionalFormatting>
  <conditionalFormatting sqref="P93:Q96">
    <cfRule type="expression" dxfId="152" priority="60" stopIfTrue="1">
      <formula>"esterreur(reference)"</formula>
    </cfRule>
  </conditionalFormatting>
  <conditionalFormatting sqref="P99:Q100">
    <cfRule type="expression" dxfId="151" priority="62" stopIfTrue="1">
      <formula>"esterreur(reference)"</formula>
    </cfRule>
  </conditionalFormatting>
  <conditionalFormatting sqref="P172:Q173">
    <cfRule type="expression" dxfId="150" priority="53" stopIfTrue="1">
      <formula>"esterreur(reference)"</formula>
    </cfRule>
  </conditionalFormatting>
  <conditionalFormatting sqref="P176:Q182">
    <cfRule type="expression" dxfId="149" priority="51" stopIfTrue="1">
      <formula>"esterreur(reference)"</formula>
    </cfRule>
  </conditionalFormatting>
  <conditionalFormatting sqref="P185:Q196">
    <cfRule type="expression" dxfId="148" priority="50" stopIfTrue="1">
      <formula>"esterreur(reference)"</formula>
    </cfRule>
  </conditionalFormatting>
  <conditionalFormatting sqref="P241:Q241">
    <cfRule type="expression" dxfId="147" priority="44" stopIfTrue="1">
      <formula>"esterreur(reference)"</formula>
    </cfRule>
  </conditionalFormatting>
  <conditionalFormatting sqref="P244:Q244">
    <cfRule type="expression" dxfId="146" priority="46" stopIfTrue="1">
      <formula>"esterreur(reference)"</formula>
    </cfRule>
  </conditionalFormatting>
  <conditionalFormatting sqref="P247:Q247">
    <cfRule type="expression" dxfId="145" priority="45" stopIfTrue="1">
      <formula>"esterreur(reference)"</formula>
    </cfRule>
  </conditionalFormatting>
  <conditionalFormatting sqref="Q16:Q24">
    <cfRule type="expression" dxfId="144" priority="67" stopIfTrue="1">
      <formula>"esterreur(reference)"</formula>
    </cfRule>
  </conditionalFormatting>
  <conditionalFormatting sqref="Q75:Q82">
    <cfRule type="expression" dxfId="143" priority="66" stopIfTrue="1">
      <formula>"esterreur(reference)"</formula>
    </cfRule>
  </conditionalFormatting>
  <conditionalFormatting sqref="Q174:Q175">
    <cfRule type="expression" dxfId="142" priority="56" stopIfTrue="1">
      <formula>"esterreur(reference)"</formula>
    </cfRule>
  </conditionalFormatting>
  <conditionalFormatting sqref="Q198:Q209">
    <cfRule type="expression" dxfId="141" priority="55" stopIfTrue="1">
      <formula>"esterreur(reference)"</formula>
    </cfRule>
  </conditionalFormatting>
  <conditionalFormatting sqref="Q211:Q228">
    <cfRule type="expression" dxfId="140" priority="49" stopIfTrue="1">
      <formula>"esterreur(reference)"</formula>
    </cfRule>
  </conditionalFormatting>
  <conditionalFormatting sqref="Q254:Q265">
    <cfRule type="expression" dxfId="139" priority="47" stopIfTrue="1">
      <formula>"esterreur(reference)"</formula>
    </cfRule>
  </conditionalFormatting>
  <conditionalFormatting sqref="Q267:Q284">
    <cfRule type="expression" dxfId="138" priority="42" stopIfTrue="1">
      <formula>"esterreur(reference)"</formula>
    </cfRule>
  </conditionalFormatting>
  <conditionalFormatting sqref="Q318:Q329">
    <cfRule type="expression" dxfId="137" priority="40" stopIfTrue="1">
      <formula>"esterreur(reference)"</formula>
    </cfRule>
  </conditionalFormatting>
  <conditionalFormatting sqref="Q331:Q348">
    <cfRule type="expression" dxfId="136" priority="38" stopIfTrue="1">
      <formula>"esterreur(reference)"</formula>
    </cfRule>
  </conditionalFormatting>
  <conditionalFormatting sqref="R312">
    <cfRule type="expression" dxfId="135" priority="105" stopIfTrue="1">
      <formula>"esterreur(reference)"</formula>
    </cfRule>
  </conditionalFormatting>
  <conditionalFormatting sqref="S186">
    <cfRule type="expression" dxfId="134" priority="76" stopIfTrue="1">
      <formula>"esterreur(reference)"</formula>
    </cfRule>
  </conditionalFormatting>
  <conditionalFormatting sqref="Z425:Z427">
    <cfRule type="cellIs" dxfId="133" priority="18" operator="greaterThan">
      <formula>0</formula>
    </cfRule>
  </conditionalFormatting>
  <conditionalFormatting sqref="Z432">
    <cfRule type="cellIs" dxfId="132" priority="15" operator="greaterThan">
      <formula>0</formula>
    </cfRule>
  </conditionalFormatting>
  <conditionalFormatting sqref="Z449:Z451">
    <cfRule type="cellIs" dxfId="131" priority="11" operator="greaterThan">
      <formula>0</formula>
    </cfRule>
  </conditionalFormatting>
  <conditionalFormatting sqref="Z463:Z465">
    <cfRule type="cellIs" dxfId="130" priority="7" operator="greaterThan">
      <formula>0</formula>
    </cfRule>
  </conditionalFormatting>
  <conditionalFormatting sqref="Z478:Z479">
    <cfRule type="cellIs" dxfId="129" priority="4" operator="greaterThan">
      <formula>0</formula>
    </cfRule>
  </conditionalFormatting>
  <conditionalFormatting sqref="Z495:Z497">
    <cfRule type="cellIs" dxfId="128" priority="1" operator="greaterThan">
      <formula>0</formula>
    </cfRule>
  </conditionalFormatting>
  <conditionalFormatting sqref="AC425:AC427">
    <cfRule type="cellIs" dxfId="127" priority="19" operator="greaterThan">
      <formula>0</formula>
    </cfRule>
  </conditionalFormatting>
  <conditionalFormatting sqref="AC432">
    <cfRule type="cellIs" dxfId="126" priority="16" operator="greaterThan">
      <formula>0</formula>
    </cfRule>
  </conditionalFormatting>
  <conditionalFormatting sqref="AC449:AC451">
    <cfRule type="cellIs" dxfId="125" priority="12" operator="greaterThan">
      <formula>0</formula>
    </cfRule>
  </conditionalFormatting>
  <conditionalFormatting sqref="AC463:AC465">
    <cfRule type="cellIs" dxfId="124" priority="8" operator="greaterThan">
      <formula>0</formula>
    </cfRule>
  </conditionalFormatting>
  <conditionalFormatting sqref="AC478:AC479">
    <cfRule type="cellIs" dxfId="123" priority="5" operator="greaterThan">
      <formula>0</formula>
    </cfRule>
  </conditionalFormatting>
  <conditionalFormatting sqref="AC495:AC497">
    <cfRule type="cellIs" dxfId="122" priority="2" operator="greaterThan">
      <formula>0</formula>
    </cfRule>
  </conditionalFormatting>
  <conditionalFormatting sqref="AG409:AI418">
    <cfRule type="cellIs" dxfId="121" priority="21" operator="greaterThan">
      <formula>0</formula>
    </cfRule>
  </conditionalFormatting>
  <conditionalFormatting sqref="AH449:AH452">
    <cfRule type="cellIs" dxfId="120" priority="13" operator="greaterThan">
      <formula>0</formula>
    </cfRule>
  </conditionalFormatting>
  <conditionalFormatting sqref="AH461:AH466">
    <cfRule type="cellIs" dxfId="119" priority="9" operator="greaterThan">
      <formula>0</formula>
    </cfRule>
  </conditionalFormatting>
  <conditionalFormatting sqref="AH420:AI448">
    <cfRule type="cellIs" dxfId="118" priority="17" operator="greaterThan">
      <formula>0</formula>
    </cfRule>
  </conditionalFormatting>
  <conditionalFormatting sqref="AH453:AI460 AH467:AI468">
    <cfRule type="cellIs" dxfId="117" priority="22" operator="greaterThan">
      <formula>0</formula>
    </cfRule>
  </conditionalFormatting>
  <conditionalFormatting sqref="AH469:AI477 AH480:AI480">
    <cfRule type="cellIs" dxfId="116" priority="23" operator="lessThan">
      <formula>0</formula>
    </cfRule>
  </conditionalFormatting>
  <conditionalFormatting sqref="AH478:AI479">
    <cfRule type="cellIs" dxfId="115" priority="6" operator="greaterThan">
      <formula>0</formula>
    </cfRule>
  </conditionalFormatting>
  <conditionalFormatting sqref="AH491:AI497">
    <cfRule type="cellIs" dxfId="114" priority="3" operator="greaterThan">
      <formula>0</formula>
    </cfRule>
  </conditionalFormatting>
  <conditionalFormatting sqref="AI449:AI451">
    <cfRule type="cellIs" dxfId="113" priority="14" operator="greaterThan">
      <formula>0</formula>
    </cfRule>
  </conditionalFormatting>
  <conditionalFormatting sqref="AI463:AI465">
    <cfRule type="cellIs" dxfId="112" priority="10" operator="greaterThan">
      <formula>0</formula>
    </cfRule>
  </conditionalFormatting>
  <conditionalFormatting sqref="AO409:AO418">
    <cfRule type="cellIs" dxfId="111" priority="20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B1:BJ704"/>
  <sheetViews>
    <sheetView zoomScale="70" zoomScaleNormal="70" workbookViewId="0">
      <selection sqref="A1:XFD1048576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3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6.5" thickBot="1">
      <c r="B2" s="7"/>
      <c r="C2" s="8"/>
      <c r="D2" s="456"/>
      <c r="E2" s="456"/>
      <c r="F2" s="456"/>
      <c r="G2" s="456"/>
      <c r="H2" s="456"/>
      <c r="I2" s="456"/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2:40" ht="21" thickTop="1">
      <c r="B3" s="11"/>
      <c r="C3" s="12"/>
      <c r="D3" s="511"/>
      <c r="E3" s="512"/>
      <c r="F3" s="513"/>
      <c r="G3" s="514"/>
      <c r="H3" s="512"/>
      <c r="I3" s="513"/>
      <c r="J3" s="514"/>
      <c r="K3" s="512"/>
      <c r="L3" s="513"/>
      <c r="M3" s="514"/>
      <c r="N3" s="513"/>
      <c r="O3" s="511"/>
      <c r="P3" s="512"/>
      <c r="Q3" s="513"/>
      <c r="R3" s="509"/>
      <c r="S3" s="510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2:40" ht="20.25">
      <c r="B4" s="11"/>
      <c r="C4" s="14"/>
      <c r="D4" s="15"/>
      <c r="E4" s="16"/>
      <c r="F4" s="17"/>
      <c r="G4" s="18"/>
      <c r="H4" s="16"/>
      <c r="I4" s="17"/>
      <c r="J4" s="18"/>
      <c r="K4" s="16"/>
      <c r="L4" s="17"/>
      <c r="M4" s="18"/>
      <c r="N4" s="17"/>
      <c r="O4" s="16"/>
      <c r="P4" s="16"/>
      <c r="Q4" s="17"/>
      <c r="R4" s="18"/>
      <c r="S4" s="19"/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2:40" ht="20.25">
      <c r="B5" s="11"/>
      <c r="C5" s="20"/>
      <c r="D5" s="21"/>
      <c r="E5" s="21"/>
      <c r="F5" s="22"/>
      <c r="G5" s="23"/>
      <c r="H5" s="21"/>
      <c r="I5" s="24"/>
      <c r="J5" s="23"/>
      <c r="K5" s="25"/>
      <c r="L5" s="22"/>
      <c r="M5" s="26"/>
      <c r="N5" s="27"/>
      <c r="O5" s="23"/>
      <c r="P5" s="25"/>
      <c r="Q5" s="22"/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2:40" ht="20.25">
      <c r="B6" s="11"/>
      <c r="C6" s="29"/>
      <c r="D6" s="30"/>
      <c r="E6" s="30"/>
      <c r="F6" s="30"/>
      <c r="G6" s="31"/>
      <c r="H6" s="30"/>
      <c r="I6" s="30"/>
      <c r="J6" s="31"/>
      <c r="K6" s="30"/>
      <c r="L6" s="32"/>
      <c r="M6" s="31"/>
      <c r="N6" s="33"/>
      <c r="O6" s="31"/>
      <c r="P6" s="30"/>
      <c r="Q6" s="32"/>
      <c r="R6" s="31"/>
      <c r="S6" s="34"/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2:40" ht="20.25">
      <c r="B7" s="11"/>
      <c r="C7" s="29"/>
      <c r="D7" s="30"/>
      <c r="E7" s="30"/>
      <c r="F7" s="30"/>
      <c r="G7" s="31"/>
      <c r="H7" s="30"/>
      <c r="I7" s="30"/>
      <c r="J7" s="31"/>
      <c r="K7" s="30"/>
      <c r="L7" s="32"/>
      <c r="M7" s="31"/>
      <c r="N7" s="33"/>
      <c r="O7" s="31"/>
      <c r="P7" s="30"/>
      <c r="Q7" s="32"/>
      <c r="R7" s="31"/>
      <c r="S7" s="34"/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2:40" ht="20.25" hidden="1">
      <c r="B8" s="11"/>
      <c r="C8" s="29"/>
      <c r="D8" s="30"/>
      <c r="E8" s="30"/>
      <c r="F8" s="30"/>
      <c r="G8" s="31"/>
      <c r="H8" s="30"/>
      <c r="I8" s="30"/>
      <c r="J8" s="31"/>
      <c r="K8" s="30"/>
      <c r="L8" s="32"/>
      <c r="M8" s="31"/>
      <c r="N8" s="33"/>
      <c r="O8" s="31"/>
      <c r="P8" s="30"/>
      <c r="Q8" s="32"/>
      <c r="R8" s="31"/>
      <c r="S8" s="34"/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2:40" ht="20.25" hidden="1">
      <c r="B9" s="11"/>
      <c r="C9" s="29"/>
      <c r="D9" s="30"/>
      <c r="E9" s="30"/>
      <c r="F9" s="30"/>
      <c r="G9" s="31"/>
      <c r="H9" s="30"/>
      <c r="I9" s="30"/>
      <c r="J9" s="31"/>
      <c r="K9" s="30"/>
      <c r="L9" s="32"/>
      <c r="M9" s="31"/>
      <c r="N9" s="33"/>
      <c r="O9" s="31"/>
      <c r="P9" s="30"/>
      <c r="Q9" s="32"/>
      <c r="R9" s="31"/>
      <c r="S9" s="34"/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2:40" ht="20.25" hidden="1">
      <c r="B10" s="11"/>
      <c r="C10" s="29"/>
      <c r="D10" s="30"/>
      <c r="E10" s="30"/>
      <c r="F10" s="30"/>
      <c r="G10" s="31"/>
      <c r="H10" s="30"/>
      <c r="I10" s="30"/>
      <c r="J10" s="31"/>
      <c r="K10" s="30"/>
      <c r="L10" s="32"/>
      <c r="M10" s="31"/>
      <c r="N10" s="33"/>
      <c r="O10" s="31"/>
      <c r="P10" s="30"/>
      <c r="Q10" s="32"/>
      <c r="R10" s="31"/>
      <c r="S10" s="34"/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2:40" ht="20.25" hidden="1">
      <c r="B11" s="11"/>
      <c r="C11" s="29"/>
      <c r="D11" s="30"/>
      <c r="E11" s="30"/>
      <c r="F11" s="30"/>
      <c r="G11" s="31"/>
      <c r="H11" s="30"/>
      <c r="I11" s="30"/>
      <c r="J11" s="31"/>
      <c r="K11" s="30"/>
      <c r="L11" s="32"/>
      <c r="M11" s="31"/>
      <c r="N11" s="33"/>
      <c r="O11" s="31"/>
      <c r="P11" s="30"/>
      <c r="Q11" s="32"/>
      <c r="R11" s="31"/>
      <c r="S11" s="34"/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2:40" ht="20.25" hidden="1">
      <c r="B12" s="11"/>
      <c r="C12" s="29"/>
      <c r="D12" s="30"/>
      <c r="E12" s="30"/>
      <c r="F12" s="30"/>
      <c r="G12" s="31"/>
      <c r="H12" s="30"/>
      <c r="I12" s="30"/>
      <c r="J12" s="31"/>
      <c r="K12" s="30"/>
      <c r="L12" s="32"/>
      <c r="M12" s="31"/>
      <c r="N12" s="33"/>
      <c r="O12" s="31"/>
      <c r="P12" s="30"/>
      <c r="Q12" s="32"/>
      <c r="R12" s="31"/>
      <c r="S12" s="34"/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2:40" ht="20.25">
      <c r="B13" s="11"/>
      <c r="C13" s="35"/>
      <c r="D13" s="36"/>
      <c r="E13" s="36"/>
      <c r="F13" s="37"/>
      <c r="G13" s="38"/>
      <c r="H13" s="36"/>
      <c r="I13" s="37"/>
      <c r="J13" s="38"/>
      <c r="K13" s="36"/>
      <c r="L13" s="37"/>
      <c r="M13" s="38"/>
      <c r="N13" s="37"/>
      <c r="O13" s="38"/>
      <c r="P13" s="36"/>
      <c r="Q13" s="37"/>
      <c r="R13" s="38"/>
      <c r="S13" s="39"/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2:40" ht="20.25">
      <c r="B14" s="11"/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/>
      <c r="N14" s="43"/>
      <c r="O14" s="41"/>
      <c r="P14" s="30"/>
      <c r="Q14" s="40"/>
      <c r="R14" s="42"/>
      <c r="S14" s="44"/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2:40" ht="20.25">
      <c r="B15" s="11"/>
      <c r="C15" s="45"/>
      <c r="D15" s="25"/>
      <c r="E15" s="25"/>
      <c r="F15" s="22"/>
      <c r="G15" s="46"/>
      <c r="H15" s="47"/>
      <c r="I15" s="48"/>
      <c r="J15" s="49"/>
      <c r="K15" s="50"/>
      <c r="L15" s="50"/>
      <c r="M15" s="51"/>
      <c r="N15" s="48"/>
      <c r="O15" s="49"/>
      <c r="P15" s="50"/>
      <c r="Q15" s="50"/>
      <c r="R15" s="51"/>
      <c r="S15" s="52"/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2:40" ht="20.25">
      <c r="B16" s="11"/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2:40" ht="20.25">
      <c r="B17" s="11"/>
      <c r="C17" s="53"/>
      <c r="D17" s="30"/>
      <c r="E17" s="30"/>
      <c r="F17" s="30"/>
      <c r="G17" s="31"/>
      <c r="H17" s="30"/>
      <c r="I17" s="30"/>
      <c r="J17" s="51"/>
      <c r="K17" s="30"/>
      <c r="L17" s="33"/>
      <c r="M17" s="51"/>
      <c r="N17" s="33"/>
      <c r="O17" s="51"/>
      <c r="P17" s="30"/>
      <c r="Q17" s="33"/>
      <c r="R17" s="31"/>
      <c r="S17" s="34"/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2:40" ht="20.25">
      <c r="B18" s="11"/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2:40" ht="20.25">
      <c r="B19" s="11"/>
      <c r="C19" s="45"/>
      <c r="D19" s="30"/>
      <c r="E19" s="30"/>
      <c r="F19" s="30"/>
      <c r="G19" s="31"/>
      <c r="H19" s="30"/>
      <c r="I19" s="30"/>
      <c r="J19" s="46"/>
      <c r="K19" s="30"/>
      <c r="L19" s="33"/>
      <c r="M19" s="31"/>
      <c r="N19" s="33"/>
      <c r="O19" s="46"/>
      <c r="P19" s="30"/>
      <c r="Q19" s="33"/>
      <c r="R19" s="31"/>
      <c r="S19" s="34"/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2:40" ht="20.25">
      <c r="B20" s="11"/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2:40" ht="20.25">
      <c r="B21" s="11"/>
      <c r="C21" s="29"/>
      <c r="D21" s="30"/>
      <c r="E21" s="30"/>
      <c r="F21" s="30"/>
      <c r="G21" s="41"/>
      <c r="H21" s="30"/>
      <c r="I21" s="30"/>
      <c r="J21" s="31"/>
      <c r="K21" s="30"/>
      <c r="L21" s="33"/>
      <c r="M21" s="31"/>
      <c r="N21" s="33"/>
      <c r="O21" s="31"/>
      <c r="P21" s="30"/>
      <c r="Q21" s="33"/>
      <c r="R21" s="31"/>
      <c r="S21" s="34"/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2:40" ht="20.25">
      <c r="B22" s="11"/>
      <c r="C22" s="29"/>
      <c r="D22" s="30"/>
      <c r="E22" s="30"/>
      <c r="F22" s="30"/>
      <c r="G22" s="41"/>
      <c r="H22" s="30"/>
      <c r="I22" s="30"/>
      <c r="J22" s="31"/>
      <c r="K22" s="30"/>
      <c r="L22" s="33"/>
      <c r="M22" s="31"/>
      <c r="N22" s="33"/>
      <c r="O22" s="31"/>
      <c r="P22" s="30"/>
      <c r="Q22" s="33"/>
      <c r="R22" s="31"/>
      <c r="S22" s="34"/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2:40" ht="20.25">
      <c r="B23" s="11"/>
      <c r="C23" s="29"/>
      <c r="D23" s="30"/>
      <c r="E23" s="30"/>
      <c r="F23" s="30"/>
      <c r="G23" s="41"/>
      <c r="H23" s="30"/>
      <c r="I23" s="30"/>
      <c r="J23" s="31"/>
      <c r="K23" s="30"/>
      <c r="L23" s="33"/>
      <c r="M23" s="51"/>
      <c r="N23" s="33"/>
      <c r="O23" s="31"/>
      <c r="P23" s="30"/>
      <c r="Q23" s="33"/>
      <c r="R23" s="31"/>
      <c r="S23" s="34"/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2:40" ht="20.25">
      <c r="B24" s="11"/>
      <c r="C24" s="35"/>
      <c r="D24" s="36"/>
      <c r="E24" s="36"/>
      <c r="F24" s="37"/>
      <c r="G24" s="38"/>
      <c r="H24" s="36"/>
      <c r="I24" s="37"/>
      <c r="J24" s="38"/>
      <c r="K24" s="36"/>
      <c r="L24" s="37"/>
      <c r="M24" s="58"/>
      <c r="N24" s="37"/>
      <c r="O24" s="38"/>
      <c r="P24" s="36"/>
      <c r="Q24" s="37"/>
      <c r="R24" s="56"/>
      <c r="S24" s="39"/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2:40" ht="20.25">
      <c r="B25" s="11"/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/>
      <c r="O25" s="41"/>
      <c r="P25" s="13"/>
      <c r="Q25" s="59"/>
      <c r="R25" s="60"/>
      <c r="S25" s="44"/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2:40" ht="21" thickBot="1">
      <c r="B26" s="11"/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2:40" ht="21" thickTop="1">
      <c r="B27" s="11"/>
      <c r="C27" s="62"/>
      <c r="D27" s="63"/>
      <c r="E27" s="64"/>
      <c r="F27" s="65"/>
      <c r="G27" s="66"/>
      <c r="H27" s="67"/>
      <c r="I27" s="65"/>
      <c r="J27" s="66"/>
      <c r="K27" s="67"/>
      <c r="L27" s="65"/>
      <c r="M27" s="66"/>
      <c r="N27" s="65"/>
      <c r="O27" s="66"/>
      <c r="P27" s="67"/>
      <c r="Q27" s="65"/>
      <c r="R27" s="66"/>
      <c r="S27" s="68"/>
      <c r="T27" s="13"/>
      <c r="U27" s="13"/>
      <c r="V27" s="11"/>
      <c r="W27" s="497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2:40" ht="21" thickBot="1">
      <c r="B28" s="11"/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/>
      <c r="N28" s="74"/>
      <c r="O28" s="72"/>
      <c r="P28" s="70"/>
      <c r="Q28" s="71"/>
      <c r="R28" s="73"/>
      <c r="S28" s="75"/>
      <c r="T28" s="13"/>
      <c r="U28" s="13"/>
      <c r="V28" s="11"/>
      <c r="W28" s="497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2:40" ht="21" thickTop="1">
      <c r="B29" s="11"/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2:40" ht="20.25">
      <c r="B30" s="11"/>
      <c r="C30" s="79"/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2:40" ht="20.25">
      <c r="B31" s="11"/>
      <c r="C31" s="29"/>
      <c r="D31" s="148"/>
      <c r="E31" s="82"/>
      <c r="F31" s="30"/>
      <c r="G31" s="157"/>
      <c r="H31" s="82"/>
      <c r="I31" s="30"/>
      <c r="J31" s="157"/>
      <c r="K31" s="82"/>
      <c r="L31" s="30"/>
      <c r="M31" s="41"/>
      <c r="N31" s="59"/>
      <c r="O31" s="157"/>
      <c r="P31" s="82"/>
      <c r="Q31" s="33"/>
      <c r="R31" s="41"/>
      <c r="S31" s="85"/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2:40" ht="20.25">
      <c r="B32" s="11"/>
      <c r="C32" s="86"/>
      <c r="D32" s="218"/>
      <c r="E32" s="88"/>
      <c r="F32" s="22"/>
      <c r="G32" s="162"/>
      <c r="H32" s="90"/>
      <c r="I32" s="22"/>
      <c r="J32" s="162"/>
      <c r="K32" s="88"/>
      <c r="L32" s="22"/>
      <c r="M32" s="23"/>
      <c r="N32" s="91"/>
      <c r="O32" s="162"/>
      <c r="P32" s="88"/>
      <c r="Q32" s="22"/>
      <c r="R32" s="23"/>
      <c r="S32" s="92"/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2:40" ht="20.25">
      <c r="B33" s="11"/>
      <c r="C33" s="29"/>
      <c r="D33" s="81"/>
      <c r="E33" s="82"/>
      <c r="F33" s="30"/>
      <c r="G33" s="83"/>
      <c r="H33" s="82"/>
      <c r="I33" s="30"/>
      <c r="J33" s="41"/>
      <c r="K33" s="82"/>
      <c r="L33" s="30"/>
      <c r="M33" s="41"/>
      <c r="N33" s="59"/>
      <c r="O33" s="41"/>
      <c r="P33" s="82"/>
      <c r="Q33" s="33"/>
      <c r="R33" s="41"/>
      <c r="S33" s="85"/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2:40" ht="20.25">
      <c r="B34" s="11"/>
      <c r="C34" s="29"/>
      <c r="D34" s="81"/>
      <c r="E34" s="82"/>
      <c r="F34" s="30"/>
      <c r="G34" s="83"/>
      <c r="H34" s="82"/>
      <c r="I34" s="30"/>
      <c r="J34" s="41"/>
      <c r="K34" s="82"/>
      <c r="L34" s="30"/>
      <c r="M34" s="41"/>
      <c r="N34" s="59"/>
      <c r="O34" s="41"/>
      <c r="P34" s="82"/>
      <c r="Q34" s="33"/>
      <c r="R34" s="41"/>
      <c r="S34" s="85"/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2:40" ht="20.25">
      <c r="B35" s="11"/>
      <c r="C35" s="86"/>
      <c r="D35" s="87"/>
      <c r="E35" s="88"/>
      <c r="F35" s="22"/>
      <c r="G35" s="89"/>
      <c r="H35" s="90"/>
      <c r="I35" s="22"/>
      <c r="J35" s="23"/>
      <c r="K35" s="88"/>
      <c r="L35" s="22"/>
      <c r="M35" s="23"/>
      <c r="N35" s="91"/>
      <c r="O35" s="23"/>
      <c r="P35" s="88"/>
      <c r="Q35" s="33"/>
      <c r="R35" s="23"/>
      <c r="S35" s="92"/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2:40" ht="20.25">
      <c r="B36" s="11"/>
      <c r="C36" s="29"/>
      <c r="D36" s="81"/>
      <c r="E36" s="82"/>
      <c r="F36" s="30"/>
      <c r="G36" s="83"/>
      <c r="H36" s="82"/>
      <c r="I36" s="30"/>
      <c r="J36" s="41"/>
      <c r="K36" s="82"/>
      <c r="L36" s="459"/>
      <c r="M36" s="13"/>
      <c r="N36" s="59"/>
      <c r="O36" s="41"/>
      <c r="P36" s="82"/>
      <c r="Q36" s="55"/>
      <c r="R36" s="41"/>
      <c r="S36" s="85"/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2:40" ht="20.25">
      <c r="B37" s="11"/>
      <c r="C37" s="29"/>
      <c r="D37" s="81"/>
      <c r="E37" s="82"/>
      <c r="F37" s="30"/>
      <c r="G37" s="83"/>
      <c r="H37" s="82"/>
      <c r="I37" s="30"/>
      <c r="J37" s="41"/>
      <c r="K37" s="82"/>
      <c r="L37" s="460"/>
      <c r="M37" s="13"/>
      <c r="N37" s="59"/>
      <c r="O37" s="41"/>
      <c r="P37" s="82"/>
      <c r="Q37" s="33"/>
      <c r="R37" s="41"/>
      <c r="S37" s="85"/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2:40" ht="20.25" hidden="1">
      <c r="B38" s="11"/>
      <c r="C38" s="29"/>
      <c r="D38" s="81"/>
      <c r="E38" s="82"/>
      <c r="F38" s="30"/>
      <c r="G38" s="83"/>
      <c r="H38" s="82"/>
      <c r="I38" s="30"/>
      <c r="J38" s="41"/>
      <c r="K38" s="82"/>
      <c r="L38" s="460"/>
      <c r="M38" s="13"/>
      <c r="N38" s="59"/>
      <c r="O38" s="41"/>
      <c r="P38" s="82"/>
      <c r="Q38" s="33"/>
      <c r="R38" s="41"/>
      <c r="S38" s="85"/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2:40" ht="20.25" hidden="1">
      <c r="B39" s="11"/>
      <c r="C39" s="29"/>
      <c r="D39" s="81"/>
      <c r="E39" s="82"/>
      <c r="F39" s="30"/>
      <c r="G39" s="83"/>
      <c r="H39" s="82"/>
      <c r="I39" s="30"/>
      <c r="J39" s="41"/>
      <c r="K39" s="82"/>
      <c r="L39" s="460"/>
      <c r="M39" s="13"/>
      <c r="N39" s="59"/>
      <c r="O39" s="41"/>
      <c r="P39" s="82"/>
      <c r="Q39" s="33"/>
      <c r="R39" s="41"/>
      <c r="S39" s="85"/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2:40" ht="20.25" hidden="1">
      <c r="B40" s="11"/>
      <c r="C40" s="29"/>
      <c r="D40" s="81"/>
      <c r="E40" s="82"/>
      <c r="F40" s="30"/>
      <c r="G40" s="83"/>
      <c r="H40" s="82"/>
      <c r="I40" s="30"/>
      <c r="J40" s="41"/>
      <c r="K40" s="82"/>
      <c r="L40" s="461"/>
      <c r="M40" s="13"/>
      <c r="N40" s="59"/>
      <c r="O40" s="41"/>
      <c r="P40" s="82"/>
      <c r="Q40" s="33"/>
      <c r="R40" s="41"/>
      <c r="S40" s="85"/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2:40" ht="20.25">
      <c r="B41" s="11"/>
      <c r="C41" s="93"/>
      <c r="D41" s="94"/>
      <c r="E41" s="95"/>
      <c r="F41" s="96"/>
      <c r="G41" s="97"/>
      <c r="H41" s="95"/>
      <c r="I41" s="96"/>
      <c r="J41" s="97"/>
      <c r="K41" s="95"/>
      <c r="L41" s="96"/>
      <c r="M41" s="98"/>
      <c r="N41" s="96"/>
      <c r="O41" s="97"/>
      <c r="P41" s="95"/>
      <c r="Q41" s="99"/>
      <c r="R41" s="100"/>
      <c r="S41" s="101"/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2:40" ht="20.25">
      <c r="B42" s="11"/>
      <c r="C42" s="102"/>
      <c r="D42" s="13"/>
      <c r="E42" s="13"/>
      <c r="F42" s="30"/>
      <c r="G42" s="41"/>
      <c r="H42" s="13"/>
      <c r="I42" s="30"/>
      <c r="J42" s="41"/>
      <c r="K42" s="13"/>
      <c r="L42" s="33"/>
      <c r="M42" s="41"/>
      <c r="N42" s="59"/>
      <c r="O42" s="41"/>
      <c r="P42" s="13"/>
      <c r="Q42" s="33"/>
      <c r="R42" s="41"/>
      <c r="S42" s="85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2:40" ht="20.25">
      <c r="B43" s="11"/>
      <c r="C43" s="103"/>
      <c r="D43" s="81"/>
      <c r="E43" s="13"/>
      <c r="F43" s="22"/>
      <c r="G43" s="83"/>
      <c r="H43" s="13"/>
      <c r="I43" s="22"/>
      <c r="J43" s="41"/>
      <c r="K43" s="13"/>
      <c r="L43" s="33"/>
      <c r="M43" s="41"/>
      <c r="N43" s="59"/>
      <c r="O43" s="41"/>
      <c r="P43" s="13"/>
      <c r="Q43" s="33"/>
      <c r="R43" s="41"/>
      <c r="S43" s="85"/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2:40" ht="20.25">
      <c r="B44" s="11"/>
      <c r="C44" s="102"/>
      <c r="D44" s="104"/>
      <c r="E44" s="105"/>
      <c r="F44" s="30"/>
      <c r="G44" s="106"/>
      <c r="H44" s="105"/>
      <c r="I44" s="30"/>
      <c r="J44" s="107"/>
      <c r="K44" s="105"/>
      <c r="L44" s="108"/>
      <c r="M44" s="107"/>
      <c r="N44" s="109"/>
      <c r="O44" s="107"/>
      <c r="P44" s="105"/>
      <c r="Q44" s="108"/>
      <c r="R44" s="107"/>
      <c r="S44" s="110"/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2:40" ht="20.25" hidden="1">
      <c r="B45" s="11"/>
      <c r="C45" s="102"/>
      <c r="D45" s="81"/>
      <c r="E45" s="13"/>
      <c r="F45" s="30"/>
      <c r="G45" s="83"/>
      <c r="H45" s="13"/>
      <c r="I45" s="30"/>
      <c r="J45" s="41"/>
      <c r="K45" s="13"/>
      <c r="L45" s="33"/>
      <c r="M45" s="41"/>
      <c r="N45" s="59"/>
      <c r="O45" s="41"/>
      <c r="P45" s="13"/>
      <c r="Q45" s="33"/>
      <c r="R45" s="41"/>
      <c r="S45" s="85"/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2:40" ht="20.25" hidden="1">
      <c r="B46" s="11"/>
      <c r="C46" s="102"/>
      <c r="D46" s="81"/>
      <c r="E46" s="13"/>
      <c r="F46" s="30"/>
      <c r="G46" s="83"/>
      <c r="H46" s="13"/>
      <c r="I46" s="30"/>
      <c r="J46" s="41"/>
      <c r="K46" s="13"/>
      <c r="L46" s="33"/>
      <c r="M46" s="41"/>
      <c r="N46" s="59"/>
      <c r="O46" s="41"/>
      <c r="P46" s="13"/>
      <c r="Q46" s="33"/>
      <c r="R46" s="41"/>
      <c r="S46" s="85"/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2:40" ht="20.25" hidden="1">
      <c r="B47" s="11"/>
      <c r="C47" s="102"/>
      <c r="D47" s="81"/>
      <c r="E47" s="13"/>
      <c r="F47" s="30"/>
      <c r="G47" s="83"/>
      <c r="H47" s="13"/>
      <c r="I47" s="30"/>
      <c r="J47" s="41"/>
      <c r="K47" s="13"/>
      <c r="L47" s="33"/>
      <c r="M47" s="41"/>
      <c r="N47" s="59"/>
      <c r="O47" s="41"/>
      <c r="P47" s="13"/>
      <c r="Q47" s="33"/>
      <c r="R47" s="41"/>
      <c r="S47" s="85"/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2:40" ht="20.25" hidden="1">
      <c r="B48" s="11"/>
      <c r="C48" s="102"/>
      <c r="D48" s="81"/>
      <c r="E48" s="13"/>
      <c r="F48" s="30"/>
      <c r="G48" s="83"/>
      <c r="H48" s="13"/>
      <c r="I48" s="30"/>
      <c r="J48" s="41"/>
      <c r="K48" s="13"/>
      <c r="L48" s="33"/>
      <c r="M48" s="41"/>
      <c r="N48" s="59"/>
      <c r="O48" s="41"/>
      <c r="P48" s="13"/>
      <c r="Q48" s="33"/>
      <c r="R48" s="41"/>
      <c r="S48" s="85"/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2:40" ht="20.25">
      <c r="B49" s="11"/>
      <c r="C49" s="103"/>
      <c r="D49" s="81"/>
      <c r="E49" s="13"/>
      <c r="F49" s="22"/>
      <c r="G49" s="83"/>
      <c r="H49" s="13"/>
      <c r="I49" s="22"/>
      <c r="J49" s="41"/>
      <c r="K49" s="13"/>
      <c r="L49" s="22"/>
      <c r="M49" s="41"/>
      <c r="N49" s="59"/>
      <c r="O49" s="41"/>
      <c r="P49" s="13"/>
      <c r="Q49" s="22"/>
      <c r="R49" s="41"/>
      <c r="S49" s="85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2:40" ht="20.25">
      <c r="B50" s="11"/>
      <c r="C50" s="102"/>
      <c r="D50" s="104"/>
      <c r="E50" s="105"/>
      <c r="F50" s="30"/>
      <c r="G50" s="106"/>
      <c r="H50" s="105"/>
      <c r="I50" s="30"/>
      <c r="J50" s="107"/>
      <c r="K50" s="105"/>
      <c r="L50" s="33"/>
      <c r="M50" s="107"/>
      <c r="N50" s="109"/>
      <c r="O50" s="107"/>
      <c r="P50" s="105"/>
      <c r="Q50" s="33"/>
      <c r="R50" s="107"/>
      <c r="S50" s="110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2:40" ht="20.25">
      <c r="B51" s="11"/>
      <c r="C51" s="102"/>
      <c r="D51" s="81"/>
      <c r="E51" s="13"/>
      <c r="F51" s="30"/>
      <c r="G51" s="83"/>
      <c r="H51" s="13"/>
      <c r="I51" s="30"/>
      <c r="J51" s="41"/>
      <c r="K51" s="13"/>
      <c r="L51" s="33"/>
      <c r="M51" s="41"/>
      <c r="N51" s="59"/>
      <c r="O51" s="41"/>
      <c r="P51" s="13"/>
      <c r="Q51" s="33"/>
      <c r="R51" s="41"/>
      <c r="S51" s="85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2:40" ht="20.25">
      <c r="B52" s="11"/>
      <c r="C52" s="102"/>
      <c r="D52" s="81"/>
      <c r="E52" s="13"/>
      <c r="F52" s="30"/>
      <c r="G52" s="83"/>
      <c r="H52" s="13"/>
      <c r="I52" s="30"/>
      <c r="J52" s="41"/>
      <c r="K52" s="13"/>
      <c r="L52" s="33"/>
      <c r="M52" s="41"/>
      <c r="N52" s="59"/>
      <c r="O52" s="41"/>
      <c r="P52" s="13"/>
      <c r="Q52" s="33"/>
      <c r="R52" s="41"/>
      <c r="S52" s="85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2:40" ht="20.25" hidden="1">
      <c r="B53" s="11"/>
      <c r="C53" s="29"/>
      <c r="D53" s="87"/>
      <c r="E53" s="111"/>
      <c r="F53" s="30"/>
      <c r="G53" s="89"/>
      <c r="H53" s="111"/>
      <c r="I53" s="30"/>
      <c r="J53" s="23"/>
      <c r="K53" s="111"/>
      <c r="L53" s="33"/>
      <c r="M53" s="23"/>
      <c r="N53" s="91"/>
      <c r="O53" s="23"/>
      <c r="P53" s="111"/>
      <c r="Q53" s="33"/>
      <c r="R53" s="23"/>
      <c r="S53" s="92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2:40" ht="20.25">
      <c r="B54" s="11"/>
      <c r="C54" s="93"/>
      <c r="D54" s="94"/>
      <c r="E54" s="95"/>
      <c r="F54" s="96"/>
      <c r="G54" s="97"/>
      <c r="H54" s="95"/>
      <c r="I54" s="96"/>
      <c r="J54" s="97"/>
      <c r="K54" s="95"/>
      <c r="L54" s="96"/>
      <c r="M54" s="100"/>
      <c r="N54" s="96"/>
      <c r="O54" s="97"/>
      <c r="P54" s="95"/>
      <c r="Q54" s="96"/>
      <c r="R54" s="100"/>
      <c r="S54" s="101"/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2:40" ht="20.25" hidden="1">
      <c r="B55" s="11"/>
      <c r="C55" s="29"/>
      <c r="D55" s="81"/>
      <c r="E55" s="13"/>
      <c r="F55" s="30"/>
      <c r="G55" s="83"/>
      <c r="H55" s="13"/>
      <c r="I55" s="30"/>
      <c r="J55" s="41"/>
      <c r="K55" s="13"/>
      <c r="L55" s="33"/>
      <c r="M55" s="41"/>
      <c r="N55" s="59"/>
      <c r="O55" s="41"/>
      <c r="P55" s="13"/>
      <c r="Q55" s="33"/>
      <c r="R55" s="41"/>
      <c r="S55" s="85"/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2:40" ht="20.25" hidden="1">
      <c r="B56" s="11"/>
      <c r="C56" s="29"/>
      <c r="D56" s="81"/>
      <c r="E56" s="13"/>
      <c r="F56" s="30"/>
      <c r="G56" s="83"/>
      <c r="H56" s="13"/>
      <c r="I56" s="30"/>
      <c r="J56" s="41"/>
      <c r="K56" s="13"/>
      <c r="L56" s="33"/>
      <c r="M56" s="41"/>
      <c r="N56" s="59"/>
      <c r="O56" s="41"/>
      <c r="P56" s="13"/>
      <c r="Q56" s="33"/>
      <c r="R56" s="41"/>
      <c r="S56" s="85"/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2:40" ht="20.25">
      <c r="B57" s="11"/>
      <c r="C57" s="86"/>
      <c r="D57" s="87"/>
      <c r="E57" s="111"/>
      <c r="F57" s="22"/>
      <c r="G57" s="89"/>
      <c r="H57" s="111"/>
      <c r="I57" s="22"/>
      <c r="J57" s="23"/>
      <c r="K57" s="111"/>
      <c r="L57" s="22"/>
      <c r="M57" s="23"/>
      <c r="N57" s="91"/>
      <c r="O57" s="23"/>
      <c r="P57" s="111"/>
      <c r="Q57" s="22"/>
      <c r="R57" s="23"/>
      <c r="S57" s="92"/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2:40" ht="20.25">
      <c r="B58" s="11"/>
      <c r="C58" s="29"/>
      <c r="D58" s="81"/>
      <c r="E58" s="13"/>
      <c r="F58" s="30"/>
      <c r="G58" s="83"/>
      <c r="H58" s="13"/>
      <c r="I58" s="30"/>
      <c r="J58" s="41"/>
      <c r="K58" s="13"/>
      <c r="L58" s="33"/>
      <c r="M58" s="41"/>
      <c r="N58" s="59"/>
      <c r="O58" s="41"/>
      <c r="P58" s="13"/>
      <c r="Q58" s="33"/>
      <c r="R58" s="41"/>
      <c r="S58" s="85"/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2:40" ht="20.25">
      <c r="B59" s="11"/>
      <c r="C59" s="29"/>
      <c r="D59" s="81"/>
      <c r="E59" s="13"/>
      <c r="F59" s="30"/>
      <c r="G59" s="83"/>
      <c r="H59" s="13"/>
      <c r="I59" s="30"/>
      <c r="J59" s="41"/>
      <c r="K59" s="13"/>
      <c r="L59" s="33"/>
      <c r="M59" s="41"/>
      <c r="N59" s="59"/>
      <c r="O59" s="41"/>
      <c r="P59" s="13"/>
      <c r="Q59" s="33"/>
      <c r="R59" s="41"/>
      <c r="S59" s="85"/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2:40" ht="20.25">
      <c r="B60" s="11"/>
      <c r="C60" s="86"/>
      <c r="D60" s="87"/>
      <c r="E60" s="111"/>
      <c r="F60" s="22"/>
      <c r="G60" s="89"/>
      <c r="H60" s="111"/>
      <c r="I60" s="22"/>
      <c r="J60" s="23"/>
      <c r="K60" s="111"/>
      <c r="L60" s="22"/>
      <c r="M60" s="23"/>
      <c r="N60" s="91"/>
      <c r="O60" s="23"/>
      <c r="P60" s="111"/>
      <c r="Q60" s="22"/>
      <c r="R60" s="23"/>
      <c r="S60" s="92"/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2:40" ht="20.25">
      <c r="B61" s="11"/>
      <c r="C61" s="29"/>
      <c r="D61" s="81"/>
      <c r="E61" s="13"/>
      <c r="F61" s="30"/>
      <c r="G61" s="83"/>
      <c r="H61" s="13"/>
      <c r="I61" s="30"/>
      <c r="J61" s="41"/>
      <c r="K61" s="13"/>
      <c r="L61" s="33"/>
      <c r="M61" s="41"/>
      <c r="N61" s="59"/>
      <c r="O61" s="41"/>
      <c r="P61" s="13"/>
      <c r="Q61" s="33"/>
      <c r="R61" s="41"/>
      <c r="S61" s="85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2:40" ht="20.25">
      <c r="B62" s="11"/>
      <c r="C62" s="29"/>
      <c r="D62" s="81"/>
      <c r="E62" s="13"/>
      <c r="F62" s="30"/>
      <c r="G62" s="83"/>
      <c r="H62" s="13"/>
      <c r="I62" s="30"/>
      <c r="J62" s="41"/>
      <c r="K62" s="13"/>
      <c r="L62" s="33"/>
      <c r="M62" s="41"/>
      <c r="N62" s="59"/>
      <c r="O62" s="41"/>
      <c r="P62" s="13"/>
      <c r="Q62" s="33"/>
      <c r="R62" s="41"/>
      <c r="S62" s="85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2:40" ht="20.25">
      <c r="B63" s="11"/>
      <c r="C63" s="29"/>
      <c r="D63" s="81"/>
      <c r="E63" s="13"/>
      <c r="F63" s="30"/>
      <c r="G63" s="83"/>
      <c r="H63" s="13"/>
      <c r="I63" s="30"/>
      <c r="J63" s="41"/>
      <c r="K63" s="13"/>
      <c r="L63" s="32"/>
      <c r="M63" s="41"/>
      <c r="N63" s="59"/>
      <c r="O63" s="41"/>
      <c r="P63" s="13"/>
      <c r="Q63" s="32"/>
      <c r="R63" s="41"/>
      <c r="S63" s="85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2:40" ht="20.25">
      <c r="B64" s="11"/>
      <c r="C64" s="29"/>
      <c r="D64" s="81"/>
      <c r="E64" s="13"/>
      <c r="F64" s="30"/>
      <c r="G64" s="83"/>
      <c r="H64" s="13"/>
      <c r="I64" s="30"/>
      <c r="J64" s="41"/>
      <c r="K64" s="13"/>
      <c r="L64" s="33"/>
      <c r="M64" s="41"/>
      <c r="N64" s="59"/>
      <c r="O64" s="41"/>
      <c r="P64" s="13"/>
      <c r="Q64" s="33"/>
      <c r="R64" s="41"/>
      <c r="S64" s="85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2:40" ht="20.25">
      <c r="B65" s="11"/>
      <c r="C65" s="29"/>
      <c r="D65" s="81"/>
      <c r="E65" s="13"/>
      <c r="F65" s="30"/>
      <c r="G65" s="83"/>
      <c r="H65" s="13"/>
      <c r="I65" s="30"/>
      <c r="J65" s="41"/>
      <c r="K65" s="13"/>
      <c r="L65" s="33"/>
      <c r="M65" s="41"/>
      <c r="N65" s="59"/>
      <c r="O65" s="41"/>
      <c r="P65" s="13"/>
      <c r="Q65" s="33"/>
      <c r="R65" s="41"/>
      <c r="S65" s="85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2:40" ht="20.25">
      <c r="B66" s="11"/>
      <c r="C66" s="29"/>
      <c r="D66" s="81"/>
      <c r="E66" s="13"/>
      <c r="F66" s="30"/>
      <c r="G66" s="83"/>
      <c r="H66" s="13"/>
      <c r="I66" s="30"/>
      <c r="J66" s="41"/>
      <c r="K66" s="13"/>
      <c r="L66" s="33"/>
      <c r="M66" s="41"/>
      <c r="N66" s="59"/>
      <c r="O66" s="41"/>
      <c r="P66" s="13"/>
      <c r="Q66" s="33"/>
      <c r="R66" s="41"/>
      <c r="S66" s="85"/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2:40" ht="20.25">
      <c r="B67" s="11"/>
      <c r="C67" s="29"/>
      <c r="D67" s="81"/>
      <c r="E67" s="13"/>
      <c r="F67" s="30"/>
      <c r="G67" s="83"/>
      <c r="H67" s="13"/>
      <c r="I67" s="30"/>
      <c r="J67" s="41"/>
      <c r="K67" s="13"/>
      <c r="L67" s="33"/>
      <c r="M67" s="41"/>
      <c r="N67" s="59"/>
      <c r="O67" s="41"/>
      <c r="P67" s="13"/>
      <c r="Q67" s="33"/>
      <c r="R67" s="41"/>
      <c r="S67" s="85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2:40" ht="20.25">
      <c r="B68" s="11"/>
      <c r="C68" s="29"/>
      <c r="D68" s="81"/>
      <c r="E68" s="13"/>
      <c r="F68" s="30"/>
      <c r="G68" s="83"/>
      <c r="H68" s="13"/>
      <c r="I68" s="30"/>
      <c r="J68" s="41"/>
      <c r="K68" s="13"/>
      <c r="L68" s="32"/>
      <c r="M68" s="41"/>
      <c r="N68" s="59"/>
      <c r="O68" s="41"/>
      <c r="P68" s="13"/>
      <c r="Q68" s="33"/>
      <c r="R68" s="41"/>
      <c r="S68" s="85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2:40" ht="20.25" hidden="1">
      <c r="B69" s="11"/>
      <c r="C69" s="29"/>
      <c r="D69" s="81"/>
      <c r="E69" s="13"/>
      <c r="F69" s="30"/>
      <c r="G69" s="83"/>
      <c r="H69" s="13"/>
      <c r="I69" s="30"/>
      <c r="J69" s="41"/>
      <c r="K69" s="13"/>
      <c r="L69" s="33"/>
      <c r="M69" s="41"/>
      <c r="N69" s="59"/>
      <c r="O69" s="41"/>
      <c r="P69" s="13"/>
      <c r="Q69" s="33"/>
      <c r="R69" s="41"/>
      <c r="S69" s="85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2:40" ht="20.25" hidden="1">
      <c r="B70" s="11"/>
      <c r="C70" s="29"/>
      <c r="D70" s="81"/>
      <c r="E70" s="13"/>
      <c r="F70" s="30"/>
      <c r="G70" s="83"/>
      <c r="H70" s="13"/>
      <c r="I70" s="30"/>
      <c r="J70" s="41"/>
      <c r="K70" s="13"/>
      <c r="L70" s="33"/>
      <c r="M70" s="41"/>
      <c r="N70" s="59"/>
      <c r="O70" s="41"/>
      <c r="P70" s="13"/>
      <c r="Q70" s="33"/>
      <c r="R70" s="41"/>
      <c r="S70" s="85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2:40" ht="20.25" hidden="1">
      <c r="B71" s="11"/>
      <c r="C71" s="29"/>
      <c r="D71" s="81"/>
      <c r="E71" s="13"/>
      <c r="F71" s="30"/>
      <c r="G71" s="83"/>
      <c r="H71" s="13"/>
      <c r="I71" s="30"/>
      <c r="J71" s="41"/>
      <c r="K71" s="13"/>
      <c r="L71" s="33"/>
      <c r="M71" s="41"/>
      <c r="N71" s="59"/>
      <c r="O71" s="41"/>
      <c r="P71" s="13"/>
      <c r="Q71" s="33"/>
      <c r="R71" s="41"/>
      <c r="S71" s="85"/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2:40" ht="20.25">
      <c r="B72" s="11"/>
      <c r="C72" s="93"/>
      <c r="D72" s="94"/>
      <c r="E72" s="95"/>
      <c r="F72" s="96"/>
      <c r="G72" s="97"/>
      <c r="H72" s="95"/>
      <c r="I72" s="96"/>
      <c r="J72" s="97"/>
      <c r="K72" s="95"/>
      <c r="L72" s="96"/>
      <c r="M72" s="100"/>
      <c r="N72" s="96"/>
      <c r="O72" s="97"/>
      <c r="P72" s="95"/>
      <c r="Q72" s="96"/>
      <c r="R72" s="100"/>
      <c r="S72" s="101"/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2:40" ht="20.25">
      <c r="B73" s="11"/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2:40" ht="20.25">
      <c r="B74" s="11"/>
      <c r="C74" s="93"/>
      <c r="D74" s="94"/>
      <c r="E74" s="95"/>
      <c r="F74" s="96"/>
      <c r="G74" s="97"/>
      <c r="H74" s="95"/>
      <c r="I74" s="96"/>
      <c r="J74" s="97"/>
      <c r="K74" s="95"/>
      <c r="L74" s="96"/>
      <c r="M74" s="100"/>
      <c r="N74" s="113"/>
      <c r="O74" s="97"/>
      <c r="P74" s="95"/>
      <c r="Q74" s="96"/>
      <c r="R74" s="100"/>
      <c r="S74" s="114"/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2:40" ht="20.25">
      <c r="B75" s="11"/>
      <c r="C75" s="29"/>
      <c r="D75" s="81"/>
      <c r="E75" s="13"/>
      <c r="F75" s="30"/>
      <c r="G75" s="83"/>
      <c r="H75" s="13"/>
      <c r="I75" s="30"/>
      <c r="J75" s="41"/>
      <c r="K75" s="13"/>
      <c r="L75" s="32"/>
      <c r="M75" s="41"/>
      <c r="N75" s="59"/>
      <c r="O75" s="41"/>
      <c r="P75" s="13"/>
      <c r="Q75" s="32"/>
      <c r="R75" s="41"/>
      <c r="S75" s="85"/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2:40" ht="20.25" hidden="1">
      <c r="B76" s="11"/>
      <c r="C76" s="29"/>
      <c r="D76" s="81"/>
      <c r="E76" s="13"/>
      <c r="F76" s="30"/>
      <c r="G76" s="83"/>
      <c r="H76" s="13"/>
      <c r="I76" s="30"/>
      <c r="J76" s="41"/>
      <c r="K76" s="13"/>
      <c r="L76" s="32"/>
      <c r="M76" s="41"/>
      <c r="N76" s="59"/>
      <c r="O76" s="41"/>
      <c r="P76" s="13"/>
      <c r="Q76" s="32"/>
      <c r="R76" s="41"/>
      <c r="S76" s="85"/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2:40" ht="20.25" hidden="1">
      <c r="B77" s="11"/>
      <c r="C77" s="29"/>
      <c r="D77" s="81"/>
      <c r="E77" s="13"/>
      <c r="F77" s="30"/>
      <c r="G77" s="83"/>
      <c r="H77" s="13"/>
      <c r="I77" s="30"/>
      <c r="J77" s="41"/>
      <c r="K77" s="13"/>
      <c r="L77" s="32"/>
      <c r="M77" s="41"/>
      <c r="N77" s="59"/>
      <c r="O77" s="41"/>
      <c r="P77" s="13"/>
      <c r="Q77" s="32"/>
      <c r="R77" s="41"/>
      <c r="S77" s="85"/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2:40" ht="20.25">
      <c r="B78" s="11"/>
      <c r="C78" s="29"/>
      <c r="D78" s="81"/>
      <c r="E78" s="13"/>
      <c r="F78" s="30"/>
      <c r="G78" s="83"/>
      <c r="H78" s="13"/>
      <c r="I78" s="30"/>
      <c r="J78" s="41"/>
      <c r="K78" s="13"/>
      <c r="L78" s="33"/>
      <c r="M78" s="41"/>
      <c r="N78" s="59"/>
      <c r="O78" s="41"/>
      <c r="P78" s="13"/>
      <c r="Q78" s="32"/>
      <c r="R78" s="41"/>
      <c r="S78" s="85"/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2:40" ht="20.25" hidden="1">
      <c r="B79" s="11"/>
      <c r="C79" s="29"/>
      <c r="D79" s="81"/>
      <c r="E79" s="13"/>
      <c r="F79" s="30"/>
      <c r="G79" s="83"/>
      <c r="H79" s="13"/>
      <c r="I79" s="30"/>
      <c r="J79" s="41"/>
      <c r="K79" s="13"/>
      <c r="L79" s="33"/>
      <c r="M79" s="41"/>
      <c r="N79" s="59"/>
      <c r="O79" s="41"/>
      <c r="P79" s="13"/>
      <c r="Q79" s="32"/>
      <c r="R79" s="41"/>
      <c r="S79" s="85"/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2:40" ht="20.25" hidden="1">
      <c r="B80" s="11"/>
      <c r="C80" s="29"/>
      <c r="D80" s="81"/>
      <c r="E80" s="13"/>
      <c r="F80" s="30"/>
      <c r="G80" s="83"/>
      <c r="H80" s="13"/>
      <c r="I80" s="30"/>
      <c r="J80" s="41"/>
      <c r="K80" s="13"/>
      <c r="L80" s="33"/>
      <c r="M80" s="41"/>
      <c r="N80" s="59"/>
      <c r="O80" s="41"/>
      <c r="P80" s="13"/>
      <c r="Q80" s="32"/>
      <c r="R80" s="41"/>
      <c r="S80" s="85"/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2:40" ht="20.25" hidden="1">
      <c r="B81" s="11"/>
      <c r="C81" s="29"/>
      <c r="D81" s="81"/>
      <c r="E81" s="13"/>
      <c r="F81" s="30"/>
      <c r="G81" s="83"/>
      <c r="H81" s="13"/>
      <c r="I81" s="30"/>
      <c r="J81" s="41"/>
      <c r="K81" s="13"/>
      <c r="L81" s="33"/>
      <c r="M81" s="41"/>
      <c r="N81" s="59"/>
      <c r="O81" s="41"/>
      <c r="P81" s="13"/>
      <c r="Q81" s="32"/>
      <c r="R81" s="41"/>
      <c r="S81" s="85"/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2:40" ht="20.25">
      <c r="B82" s="11"/>
      <c r="C82" s="29"/>
      <c r="D82" s="81"/>
      <c r="E82" s="13"/>
      <c r="F82" s="30"/>
      <c r="G82" s="83"/>
      <c r="H82" s="13"/>
      <c r="I82" s="30"/>
      <c r="J82" s="41"/>
      <c r="K82" s="13"/>
      <c r="L82" s="32"/>
      <c r="M82" s="41"/>
      <c r="N82" s="59"/>
      <c r="O82" s="41"/>
      <c r="P82" s="13"/>
      <c r="Q82" s="32"/>
      <c r="R82" s="41"/>
      <c r="S82" s="85"/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2:40" ht="20.25">
      <c r="B83" s="11"/>
      <c r="C83" s="93"/>
      <c r="D83" s="94"/>
      <c r="E83" s="95"/>
      <c r="F83" s="96"/>
      <c r="G83" s="97"/>
      <c r="H83" s="95"/>
      <c r="I83" s="96"/>
      <c r="J83" s="97"/>
      <c r="K83" s="95"/>
      <c r="L83" s="96"/>
      <c r="M83" s="100"/>
      <c r="N83" s="96"/>
      <c r="O83" s="97"/>
      <c r="P83" s="95"/>
      <c r="Q83" s="96"/>
      <c r="R83" s="100"/>
      <c r="S83" s="101"/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2:40" ht="20.25">
      <c r="B84" s="11"/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2:40" ht="21" thickBot="1">
      <c r="B85" s="11"/>
      <c r="C85" s="124"/>
      <c r="D85" s="125"/>
      <c r="E85" s="126"/>
      <c r="F85" s="127"/>
      <c r="G85" s="128"/>
      <c r="H85" s="126"/>
      <c r="I85" s="127"/>
      <c r="J85" s="128"/>
      <c r="K85" s="125"/>
      <c r="L85" s="127"/>
      <c r="M85" s="128"/>
      <c r="N85" s="127"/>
      <c r="O85" s="128"/>
      <c r="P85" s="125"/>
      <c r="Q85" s="127"/>
      <c r="R85" s="128"/>
      <c r="S85" s="129"/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2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2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2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2:40" ht="35.25">
      <c r="B89" s="1"/>
      <c r="C89" s="6"/>
      <c r="D89" s="2"/>
      <c r="E89" s="2"/>
      <c r="F89" s="2"/>
      <c r="G89" s="2"/>
      <c r="H89" s="1"/>
      <c r="I89" s="1"/>
      <c r="J89" s="1"/>
      <c r="K89" s="3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2:40" ht="21" thickTop="1">
      <c r="B91" s="11"/>
      <c r="C91" s="12"/>
      <c r="D91" s="511"/>
      <c r="E91" s="512"/>
      <c r="F91" s="513"/>
      <c r="G91" s="514"/>
      <c r="H91" s="512"/>
      <c r="I91" s="513"/>
      <c r="J91" s="514"/>
      <c r="K91" s="512"/>
      <c r="L91" s="513"/>
      <c r="M91" s="514"/>
      <c r="N91" s="513"/>
      <c r="O91" s="511"/>
      <c r="P91" s="512"/>
      <c r="Q91" s="513"/>
      <c r="R91" s="509"/>
      <c r="S91" s="510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2:40" ht="20.25">
      <c r="B92" s="11"/>
      <c r="C92" s="29"/>
      <c r="D92" s="133"/>
      <c r="E92" s="80"/>
      <c r="F92" s="134"/>
      <c r="G92" s="135"/>
      <c r="H92" s="80"/>
      <c r="I92" s="134"/>
      <c r="J92" s="135"/>
      <c r="K92" s="80"/>
      <c r="L92" s="134"/>
      <c r="M92" s="135"/>
      <c r="N92" s="134"/>
      <c r="O92" s="80"/>
      <c r="P92" s="80"/>
      <c r="Q92" s="134"/>
      <c r="R92" s="135"/>
      <c r="S92" s="136"/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2:40" ht="20.25">
      <c r="B93" s="11"/>
      <c r="C93" s="86"/>
      <c r="D93" s="25"/>
      <c r="E93" s="25"/>
      <c r="F93" s="22"/>
      <c r="G93" s="46"/>
      <c r="H93" s="25"/>
      <c r="I93" s="22"/>
      <c r="J93" s="23"/>
      <c r="K93" s="25"/>
      <c r="L93" s="22"/>
      <c r="M93" s="137"/>
      <c r="N93" s="138"/>
      <c r="O93" s="23"/>
      <c r="P93" s="25"/>
      <c r="Q93" s="22"/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2:40" ht="20.25">
      <c r="B94" s="11"/>
      <c r="C94" s="29"/>
      <c r="D94" s="30"/>
      <c r="E94" s="30"/>
      <c r="F94" s="30"/>
      <c r="G94" s="31"/>
      <c r="H94" s="30"/>
      <c r="I94" s="30"/>
      <c r="J94" s="31"/>
      <c r="K94" s="30"/>
      <c r="L94" s="33"/>
      <c r="M94" s="31"/>
      <c r="N94" s="33"/>
      <c r="O94" s="31"/>
      <c r="P94" s="30"/>
      <c r="Q94" s="33"/>
      <c r="R94" s="31"/>
      <c r="S94" s="34"/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2:40" ht="25.5">
      <c r="B95" s="11"/>
      <c r="C95" s="29"/>
      <c r="D95" s="30"/>
      <c r="E95" s="30"/>
      <c r="F95" s="30"/>
      <c r="G95" s="31"/>
      <c r="H95" s="30"/>
      <c r="I95" s="30"/>
      <c r="J95" s="31"/>
      <c r="K95" s="30"/>
      <c r="L95" s="32"/>
      <c r="M95" s="31"/>
      <c r="N95" s="33"/>
      <c r="O95" s="31"/>
      <c r="P95" s="30"/>
      <c r="Q95" s="32"/>
      <c r="R95" s="31"/>
      <c r="S95" s="34"/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2:40" ht="25.5">
      <c r="B96" s="11"/>
      <c r="C96" s="29"/>
      <c r="D96" s="30"/>
      <c r="E96" s="25"/>
      <c r="F96" s="30"/>
      <c r="G96" s="31"/>
      <c r="H96" s="30"/>
      <c r="I96" s="30"/>
      <c r="J96" s="31"/>
      <c r="K96" s="30"/>
      <c r="L96" s="32"/>
      <c r="M96" s="31"/>
      <c r="N96" s="33"/>
      <c r="O96" s="31"/>
      <c r="P96" s="30"/>
      <c r="Q96" s="32"/>
      <c r="R96" s="31"/>
      <c r="S96" s="34"/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2:40" ht="20.25">
      <c r="B97" s="11"/>
      <c r="C97" s="35"/>
      <c r="D97" s="36"/>
      <c r="E97" s="30"/>
      <c r="F97" s="37"/>
      <c r="G97" s="38"/>
      <c r="H97" s="36"/>
      <c r="I97" s="37"/>
      <c r="J97" s="38"/>
      <c r="K97" s="36"/>
      <c r="L97" s="37"/>
      <c r="M97" s="38"/>
      <c r="N97" s="37"/>
      <c r="O97" s="38"/>
      <c r="P97" s="36"/>
      <c r="Q97" s="37"/>
      <c r="R97" s="38"/>
      <c r="S97" s="39"/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2:40" ht="20.25">
      <c r="B98" s="11"/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/>
      <c r="N98" s="43"/>
      <c r="O98" s="41"/>
      <c r="P98" s="13"/>
      <c r="Q98" s="40"/>
      <c r="R98" s="42"/>
      <c r="S98" s="44"/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2:40" ht="20.25">
      <c r="B99" s="11"/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2:40" ht="20.25">
      <c r="B100" s="11"/>
      <c r="C100" s="29"/>
      <c r="D100" s="30"/>
      <c r="E100" s="30"/>
      <c r="F100" s="30"/>
      <c r="G100" s="3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2:40" ht="20.25">
      <c r="B101" s="11"/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2:40" ht="20.25">
      <c r="B102" s="11"/>
      <c r="C102" s="29"/>
      <c r="D102" s="30"/>
      <c r="E102" s="30"/>
      <c r="F102" s="33"/>
      <c r="G102" s="31"/>
      <c r="H102" s="30"/>
      <c r="I102" s="30"/>
      <c r="J102" s="31"/>
      <c r="K102" s="30"/>
      <c r="L102" s="33"/>
      <c r="M102" s="31"/>
      <c r="N102" s="33"/>
      <c r="O102" s="31"/>
      <c r="P102" s="30"/>
      <c r="Q102" s="33"/>
      <c r="R102" s="31"/>
      <c r="S102" s="34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2:40" ht="20.25">
      <c r="B103" s="11"/>
      <c r="C103" s="29"/>
      <c r="D103" s="30"/>
      <c r="E103" s="30"/>
      <c r="F103" s="33"/>
      <c r="G103" s="31"/>
      <c r="H103" s="30"/>
      <c r="I103" s="30"/>
      <c r="J103" s="31"/>
      <c r="K103" s="30"/>
      <c r="L103" s="33"/>
      <c r="M103" s="31"/>
      <c r="N103" s="33"/>
      <c r="O103" s="31"/>
      <c r="P103" s="30"/>
      <c r="Q103" s="33"/>
      <c r="R103" s="31"/>
      <c r="S103" s="34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2:40" ht="20.25">
      <c r="B104" s="11"/>
      <c r="C104" s="29"/>
      <c r="D104" s="30"/>
      <c r="E104" s="25"/>
      <c r="F104" s="33"/>
      <c r="G104" s="31"/>
      <c r="H104" s="47"/>
      <c r="I104" s="30"/>
      <c r="J104" s="31"/>
      <c r="K104" s="47"/>
      <c r="L104" s="33"/>
      <c r="M104" s="51"/>
      <c r="N104" s="33"/>
      <c r="O104" s="31"/>
      <c r="P104" s="47"/>
      <c r="Q104" s="33"/>
      <c r="R104" s="31"/>
      <c r="S104" s="34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2:40" ht="20.25">
      <c r="B105" s="11"/>
      <c r="C105" s="35"/>
      <c r="D105" s="36"/>
      <c r="E105" s="30"/>
      <c r="F105" s="37"/>
      <c r="G105" s="38"/>
      <c r="H105" s="36"/>
      <c r="I105" s="37"/>
      <c r="J105" s="38"/>
      <c r="K105" s="36"/>
      <c r="L105" s="37"/>
      <c r="M105" s="31"/>
      <c r="N105" s="37"/>
      <c r="O105" s="38"/>
      <c r="P105" s="36"/>
      <c r="Q105" s="37"/>
      <c r="R105" s="56"/>
      <c r="S105" s="39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2:40" ht="20.25">
      <c r="B106" s="11"/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/>
      <c r="O106" s="41"/>
      <c r="P106" s="13"/>
      <c r="Q106" s="59"/>
      <c r="R106" s="60"/>
      <c r="S106" s="44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2:40" ht="21" thickBot="1">
      <c r="B107" s="11"/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2:40" ht="21" thickTop="1">
      <c r="B108" s="11"/>
      <c r="C108" s="62"/>
      <c r="D108" s="63"/>
      <c r="E108" s="67"/>
      <c r="F108" s="65"/>
      <c r="G108" s="66"/>
      <c r="H108" s="67"/>
      <c r="I108" s="65"/>
      <c r="J108" s="66"/>
      <c r="K108" s="67"/>
      <c r="L108" s="65"/>
      <c r="M108" s="66"/>
      <c r="N108" s="65"/>
      <c r="O108" s="66"/>
      <c r="P108" s="67"/>
      <c r="Q108" s="65"/>
      <c r="R108" s="66"/>
      <c r="S108" s="68"/>
      <c r="T108" s="13"/>
      <c r="U108" s="13"/>
      <c r="V108" s="11"/>
      <c r="W108" s="497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2:40" ht="21" thickBot="1">
      <c r="B109" s="11"/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/>
      <c r="N109" s="74"/>
      <c r="O109" s="72"/>
      <c r="P109" s="70"/>
      <c r="Q109" s="71"/>
      <c r="R109" s="73"/>
      <c r="S109" s="145"/>
      <c r="T109" s="13"/>
      <c r="U109" s="13"/>
      <c r="V109" s="13"/>
      <c r="W109" s="498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2:40" ht="21" thickTop="1">
      <c r="B110" s="11"/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2:40" ht="20.25">
      <c r="B111" s="11"/>
      <c r="C111" s="79"/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2:40" ht="20.25">
      <c r="B112" s="11"/>
      <c r="C112" s="29"/>
      <c r="D112" s="148"/>
      <c r="E112" s="82"/>
      <c r="F112" s="30"/>
      <c r="G112" s="157"/>
      <c r="H112" s="82"/>
      <c r="I112" s="30"/>
      <c r="J112" s="157"/>
      <c r="K112" s="82"/>
      <c r="L112" s="33"/>
      <c r="M112" s="41"/>
      <c r="N112" s="59"/>
      <c r="O112" s="157"/>
      <c r="P112" s="82"/>
      <c r="Q112" s="33"/>
      <c r="R112" s="41"/>
      <c r="S112" s="85"/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2:40" ht="20.25">
      <c r="B113" s="11"/>
      <c r="C113" s="86"/>
      <c r="D113" s="218"/>
      <c r="E113" s="88"/>
      <c r="F113" s="22"/>
      <c r="G113" s="162"/>
      <c r="H113" s="88"/>
      <c r="I113" s="22"/>
      <c r="J113" s="162"/>
      <c r="K113" s="88"/>
      <c r="L113" s="33"/>
      <c r="M113" s="23"/>
      <c r="N113" s="91"/>
      <c r="O113" s="162"/>
      <c r="P113" s="88"/>
      <c r="Q113" s="33"/>
      <c r="R113" s="23"/>
      <c r="S113" s="92"/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2:40" ht="20.25">
      <c r="B114" s="11"/>
      <c r="C114" s="29"/>
      <c r="D114" s="81"/>
      <c r="E114" s="82"/>
      <c r="F114" s="30"/>
      <c r="G114" s="83"/>
      <c r="H114" s="82"/>
      <c r="I114" s="30"/>
      <c r="J114" s="41"/>
      <c r="K114" s="82"/>
      <c r="L114" s="108"/>
      <c r="M114" s="41"/>
      <c r="N114" s="59"/>
      <c r="O114" s="41"/>
      <c r="P114" s="82"/>
      <c r="Q114" s="108"/>
      <c r="R114" s="41"/>
      <c r="S114" s="85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2:40" ht="20.25">
      <c r="B115" s="11"/>
      <c r="C115" s="29"/>
      <c r="D115" s="81"/>
      <c r="E115" s="82"/>
      <c r="F115" s="30"/>
      <c r="G115" s="83"/>
      <c r="H115" s="82"/>
      <c r="I115" s="30"/>
      <c r="J115" s="41"/>
      <c r="K115" s="82"/>
      <c r="L115" s="33"/>
      <c r="M115" s="41"/>
      <c r="N115" s="59"/>
      <c r="O115" s="41"/>
      <c r="P115" s="82"/>
      <c r="Q115" s="33"/>
      <c r="R115" s="41"/>
      <c r="S115" s="85"/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2:40" ht="20.25">
      <c r="B116" s="11"/>
      <c r="C116" s="86"/>
      <c r="D116" s="87"/>
      <c r="E116" s="88"/>
      <c r="F116" s="22"/>
      <c r="G116" s="89"/>
      <c r="H116" s="88"/>
      <c r="I116" s="22"/>
      <c r="J116" s="23"/>
      <c r="K116" s="88"/>
      <c r="L116" s="48"/>
      <c r="M116" s="23"/>
      <c r="N116" s="91"/>
      <c r="O116" s="23"/>
      <c r="P116" s="88"/>
      <c r="Q116" s="48"/>
      <c r="R116" s="23"/>
      <c r="S116" s="92"/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2:40" ht="20.25">
      <c r="B117" s="11"/>
      <c r="C117" s="29"/>
      <c r="D117" s="81"/>
      <c r="E117" s="82"/>
      <c r="F117" s="30"/>
      <c r="G117" s="83"/>
      <c r="H117" s="82"/>
      <c r="I117" s="30"/>
      <c r="J117" s="41"/>
      <c r="K117" s="82"/>
      <c r="L117" s="33"/>
      <c r="M117" s="41"/>
      <c r="N117" s="59"/>
      <c r="O117" s="41"/>
      <c r="P117" s="82"/>
      <c r="Q117" s="33"/>
      <c r="R117" s="41"/>
      <c r="S117" s="85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2:40" ht="20.25">
      <c r="B118" s="11"/>
      <c r="C118" s="29"/>
      <c r="D118" s="81"/>
      <c r="E118" s="82"/>
      <c r="F118" s="30"/>
      <c r="G118" s="83"/>
      <c r="H118" s="82"/>
      <c r="I118" s="30"/>
      <c r="J118" s="41"/>
      <c r="K118" s="82"/>
      <c r="L118" s="33"/>
      <c r="M118" s="41"/>
      <c r="N118" s="59"/>
      <c r="O118" s="41"/>
      <c r="P118" s="82"/>
      <c r="Q118" s="33"/>
      <c r="R118" s="41"/>
      <c r="S118" s="85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2:40" ht="20.25" hidden="1">
      <c r="B119" s="11"/>
      <c r="C119" s="29"/>
      <c r="D119" s="81"/>
      <c r="E119" s="82"/>
      <c r="F119" s="30"/>
      <c r="G119" s="83"/>
      <c r="H119" s="82"/>
      <c r="I119" s="30"/>
      <c r="J119" s="41"/>
      <c r="K119" s="82"/>
      <c r="L119" s="33"/>
      <c r="M119" s="41"/>
      <c r="N119" s="59"/>
      <c r="O119" s="41"/>
      <c r="P119" s="82"/>
      <c r="Q119" s="33"/>
      <c r="R119" s="41"/>
      <c r="S119" s="85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2:40" ht="20.25" hidden="1">
      <c r="B120" s="11"/>
      <c r="C120" s="29"/>
      <c r="D120" s="81"/>
      <c r="E120" s="82"/>
      <c r="F120" s="30"/>
      <c r="G120" s="83"/>
      <c r="H120" s="82"/>
      <c r="I120" s="30"/>
      <c r="J120" s="41"/>
      <c r="K120" s="82"/>
      <c r="L120" s="33"/>
      <c r="M120" s="41"/>
      <c r="N120" s="59"/>
      <c r="O120" s="41"/>
      <c r="P120" s="82"/>
      <c r="Q120" s="33"/>
      <c r="R120" s="41"/>
      <c r="S120" s="85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2:40" ht="20.25" hidden="1">
      <c r="B121" s="11"/>
      <c r="C121" s="29"/>
      <c r="D121" s="81"/>
      <c r="E121" s="82"/>
      <c r="F121" s="30"/>
      <c r="G121" s="83"/>
      <c r="H121" s="82"/>
      <c r="I121" s="30"/>
      <c r="J121" s="41"/>
      <c r="K121" s="82"/>
      <c r="L121" s="33"/>
      <c r="M121" s="41"/>
      <c r="N121" s="59"/>
      <c r="O121" s="41"/>
      <c r="P121" s="82"/>
      <c r="Q121" s="33"/>
      <c r="R121" s="41"/>
      <c r="S121" s="85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2:40" ht="20.25">
      <c r="B122" s="11"/>
      <c r="C122" s="93"/>
      <c r="D122" s="94"/>
      <c r="E122" s="95"/>
      <c r="F122" s="96"/>
      <c r="G122" s="97"/>
      <c r="H122" s="95"/>
      <c r="I122" s="96"/>
      <c r="J122" s="97"/>
      <c r="K122" s="95"/>
      <c r="L122" s="96"/>
      <c r="M122" s="100"/>
      <c r="N122" s="96"/>
      <c r="O122" s="97"/>
      <c r="P122" s="95"/>
      <c r="Q122" s="96"/>
      <c r="R122" s="100"/>
      <c r="S122" s="101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2:40" ht="20.25">
      <c r="B123" s="11"/>
      <c r="C123" s="102"/>
      <c r="D123" s="13"/>
      <c r="E123" s="13"/>
      <c r="F123" s="30"/>
      <c r="G123" s="41"/>
      <c r="H123" s="13"/>
      <c r="I123" s="30"/>
      <c r="J123" s="41"/>
      <c r="K123" s="13"/>
      <c r="L123" s="33"/>
      <c r="M123" s="41"/>
      <c r="N123" s="59"/>
      <c r="O123" s="41"/>
      <c r="P123" s="13"/>
      <c r="Q123" s="33"/>
      <c r="R123" s="41"/>
      <c r="S123" s="85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2:40" ht="20.25">
      <c r="B124" s="11"/>
      <c r="C124" s="103"/>
      <c r="D124" s="81"/>
      <c r="E124" s="13"/>
      <c r="F124" s="22"/>
      <c r="G124" s="83"/>
      <c r="H124" s="13"/>
      <c r="I124" s="22"/>
      <c r="J124" s="41"/>
      <c r="K124" s="13"/>
      <c r="L124" s="22"/>
      <c r="M124" s="41"/>
      <c r="N124" s="59"/>
      <c r="O124" s="41"/>
      <c r="P124" s="13"/>
      <c r="Q124" s="22"/>
      <c r="R124" s="41"/>
      <c r="S124" s="85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2:40" ht="20.25">
      <c r="B125" s="11"/>
      <c r="C125" s="102"/>
      <c r="D125" s="104"/>
      <c r="E125" s="105"/>
      <c r="F125" s="30"/>
      <c r="G125" s="106"/>
      <c r="H125" s="105"/>
      <c r="I125" s="30"/>
      <c r="J125" s="107"/>
      <c r="K125" s="105"/>
      <c r="L125" s="33"/>
      <c r="M125" s="107"/>
      <c r="N125" s="109"/>
      <c r="O125" s="107"/>
      <c r="P125" s="105"/>
      <c r="Q125" s="33"/>
      <c r="R125" s="107"/>
      <c r="S125" s="110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2:40" ht="20.25" hidden="1">
      <c r="B126" s="11"/>
      <c r="C126" s="102"/>
      <c r="D126" s="81"/>
      <c r="E126" s="13"/>
      <c r="F126" s="30"/>
      <c r="G126" s="83"/>
      <c r="H126" s="13"/>
      <c r="I126" s="30"/>
      <c r="J126" s="41"/>
      <c r="K126" s="13"/>
      <c r="L126" s="33"/>
      <c r="M126" s="41"/>
      <c r="N126" s="59"/>
      <c r="O126" s="41"/>
      <c r="P126" s="13"/>
      <c r="Q126" s="33"/>
      <c r="R126" s="41"/>
      <c r="S126" s="85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2:40" ht="20.25" hidden="1">
      <c r="B127" s="11"/>
      <c r="C127" s="102"/>
      <c r="D127" s="81"/>
      <c r="E127" s="13"/>
      <c r="F127" s="30"/>
      <c r="G127" s="83"/>
      <c r="H127" s="13"/>
      <c r="I127" s="30"/>
      <c r="J127" s="41"/>
      <c r="K127" s="13"/>
      <c r="L127" s="33"/>
      <c r="M127" s="41"/>
      <c r="N127" s="59"/>
      <c r="O127" s="41"/>
      <c r="P127" s="13"/>
      <c r="Q127" s="33"/>
      <c r="R127" s="41"/>
      <c r="S127" s="85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2:40" ht="20.25" hidden="1">
      <c r="B128" s="11"/>
      <c r="C128" s="102"/>
      <c r="D128" s="81"/>
      <c r="E128" s="13"/>
      <c r="F128" s="30"/>
      <c r="G128" s="83"/>
      <c r="H128" s="13"/>
      <c r="I128" s="30"/>
      <c r="J128" s="41"/>
      <c r="K128" s="13"/>
      <c r="L128" s="33"/>
      <c r="M128" s="41"/>
      <c r="N128" s="59"/>
      <c r="O128" s="41"/>
      <c r="P128" s="13"/>
      <c r="Q128" s="33"/>
      <c r="R128" s="41"/>
      <c r="S128" s="85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2:40" ht="20.25" hidden="1">
      <c r="B129" s="11"/>
      <c r="C129" s="102"/>
      <c r="D129" s="81"/>
      <c r="E129" s="13"/>
      <c r="F129" s="30"/>
      <c r="G129" s="83"/>
      <c r="H129" s="13"/>
      <c r="I129" s="30"/>
      <c r="J129" s="41"/>
      <c r="K129" s="13"/>
      <c r="L129" s="33"/>
      <c r="M129" s="41"/>
      <c r="N129" s="59"/>
      <c r="O129" s="41"/>
      <c r="P129" s="13"/>
      <c r="Q129" s="33"/>
      <c r="R129" s="41"/>
      <c r="S129" s="85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2:40" ht="20.25">
      <c r="B130" s="11"/>
      <c r="C130" s="103"/>
      <c r="D130" s="81"/>
      <c r="E130" s="13"/>
      <c r="F130" s="30"/>
      <c r="G130" s="83"/>
      <c r="H130" s="13"/>
      <c r="I130" s="30"/>
      <c r="J130" s="41"/>
      <c r="K130" s="13"/>
      <c r="L130" s="33"/>
      <c r="M130" s="41"/>
      <c r="N130" s="59"/>
      <c r="O130" s="41"/>
      <c r="P130" s="13"/>
      <c r="Q130" s="33"/>
      <c r="R130" s="41"/>
      <c r="S130" s="85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2:40" ht="20.25">
      <c r="B131" s="11"/>
      <c r="C131" s="102"/>
      <c r="D131" s="104"/>
      <c r="E131" s="105"/>
      <c r="F131" s="54"/>
      <c r="G131" s="106"/>
      <c r="H131" s="105"/>
      <c r="I131" s="54"/>
      <c r="J131" s="107"/>
      <c r="K131" s="105"/>
      <c r="L131" s="55"/>
      <c r="M131" s="107"/>
      <c r="N131" s="109"/>
      <c r="O131" s="107"/>
      <c r="P131" s="105"/>
      <c r="Q131" s="55"/>
      <c r="R131" s="107"/>
      <c r="S131" s="110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2:40" ht="20.25">
      <c r="B132" s="11"/>
      <c r="C132" s="102"/>
      <c r="D132" s="81"/>
      <c r="E132" s="13"/>
      <c r="F132" s="30"/>
      <c r="G132" s="83"/>
      <c r="H132" s="13"/>
      <c r="I132" s="30"/>
      <c r="J132" s="41"/>
      <c r="K132" s="13"/>
      <c r="L132" s="33"/>
      <c r="M132" s="41"/>
      <c r="N132" s="59"/>
      <c r="O132" s="41"/>
      <c r="P132" s="13"/>
      <c r="Q132" s="33"/>
      <c r="R132" s="41"/>
      <c r="S132" s="85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2:40" ht="20.25">
      <c r="B133" s="11"/>
      <c r="C133" s="102"/>
      <c r="D133" s="81"/>
      <c r="E133" s="13"/>
      <c r="F133" s="30"/>
      <c r="G133" s="83"/>
      <c r="H133" s="13"/>
      <c r="I133" s="30"/>
      <c r="J133" s="41"/>
      <c r="K133" s="13"/>
      <c r="L133" s="33"/>
      <c r="M133" s="41"/>
      <c r="N133" s="59"/>
      <c r="O133" s="41"/>
      <c r="P133" s="13"/>
      <c r="Q133" s="33"/>
      <c r="R133" s="41"/>
      <c r="S133" s="85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2:40" ht="20.25" hidden="1">
      <c r="B134" s="11"/>
      <c r="C134" s="29"/>
      <c r="D134" s="87"/>
      <c r="E134" s="111"/>
      <c r="F134" s="30"/>
      <c r="G134" s="89"/>
      <c r="H134" s="111"/>
      <c r="I134" s="30"/>
      <c r="J134" s="23"/>
      <c r="K134" s="111"/>
      <c r="L134" s="33"/>
      <c r="M134" s="41"/>
      <c r="N134" s="59"/>
      <c r="O134" s="23"/>
      <c r="P134" s="111"/>
      <c r="Q134" s="33"/>
      <c r="R134" s="23"/>
      <c r="S134" s="92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2:40" ht="20.25">
      <c r="B135" s="11"/>
      <c r="C135" s="93"/>
      <c r="D135" s="94"/>
      <c r="E135" s="95"/>
      <c r="F135" s="96"/>
      <c r="G135" s="97"/>
      <c r="H135" s="95"/>
      <c r="I135" s="96"/>
      <c r="J135" s="97"/>
      <c r="K135" s="95"/>
      <c r="L135" s="96"/>
      <c r="M135" s="463"/>
      <c r="N135" s="464"/>
      <c r="O135" s="97"/>
      <c r="P135" s="95"/>
      <c r="Q135" s="96"/>
      <c r="R135" s="147"/>
      <c r="S135" s="114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2:40" ht="20.25" hidden="1">
      <c r="B136" s="11"/>
      <c r="C136" s="29"/>
      <c r="D136" s="81"/>
      <c r="E136" s="13"/>
      <c r="F136" s="30"/>
      <c r="G136" s="83"/>
      <c r="H136" s="13"/>
      <c r="I136" s="30"/>
      <c r="J136" s="41"/>
      <c r="K136" s="13"/>
      <c r="L136" s="33"/>
      <c r="M136" s="41"/>
      <c r="N136" s="59"/>
      <c r="O136" s="41"/>
      <c r="P136" s="13"/>
      <c r="Q136" s="33"/>
      <c r="R136" s="41"/>
      <c r="S136" s="85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2:40" ht="20.25" hidden="1">
      <c r="B137" s="11"/>
      <c r="C137" s="29"/>
      <c r="D137" s="81"/>
      <c r="E137" s="13"/>
      <c r="F137" s="30"/>
      <c r="G137" s="83"/>
      <c r="H137" s="13"/>
      <c r="I137" s="30"/>
      <c r="J137" s="41"/>
      <c r="K137" s="13"/>
      <c r="L137" s="33"/>
      <c r="M137" s="41"/>
      <c r="N137" s="59"/>
      <c r="O137" s="41"/>
      <c r="P137" s="13"/>
      <c r="Q137" s="33"/>
      <c r="R137" s="41"/>
      <c r="S137" s="85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2:40" ht="20.25">
      <c r="B138" s="11"/>
      <c r="C138" s="86"/>
      <c r="D138" s="87"/>
      <c r="E138" s="111"/>
      <c r="F138" s="22"/>
      <c r="G138" s="89"/>
      <c r="H138" s="111"/>
      <c r="I138" s="22"/>
      <c r="J138" s="23"/>
      <c r="K138" s="111"/>
      <c r="L138" s="22"/>
      <c r="M138" s="23"/>
      <c r="N138" s="91"/>
      <c r="O138" s="23"/>
      <c r="P138" s="111"/>
      <c r="Q138" s="22"/>
      <c r="R138" s="23"/>
      <c r="S138" s="92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2:40" ht="20.25">
      <c r="B139" s="11"/>
      <c r="C139" s="29"/>
      <c r="D139" s="81"/>
      <c r="E139" s="13"/>
      <c r="F139" s="30"/>
      <c r="G139" s="83"/>
      <c r="H139" s="13"/>
      <c r="I139" s="30"/>
      <c r="J139" s="41"/>
      <c r="K139" s="13"/>
      <c r="L139" s="33"/>
      <c r="M139" s="41"/>
      <c r="N139" s="59"/>
      <c r="O139" s="41"/>
      <c r="P139" s="13"/>
      <c r="Q139" s="33"/>
      <c r="R139" s="41"/>
      <c r="S139" s="85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2:40" ht="20.25">
      <c r="B140" s="11"/>
      <c r="C140" s="29"/>
      <c r="D140" s="81"/>
      <c r="E140" s="13"/>
      <c r="F140" s="30"/>
      <c r="G140" s="83"/>
      <c r="H140" s="13"/>
      <c r="I140" s="30"/>
      <c r="J140" s="41"/>
      <c r="K140" s="13"/>
      <c r="L140" s="33"/>
      <c r="M140" s="41"/>
      <c r="N140" s="59"/>
      <c r="O140" s="41"/>
      <c r="P140" s="13"/>
      <c r="Q140" s="33"/>
      <c r="R140" s="41"/>
      <c r="S140" s="85"/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2:40" ht="20.25">
      <c r="B141" s="11"/>
      <c r="C141" s="86"/>
      <c r="D141" s="87"/>
      <c r="E141" s="111"/>
      <c r="F141" s="22"/>
      <c r="G141" s="89"/>
      <c r="H141" s="111"/>
      <c r="I141" s="22"/>
      <c r="J141" s="23"/>
      <c r="K141" s="111"/>
      <c r="L141" s="22"/>
      <c r="M141" s="23"/>
      <c r="N141" s="91"/>
      <c r="O141" s="23"/>
      <c r="P141" s="111"/>
      <c r="Q141" s="22"/>
      <c r="R141" s="23"/>
      <c r="S141" s="92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2:40" ht="20.25">
      <c r="B142" s="11"/>
      <c r="C142" s="29"/>
      <c r="D142" s="81"/>
      <c r="E142" s="13"/>
      <c r="F142" s="30"/>
      <c r="G142" s="83"/>
      <c r="H142" s="13"/>
      <c r="I142" s="30"/>
      <c r="J142" s="41"/>
      <c r="K142" s="13"/>
      <c r="L142" s="33"/>
      <c r="M142" s="41"/>
      <c r="N142" s="59"/>
      <c r="O142" s="41"/>
      <c r="P142" s="13"/>
      <c r="Q142" s="33"/>
      <c r="R142" s="41"/>
      <c r="S142" s="85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2:40" ht="20.25">
      <c r="B143" s="11"/>
      <c r="C143" s="29"/>
      <c r="D143" s="81"/>
      <c r="E143" s="13"/>
      <c r="F143" s="30"/>
      <c r="G143" s="83"/>
      <c r="H143" s="13"/>
      <c r="I143" s="30"/>
      <c r="J143" s="41"/>
      <c r="K143" s="13"/>
      <c r="L143" s="33"/>
      <c r="M143" s="41"/>
      <c r="N143" s="59"/>
      <c r="O143" s="41"/>
      <c r="P143" s="13"/>
      <c r="Q143" s="33"/>
      <c r="R143" s="41"/>
      <c r="S143" s="85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2:40" ht="20.25">
      <c r="B144" s="11"/>
      <c r="C144" s="29"/>
      <c r="D144" s="81"/>
      <c r="E144" s="13"/>
      <c r="F144" s="30"/>
      <c r="G144" s="83"/>
      <c r="H144" s="13"/>
      <c r="I144" s="30"/>
      <c r="J144" s="41"/>
      <c r="K144" s="13"/>
      <c r="L144" s="32"/>
      <c r="M144" s="41"/>
      <c r="N144" s="59"/>
      <c r="O144" s="41"/>
      <c r="P144" s="13"/>
      <c r="Q144" s="32"/>
      <c r="R144" s="41"/>
      <c r="S144" s="85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2:40" ht="20.25">
      <c r="B145" s="11"/>
      <c r="C145" s="29"/>
      <c r="D145" s="81"/>
      <c r="E145" s="13"/>
      <c r="F145" s="30"/>
      <c r="G145" s="83"/>
      <c r="H145" s="13"/>
      <c r="I145" s="30"/>
      <c r="J145" s="41"/>
      <c r="K145" s="13"/>
      <c r="L145" s="33"/>
      <c r="M145" s="41"/>
      <c r="N145" s="59"/>
      <c r="O145" s="41"/>
      <c r="P145" s="13"/>
      <c r="Q145" s="33"/>
      <c r="R145" s="41"/>
      <c r="S145" s="85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2:40" ht="20.25">
      <c r="B146" s="11"/>
      <c r="C146" s="29"/>
      <c r="D146" s="81"/>
      <c r="E146" s="13"/>
      <c r="F146" s="30"/>
      <c r="G146" s="83"/>
      <c r="H146" s="13"/>
      <c r="I146" s="30"/>
      <c r="J146" s="41"/>
      <c r="K146" s="13"/>
      <c r="L146" s="33"/>
      <c r="M146" s="41"/>
      <c r="N146" s="59"/>
      <c r="O146" s="41"/>
      <c r="P146" s="13"/>
      <c r="Q146" s="33"/>
      <c r="R146" s="41"/>
      <c r="S146" s="85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2:40" ht="20.25">
      <c r="B147" s="11"/>
      <c r="C147" s="29"/>
      <c r="D147" s="81"/>
      <c r="E147" s="13"/>
      <c r="F147" s="30"/>
      <c r="G147" s="83"/>
      <c r="H147" s="13"/>
      <c r="I147" s="30"/>
      <c r="J147" s="41"/>
      <c r="K147" s="13"/>
      <c r="L147" s="33"/>
      <c r="M147" s="41"/>
      <c r="N147" s="59"/>
      <c r="O147" s="41"/>
      <c r="P147" s="13"/>
      <c r="Q147" s="33"/>
      <c r="R147" s="41"/>
      <c r="S147" s="85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2:40" ht="20.25">
      <c r="B148" s="11"/>
      <c r="C148" s="29"/>
      <c r="D148" s="81"/>
      <c r="E148" s="13"/>
      <c r="F148" s="30"/>
      <c r="G148" s="83"/>
      <c r="H148" s="13"/>
      <c r="I148" s="30"/>
      <c r="J148" s="41"/>
      <c r="K148" s="13"/>
      <c r="L148" s="59"/>
      <c r="M148" s="41"/>
      <c r="N148" s="59"/>
      <c r="O148" s="41"/>
      <c r="P148" s="13"/>
      <c r="Q148" s="33"/>
      <c r="R148" s="41"/>
      <c r="S148" s="85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2:40" ht="20.25">
      <c r="B149" s="11"/>
      <c r="C149" s="29"/>
      <c r="D149" s="81"/>
      <c r="E149" s="13"/>
      <c r="F149" s="30"/>
      <c r="G149" s="83"/>
      <c r="H149" s="13"/>
      <c r="I149" s="30"/>
      <c r="J149" s="41"/>
      <c r="K149" s="13"/>
      <c r="L149" s="33"/>
      <c r="M149" s="41"/>
      <c r="N149" s="59"/>
      <c r="O149" s="41"/>
      <c r="P149" s="13"/>
      <c r="Q149" s="33"/>
      <c r="R149" s="41"/>
      <c r="S149" s="85"/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2:40" ht="20.25" hidden="1">
      <c r="B150" s="11"/>
      <c r="C150" s="29"/>
      <c r="D150" s="81"/>
      <c r="E150" s="13"/>
      <c r="F150" s="30"/>
      <c r="G150" s="83"/>
      <c r="H150" s="13"/>
      <c r="I150" s="30"/>
      <c r="J150" s="41"/>
      <c r="K150" s="13"/>
      <c r="L150" s="33"/>
      <c r="M150" s="41"/>
      <c r="N150" s="59"/>
      <c r="O150" s="41"/>
      <c r="P150" s="13"/>
      <c r="Q150" s="33"/>
      <c r="R150" s="41"/>
      <c r="S150" s="85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2:40" ht="20.25" hidden="1">
      <c r="B151" s="11"/>
      <c r="C151" s="29"/>
      <c r="D151" s="81"/>
      <c r="E151" s="13"/>
      <c r="F151" s="30"/>
      <c r="G151" s="83"/>
      <c r="H151" s="13"/>
      <c r="I151" s="30"/>
      <c r="J151" s="41"/>
      <c r="K151" s="13"/>
      <c r="L151" s="33"/>
      <c r="M151" s="41"/>
      <c r="N151" s="59"/>
      <c r="O151" s="41"/>
      <c r="P151" s="13"/>
      <c r="Q151" s="33"/>
      <c r="R151" s="41"/>
      <c r="S151" s="85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2:40" ht="20.25" hidden="1">
      <c r="B152" s="11"/>
      <c r="C152" s="29"/>
      <c r="D152" s="81"/>
      <c r="E152" s="13"/>
      <c r="F152" s="30"/>
      <c r="G152" s="83"/>
      <c r="H152" s="13"/>
      <c r="I152" s="30"/>
      <c r="J152" s="41"/>
      <c r="K152" s="13"/>
      <c r="L152" s="33"/>
      <c r="M152" s="41"/>
      <c r="N152" s="59"/>
      <c r="O152" s="41"/>
      <c r="P152" s="13"/>
      <c r="Q152" s="33"/>
      <c r="R152" s="41"/>
      <c r="S152" s="85"/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2:40" ht="20.25">
      <c r="B153" s="11"/>
      <c r="C153" s="93"/>
      <c r="D153" s="94"/>
      <c r="E153" s="95"/>
      <c r="F153" s="96"/>
      <c r="G153" s="97"/>
      <c r="H153" s="95"/>
      <c r="I153" s="96"/>
      <c r="J153" s="97"/>
      <c r="K153" s="95"/>
      <c r="L153" s="96"/>
      <c r="M153" s="100"/>
      <c r="N153" s="96"/>
      <c r="O153" s="97"/>
      <c r="P153" s="95"/>
      <c r="Q153" s="96"/>
      <c r="R153" s="100"/>
      <c r="S153" s="101"/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2:40" ht="20.25">
      <c r="B154" s="11"/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2:40" ht="20.25">
      <c r="B155" s="11"/>
      <c r="C155" s="93"/>
      <c r="D155" s="94"/>
      <c r="E155" s="95"/>
      <c r="F155" s="96"/>
      <c r="G155" s="97"/>
      <c r="H155" s="95"/>
      <c r="I155" s="96"/>
      <c r="J155" s="97"/>
      <c r="K155" s="95"/>
      <c r="L155" s="96"/>
      <c r="M155" s="100"/>
      <c r="N155" s="113"/>
      <c r="O155" s="97"/>
      <c r="P155" s="95"/>
      <c r="Q155" s="96"/>
      <c r="R155" s="100"/>
      <c r="S155" s="114"/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2:40" ht="20.25">
      <c r="B156" s="11"/>
      <c r="C156" s="29"/>
      <c r="D156" s="149"/>
      <c r="E156" s="150"/>
      <c r="F156" s="30"/>
      <c r="G156" s="151"/>
      <c r="H156" s="150"/>
      <c r="I156" s="30"/>
      <c r="J156" s="151"/>
      <c r="K156" s="150"/>
      <c r="L156" s="32"/>
      <c r="M156" s="41"/>
      <c r="N156" s="59"/>
      <c r="O156" s="151"/>
      <c r="P156" s="150"/>
      <c r="Q156" s="33"/>
      <c r="R156" s="41"/>
      <c r="S156" s="85"/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2:40" ht="20.25">
      <c r="B157" s="11"/>
      <c r="C157" s="29"/>
      <c r="D157" s="149"/>
      <c r="E157" s="150"/>
      <c r="F157" s="30"/>
      <c r="G157" s="151"/>
      <c r="H157" s="150"/>
      <c r="I157" s="30"/>
      <c r="J157" s="151"/>
      <c r="K157" s="150"/>
      <c r="L157" s="33"/>
      <c r="M157" s="41"/>
      <c r="N157" s="59"/>
      <c r="O157" s="151"/>
      <c r="P157" s="150"/>
      <c r="Q157" s="33"/>
      <c r="R157" s="41"/>
      <c r="S157" s="85"/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2:40" ht="20.25" hidden="1">
      <c r="B158" s="11"/>
      <c r="C158" s="29"/>
      <c r="D158" s="81"/>
      <c r="E158" s="13"/>
      <c r="F158" s="30"/>
      <c r="G158" s="83"/>
      <c r="H158" s="13"/>
      <c r="I158" s="30"/>
      <c r="J158" s="41"/>
      <c r="K158" s="13"/>
      <c r="L158" s="33"/>
      <c r="M158" s="41"/>
      <c r="N158" s="59"/>
      <c r="O158" s="41"/>
      <c r="P158" s="13"/>
      <c r="Q158" s="33"/>
      <c r="R158" s="41"/>
      <c r="S158" s="85"/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2:40" ht="20.25">
      <c r="B159" s="11"/>
      <c r="C159" s="29"/>
      <c r="D159" s="81"/>
      <c r="E159" s="13"/>
      <c r="F159" s="30"/>
      <c r="G159" s="83"/>
      <c r="H159" s="13"/>
      <c r="I159" s="30"/>
      <c r="J159" s="41"/>
      <c r="K159" s="13"/>
      <c r="L159" s="32"/>
      <c r="M159" s="41"/>
      <c r="N159" s="59"/>
      <c r="O159" s="41"/>
      <c r="P159" s="13"/>
      <c r="Q159" s="33"/>
      <c r="R159" s="41"/>
      <c r="S159" s="85"/>
      <c r="T159" s="112"/>
      <c r="U159" s="13"/>
      <c r="V159" s="11"/>
      <c r="W159" s="489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2:40" ht="20.25" hidden="1">
      <c r="B160" s="11"/>
      <c r="C160" s="29"/>
      <c r="D160" s="81"/>
      <c r="E160" s="13"/>
      <c r="F160" s="30"/>
      <c r="G160" s="83"/>
      <c r="H160" s="13"/>
      <c r="I160" s="30"/>
      <c r="J160" s="41"/>
      <c r="K160" s="13"/>
      <c r="L160" s="32"/>
      <c r="M160" s="41"/>
      <c r="N160" s="59"/>
      <c r="O160" s="41"/>
      <c r="P160" s="13"/>
      <c r="Q160" s="33"/>
      <c r="R160" s="41"/>
      <c r="S160" s="85"/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2:40" ht="20.25" hidden="1">
      <c r="B161" s="11"/>
      <c r="C161" s="29"/>
      <c r="D161" s="81"/>
      <c r="E161" s="13"/>
      <c r="F161" s="30"/>
      <c r="G161" s="83"/>
      <c r="H161" s="13"/>
      <c r="I161" s="30"/>
      <c r="J161" s="41"/>
      <c r="K161" s="13"/>
      <c r="L161" s="32"/>
      <c r="M161" s="41"/>
      <c r="N161" s="59"/>
      <c r="O161" s="41"/>
      <c r="P161" s="13"/>
      <c r="Q161" s="33"/>
      <c r="R161" s="41"/>
      <c r="S161" s="85"/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2:40" ht="20.25" hidden="1">
      <c r="B162" s="11"/>
      <c r="C162" s="86"/>
      <c r="D162" s="87"/>
      <c r="E162" s="111"/>
      <c r="F162" s="30"/>
      <c r="G162" s="83"/>
      <c r="H162" s="13"/>
      <c r="I162" s="30"/>
      <c r="J162" s="41"/>
      <c r="K162" s="13"/>
      <c r="L162" s="32"/>
      <c r="M162" s="41"/>
      <c r="N162" s="59"/>
      <c r="O162" s="41"/>
      <c r="P162" s="13"/>
      <c r="Q162" s="33"/>
      <c r="R162" s="41"/>
      <c r="S162" s="85"/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2:40" ht="20.25">
      <c r="B163" s="11"/>
      <c r="C163" s="93"/>
      <c r="D163" s="94"/>
      <c r="E163" s="95"/>
      <c r="F163" s="96"/>
      <c r="G163" s="97"/>
      <c r="H163" s="95"/>
      <c r="I163" s="96"/>
      <c r="J163" s="97"/>
      <c r="K163" s="95"/>
      <c r="L163" s="96"/>
      <c r="M163" s="100"/>
      <c r="N163" s="96"/>
      <c r="O163" s="97"/>
      <c r="P163" s="95"/>
      <c r="Q163" s="96"/>
      <c r="R163" s="100"/>
      <c r="S163" s="101"/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2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2:40" ht="21" thickBot="1">
      <c r="B165" s="11"/>
      <c r="C165" s="124"/>
      <c r="D165" s="152"/>
      <c r="E165" s="125"/>
      <c r="F165" s="127"/>
      <c r="G165" s="153"/>
      <c r="H165" s="125"/>
      <c r="I165" s="127"/>
      <c r="J165" s="154"/>
      <c r="K165" s="126"/>
      <c r="L165" s="127"/>
      <c r="M165" s="154"/>
      <c r="N165" s="127"/>
      <c r="O165" s="154"/>
      <c r="P165" s="126"/>
      <c r="Q165" s="127"/>
      <c r="R165" s="154"/>
      <c r="S165" s="129"/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2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2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2:40" ht="35.25">
      <c r="B168" s="11"/>
      <c r="C168" s="6"/>
      <c r="D168" s="2"/>
      <c r="E168" s="2"/>
      <c r="F168" s="2"/>
      <c r="G168" s="2"/>
      <c r="H168" s="1"/>
      <c r="I168" s="1"/>
      <c r="J168" s="1"/>
      <c r="K168" s="3"/>
      <c r="L168" s="2"/>
      <c r="M168" s="2"/>
      <c r="N168" s="1"/>
      <c r="O168" s="1"/>
      <c r="P168" s="2"/>
      <c r="Q168" s="1"/>
      <c r="R168" s="2"/>
      <c r="S168" s="5"/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2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2:40" ht="21" thickTop="1">
      <c r="B170" s="11"/>
      <c r="C170" s="12"/>
      <c r="D170" s="511"/>
      <c r="E170" s="512"/>
      <c r="F170" s="513"/>
      <c r="G170" s="514"/>
      <c r="H170" s="512"/>
      <c r="I170" s="513"/>
      <c r="J170" s="514"/>
      <c r="K170" s="512"/>
      <c r="L170" s="513"/>
      <c r="M170" s="514"/>
      <c r="N170" s="513"/>
      <c r="O170" s="511"/>
      <c r="P170" s="512"/>
      <c r="Q170" s="513"/>
      <c r="R170" s="509"/>
      <c r="S170" s="510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2:40" ht="20.25">
      <c r="B171" s="11"/>
      <c r="C171" s="29"/>
      <c r="D171" s="80"/>
      <c r="E171" s="80"/>
      <c r="F171" s="134"/>
      <c r="G171" s="135"/>
      <c r="H171" s="80"/>
      <c r="I171" s="134"/>
      <c r="J171" s="135"/>
      <c r="K171" s="80"/>
      <c r="L171" s="134"/>
      <c r="M171" s="135"/>
      <c r="N171" s="134"/>
      <c r="O171" s="80"/>
      <c r="P171" s="80"/>
      <c r="Q171" s="134"/>
      <c r="R171" s="135"/>
      <c r="S171" s="136"/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2:40" ht="20.25">
      <c r="B172" s="11"/>
      <c r="C172" s="29"/>
      <c r="D172" s="491"/>
      <c r="E172" s="82"/>
      <c r="F172" s="82"/>
      <c r="G172" s="156"/>
      <c r="H172" s="82"/>
      <c r="I172" s="82"/>
      <c r="J172" s="60"/>
      <c r="K172" s="30"/>
      <c r="L172" s="33"/>
      <c r="M172" s="157"/>
      <c r="N172" s="59"/>
      <c r="O172" s="60"/>
      <c r="P172" s="30"/>
      <c r="Q172" s="33"/>
      <c r="R172" s="157"/>
      <c r="S172" s="85"/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2:40" ht="20.25">
      <c r="B173" s="11"/>
      <c r="C173" s="29"/>
      <c r="D173" s="491"/>
      <c r="E173" s="144"/>
      <c r="F173" s="158"/>
      <c r="G173" s="41"/>
      <c r="H173" s="144"/>
      <c r="I173" s="158"/>
      <c r="J173" s="60"/>
      <c r="K173" s="13"/>
      <c r="L173" s="158"/>
      <c r="M173" s="157"/>
      <c r="N173" s="59"/>
      <c r="O173" s="60"/>
      <c r="P173" s="13"/>
      <c r="Q173" s="158"/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2:40" ht="20.25">
      <c r="B174" s="11"/>
      <c r="C174" s="86"/>
      <c r="D174" s="492"/>
      <c r="E174" s="159"/>
      <c r="F174" s="160"/>
      <c r="G174" s="23"/>
      <c r="H174" s="159"/>
      <c r="I174" s="160"/>
      <c r="J174" s="161"/>
      <c r="K174" s="465"/>
      <c r="L174" s="160"/>
      <c r="M174" s="162"/>
      <c r="N174" s="91"/>
      <c r="O174" s="161"/>
      <c r="P174" s="465"/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2:40" ht="20.25">
      <c r="B175" s="11"/>
      <c r="C175" s="14"/>
      <c r="D175" s="493"/>
      <c r="E175" s="82"/>
      <c r="F175" s="82"/>
      <c r="G175" s="164"/>
      <c r="H175" s="82"/>
      <c r="I175" s="82"/>
      <c r="J175" s="164"/>
      <c r="K175" s="165"/>
      <c r="L175" s="33"/>
      <c r="M175" s="157"/>
      <c r="N175" s="109"/>
      <c r="O175" s="164"/>
      <c r="P175" s="165"/>
      <c r="Q175" s="33"/>
      <c r="R175" s="157"/>
      <c r="S175" s="85"/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2:40" ht="20.25">
      <c r="B176" s="11"/>
      <c r="C176" s="29"/>
      <c r="D176" s="491"/>
      <c r="E176" s="13"/>
      <c r="F176" s="158"/>
      <c r="G176" s="41"/>
      <c r="H176" s="13"/>
      <c r="I176" s="158"/>
      <c r="J176" s="41"/>
      <c r="K176" s="13"/>
      <c r="L176" s="158"/>
      <c r="M176" s="42"/>
      <c r="N176" s="43"/>
      <c r="O176" s="41"/>
      <c r="P176" s="13"/>
      <c r="Q176" s="158"/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2:40" ht="20.25">
      <c r="B177" s="11"/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2:40" ht="20.25">
      <c r="B178" s="11"/>
      <c r="C178" s="29"/>
      <c r="D178" s="491"/>
      <c r="E178" s="82"/>
      <c r="F178" s="82"/>
      <c r="G178" s="41"/>
      <c r="H178" s="82"/>
      <c r="I178" s="82"/>
      <c r="J178" s="60"/>
      <c r="K178" s="165"/>
      <c r="L178" s="33"/>
      <c r="M178" s="157"/>
      <c r="N178" s="59"/>
      <c r="O178" s="60"/>
      <c r="P178" s="165"/>
      <c r="Q178" s="33"/>
      <c r="R178" s="157"/>
      <c r="S178" s="85"/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2:40" ht="20.25">
      <c r="B179" s="11"/>
      <c r="C179" s="29"/>
      <c r="D179" s="491"/>
      <c r="E179" s="144"/>
      <c r="F179" s="158"/>
      <c r="G179" s="41"/>
      <c r="H179" s="144"/>
      <c r="I179" s="158"/>
      <c r="J179" s="60"/>
      <c r="K179" s="144"/>
      <c r="L179" s="158"/>
      <c r="M179" s="157"/>
      <c r="N179" s="59"/>
      <c r="O179" s="60"/>
      <c r="P179" s="144"/>
      <c r="Q179" s="158"/>
      <c r="R179" s="60"/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2:40" ht="20.25">
      <c r="B180" s="11"/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2:40" ht="20.25">
      <c r="B181" s="11"/>
      <c r="C181" s="14"/>
      <c r="D181" s="493"/>
      <c r="E181" s="82"/>
      <c r="F181" s="82"/>
      <c r="G181" s="107"/>
      <c r="H181" s="82"/>
      <c r="I181" s="82"/>
      <c r="J181" s="164"/>
      <c r="K181" s="165"/>
      <c r="L181" s="108"/>
      <c r="M181" s="173"/>
      <c r="N181" s="109"/>
      <c r="O181" s="164"/>
      <c r="P181" s="165"/>
      <c r="Q181" s="108"/>
      <c r="R181" s="157"/>
      <c r="S181" s="110"/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2:40" ht="20.25">
      <c r="B182" s="11"/>
      <c r="C182" s="29"/>
      <c r="D182" s="76"/>
      <c r="E182" s="174"/>
      <c r="F182" s="158"/>
      <c r="G182" s="78"/>
      <c r="H182" s="174"/>
      <c r="I182" s="158"/>
      <c r="J182" s="175"/>
      <c r="K182" s="174"/>
      <c r="L182" s="158"/>
      <c r="M182" s="60"/>
      <c r="N182" s="176"/>
      <c r="O182" s="175"/>
      <c r="P182" s="174"/>
      <c r="Q182" s="158"/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2:40" ht="20.25">
      <c r="B183" s="11"/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2:40" ht="21" thickBot="1">
      <c r="B184" s="11"/>
      <c r="C184" s="29"/>
      <c r="D184" s="13"/>
      <c r="E184" s="13"/>
      <c r="F184" s="59"/>
      <c r="G184" s="41"/>
      <c r="H184" s="82"/>
      <c r="I184" s="82"/>
      <c r="J184" s="60"/>
      <c r="K184" s="82"/>
      <c r="L184" s="82"/>
      <c r="M184" s="175"/>
      <c r="N184" s="59"/>
      <c r="O184" s="60"/>
      <c r="P184" s="82"/>
      <c r="Q184" s="82"/>
      <c r="R184" s="184"/>
      <c r="S184" s="85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2:40" ht="21" thickTop="1">
      <c r="B185" s="11"/>
      <c r="C185" s="185"/>
      <c r="D185" s="186"/>
      <c r="E185" s="186"/>
      <c r="F185" s="187"/>
      <c r="G185" s="188"/>
      <c r="H185" s="186"/>
      <c r="I185" s="187"/>
      <c r="J185" s="188"/>
      <c r="K185" s="186"/>
      <c r="L185" s="187"/>
      <c r="M185" s="189"/>
      <c r="N185" s="187"/>
      <c r="O185" s="188"/>
      <c r="P185" s="186"/>
      <c r="Q185" s="187"/>
      <c r="R185" s="42"/>
      <c r="S185" s="190"/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2:40" ht="20.25">
      <c r="B186" s="11"/>
      <c r="C186" s="191"/>
      <c r="D186" s="192"/>
      <c r="E186" s="192"/>
      <c r="F186" s="193"/>
      <c r="G186" s="194"/>
      <c r="H186" s="192"/>
      <c r="I186" s="43"/>
      <c r="J186" s="194"/>
      <c r="K186" s="443"/>
      <c r="L186" s="43"/>
      <c r="M186" s="194"/>
      <c r="N186" s="193"/>
      <c r="O186" s="194"/>
      <c r="P186" s="443"/>
      <c r="Q186" s="43"/>
      <c r="R186" s="194"/>
      <c r="S186" s="44"/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2:40" ht="20.25">
      <c r="B187" s="11"/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2:40" ht="20.25">
      <c r="B188" s="11"/>
      <c r="C188" s="29"/>
      <c r="D188" s="82"/>
      <c r="E188" s="82"/>
      <c r="F188" s="82"/>
      <c r="G188" s="60"/>
      <c r="H188" s="82"/>
      <c r="I188" s="82"/>
      <c r="J188" s="60"/>
      <c r="K188" s="30"/>
      <c r="L188" s="33"/>
      <c r="M188" s="84"/>
      <c r="N188" s="59"/>
      <c r="O188" s="60"/>
      <c r="P188" s="30"/>
      <c r="Q188" s="33"/>
      <c r="R188" s="157"/>
      <c r="S188" s="85"/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2:40" ht="20.25">
      <c r="B189" s="11"/>
      <c r="C189" s="29"/>
      <c r="D189" s="13"/>
      <c r="E189" s="144"/>
      <c r="F189" s="158"/>
      <c r="G189" s="41"/>
      <c r="H189" s="144"/>
      <c r="I189" s="158"/>
      <c r="J189" s="175"/>
      <c r="K189" s="174"/>
      <c r="L189" s="158"/>
      <c r="M189" s="175"/>
      <c r="N189" s="176"/>
      <c r="O189" s="175"/>
      <c r="P189" s="174"/>
      <c r="Q189" s="158"/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2:40" ht="20.25" hidden="1">
      <c r="B190" s="11"/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2:40" ht="20.25" hidden="1">
      <c r="B191" s="11"/>
      <c r="C191" s="29"/>
      <c r="D191" s="13"/>
      <c r="E191" s="82"/>
      <c r="F191" s="82"/>
      <c r="G191" s="41"/>
      <c r="H191" s="82"/>
      <c r="I191" s="82"/>
      <c r="J191" s="175"/>
      <c r="K191" s="30"/>
      <c r="L191" s="158"/>
      <c r="M191" s="175"/>
      <c r="N191" s="176"/>
      <c r="O191" s="175"/>
      <c r="P191" s="30"/>
      <c r="Q191" s="158"/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2:40" ht="20.25" hidden="1">
      <c r="B192" s="11"/>
      <c r="C192" s="29"/>
      <c r="D192" s="13"/>
      <c r="E192" s="144"/>
      <c r="F192" s="158"/>
      <c r="G192" s="41"/>
      <c r="H192" s="144"/>
      <c r="I192" s="158"/>
      <c r="J192" s="175"/>
      <c r="K192" s="174"/>
      <c r="L192" s="158"/>
      <c r="M192" s="175"/>
      <c r="N192" s="176"/>
      <c r="O192" s="175"/>
      <c r="P192" s="174"/>
      <c r="Q192" s="158"/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2:40" ht="21" thickBot="1">
      <c r="B193" s="11"/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2:40" ht="21" thickTop="1">
      <c r="B194" s="11"/>
      <c r="C194" s="62"/>
      <c r="D194" s="63"/>
      <c r="E194" s="63"/>
      <c r="F194" s="65"/>
      <c r="G194" s="66"/>
      <c r="H194" s="63"/>
      <c r="I194" s="65"/>
      <c r="J194" s="66"/>
      <c r="K194" s="63"/>
      <c r="L194" s="65"/>
      <c r="M194" s="206"/>
      <c r="N194" s="65"/>
      <c r="O194" s="66"/>
      <c r="P194" s="63"/>
      <c r="Q194" s="65"/>
      <c r="R194" s="206"/>
      <c r="S194" s="68"/>
      <c r="T194" s="112"/>
      <c r="U194" s="13"/>
      <c r="V194" s="11"/>
      <c r="W194" s="497"/>
      <c r="X194" s="490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2:40" ht="21" thickBot="1">
      <c r="B195" s="11"/>
      <c r="C195" s="69"/>
      <c r="D195" s="70"/>
      <c r="E195" s="70"/>
      <c r="F195" s="74"/>
      <c r="G195" s="72"/>
      <c r="H195" s="70"/>
      <c r="I195" s="74"/>
      <c r="J195" s="72"/>
      <c r="K195" s="70"/>
      <c r="L195" s="74"/>
      <c r="M195" s="73"/>
      <c r="N195" s="74"/>
      <c r="O195" s="72"/>
      <c r="P195" s="70"/>
      <c r="Q195" s="74"/>
      <c r="R195" s="73"/>
      <c r="S195" s="75"/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2:40" ht="21" thickTop="1">
      <c r="B196" s="11"/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2:40" ht="20.25">
      <c r="B197" s="11"/>
      <c r="C197" s="79"/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2:40" ht="20.25">
      <c r="B198" s="11"/>
      <c r="C198" s="102"/>
      <c r="D198" s="13"/>
      <c r="E198" s="13"/>
      <c r="F198" s="30"/>
      <c r="G198" s="41"/>
      <c r="H198" s="13"/>
      <c r="I198" s="30"/>
      <c r="J198" s="41"/>
      <c r="K198" s="13"/>
      <c r="L198" s="33"/>
      <c r="M198" s="41"/>
      <c r="N198" s="59"/>
      <c r="O198" s="41"/>
      <c r="P198" s="13"/>
      <c r="Q198" s="33"/>
      <c r="R198" s="41"/>
      <c r="S198" s="85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2:40" ht="20.25">
      <c r="B199" s="11"/>
      <c r="C199" s="103"/>
      <c r="D199" s="81"/>
      <c r="E199" s="13"/>
      <c r="F199" s="22"/>
      <c r="G199" s="83"/>
      <c r="H199" s="13"/>
      <c r="I199" s="22"/>
      <c r="J199" s="41"/>
      <c r="K199" s="13"/>
      <c r="L199" s="33"/>
      <c r="M199" s="41"/>
      <c r="N199" s="59"/>
      <c r="O199" s="41"/>
      <c r="P199" s="13"/>
      <c r="Q199" s="33"/>
      <c r="R199" s="41"/>
      <c r="S199" s="85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2:40" ht="20.25">
      <c r="B200" s="11"/>
      <c r="C200" s="102"/>
      <c r="D200" s="104"/>
      <c r="E200" s="105"/>
      <c r="F200" s="30"/>
      <c r="G200" s="106"/>
      <c r="H200" s="105"/>
      <c r="I200" s="30"/>
      <c r="J200" s="107"/>
      <c r="K200" s="105"/>
      <c r="L200" s="108"/>
      <c r="M200" s="107"/>
      <c r="N200" s="109"/>
      <c r="O200" s="107"/>
      <c r="P200" s="105"/>
      <c r="Q200" s="108"/>
      <c r="R200" s="107"/>
      <c r="S200" s="110"/>
      <c r="T200" s="13"/>
      <c r="U200" s="13"/>
      <c r="V200" s="462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2:40" ht="20.25">
      <c r="B201" s="11"/>
      <c r="C201" s="102"/>
      <c r="D201" s="81"/>
      <c r="E201" s="13"/>
      <c r="F201" s="30"/>
      <c r="G201" s="83"/>
      <c r="H201" s="13"/>
      <c r="I201" s="30"/>
      <c r="J201" s="41"/>
      <c r="K201" s="13"/>
      <c r="L201" s="33"/>
      <c r="M201" s="41"/>
      <c r="N201" s="59"/>
      <c r="O201" s="41"/>
      <c r="P201" s="13"/>
      <c r="Q201" s="33"/>
      <c r="R201" s="41"/>
      <c r="S201" s="85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2:40" ht="20.25" hidden="1">
      <c r="B202" s="11"/>
      <c r="C202" s="29"/>
      <c r="D202" s="81"/>
      <c r="E202" s="13"/>
      <c r="F202" s="30"/>
      <c r="G202" s="83"/>
      <c r="H202" s="13"/>
      <c r="I202" s="30"/>
      <c r="J202" s="41"/>
      <c r="K202" s="13"/>
      <c r="L202" s="33"/>
      <c r="M202" s="41"/>
      <c r="N202" s="59"/>
      <c r="O202" s="41"/>
      <c r="P202" s="13"/>
      <c r="Q202" s="33"/>
      <c r="R202" s="41"/>
      <c r="S202" s="85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2:40" ht="20.25" hidden="1">
      <c r="B203" s="11"/>
      <c r="C203" s="29"/>
      <c r="D203" s="81"/>
      <c r="E203" s="13"/>
      <c r="F203" s="30"/>
      <c r="G203" s="83"/>
      <c r="H203" s="13"/>
      <c r="I203" s="30"/>
      <c r="J203" s="41"/>
      <c r="K203" s="13"/>
      <c r="L203" s="33"/>
      <c r="M203" s="41"/>
      <c r="N203" s="59"/>
      <c r="O203" s="41"/>
      <c r="P203" s="13"/>
      <c r="Q203" s="33"/>
      <c r="R203" s="41"/>
      <c r="S203" s="85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2:40" ht="20.25" hidden="1">
      <c r="B204" s="11"/>
      <c r="C204" s="29"/>
      <c r="D204" s="81"/>
      <c r="E204" s="13"/>
      <c r="F204" s="30"/>
      <c r="G204" s="83"/>
      <c r="H204" s="13"/>
      <c r="I204" s="30"/>
      <c r="J204" s="41"/>
      <c r="K204" s="13"/>
      <c r="L204" s="33"/>
      <c r="M204" s="41"/>
      <c r="N204" s="59"/>
      <c r="O204" s="41"/>
      <c r="P204" s="13"/>
      <c r="Q204" s="33"/>
      <c r="R204" s="41"/>
      <c r="S204" s="85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2:40" ht="20.25">
      <c r="B205" s="11"/>
      <c r="C205" s="103"/>
      <c r="D205" s="81"/>
      <c r="E205" s="13"/>
      <c r="F205" s="30"/>
      <c r="G205" s="83"/>
      <c r="H205" s="13"/>
      <c r="I205" s="30"/>
      <c r="J205" s="41"/>
      <c r="K205" s="13"/>
      <c r="L205" s="33"/>
      <c r="M205" s="41"/>
      <c r="N205" s="59"/>
      <c r="O205" s="41"/>
      <c r="P205" s="13"/>
      <c r="Q205" s="33"/>
      <c r="R205" s="41"/>
      <c r="S205" s="85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2:40" ht="20.25">
      <c r="B206" s="11"/>
      <c r="C206" s="102"/>
      <c r="D206" s="104"/>
      <c r="E206" s="105"/>
      <c r="F206" s="55"/>
      <c r="G206" s="106"/>
      <c r="H206" s="105"/>
      <c r="I206" s="55"/>
      <c r="J206" s="107"/>
      <c r="K206" s="105"/>
      <c r="L206" s="108"/>
      <c r="M206" s="107"/>
      <c r="N206" s="109"/>
      <c r="O206" s="107"/>
      <c r="P206" s="105"/>
      <c r="Q206" s="108"/>
      <c r="R206" s="107"/>
      <c r="S206" s="110"/>
      <c r="T206" s="13"/>
      <c r="U206" s="13"/>
      <c r="V206" s="462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2:40" ht="20.25">
      <c r="B207" s="11"/>
      <c r="C207" s="102"/>
      <c r="D207" s="81"/>
      <c r="E207" s="13"/>
      <c r="F207" s="30"/>
      <c r="G207" s="83"/>
      <c r="H207" s="13"/>
      <c r="I207" s="30"/>
      <c r="J207" s="41"/>
      <c r="K207" s="13"/>
      <c r="L207" s="33"/>
      <c r="M207" s="41"/>
      <c r="N207" s="59"/>
      <c r="O207" s="41"/>
      <c r="P207" s="13"/>
      <c r="Q207" s="33"/>
      <c r="R207" s="41"/>
      <c r="S207" s="85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2:40" ht="20.25">
      <c r="B208" s="11"/>
      <c r="C208" s="102"/>
      <c r="D208" s="81"/>
      <c r="E208" s="13"/>
      <c r="F208" s="30"/>
      <c r="G208" s="83"/>
      <c r="H208" s="13"/>
      <c r="I208" s="30"/>
      <c r="J208" s="41"/>
      <c r="K208" s="13"/>
      <c r="L208" s="33"/>
      <c r="M208" s="467"/>
      <c r="N208" s="146"/>
      <c r="O208" s="467"/>
      <c r="P208" s="468"/>
      <c r="Q208" s="22"/>
      <c r="R208" s="467"/>
      <c r="S208" s="469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2:40" ht="20.25" hidden="1">
      <c r="B209" s="11"/>
      <c r="C209" s="29"/>
      <c r="D209" s="87"/>
      <c r="E209" s="111"/>
      <c r="F209" s="30"/>
      <c r="G209" s="89"/>
      <c r="H209" s="111"/>
      <c r="I209" s="30"/>
      <c r="J209" s="23"/>
      <c r="K209" s="111"/>
      <c r="L209" s="33"/>
      <c r="M209" s="23"/>
      <c r="N209" s="91"/>
      <c r="O209" s="23"/>
      <c r="P209" s="111"/>
      <c r="Q209" s="33"/>
      <c r="R209" s="23"/>
      <c r="S209" s="92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2:40" ht="20.25">
      <c r="B210" s="11"/>
      <c r="C210" s="93"/>
      <c r="D210" s="94"/>
      <c r="E210" s="95"/>
      <c r="F210" s="96"/>
      <c r="G210" s="97"/>
      <c r="H210" s="95"/>
      <c r="I210" s="96"/>
      <c r="J210" s="97"/>
      <c r="K210" s="95"/>
      <c r="L210" s="96"/>
      <c r="M210" s="147"/>
      <c r="N210" s="113"/>
      <c r="O210" s="97"/>
      <c r="P210" s="95"/>
      <c r="Q210" s="96"/>
      <c r="R210" s="147"/>
      <c r="S210" s="114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2:40" ht="20.25">
      <c r="B211" s="11"/>
      <c r="C211" s="29"/>
      <c r="D211" s="81"/>
      <c r="E211" s="13"/>
      <c r="F211" s="30"/>
      <c r="G211" s="83"/>
      <c r="H211" s="13"/>
      <c r="I211" s="30"/>
      <c r="J211" s="41"/>
      <c r="K211" s="13"/>
      <c r="L211" s="33"/>
      <c r="M211" s="41"/>
      <c r="N211" s="59"/>
      <c r="O211" s="41"/>
      <c r="P211" s="13"/>
      <c r="Q211" s="33"/>
      <c r="R211" s="41"/>
      <c r="S211" s="85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2:40" ht="20.25">
      <c r="B212" s="11"/>
      <c r="C212" s="29"/>
      <c r="D212" s="81"/>
      <c r="E212" s="13"/>
      <c r="F212" s="30"/>
      <c r="G212" s="83"/>
      <c r="H212" s="13"/>
      <c r="I212" s="30"/>
      <c r="J212" s="41"/>
      <c r="K212" s="13"/>
      <c r="L212" s="33"/>
      <c r="M212" s="41"/>
      <c r="N212" s="59"/>
      <c r="O212" s="41"/>
      <c r="P212" s="13"/>
      <c r="Q212" s="33"/>
      <c r="R212" s="41"/>
      <c r="S212" s="85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2:40" ht="20.25">
      <c r="B213" s="11"/>
      <c r="C213" s="86"/>
      <c r="D213" s="87"/>
      <c r="E213" s="111"/>
      <c r="F213" s="22"/>
      <c r="G213" s="89"/>
      <c r="H213" s="111"/>
      <c r="I213" s="22"/>
      <c r="J213" s="23"/>
      <c r="K213" s="111"/>
      <c r="L213" s="33"/>
      <c r="M213" s="23"/>
      <c r="N213" s="91"/>
      <c r="O213" s="23"/>
      <c r="P213" s="111"/>
      <c r="Q213" s="33"/>
      <c r="R213" s="23"/>
      <c r="S213" s="92"/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2:40" ht="20.25">
      <c r="B214" s="11"/>
      <c r="C214" s="29"/>
      <c r="D214" s="81"/>
      <c r="E214" s="13"/>
      <c r="F214" s="30"/>
      <c r="G214" s="83"/>
      <c r="H214" s="13"/>
      <c r="I214" s="30"/>
      <c r="J214" s="41"/>
      <c r="K214" s="13"/>
      <c r="L214" s="108"/>
      <c r="M214" s="41"/>
      <c r="N214" s="59"/>
      <c r="O214" s="41"/>
      <c r="P214" s="13"/>
      <c r="Q214" s="108"/>
      <c r="R214" s="41"/>
      <c r="S214" s="85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2:40" ht="20.25">
      <c r="B215" s="11"/>
      <c r="C215" s="29"/>
      <c r="D215" s="81"/>
      <c r="E215" s="13"/>
      <c r="F215" s="30"/>
      <c r="G215" s="83"/>
      <c r="H215" s="13"/>
      <c r="I215" s="30"/>
      <c r="J215" s="41"/>
      <c r="K215" s="13"/>
      <c r="L215" s="33"/>
      <c r="M215" s="41"/>
      <c r="N215" s="59"/>
      <c r="O215" s="41"/>
      <c r="P215" s="13"/>
      <c r="Q215" s="33"/>
      <c r="R215" s="41"/>
      <c r="S215" s="85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2:40" ht="20.25">
      <c r="B216" s="11"/>
      <c r="C216" s="86"/>
      <c r="D216" s="87"/>
      <c r="E216" s="111"/>
      <c r="F216" s="22"/>
      <c r="G216" s="89"/>
      <c r="H216" s="111"/>
      <c r="I216" s="22"/>
      <c r="J216" s="23"/>
      <c r="K216" s="111"/>
      <c r="L216" s="22"/>
      <c r="M216" s="467"/>
      <c r="N216" s="146"/>
      <c r="O216" s="467"/>
      <c r="P216" s="468"/>
      <c r="Q216" s="22"/>
      <c r="R216" s="23"/>
      <c r="S216" s="92"/>
      <c r="T216" s="13"/>
      <c r="U216" s="13"/>
      <c r="V216" s="462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2:40" ht="20.25" hidden="1">
      <c r="B217" s="11"/>
      <c r="C217" s="29"/>
      <c r="D217" s="81"/>
      <c r="E217" s="13"/>
      <c r="F217" s="30"/>
      <c r="G217" s="83"/>
      <c r="H217" s="13"/>
      <c r="I217" s="30"/>
      <c r="J217" s="41"/>
      <c r="K217" s="13"/>
      <c r="L217" s="33"/>
      <c r="M217" s="41"/>
      <c r="N217" s="59"/>
      <c r="O217" s="41"/>
      <c r="P217" s="13"/>
      <c r="Q217" s="33"/>
      <c r="R217" s="41"/>
      <c r="S217" s="85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2:40" ht="20.25">
      <c r="B218" s="11"/>
      <c r="C218" s="29"/>
      <c r="D218" s="81"/>
      <c r="E218" s="13"/>
      <c r="F218" s="30"/>
      <c r="G218" s="83"/>
      <c r="H218" s="13"/>
      <c r="I218" s="30"/>
      <c r="J218" s="41"/>
      <c r="K218" s="13"/>
      <c r="L218" s="33"/>
      <c r="M218" s="41"/>
      <c r="N218" s="59"/>
      <c r="O218" s="41"/>
      <c r="P218" s="13"/>
      <c r="Q218" s="33"/>
      <c r="R218" s="41"/>
      <c r="S218" s="85"/>
      <c r="T218" s="13"/>
      <c r="U218" s="13"/>
      <c r="V218" s="462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2:40" ht="20.25">
      <c r="B219" s="11"/>
      <c r="C219" s="29"/>
      <c r="D219" s="81"/>
      <c r="E219" s="13"/>
      <c r="F219" s="30"/>
      <c r="G219" s="83"/>
      <c r="H219" s="13"/>
      <c r="I219" s="30"/>
      <c r="J219" s="41"/>
      <c r="K219" s="13"/>
      <c r="L219" s="33"/>
      <c r="M219" s="41"/>
      <c r="N219" s="59"/>
      <c r="O219" s="41"/>
      <c r="P219" s="13"/>
      <c r="Q219" s="33"/>
      <c r="R219" s="41"/>
      <c r="S219" s="85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2:40" ht="20.25">
      <c r="B220" s="11"/>
      <c r="C220" s="29"/>
      <c r="D220" s="81"/>
      <c r="E220" s="13"/>
      <c r="F220" s="30"/>
      <c r="G220" s="83"/>
      <c r="H220" s="13"/>
      <c r="I220" s="30"/>
      <c r="J220" s="41"/>
      <c r="K220" s="13"/>
      <c r="L220" s="32"/>
      <c r="M220" s="41"/>
      <c r="N220" s="59"/>
      <c r="O220" s="41"/>
      <c r="P220" s="13"/>
      <c r="Q220" s="32"/>
      <c r="R220" s="41"/>
      <c r="S220" s="85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2:40" ht="20.25">
      <c r="B221" s="11"/>
      <c r="C221" s="29"/>
      <c r="D221" s="81"/>
      <c r="E221" s="13"/>
      <c r="F221" s="30"/>
      <c r="G221" s="83"/>
      <c r="H221" s="13"/>
      <c r="I221" s="30"/>
      <c r="J221" s="41"/>
      <c r="K221" s="13"/>
      <c r="L221" s="33"/>
      <c r="M221" s="41"/>
      <c r="N221" s="59"/>
      <c r="O221" s="41"/>
      <c r="P221" s="13"/>
      <c r="Q221" s="33"/>
      <c r="R221" s="41"/>
      <c r="S221" s="85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2:40" ht="20.25">
      <c r="B222" s="11"/>
      <c r="C222" s="29"/>
      <c r="D222" s="81"/>
      <c r="E222" s="13"/>
      <c r="F222" s="30"/>
      <c r="G222" s="83"/>
      <c r="H222" s="13"/>
      <c r="I222" s="30"/>
      <c r="J222" s="41"/>
      <c r="K222" s="13"/>
      <c r="L222" s="33"/>
      <c r="M222" s="41"/>
      <c r="N222" s="59"/>
      <c r="O222" s="41"/>
      <c r="P222" s="13"/>
      <c r="Q222" s="33"/>
      <c r="R222" s="41"/>
      <c r="S222" s="85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2:40" ht="20.25">
      <c r="B223" s="11"/>
      <c r="C223" s="29"/>
      <c r="D223" s="81"/>
      <c r="E223" s="13"/>
      <c r="F223" s="30"/>
      <c r="G223" s="83"/>
      <c r="H223" s="13"/>
      <c r="I223" s="30"/>
      <c r="J223" s="41"/>
      <c r="K223" s="13"/>
      <c r="L223" s="33"/>
      <c r="M223" s="41"/>
      <c r="N223" s="59"/>
      <c r="O223" s="41"/>
      <c r="P223" s="13"/>
      <c r="Q223" s="33"/>
      <c r="R223" s="41"/>
      <c r="S223" s="85"/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2:40" ht="20.25">
      <c r="B224" s="11"/>
      <c r="C224" s="29"/>
      <c r="D224" s="81"/>
      <c r="E224" s="13"/>
      <c r="F224" s="30"/>
      <c r="G224" s="83"/>
      <c r="H224" s="13"/>
      <c r="I224" s="30"/>
      <c r="J224" s="41"/>
      <c r="K224" s="13"/>
      <c r="L224" s="33"/>
      <c r="M224" s="41"/>
      <c r="N224" s="59"/>
      <c r="O224" s="41"/>
      <c r="P224" s="13"/>
      <c r="Q224" s="33"/>
      <c r="R224" s="41"/>
      <c r="S224" s="85"/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2:40" ht="20.25">
      <c r="B225" s="11"/>
      <c r="C225" s="29"/>
      <c r="D225" s="81"/>
      <c r="E225" s="13"/>
      <c r="F225" s="30"/>
      <c r="G225" s="83"/>
      <c r="H225" s="13"/>
      <c r="I225" s="30"/>
      <c r="J225" s="41"/>
      <c r="K225" s="13"/>
      <c r="L225" s="33"/>
      <c r="M225" s="41"/>
      <c r="N225" s="59"/>
      <c r="O225" s="41"/>
      <c r="P225" s="13"/>
      <c r="Q225" s="33"/>
      <c r="R225" s="41"/>
      <c r="S225" s="85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2:40" ht="20.25" hidden="1">
      <c r="B226" s="11"/>
      <c r="C226" s="29"/>
      <c r="D226" s="81"/>
      <c r="E226" s="13"/>
      <c r="F226" s="30"/>
      <c r="G226" s="83"/>
      <c r="H226" s="13"/>
      <c r="I226" s="30"/>
      <c r="J226" s="41"/>
      <c r="K226" s="13"/>
      <c r="L226" s="33"/>
      <c r="M226" s="41"/>
      <c r="N226" s="59"/>
      <c r="O226" s="41"/>
      <c r="P226" s="13"/>
      <c r="Q226" s="33"/>
      <c r="R226" s="41"/>
      <c r="S226" s="85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2:40" ht="20.25" hidden="1">
      <c r="B227" s="11"/>
      <c r="C227" s="29"/>
      <c r="D227" s="81"/>
      <c r="E227" s="13"/>
      <c r="F227" s="30"/>
      <c r="G227" s="83"/>
      <c r="H227" s="13"/>
      <c r="I227" s="30"/>
      <c r="J227" s="41"/>
      <c r="K227" s="13"/>
      <c r="L227" s="33"/>
      <c r="M227" s="41"/>
      <c r="N227" s="59"/>
      <c r="O227" s="41"/>
      <c r="P227" s="13"/>
      <c r="Q227" s="33"/>
      <c r="R227" s="41"/>
      <c r="S227" s="85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2:40" ht="20.25" hidden="1">
      <c r="B228" s="11"/>
      <c r="C228" s="29"/>
      <c r="D228" s="81"/>
      <c r="E228" s="13"/>
      <c r="F228" s="30"/>
      <c r="G228" s="83"/>
      <c r="H228" s="13"/>
      <c r="I228" s="30"/>
      <c r="J228" s="41"/>
      <c r="K228" s="13"/>
      <c r="L228" s="33"/>
      <c r="M228" s="41"/>
      <c r="N228" s="59"/>
      <c r="O228" s="41"/>
      <c r="P228" s="13"/>
      <c r="Q228" s="33"/>
      <c r="R228" s="41"/>
      <c r="S228" s="85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2:40" ht="20.25">
      <c r="B229" s="11"/>
      <c r="C229" s="93"/>
      <c r="D229" s="94"/>
      <c r="E229" s="95"/>
      <c r="F229" s="96"/>
      <c r="G229" s="97"/>
      <c r="H229" s="95"/>
      <c r="I229" s="96"/>
      <c r="J229" s="97"/>
      <c r="K229" s="95"/>
      <c r="L229" s="96"/>
      <c r="M229" s="100"/>
      <c r="N229" s="96"/>
      <c r="O229" s="97"/>
      <c r="P229" s="95"/>
      <c r="Q229" s="96"/>
      <c r="R229" s="100"/>
      <c r="S229" s="101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2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2:40" ht="20.25">
      <c r="B231" s="11"/>
      <c r="C231" s="93"/>
      <c r="D231" s="94"/>
      <c r="E231" s="95"/>
      <c r="F231" s="96"/>
      <c r="G231" s="97"/>
      <c r="H231" s="95"/>
      <c r="I231" s="96"/>
      <c r="J231" s="97"/>
      <c r="K231" s="95"/>
      <c r="L231" s="96"/>
      <c r="M231" s="100"/>
      <c r="N231" s="113"/>
      <c r="O231" s="97"/>
      <c r="P231" s="95"/>
      <c r="Q231" s="96"/>
      <c r="R231" s="100"/>
      <c r="S231" s="114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2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2:40" ht="21" thickBot="1">
      <c r="B233" s="11"/>
      <c r="C233" s="124"/>
      <c r="D233" s="152"/>
      <c r="E233" s="125"/>
      <c r="F233" s="127"/>
      <c r="G233" s="153"/>
      <c r="H233" s="125"/>
      <c r="I233" s="127"/>
      <c r="J233" s="154"/>
      <c r="K233" s="126"/>
      <c r="L233" s="127"/>
      <c r="M233" s="154"/>
      <c r="N233" s="127"/>
      <c r="O233" s="154"/>
      <c r="P233" s="126"/>
      <c r="Q233" s="127"/>
      <c r="R233" s="154"/>
      <c r="S233" s="129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2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2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2:40" ht="35.25">
      <c r="B236" s="11"/>
      <c r="C236" s="6"/>
      <c r="D236" s="2"/>
      <c r="E236" s="2"/>
      <c r="F236" s="2"/>
      <c r="G236" s="2"/>
      <c r="H236" s="1"/>
      <c r="I236" s="1"/>
      <c r="J236" s="1"/>
      <c r="K236" s="3"/>
      <c r="L236" s="2"/>
      <c r="M236" s="2"/>
      <c r="N236" s="1"/>
      <c r="O236" s="1"/>
      <c r="P236" s="2"/>
      <c r="Q236" s="1"/>
      <c r="R236" s="2"/>
      <c r="S236" s="5"/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2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2:40" ht="21" thickTop="1">
      <c r="B238" s="11"/>
      <c r="C238" s="12"/>
      <c r="D238" s="511"/>
      <c r="E238" s="512"/>
      <c r="F238" s="513"/>
      <c r="G238" s="514"/>
      <c r="H238" s="512"/>
      <c r="I238" s="513"/>
      <c r="J238" s="514"/>
      <c r="K238" s="512"/>
      <c r="L238" s="513"/>
      <c r="M238" s="514"/>
      <c r="N238" s="513"/>
      <c r="O238" s="511"/>
      <c r="P238" s="512"/>
      <c r="Q238" s="513"/>
      <c r="R238" s="509"/>
      <c r="S238" s="510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2:40" ht="20.25">
      <c r="B239" s="11"/>
      <c r="C239" s="29"/>
      <c r="D239" s="80"/>
      <c r="E239" s="80"/>
      <c r="F239" s="134"/>
      <c r="G239" s="135"/>
      <c r="H239" s="80"/>
      <c r="I239" s="134"/>
      <c r="J239" s="135"/>
      <c r="K239" s="80"/>
      <c r="L239" s="134"/>
      <c r="M239" s="135"/>
      <c r="N239" s="134"/>
      <c r="O239" s="80"/>
      <c r="P239" s="80"/>
      <c r="Q239" s="134"/>
      <c r="R239" s="135"/>
      <c r="S239" s="136"/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2:40" ht="20.25">
      <c r="B240" s="11"/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2:40" ht="20.25">
      <c r="B241" s="11"/>
      <c r="C241" s="29"/>
      <c r="D241" s="80"/>
      <c r="E241" s="82"/>
      <c r="F241" s="82"/>
      <c r="G241" s="156"/>
      <c r="H241" s="82"/>
      <c r="I241" s="82"/>
      <c r="J241" s="60"/>
      <c r="K241" s="30"/>
      <c r="L241" s="33"/>
      <c r="M241" s="157"/>
      <c r="N241" s="59"/>
      <c r="O241" s="60"/>
      <c r="P241" s="30"/>
      <c r="Q241" s="33"/>
      <c r="R241" s="157"/>
      <c r="S241" s="85"/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2:40" ht="20.25">
      <c r="B242" s="11"/>
      <c r="C242" s="29"/>
      <c r="D242" s="80"/>
      <c r="E242" s="144"/>
      <c r="F242" s="158"/>
      <c r="G242" s="41"/>
      <c r="H242" s="144"/>
      <c r="I242" s="158"/>
      <c r="J242" s="60"/>
      <c r="K242" s="13"/>
      <c r="L242" s="158"/>
      <c r="M242" s="157"/>
      <c r="N242" s="470"/>
      <c r="O242" s="60"/>
      <c r="P242" s="13"/>
      <c r="Q242" s="158"/>
      <c r="R242" s="60"/>
      <c r="S242" s="85"/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2:40" ht="20.25">
      <c r="B243" s="11"/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2:40" ht="20.25">
      <c r="B244" s="11"/>
      <c r="C244" s="14"/>
      <c r="D244" s="105"/>
      <c r="E244" s="82"/>
      <c r="F244" s="82"/>
      <c r="G244" s="209"/>
      <c r="H244" s="82"/>
      <c r="I244" s="82"/>
      <c r="J244" s="164"/>
      <c r="K244" s="165"/>
      <c r="L244" s="108"/>
      <c r="M244" s="173"/>
      <c r="N244" s="109"/>
      <c r="O244" s="164"/>
      <c r="P244" s="165"/>
      <c r="Q244" s="108"/>
      <c r="R244" s="157"/>
      <c r="S244" s="110"/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2:40" ht="20.25">
      <c r="B245" s="11"/>
      <c r="C245" s="29"/>
      <c r="D245" s="13"/>
      <c r="E245" s="144"/>
      <c r="F245" s="158"/>
      <c r="G245" s="41"/>
      <c r="H245" s="144"/>
      <c r="I245" s="158"/>
      <c r="J245" s="60"/>
      <c r="K245" s="13"/>
      <c r="L245" s="158"/>
      <c r="M245" s="157"/>
      <c r="N245" s="59"/>
      <c r="O245" s="60"/>
      <c r="P245" s="13"/>
      <c r="Q245" s="158"/>
      <c r="R245" s="60"/>
      <c r="S245" s="85"/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2:40" ht="20.25">
      <c r="B246" s="11"/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2:40" ht="20.25">
      <c r="B247" s="11"/>
      <c r="C247" s="14"/>
      <c r="D247" s="163"/>
      <c r="E247" s="82"/>
      <c r="F247" s="82"/>
      <c r="G247" s="164"/>
      <c r="H247" s="82"/>
      <c r="I247" s="82"/>
      <c r="J247" s="164"/>
      <c r="K247" s="30"/>
      <c r="L247" s="33"/>
      <c r="M247" s="157"/>
      <c r="N247" s="109"/>
      <c r="O247" s="164"/>
      <c r="P247" s="30"/>
      <c r="Q247" s="33"/>
      <c r="R247" s="157"/>
      <c r="S247" s="85"/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2:40" ht="20.25">
      <c r="B248" s="11"/>
      <c r="C248" s="29"/>
      <c r="D248" s="13"/>
      <c r="E248" s="13"/>
      <c r="F248" s="158"/>
      <c r="G248" s="41"/>
      <c r="H248" s="13"/>
      <c r="I248" s="158"/>
      <c r="J248" s="41"/>
      <c r="K248" s="13"/>
      <c r="L248" s="158"/>
      <c r="M248" s="42"/>
      <c r="N248" s="43"/>
      <c r="O248" s="41"/>
      <c r="P248" s="13"/>
      <c r="Q248" s="158"/>
      <c r="R248" s="42"/>
      <c r="S248" s="44"/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2:40" ht="21" thickBot="1">
      <c r="B249" s="11"/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2:40" ht="21" thickTop="1">
      <c r="B250" s="11"/>
      <c r="C250" s="62"/>
      <c r="D250" s="63"/>
      <c r="E250" s="63"/>
      <c r="F250" s="65"/>
      <c r="G250" s="66"/>
      <c r="H250" s="63"/>
      <c r="I250" s="65"/>
      <c r="J250" s="66"/>
      <c r="K250" s="63"/>
      <c r="L250" s="65"/>
      <c r="M250" s="206"/>
      <c r="N250" s="65"/>
      <c r="O250" s="66"/>
      <c r="P250" s="63"/>
      <c r="Q250" s="65"/>
      <c r="R250" s="206"/>
      <c r="S250" s="68"/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2:40" ht="21" thickBot="1">
      <c r="B251" s="11"/>
      <c r="C251" s="69"/>
      <c r="D251" s="70"/>
      <c r="E251" s="70"/>
      <c r="F251" s="74"/>
      <c r="G251" s="72"/>
      <c r="H251" s="70"/>
      <c r="I251" s="74"/>
      <c r="J251" s="72"/>
      <c r="K251" s="70"/>
      <c r="L251" s="74"/>
      <c r="M251" s="73"/>
      <c r="N251" s="74"/>
      <c r="O251" s="72"/>
      <c r="P251" s="70"/>
      <c r="Q251" s="74"/>
      <c r="R251" s="73"/>
      <c r="S251" s="75"/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2:40" ht="21" thickTop="1">
      <c r="B252" s="11"/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2:40" ht="20.25">
      <c r="B253" s="11"/>
      <c r="C253" s="7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2:40" ht="20.25">
      <c r="B254" s="11"/>
      <c r="C254" s="102"/>
      <c r="D254" s="13"/>
      <c r="E254" s="13"/>
      <c r="F254" s="30"/>
      <c r="G254" s="41"/>
      <c r="H254" s="13"/>
      <c r="I254" s="30"/>
      <c r="J254" s="41"/>
      <c r="K254" s="13"/>
      <c r="L254" s="33"/>
      <c r="M254" s="41"/>
      <c r="N254" s="59"/>
      <c r="O254" s="41"/>
      <c r="P254" s="13"/>
      <c r="Q254" s="33"/>
      <c r="R254" s="41"/>
      <c r="S254" s="85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2:40" ht="20.25">
      <c r="B255" s="11"/>
      <c r="C255" s="103"/>
      <c r="D255" s="81"/>
      <c r="E255" s="13"/>
      <c r="F255" s="22"/>
      <c r="G255" s="83"/>
      <c r="H255" s="13"/>
      <c r="I255" s="22"/>
      <c r="J255" s="41"/>
      <c r="K255" s="13"/>
      <c r="L255" s="33"/>
      <c r="M255" s="41"/>
      <c r="N255" s="59"/>
      <c r="O255" s="41"/>
      <c r="P255" s="13"/>
      <c r="Q255" s="33"/>
      <c r="R255" s="41"/>
      <c r="S255" s="85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2:40" ht="20.25">
      <c r="B256" s="11"/>
      <c r="C256" s="102"/>
      <c r="D256" s="104"/>
      <c r="E256" s="105"/>
      <c r="F256" s="30"/>
      <c r="G256" s="106"/>
      <c r="H256" s="105"/>
      <c r="I256" s="30"/>
      <c r="J256" s="107"/>
      <c r="K256" s="105"/>
      <c r="L256" s="108"/>
      <c r="M256" s="107"/>
      <c r="N256" s="109"/>
      <c r="O256" s="107"/>
      <c r="P256" s="105"/>
      <c r="Q256" s="108"/>
      <c r="R256" s="107"/>
      <c r="S256" s="110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2:40" ht="20.25">
      <c r="B257" s="11"/>
      <c r="C257" s="102"/>
      <c r="D257" s="81"/>
      <c r="E257" s="13"/>
      <c r="F257" s="30"/>
      <c r="G257" s="83"/>
      <c r="H257" s="13"/>
      <c r="I257" s="30"/>
      <c r="J257" s="41"/>
      <c r="K257" s="13"/>
      <c r="L257" s="33"/>
      <c r="M257" s="41"/>
      <c r="N257" s="59"/>
      <c r="O257" s="41"/>
      <c r="P257" s="13"/>
      <c r="Q257" s="33"/>
      <c r="R257" s="41"/>
      <c r="S257" s="85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2:40" ht="20.25" hidden="1">
      <c r="B258" s="11"/>
      <c r="C258" s="29"/>
      <c r="D258" s="81"/>
      <c r="E258" s="13"/>
      <c r="F258" s="30"/>
      <c r="G258" s="83"/>
      <c r="H258" s="13"/>
      <c r="I258" s="30"/>
      <c r="J258" s="41"/>
      <c r="K258" s="13"/>
      <c r="L258" s="33"/>
      <c r="M258" s="41"/>
      <c r="N258" s="59"/>
      <c r="O258" s="41"/>
      <c r="P258" s="13"/>
      <c r="Q258" s="33"/>
      <c r="R258" s="41"/>
      <c r="S258" s="85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2:40" ht="20.25" hidden="1">
      <c r="B259" s="11"/>
      <c r="C259" s="29"/>
      <c r="D259" s="81"/>
      <c r="E259" s="13"/>
      <c r="F259" s="30"/>
      <c r="G259" s="83"/>
      <c r="H259" s="13"/>
      <c r="I259" s="30"/>
      <c r="J259" s="41"/>
      <c r="K259" s="13"/>
      <c r="L259" s="33"/>
      <c r="M259" s="41"/>
      <c r="N259" s="59"/>
      <c r="O259" s="41"/>
      <c r="P259" s="13"/>
      <c r="Q259" s="33"/>
      <c r="R259" s="41"/>
      <c r="S259" s="85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2:40" ht="20.25" hidden="1">
      <c r="B260" s="11"/>
      <c r="C260" s="29"/>
      <c r="D260" s="81"/>
      <c r="E260" s="13"/>
      <c r="F260" s="30"/>
      <c r="G260" s="83"/>
      <c r="H260" s="13"/>
      <c r="I260" s="30"/>
      <c r="J260" s="41"/>
      <c r="K260" s="13"/>
      <c r="L260" s="33"/>
      <c r="M260" s="41"/>
      <c r="N260" s="59"/>
      <c r="O260" s="41"/>
      <c r="P260" s="13"/>
      <c r="Q260" s="33"/>
      <c r="R260" s="41"/>
      <c r="S260" s="85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2:40" ht="20.25">
      <c r="B261" s="11"/>
      <c r="C261" s="103"/>
      <c r="D261" s="81"/>
      <c r="E261" s="13"/>
      <c r="F261" s="22"/>
      <c r="G261" s="83"/>
      <c r="H261" s="13"/>
      <c r="I261" s="22"/>
      <c r="J261" s="41"/>
      <c r="K261" s="13"/>
      <c r="L261" s="33"/>
      <c r="M261" s="41"/>
      <c r="N261" s="59"/>
      <c r="O261" s="41"/>
      <c r="P261" s="13"/>
      <c r="Q261" s="33"/>
      <c r="R261" s="41"/>
      <c r="S261" s="85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2:40" ht="20.25">
      <c r="B262" s="11"/>
      <c r="C262" s="102"/>
      <c r="D262" s="104"/>
      <c r="E262" s="105"/>
      <c r="F262" s="30"/>
      <c r="G262" s="106"/>
      <c r="H262" s="105"/>
      <c r="I262" s="30"/>
      <c r="J262" s="107"/>
      <c r="K262" s="105"/>
      <c r="L262" s="108"/>
      <c r="M262" s="107"/>
      <c r="N262" s="109"/>
      <c r="O262" s="107"/>
      <c r="P262" s="105"/>
      <c r="Q262" s="108"/>
      <c r="R262" s="107"/>
      <c r="S262" s="110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2:40" ht="20.25">
      <c r="B263" s="11"/>
      <c r="C263" s="102"/>
      <c r="D263" s="81"/>
      <c r="E263" s="13"/>
      <c r="F263" s="30"/>
      <c r="G263" s="83"/>
      <c r="H263" s="13"/>
      <c r="I263" s="30"/>
      <c r="J263" s="41"/>
      <c r="K263" s="13"/>
      <c r="L263" s="33"/>
      <c r="M263" s="41"/>
      <c r="N263" s="59"/>
      <c r="O263" s="41"/>
      <c r="P263" s="13"/>
      <c r="Q263" s="33"/>
      <c r="R263" s="41"/>
      <c r="S263" s="85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2:40" ht="20.25">
      <c r="B264" s="11"/>
      <c r="C264" s="102"/>
      <c r="D264" s="81"/>
      <c r="E264" s="13"/>
      <c r="F264" s="30"/>
      <c r="G264" s="83"/>
      <c r="H264" s="13"/>
      <c r="I264" s="30"/>
      <c r="J264" s="41"/>
      <c r="K264" s="13"/>
      <c r="L264" s="33"/>
      <c r="M264" s="467"/>
      <c r="N264" s="146"/>
      <c r="O264" s="41"/>
      <c r="P264" s="13"/>
      <c r="Q264" s="33"/>
      <c r="R264" s="41"/>
      <c r="S264" s="85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2:40" ht="20.25" hidden="1">
      <c r="B265" s="11"/>
      <c r="C265" s="29"/>
      <c r="D265" s="87"/>
      <c r="E265" s="111"/>
      <c r="F265" s="30"/>
      <c r="G265" s="89"/>
      <c r="H265" s="111"/>
      <c r="I265" s="30"/>
      <c r="J265" s="23"/>
      <c r="K265" s="111"/>
      <c r="L265" s="33"/>
      <c r="M265" s="23"/>
      <c r="N265" s="91"/>
      <c r="O265" s="23"/>
      <c r="P265" s="111"/>
      <c r="Q265" s="33"/>
      <c r="R265" s="23"/>
      <c r="S265" s="92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2:40" ht="20.25">
      <c r="B266" s="11"/>
      <c r="C266" s="93"/>
      <c r="D266" s="94"/>
      <c r="E266" s="95"/>
      <c r="F266" s="96"/>
      <c r="G266" s="97"/>
      <c r="H266" s="95"/>
      <c r="I266" s="96"/>
      <c r="J266" s="97"/>
      <c r="K266" s="95"/>
      <c r="L266" s="96"/>
      <c r="M266" s="147"/>
      <c r="N266" s="113"/>
      <c r="O266" s="97"/>
      <c r="P266" s="95"/>
      <c r="Q266" s="96"/>
      <c r="R266" s="147"/>
      <c r="S266" s="114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2:40" ht="20.25">
      <c r="B267" s="11"/>
      <c r="C267" s="211"/>
      <c r="D267" s="81"/>
      <c r="E267" s="13"/>
      <c r="F267" s="30"/>
      <c r="G267" s="83"/>
      <c r="H267" s="13"/>
      <c r="I267" s="30"/>
      <c r="J267" s="41"/>
      <c r="K267" s="13"/>
      <c r="L267" s="33"/>
      <c r="M267" s="41"/>
      <c r="N267" s="59"/>
      <c r="O267" s="41"/>
      <c r="P267" s="13"/>
      <c r="Q267" s="33"/>
      <c r="R267" s="41"/>
      <c r="S267" s="85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2:40" ht="20.25">
      <c r="B268" s="11"/>
      <c r="C268" s="102"/>
      <c r="D268" s="81"/>
      <c r="E268" s="13"/>
      <c r="F268" s="30"/>
      <c r="G268" s="83"/>
      <c r="H268" s="13"/>
      <c r="I268" s="30"/>
      <c r="J268" s="41"/>
      <c r="K268" s="13"/>
      <c r="L268" s="33"/>
      <c r="M268" s="41"/>
      <c r="N268" s="59"/>
      <c r="O268" s="41"/>
      <c r="P268" s="13"/>
      <c r="Q268" s="33"/>
      <c r="R268" s="41"/>
      <c r="S268" s="85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2:40" ht="20.25">
      <c r="B269" s="11"/>
      <c r="C269" s="103"/>
      <c r="D269" s="87"/>
      <c r="E269" s="111"/>
      <c r="F269" s="22"/>
      <c r="G269" s="89"/>
      <c r="H269" s="111"/>
      <c r="I269" s="22"/>
      <c r="J269" s="23"/>
      <c r="K269" s="111"/>
      <c r="L269" s="33"/>
      <c r="M269" s="23"/>
      <c r="N269" s="91"/>
      <c r="O269" s="23"/>
      <c r="P269" s="111"/>
      <c r="Q269" s="33"/>
      <c r="R269" s="23"/>
      <c r="S269" s="92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2:40" ht="20.25">
      <c r="B270" s="11"/>
      <c r="C270" s="102"/>
      <c r="D270" s="81"/>
      <c r="E270" s="13"/>
      <c r="F270" s="30"/>
      <c r="G270" s="83"/>
      <c r="H270" s="13"/>
      <c r="I270" s="30"/>
      <c r="J270" s="41"/>
      <c r="K270" s="13"/>
      <c r="L270" s="108"/>
      <c r="M270" s="41"/>
      <c r="N270" s="59"/>
      <c r="O270" s="41"/>
      <c r="P270" s="13"/>
      <c r="Q270" s="108"/>
      <c r="R270" s="41"/>
      <c r="S270" s="85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2:40" ht="20.25">
      <c r="B271" s="11"/>
      <c r="C271" s="102"/>
      <c r="D271" s="81"/>
      <c r="E271" s="13"/>
      <c r="F271" s="30"/>
      <c r="G271" s="83"/>
      <c r="H271" s="13"/>
      <c r="I271" s="30"/>
      <c r="J271" s="41"/>
      <c r="K271" s="13"/>
      <c r="L271" s="33"/>
      <c r="M271" s="41"/>
      <c r="N271" s="59"/>
      <c r="O271" s="41"/>
      <c r="P271" s="13"/>
      <c r="Q271" s="33"/>
      <c r="R271" s="41"/>
      <c r="S271" s="85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2:40" ht="20.25">
      <c r="B272" s="11"/>
      <c r="C272" s="102"/>
      <c r="D272" s="87"/>
      <c r="E272" s="111"/>
      <c r="F272" s="22"/>
      <c r="G272" s="89"/>
      <c r="H272" s="111"/>
      <c r="I272" s="22"/>
      <c r="J272" s="23"/>
      <c r="K272" s="111"/>
      <c r="L272" s="33"/>
      <c r="M272" s="23"/>
      <c r="N272" s="91"/>
      <c r="O272" s="23"/>
      <c r="P272" s="111"/>
      <c r="Q272" s="22"/>
      <c r="R272" s="23"/>
      <c r="S272" s="92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2:40" ht="20.25">
      <c r="B273" s="11"/>
      <c r="C273" s="212"/>
      <c r="D273" s="81"/>
      <c r="E273" s="13"/>
      <c r="F273" s="30"/>
      <c r="G273" s="83"/>
      <c r="H273" s="13"/>
      <c r="I273" s="30"/>
      <c r="J273" s="41"/>
      <c r="K273" s="13"/>
      <c r="L273" s="55"/>
      <c r="M273" s="41"/>
      <c r="N273" s="59"/>
      <c r="O273" s="41"/>
      <c r="P273" s="13"/>
      <c r="Q273" s="33"/>
      <c r="R273" s="41"/>
      <c r="S273" s="85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2:40" ht="20.25">
      <c r="B274" s="11"/>
      <c r="C274" s="102"/>
      <c r="D274" s="81"/>
      <c r="E274" s="13"/>
      <c r="F274" s="30"/>
      <c r="G274" s="83"/>
      <c r="H274" s="13"/>
      <c r="I274" s="30"/>
      <c r="J274" s="41"/>
      <c r="K274" s="13"/>
      <c r="L274" s="33"/>
      <c r="M274" s="41"/>
      <c r="N274" s="59"/>
      <c r="O274" s="41"/>
      <c r="P274" s="13"/>
      <c r="Q274" s="33"/>
      <c r="R274" s="41"/>
      <c r="S274" s="85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2:40" ht="20.25">
      <c r="B275" s="11"/>
      <c r="C275" s="102"/>
      <c r="D275" s="81"/>
      <c r="E275" s="13"/>
      <c r="F275" s="30"/>
      <c r="G275" s="83"/>
      <c r="H275" s="13"/>
      <c r="I275" s="30"/>
      <c r="J275" s="41"/>
      <c r="K275" s="13"/>
      <c r="L275" s="33"/>
      <c r="M275" s="41"/>
      <c r="N275" s="59"/>
      <c r="O275" s="41"/>
      <c r="P275" s="13"/>
      <c r="Q275" s="33"/>
      <c r="R275" s="41"/>
      <c r="S275" s="85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2:40" ht="20.25">
      <c r="B276" s="11"/>
      <c r="C276" s="102"/>
      <c r="D276" s="81"/>
      <c r="E276" s="13"/>
      <c r="F276" s="30"/>
      <c r="G276" s="83"/>
      <c r="H276" s="13"/>
      <c r="I276" s="30"/>
      <c r="J276" s="41"/>
      <c r="K276" s="13"/>
      <c r="L276" s="32"/>
      <c r="M276" s="41"/>
      <c r="N276" s="59"/>
      <c r="O276" s="41"/>
      <c r="P276" s="13"/>
      <c r="Q276" s="32"/>
      <c r="R276" s="41"/>
      <c r="S276" s="85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2:40" ht="20.25">
      <c r="B277" s="11"/>
      <c r="C277" s="102"/>
      <c r="D277" s="81"/>
      <c r="E277" s="13"/>
      <c r="F277" s="30"/>
      <c r="G277" s="83"/>
      <c r="H277" s="13"/>
      <c r="I277" s="30"/>
      <c r="J277" s="41"/>
      <c r="K277" s="13"/>
      <c r="L277" s="33"/>
      <c r="M277" s="41"/>
      <c r="N277" s="59"/>
      <c r="O277" s="41"/>
      <c r="P277" s="13"/>
      <c r="Q277" s="33"/>
      <c r="R277" s="41"/>
      <c r="S277" s="85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2:40" ht="20.25">
      <c r="B278" s="11"/>
      <c r="C278" s="102"/>
      <c r="D278" s="81"/>
      <c r="E278" s="13"/>
      <c r="F278" s="30"/>
      <c r="G278" s="83"/>
      <c r="H278" s="13"/>
      <c r="I278" s="30"/>
      <c r="J278" s="41"/>
      <c r="K278" s="13"/>
      <c r="L278" s="33"/>
      <c r="M278" s="41"/>
      <c r="N278" s="59"/>
      <c r="O278" s="41"/>
      <c r="P278" s="13"/>
      <c r="Q278" s="33"/>
      <c r="R278" s="41"/>
      <c r="S278" s="85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2:40" ht="20.25">
      <c r="B279" s="11"/>
      <c r="C279" s="102"/>
      <c r="D279" s="81"/>
      <c r="E279" s="13"/>
      <c r="F279" s="30"/>
      <c r="G279" s="83"/>
      <c r="H279" s="13"/>
      <c r="I279" s="30"/>
      <c r="J279" s="41"/>
      <c r="K279" s="13"/>
      <c r="L279" s="33"/>
      <c r="M279" s="41"/>
      <c r="N279" s="59"/>
      <c r="O279" s="41"/>
      <c r="P279" s="13"/>
      <c r="Q279" s="33"/>
      <c r="R279" s="41"/>
      <c r="S279" s="85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2:40" ht="20.25">
      <c r="B280" s="11"/>
      <c r="C280" s="102"/>
      <c r="D280" s="81"/>
      <c r="E280" s="13"/>
      <c r="F280" s="30"/>
      <c r="G280" s="83"/>
      <c r="H280" s="13"/>
      <c r="I280" s="30"/>
      <c r="J280" s="41"/>
      <c r="K280" s="13"/>
      <c r="L280" s="33"/>
      <c r="M280" s="41"/>
      <c r="N280" s="59"/>
      <c r="O280" s="41"/>
      <c r="P280" s="13"/>
      <c r="Q280" s="33"/>
      <c r="R280" s="41"/>
      <c r="S280" s="85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2:40" ht="20.25">
      <c r="B281" s="11"/>
      <c r="C281" s="102"/>
      <c r="D281" s="81"/>
      <c r="E281" s="13"/>
      <c r="F281" s="30"/>
      <c r="G281" s="83"/>
      <c r="H281" s="13"/>
      <c r="I281" s="30"/>
      <c r="J281" s="41"/>
      <c r="K281" s="13"/>
      <c r="L281" s="33"/>
      <c r="M281" s="41"/>
      <c r="N281" s="59"/>
      <c r="O281" s="41"/>
      <c r="P281" s="13"/>
      <c r="Q281" s="33"/>
      <c r="R281" s="41"/>
      <c r="S281" s="85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2:40" ht="20.25" hidden="1">
      <c r="B282" s="11"/>
      <c r="C282" s="102"/>
      <c r="D282" s="81"/>
      <c r="E282" s="13"/>
      <c r="F282" s="30"/>
      <c r="G282" s="83"/>
      <c r="H282" s="13"/>
      <c r="I282" s="30"/>
      <c r="J282" s="41"/>
      <c r="K282" s="13"/>
      <c r="L282" s="33"/>
      <c r="M282" s="41"/>
      <c r="N282" s="59"/>
      <c r="O282" s="41"/>
      <c r="P282" s="13"/>
      <c r="Q282" s="33"/>
      <c r="R282" s="41"/>
      <c r="S282" s="85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2:40" ht="20.25" hidden="1">
      <c r="B283" s="11"/>
      <c r="C283" s="102"/>
      <c r="D283" s="81"/>
      <c r="E283" s="13"/>
      <c r="F283" s="30"/>
      <c r="G283" s="83"/>
      <c r="H283" s="13"/>
      <c r="I283" s="30"/>
      <c r="J283" s="41"/>
      <c r="K283" s="13"/>
      <c r="L283" s="33"/>
      <c r="M283" s="41"/>
      <c r="N283" s="59"/>
      <c r="O283" s="41"/>
      <c r="P283" s="13"/>
      <c r="Q283" s="33"/>
      <c r="R283" s="41"/>
      <c r="S283" s="85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2:40" ht="20.25" hidden="1">
      <c r="B284" s="11"/>
      <c r="C284" s="102"/>
      <c r="D284" s="81"/>
      <c r="E284" s="13"/>
      <c r="F284" s="30"/>
      <c r="G284" s="83"/>
      <c r="H284" s="13"/>
      <c r="I284" s="30"/>
      <c r="J284" s="41"/>
      <c r="K284" s="13"/>
      <c r="L284" s="33"/>
      <c r="M284" s="41"/>
      <c r="N284" s="59"/>
      <c r="O284" s="41"/>
      <c r="P284" s="13"/>
      <c r="Q284" s="33"/>
      <c r="R284" s="41"/>
      <c r="S284" s="85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2:40" ht="20.25">
      <c r="B285" s="11"/>
      <c r="C285" s="93"/>
      <c r="D285" s="94"/>
      <c r="E285" s="95"/>
      <c r="F285" s="96"/>
      <c r="G285" s="97"/>
      <c r="H285" s="95"/>
      <c r="I285" s="96"/>
      <c r="J285" s="97"/>
      <c r="K285" s="95"/>
      <c r="L285" s="96"/>
      <c r="M285" s="100"/>
      <c r="N285" s="96"/>
      <c r="O285" s="97"/>
      <c r="P285" s="95"/>
      <c r="Q285" s="96"/>
      <c r="R285" s="100"/>
      <c r="S285" s="101"/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2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2:40" ht="20.25">
      <c r="B287" s="11"/>
      <c r="C287" s="93"/>
      <c r="D287" s="94"/>
      <c r="E287" s="95"/>
      <c r="F287" s="96"/>
      <c r="G287" s="97"/>
      <c r="H287" s="95"/>
      <c r="I287" s="96"/>
      <c r="J287" s="97"/>
      <c r="K287" s="95"/>
      <c r="L287" s="96"/>
      <c r="M287" s="100"/>
      <c r="N287" s="113"/>
      <c r="O287" s="97"/>
      <c r="P287" s="95"/>
      <c r="Q287" s="96"/>
      <c r="R287" s="100"/>
      <c r="S287" s="114"/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2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2:40" ht="21" thickBot="1">
      <c r="B289" s="11"/>
      <c r="C289" s="124"/>
      <c r="D289" s="152"/>
      <c r="E289" s="125"/>
      <c r="F289" s="127"/>
      <c r="G289" s="153"/>
      <c r="H289" s="125"/>
      <c r="I289" s="127"/>
      <c r="J289" s="154"/>
      <c r="K289" s="126"/>
      <c r="L289" s="127"/>
      <c r="M289" s="154"/>
      <c r="N289" s="127"/>
      <c r="O289" s="154"/>
      <c r="P289" s="126"/>
      <c r="Q289" s="127"/>
      <c r="R289" s="154"/>
      <c r="S289" s="129"/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2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2:40" ht="35.25">
      <c r="B291" s="11"/>
      <c r="C291" s="6"/>
      <c r="D291" s="2"/>
      <c r="E291" s="2"/>
      <c r="F291" s="2"/>
      <c r="G291" s="2"/>
      <c r="H291" s="1"/>
      <c r="I291" s="1"/>
      <c r="J291" s="1"/>
      <c r="K291" s="3"/>
      <c r="L291" s="2"/>
      <c r="M291" s="2"/>
      <c r="N291" s="1"/>
      <c r="O291" s="1"/>
      <c r="P291" s="2"/>
      <c r="Q291" s="1"/>
      <c r="R291" s="2"/>
      <c r="S291" s="5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2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2:40" ht="21" thickTop="1">
      <c r="B293" s="11"/>
      <c r="C293" s="12"/>
      <c r="D293" s="511"/>
      <c r="E293" s="512"/>
      <c r="F293" s="513"/>
      <c r="G293" s="514"/>
      <c r="H293" s="512"/>
      <c r="I293" s="513"/>
      <c r="J293" s="514"/>
      <c r="K293" s="512"/>
      <c r="L293" s="513"/>
      <c r="M293" s="514"/>
      <c r="N293" s="513"/>
      <c r="O293" s="511"/>
      <c r="P293" s="512"/>
      <c r="Q293" s="513"/>
      <c r="R293" s="509"/>
      <c r="S293" s="510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2:40" ht="20.25">
      <c r="B294" s="11"/>
      <c r="C294" s="29"/>
      <c r="D294" s="80"/>
      <c r="E294" s="80"/>
      <c r="F294" s="134"/>
      <c r="G294" s="135"/>
      <c r="H294" s="80"/>
      <c r="I294" s="134"/>
      <c r="J294" s="135"/>
      <c r="K294" s="80"/>
      <c r="L294" s="134"/>
      <c r="M294" s="135"/>
      <c r="N294" s="134"/>
      <c r="O294" s="80"/>
      <c r="P294" s="80"/>
      <c r="Q294" s="134"/>
      <c r="R294" s="135"/>
      <c r="S294" s="136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2:40" ht="20.25">
      <c r="B295" s="11"/>
      <c r="C295" s="29"/>
      <c r="D295" s="82"/>
      <c r="E295" s="148"/>
      <c r="F295" s="85"/>
      <c r="G295" s="82"/>
      <c r="H295" s="148"/>
      <c r="I295" s="85"/>
      <c r="J295" s="30"/>
      <c r="K295" s="148"/>
      <c r="L295" s="33"/>
      <c r="M295" s="157"/>
      <c r="N295" s="59"/>
      <c r="O295" s="30"/>
      <c r="P295" s="148"/>
      <c r="Q295" s="33"/>
      <c r="R295" s="157"/>
      <c r="S295" s="85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2:40" ht="20.25">
      <c r="B296" s="11"/>
      <c r="C296" s="29"/>
      <c r="D296" s="82"/>
      <c r="E296" s="148"/>
      <c r="F296" s="85"/>
      <c r="G296" s="82"/>
      <c r="H296" s="148"/>
      <c r="I296" s="85"/>
      <c r="J296" s="30"/>
      <c r="K296" s="148"/>
      <c r="L296" s="33"/>
      <c r="M296" s="157"/>
      <c r="N296" s="59"/>
      <c r="O296" s="30"/>
      <c r="P296" s="148"/>
      <c r="Q296" s="33"/>
      <c r="R296" s="157"/>
      <c r="S296" s="85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2:40" ht="20.25">
      <c r="B297" s="11"/>
      <c r="C297" s="29"/>
      <c r="D297" s="82"/>
      <c r="E297" s="148"/>
      <c r="F297" s="85"/>
      <c r="G297" s="82"/>
      <c r="H297" s="148"/>
      <c r="I297" s="85"/>
      <c r="J297" s="30"/>
      <c r="K297" s="148"/>
      <c r="L297" s="33"/>
      <c r="M297" s="157"/>
      <c r="N297" s="59"/>
      <c r="O297" s="30"/>
      <c r="P297" s="148"/>
      <c r="Q297" s="33"/>
      <c r="R297" s="157"/>
      <c r="S297" s="85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2:40" ht="20.25">
      <c r="B298" s="11"/>
      <c r="C298" s="29"/>
      <c r="D298" s="82"/>
      <c r="E298" s="148"/>
      <c r="F298" s="85"/>
      <c r="G298" s="82"/>
      <c r="H298" s="148"/>
      <c r="I298" s="85"/>
      <c r="J298" s="30"/>
      <c r="K298" s="148"/>
      <c r="L298" s="33"/>
      <c r="M298" s="157"/>
      <c r="N298" s="59"/>
      <c r="O298" s="30"/>
      <c r="P298" s="148"/>
      <c r="Q298" s="33"/>
      <c r="R298" s="157"/>
      <c r="S298" s="85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2:40" ht="20.25">
      <c r="B299" s="11"/>
      <c r="C299" s="29"/>
      <c r="D299" s="82"/>
      <c r="E299" s="148"/>
      <c r="F299" s="85"/>
      <c r="G299" s="82"/>
      <c r="H299" s="148"/>
      <c r="I299" s="85"/>
      <c r="J299" s="30"/>
      <c r="K299" s="148"/>
      <c r="L299" s="33"/>
      <c r="M299" s="157"/>
      <c r="N299" s="59"/>
      <c r="O299" s="30"/>
      <c r="P299" s="148"/>
      <c r="Q299" s="33"/>
      <c r="R299" s="157"/>
      <c r="S299" s="85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2:40" ht="20.25">
      <c r="B300" s="11"/>
      <c r="C300" s="29"/>
      <c r="D300" s="82"/>
      <c r="E300" s="148"/>
      <c r="F300" s="85"/>
      <c r="G300" s="82"/>
      <c r="H300" s="148"/>
      <c r="I300" s="85"/>
      <c r="J300" s="30"/>
      <c r="K300" s="148"/>
      <c r="L300" s="33"/>
      <c r="M300" s="157"/>
      <c r="N300" s="59"/>
      <c r="O300" s="30"/>
      <c r="P300" s="148"/>
      <c r="Q300" s="33"/>
      <c r="R300" s="157"/>
      <c r="S300" s="85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2:40" ht="20.25" hidden="1">
      <c r="B301" s="11"/>
      <c r="C301" s="29"/>
      <c r="D301" s="82"/>
      <c r="E301" s="148"/>
      <c r="F301" s="85"/>
      <c r="G301" s="82"/>
      <c r="H301" s="148"/>
      <c r="I301" s="85"/>
      <c r="J301" s="30"/>
      <c r="K301" s="148"/>
      <c r="L301" s="33"/>
      <c r="M301" s="157"/>
      <c r="N301" s="59"/>
      <c r="O301" s="30"/>
      <c r="P301" s="148"/>
      <c r="Q301" s="33"/>
      <c r="R301" s="157"/>
      <c r="S301" s="85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2:40" ht="20.25">
      <c r="B302" s="11"/>
      <c r="C302" s="29"/>
      <c r="D302" s="82"/>
      <c r="E302" s="148"/>
      <c r="F302" s="85"/>
      <c r="G302" s="82"/>
      <c r="H302" s="148"/>
      <c r="I302" s="85"/>
      <c r="J302" s="30"/>
      <c r="K302" s="148"/>
      <c r="L302" s="33"/>
      <c r="M302" s="157"/>
      <c r="N302" s="59"/>
      <c r="O302" s="30"/>
      <c r="P302" s="148"/>
      <c r="Q302" s="33"/>
      <c r="R302" s="157"/>
      <c r="S302" s="85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2:40" ht="20.25">
      <c r="B303" s="11"/>
      <c r="C303" s="86"/>
      <c r="D303" s="82"/>
      <c r="E303" s="148"/>
      <c r="F303" s="85"/>
      <c r="G303" s="82"/>
      <c r="H303" s="148"/>
      <c r="I303" s="85"/>
      <c r="J303" s="30"/>
      <c r="K303" s="148"/>
      <c r="L303" s="33"/>
      <c r="M303" s="157"/>
      <c r="N303" s="59"/>
      <c r="O303" s="30"/>
      <c r="P303" s="148"/>
      <c r="Q303" s="33"/>
      <c r="R303" s="157"/>
      <c r="S303" s="85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2:40" ht="20.25">
      <c r="B304" s="11"/>
      <c r="C304" s="53"/>
      <c r="D304" s="195"/>
      <c r="E304" s="213"/>
      <c r="F304" s="199"/>
      <c r="G304" s="195"/>
      <c r="H304" s="213"/>
      <c r="I304" s="199"/>
      <c r="J304" s="195"/>
      <c r="K304" s="213"/>
      <c r="L304" s="197"/>
      <c r="M304" s="214"/>
      <c r="N304" s="197"/>
      <c r="O304" s="195"/>
      <c r="P304" s="213"/>
      <c r="Q304" s="197"/>
      <c r="R304" s="214"/>
      <c r="S304" s="199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2:40" ht="20.25">
      <c r="B305" s="11"/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/>
      <c r="O305" s="41"/>
      <c r="P305" s="13"/>
      <c r="Q305" s="40"/>
      <c r="R305" s="41"/>
      <c r="S305" s="44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2:40" ht="20.25">
      <c r="B306" s="11"/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2:40" ht="20.25">
      <c r="B307" s="11"/>
      <c r="C307" s="29"/>
      <c r="D307" s="82"/>
      <c r="E307" s="148"/>
      <c r="F307" s="110"/>
      <c r="G307" s="82"/>
      <c r="H307" s="148"/>
      <c r="I307" s="110"/>
      <c r="J307" s="30"/>
      <c r="K307" s="148"/>
      <c r="L307" s="33"/>
      <c r="M307" s="157"/>
      <c r="N307" s="59"/>
      <c r="O307" s="30"/>
      <c r="P307" s="148"/>
      <c r="Q307" s="33"/>
      <c r="R307" s="157"/>
      <c r="S307" s="85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2:40" ht="20.25">
      <c r="B308" s="11"/>
      <c r="C308" s="86"/>
      <c r="D308" s="82"/>
      <c r="E308" s="148"/>
      <c r="F308" s="92"/>
      <c r="G308" s="82"/>
      <c r="H308" s="148"/>
      <c r="I308" s="92"/>
      <c r="J308" s="30"/>
      <c r="K308" s="148"/>
      <c r="L308" s="33"/>
      <c r="M308" s="157"/>
      <c r="N308" s="59"/>
      <c r="O308" s="30"/>
      <c r="P308" s="148"/>
      <c r="Q308" s="33"/>
      <c r="R308" s="157"/>
      <c r="S308" s="85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2:40" ht="20.25">
      <c r="B309" s="11"/>
      <c r="C309" s="53"/>
      <c r="D309" s="195"/>
      <c r="E309" s="213"/>
      <c r="F309" s="197"/>
      <c r="G309" s="198"/>
      <c r="H309" s="213"/>
      <c r="I309" s="197"/>
      <c r="J309" s="198"/>
      <c r="K309" s="213"/>
      <c r="L309" s="197"/>
      <c r="M309" s="214"/>
      <c r="N309" s="197"/>
      <c r="O309" s="198"/>
      <c r="P309" s="213"/>
      <c r="Q309" s="197"/>
      <c r="R309" s="214"/>
      <c r="S309" s="199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2:40" ht="20.25">
      <c r="B310" s="11"/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/>
      <c r="O310" s="41"/>
      <c r="P310" s="13"/>
      <c r="Q310" s="40"/>
      <c r="R310" s="41"/>
      <c r="S310" s="44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2:40" ht="20.25">
      <c r="B311" s="11"/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2:40" ht="20.25">
      <c r="B312" s="11"/>
      <c r="C312" s="86"/>
      <c r="D312" s="90"/>
      <c r="E312" s="217"/>
      <c r="F312" s="146"/>
      <c r="G312" s="172"/>
      <c r="H312" s="217"/>
      <c r="I312" s="146"/>
      <c r="J312" s="46"/>
      <c r="K312" s="218"/>
      <c r="L312" s="22"/>
      <c r="M312" s="218"/>
      <c r="N312" s="91"/>
      <c r="O312" s="46"/>
      <c r="P312" s="218"/>
      <c r="Q312" s="22"/>
      <c r="R312" s="218"/>
      <c r="S312" s="92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2:40" ht="21" thickBot="1">
      <c r="B313" s="11"/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2:40" ht="21" thickTop="1">
      <c r="B314" s="11"/>
      <c r="C314" s="62"/>
      <c r="D314" s="63"/>
      <c r="E314" s="219"/>
      <c r="F314" s="65"/>
      <c r="G314" s="66"/>
      <c r="H314" s="219"/>
      <c r="I314" s="65"/>
      <c r="J314" s="66"/>
      <c r="K314" s="219"/>
      <c r="L314" s="65"/>
      <c r="M314" s="220"/>
      <c r="N314" s="221"/>
      <c r="O314" s="66"/>
      <c r="P314" s="219"/>
      <c r="Q314" s="65"/>
      <c r="R314" s="220"/>
      <c r="S314" s="222"/>
      <c r="T314" s="13"/>
      <c r="U314" s="13"/>
      <c r="V314" s="11"/>
      <c r="W314" s="497"/>
      <c r="X314" s="490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2:40" ht="21" thickBot="1">
      <c r="B315" s="11"/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/>
      <c r="O315" s="227"/>
      <c r="P315" s="225"/>
      <c r="Q315" s="226"/>
      <c r="R315" s="228"/>
      <c r="S315" s="75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2:40" ht="21" thickTop="1">
      <c r="B316" s="11"/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2:40" ht="20.25">
      <c r="B317" s="11"/>
      <c r="C317" s="79"/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2:40" ht="20.25">
      <c r="B318" s="11"/>
      <c r="C318" s="102"/>
      <c r="D318" s="13"/>
      <c r="E318" s="13"/>
      <c r="F318" s="30"/>
      <c r="G318" s="41"/>
      <c r="H318" s="13"/>
      <c r="I318" s="30"/>
      <c r="J318" s="41"/>
      <c r="K318" s="13"/>
      <c r="L318" s="33"/>
      <c r="M318" s="41"/>
      <c r="N318" s="59"/>
      <c r="O318" s="41"/>
      <c r="P318" s="13"/>
      <c r="Q318" s="33"/>
      <c r="R318" s="41"/>
      <c r="S318" s="85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2:40" ht="20.25">
      <c r="B319" s="11"/>
      <c r="C319" s="103"/>
      <c r="D319" s="81"/>
      <c r="E319" s="13"/>
      <c r="F319" s="22"/>
      <c r="G319" s="83"/>
      <c r="H319" s="13"/>
      <c r="I319" s="22"/>
      <c r="J319" s="41"/>
      <c r="K319" s="13"/>
      <c r="L319" s="33"/>
      <c r="M319" s="41"/>
      <c r="N319" s="59"/>
      <c r="O319" s="41"/>
      <c r="P319" s="13"/>
      <c r="Q319" s="33"/>
      <c r="R319" s="41"/>
      <c r="S319" s="85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2:40" ht="20.25">
      <c r="B320" s="11"/>
      <c r="C320" s="102"/>
      <c r="D320" s="104"/>
      <c r="E320" s="105"/>
      <c r="F320" s="30"/>
      <c r="G320" s="106"/>
      <c r="H320" s="105"/>
      <c r="I320" s="30"/>
      <c r="J320" s="107"/>
      <c r="K320" s="105"/>
      <c r="L320" s="108"/>
      <c r="M320" s="107"/>
      <c r="N320" s="109"/>
      <c r="O320" s="107"/>
      <c r="P320" s="105"/>
      <c r="Q320" s="108"/>
      <c r="R320" s="107"/>
      <c r="S320" s="110"/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2:40" ht="20.25" hidden="1">
      <c r="B321" s="11"/>
      <c r="C321" s="102"/>
      <c r="D321" s="81"/>
      <c r="E321" s="13"/>
      <c r="F321" s="30"/>
      <c r="G321" s="83"/>
      <c r="H321" s="13"/>
      <c r="I321" s="30"/>
      <c r="J321" s="41"/>
      <c r="K321" s="13"/>
      <c r="L321" s="33"/>
      <c r="M321" s="41"/>
      <c r="N321" s="59"/>
      <c r="O321" s="41"/>
      <c r="P321" s="13"/>
      <c r="Q321" s="33"/>
      <c r="R321" s="41"/>
      <c r="S321" s="85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2:40" ht="20.25" hidden="1">
      <c r="B322" s="11"/>
      <c r="C322" s="229"/>
      <c r="D322" s="81"/>
      <c r="E322" s="13"/>
      <c r="F322" s="30"/>
      <c r="G322" s="83"/>
      <c r="H322" s="13"/>
      <c r="I322" s="30"/>
      <c r="J322" s="41"/>
      <c r="K322" s="13"/>
      <c r="L322" s="33"/>
      <c r="M322" s="41"/>
      <c r="N322" s="59"/>
      <c r="O322" s="41"/>
      <c r="P322" s="13"/>
      <c r="Q322" s="33"/>
      <c r="R322" s="41"/>
      <c r="S322" s="85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2:40" ht="20.25" hidden="1">
      <c r="B323" s="11"/>
      <c r="C323" s="229"/>
      <c r="D323" s="81"/>
      <c r="E323" s="13"/>
      <c r="F323" s="30"/>
      <c r="G323" s="83"/>
      <c r="H323" s="13"/>
      <c r="I323" s="30"/>
      <c r="J323" s="41"/>
      <c r="K323" s="13"/>
      <c r="L323" s="33"/>
      <c r="M323" s="41"/>
      <c r="N323" s="59"/>
      <c r="O323" s="41"/>
      <c r="P323" s="13"/>
      <c r="Q323" s="33"/>
      <c r="R323" s="41"/>
      <c r="S323" s="85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2:40" ht="20.25" hidden="1">
      <c r="B324" s="11"/>
      <c r="C324" s="229"/>
      <c r="D324" s="81"/>
      <c r="E324" s="13"/>
      <c r="F324" s="30"/>
      <c r="G324" s="83"/>
      <c r="H324" s="13"/>
      <c r="I324" s="30"/>
      <c r="J324" s="41"/>
      <c r="K324" s="13"/>
      <c r="L324" s="33"/>
      <c r="M324" s="41"/>
      <c r="N324" s="59"/>
      <c r="O324" s="41"/>
      <c r="P324" s="13"/>
      <c r="Q324" s="33"/>
      <c r="R324" s="41"/>
      <c r="S324" s="85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2:40" ht="20.25">
      <c r="B325" s="11"/>
      <c r="C325" s="103"/>
      <c r="D325" s="81"/>
      <c r="E325" s="13"/>
      <c r="F325" s="22"/>
      <c r="G325" s="83"/>
      <c r="H325" s="13"/>
      <c r="I325" s="22"/>
      <c r="J325" s="41"/>
      <c r="K325" s="13"/>
      <c r="L325" s="33"/>
      <c r="M325" s="41"/>
      <c r="N325" s="59"/>
      <c r="O325" s="41"/>
      <c r="P325" s="13"/>
      <c r="Q325" s="33"/>
      <c r="R325" s="41"/>
      <c r="S325" s="85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2:40" ht="20.25">
      <c r="B326" s="11"/>
      <c r="C326" s="102"/>
      <c r="D326" s="104"/>
      <c r="E326" s="105"/>
      <c r="F326" s="30"/>
      <c r="G326" s="106"/>
      <c r="H326" s="105"/>
      <c r="I326" s="30"/>
      <c r="J326" s="107"/>
      <c r="K326" s="105"/>
      <c r="L326" s="108"/>
      <c r="M326" s="107"/>
      <c r="N326" s="109"/>
      <c r="O326" s="107"/>
      <c r="P326" s="105"/>
      <c r="Q326" s="108"/>
      <c r="R326" s="107"/>
      <c r="S326" s="110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2:40" ht="20.25">
      <c r="B327" s="11"/>
      <c r="C327" s="102"/>
      <c r="D327" s="81"/>
      <c r="E327" s="13"/>
      <c r="F327" s="30"/>
      <c r="G327" s="83"/>
      <c r="H327" s="13"/>
      <c r="I327" s="30"/>
      <c r="J327" s="41"/>
      <c r="K327" s="13"/>
      <c r="L327" s="33"/>
      <c r="M327" s="41"/>
      <c r="N327" s="59"/>
      <c r="O327" s="41"/>
      <c r="P327" s="13"/>
      <c r="Q327" s="33"/>
      <c r="R327" s="41"/>
      <c r="S327" s="85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2:40" ht="20.25">
      <c r="B328" s="11"/>
      <c r="C328" s="102"/>
      <c r="D328" s="81"/>
      <c r="E328" s="13"/>
      <c r="F328" s="30"/>
      <c r="G328" s="83"/>
      <c r="H328" s="13"/>
      <c r="I328" s="30"/>
      <c r="J328" s="41"/>
      <c r="K328" s="13"/>
      <c r="L328" s="33"/>
      <c r="M328" s="467"/>
      <c r="N328" s="146"/>
      <c r="O328" s="41"/>
      <c r="P328" s="13"/>
      <c r="Q328" s="33"/>
      <c r="R328" s="41"/>
      <c r="S328" s="85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2:40" ht="20.25" hidden="1">
      <c r="B329" s="11"/>
      <c r="C329" s="29"/>
      <c r="D329" s="87"/>
      <c r="E329" s="111"/>
      <c r="F329" s="30"/>
      <c r="G329" s="89"/>
      <c r="H329" s="111"/>
      <c r="I329" s="30"/>
      <c r="J329" s="23"/>
      <c r="K329" s="111"/>
      <c r="L329" s="33"/>
      <c r="M329" s="23"/>
      <c r="N329" s="91"/>
      <c r="O329" s="23"/>
      <c r="P329" s="111"/>
      <c r="Q329" s="33"/>
      <c r="R329" s="23"/>
      <c r="S329" s="92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2:40" ht="20.25">
      <c r="B330" s="11"/>
      <c r="C330" s="93"/>
      <c r="D330" s="94"/>
      <c r="E330" s="95"/>
      <c r="F330" s="96"/>
      <c r="G330" s="97"/>
      <c r="H330" s="95"/>
      <c r="I330" s="96"/>
      <c r="J330" s="97"/>
      <c r="K330" s="95"/>
      <c r="L330" s="96"/>
      <c r="M330" s="147"/>
      <c r="N330" s="113"/>
      <c r="O330" s="97"/>
      <c r="P330" s="95"/>
      <c r="Q330" s="96"/>
      <c r="R330" s="147"/>
      <c r="S330" s="114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2:40" ht="20.25">
      <c r="B331" s="11"/>
      <c r="C331" s="211"/>
      <c r="D331" s="81"/>
      <c r="E331" s="13"/>
      <c r="F331" s="30"/>
      <c r="G331" s="83"/>
      <c r="H331" s="13"/>
      <c r="I331" s="30"/>
      <c r="J331" s="41"/>
      <c r="K331" s="13"/>
      <c r="L331" s="33"/>
      <c r="M331" s="41"/>
      <c r="N331" s="59"/>
      <c r="O331" s="41"/>
      <c r="P331" s="13"/>
      <c r="Q331" s="33"/>
      <c r="R331" s="41"/>
      <c r="S331" s="85"/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2:40" ht="20.25">
      <c r="B332" s="11"/>
      <c r="C332" s="102"/>
      <c r="D332" s="81"/>
      <c r="E332" s="13"/>
      <c r="F332" s="30"/>
      <c r="G332" s="83"/>
      <c r="H332" s="13"/>
      <c r="I332" s="30"/>
      <c r="J332" s="41"/>
      <c r="K332" s="13"/>
      <c r="L332" s="30"/>
      <c r="M332" s="41"/>
      <c r="N332" s="59"/>
      <c r="O332" s="41"/>
      <c r="P332" s="13"/>
      <c r="Q332" s="33"/>
      <c r="R332" s="41"/>
      <c r="S332" s="85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2:40" ht="20.25">
      <c r="B333" s="11"/>
      <c r="C333" s="103"/>
      <c r="D333" s="87"/>
      <c r="E333" s="111"/>
      <c r="F333" s="22"/>
      <c r="G333" s="89"/>
      <c r="H333" s="111"/>
      <c r="I333" s="22"/>
      <c r="J333" s="23"/>
      <c r="K333" s="111"/>
      <c r="L333" s="22"/>
      <c r="M333" s="23"/>
      <c r="N333" s="91"/>
      <c r="O333" s="23"/>
      <c r="P333" s="111"/>
      <c r="Q333" s="33"/>
      <c r="R333" s="23"/>
      <c r="S333" s="92"/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2:40" ht="20.25">
      <c r="B334" s="11"/>
      <c r="C334" s="102"/>
      <c r="D334" s="81"/>
      <c r="E334" s="13"/>
      <c r="F334" s="30"/>
      <c r="G334" s="83"/>
      <c r="H334" s="13"/>
      <c r="I334" s="30"/>
      <c r="J334" s="41"/>
      <c r="K334" s="13"/>
      <c r="L334" s="108"/>
      <c r="M334" s="41"/>
      <c r="N334" s="59"/>
      <c r="O334" s="41"/>
      <c r="P334" s="13"/>
      <c r="Q334" s="108"/>
      <c r="R334" s="41"/>
      <c r="S334" s="85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2:40" ht="20.25">
      <c r="B335" s="11"/>
      <c r="C335" s="102"/>
      <c r="D335" s="81"/>
      <c r="E335" s="13"/>
      <c r="F335" s="30"/>
      <c r="G335" s="83"/>
      <c r="H335" s="13"/>
      <c r="I335" s="30"/>
      <c r="J335" s="41"/>
      <c r="K335" s="13"/>
      <c r="L335" s="33"/>
      <c r="M335" s="41"/>
      <c r="N335" s="59"/>
      <c r="O335" s="41"/>
      <c r="P335" s="13"/>
      <c r="Q335" s="33"/>
      <c r="R335" s="41"/>
      <c r="S335" s="85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2:40" ht="20.25">
      <c r="B336" s="11"/>
      <c r="C336" s="230"/>
      <c r="D336" s="87"/>
      <c r="E336" s="111"/>
      <c r="F336" s="22"/>
      <c r="G336" s="89"/>
      <c r="H336" s="111"/>
      <c r="I336" s="22"/>
      <c r="J336" s="23"/>
      <c r="K336" s="111"/>
      <c r="L336" s="48"/>
      <c r="M336" s="23"/>
      <c r="N336" s="91"/>
      <c r="O336" s="23"/>
      <c r="P336" s="111"/>
      <c r="Q336" s="48"/>
      <c r="R336" s="23"/>
      <c r="S336" s="92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2:40" ht="20.25" hidden="1">
      <c r="B337" s="11"/>
      <c r="C337" s="102"/>
      <c r="D337" s="81"/>
      <c r="E337" s="13"/>
      <c r="F337" s="30"/>
      <c r="G337" s="83"/>
      <c r="H337" s="13"/>
      <c r="I337" s="30"/>
      <c r="J337" s="41"/>
      <c r="K337" s="13"/>
      <c r="L337" s="33"/>
      <c r="M337" s="41"/>
      <c r="N337" s="59"/>
      <c r="O337" s="41"/>
      <c r="P337" s="13"/>
      <c r="Q337" s="33"/>
      <c r="R337" s="41"/>
      <c r="S337" s="85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2:40" ht="20.25">
      <c r="B338" s="11"/>
      <c r="C338" s="102"/>
      <c r="D338" s="81"/>
      <c r="E338" s="13"/>
      <c r="F338" s="30"/>
      <c r="G338" s="83"/>
      <c r="H338" s="13"/>
      <c r="I338" s="30"/>
      <c r="J338" s="41"/>
      <c r="K338" s="13"/>
      <c r="L338" s="33"/>
      <c r="M338" s="41"/>
      <c r="N338" s="59"/>
      <c r="O338" s="41"/>
      <c r="P338" s="13"/>
      <c r="Q338" s="33"/>
      <c r="R338" s="41"/>
      <c r="S338" s="85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2:40" ht="20.25">
      <c r="B339" s="11"/>
      <c r="C339" s="102"/>
      <c r="D339" s="81"/>
      <c r="E339" s="13"/>
      <c r="F339" s="30"/>
      <c r="G339" s="83"/>
      <c r="H339" s="13"/>
      <c r="I339" s="30"/>
      <c r="J339" s="41"/>
      <c r="K339" s="13"/>
      <c r="L339" s="33"/>
      <c r="M339" s="41"/>
      <c r="N339" s="59"/>
      <c r="O339" s="41"/>
      <c r="P339" s="13"/>
      <c r="Q339" s="33"/>
      <c r="R339" s="41"/>
      <c r="S339" s="85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2:40" ht="20.25">
      <c r="B340" s="11"/>
      <c r="C340" s="102"/>
      <c r="D340" s="81"/>
      <c r="E340" s="13"/>
      <c r="F340" s="30"/>
      <c r="G340" s="83"/>
      <c r="H340" s="13"/>
      <c r="I340" s="30"/>
      <c r="J340" s="41"/>
      <c r="K340" s="13"/>
      <c r="L340" s="32"/>
      <c r="M340" s="41"/>
      <c r="N340" s="59"/>
      <c r="O340" s="41"/>
      <c r="P340" s="13"/>
      <c r="Q340" s="32"/>
      <c r="R340" s="41"/>
      <c r="S340" s="85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2:40" ht="20.25">
      <c r="B341" s="11"/>
      <c r="C341" s="102"/>
      <c r="D341" s="81"/>
      <c r="E341" s="13"/>
      <c r="F341" s="30"/>
      <c r="G341" s="83"/>
      <c r="H341" s="13"/>
      <c r="I341" s="30"/>
      <c r="J341" s="41"/>
      <c r="K341" s="13"/>
      <c r="L341" s="33"/>
      <c r="M341" s="41"/>
      <c r="N341" s="59"/>
      <c r="O341" s="41"/>
      <c r="P341" s="13"/>
      <c r="Q341" s="33"/>
      <c r="R341" s="41"/>
      <c r="S341" s="85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2:40" ht="20.25">
      <c r="B342" s="11"/>
      <c r="C342" s="102"/>
      <c r="D342" s="81"/>
      <c r="E342" s="13"/>
      <c r="F342" s="30"/>
      <c r="G342" s="83"/>
      <c r="H342" s="13"/>
      <c r="I342" s="30"/>
      <c r="J342" s="41"/>
      <c r="K342" s="13"/>
      <c r="L342" s="33"/>
      <c r="M342" s="41"/>
      <c r="N342" s="59"/>
      <c r="O342" s="41"/>
      <c r="P342" s="13"/>
      <c r="Q342" s="33"/>
      <c r="R342" s="41"/>
      <c r="S342" s="85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2:40" ht="20.25">
      <c r="B343" s="11"/>
      <c r="C343" s="102"/>
      <c r="D343" s="81"/>
      <c r="E343" s="13"/>
      <c r="F343" s="30"/>
      <c r="G343" s="83"/>
      <c r="H343" s="13"/>
      <c r="I343" s="30"/>
      <c r="J343" s="41"/>
      <c r="K343" s="13"/>
      <c r="L343" s="33"/>
      <c r="M343" s="41"/>
      <c r="N343" s="59"/>
      <c r="O343" s="41"/>
      <c r="P343" s="13"/>
      <c r="Q343" s="33"/>
      <c r="R343" s="41"/>
      <c r="S343" s="85"/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2:40" ht="20.25">
      <c r="B344" s="11"/>
      <c r="C344" s="102"/>
      <c r="D344" s="81"/>
      <c r="E344" s="13"/>
      <c r="F344" s="30"/>
      <c r="G344" s="83"/>
      <c r="H344" s="13"/>
      <c r="I344" s="30"/>
      <c r="J344" s="41"/>
      <c r="K344" s="13"/>
      <c r="L344" s="59"/>
      <c r="M344" s="41"/>
      <c r="N344" s="59"/>
      <c r="O344" s="41"/>
      <c r="P344" s="13"/>
      <c r="Q344" s="33"/>
      <c r="R344" s="41"/>
      <c r="S344" s="85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2:40" ht="20.25">
      <c r="B345" s="11"/>
      <c r="C345" s="102"/>
      <c r="D345" s="81"/>
      <c r="E345" s="13"/>
      <c r="F345" s="30"/>
      <c r="G345" s="83"/>
      <c r="H345" s="13"/>
      <c r="I345" s="30"/>
      <c r="J345" s="41"/>
      <c r="K345" s="13"/>
      <c r="L345" s="32"/>
      <c r="M345" s="41"/>
      <c r="N345" s="59"/>
      <c r="O345" s="41"/>
      <c r="P345" s="13"/>
      <c r="Q345" s="33"/>
      <c r="R345" s="41"/>
      <c r="S345" s="85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2:40" ht="20.25" hidden="1">
      <c r="B346" s="11"/>
      <c r="C346" s="102"/>
      <c r="D346" s="81"/>
      <c r="E346" s="13"/>
      <c r="F346" s="30"/>
      <c r="G346" s="83"/>
      <c r="H346" s="13"/>
      <c r="I346" s="30"/>
      <c r="J346" s="41"/>
      <c r="K346" s="13"/>
      <c r="L346" s="33"/>
      <c r="M346" s="41"/>
      <c r="N346" s="59"/>
      <c r="O346" s="41"/>
      <c r="P346" s="13"/>
      <c r="Q346" s="33"/>
      <c r="R346" s="41"/>
      <c r="S346" s="85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2:40" ht="20.25" hidden="1">
      <c r="B347" s="11"/>
      <c r="C347" s="102"/>
      <c r="D347" s="81"/>
      <c r="E347" s="13"/>
      <c r="F347" s="30"/>
      <c r="G347" s="83"/>
      <c r="H347" s="13"/>
      <c r="I347" s="30"/>
      <c r="J347" s="41"/>
      <c r="K347" s="13"/>
      <c r="L347" s="33"/>
      <c r="M347" s="41"/>
      <c r="N347" s="59"/>
      <c r="O347" s="41"/>
      <c r="P347" s="13"/>
      <c r="Q347" s="33"/>
      <c r="R347" s="41"/>
      <c r="S347" s="85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2:40" ht="20.25" hidden="1">
      <c r="B348" s="11"/>
      <c r="C348" s="102"/>
      <c r="D348" s="81"/>
      <c r="E348" s="13"/>
      <c r="F348" s="30"/>
      <c r="G348" s="83"/>
      <c r="H348" s="13"/>
      <c r="I348" s="30"/>
      <c r="J348" s="41"/>
      <c r="K348" s="13"/>
      <c r="L348" s="33"/>
      <c r="M348" s="41"/>
      <c r="N348" s="59"/>
      <c r="O348" s="41"/>
      <c r="P348" s="13"/>
      <c r="Q348" s="33"/>
      <c r="R348" s="41"/>
      <c r="S348" s="85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2:40" ht="20.25">
      <c r="B349" s="7"/>
      <c r="C349" s="93"/>
      <c r="D349" s="94"/>
      <c r="E349" s="95"/>
      <c r="F349" s="96"/>
      <c r="G349" s="97"/>
      <c r="H349" s="95"/>
      <c r="I349" s="96"/>
      <c r="J349" s="97"/>
      <c r="K349" s="95"/>
      <c r="L349" s="96"/>
      <c r="M349" s="100"/>
      <c r="N349" s="96"/>
      <c r="O349" s="97"/>
      <c r="P349" s="95"/>
      <c r="Q349" s="96"/>
      <c r="R349" s="100"/>
      <c r="S349" s="101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2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2:40" ht="20.25">
      <c r="B351" s="7"/>
      <c r="C351" s="93"/>
      <c r="D351" s="94"/>
      <c r="E351" s="95"/>
      <c r="F351" s="96"/>
      <c r="G351" s="97"/>
      <c r="H351" s="95"/>
      <c r="I351" s="96"/>
      <c r="J351" s="97"/>
      <c r="K351" s="95"/>
      <c r="L351" s="96"/>
      <c r="M351" s="100"/>
      <c r="N351" s="113"/>
      <c r="O351" s="97"/>
      <c r="P351" s="95"/>
      <c r="Q351" s="96"/>
      <c r="R351" s="100"/>
      <c r="S351" s="114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2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2:40" ht="21" thickBot="1">
      <c r="B353" s="7"/>
      <c r="C353" s="124"/>
      <c r="D353" s="152"/>
      <c r="E353" s="125"/>
      <c r="F353" s="127"/>
      <c r="G353" s="153"/>
      <c r="H353" s="125"/>
      <c r="I353" s="127"/>
      <c r="J353" s="154"/>
      <c r="K353" s="126"/>
      <c r="L353" s="127"/>
      <c r="M353" s="154"/>
      <c r="N353" s="127"/>
      <c r="O353" s="154"/>
      <c r="P353" s="126"/>
      <c r="Q353" s="127"/>
      <c r="R353" s="154"/>
      <c r="S353" s="129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2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2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2:40" ht="35.25" hidden="1">
      <c r="B356" s="7"/>
      <c r="C356" s="6"/>
      <c r="D356" s="2"/>
      <c r="E356" s="2"/>
      <c r="F356" s="2"/>
      <c r="G356" s="2"/>
      <c r="H356" s="1"/>
      <c r="I356" s="1"/>
      <c r="J356" s="1"/>
      <c r="K356" s="3"/>
      <c r="L356" s="2"/>
      <c r="M356" s="2"/>
      <c r="N356" s="1"/>
      <c r="O356" s="1"/>
      <c r="P356" s="2"/>
      <c r="Q356" s="1"/>
      <c r="R356" s="2"/>
      <c r="S356" s="5"/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2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2:40" ht="21" hidden="1" thickTop="1">
      <c r="B358" s="7"/>
      <c r="C358" s="12"/>
      <c r="D358" s="511"/>
      <c r="E358" s="512"/>
      <c r="F358" s="513"/>
      <c r="G358" s="514"/>
      <c r="H358" s="512"/>
      <c r="I358" s="513"/>
      <c r="J358" s="514"/>
      <c r="K358" s="512"/>
      <c r="L358" s="513"/>
      <c r="M358" s="514"/>
      <c r="N358" s="513"/>
      <c r="O358" s="511"/>
      <c r="P358" s="512"/>
      <c r="Q358" s="513"/>
      <c r="R358" s="514"/>
      <c r="S358" s="518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2:40" ht="21" hidden="1" thickBot="1">
      <c r="B359" s="11"/>
      <c r="C359" s="29"/>
      <c r="D359" s="231"/>
      <c r="E359" s="231"/>
      <c r="F359" s="232"/>
      <c r="G359" s="233"/>
      <c r="H359" s="231"/>
      <c r="I359" s="232"/>
      <c r="J359" s="135"/>
      <c r="K359" s="80"/>
      <c r="L359" s="134"/>
      <c r="M359" s="135"/>
      <c r="N359" s="134"/>
      <c r="O359" s="135"/>
      <c r="P359" s="80"/>
      <c r="Q359" s="134"/>
      <c r="R359" s="135"/>
      <c r="S359" s="136"/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2:40" ht="27.75" hidden="1" thickTop="1">
      <c r="B360" s="11"/>
      <c r="C360" s="62"/>
      <c r="D360" s="234"/>
      <c r="E360" s="235"/>
      <c r="F360" s="236"/>
      <c r="G360" s="234"/>
      <c r="H360" s="235"/>
      <c r="I360" s="234"/>
      <c r="J360" s="237"/>
      <c r="K360" s="219"/>
      <c r="L360" s="238"/>
      <c r="M360" s="220"/>
      <c r="N360" s="221"/>
      <c r="O360" s="237"/>
      <c r="P360" s="219"/>
      <c r="Q360" s="238"/>
      <c r="R360" s="220"/>
      <c r="S360" s="222"/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2:40" ht="21" hidden="1" thickBot="1">
      <c r="B361" s="11"/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2:40" ht="21" hidden="1" thickTop="1">
      <c r="B362" s="11"/>
      <c r="C362" s="53"/>
      <c r="D362" s="240"/>
      <c r="E362" s="174"/>
      <c r="F362" s="176"/>
      <c r="G362" s="175"/>
      <c r="H362" s="174"/>
      <c r="I362" s="176"/>
      <c r="J362" s="175"/>
      <c r="K362" s="174"/>
      <c r="L362" s="176"/>
      <c r="M362" s="241"/>
      <c r="N362" s="242"/>
      <c r="O362" s="175"/>
      <c r="P362" s="174"/>
      <c r="Q362" s="176"/>
      <c r="R362" s="41"/>
      <c r="S362" s="44"/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2:40" ht="20.25" hidden="1">
      <c r="B363" s="11"/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/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2:40" ht="20.25" hidden="1">
      <c r="B364" s="11"/>
      <c r="C364" s="79"/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2:40" ht="20.25" hidden="1">
      <c r="B365" s="11"/>
      <c r="C365" s="102"/>
      <c r="D365" s="13"/>
      <c r="E365" s="13"/>
      <c r="F365" s="30"/>
      <c r="G365" s="41"/>
      <c r="H365" s="13"/>
      <c r="I365" s="30"/>
      <c r="J365" s="41"/>
      <c r="K365" s="13"/>
      <c r="L365" s="33"/>
      <c r="M365" s="41"/>
      <c r="N365" s="40"/>
      <c r="O365" s="41"/>
      <c r="P365" s="13"/>
      <c r="Q365" s="33"/>
      <c r="R365" s="41"/>
      <c r="S365" s="34"/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2:40" ht="20.25" hidden="1">
      <c r="B366" s="11"/>
      <c r="C366" s="103"/>
      <c r="D366" s="81"/>
      <c r="E366" s="13"/>
      <c r="F366" s="22"/>
      <c r="G366" s="83"/>
      <c r="H366" s="13"/>
      <c r="I366" s="22"/>
      <c r="J366" s="41"/>
      <c r="K366" s="13"/>
      <c r="L366" s="22"/>
      <c r="M366" s="41"/>
      <c r="N366" s="59"/>
      <c r="O366" s="41"/>
      <c r="P366" s="13"/>
      <c r="Q366" s="22"/>
      <c r="R366" s="41"/>
      <c r="S366" s="85"/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2:40" ht="20.25" hidden="1">
      <c r="B367" s="11"/>
      <c r="C367" s="102"/>
      <c r="D367" s="104"/>
      <c r="E367" s="105"/>
      <c r="F367" s="30"/>
      <c r="G367" s="106"/>
      <c r="H367" s="105"/>
      <c r="I367" s="30"/>
      <c r="J367" s="107"/>
      <c r="K367" s="105"/>
      <c r="L367" s="33"/>
      <c r="M367" s="107"/>
      <c r="N367" s="109"/>
      <c r="O367" s="107"/>
      <c r="P367" s="105"/>
      <c r="Q367" s="33"/>
      <c r="R367" s="107"/>
      <c r="S367" s="110"/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2:40" ht="20.25" hidden="1">
      <c r="B368" s="11"/>
      <c r="C368" s="102"/>
      <c r="D368" s="81"/>
      <c r="E368" s="13"/>
      <c r="F368" s="30"/>
      <c r="G368" s="83"/>
      <c r="H368" s="13"/>
      <c r="I368" s="30"/>
      <c r="J368" s="41"/>
      <c r="K368" s="13"/>
      <c r="L368" s="33"/>
      <c r="M368" s="41"/>
      <c r="N368" s="59"/>
      <c r="O368" s="41"/>
      <c r="P368" s="13"/>
      <c r="Q368" s="33"/>
      <c r="R368" s="41"/>
      <c r="S368" s="85"/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2:40" ht="20.25" hidden="1">
      <c r="B369" s="11"/>
      <c r="C369" s="29"/>
      <c r="D369" s="81"/>
      <c r="E369" s="13"/>
      <c r="F369" s="30"/>
      <c r="G369" s="83"/>
      <c r="H369" s="13"/>
      <c r="I369" s="30"/>
      <c r="J369" s="41"/>
      <c r="K369" s="13"/>
      <c r="L369" s="33"/>
      <c r="M369" s="41"/>
      <c r="N369" s="59"/>
      <c r="O369" s="41"/>
      <c r="P369" s="13"/>
      <c r="Q369" s="33"/>
      <c r="R369" s="41"/>
      <c r="S369" s="85"/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2:40" ht="20.25" hidden="1">
      <c r="B370" s="11"/>
      <c r="C370" s="29"/>
      <c r="D370" s="81"/>
      <c r="E370" s="13"/>
      <c r="F370" s="30"/>
      <c r="G370" s="83"/>
      <c r="H370" s="13"/>
      <c r="I370" s="30"/>
      <c r="J370" s="41"/>
      <c r="K370" s="13"/>
      <c r="L370" s="33"/>
      <c r="M370" s="41"/>
      <c r="N370" s="59"/>
      <c r="O370" s="41"/>
      <c r="P370" s="13"/>
      <c r="Q370" s="33"/>
      <c r="R370" s="41"/>
      <c r="S370" s="85"/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2:40" ht="20.25" hidden="1">
      <c r="B371" s="11"/>
      <c r="C371" s="29"/>
      <c r="D371" s="81"/>
      <c r="E371" s="13"/>
      <c r="F371" s="30"/>
      <c r="G371" s="83"/>
      <c r="H371" s="13"/>
      <c r="I371" s="30"/>
      <c r="J371" s="41"/>
      <c r="K371" s="13"/>
      <c r="L371" s="33"/>
      <c r="M371" s="41"/>
      <c r="N371" s="59"/>
      <c r="O371" s="41"/>
      <c r="P371" s="13"/>
      <c r="Q371" s="33"/>
      <c r="R371" s="41"/>
      <c r="S371" s="85"/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2:40" ht="20.25" hidden="1">
      <c r="B372" s="11"/>
      <c r="C372" s="103"/>
      <c r="D372" s="81"/>
      <c r="E372" s="13"/>
      <c r="F372" s="22"/>
      <c r="G372" s="83"/>
      <c r="H372" s="13"/>
      <c r="I372" s="22"/>
      <c r="J372" s="41"/>
      <c r="K372" s="13"/>
      <c r="L372" s="22"/>
      <c r="M372" s="41"/>
      <c r="N372" s="59"/>
      <c r="O372" s="41"/>
      <c r="P372" s="13"/>
      <c r="Q372" s="22"/>
      <c r="R372" s="41"/>
      <c r="S372" s="85"/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2:40" ht="20.25" hidden="1">
      <c r="B373" s="11"/>
      <c r="C373" s="102"/>
      <c r="D373" s="104"/>
      <c r="E373" s="105"/>
      <c r="F373" s="30"/>
      <c r="G373" s="106"/>
      <c r="H373" s="105"/>
      <c r="I373" s="30"/>
      <c r="J373" s="107"/>
      <c r="K373" s="105"/>
      <c r="L373" s="33"/>
      <c r="M373" s="107"/>
      <c r="N373" s="109"/>
      <c r="O373" s="107"/>
      <c r="P373" s="105"/>
      <c r="Q373" s="33"/>
      <c r="R373" s="107"/>
      <c r="S373" s="110"/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2:40" ht="20.25" hidden="1">
      <c r="B374" s="11"/>
      <c r="C374" s="102"/>
      <c r="D374" s="81"/>
      <c r="E374" s="13"/>
      <c r="F374" s="30"/>
      <c r="G374" s="83"/>
      <c r="H374" s="13"/>
      <c r="I374" s="30"/>
      <c r="J374" s="41"/>
      <c r="K374" s="13"/>
      <c r="L374" s="33"/>
      <c r="M374" s="41"/>
      <c r="N374" s="59"/>
      <c r="O374" s="41"/>
      <c r="P374" s="13"/>
      <c r="Q374" s="33"/>
      <c r="R374" s="41"/>
      <c r="S374" s="85"/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2:40" ht="20.25" hidden="1">
      <c r="B375" s="11"/>
      <c r="C375" s="102"/>
      <c r="D375" s="81"/>
      <c r="E375" s="13"/>
      <c r="F375" s="30"/>
      <c r="G375" s="83"/>
      <c r="H375" s="13"/>
      <c r="I375" s="30"/>
      <c r="J375" s="41"/>
      <c r="K375" s="13"/>
      <c r="L375" s="33"/>
      <c r="M375" s="41"/>
      <c r="N375" s="59"/>
      <c r="O375" s="41"/>
      <c r="P375" s="13"/>
      <c r="Q375" s="33"/>
      <c r="R375" s="41"/>
      <c r="S375" s="85"/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2:40" ht="20.25" hidden="1">
      <c r="B376" s="11"/>
      <c r="C376" s="29"/>
      <c r="D376" s="87"/>
      <c r="E376" s="111"/>
      <c r="F376" s="30"/>
      <c r="G376" s="89"/>
      <c r="H376" s="111"/>
      <c r="I376" s="30"/>
      <c r="J376" s="23"/>
      <c r="K376" s="111"/>
      <c r="L376" s="33"/>
      <c r="M376" s="23"/>
      <c r="N376" s="91"/>
      <c r="O376" s="23"/>
      <c r="P376" s="111"/>
      <c r="Q376" s="33"/>
      <c r="R376" s="23"/>
      <c r="S376" s="92"/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2:40" ht="20.25" hidden="1">
      <c r="B377" s="11"/>
      <c r="C377" s="93"/>
      <c r="D377" s="94"/>
      <c r="E377" s="95"/>
      <c r="F377" s="96"/>
      <c r="G377" s="97"/>
      <c r="H377" s="95"/>
      <c r="I377" s="96"/>
      <c r="J377" s="97"/>
      <c r="K377" s="95"/>
      <c r="L377" s="96"/>
      <c r="M377" s="147"/>
      <c r="N377" s="113"/>
      <c r="O377" s="97"/>
      <c r="P377" s="95"/>
      <c r="Q377" s="96"/>
      <c r="R377" s="147"/>
      <c r="S377" s="114"/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2:40" ht="20.25" hidden="1">
      <c r="B378" s="11"/>
      <c r="C378" s="211"/>
      <c r="D378" s="81"/>
      <c r="E378" s="13"/>
      <c r="F378" s="30"/>
      <c r="G378" s="83"/>
      <c r="H378" s="13"/>
      <c r="I378" s="30"/>
      <c r="J378" s="41"/>
      <c r="K378" s="13"/>
      <c r="L378" s="33"/>
      <c r="M378" s="41"/>
      <c r="N378" s="59"/>
      <c r="O378" s="41"/>
      <c r="P378" s="13"/>
      <c r="Q378" s="33"/>
      <c r="R378" s="41"/>
      <c r="S378" s="85"/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2:40" ht="20.25" hidden="1">
      <c r="B379" s="11"/>
      <c r="C379" s="102"/>
      <c r="D379" s="81"/>
      <c r="E379" s="13"/>
      <c r="F379" s="30"/>
      <c r="G379" s="83"/>
      <c r="H379" s="13"/>
      <c r="I379" s="30"/>
      <c r="J379" s="41"/>
      <c r="K379" s="13"/>
      <c r="L379" s="33"/>
      <c r="M379" s="41"/>
      <c r="N379" s="59"/>
      <c r="O379" s="41"/>
      <c r="P379" s="13"/>
      <c r="Q379" s="33"/>
      <c r="R379" s="41"/>
      <c r="S379" s="85"/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2:40" ht="20.25" hidden="1">
      <c r="B380" s="11"/>
      <c r="C380" s="103"/>
      <c r="D380" s="87"/>
      <c r="E380" s="111"/>
      <c r="F380" s="22"/>
      <c r="G380" s="89"/>
      <c r="H380" s="111"/>
      <c r="I380" s="22"/>
      <c r="J380" s="23"/>
      <c r="K380" s="111"/>
      <c r="L380" s="22"/>
      <c r="M380" s="23"/>
      <c r="N380" s="91"/>
      <c r="O380" s="23"/>
      <c r="P380" s="111"/>
      <c r="Q380" s="22"/>
      <c r="R380" s="23"/>
      <c r="S380" s="92"/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2:40" ht="20.25" hidden="1">
      <c r="B381" s="11"/>
      <c r="C381" s="102"/>
      <c r="D381" s="81"/>
      <c r="E381" s="13"/>
      <c r="F381" s="30"/>
      <c r="G381" s="83"/>
      <c r="H381" s="13"/>
      <c r="I381" s="30"/>
      <c r="J381" s="41"/>
      <c r="K381" s="13"/>
      <c r="L381" s="33"/>
      <c r="M381" s="41"/>
      <c r="N381" s="59"/>
      <c r="O381" s="41"/>
      <c r="P381" s="13"/>
      <c r="Q381" s="33"/>
      <c r="R381" s="41"/>
      <c r="S381" s="85"/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2:40" ht="20.25" hidden="1">
      <c r="B382" s="11"/>
      <c r="C382" s="102"/>
      <c r="D382" s="81"/>
      <c r="E382" s="13"/>
      <c r="F382" s="30"/>
      <c r="G382" s="83"/>
      <c r="H382" s="13"/>
      <c r="I382" s="30"/>
      <c r="J382" s="41"/>
      <c r="K382" s="13"/>
      <c r="L382" s="33"/>
      <c r="M382" s="41"/>
      <c r="N382" s="59"/>
      <c r="O382" s="41"/>
      <c r="P382" s="13"/>
      <c r="Q382" s="33"/>
      <c r="R382" s="41"/>
      <c r="S382" s="85"/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2:40" ht="20.25" hidden="1">
      <c r="B383" s="11"/>
      <c r="C383" s="102"/>
      <c r="D383" s="87"/>
      <c r="E383" s="111"/>
      <c r="F383" s="22"/>
      <c r="G383" s="89"/>
      <c r="H383" s="111"/>
      <c r="I383" s="22"/>
      <c r="J383" s="23"/>
      <c r="K383" s="111"/>
      <c r="L383" s="22"/>
      <c r="M383" s="23"/>
      <c r="N383" s="91"/>
      <c r="O383" s="23"/>
      <c r="P383" s="111"/>
      <c r="Q383" s="22"/>
      <c r="R383" s="23"/>
      <c r="S383" s="92"/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2:40" ht="20.25" hidden="1">
      <c r="B384" s="11"/>
      <c r="C384" s="211"/>
      <c r="D384" s="81"/>
      <c r="E384" s="13"/>
      <c r="F384" s="30"/>
      <c r="G384" s="83"/>
      <c r="H384" s="13"/>
      <c r="I384" s="30"/>
      <c r="J384" s="41"/>
      <c r="K384" s="13"/>
      <c r="L384" s="33"/>
      <c r="M384" s="41"/>
      <c r="N384" s="59"/>
      <c r="O384" s="41"/>
      <c r="P384" s="13"/>
      <c r="Q384" s="33"/>
      <c r="R384" s="41"/>
      <c r="S384" s="85"/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2:40" ht="20.25" hidden="1">
      <c r="B385" s="11"/>
      <c r="C385" s="102"/>
      <c r="D385" s="81"/>
      <c r="E385" s="13"/>
      <c r="F385" s="30"/>
      <c r="G385" s="83"/>
      <c r="H385" s="13"/>
      <c r="I385" s="30"/>
      <c r="J385" s="41"/>
      <c r="K385" s="13"/>
      <c r="L385" s="33"/>
      <c r="M385" s="41"/>
      <c r="N385" s="59"/>
      <c r="O385" s="41"/>
      <c r="P385" s="13"/>
      <c r="Q385" s="33"/>
      <c r="R385" s="41"/>
      <c r="S385" s="85"/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2:40" ht="20.25" hidden="1">
      <c r="B386" s="11"/>
      <c r="C386" s="102"/>
      <c r="D386" s="81"/>
      <c r="E386" s="13"/>
      <c r="F386" s="30"/>
      <c r="G386" s="83"/>
      <c r="H386" s="13"/>
      <c r="I386" s="30"/>
      <c r="J386" s="41"/>
      <c r="K386" s="13"/>
      <c r="L386" s="33"/>
      <c r="M386" s="41"/>
      <c r="N386" s="59"/>
      <c r="O386" s="41"/>
      <c r="P386" s="13"/>
      <c r="Q386" s="33"/>
      <c r="R386" s="41"/>
      <c r="S386" s="85"/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2:40" ht="20.25" hidden="1">
      <c r="B387" s="11"/>
      <c r="C387" s="102"/>
      <c r="D387" s="81"/>
      <c r="E387" s="13"/>
      <c r="F387" s="30"/>
      <c r="G387" s="83"/>
      <c r="H387" s="13"/>
      <c r="I387" s="30"/>
      <c r="J387" s="41"/>
      <c r="K387" s="13"/>
      <c r="L387" s="33"/>
      <c r="M387" s="41"/>
      <c r="N387" s="59"/>
      <c r="O387" s="41"/>
      <c r="P387" s="13"/>
      <c r="Q387" s="33"/>
      <c r="R387" s="41"/>
      <c r="S387" s="85"/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2:40" ht="20.25" hidden="1">
      <c r="B388" s="11"/>
      <c r="C388" s="102"/>
      <c r="D388" s="81"/>
      <c r="E388" s="13"/>
      <c r="F388" s="30"/>
      <c r="G388" s="83"/>
      <c r="H388" s="13"/>
      <c r="I388" s="30"/>
      <c r="J388" s="41"/>
      <c r="K388" s="13"/>
      <c r="L388" s="33"/>
      <c r="M388" s="41"/>
      <c r="N388" s="59"/>
      <c r="O388" s="41"/>
      <c r="P388" s="13"/>
      <c r="Q388" s="33"/>
      <c r="R388" s="41"/>
      <c r="S388" s="85"/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2:40" ht="20.25" hidden="1">
      <c r="B389" s="11"/>
      <c r="C389" s="102"/>
      <c r="D389" s="81"/>
      <c r="E389" s="13"/>
      <c r="F389" s="30"/>
      <c r="G389" s="83"/>
      <c r="H389" s="13"/>
      <c r="I389" s="30"/>
      <c r="J389" s="41"/>
      <c r="K389" s="13"/>
      <c r="L389" s="33"/>
      <c r="M389" s="41"/>
      <c r="N389" s="59"/>
      <c r="O389" s="41"/>
      <c r="P389" s="13"/>
      <c r="Q389" s="33"/>
      <c r="R389" s="41"/>
      <c r="S389" s="85"/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2:40" ht="20.25" hidden="1">
      <c r="B390" s="11"/>
      <c r="C390" s="102"/>
      <c r="D390" s="81"/>
      <c r="E390" s="13"/>
      <c r="F390" s="30"/>
      <c r="G390" s="83"/>
      <c r="H390" s="13"/>
      <c r="I390" s="30"/>
      <c r="J390" s="41"/>
      <c r="K390" s="13"/>
      <c r="L390" s="33"/>
      <c r="M390" s="41"/>
      <c r="N390" s="59"/>
      <c r="O390" s="41"/>
      <c r="P390" s="13"/>
      <c r="Q390" s="33"/>
      <c r="R390" s="41"/>
      <c r="S390" s="85"/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2:40" ht="20.25" hidden="1">
      <c r="B391" s="11"/>
      <c r="C391" s="102"/>
      <c r="D391" s="81"/>
      <c r="E391" s="13"/>
      <c r="F391" s="30"/>
      <c r="G391" s="83"/>
      <c r="H391" s="13"/>
      <c r="I391" s="30"/>
      <c r="J391" s="41"/>
      <c r="K391" s="13"/>
      <c r="L391" s="33"/>
      <c r="M391" s="41"/>
      <c r="N391" s="59"/>
      <c r="O391" s="41"/>
      <c r="P391" s="13"/>
      <c r="Q391" s="33"/>
      <c r="R391" s="41"/>
      <c r="S391" s="85"/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2:40" ht="20.25" hidden="1">
      <c r="B392" s="11"/>
      <c r="C392" s="102"/>
      <c r="D392" s="81"/>
      <c r="E392" s="13"/>
      <c r="F392" s="30"/>
      <c r="G392" s="83"/>
      <c r="H392" s="13"/>
      <c r="I392" s="30"/>
      <c r="J392" s="41"/>
      <c r="K392" s="13"/>
      <c r="L392" s="33"/>
      <c r="M392" s="41"/>
      <c r="N392" s="59"/>
      <c r="O392" s="41"/>
      <c r="P392" s="13"/>
      <c r="Q392" s="33"/>
      <c r="R392" s="41"/>
      <c r="S392" s="85"/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2:40" ht="20.25" hidden="1">
      <c r="B393" s="11"/>
      <c r="C393" s="102"/>
      <c r="D393" s="81"/>
      <c r="E393" s="13"/>
      <c r="F393" s="30"/>
      <c r="G393" s="83"/>
      <c r="H393" s="13"/>
      <c r="I393" s="30"/>
      <c r="J393" s="41"/>
      <c r="K393" s="13"/>
      <c r="L393" s="33"/>
      <c r="M393" s="41"/>
      <c r="N393" s="59"/>
      <c r="O393" s="41"/>
      <c r="P393" s="13"/>
      <c r="Q393" s="33"/>
      <c r="R393" s="41"/>
      <c r="S393" s="85"/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2:40" ht="20.25" hidden="1">
      <c r="B394" s="11"/>
      <c r="C394" s="102"/>
      <c r="D394" s="87"/>
      <c r="E394" s="111"/>
      <c r="F394" s="30"/>
      <c r="G394" s="89"/>
      <c r="H394" s="111"/>
      <c r="I394" s="30"/>
      <c r="J394" s="23"/>
      <c r="K394" s="111"/>
      <c r="L394" s="33"/>
      <c r="M394" s="23"/>
      <c r="N394" s="91"/>
      <c r="O394" s="23"/>
      <c r="P394" s="111"/>
      <c r="Q394" s="33"/>
      <c r="R394" s="23"/>
      <c r="S394" s="92"/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2:40" ht="20.25" hidden="1">
      <c r="B395" s="7"/>
      <c r="C395" s="93"/>
      <c r="D395" s="94"/>
      <c r="E395" s="95"/>
      <c r="F395" s="96"/>
      <c r="G395" s="97"/>
      <c r="H395" s="95"/>
      <c r="I395" s="96"/>
      <c r="J395" s="97"/>
      <c r="K395" s="95"/>
      <c r="L395" s="96"/>
      <c r="M395" s="147"/>
      <c r="N395" s="96"/>
      <c r="O395" s="97"/>
      <c r="P395" s="95"/>
      <c r="Q395" s="96"/>
      <c r="R395" s="147"/>
      <c r="S395" s="114"/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2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2:40" ht="20.25" hidden="1">
      <c r="B397" s="7"/>
      <c r="C397" s="93"/>
      <c r="D397" s="94"/>
      <c r="E397" s="95"/>
      <c r="F397" s="96"/>
      <c r="G397" s="97"/>
      <c r="H397" s="95"/>
      <c r="I397" s="96"/>
      <c r="J397" s="97"/>
      <c r="K397" s="95"/>
      <c r="L397" s="96"/>
      <c r="M397" s="247"/>
      <c r="N397" s="96"/>
      <c r="O397" s="97"/>
      <c r="P397" s="95"/>
      <c r="Q397" s="96"/>
      <c r="R397" s="100"/>
      <c r="S397" s="101"/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2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2:40" ht="21.75" hidden="1" thickTop="1" thickBot="1">
      <c r="B399" s="7"/>
      <c r="C399" s="248"/>
      <c r="D399" s="249"/>
      <c r="E399" s="249"/>
      <c r="F399" s="250"/>
      <c r="G399" s="251"/>
      <c r="H399" s="249"/>
      <c r="I399" s="250"/>
      <c r="J399" s="252"/>
      <c r="K399" s="253"/>
      <c r="L399" s="250"/>
      <c r="M399" s="251"/>
      <c r="N399" s="250"/>
      <c r="O399" s="252"/>
      <c r="P399" s="253"/>
      <c r="Q399" s="250"/>
      <c r="R399" s="252"/>
      <c r="S399" s="254"/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2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2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2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/>
      <c r="W402" s="6"/>
      <c r="X402" s="6"/>
      <c r="Y402" s="6"/>
      <c r="Z402" s="1"/>
      <c r="AA402" s="1"/>
      <c r="AB402" s="6"/>
      <c r="AC402" s="6"/>
      <c r="AD402" s="1"/>
      <c r="AE402" s="3"/>
      <c r="AF402" s="6"/>
      <c r="AG402" s="6"/>
      <c r="AH402" s="1"/>
      <c r="AI402" s="1"/>
      <c r="AJ402" s="255"/>
      <c r="AK402" s="2"/>
      <c r="AL402" s="1"/>
      <c r="AM402" s="6"/>
      <c r="AN402" s="6"/>
      <c r="AO402" s="5"/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2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2:61" ht="21.75" thickTop="1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9"/>
      <c r="Y404" s="516"/>
      <c r="Z404" s="520"/>
      <c r="AA404" s="515"/>
      <c r="AB404" s="516"/>
      <c r="AC404" s="520"/>
      <c r="AD404" s="515"/>
      <c r="AE404" s="516"/>
      <c r="AF404" s="520"/>
      <c r="AG404" s="515"/>
      <c r="AH404" s="516"/>
      <c r="AI404" s="520"/>
      <c r="AJ404" s="515"/>
      <c r="AK404" s="516"/>
      <c r="AL404" s="516"/>
      <c r="AM404" s="515"/>
      <c r="AN404" s="516"/>
      <c r="AO404" s="51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2:61" ht="20.25"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/>
      <c r="X405" s="259"/>
      <c r="Y405" s="259"/>
      <c r="Z405" s="260"/>
      <c r="AA405" s="259"/>
      <c r="AB405" s="259"/>
      <c r="AC405" s="260"/>
      <c r="AD405" s="261"/>
      <c r="AE405" s="259"/>
      <c r="AF405" s="259"/>
      <c r="AG405" s="261"/>
      <c r="AH405" s="259"/>
      <c r="AI405" s="259"/>
      <c r="AJ405" s="261"/>
      <c r="AK405" s="259"/>
      <c r="AL405" s="259"/>
      <c r="AM405" s="262"/>
      <c r="AN405" s="259"/>
      <c r="AO405" s="139"/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2:61" ht="18"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/>
      <c r="W406" s="263"/>
      <c r="X406" s="263"/>
      <c r="Y406" s="263"/>
      <c r="Z406" s="264"/>
      <c r="AA406" s="263"/>
      <c r="AB406" s="263"/>
      <c r="AC406" s="264"/>
      <c r="AD406" s="265"/>
      <c r="AE406" s="266"/>
      <c r="AF406" s="266"/>
      <c r="AG406" s="265"/>
      <c r="AH406" s="266"/>
      <c r="AI406" s="267"/>
      <c r="AJ406" s="265"/>
      <c r="AK406" s="266"/>
      <c r="AL406" s="266"/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2:61" ht="18"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/>
      <c r="W407" s="271"/>
      <c r="X407" s="271"/>
      <c r="Y407" s="271"/>
      <c r="Z407" s="272"/>
      <c r="AA407" s="271"/>
      <c r="AB407" s="271"/>
      <c r="AC407" s="272"/>
      <c r="AD407" s="273"/>
      <c r="AE407" s="274"/>
      <c r="AF407" s="274"/>
      <c r="AG407" s="273"/>
      <c r="AH407" s="274"/>
      <c r="AI407" s="275"/>
      <c r="AJ407" s="273"/>
      <c r="AK407" s="274"/>
      <c r="AL407" s="274"/>
      <c r="AM407" s="276"/>
      <c r="AN407" s="274"/>
      <c r="AO407" s="277"/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2:61" ht="18"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/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2:61" ht="18"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/>
      <c r="W409" s="286"/>
      <c r="X409" s="279"/>
      <c r="Y409" s="287"/>
      <c r="Z409" s="280"/>
      <c r="AA409" s="279"/>
      <c r="AB409" s="287"/>
      <c r="AC409" s="280"/>
      <c r="AD409" s="288"/>
      <c r="AE409" s="287"/>
      <c r="AF409" s="280"/>
      <c r="AG409" s="281"/>
      <c r="AH409" s="282"/>
      <c r="AI409" s="283"/>
      <c r="AJ409" s="288"/>
      <c r="AK409" s="282"/>
      <c r="AL409" s="280"/>
      <c r="AM409" s="284"/>
      <c r="AN409" s="282"/>
      <c r="AO409" s="289"/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2:61" ht="18"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/>
      <c r="W410" s="290"/>
      <c r="X410" s="263"/>
      <c r="Y410" s="291"/>
      <c r="Z410" s="264"/>
      <c r="AA410" s="263"/>
      <c r="AB410" s="291"/>
      <c r="AC410" s="264"/>
      <c r="AD410" s="292"/>
      <c r="AE410" s="291"/>
      <c r="AF410" s="264"/>
      <c r="AG410" s="265"/>
      <c r="AH410" s="266"/>
      <c r="AI410" s="293"/>
      <c r="AJ410" s="292"/>
      <c r="AK410" s="266"/>
      <c r="AL410" s="264"/>
      <c r="AM410" s="268"/>
      <c r="AN410" s="266"/>
      <c r="AO410" s="294"/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2:61" ht="18"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/>
      <c r="W411" s="286"/>
      <c r="X411" s="279"/>
      <c r="Y411" s="287"/>
      <c r="Z411" s="280"/>
      <c r="AA411" s="279"/>
      <c r="AB411" s="287"/>
      <c r="AC411" s="280"/>
      <c r="AD411" s="288"/>
      <c r="AE411" s="287"/>
      <c r="AF411" s="280"/>
      <c r="AG411" s="281"/>
      <c r="AH411" s="282"/>
      <c r="AI411" s="283"/>
      <c r="AJ411" s="288"/>
      <c r="AK411" s="282"/>
      <c r="AL411" s="280"/>
      <c r="AM411" s="284"/>
      <c r="AN411" s="282"/>
      <c r="AO411" s="289"/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2:61" ht="18"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/>
      <c r="W412" s="286"/>
      <c r="X412" s="279"/>
      <c r="Y412" s="287"/>
      <c r="Z412" s="280"/>
      <c r="AA412" s="279"/>
      <c r="AB412" s="287"/>
      <c r="AC412" s="280"/>
      <c r="AD412" s="288"/>
      <c r="AE412" s="287"/>
      <c r="AF412" s="280"/>
      <c r="AG412" s="281"/>
      <c r="AH412" s="282"/>
      <c r="AI412" s="283"/>
      <c r="AJ412" s="288"/>
      <c r="AK412" s="282"/>
      <c r="AL412" s="280"/>
      <c r="AM412" s="284"/>
      <c r="AN412" s="282"/>
      <c r="AO412" s="295"/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2:61" ht="18"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/>
      <c r="W413" s="290"/>
      <c r="X413" s="263"/>
      <c r="Y413" s="291"/>
      <c r="Z413" s="264"/>
      <c r="AA413" s="263"/>
      <c r="AB413" s="291"/>
      <c r="AC413" s="264"/>
      <c r="AD413" s="292"/>
      <c r="AE413" s="291"/>
      <c r="AF413" s="264"/>
      <c r="AG413" s="265"/>
      <c r="AH413" s="266"/>
      <c r="AI413" s="293"/>
      <c r="AJ413" s="292"/>
      <c r="AK413" s="266"/>
      <c r="AL413" s="264"/>
      <c r="AM413" s="268"/>
      <c r="AN413" s="266"/>
      <c r="AO413" s="294"/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2:61" ht="18"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/>
      <c r="W414" s="286"/>
      <c r="X414" s="283"/>
      <c r="Y414" s="287"/>
      <c r="Z414" s="280"/>
      <c r="AA414" s="283"/>
      <c r="AB414" s="287"/>
      <c r="AC414" s="280"/>
      <c r="AD414" s="288"/>
      <c r="AE414" s="287"/>
      <c r="AF414" s="280"/>
      <c r="AG414" s="281"/>
      <c r="AH414" s="282"/>
      <c r="AI414" s="283"/>
      <c r="AJ414" s="288"/>
      <c r="AK414" s="282"/>
      <c r="AL414" s="280"/>
      <c r="AM414" s="284"/>
      <c r="AN414" s="282"/>
      <c r="AO414" s="289"/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2:61" ht="20.25"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/>
      <c r="W415" s="286"/>
      <c r="X415" s="279"/>
      <c r="Y415" s="287"/>
      <c r="Z415" s="280"/>
      <c r="AA415" s="279"/>
      <c r="AB415" s="287"/>
      <c r="AC415" s="280"/>
      <c r="AD415" s="288"/>
      <c r="AE415" s="287"/>
      <c r="AF415" s="280"/>
      <c r="AG415" s="281"/>
      <c r="AH415" s="282"/>
      <c r="AI415" s="283"/>
      <c r="AJ415" s="288"/>
      <c r="AK415" s="282"/>
      <c r="AL415" s="280"/>
      <c r="AM415" s="284"/>
      <c r="AN415" s="282"/>
      <c r="AO415" s="294"/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2:61" ht="20.25" hidden="1"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/>
      <c r="W416" s="286"/>
      <c r="X416" s="283"/>
      <c r="Y416" s="287"/>
      <c r="Z416" s="280"/>
      <c r="AA416" s="279"/>
      <c r="AB416" s="287"/>
      <c r="AC416" s="280"/>
      <c r="AD416" s="288"/>
      <c r="AE416" s="287"/>
      <c r="AF416" s="280"/>
      <c r="AG416" s="281"/>
      <c r="AH416" s="282"/>
      <c r="AI416" s="283"/>
      <c r="AJ416" s="288"/>
      <c r="AK416" s="282"/>
      <c r="AL416" s="280"/>
      <c r="AM416" s="284"/>
      <c r="AN416" s="282"/>
      <c r="AO416" s="289"/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2:61" ht="20.25" hidden="1"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/>
      <c r="W417" s="286"/>
      <c r="X417" s="283"/>
      <c r="Y417" s="287"/>
      <c r="Z417" s="280"/>
      <c r="AA417" s="279"/>
      <c r="AB417" s="287"/>
      <c r="AC417" s="280"/>
      <c r="AD417" s="288"/>
      <c r="AE417" s="287"/>
      <c r="AF417" s="280"/>
      <c r="AG417" s="281"/>
      <c r="AH417" s="282"/>
      <c r="AI417" s="283"/>
      <c r="AJ417" s="288"/>
      <c r="AK417" s="282"/>
      <c r="AL417" s="280"/>
      <c r="AM417" s="284"/>
      <c r="AN417" s="282"/>
      <c r="AO417" s="289"/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2:61" ht="20.25" hidden="1"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/>
      <c r="W418" s="286"/>
      <c r="X418" s="279"/>
      <c r="Y418" s="287"/>
      <c r="Z418" s="280"/>
      <c r="AA418" s="279"/>
      <c r="AB418" s="287"/>
      <c r="AC418" s="280"/>
      <c r="AD418" s="288"/>
      <c r="AE418" s="287"/>
      <c r="AF418" s="280"/>
      <c r="AG418" s="281"/>
      <c r="AH418" s="282"/>
      <c r="AI418" s="283"/>
      <c r="AJ418" s="288"/>
      <c r="AK418" s="282"/>
      <c r="AL418" s="280"/>
      <c r="AM418" s="284"/>
      <c r="AN418" s="282"/>
      <c r="AO418" s="289"/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2:61" ht="20.25"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/>
      <c r="W419" s="297"/>
      <c r="X419" s="298"/>
      <c r="Y419" s="297"/>
      <c r="Z419" s="299"/>
      <c r="AA419" s="298"/>
      <c r="AB419" s="297"/>
      <c r="AC419" s="299"/>
      <c r="AD419" s="300"/>
      <c r="AE419" s="297"/>
      <c r="AF419" s="299"/>
      <c r="AG419" s="301"/>
      <c r="AH419" s="302"/>
      <c r="AI419" s="298"/>
      <c r="AJ419" s="300"/>
      <c r="AK419" s="297"/>
      <c r="AL419" s="299"/>
      <c r="AM419" s="303"/>
      <c r="AN419" s="302"/>
      <c r="AO419" s="277"/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2:61" ht="18"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/>
      <c r="W420" s="286"/>
      <c r="X420" s="279"/>
      <c r="Y420" s="279"/>
      <c r="Z420" s="280"/>
      <c r="AA420" s="279"/>
      <c r="AB420" s="279"/>
      <c r="AC420" s="280"/>
      <c r="AD420" s="288"/>
      <c r="AE420" s="287"/>
      <c r="AF420" s="280"/>
      <c r="AG420" s="281"/>
      <c r="AH420" s="282"/>
      <c r="AI420" s="283"/>
      <c r="AJ420" s="288"/>
      <c r="AK420" s="279"/>
      <c r="AL420" s="280"/>
      <c r="AM420" s="284"/>
      <c r="AN420" s="282"/>
      <c r="AO420" s="289"/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2:61" ht="18"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/>
      <c r="W421" s="286"/>
      <c r="X421" s="279"/>
      <c r="Y421" s="279"/>
      <c r="Z421" s="280"/>
      <c r="AA421" s="279"/>
      <c r="AB421" s="279"/>
      <c r="AC421" s="280"/>
      <c r="AD421" s="288"/>
      <c r="AE421" s="287"/>
      <c r="AF421" s="280"/>
      <c r="AG421" s="281"/>
      <c r="AH421" s="282"/>
      <c r="AI421" s="283"/>
      <c r="AJ421" s="288"/>
      <c r="AK421" s="279"/>
      <c r="AL421" s="280"/>
      <c r="AM421" s="284"/>
      <c r="AN421" s="282"/>
      <c r="AO421" s="289"/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2:61" ht="18"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/>
      <c r="W422" s="290"/>
      <c r="X422" s="263"/>
      <c r="Y422" s="263"/>
      <c r="Z422" s="264"/>
      <c r="AA422" s="263"/>
      <c r="AB422" s="263"/>
      <c r="AC422" s="264"/>
      <c r="AD422" s="292"/>
      <c r="AE422" s="291"/>
      <c r="AF422" s="264"/>
      <c r="AG422" s="265"/>
      <c r="AH422" s="266"/>
      <c r="AI422" s="293"/>
      <c r="AJ422" s="292"/>
      <c r="AK422" s="263"/>
      <c r="AL422" s="264"/>
      <c r="AM422" s="268"/>
      <c r="AN422" s="266"/>
      <c r="AO422" s="269"/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2:61" ht="18"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/>
      <c r="W423" s="286"/>
      <c r="X423" s="279"/>
      <c r="Y423" s="279"/>
      <c r="Z423" s="280"/>
      <c r="AA423" s="279"/>
      <c r="AB423" s="279"/>
      <c r="AC423" s="280"/>
      <c r="AD423" s="288"/>
      <c r="AE423" s="287"/>
      <c r="AF423" s="280"/>
      <c r="AG423" s="281"/>
      <c r="AH423" s="282"/>
      <c r="AI423" s="283"/>
      <c r="AJ423" s="288"/>
      <c r="AK423" s="279"/>
      <c r="AL423" s="280"/>
      <c r="AM423" s="284"/>
      <c r="AN423" s="282"/>
      <c r="AO423" s="289"/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2:61" ht="18"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/>
      <c r="W424" s="286"/>
      <c r="X424" s="279"/>
      <c r="Y424" s="279"/>
      <c r="Z424" s="280"/>
      <c r="AA424" s="279"/>
      <c r="AB424" s="279"/>
      <c r="AC424" s="280"/>
      <c r="AD424" s="288"/>
      <c r="AE424" s="287"/>
      <c r="AF424" s="280"/>
      <c r="AG424" s="281"/>
      <c r="AH424" s="282"/>
      <c r="AI424" s="283"/>
      <c r="AJ424" s="288"/>
      <c r="AK424" s="279"/>
      <c r="AL424" s="280"/>
      <c r="AM424" s="284"/>
      <c r="AN424" s="282"/>
      <c r="AO424" s="289"/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2:61" ht="18" hidden="1"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/>
      <c r="W425" s="286"/>
      <c r="X425" s="279"/>
      <c r="Y425" s="279"/>
      <c r="Z425" s="282"/>
      <c r="AA425" s="279"/>
      <c r="AB425" s="279"/>
      <c r="AC425" s="282"/>
      <c r="AD425" s="288"/>
      <c r="AE425" s="287"/>
      <c r="AF425" s="280"/>
      <c r="AG425" s="281"/>
      <c r="AH425" s="282"/>
      <c r="AI425" s="283"/>
      <c r="AJ425" s="288"/>
      <c r="AK425" s="279"/>
      <c r="AL425" s="280"/>
      <c r="AM425" s="284"/>
      <c r="AN425" s="282"/>
      <c r="AO425" s="289"/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2:61" ht="18" hidden="1"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/>
      <c r="W426" s="286"/>
      <c r="X426" s="279"/>
      <c r="Y426" s="279"/>
      <c r="Z426" s="282"/>
      <c r="AA426" s="279"/>
      <c r="AB426" s="279"/>
      <c r="AC426" s="282"/>
      <c r="AD426" s="288"/>
      <c r="AE426" s="287"/>
      <c r="AF426" s="280"/>
      <c r="AG426" s="281"/>
      <c r="AH426" s="282"/>
      <c r="AI426" s="283"/>
      <c r="AJ426" s="288"/>
      <c r="AK426" s="279"/>
      <c r="AL426" s="280"/>
      <c r="AM426" s="284"/>
      <c r="AN426" s="282"/>
      <c r="AO426" s="289"/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2:61" ht="18" hidden="1"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/>
      <c r="W427" s="286"/>
      <c r="X427" s="279"/>
      <c r="Y427" s="279"/>
      <c r="Z427" s="282"/>
      <c r="AA427" s="279"/>
      <c r="AB427" s="279"/>
      <c r="AC427" s="282"/>
      <c r="AD427" s="288"/>
      <c r="AE427" s="287"/>
      <c r="AF427" s="280"/>
      <c r="AG427" s="281"/>
      <c r="AH427" s="282"/>
      <c r="AI427" s="283"/>
      <c r="AJ427" s="288"/>
      <c r="AK427" s="279"/>
      <c r="AL427" s="280"/>
      <c r="AM427" s="284"/>
      <c r="AN427" s="282"/>
      <c r="AO427" s="289"/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2:61" ht="18"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/>
      <c r="W428" s="290"/>
      <c r="X428" s="263"/>
      <c r="Y428" s="263"/>
      <c r="Z428" s="264"/>
      <c r="AA428" s="263"/>
      <c r="AB428" s="263"/>
      <c r="AC428" s="264"/>
      <c r="AD428" s="292"/>
      <c r="AE428" s="291"/>
      <c r="AF428" s="264"/>
      <c r="AG428" s="265"/>
      <c r="AH428" s="266"/>
      <c r="AI428" s="293"/>
      <c r="AJ428" s="292"/>
      <c r="AK428" s="263"/>
      <c r="AL428" s="264"/>
      <c r="AM428" s="268"/>
      <c r="AN428" s="266"/>
      <c r="AO428" s="294"/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2:61" ht="18"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/>
      <c r="W429" s="286"/>
      <c r="X429" s="279"/>
      <c r="Y429" s="279"/>
      <c r="Z429" s="280"/>
      <c r="AA429" s="279"/>
      <c r="AB429" s="279"/>
      <c r="AC429" s="280"/>
      <c r="AD429" s="288"/>
      <c r="AE429" s="287"/>
      <c r="AF429" s="280"/>
      <c r="AG429" s="281"/>
      <c r="AH429" s="282"/>
      <c r="AI429" s="283"/>
      <c r="AJ429" s="288"/>
      <c r="AK429" s="279"/>
      <c r="AL429" s="280"/>
      <c r="AM429" s="284"/>
      <c r="AN429" s="282"/>
      <c r="AO429" s="289"/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2:61" ht="18"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/>
      <c r="W430" s="286"/>
      <c r="X430" s="279"/>
      <c r="Y430" s="279"/>
      <c r="Z430" s="280"/>
      <c r="AA430" s="279"/>
      <c r="AB430" s="279"/>
      <c r="AC430" s="280"/>
      <c r="AD430" s="288"/>
      <c r="AE430" s="287"/>
      <c r="AF430" s="280"/>
      <c r="AG430" s="281"/>
      <c r="AH430" s="282"/>
      <c r="AI430" s="283"/>
      <c r="AJ430" s="288"/>
      <c r="AK430" s="279"/>
      <c r="AL430" s="280"/>
      <c r="AM430" s="284"/>
      <c r="AN430" s="282"/>
      <c r="AO430" s="289"/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2:61" ht="18"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/>
      <c r="W431" s="286"/>
      <c r="X431" s="279"/>
      <c r="Y431" s="279"/>
      <c r="Z431" s="280"/>
      <c r="AA431" s="279"/>
      <c r="AB431" s="279"/>
      <c r="AC431" s="280"/>
      <c r="AD431" s="288"/>
      <c r="AE431" s="287"/>
      <c r="AF431" s="280"/>
      <c r="AG431" s="281"/>
      <c r="AH431" s="282"/>
      <c r="AI431" s="306"/>
      <c r="AJ431" s="288"/>
      <c r="AK431" s="279"/>
      <c r="AL431" s="280"/>
      <c r="AM431" s="284"/>
      <c r="AN431" s="282"/>
      <c r="AO431" s="294"/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2:61" ht="20.25" hidden="1"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/>
      <c r="W432" s="286"/>
      <c r="X432" s="279"/>
      <c r="Y432" s="287"/>
      <c r="Z432" s="282"/>
      <c r="AA432" s="279"/>
      <c r="AB432" s="279"/>
      <c r="AC432" s="282"/>
      <c r="AD432" s="288"/>
      <c r="AE432" s="287"/>
      <c r="AF432" s="280"/>
      <c r="AG432" s="281"/>
      <c r="AH432" s="282"/>
      <c r="AI432" s="283"/>
      <c r="AJ432" s="288"/>
      <c r="AK432" s="279"/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2:62" ht="18"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/>
      <c r="W433" s="297"/>
      <c r="X433" s="298"/>
      <c r="Y433" s="297"/>
      <c r="Z433" s="299"/>
      <c r="AA433" s="298"/>
      <c r="AB433" s="297"/>
      <c r="AC433" s="299"/>
      <c r="AD433" s="300"/>
      <c r="AE433" s="307"/>
      <c r="AF433" s="299"/>
      <c r="AG433" s="308"/>
      <c r="AH433" s="302"/>
      <c r="AI433" s="298"/>
      <c r="AJ433" s="300"/>
      <c r="AK433" s="297"/>
      <c r="AL433" s="299"/>
      <c r="AM433" s="309"/>
      <c r="AN433" s="302"/>
      <c r="AO433" s="277"/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2:62" ht="18"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/>
      <c r="W434" s="311"/>
      <c r="X434" s="312"/>
      <c r="Y434" s="312"/>
      <c r="Z434" s="313"/>
      <c r="AA434" s="312"/>
      <c r="AB434" s="312"/>
      <c r="AC434" s="313"/>
      <c r="AD434" s="314"/>
      <c r="AE434" s="315"/>
      <c r="AF434" s="313"/>
      <c r="AG434" s="314"/>
      <c r="AH434" s="316"/>
      <c r="AI434" s="317"/>
      <c r="AJ434" s="314"/>
      <c r="AK434" s="312"/>
      <c r="AL434" s="313"/>
      <c r="AM434" s="318"/>
      <c r="AN434" s="316"/>
      <c r="AO434" s="285"/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2:62" ht="18"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/>
      <c r="W435" s="286"/>
      <c r="X435" s="279"/>
      <c r="Y435" s="279"/>
      <c r="Z435" s="280"/>
      <c r="AA435" s="279"/>
      <c r="AB435" s="279"/>
      <c r="AC435" s="280"/>
      <c r="AD435" s="288"/>
      <c r="AE435" s="287"/>
      <c r="AF435" s="280"/>
      <c r="AG435" s="281"/>
      <c r="AH435" s="282"/>
      <c r="AI435" s="283"/>
      <c r="AJ435" s="288"/>
      <c r="AK435" s="279"/>
      <c r="AL435" s="280"/>
      <c r="AM435" s="284"/>
      <c r="AN435" s="282"/>
      <c r="AO435" s="289"/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2:62" ht="18"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/>
      <c r="W436" s="290"/>
      <c r="X436" s="263"/>
      <c r="Y436" s="263"/>
      <c r="Z436" s="264"/>
      <c r="AA436" s="263"/>
      <c r="AB436" s="263"/>
      <c r="AC436" s="264"/>
      <c r="AD436" s="292"/>
      <c r="AE436" s="291"/>
      <c r="AF436" s="264"/>
      <c r="AG436" s="265"/>
      <c r="AH436" s="266"/>
      <c r="AI436" s="293"/>
      <c r="AJ436" s="292"/>
      <c r="AK436" s="263"/>
      <c r="AL436" s="264"/>
      <c r="AM436" s="268"/>
      <c r="AN436" s="266"/>
      <c r="AO436" s="269"/>
      <c r="AP436" s="246"/>
      <c r="AQ436" s="485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2:62" ht="18"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/>
      <c r="W437" s="286"/>
      <c r="X437" s="279"/>
      <c r="Y437" s="279"/>
      <c r="Z437" s="280"/>
      <c r="AA437" s="279"/>
      <c r="AB437" s="279"/>
      <c r="AC437" s="280"/>
      <c r="AD437" s="288"/>
      <c r="AE437" s="287"/>
      <c r="AF437" s="280"/>
      <c r="AG437" s="281"/>
      <c r="AH437" s="282"/>
      <c r="AI437" s="283"/>
      <c r="AJ437" s="288"/>
      <c r="AK437" s="279"/>
      <c r="AL437" s="280"/>
      <c r="AM437" s="284"/>
      <c r="AN437" s="282"/>
      <c r="AO437" s="289"/>
      <c r="AP437" s="485"/>
      <c r="AQ437" s="494"/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2:62" ht="18"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/>
      <c r="W438" s="286"/>
      <c r="X438" s="279"/>
      <c r="Y438" s="279"/>
      <c r="Z438" s="280"/>
      <c r="AA438" s="279"/>
      <c r="AB438" s="279"/>
      <c r="AC438" s="280"/>
      <c r="AD438" s="288"/>
      <c r="AE438" s="287"/>
      <c r="AF438" s="280"/>
      <c r="AG438" s="281"/>
      <c r="AH438" s="282"/>
      <c r="AI438" s="283"/>
      <c r="AJ438" s="288"/>
      <c r="AK438" s="279"/>
      <c r="AL438" s="280"/>
      <c r="AM438" s="284"/>
      <c r="AN438" s="282"/>
      <c r="AO438" s="289"/>
      <c r="AP438" s="485"/>
      <c r="AQ438" s="246"/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2:62" ht="18"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/>
      <c r="W439" s="286"/>
      <c r="X439" s="279"/>
      <c r="Y439" s="279"/>
      <c r="Z439" s="280"/>
      <c r="AA439" s="279"/>
      <c r="AB439" s="279"/>
      <c r="AC439" s="280"/>
      <c r="AD439" s="288"/>
      <c r="AE439" s="287"/>
      <c r="AF439" s="280"/>
      <c r="AG439" s="281"/>
      <c r="AH439" s="282"/>
      <c r="AI439" s="283"/>
      <c r="AJ439" s="288"/>
      <c r="AK439" s="279"/>
      <c r="AL439" s="280"/>
      <c r="AM439" s="284"/>
      <c r="AN439" s="282"/>
      <c r="AO439" s="289"/>
      <c r="AP439" s="246"/>
      <c r="AQ439" s="485"/>
      <c r="AR439" s="485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2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/>
      <c r="W440" s="319"/>
      <c r="X440" s="320"/>
      <c r="Y440" s="320"/>
      <c r="Z440" s="321"/>
      <c r="AA440" s="320"/>
      <c r="AB440" s="320"/>
      <c r="AC440" s="321"/>
      <c r="AD440" s="322"/>
      <c r="AE440" s="323"/>
      <c r="AF440" s="321"/>
      <c r="AG440" s="324"/>
      <c r="AH440" s="325"/>
      <c r="AI440" s="326"/>
      <c r="AJ440" s="322"/>
      <c r="AK440" s="320"/>
      <c r="AL440" s="321"/>
      <c r="AM440" s="327"/>
      <c r="AN440" s="325"/>
      <c r="AO440" s="328"/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2:62" ht="18"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/>
      <c r="W441" s="286"/>
      <c r="X441" s="279"/>
      <c r="Y441" s="287"/>
      <c r="Z441" s="280"/>
      <c r="AA441" s="279"/>
      <c r="AB441" s="287"/>
      <c r="AC441" s="280"/>
      <c r="AD441" s="288"/>
      <c r="AE441" s="287"/>
      <c r="AF441" s="280"/>
      <c r="AG441" s="281"/>
      <c r="AH441" s="282"/>
      <c r="AI441" s="283"/>
      <c r="AJ441" s="288"/>
      <c r="AK441" s="279"/>
      <c r="AL441" s="280"/>
      <c r="AM441" s="284"/>
      <c r="AN441" s="282"/>
      <c r="AO441" s="289"/>
      <c r="AP441" s="246"/>
      <c r="AQ441" s="246"/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2:62" ht="18"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/>
      <c r="W442" s="286"/>
      <c r="X442" s="279"/>
      <c r="Y442" s="279"/>
      <c r="Z442" s="280"/>
      <c r="AA442" s="279"/>
      <c r="AB442" s="279"/>
      <c r="AC442" s="280"/>
      <c r="AD442" s="288"/>
      <c r="AE442" s="287"/>
      <c r="AF442" s="280"/>
      <c r="AG442" s="281"/>
      <c r="AH442" s="282"/>
      <c r="AI442" s="306"/>
      <c r="AJ442" s="288"/>
      <c r="AK442" s="279"/>
      <c r="AL442" s="280"/>
      <c r="AM442" s="284"/>
      <c r="AN442" s="282"/>
      <c r="AO442" s="289"/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2:62" ht="18"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/>
      <c r="W443" s="286"/>
      <c r="X443" s="279"/>
      <c r="Y443" s="279"/>
      <c r="Z443" s="280"/>
      <c r="AA443" s="279"/>
      <c r="AB443" s="279"/>
      <c r="AC443" s="280"/>
      <c r="AD443" s="288"/>
      <c r="AE443" s="287"/>
      <c r="AF443" s="280"/>
      <c r="AG443" s="281"/>
      <c r="AH443" s="282"/>
      <c r="AI443" s="283"/>
      <c r="AJ443" s="288"/>
      <c r="AK443" s="279"/>
      <c r="AL443" s="280"/>
      <c r="AM443" s="284"/>
      <c r="AN443" s="282"/>
      <c r="AO443" s="289"/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2:62" ht="18"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/>
      <c r="W444" s="286"/>
      <c r="X444" s="279"/>
      <c r="Y444" s="279"/>
      <c r="Z444" s="280"/>
      <c r="AA444" s="279"/>
      <c r="AB444" s="279"/>
      <c r="AC444" s="280"/>
      <c r="AD444" s="288"/>
      <c r="AE444" s="287"/>
      <c r="AF444" s="280"/>
      <c r="AG444" s="281"/>
      <c r="AH444" s="282"/>
      <c r="AI444" s="306"/>
      <c r="AJ444" s="288"/>
      <c r="AK444" s="279"/>
      <c r="AL444" s="280"/>
      <c r="AM444" s="284"/>
      <c r="AN444" s="282"/>
      <c r="AO444" s="289"/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2:62" ht="18"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/>
      <c r="W445" s="286"/>
      <c r="X445" s="279"/>
      <c r="Y445" s="279"/>
      <c r="Z445" s="280"/>
      <c r="AA445" s="279"/>
      <c r="AB445" s="279"/>
      <c r="AC445" s="280"/>
      <c r="AD445" s="288"/>
      <c r="AE445" s="287"/>
      <c r="AF445" s="280"/>
      <c r="AG445" s="281"/>
      <c r="AH445" s="282"/>
      <c r="AI445" s="283"/>
      <c r="AJ445" s="288"/>
      <c r="AK445" s="279"/>
      <c r="AL445" s="280"/>
      <c r="AM445" s="284"/>
      <c r="AN445" s="282"/>
      <c r="AO445" s="289"/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2:62" ht="18"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/>
      <c r="W446" s="286"/>
      <c r="X446" s="279"/>
      <c r="Y446" s="287"/>
      <c r="Z446" s="280"/>
      <c r="AA446" s="279"/>
      <c r="AB446" s="287"/>
      <c r="AC446" s="280"/>
      <c r="AD446" s="288"/>
      <c r="AE446" s="287"/>
      <c r="AF446" s="280"/>
      <c r="AG446" s="281"/>
      <c r="AH446" s="282"/>
      <c r="AI446" s="306"/>
      <c r="AJ446" s="288"/>
      <c r="AK446" s="279"/>
      <c r="AL446" s="280"/>
      <c r="AM446" s="284"/>
      <c r="AN446" s="282"/>
      <c r="AO446" s="289"/>
      <c r="AP446" s="246"/>
      <c r="AQ446" s="246"/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2:62" ht="18"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/>
      <c r="W447" s="286"/>
      <c r="X447" s="279"/>
      <c r="Y447" s="287"/>
      <c r="Z447" s="280"/>
      <c r="AA447" s="279"/>
      <c r="AB447" s="287"/>
      <c r="AC447" s="280"/>
      <c r="AD447" s="288"/>
      <c r="AE447" s="287"/>
      <c r="AF447" s="280"/>
      <c r="AG447" s="281"/>
      <c r="AH447" s="282"/>
      <c r="AI447" s="283"/>
      <c r="AJ447" s="288"/>
      <c r="AK447" s="279"/>
      <c r="AL447" s="280"/>
      <c r="AM447" s="284"/>
      <c r="AN447" s="282"/>
      <c r="AO447" s="289"/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2:62" ht="18"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/>
      <c r="W448" s="286"/>
      <c r="X448" s="279"/>
      <c r="Y448" s="287"/>
      <c r="Z448" s="280"/>
      <c r="AA448" s="279"/>
      <c r="AB448" s="287"/>
      <c r="AC448" s="280"/>
      <c r="AD448" s="288"/>
      <c r="AE448" s="287"/>
      <c r="AF448" s="280"/>
      <c r="AG448" s="281"/>
      <c r="AH448" s="282"/>
      <c r="AI448" s="283"/>
      <c r="AJ448" s="288"/>
      <c r="AK448" s="279"/>
      <c r="AL448" s="280"/>
      <c r="AM448" s="284"/>
      <c r="AN448" s="282"/>
      <c r="AO448" s="289"/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2:62" ht="18" hidden="1"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/>
      <c r="W449" s="286"/>
      <c r="X449" s="279"/>
      <c r="Y449" s="287"/>
      <c r="Z449" s="282"/>
      <c r="AA449" s="279"/>
      <c r="AB449" s="279"/>
      <c r="AC449" s="282"/>
      <c r="AD449" s="288"/>
      <c r="AE449" s="287"/>
      <c r="AF449" s="280"/>
      <c r="AG449" s="281"/>
      <c r="AH449" s="282"/>
      <c r="AI449" s="283"/>
      <c r="AJ449" s="288"/>
      <c r="AK449" s="279"/>
      <c r="AL449" s="280"/>
      <c r="AM449" s="284"/>
      <c r="AN449" s="282"/>
      <c r="AO449" s="289"/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2:62" ht="18" hidden="1"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/>
      <c r="W450" s="286"/>
      <c r="X450" s="279"/>
      <c r="Y450" s="287"/>
      <c r="Z450" s="282"/>
      <c r="AA450" s="279"/>
      <c r="AB450" s="279"/>
      <c r="AC450" s="282"/>
      <c r="AD450" s="288"/>
      <c r="AE450" s="287"/>
      <c r="AF450" s="280"/>
      <c r="AG450" s="281"/>
      <c r="AH450" s="282"/>
      <c r="AI450" s="283"/>
      <c r="AJ450" s="288"/>
      <c r="AK450" s="279"/>
      <c r="AL450" s="280"/>
      <c r="AM450" s="284"/>
      <c r="AN450" s="282"/>
      <c r="AO450" s="289"/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2:62" ht="18" hidden="1"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/>
      <c r="W451" s="286"/>
      <c r="X451" s="279"/>
      <c r="Y451" s="287"/>
      <c r="Z451" s="282"/>
      <c r="AA451" s="279"/>
      <c r="AB451" s="279"/>
      <c r="AC451" s="282"/>
      <c r="AD451" s="288"/>
      <c r="AE451" s="287"/>
      <c r="AF451" s="280"/>
      <c r="AG451" s="281"/>
      <c r="AH451" s="282"/>
      <c r="AI451" s="283"/>
      <c r="AJ451" s="288"/>
      <c r="AK451" s="279"/>
      <c r="AL451" s="280"/>
      <c r="AM451" s="284"/>
      <c r="AN451" s="282"/>
      <c r="AO451" s="289"/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2:62" ht="18"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/>
      <c r="W452" s="330"/>
      <c r="X452" s="298"/>
      <c r="Y452" s="297"/>
      <c r="Z452" s="299"/>
      <c r="AA452" s="298"/>
      <c r="AB452" s="297"/>
      <c r="AC452" s="299"/>
      <c r="AD452" s="300"/>
      <c r="AE452" s="297"/>
      <c r="AF452" s="299"/>
      <c r="AG452" s="308"/>
      <c r="AH452" s="302"/>
      <c r="AI452" s="298"/>
      <c r="AJ452" s="300"/>
      <c r="AK452" s="298"/>
      <c r="AL452" s="299"/>
      <c r="AM452" s="309"/>
      <c r="AN452" s="302"/>
      <c r="AO452" s="331"/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2:62" ht="18"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/>
      <c r="W453" s="286"/>
      <c r="X453" s="279"/>
      <c r="Y453" s="287"/>
      <c r="Z453" s="280"/>
      <c r="AA453" s="279"/>
      <c r="AB453" s="287"/>
      <c r="AC453" s="280"/>
      <c r="AD453" s="288"/>
      <c r="AE453" s="287"/>
      <c r="AF453" s="280"/>
      <c r="AG453" s="281"/>
      <c r="AH453" s="282"/>
      <c r="AI453" s="283"/>
      <c r="AJ453" s="288"/>
      <c r="AK453" s="279"/>
      <c r="AL453" s="280"/>
      <c r="AM453" s="284"/>
      <c r="AN453" s="282"/>
      <c r="AO453" s="289"/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2:62" ht="18"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/>
      <c r="W454" s="286"/>
      <c r="X454" s="279"/>
      <c r="Y454" s="287"/>
      <c r="Z454" s="280"/>
      <c r="AA454" s="279"/>
      <c r="AB454" s="287"/>
      <c r="AC454" s="280"/>
      <c r="AD454" s="288"/>
      <c r="AE454" s="287"/>
      <c r="AF454" s="280"/>
      <c r="AG454" s="281"/>
      <c r="AH454" s="282"/>
      <c r="AI454" s="283"/>
      <c r="AJ454" s="288"/>
      <c r="AK454" s="279"/>
      <c r="AL454" s="280"/>
      <c r="AM454" s="284"/>
      <c r="AN454" s="282"/>
      <c r="AO454" s="289"/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2:62" ht="18"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/>
      <c r="W455" s="290"/>
      <c r="X455" s="263"/>
      <c r="Y455" s="291"/>
      <c r="Z455" s="264"/>
      <c r="AA455" s="263"/>
      <c r="AB455" s="291"/>
      <c r="AC455" s="264"/>
      <c r="AD455" s="292"/>
      <c r="AE455" s="291"/>
      <c r="AF455" s="264"/>
      <c r="AG455" s="265"/>
      <c r="AH455" s="266"/>
      <c r="AI455" s="293"/>
      <c r="AJ455" s="292"/>
      <c r="AK455" s="263"/>
      <c r="AL455" s="264"/>
      <c r="AM455" s="268"/>
      <c r="AN455" s="266"/>
      <c r="AO455" s="269"/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2:62" ht="18" hidden="1"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/>
      <c r="W456" s="286"/>
      <c r="X456" s="279"/>
      <c r="Y456" s="287"/>
      <c r="Z456" s="280"/>
      <c r="AA456" s="279"/>
      <c r="AB456" s="287"/>
      <c r="AC456" s="280"/>
      <c r="AD456" s="288"/>
      <c r="AE456" s="287"/>
      <c r="AF456" s="280"/>
      <c r="AG456" s="281"/>
      <c r="AH456" s="282"/>
      <c r="AI456" s="283"/>
      <c r="AJ456" s="288"/>
      <c r="AK456" s="279"/>
      <c r="AL456" s="280"/>
      <c r="AM456" s="284"/>
      <c r="AN456" s="282"/>
      <c r="AO456" s="289"/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2:62" ht="18"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/>
      <c r="W457" s="290"/>
      <c r="X457" s="263"/>
      <c r="Y457" s="291"/>
      <c r="Z457" s="264"/>
      <c r="AA457" s="263"/>
      <c r="AB457" s="291"/>
      <c r="AC457" s="264"/>
      <c r="AD457" s="292"/>
      <c r="AE457" s="291"/>
      <c r="AF457" s="264"/>
      <c r="AG457" s="265"/>
      <c r="AH457" s="266"/>
      <c r="AI457" s="293"/>
      <c r="AJ457" s="292"/>
      <c r="AK457" s="263"/>
      <c r="AL457" s="264"/>
      <c r="AM457" s="268"/>
      <c r="AN457" s="266"/>
      <c r="AO457" s="269"/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2:62" ht="18"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/>
      <c r="W458" s="286"/>
      <c r="X458" s="332"/>
      <c r="Y458" s="333"/>
      <c r="Z458" s="280"/>
      <c r="AA458" s="332"/>
      <c r="AB458" s="333"/>
      <c r="AC458" s="280"/>
      <c r="AD458" s="288"/>
      <c r="AE458" s="287"/>
      <c r="AF458" s="280"/>
      <c r="AG458" s="281"/>
      <c r="AH458" s="282"/>
      <c r="AI458" s="283"/>
      <c r="AJ458" s="288"/>
      <c r="AK458" s="279"/>
      <c r="AL458" s="280"/>
      <c r="AM458" s="284"/>
      <c r="AN458" s="282"/>
      <c r="AO458" s="289"/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2:62" ht="18"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/>
      <c r="W459" s="286"/>
      <c r="X459" s="279"/>
      <c r="Y459" s="287"/>
      <c r="Z459" s="280"/>
      <c r="AA459" s="279"/>
      <c r="AB459" s="287"/>
      <c r="AC459" s="280"/>
      <c r="AD459" s="288"/>
      <c r="AE459" s="287"/>
      <c r="AF459" s="280"/>
      <c r="AG459" s="281"/>
      <c r="AH459" s="282"/>
      <c r="AI459" s="283"/>
      <c r="AJ459" s="288"/>
      <c r="AK459" s="279"/>
      <c r="AL459" s="280"/>
      <c r="AM459" s="284"/>
      <c r="AN459" s="282"/>
      <c r="AO459" s="289"/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2:62" ht="18"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/>
      <c r="W460" s="290"/>
      <c r="X460" s="263"/>
      <c r="Y460" s="291"/>
      <c r="Z460" s="264"/>
      <c r="AA460" s="263"/>
      <c r="AB460" s="291"/>
      <c r="AC460" s="264"/>
      <c r="AD460" s="292"/>
      <c r="AE460" s="291"/>
      <c r="AF460" s="264"/>
      <c r="AG460" s="265"/>
      <c r="AH460" s="266"/>
      <c r="AI460" s="293"/>
      <c r="AJ460" s="292"/>
      <c r="AK460" s="263"/>
      <c r="AL460" s="264"/>
      <c r="AM460" s="268"/>
      <c r="AN460" s="266"/>
      <c r="AO460" s="269"/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2:62" ht="18"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/>
      <c r="W461" s="286"/>
      <c r="X461" s="279"/>
      <c r="Y461" s="287"/>
      <c r="Z461" s="280"/>
      <c r="AA461" s="279"/>
      <c r="AB461" s="287"/>
      <c r="AC461" s="280"/>
      <c r="AD461" s="288"/>
      <c r="AE461" s="287"/>
      <c r="AF461" s="280"/>
      <c r="AG461" s="281"/>
      <c r="AH461" s="282"/>
      <c r="AI461" s="335"/>
      <c r="AJ461" s="279"/>
      <c r="AK461" s="279"/>
      <c r="AL461" s="280"/>
      <c r="AM461" s="284"/>
      <c r="AN461" s="282"/>
      <c r="AO461" s="289"/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2:62" ht="18" hidden="1"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/>
      <c r="W462" s="286"/>
      <c r="X462" s="279"/>
      <c r="Y462" s="287"/>
      <c r="Z462" s="280"/>
      <c r="AA462" s="279"/>
      <c r="AB462" s="287"/>
      <c r="AC462" s="280"/>
      <c r="AD462" s="288"/>
      <c r="AE462" s="287"/>
      <c r="AF462" s="280"/>
      <c r="AG462" s="281"/>
      <c r="AH462" s="282"/>
      <c r="AI462" s="306"/>
      <c r="AJ462" s="279"/>
      <c r="AK462" s="279"/>
      <c r="AL462" s="280"/>
      <c r="AM462" s="284"/>
      <c r="AN462" s="282"/>
      <c r="AO462" s="289"/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2:62" ht="18" hidden="1"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/>
      <c r="W463" s="286"/>
      <c r="X463" s="279"/>
      <c r="Y463" s="287"/>
      <c r="Z463" s="282"/>
      <c r="AA463" s="279"/>
      <c r="AB463" s="279"/>
      <c r="AC463" s="282"/>
      <c r="AD463" s="288"/>
      <c r="AE463" s="287"/>
      <c r="AF463" s="280"/>
      <c r="AG463" s="281"/>
      <c r="AH463" s="282"/>
      <c r="AI463" s="283"/>
      <c r="AJ463" s="288"/>
      <c r="AK463" s="279"/>
      <c r="AL463" s="280"/>
      <c r="AM463" s="284"/>
      <c r="AN463" s="282"/>
      <c r="AO463" s="289"/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2:62" ht="18" hidden="1"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/>
      <c r="W464" s="286"/>
      <c r="X464" s="279"/>
      <c r="Y464" s="287"/>
      <c r="Z464" s="282"/>
      <c r="AA464" s="279"/>
      <c r="AB464" s="279"/>
      <c r="AC464" s="282"/>
      <c r="AD464" s="288"/>
      <c r="AE464" s="287"/>
      <c r="AF464" s="280"/>
      <c r="AG464" s="281"/>
      <c r="AH464" s="282"/>
      <c r="AI464" s="283"/>
      <c r="AJ464" s="288"/>
      <c r="AK464" s="279"/>
      <c r="AL464" s="280"/>
      <c r="AM464" s="284"/>
      <c r="AN464" s="282"/>
      <c r="AO464" s="289"/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2:62" ht="18" hidden="1"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/>
      <c r="W465" s="286"/>
      <c r="X465" s="279"/>
      <c r="Y465" s="287"/>
      <c r="Z465" s="282"/>
      <c r="AA465" s="279"/>
      <c r="AB465" s="279"/>
      <c r="AC465" s="282"/>
      <c r="AD465" s="288"/>
      <c r="AE465" s="287"/>
      <c r="AF465" s="280"/>
      <c r="AG465" s="281"/>
      <c r="AH465" s="282"/>
      <c r="AI465" s="283"/>
      <c r="AJ465" s="288"/>
      <c r="AK465" s="279"/>
      <c r="AL465" s="280"/>
      <c r="AM465" s="284"/>
      <c r="AN465" s="282"/>
      <c r="AO465" s="289"/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2:62" ht="18"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/>
      <c r="W466" s="297"/>
      <c r="X466" s="298"/>
      <c r="Y466" s="297"/>
      <c r="Z466" s="299"/>
      <c r="AA466" s="298"/>
      <c r="AB466" s="297"/>
      <c r="AC466" s="299"/>
      <c r="AD466" s="300"/>
      <c r="AE466" s="297"/>
      <c r="AF466" s="299"/>
      <c r="AG466" s="308"/>
      <c r="AH466" s="302"/>
      <c r="AI466" s="298"/>
      <c r="AJ466" s="300"/>
      <c r="AK466" s="298"/>
      <c r="AL466" s="299"/>
      <c r="AM466" s="309"/>
      <c r="AN466" s="302"/>
      <c r="AO466" s="331"/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2:62" ht="18"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/>
      <c r="AI467" s="283"/>
      <c r="AJ467" s="288"/>
      <c r="AK467" s="279"/>
      <c r="AL467" s="336"/>
      <c r="AM467" s="337"/>
      <c r="AN467" s="282"/>
      <c r="AO467" s="338"/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2:62" ht="18"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/>
      <c r="W468" s="297"/>
      <c r="X468" s="298"/>
      <c r="Y468" s="297"/>
      <c r="Z468" s="299"/>
      <c r="AA468" s="298"/>
      <c r="AB468" s="297"/>
      <c r="AC468" s="299"/>
      <c r="AD468" s="300"/>
      <c r="AE468" s="297"/>
      <c r="AF468" s="299"/>
      <c r="AG468" s="308"/>
      <c r="AH468" s="302"/>
      <c r="AI468" s="298"/>
      <c r="AJ468" s="300"/>
      <c r="AK468" s="298"/>
      <c r="AL468" s="299"/>
      <c r="AM468" s="309"/>
      <c r="AN468" s="302"/>
      <c r="AO468" s="277"/>
      <c r="AP468" s="310"/>
      <c r="AQ468" s="246"/>
      <c r="AR468" s="499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2:62" ht="18"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/>
      <c r="W469" s="333"/>
      <c r="X469" s="333"/>
      <c r="Y469" s="279"/>
      <c r="Z469" s="313"/>
      <c r="AA469" s="339"/>
      <c r="AB469" s="340"/>
      <c r="AC469" s="313"/>
      <c r="AD469" s="341"/>
      <c r="AE469" s="340"/>
      <c r="AF469" s="280"/>
      <c r="AG469" s="342"/>
      <c r="AH469" s="282"/>
      <c r="AI469" s="335"/>
      <c r="AJ469" s="341"/>
      <c r="AK469" s="339"/>
      <c r="AL469" s="343"/>
      <c r="AM469" s="344"/>
      <c r="AN469" s="282"/>
      <c r="AO469" s="289"/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2:62" ht="18"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/>
      <c r="W470" s="279"/>
      <c r="X470" s="279"/>
      <c r="Y470" s="279"/>
      <c r="Z470" s="280"/>
      <c r="AA470" s="332"/>
      <c r="AB470" s="333"/>
      <c r="AC470" s="280"/>
      <c r="AD470" s="345"/>
      <c r="AE470" s="333"/>
      <c r="AF470" s="280"/>
      <c r="AG470" s="346"/>
      <c r="AH470" s="282"/>
      <c r="AI470" s="306"/>
      <c r="AJ470" s="345"/>
      <c r="AK470" s="332"/>
      <c r="AL470" s="347"/>
      <c r="AM470" s="348"/>
      <c r="AN470" s="282"/>
      <c r="AO470" s="289"/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2:62" ht="18"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/>
      <c r="W471" s="279"/>
      <c r="X471" s="279"/>
      <c r="Y471" s="279"/>
      <c r="Z471" s="280"/>
      <c r="AA471" s="332"/>
      <c r="AB471" s="333"/>
      <c r="AC471" s="280"/>
      <c r="AD471" s="345"/>
      <c r="AE471" s="333"/>
      <c r="AF471" s="280"/>
      <c r="AG471" s="346"/>
      <c r="AH471" s="282"/>
      <c r="AI471" s="306"/>
      <c r="AJ471" s="345"/>
      <c r="AK471" s="332"/>
      <c r="AL471" s="347"/>
      <c r="AM471" s="348"/>
      <c r="AN471" s="282"/>
      <c r="AO471" s="289"/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2:62" ht="18" hidden="1"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/>
      <c r="W472" s="279"/>
      <c r="X472" s="279"/>
      <c r="Y472" s="279"/>
      <c r="Z472" s="280"/>
      <c r="AA472" s="332"/>
      <c r="AB472" s="333"/>
      <c r="AC472" s="280"/>
      <c r="AD472" s="345"/>
      <c r="AE472" s="333"/>
      <c r="AF472" s="280"/>
      <c r="AG472" s="346"/>
      <c r="AH472" s="282"/>
      <c r="AI472" s="306"/>
      <c r="AJ472" s="345"/>
      <c r="AK472" s="332"/>
      <c r="AL472" s="347"/>
      <c r="AM472" s="348"/>
      <c r="AN472" s="282"/>
      <c r="AO472" s="289"/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2:62" ht="18" hidden="1"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/>
      <c r="W473" s="279"/>
      <c r="X473" s="279"/>
      <c r="Y473" s="279"/>
      <c r="Z473" s="280"/>
      <c r="AA473" s="332"/>
      <c r="AB473" s="333"/>
      <c r="AC473" s="280"/>
      <c r="AD473" s="345"/>
      <c r="AE473" s="333"/>
      <c r="AF473" s="280"/>
      <c r="AG473" s="346"/>
      <c r="AH473" s="282"/>
      <c r="AI473" s="306"/>
      <c r="AJ473" s="345"/>
      <c r="AK473" s="332"/>
      <c r="AL473" s="347"/>
      <c r="AM473" s="348"/>
      <c r="AN473" s="282"/>
      <c r="AO473" s="289"/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2:62" ht="18"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/>
      <c r="W474" s="279"/>
      <c r="X474" s="279"/>
      <c r="Y474" s="279"/>
      <c r="Z474" s="280"/>
      <c r="AA474" s="332"/>
      <c r="AB474" s="333"/>
      <c r="AC474" s="280"/>
      <c r="AD474" s="345"/>
      <c r="AE474" s="333"/>
      <c r="AF474" s="280"/>
      <c r="AG474" s="346"/>
      <c r="AH474" s="282"/>
      <c r="AI474" s="306"/>
      <c r="AJ474" s="345"/>
      <c r="AK474" s="332"/>
      <c r="AL474" s="347"/>
      <c r="AM474" s="348"/>
      <c r="AN474" s="282"/>
      <c r="AO474" s="289"/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2:62" ht="18"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/>
      <c r="W475" s="279"/>
      <c r="X475" s="279"/>
      <c r="Y475" s="279"/>
      <c r="Z475" s="280"/>
      <c r="AA475" s="332"/>
      <c r="AB475" s="333"/>
      <c r="AC475" s="280"/>
      <c r="AD475" s="345"/>
      <c r="AE475" s="333"/>
      <c r="AF475" s="280"/>
      <c r="AG475" s="346"/>
      <c r="AH475" s="282"/>
      <c r="AI475" s="306"/>
      <c r="AJ475" s="345"/>
      <c r="AK475" s="332"/>
      <c r="AL475" s="347"/>
      <c r="AM475" s="348"/>
      <c r="AN475" s="282"/>
      <c r="AO475" s="289"/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2:62" ht="18" hidden="1"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/>
      <c r="W476" s="279"/>
      <c r="X476" s="279"/>
      <c r="Y476" s="279"/>
      <c r="Z476" s="280"/>
      <c r="AA476" s="332"/>
      <c r="AB476" s="333"/>
      <c r="AC476" s="280"/>
      <c r="AD476" s="345"/>
      <c r="AE476" s="333"/>
      <c r="AF476" s="280"/>
      <c r="AG476" s="346"/>
      <c r="AH476" s="282"/>
      <c r="AI476" s="306"/>
      <c r="AJ476" s="345"/>
      <c r="AK476" s="332"/>
      <c r="AL476" s="347"/>
      <c r="AM476" s="348"/>
      <c r="AN476" s="282"/>
      <c r="AO476" s="289"/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2:62" ht="18"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/>
      <c r="W477" s="279"/>
      <c r="X477" s="279"/>
      <c r="Y477" s="279"/>
      <c r="Z477" s="280"/>
      <c r="AA477" s="332"/>
      <c r="AB477" s="333"/>
      <c r="AC477" s="280"/>
      <c r="AD477" s="345"/>
      <c r="AE477" s="333"/>
      <c r="AF477" s="280"/>
      <c r="AG477" s="346"/>
      <c r="AH477" s="282"/>
      <c r="AI477" s="306"/>
      <c r="AJ477" s="345"/>
      <c r="AK477" s="332"/>
      <c r="AL477" s="347"/>
      <c r="AM477" s="348"/>
      <c r="AN477" s="282"/>
      <c r="AO477" s="289"/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2:62" ht="18" hidden="1"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/>
      <c r="W478" s="279"/>
      <c r="X478" s="279"/>
      <c r="Y478" s="279"/>
      <c r="Z478" s="282"/>
      <c r="AA478" s="279"/>
      <c r="AB478" s="279"/>
      <c r="AC478" s="282"/>
      <c r="AD478" s="288"/>
      <c r="AE478" s="287"/>
      <c r="AF478" s="280"/>
      <c r="AG478" s="281"/>
      <c r="AH478" s="282"/>
      <c r="AI478" s="283"/>
      <c r="AJ478" s="288"/>
      <c r="AK478" s="279"/>
      <c r="AL478" s="280"/>
      <c r="AM478" s="348"/>
      <c r="AN478" s="282"/>
      <c r="AO478" s="289"/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2:62" ht="18" hidden="1"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/>
      <c r="W479" s="279"/>
      <c r="X479" s="279"/>
      <c r="Y479" s="279"/>
      <c r="Z479" s="282"/>
      <c r="AA479" s="279"/>
      <c r="AB479" s="279"/>
      <c r="AC479" s="282"/>
      <c r="AD479" s="288"/>
      <c r="AE479" s="287"/>
      <c r="AF479" s="280"/>
      <c r="AG479" s="281"/>
      <c r="AH479" s="282"/>
      <c r="AI479" s="283"/>
      <c r="AJ479" s="288"/>
      <c r="AK479" s="279"/>
      <c r="AL479" s="280"/>
      <c r="AM479" s="348"/>
      <c r="AN479" s="282"/>
      <c r="AO479" s="289"/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2:62" ht="18"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/>
      <c r="W480" s="279"/>
      <c r="X480" s="279"/>
      <c r="Y480" s="279"/>
      <c r="Z480" s="280"/>
      <c r="AA480" s="332"/>
      <c r="AB480" s="333"/>
      <c r="AC480" s="280"/>
      <c r="AD480" s="345"/>
      <c r="AE480" s="333"/>
      <c r="AF480" s="280"/>
      <c r="AG480" s="346"/>
      <c r="AH480" s="282"/>
      <c r="AI480" s="306"/>
      <c r="AJ480" s="345"/>
      <c r="AK480" s="332"/>
      <c r="AL480" s="347"/>
      <c r="AM480" s="348"/>
      <c r="AN480" s="282"/>
      <c r="AO480" s="289"/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2:62" ht="18"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/>
      <c r="W481" s="297"/>
      <c r="X481" s="298"/>
      <c r="Y481" s="330"/>
      <c r="Z481" s="299"/>
      <c r="AA481" s="298"/>
      <c r="AB481" s="330"/>
      <c r="AC481" s="299"/>
      <c r="AD481" s="298"/>
      <c r="AE481" s="330"/>
      <c r="AF481" s="299"/>
      <c r="AG481" s="308"/>
      <c r="AH481" s="302"/>
      <c r="AI481" s="298"/>
      <c r="AJ481" s="349"/>
      <c r="AK481" s="350"/>
      <c r="AL481" s="299"/>
      <c r="AM481" s="351"/>
      <c r="AN481" s="302"/>
      <c r="AO481" s="331"/>
      <c r="AP481" s="246"/>
      <c r="AQ481" s="246"/>
      <c r="AR481" s="499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2:62" ht="18.75" thickBot="1"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/>
      <c r="AO482" s="364"/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2:62" ht="19.5" thickTop="1" thickBot="1"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/>
      <c r="W483" s="366"/>
      <c r="X483" s="367"/>
      <c r="Y483" s="368"/>
      <c r="Z483" s="369"/>
      <c r="AA483" s="367"/>
      <c r="AB483" s="368"/>
      <c r="AC483" s="369"/>
      <c r="AD483" s="367"/>
      <c r="AE483" s="368"/>
      <c r="AF483" s="370"/>
      <c r="AG483" s="371"/>
      <c r="AH483" s="370"/>
      <c r="AI483" s="487"/>
      <c r="AJ483" s="373"/>
      <c r="AK483" s="368"/>
      <c r="AL483" s="370"/>
      <c r="AM483" s="374"/>
      <c r="AN483" s="370"/>
      <c r="AO483" s="375"/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2:62" ht="36" thickTop="1"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2:62" ht="35.25"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/>
      <c r="W485" s="6"/>
      <c r="X485" s="6"/>
      <c r="Y485" s="6"/>
      <c r="Z485" s="1"/>
      <c r="AA485" s="1"/>
      <c r="AB485" s="6"/>
      <c r="AC485" s="6"/>
      <c r="AD485" s="1"/>
      <c r="AE485" s="3"/>
      <c r="AF485" s="6"/>
      <c r="AG485" s="6"/>
      <c r="AH485" s="1"/>
      <c r="AI485" s="1"/>
      <c r="AJ485" s="255"/>
      <c r="AK485" s="2"/>
      <c r="AL485" s="1"/>
      <c r="AM485" s="6"/>
      <c r="AN485" s="6"/>
      <c r="AO485" s="5"/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2:62" ht="35.25" hidden="1"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2:62" ht="36" thickBot="1"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2:62" ht="19.5" thickTop="1" thickBot="1"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/>
      <c r="W488" s="445"/>
      <c r="X488" s="446"/>
      <c r="Y488" s="447"/>
      <c r="Z488" s="449"/>
      <c r="AA488" s="446"/>
      <c r="AB488" s="447"/>
      <c r="AC488" s="448"/>
      <c r="AD488" s="446"/>
      <c r="AE488" s="447"/>
      <c r="AF488" s="449"/>
      <c r="AG488" s="450"/>
      <c r="AH488" s="449"/>
      <c r="AI488" s="500"/>
      <c r="AJ488" s="446"/>
      <c r="AK488" s="447"/>
      <c r="AL488" s="449"/>
      <c r="AM488" s="452"/>
      <c r="AN488" s="449"/>
      <c r="AO488" s="453"/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2:62" ht="19.5" thickTop="1" thickBot="1"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/>
      <c r="W489" s="378"/>
      <c r="X489" s="379"/>
      <c r="Y489" s="380"/>
      <c r="Z489" s="381"/>
      <c r="AA489" s="379"/>
      <c r="AB489" s="380"/>
      <c r="AC489" s="381"/>
      <c r="AD489" s="379"/>
      <c r="AE489" s="380"/>
      <c r="AF489" s="381"/>
      <c r="AG489" s="382"/>
      <c r="AH489" s="370"/>
      <c r="AI489" s="487"/>
      <c r="AJ489" s="379"/>
      <c r="AK489" s="380"/>
      <c r="AL489" s="383"/>
      <c r="AM489" s="384"/>
      <c r="AN489" s="385"/>
      <c r="AO489" s="386"/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2:62" ht="16.5" thickTop="1"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2:62" ht="18"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/>
      <c r="W491" s="286"/>
      <c r="X491" s="279"/>
      <c r="Y491" s="287"/>
      <c r="Z491" s="280"/>
      <c r="AA491" s="279"/>
      <c r="AB491" s="287"/>
      <c r="AC491" s="280"/>
      <c r="AD491" s="279"/>
      <c r="AE491" s="287"/>
      <c r="AF491" s="280"/>
      <c r="AG491" s="279"/>
      <c r="AH491" s="282"/>
      <c r="AI491" s="306"/>
      <c r="AJ491" s="279"/>
      <c r="AK491" s="279"/>
      <c r="AL491" s="280"/>
      <c r="AM491" s="284"/>
      <c r="AN491" s="282"/>
      <c r="AO491" s="289"/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2:62" ht="20.25" hidden="1"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/>
      <c r="W492" s="10"/>
      <c r="X492" s="10"/>
      <c r="Y492" s="10"/>
      <c r="Z492" s="280"/>
      <c r="AA492" s="10"/>
      <c r="AB492" s="10"/>
      <c r="AC492" s="280"/>
      <c r="AD492" s="10"/>
      <c r="AE492" s="13"/>
      <c r="AF492" s="280"/>
      <c r="AG492" s="10"/>
      <c r="AH492" s="282"/>
      <c r="AI492" s="306"/>
      <c r="AJ492" s="10"/>
      <c r="AK492" s="10"/>
      <c r="AL492" s="280"/>
      <c r="AM492" s="393"/>
      <c r="AN492" s="282"/>
      <c r="AO492" s="289"/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2:62" ht="22.5" hidden="1" customHeight="1"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/>
      <c r="W493" s="13"/>
      <c r="X493" s="13"/>
      <c r="Y493" s="13"/>
      <c r="Z493" s="280"/>
      <c r="AA493" s="10"/>
      <c r="AB493" s="10"/>
      <c r="AC493" s="280"/>
      <c r="AD493" s="10"/>
      <c r="AE493" s="13"/>
      <c r="AF493" s="280"/>
      <c r="AG493" s="10"/>
      <c r="AH493" s="282"/>
      <c r="AI493" s="306"/>
      <c r="AJ493" s="10"/>
      <c r="AK493" s="10"/>
      <c r="AL493" s="280"/>
      <c r="AM493" s="393"/>
      <c r="AN493" s="282"/>
      <c r="AO493" s="289"/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2:62" ht="20.25" hidden="1"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/>
      <c r="W494" s="13"/>
      <c r="X494" s="13"/>
      <c r="Y494" s="13"/>
      <c r="Z494" s="280"/>
      <c r="AA494" s="10"/>
      <c r="AB494" s="10"/>
      <c r="AC494" s="280"/>
      <c r="AD494" s="10"/>
      <c r="AE494" s="13"/>
      <c r="AF494" s="280"/>
      <c r="AG494" s="10"/>
      <c r="AH494" s="282"/>
      <c r="AI494" s="306"/>
      <c r="AJ494" s="10"/>
      <c r="AK494" s="10"/>
      <c r="AL494" s="280"/>
      <c r="AM494" s="393"/>
      <c r="AN494" s="282"/>
      <c r="AO494" s="289"/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2:62" ht="20.25" hidden="1"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/>
      <c r="W495" s="13"/>
      <c r="X495" s="13"/>
      <c r="Y495" s="13"/>
      <c r="Z495" s="282"/>
      <c r="AA495" s="279"/>
      <c r="AB495" s="279"/>
      <c r="AC495" s="282"/>
      <c r="AD495" s="288"/>
      <c r="AE495" s="287"/>
      <c r="AF495" s="280"/>
      <c r="AG495" s="281"/>
      <c r="AH495" s="282"/>
      <c r="AI495" s="283"/>
      <c r="AJ495" s="288"/>
      <c r="AK495" s="279"/>
      <c r="AL495" s="280"/>
      <c r="AM495" s="393"/>
      <c r="AN495" s="282"/>
      <c r="AO495" s="289"/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2:62" ht="21" thickBot="1"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/>
      <c r="W496" s="13"/>
      <c r="X496" s="13"/>
      <c r="Y496" s="13"/>
      <c r="Z496" s="282"/>
      <c r="AA496" s="282"/>
      <c r="AB496" s="282"/>
      <c r="AC496" s="282"/>
      <c r="AD496" s="281"/>
      <c r="AE496" s="282"/>
      <c r="AF496" s="280"/>
      <c r="AG496" s="281"/>
      <c r="AH496" s="282"/>
      <c r="AI496" s="283"/>
      <c r="AJ496" s="288"/>
      <c r="AK496" s="279"/>
      <c r="AL496" s="280"/>
      <c r="AM496" s="393"/>
      <c r="AN496" s="282"/>
      <c r="AO496" s="289"/>
      <c r="AP496" s="246"/>
      <c r="AQ496" s="495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2:62" ht="21" hidden="1" thickBot="1"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/>
      <c r="W497" s="13"/>
      <c r="X497" s="246"/>
      <c r="Y497" s="13"/>
      <c r="Z497" s="282"/>
      <c r="AA497" s="279"/>
      <c r="AB497" s="279"/>
      <c r="AC497" s="282"/>
      <c r="AD497" s="288"/>
      <c r="AE497" s="287"/>
      <c r="AF497" s="280"/>
      <c r="AG497" s="281"/>
      <c r="AH497" s="282"/>
      <c r="AI497" s="283"/>
      <c r="AJ497" s="288"/>
      <c r="AK497" s="279"/>
      <c r="AL497" s="280"/>
      <c r="AM497" s="393"/>
      <c r="AN497" s="282"/>
      <c r="AO497" s="289"/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2:62" ht="19.5" thickTop="1" thickBot="1"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/>
      <c r="W498" s="366"/>
      <c r="X498" s="367"/>
      <c r="Y498" s="368"/>
      <c r="Z498" s="369"/>
      <c r="AA498" s="367"/>
      <c r="AB498" s="368"/>
      <c r="AC498" s="369"/>
      <c r="AD498" s="367"/>
      <c r="AE498" s="368"/>
      <c r="AF498" s="370"/>
      <c r="AG498" s="371"/>
      <c r="AH498" s="370"/>
      <c r="AI498" s="487"/>
      <c r="AJ498" s="373"/>
      <c r="AK498" s="368"/>
      <c r="AL498" s="370"/>
      <c r="AM498" s="374"/>
      <c r="AN498" s="370"/>
      <c r="AO498" s="394"/>
      <c r="AP498" s="310"/>
      <c r="AQ498" s="246"/>
      <c r="AR498" s="499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2:62" ht="16.5" thickTop="1"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2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2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2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2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2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2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2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2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2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2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2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2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2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/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/>
      <c r="AG513" s="310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0" priority="6" stopIfTrue="1">
      <formula>"esterreur(reference)"</formula>
    </cfRule>
  </conditionalFormatting>
  <conditionalFormatting sqref="D112:D113">
    <cfRule type="expression" dxfId="109" priority="1" stopIfTrue="1">
      <formula>"esterreur(reference)"</formula>
    </cfRule>
  </conditionalFormatting>
  <conditionalFormatting sqref="F5">
    <cfRule type="expression" dxfId="108" priority="67" stopIfTrue="1">
      <formula>"esterreur(reference)"</formula>
    </cfRule>
  </conditionalFormatting>
  <conditionalFormatting sqref="F184">
    <cfRule type="expression" dxfId="107" priority="76" stopIfTrue="1">
      <formula>"esterreur(reference)"</formula>
    </cfRule>
  </conditionalFormatting>
  <conditionalFormatting sqref="G31:G32">
    <cfRule type="expression" dxfId="106" priority="5" stopIfTrue="1">
      <formula>"esterreur(reference)"</formula>
    </cfRule>
  </conditionalFormatting>
  <conditionalFormatting sqref="G112:G113">
    <cfRule type="expression" dxfId="105" priority="2" stopIfTrue="1">
      <formula>"esterreur(reference)"</formula>
    </cfRule>
  </conditionalFormatting>
  <conditionalFormatting sqref="H136:H152">
    <cfRule type="expression" dxfId="104" priority="31" stopIfTrue="1">
      <formula>"esterreur(reference)"</formula>
    </cfRule>
  </conditionalFormatting>
  <conditionalFormatting sqref="H360">
    <cfRule type="expression" dxfId="103" priority="109" stopIfTrue="1">
      <formula>"esterreur(reference)"</formula>
    </cfRule>
  </conditionalFormatting>
  <conditionalFormatting sqref="H197:L197">
    <cfRule type="expression" dxfId="102" priority="111" stopIfTrue="1">
      <formula>"esterreur(reference)"</formula>
    </cfRule>
  </conditionalFormatting>
  <conditionalFormatting sqref="H396:L399">
    <cfRule type="expression" dxfId="101" priority="107" stopIfTrue="1">
      <formula>"esterreur(reference)"</formula>
    </cfRule>
  </conditionalFormatting>
  <conditionalFormatting sqref="I377:L377 H378:H395">
    <cfRule type="expression" dxfId="100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" priority="101" stopIfTrue="1">
      <formula>"esterreur(reference)"</formula>
    </cfRule>
  </conditionalFormatting>
  <conditionalFormatting sqref="J49:L72">
    <cfRule type="expression" dxfId="98" priority="32" stopIfTrue="1">
      <formula>"esterreur(reference)"</formula>
    </cfRule>
  </conditionalFormatting>
  <conditionalFormatting sqref="J102:L104">
    <cfRule type="expression" dxfId="97" priority="97" stopIfTrue="1">
      <formula>"esterreur(reference)"</formula>
    </cfRule>
  </conditionalFormatting>
  <conditionalFormatting sqref="J149:L152">
    <cfRule type="expression" dxfId="96" priority="30" stopIfTrue="1">
      <formula>"esterreur(reference)"</formula>
    </cfRule>
  </conditionalFormatting>
  <conditionalFormatting sqref="J295:L303">
    <cfRule type="expression" dxfId="95" priority="93" stopIfTrue="1">
      <formula>"esterreur(reference)"</formula>
    </cfRule>
  </conditionalFormatting>
  <conditionalFormatting sqref="J307:L308">
    <cfRule type="expression" dxfId="94" priority="83" stopIfTrue="1">
      <formula>"esterreur(reference)"</formula>
    </cfRule>
  </conditionalFormatting>
  <conditionalFormatting sqref="J360:L360">
    <cfRule type="expression" dxfId="93" priority="75" stopIfTrue="1">
      <formula>"esterreur(reference)"</formula>
    </cfRule>
  </conditionalFormatting>
  <conditionalFormatting sqref="J365:L376">
    <cfRule type="expression" dxfId="92" priority="80" stopIfTrue="1">
      <formula>"esterreur(reference)"</formula>
    </cfRule>
  </conditionalFormatting>
  <conditionalFormatting sqref="J378:L394">
    <cfRule type="expression" dxfId="91" priority="79" stopIfTrue="1">
      <formula>"esterreur(reference)"</formula>
    </cfRule>
  </conditionalFormatting>
  <conditionalFormatting sqref="J312:M312">
    <cfRule type="expression" dxfId="90" priority="81" stopIfTrue="1">
      <formula>"esterreur(reference)"</formula>
    </cfRule>
  </conditionalFormatting>
  <conditionalFormatting sqref="J112:Q121">
    <cfRule type="expression" dxfId="89" priority="3" stopIfTrue="1">
      <formula>"esterreur(reference)"</formula>
    </cfRule>
  </conditionalFormatting>
  <conditionalFormatting sqref="J123:Q134">
    <cfRule type="expression" dxfId="88" priority="57" stopIfTrue="1">
      <formula>"esterreur(reference)"</formula>
    </cfRule>
  </conditionalFormatting>
  <conditionalFormatting sqref="K5">
    <cfRule type="expression" dxfId="87" priority="90" stopIfTrue="1">
      <formula>"esterreur(reference)"</formula>
    </cfRule>
  </conditionalFormatting>
  <conditionalFormatting sqref="K175">
    <cfRule type="expression" dxfId="86" priority="87" stopIfTrue="1">
      <formula>"esterreur(reference)"</formula>
    </cfRule>
  </conditionalFormatting>
  <conditionalFormatting sqref="K183:K184">
    <cfRule type="expression" dxfId="85" priority="89" stopIfTrue="1">
      <formula>"esterreur(reference)"</formula>
    </cfRule>
  </conditionalFormatting>
  <conditionalFormatting sqref="K287">
    <cfRule type="expression" dxfId="84" priority="73" stopIfTrue="1">
      <formula>"esterreur(reference)"</formula>
    </cfRule>
  </conditionalFormatting>
  <conditionalFormatting sqref="K395">
    <cfRule type="expression" dxfId="83" priority="110" stopIfTrue="1">
      <formula>"esterreur(reference)"</formula>
    </cfRule>
  </conditionalFormatting>
  <conditionalFormatting sqref="K93:L96">
    <cfRule type="expression" dxfId="82" priority="78" stopIfTrue="1">
      <formula>"esterreur(reference)"</formula>
    </cfRule>
  </conditionalFormatting>
  <conditionalFormatting sqref="K99:L100">
    <cfRule type="expression" dxfId="81" priority="98" stopIfTrue="1">
      <formula>"esterreur(reference)"</formula>
    </cfRule>
  </conditionalFormatting>
  <conditionalFormatting sqref="K171:L173">
    <cfRule type="expression" dxfId="80" priority="88" stopIfTrue="1">
      <formula>"esterreur(reference)"</formula>
    </cfRule>
  </conditionalFormatting>
  <conditionalFormatting sqref="K176:L182">
    <cfRule type="expression" dxfId="79" priority="86" stopIfTrue="1">
      <formula>"esterreur(reference)"</formula>
    </cfRule>
  </conditionalFormatting>
  <conditionalFormatting sqref="K185:L196">
    <cfRule type="expression" dxfId="78" priority="82" stopIfTrue="1">
      <formula>"esterreur(reference)"</formula>
    </cfRule>
  </conditionalFormatting>
  <conditionalFormatting sqref="K239:L241">
    <cfRule type="expression" dxfId="77" priority="77" stopIfTrue="1">
      <formula>"esterreur(reference)"</formula>
    </cfRule>
  </conditionalFormatting>
  <conditionalFormatting sqref="K244:L244">
    <cfRule type="expression" dxfId="76" priority="85" stopIfTrue="1">
      <formula>"esterreur(reference)"</formula>
    </cfRule>
  </conditionalFormatting>
  <conditionalFormatting sqref="K247:L247">
    <cfRule type="expression" dxfId="75" priority="84" stopIfTrue="1">
      <formula>"esterreur(reference)"</formula>
    </cfRule>
  </conditionalFormatting>
  <conditionalFormatting sqref="L16:L24">
    <cfRule type="expression" dxfId="74" priority="100" stopIfTrue="1">
      <formula>"esterreur(reference)"</formula>
    </cfRule>
  </conditionalFormatting>
  <conditionalFormatting sqref="L42:L48">
    <cfRule type="expression" dxfId="73" priority="99" stopIfTrue="1">
      <formula>"esterreur(reference)"</formula>
    </cfRule>
  </conditionalFormatting>
  <conditionalFormatting sqref="L75:L82">
    <cfRule type="expression" dxfId="72" priority="68" stopIfTrue="1">
      <formula>"esterreur(reference)"</formula>
    </cfRule>
  </conditionalFormatting>
  <conditionalFormatting sqref="L136:L147">
    <cfRule type="expression" dxfId="71" priority="72" stopIfTrue="1">
      <formula>"esterreur(reference)"</formula>
    </cfRule>
  </conditionalFormatting>
  <conditionalFormatting sqref="L174:L175">
    <cfRule type="expression" dxfId="70" priority="96" stopIfTrue="1">
      <formula>"esterreur(reference)"</formula>
    </cfRule>
  </conditionalFormatting>
  <conditionalFormatting sqref="L198:L209">
    <cfRule type="expression" dxfId="69" priority="95" stopIfTrue="1">
      <formula>"esterreur(reference)"</formula>
    </cfRule>
  </conditionalFormatting>
  <conditionalFormatting sqref="L211:L228">
    <cfRule type="expression" dxfId="68" priority="71" stopIfTrue="1">
      <formula>"esterreur(reference)"</formula>
    </cfRule>
  </conditionalFormatting>
  <conditionalFormatting sqref="L254:L265">
    <cfRule type="expression" dxfId="67" priority="94" stopIfTrue="1">
      <formula>"esterreur(reference)"</formula>
    </cfRule>
  </conditionalFormatting>
  <conditionalFormatting sqref="L267:L284">
    <cfRule type="expression" dxfId="66" priority="70" stopIfTrue="1">
      <formula>"esterreur(reference)"</formula>
    </cfRule>
  </conditionalFormatting>
  <conditionalFormatting sqref="L318:L329">
    <cfRule type="expression" dxfId="65" priority="92" stopIfTrue="1">
      <formula>"esterreur(reference)"</formula>
    </cfRule>
  </conditionalFormatting>
  <conditionalFormatting sqref="L331">
    <cfRule type="expression" dxfId="64" priority="69" stopIfTrue="1">
      <formula>"esterreur(reference)"</formula>
    </cfRule>
  </conditionalFormatting>
  <conditionalFormatting sqref="L334:L343 L345:L348">
    <cfRule type="expression" dxfId="63" priority="91" stopIfTrue="1">
      <formula>"esterreur(reference)"</formula>
    </cfRule>
  </conditionalFormatting>
  <conditionalFormatting sqref="L356:L357 H357:I357 K357 J357:J358 H359:L359">
    <cfRule type="expression" dxfId="62" priority="106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2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3" stopIfTrue="1">
      <formula>"esterreur(reference)"</formula>
    </cfRule>
  </conditionalFormatting>
  <conditionalFormatting sqref="S186">
    <cfRule type="expression" dxfId="23" priority="74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4" operator="greaterThan">
      <formula>0</formula>
    </cfRule>
  </conditionalFormatting>
  <conditionalFormatting sqref="AH469:AI477 AH480:AI480">
    <cfRule type="cellIs" dxfId="5" priority="105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2026-02-13T17:38:38Z</dcterms:modified>
</cp:coreProperties>
</file>