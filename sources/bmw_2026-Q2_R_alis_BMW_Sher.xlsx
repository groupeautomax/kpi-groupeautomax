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F3D21620-BB94-4D79-898A-0D4DA943273B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Conso!$C$1:$S$234,Conso!$C$292:$S$354,Conso!$V$403:$AO$499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0" i="6" l="1"/>
  <c r="A499" i="6"/>
  <c r="AO498" i="6"/>
  <c r="A498" i="6"/>
  <c r="AR497" i="6"/>
  <c r="A497" i="6"/>
  <c r="AR496" i="6"/>
  <c r="AO496" i="6"/>
  <c r="A496" i="6"/>
  <c r="AO495" i="6"/>
  <c r="AH495" i="6"/>
  <c r="AR495" i="6"/>
  <c r="A495" i="6"/>
  <c r="AI495" i="6" s="1"/>
  <c r="AR494" i="6"/>
  <c r="AH494" i="6"/>
  <c r="AI494" i="6"/>
  <c r="A494" i="6"/>
  <c r="AR493" i="6"/>
  <c r="AO493" i="6"/>
  <c r="AN493" i="6"/>
  <c r="AI493" i="6"/>
  <c r="A493" i="6"/>
  <c r="A492" i="6"/>
  <c r="A491" i="6"/>
  <c r="A490" i="6"/>
  <c r="A489" i="6"/>
  <c r="A488" i="6"/>
  <c r="A487" i="6"/>
  <c r="A485" i="6"/>
  <c r="A484" i="6"/>
  <c r="AO483" i="6"/>
  <c r="AN483" i="6"/>
  <c r="A483" i="6"/>
  <c r="AQ482" i="6"/>
  <c r="A482" i="6"/>
  <c r="AS481" i="6"/>
  <c r="A481" i="6"/>
  <c r="AS480" i="6"/>
  <c r="A480" i="6"/>
  <c r="AS479" i="6"/>
  <c r="A479" i="6"/>
  <c r="AR478" i="6"/>
  <c r="AS478" i="6" s="1"/>
  <c r="AT478" i="6" s="1"/>
  <c r="AH478" i="6"/>
  <c r="AI478" i="6" s="1"/>
  <c r="A478" i="6"/>
  <c r="AN478" i="6" s="1"/>
  <c r="AS477" i="6"/>
  <c r="A477" i="6"/>
  <c r="AS476" i="6"/>
  <c r="A476" i="6"/>
  <c r="AS475" i="6"/>
  <c r="A475" i="6"/>
  <c r="AS474" i="6"/>
  <c r="A474" i="6"/>
  <c r="AS473" i="6"/>
  <c r="A473" i="6"/>
  <c r="AR472" i="6"/>
  <c r="AR482" i="6" s="1"/>
  <c r="A472" i="6"/>
  <c r="AS471" i="6"/>
  <c r="A471" i="6"/>
  <c r="AS470" i="6"/>
  <c r="AT470" i="6" s="1"/>
  <c r="A470" i="6"/>
  <c r="AH470" i="6" s="1"/>
  <c r="AI470" i="6" s="1"/>
  <c r="A469" i="6"/>
  <c r="AO468" i="6"/>
  <c r="AN468" i="6"/>
  <c r="AH468" i="6"/>
  <c r="A468" i="6"/>
  <c r="A467" i="6"/>
  <c r="A466" i="6"/>
  <c r="A465" i="6"/>
  <c r="A464" i="6"/>
  <c r="A463" i="6"/>
  <c r="AQ462" i="6"/>
  <c r="A462" i="6"/>
  <c r="A461" i="6"/>
  <c r="AQ460" i="6"/>
  <c r="AN460" i="6"/>
  <c r="AH460" i="6"/>
  <c r="A460" i="6"/>
  <c r="AQ459" i="6"/>
  <c r="AN459" i="6"/>
  <c r="A459" i="6"/>
  <c r="A458" i="6"/>
  <c r="A457" i="6"/>
  <c r="AN456" i="6"/>
  <c r="A456" i="6"/>
  <c r="A455" i="6"/>
  <c r="A454" i="6"/>
  <c r="A453" i="6"/>
  <c r="A452" i="6"/>
  <c r="A451" i="6"/>
  <c r="A450" i="6"/>
  <c r="A449" i="6"/>
  <c r="A448" i="6"/>
  <c r="AQ447" i="6"/>
  <c r="A447" i="6"/>
  <c r="AQ446" i="6"/>
  <c r="A446" i="6"/>
  <c r="A445" i="6"/>
  <c r="A444" i="6"/>
  <c r="AQ443" i="6"/>
  <c r="A443" i="6"/>
  <c r="AQ442" i="6"/>
  <c r="A442" i="6"/>
  <c r="A440" i="6"/>
  <c r="A439" i="6"/>
  <c r="AQ438" i="6"/>
  <c r="A438" i="6"/>
  <c r="AQ437" i="6"/>
  <c r="A437" i="6"/>
  <c r="A436" i="6"/>
  <c r="AQ435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S373" i="6"/>
  <c r="A373" i="6"/>
  <c r="A372" i="6"/>
  <c r="A371" i="6"/>
  <c r="A370" i="6"/>
  <c r="A369" i="6"/>
  <c r="A368" i="6"/>
  <c r="A367" i="6"/>
  <c r="A366" i="6"/>
  <c r="A365" i="6"/>
  <c r="A364" i="6"/>
  <c r="O363" i="6"/>
  <c r="A363" i="6"/>
  <c r="A362" i="6"/>
  <c r="R361" i="6"/>
  <c r="F363" i="6"/>
  <c r="A361" i="6"/>
  <c r="A360" i="6"/>
  <c r="S349" i="6"/>
  <c r="N349" i="6"/>
  <c r="A349" i="6"/>
  <c r="A348" i="6"/>
  <c r="N348" i="6" s="1"/>
  <c r="N347" i="6"/>
  <c r="A347" i="6"/>
  <c r="A346" i="6"/>
  <c r="A345" i="6"/>
  <c r="A344" i="6"/>
  <c r="N343" i="6"/>
  <c r="A343" i="6"/>
  <c r="N342" i="6"/>
  <c r="A342" i="6"/>
  <c r="S341" i="6"/>
  <c r="N341" i="6"/>
  <c r="A341" i="6"/>
  <c r="A340" i="6"/>
  <c r="S340" i="6" s="1"/>
  <c r="S339" i="6"/>
  <c r="N339" i="6"/>
  <c r="A339" i="6"/>
  <c r="S338" i="6"/>
  <c r="A338" i="6"/>
  <c r="S337" i="6"/>
  <c r="A337" i="6"/>
  <c r="N336" i="6"/>
  <c r="A336" i="6"/>
  <c r="S336" i="6" s="1"/>
  <c r="S335" i="6"/>
  <c r="N335" i="6"/>
  <c r="A335" i="6"/>
  <c r="A334" i="6"/>
  <c r="A333" i="6"/>
  <c r="A332" i="6"/>
  <c r="A331" i="6"/>
  <c r="S330" i="6"/>
  <c r="N330" i="6"/>
  <c r="A330" i="6"/>
  <c r="A329" i="6"/>
  <c r="S329" i="6" s="1"/>
  <c r="S328" i="6"/>
  <c r="N328" i="6"/>
  <c r="A328" i="6"/>
  <c r="S327" i="6"/>
  <c r="A327" i="6"/>
  <c r="S326" i="6"/>
  <c r="N326" i="6"/>
  <c r="A326" i="6"/>
  <c r="S325" i="6"/>
  <c r="A325" i="6"/>
  <c r="A324" i="6"/>
  <c r="A323" i="6"/>
  <c r="A322" i="6"/>
  <c r="A321" i="6"/>
  <c r="S320" i="6"/>
  <c r="A320" i="6"/>
  <c r="N320" i="6" s="1"/>
  <c r="A319" i="6"/>
  <c r="A318" i="6"/>
  <c r="A317" i="6"/>
  <c r="A316" i="6"/>
  <c r="A315" i="6"/>
  <c r="A314" i="6"/>
  <c r="P313" i="6"/>
  <c r="K313" i="6"/>
  <c r="E313" i="6"/>
  <c r="A313" i="6"/>
  <c r="A312" i="6"/>
  <c r="A311" i="6"/>
  <c r="A310" i="6"/>
  <c r="S309" i="6"/>
  <c r="K309" i="6"/>
  <c r="A309" i="6"/>
  <c r="A308" i="6"/>
  <c r="A307" i="6"/>
  <c r="A306" i="6"/>
  <c r="A305" i="6"/>
  <c r="K304" i="6"/>
  <c r="A304" i="6"/>
  <c r="K303" i="6"/>
  <c r="A303" i="6"/>
  <c r="K302" i="6"/>
  <c r="A302" i="6"/>
  <c r="S301" i="6"/>
  <c r="A301" i="6"/>
  <c r="S300" i="6"/>
  <c r="E300" i="6"/>
  <c r="A300" i="6"/>
  <c r="A299" i="6"/>
  <c r="A298" i="6"/>
  <c r="E297" i="6"/>
  <c r="A297" i="6"/>
  <c r="A296" i="6"/>
  <c r="A295" i="6"/>
  <c r="A285" i="6"/>
  <c r="N284" i="6"/>
  <c r="A284" i="6"/>
  <c r="S283" i="6"/>
  <c r="A283" i="6"/>
  <c r="N282" i="6"/>
  <c r="A282" i="6"/>
  <c r="A281" i="6"/>
  <c r="S280" i="6"/>
  <c r="A280" i="6"/>
  <c r="A279" i="6"/>
  <c r="S278" i="6"/>
  <c r="N278" i="6"/>
  <c r="A278" i="6"/>
  <c r="N277" i="6"/>
  <c r="A277" i="6"/>
  <c r="S276" i="6"/>
  <c r="N276" i="6"/>
  <c r="A276" i="6"/>
  <c r="A275" i="6"/>
  <c r="S275" i="6" s="1"/>
  <c r="N274" i="6"/>
  <c r="A274" i="6"/>
  <c r="S274" i="6" s="1"/>
  <c r="A273" i="6"/>
  <c r="S272" i="6"/>
  <c r="A272" i="6"/>
  <c r="S271" i="6"/>
  <c r="A271" i="6"/>
  <c r="N270" i="6"/>
  <c r="S270" i="6"/>
  <c r="A270" i="6"/>
  <c r="N269" i="6"/>
  <c r="A269" i="6"/>
  <c r="A268" i="6"/>
  <c r="A267" i="6"/>
  <c r="S266" i="6"/>
  <c r="N266" i="6"/>
  <c r="A266" i="6"/>
  <c r="A265" i="6"/>
  <c r="A264" i="6"/>
  <c r="S264" i="6" s="1"/>
  <c r="S263" i="6"/>
  <c r="N263" i="6"/>
  <c r="K286" i="6"/>
  <c r="A263" i="6"/>
  <c r="A262" i="6"/>
  <c r="S261" i="6"/>
  <c r="N261" i="6"/>
  <c r="A261" i="6"/>
  <c r="A260" i="6"/>
  <c r="S259" i="6"/>
  <c r="N259" i="6"/>
  <c r="A259" i="6"/>
  <c r="A258" i="6"/>
  <c r="S257" i="6"/>
  <c r="A257" i="6"/>
  <c r="S256" i="6"/>
  <c r="A256" i="6"/>
  <c r="A255" i="6"/>
  <c r="A254" i="6"/>
  <c r="A253" i="6"/>
  <c r="A252" i="6"/>
  <c r="A251" i="6"/>
  <c r="A250" i="6"/>
  <c r="S249" i="6"/>
  <c r="Q249" i="6"/>
  <c r="N249" i="6"/>
  <c r="F249" i="6"/>
  <c r="A249" i="6"/>
  <c r="S248" i="6"/>
  <c r="R248" i="6"/>
  <c r="N248" i="6"/>
  <c r="M248" i="6"/>
  <c r="L249" i="6"/>
  <c r="A248" i="6"/>
  <c r="A247" i="6"/>
  <c r="A246" i="6"/>
  <c r="N245" i="6"/>
  <c r="N246" i="6" s="1"/>
  <c r="K267" i="6"/>
  <c r="A245" i="6"/>
  <c r="A244" i="6"/>
  <c r="A243" i="6"/>
  <c r="A242" i="6"/>
  <c r="A241" i="6"/>
  <c r="A240" i="6"/>
  <c r="S229" i="6"/>
  <c r="N229" i="6"/>
  <c r="A229" i="6"/>
  <c r="A228" i="6"/>
  <c r="S227" i="6"/>
  <c r="N227" i="6"/>
  <c r="A227" i="6"/>
  <c r="A226" i="6"/>
  <c r="A225" i="6"/>
  <c r="S224" i="6"/>
  <c r="A224" i="6"/>
  <c r="S223" i="6"/>
  <c r="N223" i="6"/>
  <c r="A223" i="6"/>
  <c r="A222" i="6"/>
  <c r="A221" i="6"/>
  <c r="S221" i="6" s="1"/>
  <c r="S220" i="6"/>
  <c r="N220" i="6"/>
  <c r="A220" i="6"/>
  <c r="S219" i="6"/>
  <c r="A219" i="6"/>
  <c r="S218" i="6"/>
  <c r="N218" i="6"/>
  <c r="A218" i="6"/>
  <c r="A217" i="6"/>
  <c r="S216" i="6"/>
  <c r="N216" i="6"/>
  <c r="A216" i="6"/>
  <c r="S215" i="6"/>
  <c r="A215" i="6"/>
  <c r="S214" i="6"/>
  <c r="N214" i="6"/>
  <c r="A214" i="6"/>
  <c r="S213" i="6"/>
  <c r="N213" i="6"/>
  <c r="A213" i="6"/>
  <c r="A212" i="6"/>
  <c r="A211" i="6"/>
  <c r="A210" i="6"/>
  <c r="S209" i="6"/>
  <c r="A209" i="6"/>
  <c r="A208" i="6"/>
  <c r="S207" i="6"/>
  <c r="A207" i="6"/>
  <c r="N207" i="6" s="1"/>
  <c r="A206" i="6"/>
  <c r="A205" i="6"/>
  <c r="S204" i="6"/>
  <c r="A204" i="6"/>
  <c r="A203" i="6"/>
  <c r="S202" i="6"/>
  <c r="A202" i="6"/>
  <c r="S201" i="6"/>
  <c r="A201" i="6"/>
  <c r="A200" i="6"/>
  <c r="A199" i="6"/>
  <c r="N199" i="6" s="1"/>
  <c r="A198" i="6"/>
  <c r="A197" i="6"/>
  <c r="A196" i="6"/>
  <c r="A195" i="6"/>
  <c r="A194" i="6"/>
  <c r="L193" i="6"/>
  <c r="A193" i="6"/>
  <c r="A192" i="6"/>
  <c r="A191" i="6"/>
  <c r="A190" i="6"/>
  <c r="R189" i="6"/>
  <c r="M189" i="6"/>
  <c r="L190" i="6"/>
  <c r="A189" i="6"/>
  <c r="A188" i="6"/>
  <c r="L187" i="6"/>
  <c r="A187" i="6"/>
  <c r="L186" i="6"/>
  <c r="K186" i="6"/>
  <c r="J186" i="6"/>
  <c r="A186" i="6"/>
  <c r="A185" i="6"/>
  <c r="A184" i="6"/>
  <c r="M183" i="6"/>
  <c r="A183" i="6"/>
  <c r="L183" i="6"/>
  <c r="M182" i="6"/>
  <c r="A182" i="6"/>
  <c r="A181" i="6"/>
  <c r="R180" i="6"/>
  <c r="A180" i="6"/>
  <c r="P181" i="6"/>
  <c r="R179" i="6"/>
  <c r="N179" i="6"/>
  <c r="A179" i="6"/>
  <c r="A178" i="6"/>
  <c r="A177" i="6"/>
  <c r="Q177" i="6"/>
  <c r="A176" i="6"/>
  <c r="P175" i="6"/>
  <c r="A175" i="6"/>
  <c r="A174" i="6"/>
  <c r="R173" i="6"/>
  <c r="D186" i="6"/>
  <c r="A173" i="6"/>
  <c r="A172" i="6"/>
  <c r="V163" i="6"/>
  <c r="A163" i="6"/>
  <c r="S162" i="6"/>
  <c r="N162" i="6"/>
  <c r="A162" i="6"/>
  <c r="A161" i="6"/>
  <c r="V160" i="6"/>
  <c r="A160" i="6"/>
  <c r="S159" i="6"/>
  <c r="A159" i="6"/>
  <c r="A158" i="6"/>
  <c r="A157" i="6"/>
  <c r="A156" i="6"/>
  <c r="A155" i="6"/>
  <c r="A154" i="6"/>
  <c r="A153" i="6"/>
  <c r="S152" i="6"/>
  <c r="A152" i="6"/>
  <c r="N152" i="6" s="1"/>
  <c r="N151" i="6"/>
  <c r="A151" i="6"/>
  <c r="A150" i="6"/>
  <c r="A149" i="6"/>
  <c r="S148" i="6"/>
  <c r="N148" i="6"/>
  <c r="A148" i="6"/>
  <c r="A147" i="6"/>
  <c r="N146" i="6"/>
  <c r="S146" i="6"/>
  <c r="A146" i="6"/>
  <c r="S145" i="6"/>
  <c r="A145" i="6"/>
  <c r="S144" i="6"/>
  <c r="N144" i="6"/>
  <c r="A144" i="6"/>
  <c r="A143" i="6"/>
  <c r="N142" i="6"/>
  <c r="A142" i="6"/>
  <c r="A141" i="6"/>
  <c r="A140" i="6"/>
  <c r="N139" i="6"/>
  <c r="A139" i="6"/>
  <c r="S138" i="6"/>
  <c r="A138" i="6"/>
  <c r="A137" i="6"/>
  <c r="A136" i="6"/>
  <c r="S135" i="6"/>
  <c r="N135" i="6"/>
  <c r="A135" i="6"/>
  <c r="N134" i="6"/>
  <c r="S134" i="6"/>
  <c r="A134" i="6"/>
  <c r="N133" i="6"/>
  <c r="A133" i="6"/>
  <c r="A132" i="6"/>
  <c r="N132" i="6" s="1"/>
  <c r="S131" i="6"/>
  <c r="N131" i="6"/>
  <c r="A131" i="6"/>
  <c r="A130" i="6"/>
  <c r="S130" i="6" s="1"/>
  <c r="N129" i="6"/>
  <c r="S129" i="6"/>
  <c r="A129" i="6"/>
  <c r="S128" i="6"/>
  <c r="N128" i="6"/>
  <c r="A128" i="6"/>
  <c r="N127" i="6"/>
  <c r="A127" i="6"/>
  <c r="S126" i="6"/>
  <c r="N126" i="6"/>
  <c r="A126" i="6"/>
  <c r="A125" i="6"/>
  <c r="A124" i="6"/>
  <c r="A123" i="6"/>
  <c r="A122" i="6"/>
  <c r="A121" i="6"/>
  <c r="N120" i="6"/>
  <c r="A120" i="6"/>
  <c r="A119" i="6"/>
  <c r="A118" i="6"/>
  <c r="N117" i="6"/>
  <c r="S117" i="6"/>
  <c r="A117" i="6"/>
  <c r="S116" i="6"/>
  <c r="N116" i="6"/>
  <c r="A116" i="6"/>
  <c r="A115" i="6"/>
  <c r="N114" i="6"/>
  <c r="A114" i="6"/>
  <c r="A113" i="6"/>
  <c r="A112" i="6"/>
  <c r="A111" i="6"/>
  <c r="A110" i="6"/>
  <c r="A109" i="6"/>
  <c r="A108" i="6"/>
  <c r="A107" i="6"/>
  <c r="L106" i="6"/>
  <c r="A106" i="6"/>
  <c r="S105" i="6"/>
  <c r="A105" i="6"/>
  <c r="N105" i="6" s="1"/>
  <c r="A104" i="6"/>
  <c r="A103" i="6"/>
  <c r="F106" i="6" s="1"/>
  <c r="A102" i="6"/>
  <c r="A101" i="6"/>
  <c r="A100" i="6"/>
  <c r="R99" i="6"/>
  <c r="B99" i="6"/>
  <c r="A99" i="6"/>
  <c r="A98" i="6"/>
  <c r="A97" i="6"/>
  <c r="M96" i="6"/>
  <c r="A96" i="6"/>
  <c r="A95" i="6"/>
  <c r="K94" i="6"/>
  <c r="A94" i="6"/>
  <c r="A93" i="6"/>
  <c r="S89" i="6"/>
  <c r="B85" i="6"/>
  <c r="A85" i="6" s="1"/>
  <c r="B84" i="6"/>
  <c r="A84" i="6" s="1"/>
  <c r="B83" i="6"/>
  <c r="A83" i="6"/>
  <c r="B82" i="6"/>
  <c r="B81" i="6"/>
  <c r="A81" i="6" s="1"/>
  <c r="S80" i="6"/>
  <c r="B80" i="6"/>
  <c r="A80" i="6"/>
  <c r="B79" i="6"/>
  <c r="A79" i="6"/>
  <c r="B78" i="6"/>
  <c r="B77" i="6"/>
  <c r="A77" i="6" s="1"/>
  <c r="B76" i="6"/>
  <c r="A76" i="6"/>
  <c r="S75" i="6"/>
  <c r="B75" i="6"/>
  <c r="A75" i="6"/>
  <c r="B74" i="6"/>
  <c r="A74" i="6"/>
  <c r="B73" i="6"/>
  <c r="A73" i="6" s="1"/>
  <c r="B72" i="6"/>
  <c r="A72" i="6"/>
  <c r="B71" i="6"/>
  <c r="B70" i="6"/>
  <c r="A70" i="6"/>
  <c r="S69" i="6"/>
  <c r="N69" i="6"/>
  <c r="B69" i="6"/>
  <c r="A69" i="6" s="1"/>
  <c r="S68" i="6"/>
  <c r="B68" i="6"/>
  <c r="A68" i="6" s="1"/>
  <c r="B67" i="6"/>
  <c r="B66" i="6"/>
  <c r="S65" i="6"/>
  <c r="B65" i="6"/>
  <c r="A65" i="6" s="1"/>
  <c r="B64" i="6"/>
  <c r="A64" i="6" s="1"/>
  <c r="N63" i="6"/>
  <c r="B63" i="6"/>
  <c r="A63" i="6"/>
  <c r="B62" i="6"/>
  <c r="N61" i="6"/>
  <c r="B61" i="6"/>
  <c r="A61" i="6" s="1"/>
  <c r="S60" i="6"/>
  <c r="N60" i="6"/>
  <c r="B60" i="6"/>
  <c r="A60" i="6"/>
  <c r="B59" i="6"/>
  <c r="A59" i="6"/>
  <c r="B58" i="6"/>
  <c r="B57" i="6"/>
  <c r="A57" i="6"/>
  <c r="B56" i="6"/>
  <c r="A56" i="6"/>
  <c r="S55" i="6"/>
  <c r="B55" i="6"/>
  <c r="A55" i="6" s="1"/>
  <c r="B54" i="6"/>
  <c r="A54" i="6"/>
  <c r="B53" i="6"/>
  <c r="A53" i="6" s="1"/>
  <c r="B52" i="6"/>
  <c r="B51" i="6"/>
  <c r="B50" i="6"/>
  <c r="B49" i="6"/>
  <c r="B48" i="6"/>
  <c r="S48" i="6" s="1"/>
  <c r="A48" i="6"/>
  <c r="B47" i="6"/>
  <c r="A47" i="6"/>
  <c r="B46" i="6"/>
  <c r="A46" i="6"/>
  <c r="S46" i="6" s="1"/>
  <c r="B45" i="6"/>
  <c r="A45" i="6"/>
  <c r="S45" i="6" s="1"/>
  <c r="B44" i="6"/>
  <c r="A44" i="6"/>
  <c r="B43" i="6"/>
  <c r="A43" i="6"/>
  <c r="N42" i="6"/>
  <c r="B42" i="6"/>
  <c r="A42" i="6"/>
  <c r="B41" i="6"/>
  <c r="A41" i="6"/>
  <c r="B40" i="6"/>
  <c r="B39" i="6"/>
  <c r="A39" i="6" s="1"/>
  <c r="B38" i="6"/>
  <c r="A38" i="6"/>
  <c r="B37" i="6"/>
  <c r="B36" i="6"/>
  <c r="A36" i="6"/>
  <c r="B35" i="6"/>
  <c r="A35" i="6"/>
  <c r="B34" i="6"/>
  <c r="A34" i="6"/>
  <c r="N33" i="6"/>
  <c r="B33" i="6"/>
  <c r="A33" i="6"/>
  <c r="B32" i="6"/>
  <c r="A32" i="6"/>
  <c r="B31" i="6"/>
  <c r="A31" i="6"/>
  <c r="B30" i="6"/>
  <c r="A30" i="6"/>
  <c r="B29" i="6"/>
  <c r="A29" i="6" s="1"/>
  <c r="B28" i="6"/>
  <c r="A28" i="6"/>
  <c r="B27" i="6"/>
  <c r="A27" i="6" s="1"/>
  <c r="B26" i="6"/>
  <c r="A26" i="6"/>
  <c r="B25" i="6"/>
  <c r="A25" i="6"/>
  <c r="B24" i="6"/>
  <c r="A24" i="6" s="1"/>
  <c r="B23" i="6"/>
  <c r="A23" i="6"/>
  <c r="S23" i="6" s="1"/>
  <c r="B22" i="6"/>
  <c r="B21" i="6"/>
  <c r="L24" i="6" s="1"/>
  <c r="B20" i="6"/>
  <c r="A20" i="6" s="1"/>
  <c r="B19" i="6"/>
  <c r="B18" i="6"/>
  <c r="A18" i="6"/>
  <c r="B17" i="6"/>
  <c r="B16" i="6"/>
  <c r="A16" i="6"/>
  <c r="B15" i="6"/>
  <c r="A15" i="6"/>
  <c r="B14" i="6"/>
  <c r="A14" i="6"/>
  <c r="B13" i="6"/>
  <c r="A13" i="6" s="1"/>
  <c r="B12" i="6"/>
  <c r="R11" i="6"/>
  <c r="B11" i="6"/>
  <c r="K11" i="6" s="1"/>
  <c r="A11" i="6"/>
  <c r="K10" i="6"/>
  <c r="B10" i="6"/>
  <c r="A10" i="6"/>
  <c r="S9" i="6"/>
  <c r="E9" i="6"/>
  <c r="B9" i="6"/>
  <c r="A9" i="6"/>
  <c r="S8" i="6"/>
  <c r="B8" i="6"/>
  <c r="A8" i="6"/>
  <c r="B7" i="6"/>
  <c r="A7" i="6"/>
  <c r="B6" i="6"/>
  <c r="R6" i="6" s="1"/>
  <c r="A6" i="6"/>
  <c r="B5" i="6"/>
  <c r="D53" i="6" s="1"/>
  <c r="C89" i="6"/>
  <c r="S32" i="6" l="1"/>
  <c r="O97" i="6"/>
  <c r="P114" i="6" s="1"/>
  <c r="P95" i="6"/>
  <c r="R7" i="6"/>
  <c r="S42" i="6"/>
  <c r="S36" i="6"/>
  <c r="S34" i="6"/>
  <c r="N34" i="6"/>
  <c r="N39" i="6"/>
  <c r="M9" i="6"/>
  <c r="K9" i="6"/>
  <c r="J32" i="6"/>
  <c r="N15" i="6"/>
  <c r="K40" i="6"/>
  <c r="N9" i="6"/>
  <c r="P9" i="6"/>
  <c r="L54" i="6"/>
  <c r="K54" i="6" s="1"/>
  <c r="A49" i="6"/>
  <c r="N68" i="6"/>
  <c r="A82" i="6"/>
  <c r="N122" i="6"/>
  <c r="S122" i="6"/>
  <c r="S47" i="6"/>
  <c r="N106" i="6"/>
  <c r="N107" i="6" s="1"/>
  <c r="N59" i="6"/>
  <c r="S63" i="6"/>
  <c r="A66" i="6"/>
  <c r="A71" i="6"/>
  <c r="N76" i="6"/>
  <c r="S76" i="6"/>
  <c r="E99" i="6"/>
  <c r="N99" i="6"/>
  <c r="J114" i="6"/>
  <c r="P7" i="6"/>
  <c r="N11" i="6"/>
  <c r="S99" i="6"/>
  <c r="N36" i="6"/>
  <c r="N96" i="6"/>
  <c r="E7" i="6"/>
  <c r="P11" i="6"/>
  <c r="A17" i="6"/>
  <c r="N32" i="6"/>
  <c r="N38" i="6"/>
  <c r="A40" i="6"/>
  <c r="S59" i="6"/>
  <c r="Z474" i="6"/>
  <c r="V82" i="6"/>
  <c r="S114" i="6"/>
  <c r="S39" i="6"/>
  <c r="K39" i="6"/>
  <c r="S43" i="6"/>
  <c r="Z425" i="6"/>
  <c r="N47" i="6"/>
  <c r="E8" i="6"/>
  <c r="S11" i="6"/>
  <c r="K38" i="6"/>
  <c r="AF430" i="6"/>
  <c r="A50" i="6"/>
  <c r="N57" i="6"/>
  <c r="S61" i="6"/>
  <c r="L83" i="6"/>
  <c r="R95" i="6"/>
  <c r="M95" i="6"/>
  <c r="L136" i="6"/>
  <c r="N124" i="6"/>
  <c r="S124" i="6"/>
  <c r="S15" i="6"/>
  <c r="N56" i="6"/>
  <c r="S56" i="6"/>
  <c r="K6" i="6"/>
  <c r="K7" i="6"/>
  <c r="S10" i="6"/>
  <c r="P10" i="6"/>
  <c r="K15" i="6"/>
  <c r="A22" i="6"/>
  <c r="N23" i="6"/>
  <c r="S31" i="6"/>
  <c r="N31" i="6"/>
  <c r="N35" i="6"/>
  <c r="A62" i="6"/>
  <c r="A67" i="6"/>
  <c r="AF448" i="6"/>
  <c r="N80" i="6"/>
  <c r="K95" i="6"/>
  <c r="F123" i="6"/>
  <c r="N113" i="6"/>
  <c r="S118" i="6"/>
  <c r="S33" i="6"/>
  <c r="A78" i="6"/>
  <c r="S125" i="6"/>
  <c r="N125" i="6"/>
  <c r="AL414" i="6"/>
  <c r="AF477" i="6"/>
  <c r="AL413" i="6"/>
  <c r="Z424" i="6"/>
  <c r="AL474" i="6"/>
  <c r="AO474" i="6" s="1"/>
  <c r="AF473" i="6"/>
  <c r="AF444" i="6"/>
  <c r="V486" i="6"/>
  <c r="A486" i="6" s="1"/>
  <c r="AF441" i="6"/>
  <c r="Z414" i="6"/>
  <c r="V403" i="6"/>
  <c r="Z413" i="6"/>
  <c r="AF411" i="6"/>
  <c r="AL415" i="6"/>
  <c r="Z473" i="6"/>
  <c r="AF443" i="6"/>
  <c r="AF431" i="6"/>
  <c r="AF466" i="6"/>
  <c r="AF445" i="6"/>
  <c r="AF415" i="6"/>
  <c r="Z415" i="6"/>
  <c r="C292" i="6"/>
  <c r="C357" i="6" s="1"/>
  <c r="AL444" i="6"/>
  <c r="AF424" i="6"/>
  <c r="AL412" i="6"/>
  <c r="AL410" i="6"/>
  <c r="AF452" i="6"/>
  <c r="AF432" i="6"/>
  <c r="AF429" i="6"/>
  <c r="AF426" i="6"/>
  <c r="C237" i="6"/>
  <c r="AL436" i="6" s="1"/>
  <c r="AL441" i="6"/>
  <c r="AO441" i="6" s="1"/>
  <c r="C169" i="6"/>
  <c r="AF446" i="6" s="1"/>
  <c r="A37" i="6"/>
  <c r="M8" i="6"/>
  <c r="E10" i="6"/>
  <c r="E94" i="6"/>
  <c r="P94" i="6"/>
  <c r="N118" i="6"/>
  <c r="L13" i="6"/>
  <c r="L27" i="6" s="1"/>
  <c r="S7" i="6"/>
  <c r="N8" i="6"/>
  <c r="N6" i="6"/>
  <c r="M7" i="6"/>
  <c r="M15" i="6"/>
  <c r="S35" i="6"/>
  <c r="S38" i="6"/>
  <c r="N46" i="6"/>
  <c r="N55" i="6"/>
  <c r="S57" i="6"/>
  <c r="A5" i="6"/>
  <c r="P6" i="6"/>
  <c r="N7" i="6"/>
  <c r="K8" i="6"/>
  <c r="N10" i="6"/>
  <c r="E11" i="6"/>
  <c r="J13" i="6"/>
  <c r="A12" i="6"/>
  <c r="A21" i="6"/>
  <c r="N48" i="6"/>
  <c r="A51" i="6"/>
  <c r="A58" i="6"/>
  <c r="L72" i="6"/>
  <c r="K72" i="6" s="1"/>
  <c r="N75" i="6"/>
  <c r="L97" i="6"/>
  <c r="N101" i="6"/>
  <c r="S101" i="6"/>
  <c r="N103" i="6"/>
  <c r="S53" i="6"/>
  <c r="N53" i="6"/>
  <c r="S70" i="6"/>
  <c r="S81" i="6"/>
  <c r="N81" i="6"/>
  <c r="R10" i="6"/>
  <c r="S44" i="6"/>
  <c r="N44" i="6"/>
  <c r="N65" i="6"/>
  <c r="N70" i="6"/>
  <c r="N79" i="6"/>
  <c r="S79" i="6"/>
  <c r="S94" i="6"/>
  <c r="Q97" i="6"/>
  <c r="E96" i="6"/>
  <c r="R101" i="6"/>
  <c r="S95" i="6"/>
  <c r="Q106" i="6"/>
  <c r="S106" i="6" s="1"/>
  <c r="S120" i="6"/>
  <c r="S182" i="6"/>
  <c r="R242" i="6"/>
  <c r="E299" i="6"/>
  <c r="K301" i="6"/>
  <c r="P303" i="6"/>
  <c r="R303" i="6"/>
  <c r="L123" i="6"/>
  <c r="AO486" i="6"/>
  <c r="AO403" i="6"/>
  <c r="S357" i="6"/>
  <c r="S292" i="6"/>
  <c r="S237" i="6"/>
  <c r="S169" i="6"/>
  <c r="N43" i="6"/>
  <c r="N95" i="6"/>
  <c r="K96" i="6"/>
  <c r="J97" i="6"/>
  <c r="S147" i="6"/>
  <c r="S176" i="6"/>
  <c r="E296" i="6"/>
  <c r="N150" i="6"/>
  <c r="S150" i="6"/>
  <c r="Q180" i="6"/>
  <c r="S153" i="6"/>
  <c r="N153" i="6"/>
  <c r="W160" i="6"/>
  <c r="W163" i="6"/>
  <c r="Q174" i="6"/>
  <c r="Q186" i="6"/>
  <c r="N189" i="6"/>
  <c r="F190" i="6"/>
  <c r="A52" i="6"/>
  <c r="N121" i="6"/>
  <c r="L154" i="6"/>
  <c r="S139" i="6"/>
  <c r="S161" i="6"/>
  <c r="N161" i="6"/>
  <c r="S104" i="6"/>
  <c r="S113" i="6"/>
  <c r="P121" i="6"/>
  <c r="S127" i="6"/>
  <c r="N140" i="6"/>
  <c r="S140" i="6"/>
  <c r="S158" i="6"/>
  <c r="N158" i="6"/>
  <c r="L164" i="6"/>
  <c r="K101" i="6"/>
  <c r="N104" i="6"/>
  <c r="S115" i="6"/>
  <c r="N115" i="6"/>
  <c r="F136" i="6"/>
  <c r="S132" i="6"/>
  <c r="S142" i="6"/>
  <c r="AL449" i="6"/>
  <c r="N226" i="6"/>
  <c r="P178" i="6"/>
  <c r="K187" i="6"/>
  <c r="D114" i="6"/>
  <c r="K195" i="6"/>
  <c r="F246" i="6"/>
  <c r="E251" i="6"/>
  <c r="N149" i="6"/>
  <c r="S149" i="6"/>
  <c r="F174" i="6"/>
  <c r="S133" i="6"/>
  <c r="S143" i="6"/>
  <c r="N143" i="6"/>
  <c r="N145" i="6"/>
  <c r="N147" i="6"/>
  <c r="S160" i="6"/>
  <c r="P186" i="6"/>
  <c r="P195" i="6" s="1"/>
  <c r="L177" i="6"/>
  <c r="S205" i="6"/>
  <c r="N205" i="6"/>
  <c r="N299" i="6"/>
  <c r="S141" i="6"/>
  <c r="N141" i="6"/>
  <c r="F180" i="6"/>
  <c r="L195" i="6"/>
  <c r="Q193" i="6"/>
  <c r="N208" i="6"/>
  <c r="S208" i="6"/>
  <c r="M299" i="6"/>
  <c r="N163" i="6"/>
  <c r="S200" i="6"/>
  <c r="S226" i="6"/>
  <c r="M245" i="6"/>
  <c r="N308" i="6"/>
  <c r="E308" i="6"/>
  <c r="N119" i="6"/>
  <c r="N159" i="6"/>
  <c r="S163" i="6"/>
  <c r="M179" i="6"/>
  <c r="R182" i="6"/>
  <c r="S186" i="6"/>
  <c r="F193" i="6"/>
  <c r="M242" i="6"/>
  <c r="S297" i="6"/>
  <c r="N297" i="6"/>
  <c r="R301" i="6"/>
  <c r="P301" i="6"/>
  <c r="S203" i="6"/>
  <c r="N203" i="6"/>
  <c r="S206" i="6"/>
  <c r="N212" i="6"/>
  <c r="S217" i="6"/>
  <c r="N217" i="6"/>
  <c r="S281" i="6"/>
  <c r="N281" i="6"/>
  <c r="S308" i="6"/>
  <c r="E175" i="6"/>
  <c r="N206" i="6"/>
  <c r="P251" i="6"/>
  <c r="N268" i="6"/>
  <c r="R309" i="6"/>
  <c r="P309" i="6"/>
  <c r="Q267" i="6"/>
  <c r="N258" i="6"/>
  <c r="S265" i="6"/>
  <c r="N265" i="6"/>
  <c r="S268" i="6"/>
  <c r="F331" i="6"/>
  <c r="S119" i="6"/>
  <c r="N138" i="6"/>
  <c r="R176" i="6"/>
  <c r="F186" i="6"/>
  <c r="L211" i="6"/>
  <c r="N204" i="6"/>
  <c r="N210" i="6"/>
  <c r="N215" i="6"/>
  <c r="N224" i="6"/>
  <c r="S258" i="6"/>
  <c r="M309" i="6"/>
  <c r="N313" i="6"/>
  <c r="S333" i="6"/>
  <c r="N333" i="6"/>
  <c r="D363" i="6"/>
  <c r="E363" i="6" s="1"/>
  <c r="E361" i="6"/>
  <c r="K175" i="6"/>
  <c r="M173" i="6"/>
  <c r="S185" i="6"/>
  <c r="N185" i="6"/>
  <c r="Q190" i="6"/>
  <c r="N201" i="6"/>
  <c r="S210" i="6"/>
  <c r="N272" i="6"/>
  <c r="N298" i="6"/>
  <c r="S302" i="6"/>
  <c r="N173" i="6"/>
  <c r="L174" i="6"/>
  <c r="S173" i="6"/>
  <c r="M176" i="6"/>
  <c r="S222" i="6"/>
  <c r="S255" i="6"/>
  <c r="S262" i="6"/>
  <c r="K288" i="6"/>
  <c r="S151" i="6"/>
  <c r="N160" i="6"/>
  <c r="O186" i="6"/>
  <c r="P184" i="6"/>
  <c r="N222" i="6"/>
  <c r="S279" i="6"/>
  <c r="S285" i="6"/>
  <c r="M300" i="6"/>
  <c r="K300" i="6"/>
  <c r="N344" i="6"/>
  <c r="S228" i="6"/>
  <c r="K251" i="6"/>
  <c r="L252" i="6" s="1"/>
  <c r="N256" i="6"/>
  <c r="N260" i="6"/>
  <c r="N275" i="6"/>
  <c r="N285" i="6"/>
  <c r="J305" i="6"/>
  <c r="M298" i="6"/>
  <c r="K299" i="6"/>
  <c r="S321" i="6"/>
  <c r="N321" i="6"/>
  <c r="S324" i="6"/>
  <c r="AN455" i="6"/>
  <c r="S179" i="6"/>
  <c r="N219" i="6"/>
  <c r="N221" i="6"/>
  <c r="N228" i="6"/>
  <c r="L246" i="6"/>
  <c r="L251" i="6"/>
  <c r="S260" i="6"/>
  <c r="N262" i="6"/>
  <c r="S277" i="6"/>
  <c r="N283" i="6"/>
  <c r="K296" i="6"/>
  <c r="M297" i="6"/>
  <c r="K297" i="6"/>
  <c r="K298" i="6"/>
  <c r="S299" i="6"/>
  <c r="N300" i="6"/>
  <c r="K308" i="6"/>
  <c r="N324" i="6"/>
  <c r="N329" i="6"/>
  <c r="S334" i="6"/>
  <c r="L230" i="6"/>
  <c r="N264" i="6"/>
  <c r="L267" i="6"/>
  <c r="F286" i="6"/>
  <c r="E286" i="6" s="1"/>
  <c r="N279" i="6"/>
  <c r="S298" i="6"/>
  <c r="P300" i="6"/>
  <c r="E304" i="6"/>
  <c r="L305" i="6"/>
  <c r="N334" i="6"/>
  <c r="L363" i="6"/>
  <c r="S361" i="6"/>
  <c r="L243" i="6"/>
  <c r="N273" i="6"/>
  <c r="M296" i="6"/>
  <c r="L331" i="6"/>
  <c r="S346" i="6"/>
  <c r="S367" i="6"/>
  <c r="L378" i="6"/>
  <c r="L180" i="6"/>
  <c r="N180" i="6" s="1"/>
  <c r="S189" i="6"/>
  <c r="N200" i="6"/>
  <c r="N202" i="6"/>
  <c r="N209" i="6"/>
  <c r="R245" i="6"/>
  <c r="S269" i="6"/>
  <c r="N296" i="6"/>
  <c r="S319" i="6"/>
  <c r="N319" i="6"/>
  <c r="S322" i="6"/>
  <c r="N322" i="6"/>
  <c r="N327" i="6"/>
  <c r="N337" i="6"/>
  <c r="N225" i="6"/>
  <c r="S273" i="6"/>
  <c r="R300" i="6"/>
  <c r="E303" i="6"/>
  <c r="N325" i="6"/>
  <c r="F350" i="6"/>
  <c r="N257" i="6"/>
  <c r="N302" i="6"/>
  <c r="N304" i="6"/>
  <c r="S304" i="6"/>
  <c r="L350" i="6"/>
  <c r="S332" i="6"/>
  <c r="N332" i="6"/>
  <c r="AN458" i="6"/>
  <c r="AO458" i="6" s="1"/>
  <c r="N280" i="6"/>
  <c r="S282" i="6"/>
  <c r="S284" i="6"/>
  <c r="N301" i="6"/>
  <c r="E301" i="6"/>
  <c r="S323" i="6"/>
  <c r="N323" i="6"/>
  <c r="S225" i="6"/>
  <c r="L286" i="6"/>
  <c r="N303" i="6"/>
  <c r="S303" i="6"/>
  <c r="N309" i="6"/>
  <c r="E309" i="6"/>
  <c r="P363" i="6"/>
  <c r="R363" i="6"/>
  <c r="L396" i="6"/>
  <c r="K396" i="6" s="1"/>
  <c r="S379" i="6"/>
  <c r="S383" i="6"/>
  <c r="S387" i="6"/>
  <c r="S391" i="6"/>
  <c r="S395" i="6"/>
  <c r="AO455" i="6"/>
  <c r="AO460" i="6"/>
  <c r="AN470" i="6"/>
  <c r="AO470" i="6" s="1"/>
  <c r="S313" i="6"/>
  <c r="R313" i="6" s="1"/>
  <c r="AI492" i="6"/>
  <c r="J363" i="6"/>
  <c r="K363" i="6" s="1"/>
  <c r="K361" i="6"/>
  <c r="S368" i="6"/>
  <c r="S380" i="6"/>
  <c r="S384" i="6"/>
  <c r="S388" i="6"/>
  <c r="S392" i="6"/>
  <c r="AH492" i="6"/>
  <c r="S371" i="6"/>
  <c r="S374" i="6"/>
  <c r="S377" i="6"/>
  <c r="AH421" i="6"/>
  <c r="AO456" i="6"/>
  <c r="AO459" i="6"/>
  <c r="M313" i="6"/>
  <c r="S344" i="6"/>
  <c r="S347" i="6"/>
  <c r="AN462" i="6"/>
  <c r="AO462" i="6" s="1"/>
  <c r="AN498" i="6"/>
  <c r="Q363" i="6"/>
  <c r="P361" i="6"/>
  <c r="S381" i="6"/>
  <c r="S385" i="6"/>
  <c r="S389" i="6"/>
  <c r="S393" i="6"/>
  <c r="N338" i="6"/>
  <c r="N340" i="6"/>
  <c r="N345" i="6"/>
  <c r="Z422" i="6"/>
  <c r="AH462" i="6"/>
  <c r="S342" i="6"/>
  <c r="S345" i="6"/>
  <c r="S369" i="6"/>
  <c r="S372" i="6"/>
  <c r="S375" i="6"/>
  <c r="Q396" i="6"/>
  <c r="P396" i="6" s="1"/>
  <c r="S390" i="6"/>
  <c r="S394" i="6"/>
  <c r="AI457" i="6"/>
  <c r="AO457" i="6"/>
  <c r="AS472" i="6"/>
  <c r="S386" i="6"/>
  <c r="AH454" i="6"/>
  <c r="AO478" i="6"/>
  <c r="AN454" i="6"/>
  <c r="S343" i="6"/>
  <c r="N346" i="6"/>
  <c r="S348" i="6"/>
  <c r="S370" i="6"/>
  <c r="S376" i="6"/>
  <c r="AO494" i="6"/>
  <c r="AN494" i="6"/>
  <c r="AI460" i="6"/>
  <c r="AN496" i="6"/>
  <c r="AR492" i="6"/>
  <c r="AH455" i="6"/>
  <c r="AH458" i="6"/>
  <c r="AN495" i="6"/>
  <c r="AI497" i="6"/>
  <c r="AH493" i="6"/>
  <c r="AH461" i="6"/>
  <c r="AN497" i="6"/>
  <c r="AO497" i="6" s="1"/>
  <c r="O114" i="6" l="1"/>
  <c r="F195" i="6"/>
  <c r="N186" i="6"/>
  <c r="N187" i="6" s="1"/>
  <c r="Q109" i="6"/>
  <c r="O113" i="6"/>
  <c r="K22" i="6"/>
  <c r="R22" i="6" s="1"/>
  <c r="J27" i="6"/>
  <c r="K23" i="6"/>
  <c r="R23" i="6" s="1"/>
  <c r="K21" i="6"/>
  <c r="R21" i="6" s="1"/>
  <c r="K13" i="6"/>
  <c r="J24" i="6"/>
  <c r="R186" i="6"/>
  <c r="S187" i="6" s="1"/>
  <c r="P187" i="6"/>
  <c r="AI461" i="6"/>
  <c r="F396" i="6"/>
  <c r="E396" i="6" s="1"/>
  <c r="AN421" i="6"/>
  <c r="AO421" i="6" s="1"/>
  <c r="S363" i="6"/>
  <c r="S364" i="6"/>
  <c r="L310" i="6"/>
  <c r="K305" i="6"/>
  <c r="J310" i="6"/>
  <c r="F230" i="6"/>
  <c r="E230" i="6" s="1"/>
  <c r="Q305" i="6"/>
  <c r="F154" i="6"/>
  <c r="P96" i="6"/>
  <c r="M11" i="6"/>
  <c r="AF423" i="6"/>
  <c r="AL477" i="6"/>
  <c r="AO477" i="6" s="1"/>
  <c r="Z411" i="6"/>
  <c r="AF475" i="6"/>
  <c r="AF440" i="6"/>
  <c r="AF476" i="6"/>
  <c r="AF412" i="6"/>
  <c r="AL439" i="6"/>
  <c r="Z437" i="6"/>
  <c r="AL422" i="6"/>
  <c r="AF465" i="6"/>
  <c r="P118" i="6"/>
  <c r="E6" i="6"/>
  <c r="S96" i="6"/>
  <c r="W82" i="6"/>
  <c r="S71" i="6"/>
  <c r="N71" i="6"/>
  <c r="AN444" i="6"/>
  <c r="AO444" i="6" s="1"/>
  <c r="AH444" i="6"/>
  <c r="Q350" i="6"/>
  <c r="F305" i="6"/>
  <c r="F310" i="6" s="1"/>
  <c r="F315" i="6" s="1"/>
  <c r="D305" i="6"/>
  <c r="M305" i="6" s="1"/>
  <c r="Z438" i="6"/>
  <c r="AL425" i="6"/>
  <c r="F156" i="6"/>
  <c r="Q136" i="6"/>
  <c r="P136" i="6" s="1"/>
  <c r="Q230" i="6"/>
  <c r="S212" i="6"/>
  <c r="F211" i="6"/>
  <c r="S22" i="6"/>
  <c r="N22" i="6"/>
  <c r="P15" i="6"/>
  <c r="N77" i="6"/>
  <c r="S77" i="6"/>
  <c r="S82" i="6"/>
  <c r="P286" i="6"/>
  <c r="Q251" i="6"/>
  <c r="S246" i="6"/>
  <c r="P267" i="6"/>
  <c r="Q246" i="6"/>
  <c r="P288" i="6"/>
  <c r="S245" i="6"/>
  <c r="Q331" i="6"/>
  <c r="S331" i="6" s="1"/>
  <c r="Q211" i="6"/>
  <c r="S211" i="6" s="1"/>
  <c r="S199" i="6"/>
  <c r="F352" i="6"/>
  <c r="E352" i="6" s="1"/>
  <c r="E331" i="6"/>
  <c r="P308" i="6"/>
  <c r="R308" i="6"/>
  <c r="F243" i="6"/>
  <c r="F251" i="6"/>
  <c r="AH497" i="6"/>
  <c r="AI462" i="6"/>
  <c r="N271" i="6"/>
  <c r="S296" i="6"/>
  <c r="N130" i="6"/>
  <c r="Q195" i="6"/>
  <c r="S195" i="6" s="1"/>
  <c r="S196" i="6" s="1"/>
  <c r="Q187" i="6"/>
  <c r="L156" i="6"/>
  <c r="N123" i="6"/>
  <c r="AF435" i="6"/>
  <c r="AF427" i="6"/>
  <c r="AF439" i="6"/>
  <c r="AF422" i="6"/>
  <c r="Z435" i="6"/>
  <c r="Z439" i="6"/>
  <c r="AL423" i="6"/>
  <c r="AF471" i="6"/>
  <c r="AF419" i="6"/>
  <c r="S78" i="6"/>
  <c r="Z471" i="6"/>
  <c r="N45" i="6"/>
  <c r="E15" i="6"/>
  <c r="AI459" i="6"/>
  <c r="E350" i="6"/>
  <c r="AH411" i="6"/>
  <c r="AE411" i="6"/>
  <c r="AT477" i="6"/>
  <c r="AL447" i="6"/>
  <c r="Z447" i="6"/>
  <c r="O109" i="6"/>
  <c r="P104" i="6"/>
  <c r="P97" i="6"/>
  <c r="O106" i="6"/>
  <c r="P106" i="6" s="1"/>
  <c r="P116" i="6"/>
  <c r="P105" i="6"/>
  <c r="P113" i="6"/>
  <c r="P103" i="6"/>
  <c r="P120" i="6"/>
  <c r="P119" i="6"/>
  <c r="AH424" i="6"/>
  <c r="AI424" i="6" s="1"/>
  <c r="AH473" i="6"/>
  <c r="AI473" i="6" s="1"/>
  <c r="AT473" i="6"/>
  <c r="S382" i="6"/>
  <c r="AH459" i="6"/>
  <c r="N350" i="6"/>
  <c r="L352" i="6"/>
  <c r="N331" i="6"/>
  <c r="M308" i="6"/>
  <c r="E186" i="6"/>
  <c r="F183" i="6"/>
  <c r="N182" i="6"/>
  <c r="N195" i="6"/>
  <c r="N196" i="6" s="1"/>
  <c r="L196" i="6"/>
  <c r="D97" i="6"/>
  <c r="E95" i="6"/>
  <c r="K118" i="6"/>
  <c r="K117" i="6"/>
  <c r="K114" i="6"/>
  <c r="K120" i="6"/>
  <c r="J106" i="6"/>
  <c r="K105" i="6"/>
  <c r="R105" i="6" s="1"/>
  <c r="K122" i="6"/>
  <c r="K103" i="6"/>
  <c r="R103" i="6" s="1"/>
  <c r="K115" i="6"/>
  <c r="J109" i="6"/>
  <c r="K104" i="6"/>
  <c r="R104" i="6" s="1"/>
  <c r="M97" i="6"/>
  <c r="M98" i="6" s="1"/>
  <c r="K116" i="6"/>
  <c r="K119" i="6"/>
  <c r="K113" i="6"/>
  <c r="R97" i="6"/>
  <c r="R98" i="6" s="1"/>
  <c r="K121" i="6"/>
  <c r="K97" i="6"/>
  <c r="Q183" i="6"/>
  <c r="S121" i="6"/>
  <c r="AL446" i="6"/>
  <c r="AF425" i="6"/>
  <c r="Z446" i="6"/>
  <c r="AH446" i="6" s="1"/>
  <c r="AL440" i="6"/>
  <c r="Z441" i="6"/>
  <c r="AI441" i="6" s="1"/>
  <c r="AL473" i="6"/>
  <c r="AO473" i="6" s="1"/>
  <c r="AF436" i="6"/>
  <c r="F83" i="6"/>
  <c r="S6" i="6"/>
  <c r="N286" i="6"/>
  <c r="AH445" i="6"/>
  <c r="AN441" i="6"/>
  <c r="N37" i="6"/>
  <c r="K37" i="6"/>
  <c r="S37" i="6"/>
  <c r="AH456" i="6"/>
  <c r="AI456" i="6" s="1"/>
  <c r="S396" i="6"/>
  <c r="S350" i="6"/>
  <c r="N255" i="6"/>
  <c r="F267" i="6"/>
  <c r="Q286" i="6"/>
  <c r="Q288" i="6" s="1"/>
  <c r="M94" i="6"/>
  <c r="AF449" i="6"/>
  <c r="AF433" i="6"/>
  <c r="AF413" i="6"/>
  <c r="AF428" i="6"/>
  <c r="Z410" i="6"/>
  <c r="AF442" i="6"/>
  <c r="AL442" i="6"/>
  <c r="AF474" i="6"/>
  <c r="AF472" i="6"/>
  <c r="Z477" i="6"/>
  <c r="AH477" i="6" s="1"/>
  <c r="AI477" i="6" s="1"/>
  <c r="Z442" i="6"/>
  <c r="AL430" i="6"/>
  <c r="Z430" i="6"/>
  <c r="M6" i="6"/>
  <c r="P122" i="6"/>
  <c r="AL429" i="6"/>
  <c r="AN429" i="6" s="1"/>
  <c r="Z429" i="6"/>
  <c r="AH429" i="6" s="1"/>
  <c r="M10" i="6"/>
  <c r="S50" i="6"/>
  <c r="N50" i="6"/>
  <c r="P101" i="6"/>
  <c r="S49" i="6"/>
  <c r="Q154" i="6"/>
  <c r="P154" i="6" s="1"/>
  <c r="AI458" i="6"/>
  <c r="AE415" i="6"/>
  <c r="AN415" i="6"/>
  <c r="AH415" i="6"/>
  <c r="AI415" i="6" s="1"/>
  <c r="E302" i="6"/>
  <c r="M302" i="6"/>
  <c r="N267" i="6"/>
  <c r="L288" i="6"/>
  <c r="S267" i="6"/>
  <c r="S64" i="6"/>
  <c r="N64" i="6"/>
  <c r="M301" i="6"/>
  <c r="E12" i="6"/>
  <c r="Q13" i="6"/>
  <c r="P12" i="6"/>
  <c r="AL435" i="6"/>
  <c r="AF447" i="6"/>
  <c r="AF417" i="6"/>
  <c r="AF437" i="6"/>
  <c r="Z423" i="6"/>
  <c r="Z449" i="6"/>
  <c r="AF479" i="6"/>
  <c r="Z440" i="6"/>
  <c r="AF418" i="6"/>
  <c r="Z476" i="6"/>
  <c r="AL448" i="6"/>
  <c r="Z448" i="6"/>
  <c r="N136" i="6"/>
  <c r="K136" i="6"/>
  <c r="N58" i="6"/>
  <c r="S58" i="6"/>
  <c r="F378" i="6"/>
  <c r="P304" i="6"/>
  <c r="R304" i="6"/>
  <c r="Q378" i="6"/>
  <c r="N242" i="6"/>
  <c r="N243" i="6" s="1"/>
  <c r="N154" i="6"/>
  <c r="Q123" i="6"/>
  <c r="K12" i="6"/>
  <c r="AF450" i="6"/>
  <c r="AL445" i="6"/>
  <c r="AN445" i="6" s="1"/>
  <c r="AL424" i="6"/>
  <c r="AL476" i="6"/>
  <c r="AO476" i="6" s="1"/>
  <c r="AF480" i="6"/>
  <c r="AL411" i="6"/>
  <c r="Z436" i="6"/>
  <c r="P117" i="6"/>
  <c r="R96" i="6"/>
  <c r="K378" i="6"/>
  <c r="L398" i="6"/>
  <c r="L400" i="6" s="1"/>
  <c r="AT472" i="6"/>
  <c r="AI455" i="6"/>
  <c r="R298" i="6"/>
  <c r="P298" i="6"/>
  <c r="K211" i="6"/>
  <c r="L232" i="6"/>
  <c r="L234" i="6" s="1"/>
  <c r="N211" i="6"/>
  <c r="R302" i="6"/>
  <c r="P302" i="6"/>
  <c r="F177" i="6"/>
  <c r="N176" i="6"/>
  <c r="F164" i="6"/>
  <c r="N157" i="6"/>
  <c r="N164" i="6" s="1"/>
  <c r="R299" i="6"/>
  <c r="P299" i="6"/>
  <c r="S137" i="6"/>
  <c r="E101" i="6"/>
  <c r="M101" i="6"/>
  <c r="L109" i="6"/>
  <c r="S97" i="6"/>
  <c r="S98" i="6" s="1"/>
  <c r="J113" i="6"/>
  <c r="M17" i="6"/>
  <c r="K17" i="6"/>
  <c r="R17" i="6"/>
  <c r="F97" i="6"/>
  <c r="N97" i="6" s="1"/>
  <c r="N98" i="6" s="1"/>
  <c r="N94" i="6"/>
  <c r="AF410" i="6"/>
  <c r="Z444" i="6"/>
  <c r="Z445" i="6"/>
  <c r="AF451" i="6"/>
  <c r="Z426" i="6"/>
  <c r="AI426" i="6" s="1"/>
  <c r="Z452" i="6"/>
  <c r="AI452" i="6" s="1"/>
  <c r="AF481" i="6"/>
  <c r="AF414" i="6"/>
  <c r="AF416" i="6"/>
  <c r="Z450" i="6"/>
  <c r="AI450" i="6" s="1"/>
  <c r="AL437" i="6"/>
  <c r="E115" i="6"/>
  <c r="R8" i="6"/>
  <c r="P8" i="6"/>
  <c r="J31" i="6"/>
  <c r="R9" i="6"/>
  <c r="Q41" i="6"/>
  <c r="L41" i="6"/>
  <c r="P296" i="6"/>
  <c r="R296" i="6"/>
  <c r="O305" i="6"/>
  <c r="P297" i="6"/>
  <c r="R297" i="6"/>
  <c r="S107" i="6"/>
  <c r="S103" i="6"/>
  <c r="AO415" i="6"/>
  <c r="AN457" i="6"/>
  <c r="AN467" i="6" s="1"/>
  <c r="AO454" i="6"/>
  <c r="AN492" i="6"/>
  <c r="AO492" i="6" s="1"/>
  <c r="AH457" i="6"/>
  <c r="AI454" i="6"/>
  <c r="S366" i="6"/>
  <c r="AN461" i="6"/>
  <c r="AO461" i="6" s="1"/>
  <c r="AI421" i="6"/>
  <c r="N230" i="6"/>
  <c r="S230" i="6"/>
  <c r="K230" i="6"/>
  <c r="E298" i="6"/>
  <c r="Q164" i="6"/>
  <c r="S157" i="6"/>
  <c r="S164" i="6" s="1"/>
  <c r="N137" i="6"/>
  <c r="Q243" i="6"/>
  <c r="S242" i="6"/>
  <c r="S243" i="6" s="1"/>
  <c r="R94" i="6"/>
  <c r="Z412" i="6"/>
  <c r="AF464" i="6"/>
  <c r="Z466" i="6"/>
  <c r="AI466" i="6" s="1"/>
  <c r="AF438" i="6"/>
  <c r="Z418" i="6"/>
  <c r="R15" i="6"/>
  <c r="P115" i="6"/>
  <c r="F13" i="6"/>
  <c r="N17" i="6"/>
  <c r="S17" i="6"/>
  <c r="P17" i="6"/>
  <c r="AN477" i="6" l="1"/>
  <c r="P230" i="6"/>
  <c r="S136" i="6"/>
  <c r="O31" i="6"/>
  <c r="R13" i="6"/>
  <c r="AH414" i="6"/>
  <c r="AI414" i="6" s="1"/>
  <c r="AE414" i="6"/>
  <c r="AN414" i="6"/>
  <c r="AO414" i="6" s="1"/>
  <c r="L166" i="6"/>
  <c r="S109" i="6"/>
  <c r="S110" i="6" s="1"/>
  <c r="AI444" i="6"/>
  <c r="S52" i="6"/>
  <c r="AL432" i="6"/>
  <c r="Z443" i="6"/>
  <c r="N62" i="6"/>
  <c r="R12" i="6"/>
  <c r="AN437" i="6"/>
  <c r="AH437" i="6"/>
  <c r="K106" i="6"/>
  <c r="N156" i="6"/>
  <c r="K156" i="6"/>
  <c r="F252" i="6"/>
  <c r="M251" i="6" s="1"/>
  <c r="S286" i="6"/>
  <c r="K31" i="6"/>
  <c r="K24" i="6"/>
  <c r="K32" i="6"/>
  <c r="K33" i="6"/>
  <c r="K35" i="6"/>
  <c r="K36" i="6"/>
  <c r="K34" i="6"/>
  <c r="AH466" i="6"/>
  <c r="AE417" i="6"/>
  <c r="AH452" i="6"/>
  <c r="AN447" i="6"/>
  <c r="AO447" i="6" s="1"/>
  <c r="AH447" i="6"/>
  <c r="O13" i="6"/>
  <c r="AI446" i="6"/>
  <c r="E195" i="6"/>
  <c r="M186" i="6"/>
  <c r="Q196" i="6"/>
  <c r="Q290" i="6"/>
  <c r="Q252" i="6"/>
  <c r="R251" i="6" s="1"/>
  <c r="S252" i="6" s="1"/>
  <c r="O310" i="6"/>
  <c r="R305" i="6"/>
  <c r="P305" i="6"/>
  <c r="AE416" i="6"/>
  <c r="K154" i="6"/>
  <c r="S288" i="6"/>
  <c r="N288" i="6"/>
  <c r="N49" i="6"/>
  <c r="AN472" i="6"/>
  <c r="AO472" i="6" s="1"/>
  <c r="AH472" i="6"/>
  <c r="AI472" i="6" s="1"/>
  <c r="F288" i="6"/>
  <c r="E288" i="6" s="1"/>
  <c r="E267" i="6"/>
  <c r="AH425" i="6"/>
  <c r="AI425" i="6" s="1"/>
  <c r="AN425" i="6"/>
  <c r="AN473" i="6"/>
  <c r="P109" i="6"/>
  <c r="AH422" i="6"/>
  <c r="AI422" i="6" s="1"/>
  <c r="AN422" i="6"/>
  <c r="AO422" i="6" s="1"/>
  <c r="AF434" i="6"/>
  <c r="AI437" i="6"/>
  <c r="N251" i="6"/>
  <c r="N252" i="6" s="1"/>
  <c r="AN474" i="6"/>
  <c r="AH474" i="6"/>
  <c r="AI474" i="6" s="1"/>
  <c r="AT474" i="6"/>
  <c r="AN424" i="6"/>
  <c r="AO424" i="6" s="1"/>
  <c r="AI447" i="6"/>
  <c r="AN439" i="6"/>
  <c r="AO439" i="6" s="1"/>
  <c r="AH439" i="6"/>
  <c r="AI439" i="6" s="1"/>
  <c r="AL416" i="6"/>
  <c r="AN416" i="6" s="1"/>
  <c r="Q310" i="6"/>
  <c r="L290" i="6"/>
  <c r="K27" i="6"/>
  <c r="D31" i="6"/>
  <c r="N14" i="6"/>
  <c r="N52" i="6"/>
  <c r="Z432" i="6"/>
  <c r="S62" i="6"/>
  <c r="AL443" i="6"/>
  <c r="Q156" i="6"/>
  <c r="P156" i="6" s="1"/>
  <c r="P123" i="6"/>
  <c r="AI429" i="6"/>
  <c r="S66" i="6"/>
  <c r="Z416" i="6"/>
  <c r="Z420" i="6" s="1"/>
  <c r="F41" i="6"/>
  <c r="F72" i="6"/>
  <c r="AN412" i="6"/>
  <c r="AO412" i="6" s="1"/>
  <c r="AH412" i="6"/>
  <c r="AI412" i="6" s="1"/>
  <c r="AE412" i="6"/>
  <c r="S251" i="6"/>
  <c r="P378" i="6"/>
  <c r="Q398" i="6"/>
  <c r="S398" i="6" s="1"/>
  <c r="AO429" i="6"/>
  <c r="AN442" i="6"/>
  <c r="AO442" i="6" s="1"/>
  <c r="AH442" i="6"/>
  <c r="AI442" i="6" s="1"/>
  <c r="E103" i="6"/>
  <c r="D109" i="6"/>
  <c r="E105" i="6"/>
  <c r="E97" i="6"/>
  <c r="E119" i="6"/>
  <c r="D106" i="6"/>
  <c r="E106" i="6" s="1"/>
  <c r="E104" i="6"/>
  <c r="E122" i="6"/>
  <c r="E120" i="6"/>
  <c r="E114" i="6"/>
  <c r="E116" i="6"/>
  <c r="E118" i="6"/>
  <c r="E113" i="6"/>
  <c r="E121" i="6"/>
  <c r="E117" i="6"/>
  <c r="AF453" i="6"/>
  <c r="AN435" i="6"/>
  <c r="AO435" i="6" s="1"/>
  <c r="AH435" i="6"/>
  <c r="N78" i="6"/>
  <c r="N66" i="6"/>
  <c r="N72" i="6" s="1"/>
  <c r="AT476" i="6"/>
  <c r="AN476" i="6"/>
  <c r="AH476" i="6"/>
  <c r="AI476" i="6" s="1"/>
  <c r="AH426" i="6"/>
  <c r="Q54" i="6"/>
  <c r="F196" i="6"/>
  <c r="S41" i="6"/>
  <c r="L74" i="6"/>
  <c r="K41" i="6"/>
  <c r="AO445" i="6"/>
  <c r="AH418" i="6"/>
  <c r="AE418" i="6"/>
  <c r="N12" i="6"/>
  <c r="N13" i="6" s="1"/>
  <c r="Z428" i="6"/>
  <c r="AI428" i="6" s="1"/>
  <c r="Z498" i="6"/>
  <c r="Z480" i="6"/>
  <c r="AH480" i="6" s="1"/>
  <c r="AI480" i="6" s="1"/>
  <c r="Z464" i="6"/>
  <c r="Z496" i="6"/>
  <c r="Z427" i="6"/>
  <c r="AI427" i="6" s="1"/>
  <c r="Z419" i="6"/>
  <c r="AH419" i="6" s="1"/>
  <c r="Z417" i="6"/>
  <c r="Z433" i="6"/>
  <c r="AI433" i="6" s="1"/>
  <c r="F54" i="6"/>
  <c r="M109" i="6"/>
  <c r="M110" i="6" s="1"/>
  <c r="K109" i="6"/>
  <c r="R109" i="6"/>
  <c r="R110" i="6" s="1"/>
  <c r="AL471" i="6"/>
  <c r="Q83" i="6"/>
  <c r="Z431" i="6"/>
  <c r="N51" i="6"/>
  <c r="N54" i="6" s="1"/>
  <c r="P211" i="6"/>
  <c r="Q232" i="6"/>
  <c r="P232" i="6" s="1"/>
  <c r="AL438" i="6"/>
  <c r="AN438" i="6" s="1"/>
  <c r="Q72" i="6"/>
  <c r="AH440" i="6"/>
  <c r="AN440" i="6"/>
  <c r="AO440" i="6" s="1"/>
  <c r="J315" i="6"/>
  <c r="M310" i="6"/>
  <c r="K310" i="6"/>
  <c r="F187" i="6"/>
  <c r="AT480" i="6"/>
  <c r="S154" i="6"/>
  <c r="K398" i="6"/>
  <c r="AI440" i="6"/>
  <c r="AH428" i="6"/>
  <c r="R195" i="6"/>
  <c r="M195" i="6"/>
  <c r="AE419" i="6"/>
  <c r="S51" i="6"/>
  <c r="AL431" i="6"/>
  <c r="Q352" i="6"/>
  <c r="AT475" i="6"/>
  <c r="AN475" i="6"/>
  <c r="AO475" i="6" s="1"/>
  <c r="AH475" i="6"/>
  <c r="AI475" i="6" s="1"/>
  <c r="AI418" i="6"/>
  <c r="AF467" i="6"/>
  <c r="Q74" i="6"/>
  <c r="AI445" i="6"/>
  <c r="E378" i="6"/>
  <c r="F398" i="6"/>
  <c r="AH479" i="6"/>
  <c r="AI479" i="6" s="1"/>
  <c r="AT479" i="6"/>
  <c r="AL451" i="6"/>
  <c r="AO451" i="6" s="1"/>
  <c r="AL427" i="6"/>
  <c r="AO427" i="6" s="1"/>
  <c r="AL466" i="6"/>
  <c r="AL450" i="6"/>
  <c r="AO450" i="6" s="1"/>
  <c r="AL465" i="6"/>
  <c r="S12" i="6"/>
  <c r="S13" i="6" s="1"/>
  <c r="S14" i="6" s="1"/>
  <c r="AL426" i="6"/>
  <c r="AL417" i="6"/>
  <c r="AL452" i="6"/>
  <c r="AL428" i="6"/>
  <c r="AO428" i="6" s="1"/>
  <c r="AL418" i="6"/>
  <c r="AL433" i="6"/>
  <c r="AL479" i="6"/>
  <c r="AO479" i="6" s="1"/>
  <c r="AL480" i="6"/>
  <c r="AO480" i="6" s="1"/>
  <c r="AL419" i="6"/>
  <c r="AL464" i="6"/>
  <c r="N67" i="6"/>
  <c r="N40" i="6"/>
  <c r="AE413" i="6"/>
  <c r="AN413" i="6"/>
  <c r="AO413" i="6" s="1"/>
  <c r="AH413" i="6"/>
  <c r="AI413" i="6" s="1"/>
  <c r="AN436" i="6"/>
  <c r="AO436" i="6" s="1"/>
  <c r="AH436" i="6"/>
  <c r="AI436" i="6" s="1"/>
  <c r="N352" i="6"/>
  <c r="S352" i="6"/>
  <c r="AH471" i="6"/>
  <c r="AI471" i="6" s="1"/>
  <c r="AF482" i="6"/>
  <c r="AN471" i="6"/>
  <c r="AT471" i="6"/>
  <c r="K123" i="6"/>
  <c r="Z481" i="6"/>
  <c r="AH481" i="6" s="1"/>
  <c r="AI481" i="6" s="1"/>
  <c r="N82" i="6"/>
  <c r="F232" i="6"/>
  <c r="E232" i="6" s="1"/>
  <c r="E211" i="6"/>
  <c r="D310" i="6"/>
  <c r="E305" i="6"/>
  <c r="AI411" i="6"/>
  <c r="Y411" i="6"/>
  <c r="AG411" i="6" s="1"/>
  <c r="N305" i="6"/>
  <c r="N306" i="6" s="1"/>
  <c r="AH448" i="6"/>
  <c r="AI448" i="6" s="1"/>
  <c r="AO437" i="6"/>
  <c r="F109" i="6"/>
  <c r="D113" i="6"/>
  <c r="AN481" i="6"/>
  <c r="AO481" i="6" s="1"/>
  <c r="AT481" i="6"/>
  <c r="AH450" i="6"/>
  <c r="Z434" i="6"/>
  <c r="K232" i="6"/>
  <c r="F24" i="6"/>
  <c r="F27" i="6" s="1"/>
  <c r="N21" i="6"/>
  <c r="S67" i="6"/>
  <c r="S72" i="6" s="1"/>
  <c r="S40" i="6"/>
  <c r="Z479" i="6"/>
  <c r="Z482" i="6" s="1"/>
  <c r="AO425" i="6"/>
  <c r="F354" i="6"/>
  <c r="L315" i="6"/>
  <c r="AF408" i="6" s="1"/>
  <c r="S310" i="6"/>
  <c r="N310" i="6"/>
  <c r="N311" i="6" s="1"/>
  <c r="AN448" i="6"/>
  <c r="AO448" i="6" s="1"/>
  <c r="AN430" i="6"/>
  <c r="AO430" i="6" s="1"/>
  <c r="AH438" i="6"/>
  <c r="AI438" i="6" s="1"/>
  <c r="S378" i="6"/>
  <c r="E17" i="6"/>
  <c r="AH410" i="6"/>
  <c r="AI410" i="6" s="1"/>
  <c r="AF420" i="6"/>
  <c r="AE410" i="6"/>
  <c r="AN410" i="6"/>
  <c r="AO410" i="6" s="1"/>
  <c r="M12" i="6"/>
  <c r="M13" i="6" s="1"/>
  <c r="AI423" i="6"/>
  <c r="Q24" i="6"/>
  <c r="S21" i="6"/>
  <c r="AN449" i="6"/>
  <c r="AO449" i="6" s="1"/>
  <c r="AH449" i="6"/>
  <c r="AI449" i="6" s="1"/>
  <c r="AH441" i="6"/>
  <c r="Z465" i="6"/>
  <c r="AI465" i="6" s="1"/>
  <c r="AN411" i="6"/>
  <c r="AO411" i="6" s="1"/>
  <c r="Z451" i="6"/>
  <c r="AI451" i="6" s="1"/>
  <c r="S123" i="6"/>
  <c r="S83" i="6"/>
  <c r="D13" i="6"/>
  <c r="AN423" i="6"/>
  <c r="AO423" i="6" s="1"/>
  <c r="AH423" i="6"/>
  <c r="S305" i="6"/>
  <c r="S306" i="6" s="1"/>
  <c r="AN446" i="6"/>
  <c r="AO446" i="6" s="1"/>
  <c r="AH430" i="6"/>
  <c r="AI430" i="6" s="1"/>
  <c r="AL467" i="6" l="1"/>
  <c r="AO467" i="6" s="1"/>
  <c r="AN450" i="6"/>
  <c r="S54" i="6"/>
  <c r="Q166" i="6"/>
  <c r="S232" i="6"/>
  <c r="Z408" i="6"/>
  <c r="F85" i="6"/>
  <c r="N27" i="6"/>
  <c r="X482" i="6"/>
  <c r="Z469" i="6"/>
  <c r="X469" i="6" s="1"/>
  <c r="X420" i="6"/>
  <c r="F166" i="6"/>
  <c r="N166" i="6" s="1"/>
  <c r="E136" i="6"/>
  <c r="E123" i="6"/>
  <c r="AI464" i="6"/>
  <c r="Z467" i="6"/>
  <c r="AD453" i="6"/>
  <c r="AQ453" i="6"/>
  <c r="AH443" i="6"/>
  <c r="AI443" i="6" s="1"/>
  <c r="AO417" i="6"/>
  <c r="AK417" i="6"/>
  <c r="P352" i="6"/>
  <c r="M315" i="6"/>
  <c r="K315" i="6"/>
  <c r="AF407" i="6"/>
  <c r="AH434" i="6"/>
  <c r="AI434" i="6" s="1"/>
  <c r="AD434" i="6"/>
  <c r="R310" i="6"/>
  <c r="P310" i="6"/>
  <c r="O315" i="6"/>
  <c r="AN432" i="6"/>
  <c r="AO432" i="6" s="1"/>
  <c r="F402" i="6"/>
  <c r="AS482" i="6"/>
  <c r="AH482" i="6"/>
  <c r="AI482" i="6" s="1"/>
  <c r="AD482" i="6"/>
  <c r="AO426" i="6"/>
  <c r="AN426" i="6"/>
  <c r="AI498" i="6"/>
  <c r="AH498" i="6"/>
  <c r="F234" i="6"/>
  <c r="N234" i="6" s="1"/>
  <c r="AM412" i="6"/>
  <c r="AG412" i="6"/>
  <c r="P23" i="6"/>
  <c r="P13" i="6"/>
  <c r="P21" i="6"/>
  <c r="P22" i="6"/>
  <c r="O27" i="6"/>
  <c r="AK413" i="6"/>
  <c r="AK415" i="6"/>
  <c r="AK414" i="6"/>
  <c r="AK412" i="6"/>
  <c r="AK410" i="6"/>
  <c r="O24" i="6"/>
  <c r="AO452" i="6"/>
  <c r="AN452" i="6"/>
  <c r="E398" i="6"/>
  <c r="F400" i="6"/>
  <c r="AM411" i="6"/>
  <c r="D27" i="6"/>
  <c r="M14" i="6"/>
  <c r="E22" i="6"/>
  <c r="E23" i="6"/>
  <c r="E21" i="6"/>
  <c r="E13" i="6"/>
  <c r="Y413" i="6"/>
  <c r="D24" i="6"/>
  <c r="Y415" i="6"/>
  <c r="Y414" i="6"/>
  <c r="AN451" i="6"/>
  <c r="AN431" i="6"/>
  <c r="AO431" i="6" s="1"/>
  <c r="E54" i="6"/>
  <c r="S156" i="6"/>
  <c r="AO418" i="6"/>
  <c r="AK418" i="6"/>
  <c r="E310" i="6"/>
  <c r="D315" i="6"/>
  <c r="O32" i="6"/>
  <c r="S24" i="6"/>
  <c r="S25" i="6" s="1"/>
  <c r="AH451" i="6"/>
  <c r="AH433" i="6"/>
  <c r="E156" i="6"/>
  <c r="K352" i="6"/>
  <c r="P72" i="6"/>
  <c r="E109" i="6"/>
  <c r="AL420" i="6"/>
  <c r="R14" i="6"/>
  <c r="AD467" i="6"/>
  <c r="AQ467" i="6"/>
  <c r="AO438" i="6"/>
  <c r="E72" i="6"/>
  <c r="M106" i="6"/>
  <c r="N109" i="6"/>
  <c r="N110" i="6" s="1"/>
  <c r="AK419" i="6"/>
  <c r="AO419" i="6"/>
  <c r="AH464" i="6"/>
  <c r="AH467" i="6" s="1"/>
  <c r="AN419" i="6"/>
  <c r="Y410" i="6"/>
  <c r="AG410" i="6" s="1"/>
  <c r="AN418" i="6"/>
  <c r="F74" i="6"/>
  <c r="E74" i="6" s="1"/>
  <c r="E41" i="6"/>
  <c r="AN443" i="6"/>
  <c r="AO443" i="6" s="1"/>
  <c r="S290" i="6"/>
  <c r="N290" i="6"/>
  <c r="AK411" i="6"/>
  <c r="AH465" i="6"/>
  <c r="S166" i="6"/>
  <c r="AG419" i="6"/>
  <c r="Y416" i="6"/>
  <c r="AG416" i="6" s="1"/>
  <c r="S311" i="6"/>
  <c r="Q315" i="6"/>
  <c r="Y418" i="6"/>
  <c r="AM418" i="6" s="1"/>
  <c r="AN480" i="6"/>
  <c r="Y417" i="6"/>
  <c r="AM417" i="6" s="1"/>
  <c r="AI417" i="6"/>
  <c r="AH432" i="6"/>
  <c r="AI432" i="6" s="1"/>
  <c r="AM416" i="6"/>
  <c r="Q234" i="6"/>
  <c r="S234" i="6" s="1"/>
  <c r="AN417" i="6"/>
  <c r="Y412" i="6"/>
  <c r="AD420" i="6"/>
  <c r="AF469" i="6"/>
  <c r="AH420" i="6"/>
  <c r="AI420" i="6" s="1"/>
  <c r="AH431" i="6"/>
  <c r="AI431" i="6" s="1"/>
  <c r="Y419" i="6"/>
  <c r="AM419" i="6" s="1"/>
  <c r="AI419" i="6"/>
  <c r="N83" i="6"/>
  <c r="Z453" i="6"/>
  <c r="X453" i="6" s="1"/>
  <c r="AL434" i="6"/>
  <c r="AN434" i="6" s="1"/>
  <c r="N41" i="6"/>
  <c r="AH453" i="6"/>
  <c r="AI453" i="6" s="1"/>
  <c r="AL453" i="6"/>
  <c r="AN427" i="6"/>
  <c r="AO416" i="6"/>
  <c r="AK416" i="6"/>
  <c r="AH416" i="6"/>
  <c r="AI416" i="6" s="1"/>
  <c r="AI435" i="6"/>
  <c r="AH417" i="6"/>
  <c r="N24" i="6"/>
  <c r="N25" i="6" s="1"/>
  <c r="D32" i="6"/>
  <c r="N232" i="6"/>
  <c r="L354" i="6"/>
  <c r="S315" i="6"/>
  <c r="N315" i="6"/>
  <c r="N316" i="6" s="1"/>
  <c r="K350" i="6"/>
  <c r="K331" i="6"/>
  <c r="AM413" i="6"/>
  <c r="AG413" i="6"/>
  <c r="AN479" i="6"/>
  <c r="AN428" i="6"/>
  <c r="AO471" i="6"/>
  <c r="AL482" i="6"/>
  <c r="AI496" i="6"/>
  <c r="AH496" i="6"/>
  <c r="S74" i="6"/>
  <c r="N74" i="6"/>
  <c r="K74" i="6"/>
  <c r="L85" i="6"/>
  <c r="P398" i="6"/>
  <c r="Q400" i="6"/>
  <c r="S400" i="6" s="1"/>
  <c r="AH427" i="6"/>
  <c r="E154" i="6"/>
  <c r="F290" i="6"/>
  <c r="AM414" i="6"/>
  <c r="AG414" i="6"/>
  <c r="Q27" i="6"/>
  <c r="P74" i="6" s="1"/>
  <c r="AN453" i="6" l="1"/>
  <c r="E315" i="6"/>
  <c r="Z407" i="6"/>
  <c r="Y449" i="6" s="1"/>
  <c r="AM410" i="6"/>
  <c r="R315" i="6"/>
  <c r="P315" i="6"/>
  <c r="AL407" i="6"/>
  <c r="AG415" i="6"/>
  <c r="AM415" i="6"/>
  <c r="E33" i="6"/>
  <c r="E24" i="6"/>
  <c r="E31" i="6"/>
  <c r="E32" i="6"/>
  <c r="E35" i="6"/>
  <c r="E36" i="6"/>
  <c r="E34" i="6"/>
  <c r="E38" i="6"/>
  <c r="E39" i="6"/>
  <c r="M24" i="6"/>
  <c r="E37" i="6"/>
  <c r="E40" i="6"/>
  <c r="AL469" i="6"/>
  <c r="AO420" i="6"/>
  <c r="N85" i="6"/>
  <c r="N28" i="6"/>
  <c r="AL408" i="6"/>
  <c r="Q85" i="6"/>
  <c r="S27" i="6"/>
  <c r="S85" i="6" s="1"/>
  <c r="P41" i="6"/>
  <c r="AN420" i="6"/>
  <c r="P54" i="6"/>
  <c r="E27" i="6"/>
  <c r="M27" i="6"/>
  <c r="M28" i="6" s="1"/>
  <c r="X467" i="6"/>
  <c r="AI467" i="6"/>
  <c r="Z484" i="6"/>
  <c r="AO453" i="6"/>
  <c r="Q354" i="6"/>
  <c r="S316" i="6"/>
  <c r="P350" i="6"/>
  <c r="P331" i="6"/>
  <c r="P27" i="6"/>
  <c r="R27" i="6"/>
  <c r="R28" i="6" s="1"/>
  <c r="L402" i="6"/>
  <c r="L403" i="6" s="1"/>
  <c r="S354" i="6"/>
  <c r="N354" i="6"/>
  <c r="AO482" i="6"/>
  <c r="AG417" i="6"/>
  <c r="AG418" i="6"/>
  <c r="X434" i="6"/>
  <c r="AH408" i="6"/>
  <c r="AI408" i="6" s="1"/>
  <c r="P24" i="6"/>
  <c r="P32" i="6"/>
  <c r="P31" i="6"/>
  <c r="P34" i="6"/>
  <c r="P38" i="6"/>
  <c r="P33" i="6"/>
  <c r="P35" i="6"/>
  <c r="P39" i="6"/>
  <c r="P36" i="6"/>
  <c r="P37" i="6"/>
  <c r="P40" i="6"/>
  <c r="AH469" i="6"/>
  <c r="AI469" i="6" s="1"/>
  <c r="AD469" i="6"/>
  <c r="AO434" i="6"/>
  <c r="AN482" i="6"/>
  <c r="AF484" i="6"/>
  <c r="Z490" i="6" l="1"/>
  <c r="Y484" i="6"/>
  <c r="AF490" i="6"/>
  <c r="AH484" i="6"/>
  <c r="AI484" i="6" s="1"/>
  <c r="AE484" i="6"/>
  <c r="AN469" i="6"/>
  <c r="AO469" i="6" s="1"/>
  <c r="S28" i="6"/>
  <c r="AL484" i="6"/>
  <c r="AN484" i="6" s="1"/>
  <c r="AJ434" i="6"/>
  <c r="AJ420" i="6"/>
  <c r="AJ467" i="6"/>
  <c r="AJ469" i="6"/>
  <c r="AJ408" i="6"/>
  <c r="AJ453" i="6"/>
  <c r="AN408" i="6"/>
  <c r="AO408" i="6" s="1"/>
  <c r="AK484" i="6" l="1"/>
  <c r="AL490" i="6"/>
  <c r="AO484" i="6"/>
  <c r="AF499" i="6"/>
  <c r="AE490" i="6"/>
  <c r="AN490" i="6"/>
  <c r="AH490" i="6"/>
  <c r="AI490" i="6" s="1"/>
  <c r="AF489" i="6"/>
  <c r="Z489" i="6"/>
  <c r="Y489" i="6" s="1"/>
  <c r="Z499" i="6"/>
  <c r="Y499" i="6" s="1"/>
  <c r="Y490" i="6"/>
  <c r="AE489" i="6" l="1"/>
  <c r="AH489" i="6"/>
  <c r="AI489" i="6" s="1"/>
  <c r="AF512" i="6"/>
  <c r="AG512" i="6" s="1"/>
  <c r="AE499" i="6"/>
  <c r="AF503" i="6"/>
  <c r="AH499" i="6"/>
  <c r="AI499" i="6" s="1"/>
  <c r="AF505" i="6"/>
  <c r="AO490" i="6"/>
  <c r="AL489" i="6"/>
  <c r="AN489" i="6" s="1"/>
  <c r="AL499" i="6"/>
  <c r="AK490" i="6"/>
  <c r="AK499" i="6" l="1"/>
  <c r="AN499" i="6"/>
  <c r="AO499" i="6" s="1"/>
  <c r="AO489" i="6"/>
  <c r="AK489" i="6"/>
  <c r="V486" i="1" l="1"/>
  <c r="AR503" i="5" l="1"/>
  <c r="A500" i="5"/>
  <c r="A499" i="5"/>
  <c r="AO498" i="5"/>
  <c r="AN498" i="5"/>
  <c r="A498" i="5"/>
  <c r="AR497" i="5"/>
  <c r="A497" i="5"/>
  <c r="AR496" i="5"/>
  <c r="AO496" i="5"/>
  <c r="A496" i="5"/>
  <c r="AR495" i="5"/>
  <c r="AN495" i="5"/>
  <c r="AI495" i="5"/>
  <c r="AH495" i="5"/>
  <c r="A495" i="5"/>
  <c r="A494" i="5"/>
  <c r="AO493" i="5"/>
  <c r="A493" i="5"/>
  <c r="AI493" i="5" s="1"/>
  <c r="AR492" i="5"/>
  <c r="AO492" i="5"/>
  <c r="A492" i="5"/>
  <c r="AN492" i="5" s="1"/>
  <c r="A491" i="5"/>
  <c r="A490" i="5"/>
  <c r="A489" i="5"/>
  <c r="A488" i="5"/>
  <c r="A487" i="5"/>
  <c r="A485" i="5"/>
  <c r="A484" i="5"/>
  <c r="AO483" i="5"/>
  <c r="AN483" i="5"/>
  <c r="A483" i="5"/>
  <c r="A482" i="5"/>
  <c r="AS481" i="5"/>
  <c r="A481" i="5"/>
  <c r="AS480" i="5"/>
  <c r="A480" i="5"/>
  <c r="AS479" i="5"/>
  <c r="A479" i="5"/>
  <c r="AT478" i="5"/>
  <c r="AS478" i="5"/>
  <c r="AR478" i="5"/>
  <c r="A478" i="5"/>
  <c r="AS477" i="5"/>
  <c r="A477" i="5"/>
  <c r="AS476" i="5"/>
  <c r="A476" i="5"/>
  <c r="AS475" i="5"/>
  <c r="A475" i="5"/>
  <c r="AS474" i="5"/>
  <c r="A474" i="5"/>
  <c r="AS473" i="5"/>
  <c r="A473" i="5"/>
  <c r="AR472" i="5"/>
  <c r="AS472" i="5" s="1"/>
  <c r="AQ472" i="5"/>
  <c r="A472" i="5"/>
  <c r="AS471" i="5"/>
  <c r="A471" i="5"/>
  <c r="AS470" i="5"/>
  <c r="AT470" i="5" s="1"/>
  <c r="A470" i="5"/>
  <c r="A469" i="5"/>
  <c r="AO468" i="5"/>
  <c r="AN468" i="5"/>
  <c r="AH468" i="5"/>
  <c r="A468" i="5"/>
  <c r="A467" i="5"/>
  <c r="A466" i="5"/>
  <c r="A465" i="5"/>
  <c r="A464" i="5"/>
  <c r="A463" i="5"/>
  <c r="AQ462" i="5"/>
  <c r="A462" i="5"/>
  <c r="A461" i="5"/>
  <c r="A460" i="5"/>
  <c r="AQ459" i="5"/>
  <c r="A459" i="5"/>
  <c r="AO458" i="5"/>
  <c r="AN458" i="5"/>
  <c r="A458" i="5"/>
  <c r="AO457" i="5"/>
  <c r="AN457" i="5"/>
  <c r="AH457" i="5"/>
  <c r="AI457" i="5"/>
  <c r="A457" i="5"/>
  <c r="A456" i="5"/>
  <c r="A455" i="5"/>
  <c r="A454" i="5"/>
  <c r="A453" i="5"/>
  <c r="A452" i="5"/>
  <c r="A451" i="5"/>
  <c r="A450" i="5"/>
  <c r="A449" i="5"/>
  <c r="A448" i="5"/>
  <c r="AQ447" i="5"/>
  <c r="A447" i="5"/>
  <c r="A446" i="5"/>
  <c r="A445" i="5"/>
  <c r="A444" i="5"/>
  <c r="A443" i="5"/>
  <c r="A442" i="5"/>
  <c r="AQ440" i="5"/>
  <c r="A440" i="5"/>
  <c r="A439" i="5"/>
  <c r="AQ438" i="5"/>
  <c r="A438" i="5"/>
  <c r="AQ437" i="5"/>
  <c r="A437" i="5"/>
  <c r="A436" i="5"/>
  <c r="AQ435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H421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S395" i="5"/>
  <c r="A395" i="5"/>
  <c r="S394" i="5"/>
  <c r="A394" i="5"/>
  <c r="A393" i="5"/>
  <c r="S392" i="5"/>
  <c r="A392" i="5"/>
  <c r="S391" i="5"/>
  <c r="A391" i="5"/>
  <c r="S390" i="5"/>
  <c r="A390" i="5"/>
  <c r="S389" i="5"/>
  <c r="A389" i="5"/>
  <c r="S388" i="5"/>
  <c r="A388" i="5"/>
  <c r="A387" i="5"/>
  <c r="S386" i="5"/>
  <c r="A386" i="5"/>
  <c r="S385" i="5"/>
  <c r="A385" i="5"/>
  <c r="A384" i="5"/>
  <c r="A383" i="5"/>
  <c r="S383" i="5" s="1"/>
  <c r="S382" i="5"/>
  <c r="A382" i="5"/>
  <c r="A381" i="5"/>
  <c r="A380" i="5"/>
  <c r="A379" i="5"/>
  <c r="A378" i="5"/>
  <c r="A377" i="5"/>
  <c r="S376" i="5"/>
  <c r="A376" i="5"/>
  <c r="A375" i="5"/>
  <c r="A374" i="5"/>
  <c r="S374" i="5" s="1"/>
  <c r="A373" i="5"/>
  <c r="S372" i="5"/>
  <c r="A372" i="5"/>
  <c r="S371" i="5"/>
  <c r="A371" i="5"/>
  <c r="S370" i="5"/>
  <c r="A370" i="5"/>
  <c r="A369" i="5"/>
  <c r="A368" i="5"/>
  <c r="A367" i="5"/>
  <c r="A366" i="5"/>
  <c r="A365" i="5"/>
  <c r="A364" i="5"/>
  <c r="L363" i="5"/>
  <c r="A363" i="5"/>
  <c r="A362" i="5"/>
  <c r="A361" i="5"/>
  <c r="A360" i="5"/>
  <c r="S349" i="5"/>
  <c r="N349" i="5"/>
  <c r="A349" i="5"/>
  <c r="A348" i="5"/>
  <c r="S347" i="5"/>
  <c r="N347" i="5"/>
  <c r="A347" i="5"/>
  <c r="A346" i="5"/>
  <c r="S346" i="5" s="1"/>
  <c r="A345" i="5"/>
  <c r="S344" i="5"/>
  <c r="N344" i="5"/>
  <c r="A344" i="5"/>
  <c r="A343" i="5"/>
  <c r="A342" i="5"/>
  <c r="A341" i="5"/>
  <c r="A340" i="5"/>
  <c r="N339" i="5"/>
  <c r="A339" i="5"/>
  <c r="N338" i="5"/>
  <c r="A338" i="5"/>
  <c r="N337" i="5"/>
  <c r="A337" i="5"/>
  <c r="A336" i="5"/>
  <c r="N336" i="5" s="1"/>
  <c r="S335" i="5"/>
  <c r="A335" i="5"/>
  <c r="A334" i="5"/>
  <c r="N333" i="5"/>
  <c r="A333" i="5"/>
  <c r="A332" i="5"/>
  <c r="A331" i="5"/>
  <c r="S330" i="5"/>
  <c r="A330" i="5"/>
  <c r="N330" i="5" s="1"/>
  <c r="S329" i="5"/>
  <c r="N329" i="5"/>
  <c r="A329" i="5"/>
  <c r="N328" i="5"/>
  <c r="S328" i="5"/>
  <c r="A328" i="5"/>
  <c r="N327" i="5"/>
  <c r="A327" i="5"/>
  <c r="S326" i="5"/>
  <c r="N326" i="5"/>
  <c r="A326" i="5"/>
  <c r="S325" i="5"/>
  <c r="A325" i="5"/>
  <c r="A324" i="5"/>
  <c r="S323" i="5"/>
  <c r="N323" i="5"/>
  <c r="A323" i="5"/>
  <c r="S322" i="5"/>
  <c r="A322" i="5"/>
  <c r="N321" i="5"/>
  <c r="A321" i="5"/>
  <c r="S320" i="5"/>
  <c r="A320" i="5"/>
  <c r="N320" i="5" s="1"/>
  <c r="A319" i="5"/>
  <c r="A318" i="5"/>
  <c r="A317" i="5"/>
  <c r="A316" i="5"/>
  <c r="A315" i="5"/>
  <c r="A314" i="5"/>
  <c r="K313" i="5"/>
  <c r="E313" i="5"/>
  <c r="A313" i="5"/>
  <c r="A312" i="5"/>
  <c r="A311" i="5"/>
  <c r="A310" i="5"/>
  <c r="N309" i="5"/>
  <c r="E309" i="5"/>
  <c r="A309" i="5"/>
  <c r="K308" i="5"/>
  <c r="A308" i="5"/>
  <c r="A307" i="5"/>
  <c r="A306" i="5"/>
  <c r="J305" i="5"/>
  <c r="A305" i="5"/>
  <c r="K304" i="5"/>
  <c r="A304" i="5"/>
  <c r="K303" i="5"/>
  <c r="A303" i="5"/>
  <c r="A302" i="5"/>
  <c r="K301" i="5"/>
  <c r="M301" i="5"/>
  <c r="A301" i="5"/>
  <c r="K300" i="5"/>
  <c r="A300" i="5"/>
  <c r="R299" i="5"/>
  <c r="P299" i="5"/>
  <c r="E299" i="5"/>
  <c r="A299" i="5"/>
  <c r="P298" i="5"/>
  <c r="R298" i="5"/>
  <c r="M298" i="5"/>
  <c r="E298" i="5"/>
  <c r="A298" i="5"/>
  <c r="A297" i="5"/>
  <c r="N296" i="5"/>
  <c r="M296" i="5"/>
  <c r="S296" i="5"/>
  <c r="E296" i="5"/>
  <c r="A296" i="5"/>
  <c r="A295" i="5"/>
  <c r="S285" i="5"/>
  <c r="N285" i="5"/>
  <c r="A285" i="5"/>
  <c r="A284" i="5"/>
  <c r="S284" i="5" s="1"/>
  <c r="S283" i="5"/>
  <c r="A283" i="5"/>
  <c r="N283" i="5" s="1"/>
  <c r="S282" i="5"/>
  <c r="A282" i="5"/>
  <c r="S281" i="5"/>
  <c r="N281" i="5"/>
  <c r="A281" i="5"/>
  <c r="S280" i="5"/>
  <c r="A280" i="5"/>
  <c r="S279" i="5"/>
  <c r="A279" i="5"/>
  <c r="N279" i="5" s="1"/>
  <c r="A278" i="5"/>
  <c r="N277" i="5"/>
  <c r="A277" i="5"/>
  <c r="A276" i="5"/>
  <c r="A275" i="5"/>
  <c r="N274" i="5"/>
  <c r="S274" i="5"/>
  <c r="A274" i="5"/>
  <c r="A273" i="5"/>
  <c r="N272" i="5"/>
  <c r="A272" i="5"/>
  <c r="A271" i="5"/>
  <c r="N271" i="5" s="1"/>
  <c r="A270" i="5"/>
  <c r="S270" i="5" s="1"/>
  <c r="A269" i="5"/>
  <c r="A268" i="5"/>
  <c r="L267" i="5"/>
  <c r="A267" i="5"/>
  <c r="S266" i="5"/>
  <c r="N266" i="5"/>
  <c r="A266" i="5"/>
  <c r="A265" i="5"/>
  <c r="S264" i="5"/>
  <c r="N264" i="5"/>
  <c r="A264" i="5"/>
  <c r="K286" i="5"/>
  <c r="A263" i="5"/>
  <c r="S262" i="5"/>
  <c r="A262" i="5"/>
  <c r="N262" i="5" s="1"/>
  <c r="N261" i="5"/>
  <c r="A261" i="5"/>
  <c r="N260" i="5"/>
  <c r="A260" i="5"/>
  <c r="A259" i="5"/>
  <c r="N258" i="5"/>
  <c r="A258" i="5"/>
  <c r="N257" i="5"/>
  <c r="S257" i="5"/>
  <c r="A257" i="5"/>
  <c r="S256" i="5"/>
  <c r="N256" i="5"/>
  <c r="A256" i="5"/>
  <c r="A255" i="5"/>
  <c r="A254" i="5"/>
  <c r="A253" i="5"/>
  <c r="A252" i="5"/>
  <c r="A251" i="5"/>
  <c r="A250" i="5"/>
  <c r="S249" i="5"/>
  <c r="Q249" i="5"/>
  <c r="F249" i="5"/>
  <c r="A249" i="5"/>
  <c r="S248" i="5"/>
  <c r="R248" i="5"/>
  <c r="M248" i="5"/>
  <c r="K251" i="5"/>
  <c r="L252" i="5" s="1"/>
  <c r="A248" i="5"/>
  <c r="A247" i="5"/>
  <c r="L246" i="5"/>
  <c r="A246" i="5"/>
  <c r="R245" i="5"/>
  <c r="M245" i="5"/>
  <c r="A245" i="5"/>
  <c r="A244" i="5"/>
  <c r="F243" i="5"/>
  <c r="A243" i="5"/>
  <c r="P251" i="5"/>
  <c r="L243" i="5"/>
  <c r="R242" i="5"/>
  <c r="N242" i="5"/>
  <c r="N243" i="5" s="1"/>
  <c r="M242" i="5"/>
  <c r="A242" i="5"/>
  <c r="A241" i="5"/>
  <c r="A240" i="5"/>
  <c r="S229" i="5"/>
  <c r="A229" i="5"/>
  <c r="N229" i="5" s="1"/>
  <c r="A228" i="5"/>
  <c r="S227" i="5"/>
  <c r="A227" i="5"/>
  <c r="N227" i="5" s="1"/>
  <c r="A226" i="5"/>
  <c r="S225" i="5"/>
  <c r="N225" i="5"/>
  <c r="A225" i="5"/>
  <c r="A224" i="5"/>
  <c r="S223" i="5"/>
  <c r="N223" i="5"/>
  <c r="A223" i="5"/>
  <c r="A222" i="5"/>
  <c r="S221" i="5"/>
  <c r="N221" i="5"/>
  <c r="A221" i="5"/>
  <c r="A220" i="5"/>
  <c r="A219" i="5"/>
  <c r="S218" i="5"/>
  <c r="N218" i="5"/>
  <c r="A218" i="5"/>
  <c r="A217" i="5"/>
  <c r="S216" i="5"/>
  <c r="N216" i="5"/>
  <c r="A216" i="5"/>
  <c r="A215" i="5"/>
  <c r="A214" i="5"/>
  <c r="A213" i="5"/>
  <c r="A212" i="5"/>
  <c r="A211" i="5"/>
  <c r="N210" i="5"/>
  <c r="A210" i="5"/>
  <c r="S210" i="5" s="1"/>
  <c r="S209" i="5"/>
  <c r="N209" i="5"/>
  <c r="A209" i="5"/>
  <c r="N208" i="5"/>
  <c r="A208" i="5"/>
  <c r="S207" i="5"/>
  <c r="N207" i="5"/>
  <c r="A207" i="5"/>
  <c r="A206" i="5"/>
  <c r="A205" i="5"/>
  <c r="S204" i="5"/>
  <c r="N204" i="5"/>
  <c r="A204" i="5"/>
  <c r="A203" i="5"/>
  <c r="S202" i="5"/>
  <c r="N202" i="5"/>
  <c r="A202" i="5"/>
  <c r="A201" i="5"/>
  <c r="S200" i="5"/>
  <c r="N200" i="5"/>
  <c r="A200" i="5"/>
  <c r="A199" i="5"/>
  <c r="A198" i="5"/>
  <c r="A197" i="5"/>
  <c r="A196" i="5"/>
  <c r="A195" i="5"/>
  <c r="A194" i="5"/>
  <c r="L193" i="5"/>
  <c r="A193" i="5"/>
  <c r="A192" i="5"/>
  <c r="A191" i="5"/>
  <c r="F190" i="5"/>
  <c r="A190" i="5"/>
  <c r="R189" i="5"/>
  <c r="Q190" i="5"/>
  <c r="A189" i="5"/>
  <c r="A188" i="5"/>
  <c r="A187" i="5"/>
  <c r="L186" i="5"/>
  <c r="K186" i="5"/>
  <c r="J186" i="5"/>
  <c r="K187" i="5" s="1"/>
  <c r="A186" i="5"/>
  <c r="A185" i="5"/>
  <c r="A184" i="5"/>
  <c r="M183" i="5"/>
  <c r="L183" i="5"/>
  <c r="A183" i="5"/>
  <c r="M182" i="5"/>
  <c r="A182" i="5"/>
  <c r="A181" i="5"/>
  <c r="R180" i="5"/>
  <c r="A180" i="5"/>
  <c r="A179" i="5"/>
  <c r="A178" i="5"/>
  <c r="A177" i="5"/>
  <c r="L177" i="5"/>
  <c r="A176" i="5"/>
  <c r="K175" i="5"/>
  <c r="A175" i="5"/>
  <c r="A174" i="5"/>
  <c r="A173" i="5"/>
  <c r="A172" i="5"/>
  <c r="V163" i="5"/>
  <c r="A163" i="5"/>
  <c r="S162" i="5"/>
  <c r="A162" i="5"/>
  <c r="A161" i="5"/>
  <c r="V160" i="5"/>
  <c r="A160" i="5"/>
  <c r="S159" i="5"/>
  <c r="N159" i="5"/>
  <c r="A159" i="5"/>
  <c r="A158" i="5"/>
  <c r="N157" i="5"/>
  <c r="A157" i="5"/>
  <c r="A156" i="5"/>
  <c r="A155" i="5"/>
  <c r="A154" i="5"/>
  <c r="S153" i="5"/>
  <c r="N153" i="5"/>
  <c r="A153" i="5"/>
  <c r="S152" i="5"/>
  <c r="N152" i="5"/>
  <c r="A152" i="5"/>
  <c r="A151" i="5"/>
  <c r="S150" i="5"/>
  <c r="N150" i="5"/>
  <c r="A150" i="5"/>
  <c r="A149" i="5"/>
  <c r="S148" i="5"/>
  <c r="N148" i="5"/>
  <c r="A148" i="5"/>
  <c r="A147" i="5"/>
  <c r="A146" i="5"/>
  <c r="A145" i="5"/>
  <c r="A144" i="5"/>
  <c r="A143" i="5"/>
  <c r="S142" i="5"/>
  <c r="A142" i="5"/>
  <c r="A141" i="5"/>
  <c r="A140" i="5"/>
  <c r="S139" i="5"/>
  <c r="N139" i="5"/>
  <c r="A139" i="5"/>
  <c r="S138" i="5"/>
  <c r="N138" i="5"/>
  <c r="A138" i="5"/>
  <c r="A137" i="5"/>
  <c r="A136" i="5"/>
  <c r="S135" i="5"/>
  <c r="N135" i="5"/>
  <c r="A135" i="5"/>
  <c r="A134" i="5"/>
  <c r="A133" i="5"/>
  <c r="A132" i="5"/>
  <c r="N131" i="5"/>
  <c r="A131" i="5"/>
  <c r="A130" i="5"/>
  <c r="S129" i="5"/>
  <c r="N129" i="5"/>
  <c r="A129" i="5"/>
  <c r="S128" i="5"/>
  <c r="N128" i="5"/>
  <c r="A128" i="5"/>
  <c r="S127" i="5"/>
  <c r="N127" i="5"/>
  <c r="A127" i="5"/>
  <c r="S126" i="5"/>
  <c r="N126" i="5"/>
  <c r="A126" i="5"/>
  <c r="N125" i="5"/>
  <c r="A125" i="5"/>
  <c r="A124" i="5"/>
  <c r="A123" i="5"/>
  <c r="S122" i="5"/>
  <c r="N122" i="5"/>
  <c r="A122" i="5"/>
  <c r="A121" i="5"/>
  <c r="S120" i="5"/>
  <c r="N120" i="5"/>
  <c r="A120" i="5"/>
  <c r="A119" i="5"/>
  <c r="A118" i="5"/>
  <c r="A117" i="5"/>
  <c r="N116" i="5"/>
  <c r="A116" i="5"/>
  <c r="A115" i="5"/>
  <c r="J114" i="5"/>
  <c r="A114" i="5"/>
  <c r="A113" i="5"/>
  <c r="A112" i="5"/>
  <c r="A111" i="5"/>
  <c r="A110" i="5"/>
  <c r="A109" i="5"/>
  <c r="A108" i="5"/>
  <c r="A107" i="5"/>
  <c r="L106" i="5"/>
  <c r="A106" i="5"/>
  <c r="N105" i="5"/>
  <c r="A105" i="5"/>
  <c r="A104" i="5"/>
  <c r="A103" i="5"/>
  <c r="A102" i="5"/>
  <c r="K101" i="5"/>
  <c r="A101" i="5"/>
  <c r="A100" i="5"/>
  <c r="R99" i="5"/>
  <c r="B99" i="5"/>
  <c r="A99" i="5"/>
  <c r="A98" i="5"/>
  <c r="A97" i="5"/>
  <c r="S96" i="5"/>
  <c r="P96" i="5"/>
  <c r="R96" i="5"/>
  <c r="E96" i="5"/>
  <c r="A96" i="5"/>
  <c r="S95" i="5"/>
  <c r="R95" i="5"/>
  <c r="P95" i="5"/>
  <c r="K95" i="5"/>
  <c r="N95" i="5"/>
  <c r="A95" i="5"/>
  <c r="Q97" i="5"/>
  <c r="L97" i="5"/>
  <c r="A94" i="5"/>
  <c r="A93" i="5"/>
  <c r="B85" i="5"/>
  <c r="A85" i="5" s="1"/>
  <c r="B84" i="5"/>
  <c r="A84" i="5" s="1"/>
  <c r="B83" i="5"/>
  <c r="A83" i="5" s="1"/>
  <c r="B82" i="5"/>
  <c r="S81" i="5"/>
  <c r="B81" i="5"/>
  <c r="A81" i="5"/>
  <c r="B80" i="5"/>
  <c r="A80" i="5"/>
  <c r="B79" i="5"/>
  <c r="A79" i="5"/>
  <c r="B78" i="5"/>
  <c r="A78" i="5"/>
  <c r="S77" i="5"/>
  <c r="B77" i="5"/>
  <c r="A77" i="5" s="1"/>
  <c r="N76" i="5"/>
  <c r="B76" i="5"/>
  <c r="A76" i="5"/>
  <c r="B75" i="5"/>
  <c r="A75" i="5" s="1"/>
  <c r="B74" i="5"/>
  <c r="A74" i="5"/>
  <c r="B73" i="5"/>
  <c r="A73" i="5" s="1"/>
  <c r="B72" i="5"/>
  <c r="A72" i="5" s="1"/>
  <c r="B71" i="5"/>
  <c r="B70" i="5"/>
  <c r="A70" i="5" s="1"/>
  <c r="S69" i="5"/>
  <c r="N69" i="5"/>
  <c r="B69" i="5"/>
  <c r="A69" i="5"/>
  <c r="B68" i="5"/>
  <c r="A68" i="5"/>
  <c r="B67" i="5"/>
  <c r="A67" i="5"/>
  <c r="B66" i="5"/>
  <c r="A66" i="5" s="1"/>
  <c r="B65" i="5"/>
  <c r="B64" i="5"/>
  <c r="A64" i="5"/>
  <c r="S64" i="5" s="1"/>
  <c r="B63" i="5"/>
  <c r="A63" i="5" s="1"/>
  <c r="N63" i="5" s="1"/>
  <c r="B62" i="5"/>
  <c r="A62" i="5"/>
  <c r="S61" i="5"/>
  <c r="N61" i="5"/>
  <c r="B61" i="5"/>
  <c r="A61" i="5"/>
  <c r="B60" i="5"/>
  <c r="A60" i="5"/>
  <c r="S59" i="5"/>
  <c r="N59" i="5"/>
  <c r="B59" i="5"/>
  <c r="A59" i="5"/>
  <c r="B58" i="5"/>
  <c r="A58" i="5"/>
  <c r="B57" i="5"/>
  <c r="A57" i="5"/>
  <c r="B56" i="5"/>
  <c r="A56" i="5"/>
  <c r="B55" i="5"/>
  <c r="A55" i="5"/>
  <c r="B54" i="5"/>
  <c r="A54" i="5" s="1"/>
  <c r="B53" i="5"/>
  <c r="A53" i="5"/>
  <c r="B52" i="5"/>
  <c r="A52" i="5"/>
  <c r="B51" i="5"/>
  <c r="A51" i="5" s="1"/>
  <c r="B50" i="5"/>
  <c r="A50" i="5"/>
  <c r="B49" i="5"/>
  <c r="A49" i="5"/>
  <c r="N48" i="5"/>
  <c r="B48" i="5"/>
  <c r="A48" i="5" s="1"/>
  <c r="B47" i="5"/>
  <c r="B46" i="5"/>
  <c r="A46" i="5"/>
  <c r="S45" i="5"/>
  <c r="N45" i="5"/>
  <c r="B45" i="5"/>
  <c r="A45" i="5" s="1"/>
  <c r="B44" i="5"/>
  <c r="A44" i="5" s="1"/>
  <c r="S43" i="5"/>
  <c r="N43" i="5"/>
  <c r="B43" i="5"/>
  <c r="A43" i="5"/>
  <c r="B42" i="5"/>
  <c r="B41" i="5"/>
  <c r="A41" i="5" s="1"/>
  <c r="N40" i="5"/>
  <c r="K40" i="5"/>
  <c r="B40" i="5"/>
  <c r="A40" i="5" s="1"/>
  <c r="B39" i="5"/>
  <c r="A39" i="5"/>
  <c r="B38" i="5"/>
  <c r="A38" i="5"/>
  <c r="B37" i="5"/>
  <c r="A37" i="5" s="1"/>
  <c r="B36" i="5"/>
  <c r="A36" i="5"/>
  <c r="B35" i="5"/>
  <c r="A35" i="5" s="1"/>
  <c r="B34" i="5"/>
  <c r="A34" i="5" s="1"/>
  <c r="B33" i="5"/>
  <c r="B32" i="5"/>
  <c r="A32" i="5"/>
  <c r="B31" i="5"/>
  <c r="A31" i="5"/>
  <c r="B30" i="5"/>
  <c r="A30" i="5" s="1"/>
  <c r="B29" i="5"/>
  <c r="A29" i="5" s="1"/>
  <c r="B28" i="5"/>
  <c r="A28" i="5"/>
  <c r="B27" i="5"/>
  <c r="A27" i="5" s="1"/>
  <c r="B26" i="5"/>
  <c r="A26" i="5"/>
  <c r="B25" i="5"/>
  <c r="A25" i="5"/>
  <c r="B24" i="5"/>
  <c r="A24" i="5"/>
  <c r="B23" i="5"/>
  <c r="N23" i="5" s="1"/>
  <c r="A23" i="5"/>
  <c r="F24" i="5" s="1"/>
  <c r="S22" i="5"/>
  <c r="N22" i="5"/>
  <c r="B22" i="5"/>
  <c r="A22" i="5"/>
  <c r="N21" i="5"/>
  <c r="B21" i="5"/>
  <c r="A21" i="5"/>
  <c r="B20" i="5"/>
  <c r="A20" i="5"/>
  <c r="B19" i="5"/>
  <c r="B18" i="5"/>
  <c r="A18" i="5"/>
  <c r="B17" i="5"/>
  <c r="A17" i="5"/>
  <c r="B16" i="5"/>
  <c r="A16" i="5" s="1"/>
  <c r="E15" i="5"/>
  <c r="B15" i="5"/>
  <c r="A15" i="5" s="1"/>
  <c r="B14" i="5"/>
  <c r="A14" i="5"/>
  <c r="B13" i="5"/>
  <c r="A13" i="5"/>
  <c r="P12" i="5"/>
  <c r="B12" i="5"/>
  <c r="A12" i="5"/>
  <c r="S11" i="5"/>
  <c r="P11" i="5"/>
  <c r="B11" i="5"/>
  <c r="N11" i="5" s="1"/>
  <c r="A11" i="5"/>
  <c r="S10" i="5"/>
  <c r="K10" i="5"/>
  <c r="B10" i="5"/>
  <c r="A10" i="5"/>
  <c r="P10" i="5" s="1"/>
  <c r="K9" i="5"/>
  <c r="B9" i="5"/>
  <c r="A9" i="5"/>
  <c r="B8" i="5"/>
  <c r="K7" i="5"/>
  <c r="B7" i="5"/>
  <c r="A7" i="5" s="1"/>
  <c r="N6" i="5"/>
  <c r="B6" i="5"/>
  <c r="A6" i="5" s="1"/>
  <c r="B5" i="5"/>
  <c r="A5" i="5"/>
  <c r="S89" i="5"/>
  <c r="AR503" i="15"/>
  <c r="A500" i="15"/>
  <c r="A499" i="15"/>
  <c r="AO498" i="15"/>
  <c r="AN498" i="15"/>
  <c r="A498" i="15"/>
  <c r="AI497" i="15"/>
  <c r="A497" i="15"/>
  <c r="AR496" i="15"/>
  <c r="AO496" i="15"/>
  <c r="AN496" i="15"/>
  <c r="A496" i="15"/>
  <c r="AO495" i="15"/>
  <c r="AN495" i="15"/>
  <c r="AR495" i="15"/>
  <c r="A495" i="15"/>
  <c r="AI495" i="15" s="1"/>
  <c r="AR494" i="15"/>
  <c r="A494" i="15"/>
  <c r="AR493" i="15"/>
  <c r="A493" i="15"/>
  <c r="AO493" i="15" s="1"/>
  <c r="AR492" i="15"/>
  <c r="A492" i="15"/>
  <c r="A491" i="15"/>
  <c r="A490" i="15"/>
  <c r="A489" i="15"/>
  <c r="A488" i="15"/>
  <c r="A487" i="15"/>
  <c r="A485" i="15"/>
  <c r="A484" i="15"/>
  <c r="AO483" i="15"/>
  <c r="AN483" i="15"/>
  <c r="A483" i="15"/>
  <c r="A482" i="15"/>
  <c r="AS481" i="15"/>
  <c r="A481" i="15"/>
  <c r="AS480" i="15"/>
  <c r="A480" i="15"/>
  <c r="AS479" i="15"/>
  <c r="A479" i="15"/>
  <c r="AS478" i="15"/>
  <c r="AR478" i="15"/>
  <c r="A478" i="15"/>
  <c r="AS477" i="15"/>
  <c r="A477" i="15"/>
  <c r="AS476" i="15"/>
  <c r="A476" i="15"/>
  <c r="AS475" i="15"/>
  <c r="A475" i="15"/>
  <c r="AS474" i="15"/>
  <c r="A474" i="15"/>
  <c r="AS473" i="15"/>
  <c r="A473" i="15"/>
  <c r="AR472" i="15"/>
  <c r="AS472" i="15" s="1"/>
  <c r="A472" i="15"/>
  <c r="AS471" i="15"/>
  <c r="A471" i="15"/>
  <c r="AS470" i="15"/>
  <c r="AT470" i="15" s="1"/>
  <c r="A470" i="15"/>
  <c r="A469" i="15"/>
  <c r="AO468" i="15"/>
  <c r="AN468" i="15"/>
  <c r="AH468" i="15"/>
  <c r="A468" i="15"/>
  <c r="A467" i="15"/>
  <c r="A466" i="15"/>
  <c r="A465" i="15"/>
  <c r="A464" i="15"/>
  <c r="A463" i="15"/>
  <c r="AQ462" i="15"/>
  <c r="A462" i="15"/>
  <c r="AN461" i="15"/>
  <c r="AH461" i="15"/>
  <c r="A461" i="15"/>
  <c r="AN460" i="15"/>
  <c r="AH460" i="15"/>
  <c r="AI460" i="15" s="1"/>
  <c r="A460" i="15"/>
  <c r="A459" i="15"/>
  <c r="A458" i="15"/>
  <c r="AO457" i="15"/>
  <c r="AI457" i="15"/>
  <c r="A457" i="15"/>
  <c r="A456" i="15"/>
  <c r="A455" i="15"/>
  <c r="A454" i="15"/>
  <c r="A453" i="15"/>
  <c r="A452" i="15"/>
  <c r="A451" i="15"/>
  <c r="A450" i="15"/>
  <c r="A449" i="15"/>
  <c r="AQ448" i="15"/>
  <c r="A448" i="15"/>
  <c r="AQ447" i="15"/>
  <c r="A447" i="15"/>
  <c r="AQ446" i="15"/>
  <c r="A446" i="15"/>
  <c r="A445" i="15"/>
  <c r="A444" i="15"/>
  <c r="AQ443" i="15"/>
  <c r="A443" i="15"/>
  <c r="A442" i="15"/>
  <c r="AQ440" i="15"/>
  <c r="A440" i="15"/>
  <c r="AQ439" i="15"/>
  <c r="A439" i="15"/>
  <c r="AQ438" i="15"/>
  <c r="A438" i="15"/>
  <c r="A437" i="15"/>
  <c r="A436" i="15"/>
  <c r="AQ435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N421" i="15"/>
  <c r="AH421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S395" i="15"/>
  <c r="A395" i="15"/>
  <c r="S394" i="15"/>
  <c r="A394" i="15"/>
  <c r="A393" i="15"/>
  <c r="A392" i="15"/>
  <c r="A391" i="15"/>
  <c r="A390" i="15"/>
  <c r="A389" i="15"/>
  <c r="A388" i="15"/>
  <c r="S387" i="15"/>
  <c r="A387" i="15"/>
  <c r="S386" i="15"/>
  <c r="A386" i="15"/>
  <c r="A385" i="15"/>
  <c r="S384" i="15"/>
  <c r="A384" i="15"/>
  <c r="A383" i="15"/>
  <c r="A382" i="15"/>
  <c r="A381" i="15"/>
  <c r="A380" i="15"/>
  <c r="A379" i="15"/>
  <c r="A378" i="15"/>
  <c r="A377" i="15"/>
  <c r="A376" i="15"/>
  <c r="A375" i="15"/>
  <c r="A374" i="15"/>
  <c r="S373" i="15"/>
  <c r="A373" i="15"/>
  <c r="A372" i="15"/>
  <c r="S371" i="15"/>
  <c r="A371" i="15"/>
  <c r="A370" i="15"/>
  <c r="S369" i="15"/>
  <c r="A369" i="15"/>
  <c r="A368" i="15"/>
  <c r="S367" i="15"/>
  <c r="A367" i="15"/>
  <c r="A366" i="15"/>
  <c r="A365" i="15"/>
  <c r="A364" i="15"/>
  <c r="O363" i="15"/>
  <c r="E363" i="15"/>
  <c r="D363" i="15"/>
  <c r="A363" i="15"/>
  <c r="A362" i="15"/>
  <c r="S361" i="15"/>
  <c r="R361" i="15"/>
  <c r="L363" i="15"/>
  <c r="K361" i="15"/>
  <c r="J363" i="15"/>
  <c r="K363" i="15" s="1"/>
  <c r="E361" i="15"/>
  <c r="A361" i="15"/>
  <c r="A360" i="15"/>
  <c r="S349" i="15"/>
  <c r="A349" i="15"/>
  <c r="A348" i="15"/>
  <c r="A347" i="15"/>
  <c r="A346" i="15"/>
  <c r="A345" i="15"/>
  <c r="A344" i="15"/>
  <c r="A343" i="15"/>
  <c r="N342" i="15"/>
  <c r="A342" i="15"/>
  <c r="S342" i="15" s="1"/>
  <c r="N341" i="15"/>
  <c r="A341" i="15"/>
  <c r="A340" i="15"/>
  <c r="A339" i="15"/>
  <c r="S338" i="15"/>
  <c r="N338" i="15"/>
  <c r="A338" i="15"/>
  <c r="S337" i="15"/>
  <c r="N337" i="15"/>
  <c r="A337" i="15"/>
  <c r="S336" i="15"/>
  <c r="N336" i="15"/>
  <c r="A336" i="15"/>
  <c r="A335" i="15"/>
  <c r="S334" i="15"/>
  <c r="N334" i="15"/>
  <c r="A334" i="15"/>
  <c r="N333" i="15"/>
  <c r="A333" i="15"/>
  <c r="A332" i="15"/>
  <c r="A331" i="15"/>
  <c r="N330" i="15"/>
  <c r="S330" i="15"/>
  <c r="A330" i="15"/>
  <c r="A329" i="15"/>
  <c r="S328" i="15"/>
  <c r="A328" i="15"/>
  <c r="N328" i="15" s="1"/>
  <c r="S327" i="15"/>
  <c r="N327" i="15"/>
  <c r="A327" i="15"/>
  <c r="S326" i="15"/>
  <c r="N326" i="15"/>
  <c r="A326" i="15"/>
  <c r="N325" i="15"/>
  <c r="A325" i="15"/>
  <c r="A324" i="15"/>
  <c r="S323" i="15"/>
  <c r="N323" i="15"/>
  <c r="A323" i="15"/>
  <c r="A322" i="15"/>
  <c r="S321" i="15"/>
  <c r="N321" i="15"/>
  <c r="A321" i="15"/>
  <c r="A320" i="15"/>
  <c r="A319" i="15"/>
  <c r="A318" i="15"/>
  <c r="A317" i="15"/>
  <c r="A316" i="15"/>
  <c r="A315" i="15"/>
  <c r="A314" i="15"/>
  <c r="P313" i="15"/>
  <c r="N313" i="15"/>
  <c r="K313" i="15"/>
  <c r="E313" i="15"/>
  <c r="A313" i="15"/>
  <c r="M313" i="15" s="1"/>
  <c r="A312" i="15"/>
  <c r="A311" i="15"/>
  <c r="A310" i="15"/>
  <c r="A309" i="15"/>
  <c r="P308" i="15"/>
  <c r="A308" i="15"/>
  <c r="A307" i="15"/>
  <c r="A306" i="15"/>
  <c r="A305" i="15"/>
  <c r="K304" i="15"/>
  <c r="E304" i="15"/>
  <c r="A304" i="15"/>
  <c r="K303" i="15"/>
  <c r="E303" i="15"/>
  <c r="A303" i="15"/>
  <c r="N303" i="15" s="1"/>
  <c r="S302" i="15"/>
  <c r="A302" i="15"/>
  <c r="S301" i="15"/>
  <c r="A301" i="15"/>
  <c r="A300" i="15"/>
  <c r="S299" i="15"/>
  <c r="M299" i="15"/>
  <c r="N299" i="15"/>
  <c r="E299" i="15"/>
  <c r="A299" i="15"/>
  <c r="A298" i="15"/>
  <c r="N297" i="15"/>
  <c r="E297" i="15"/>
  <c r="A297" i="15"/>
  <c r="A296" i="15"/>
  <c r="A295" i="15"/>
  <c r="L286" i="15"/>
  <c r="K286" i="15"/>
  <c r="A285" i="15"/>
  <c r="N284" i="15"/>
  <c r="A284" i="15"/>
  <c r="A283" i="15"/>
  <c r="A282" i="15"/>
  <c r="S281" i="15"/>
  <c r="N281" i="15"/>
  <c r="A281" i="15"/>
  <c r="N280" i="15"/>
  <c r="A280" i="15"/>
  <c r="S279" i="15"/>
  <c r="A279" i="15"/>
  <c r="A278" i="15"/>
  <c r="N278" i="15" s="1"/>
  <c r="S277" i="15"/>
  <c r="A277" i="15"/>
  <c r="S276" i="15"/>
  <c r="N276" i="15"/>
  <c r="A276" i="15"/>
  <c r="A275" i="15"/>
  <c r="S275" i="15" s="1"/>
  <c r="A274" i="15"/>
  <c r="S273" i="15"/>
  <c r="A273" i="15"/>
  <c r="S272" i="15"/>
  <c r="N272" i="15"/>
  <c r="A272" i="15"/>
  <c r="N271" i="15"/>
  <c r="A271" i="15"/>
  <c r="S271" i="15" s="1"/>
  <c r="S270" i="15"/>
  <c r="N270" i="15"/>
  <c r="A270" i="15"/>
  <c r="A269" i="15"/>
  <c r="A268" i="15"/>
  <c r="K267" i="15"/>
  <c r="A267" i="15"/>
  <c r="A266" i="15"/>
  <c r="S265" i="15"/>
  <c r="N265" i="15"/>
  <c r="A265" i="15"/>
  <c r="A264" i="15"/>
  <c r="S263" i="15"/>
  <c r="N263" i="15"/>
  <c r="A263" i="15"/>
  <c r="A262" i="15"/>
  <c r="S261" i="15"/>
  <c r="N261" i="15"/>
  <c r="A261" i="15"/>
  <c r="N260" i="15"/>
  <c r="S260" i="15"/>
  <c r="A260" i="15"/>
  <c r="S259" i="15"/>
  <c r="N259" i="15"/>
  <c r="A259" i="15"/>
  <c r="A258" i="15"/>
  <c r="S258" i="15" s="1"/>
  <c r="N257" i="15"/>
  <c r="S257" i="15"/>
  <c r="A257" i="15"/>
  <c r="N256" i="15"/>
  <c r="S256" i="15"/>
  <c r="A256" i="15"/>
  <c r="L267" i="15"/>
  <c r="A255" i="15"/>
  <c r="A254" i="15"/>
  <c r="A253" i="15"/>
  <c r="A252" i="15"/>
  <c r="A251" i="15"/>
  <c r="A250" i="15"/>
  <c r="S249" i="15"/>
  <c r="Q249" i="15"/>
  <c r="N249" i="15"/>
  <c r="L249" i="15"/>
  <c r="F249" i="15"/>
  <c r="A249" i="15"/>
  <c r="S248" i="15"/>
  <c r="R248" i="15"/>
  <c r="M248" i="15"/>
  <c r="N248" i="15"/>
  <c r="A248" i="15"/>
  <c r="A247" i="15"/>
  <c r="L246" i="15"/>
  <c r="A246" i="15"/>
  <c r="R245" i="15"/>
  <c r="M245" i="15"/>
  <c r="K251" i="15"/>
  <c r="L252" i="15" s="1"/>
  <c r="A245" i="15"/>
  <c r="A244" i="15"/>
  <c r="A243" i="15"/>
  <c r="R242" i="15"/>
  <c r="M242" i="15"/>
  <c r="F243" i="15"/>
  <c r="A242" i="15"/>
  <c r="A241" i="15"/>
  <c r="A240" i="15"/>
  <c r="A229" i="15"/>
  <c r="S228" i="15"/>
  <c r="A228" i="15"/>
  <c r="A227" i="15"/>
  <c r="S226" i="15"/>
  <c r="N226" i="15"/>
  <c r="A226" i="15"/>
  <c r="S225" i="15"/>
  <c r="A225" i="15"/>
  <c r="N225" i="15" s="1"/>
  <c r="A224" i="15"/>
  <c r="S223" i="15"/>
  <c r="N223" i="15"/>
  <c r="A223" i="15"/>
  <c r="A222" i="15"/>
  <c r="S221" i="15"/>
  <c r="N221" i="15"/>
  <c r="A221" i="15"/>
  <c r="A220" i="15"/>
  <c r="S219" i="15"/>
  <c r="N219" i="15"/>
  <c r="A219" i="15"/>
  <c r="A218" i="15"/>
  <c r="A217" i="15"/>
  <c r="A216" i="15"/>
  <c r="A215" i="15"/>
  <c r="S214" i="15"/>
  <c r="N214" i="15"/>
  <c r="A214" i="15"/>
  <c r="A213" i="15"/>
  <c r="A212" i="15"/>
  <c r="A211" i="15"/>
  <c r="S210" i="15"/>
  <c r="N210" i="15"/>
  <c r="A210" i="15"/>
  <c r="A209" i="15"/>
  <c r="S209" i="15" s="1"/>
  <c r="S208" i="15"/>
  <c r="N208" i="15"/>
  <c r="A208" i="15"/>
  <c r="A207" i="15"/>
  <c r="S206" i="15"/>
  <c r="N206" i="15"/>
  <c r="A206" i="15"/>
  <c r="N205" i="15"/>
  <c r="A205" i="15"/>
  <c r="S204" i="15"/>
  <c r="N204" i="15"/>
  <c r="A204" i="15"/>
  <c r="A203" i="15"/>
  <c r="S202" i="15"/>
  <c r="N202" i="15"/>
  <c r="A202" i="15"/>
  <c r="A201" i="15"/>
  <c r="S200" i="15"/>
  <c r="A200" i="15"/>
  <c r="N200" i="15" s="1"/>
  <c r="S199" i="15"/>
  <c r="A199" i="15"/>
  <c r="A198" i="15"/>
  <c r="A197" i="15"/>
  <c r="A196" i="15"/>
  <c r="A195" i="15"/>
  <c r="A194" i="15"/>
  <c r="L193" i="15"/>
  <c r="A193" i="15"/>
  <c r="Q193" i="15"/>
  <c r="F193" i="15"/>
  <c r="A192" i="15"/>
  <c r="A191" i="15"/>
  <c r="L190" i="15"/>
  <c r="A190" i="15"/>
  <c r="R189" i="15"/>
  <c r="A189" i="15"/>
  <c r="A188" i="15"/>
  <c r="A187" i="15"/>
  <c r="K186" i="15"/>
  <c r="J186" i="15"/>
  <c r="K187" i="15" s="1"/>
  <c r="A186" i="15"/>
  <c r="A185" i="15"/>
  <c r="A184" i="15"/>
  <c r="M183" i="15"/>
  <c r="A183" i="15"/>
  <c r="A182" i="15"/>
  <c r="A181" i="15"/>
  <c r="R180" i="15"/>
  <c r="A180" i="15"/>
  <c r="S179" i="15"/>
  <c r="M179" i="15"/>
  <c r="L180" i="15"/>
  <c r="A179" i="15"/>
  <c r="A178" i="15"/>
  <c r="L177" i="15"/>
  <c r="A177" i="15"/>
  <c r="R176" i="15"/>
  <c r="A176" i="15"/>
  <c r="A175" i="15"/>
  <c r="A174" i="15"/>
  <c r="A173" i="15"/>
  <c r="A172" i="15"/>
  <c r="A163" i="15"/>
  <c r="A162" i="15"/>
  <c r="N161" i="15"/>
  <c r="A161" i="15"/>
  <c r="V160" i="15"/>
  <c r="N160" i="15"/>
  <c r="A160" i="15"/>
  <c r="S160" i="15" s="1"/>
  <c r="A159" i="15"/>
  <c r="S158" i="15"/>
  <c r="A158" i="15"/>
  <c r="A157" i="15"/>
  <c r="A156" i="15"/>
  <c r="A155" i="15"/>
  <c r="A154" i="15"/>
  <c r="S153" i="15"/>
  <c r="N153" i="15"/>
  <c r="A153" i="15"/>
  <c r="A152" i="15"/>
  <c r="A151" i="15"/>
  <c r="A150" i="15"/>
  <c r="S149" i="15"/>
  <c r="N149" i="15"/>
  <c r="A149" i="15"/>
  <c r="A148" i="15"/>
  <c r="S147" i="15"/>
  <c r="N147" i="15"/>
  <c r="A147" i="15"/>
  <c r="A146" i="15"/>
  <c r="S145" i="15"/>
  <c r="A145" i="15"/>
  <c r="S144" i="15"/>
  <c r="A144" i="15"/>
  <c r="N143" i="15"/>
  <c r="A143" i="15"/>
  <c r="A142" i="15"/>
  <c r="S141" i="15"/>
  <c r="N141" i="15"/>
  <c r="A141" i="15"/>
  <c r="A140" i="15"/>
  <c r="N139" i="15"/>
  <c r="A139" i="15"/>
  <c r="A138" i="15"/>
  <c r="N137" i="15"/>
  <c r="A137" i="15"/>
  <c r="A136" i="15"/>
  <c r="S135" i="15"/>
  <c r="N135" i="15"/>
  <c r="A135" i="15"/>
  <c r="S134" i="15"/>
  <c r="A134" i="15"/>
  <c r="N133" i="15"/>
  <c r="A133" i="15"/>
  <c r="N132" i="15"/>
  <c r="A132" i="15"/>
  <c r="A131" i="15"/>
  <c r="S130" i="15"/>
  <c r="A130" i="15"/>
  <c r="N129" i="15"/>
  <c r="A129" i="15"/>
  <c r="N128" i="15"/>
  <c r="A128" i="15"/>
  <c r="S127" i="15"/>
  <c r="N127" i="15"/>
  <c r="A127" i="15"/>
  <c r="A126" i="15"/>
  <c r="S125" i="15"/>
  <c r="N125" i="15"/>
  <c r="A125" i="15"/>
  <c r="N124" i="15"/>
  <c r="A124" i="15"/>
  <c r="A123" i="15"/>
  <c r="N122" i="15"/>
  <c r="A122" i="15"/>
  <c r="A121" i="15"/>
  <c r="A120" i="15"/>
  <c r="S119" i="15"/>
  <c r="A119" i="15"/>
  <c r="A118" i="15"/>
  <c r="A117" i="15"/>
  <c r="A116" i="15"/>
  <c r="N116" i="15" s="1"/>
  <c r="A115" i="15"/>
  <c r="S114" i="15"/>
  <c r="J114" i="15"/>
  <c r="A114" i="15"/>
  <c r="A113" i="15"/>
  <c r="A112" i="15"/>
  <c r="A111" i="15"/>
  <c r="A110" i="15"/>
  <c r="A109" i="15"/>
  <c r="A108" i="15"/>
  <c r="A107" i="15"/>
  <c r="A106" i="15"/>
  <c r="A105" i="15"/>
  <c r="N104" i="15"/>
  <c r="A104" i="15"/>
  <c r="S104" i="15" s="1"/>
  <c r="L106" i="15"/>
  <c r="A103" i="15"/>
  <c r="A102" i="15"/>
  <c r="S101" i="15"/>
  <c r="P101" i="15"/>
  <c r="M101" i="15"/>
  <c r="E101" i="15"/>
  <c r="A101" i="15"/>
  <c r="A100" i="15"/>
  <c r="R99" i="15"/>
  <c r="B99" i="15"/>
  <c r="A98" i="15"/>
  <c r="A97" i="15"/>
  <c r="E96" i="15"/>
  <c r="A96" i="15"/>
  <c r="A95" i="15"/>
  <c r="P94" i="15"/>
  <c r="M94" i="15"/>
  <c r="A94" i="15"/>
  <c r="E94" i="15" s="1"/>
  <c r="A93" i="15"/>
  <c r="S89" i="15"/>
  <c r="B85" i="15"/>
  <c r="A85" i="15"/>
  <c r="B84" i="15"/>
  <c r="A84" i="15"/>
  <c r="B83" i="15"/>
  <c r="A83" i="15" s="1"/>
  <c r="V82" i="15"/>
  <c r="N82" i="15"/>
  <c r="B82" i="15"/>
  <c r="A82" i="15"/>
  <c r="N81" i="15"/>
  <c r="B81" i="15"/>
  <c r="A81" i="15" s="1"/>
  <c r="B80" i="15"/>
  <c r="A80" i="15"/>
  <c r="S79" i="15"/>
  <c r="B79" i="15"/>
  <c r="A79" i="15"/>
  <c r="B78" i="15"/>
  <c r="A78" i="15"/>
  <c r="S77" i="15"/>
  <c r="B77" i="15"/>
  <c r="N77" i="15" s="1"/>
  <c r="A77" i="15"/>
  <c r="B76" i="15"/>
  <c r="A76" i="15" s="1"/>
  <c r="B75" i="15"/>
  <c r="A75" i="15"/>
  <c r="B74" i="15"/>
  <c r="A74" i="15"/>
  <c r="B73" i="15"/>
  <c r="A73" i="15"/>
  <c r="B72" i="15"/>
  <c r="A72" i="15" s="1"/>
  <c r="B71" i="15"/>
  <c r="N71" i="15" s="1"/>
  <c r="A71" i="15"/>
  <c r="B70" i="15"/>
  <c r="A70" i="15" s="1"/>
  <c r="B69" i="15"/>
  <c r="A69" i="15"/>
  <c r="N69" i="15" s="1"/>
  <c r="S68" i="15"/>
  <c r="N68" i="15"/>
  <c r="B68" i="15"/>
  <c r="A68" i="15"/>
  <c r="B67" i="15"/>
  <c r="A67" i="15"/>
  <c r="B66" i="15"/>
  <c r="B65" i="15"/>
  <c r="A65" i="15" s="1"/>
  <c r="B64" i="15"/>
  <c r="A64" i="15"/>
  <c r="S63" i="15"/>
  <c r="N63" i="15"/>
  <c r="B63" i="15"/>
  <c r="A63" i="15"/>
  <c r="B62" i="15"/>
  <c r="A62" i="15"/>
  <c r="B61" i="15"/>
  <c r="N61" i="15" s="1"/>
  <c r="A61" i="15"/>
  <c r="S60" i="15"/>
  <c r="N60" i="15"/>
  <c r="B60" i="15"/>
  <c r="A60" i="15" s="1"/>
  <c r="B59" i="15"/>
  <c r="A59" i="15"/>
  <c r="S58" i="15"/>
  <c r="B58" i="15"/>
  <c r="A58" i="15"/>
  <c r="N58" i="15" s="1"/>
  <c r="B57" i="15"/>
  <c r="A57" i="15"/>
  <c r="B56" i="15"/>
  <c r="A56" i="15"/>
  <c r="B55" i="15"/>
  <c r="A55" i="15"/>
  <c r="B54" i="15"/>
  <c r="A54" i="15" s="1"/>
  <c r="B53" i="15"/>
  <c r="A53" i="15"/>
  <c r="B52" i="15"/>
  <c r="A52" i="15"/>
  <c r="B51" i="15"/>
  <c r="A51" i="15"/>
  <c r="B50" i="15"/>
  <c r="A50" i="15"/>
  <c r="S49" i="15"/>
  <c r="N49" i="15"/>
  <c r="B49" i="15"/>
  <c r="A49" i="15"/>
  <c r="B48" i="15"/>
  <c r="A48" i="15"/>
  <c r="S47" i="15"/>
  <c r="B47" i="15"/>
  <c r="A47" i="15"/>
  <c r="S46" i="15"/>
  <c r="N46" i="15"/>
  <c r="B46" i="15"/>
  <c r="A46" i="15"/>
  <c r="B45" i="15"/>
  <c r="S44" i="15"/>
  <c r="B44" i="15"/>
  <c r="A44" i="15"/>
  <c r="N43" i="15"/>
  <c r="B43" i="15"/>
  <c r="A43" i="15" s="1"/>
  <c r="B42" i="15"/>
  <c r="B41" i="15"/>
  <c r="A41" i="15" s="1"/>
  <c r="K40" i="15"/>
  <c r="B40" i="15"/>
  <c r="A40" i="15"/>
  <c r="S39" i="15"/>
  <c r="K39" i="15"/>
  <c r="B39" i="15"/>
  <c r="A39" i="15"/>
  <c r="B38" i="15"/>
  <c r="A38" i="15" s="1"/>
  <c r="B37" i="15"/>
  <c r="B36" i="15"/>
  <c r="A36" i="15"/>
  <c r="B35" i="15"/>
  <c r="A35" i="15"/>
  <c r="B34" i="15"/>
  <c r="A34" i="15" s="1"/>
  <c r="B33" i="15"/>
  <c r="A33" i="15"/>
  <c r="S32" i="15"/>
  <c r="B32" i="15"/>
  <c r="A32" i="15"/>
  <c r="B31" i="15"/>
  <c r="A31" i="15" s="1"/>
  <c r="B30" i="15"/>
  <c r="A30" i="15"/>
  <c r="B29" i="15"/>
  <c r="A29" i="15" s="1"/>
  <c r="B28" i="15"/>
  <c r="A28" i="15"/>
  <c r="B27" i="15"/>
  <c r="A27" i="15" s="1"/>
  <c r="B26" i="15"/>
  <c r="A26" i="15"/>
  <c r="B25" i="15"/>
  <c r="A25" i="15"/>
  <c r="B24" i="15"/>
  <c r="A24" i="15" s="1"/>
  <c r="B23" i="15"/>
  <c r="A23" i="15"/>
  <c r="B22" i="15"/>
  <c r="B21" i="15"/>
  <c r="A21" i="15"/>
  <c r="B20" i="15"/>
  <c r="A20" i="15" s="1"/>
  <c r="B19" i="15"/>
  <c r="B18" i="15"/>
  <c r="A18" i="15"/>
  <c r="B17" i="15"/>
  <c r="A17" i="15" s="1"/>
  <c r="P17" i="15" s="1"/>
  <c r="B16" i="15"/>
  <c r="A16" i="15"/>
  <c r="B15" i="15"/>
  <c r="A15" i="15"/>
  <c r="B14" i="15"/>
  <c r="A14" i="15" s="1"/>
  <c r="B13" i="15"/>
  <c r="A13" i="15"/>
  <c r="B12" i="15"/>
  <c r="A12" i="15"/>
  <c r="P12" i="15" s="1"/>
  <c r="S11" i="15"/>
  <c r="R11" i="15"/>
  <c r="P11" i="15"/>
  <c r="N11" i="15"/>
  <c r="K11" i="15"/>
  <c r="E11" i="15"/>
  <c r="B11" i="15"/>
  <c r="A11" i="15"/>
  <c r="R10" i="15"/>
  <c r="P10" i="15"/>
  <c r="M10" i="15"/>
  <c r="K10" i="15"/>
  <c r="E10" i="15"/>
  <c r="B10" i="15"/>
  <c r="A10" i="15"/>
  <c r="B9" i="15"/>
  <c r="A9" i="15"/>
  <c r="S8" i="15"/>
  <c r="P8" i="15"/>
  <c r="M8" i="15"/>
  <c r="E8" i="15"/>
  <c r="B8" i="15"/>
  <c r="A8" i="15"/>
  <c r="B7" i="15"/>
  <c r="B6" i="15"/>
  <c r="B5" i="15"/>
  <c r="S62" i="5" l="1"/>
  <c r="S101" i="5"/>
  <c r="S32" i="5"/>
  <c r="Z424" i="5"/>
  <c r="K12" i="5"/>
  <c r="R12" i="5"/>
  <c r="S63" i="5"/>
  <c r="R176" i="5"/>
  <c r="M176" i="5"/>
  <c r="N118" i="5"/>
  <c r="S118" i="5"/>
  <c r="K309" i="5"/>
  <c r="M309" i="5"/>
  <c r="N37" i="5"/>
  <c r="S37" i="5"/>
  <c r="S67" i="5"/>
  <c r="E101" i="5"/>
  <c r="N53" i="5"/>
  <c r="N77" i="5"/>
  <c r="A8" i="5"/>
  <c r="J13" i="5"/>
  <c r="M12" i="5"/>
  <c r="S38" i="5"/>
  <c r="N81" i="5"/>
  <c r="R94" i="5"/>
  <c r="S116" i="5"/>
  <c r="S133" i="5"/>
  <c r="N133" i="5"/>
  <c r="N137" i="5"/>
  <c r="S157" i="5"/>
  <c r="L195" i="5"/>
  <c r="L187" i="5"/>
  <c r="N9" i="5"/>
  <c r="N17" i="5"/>
  <c r="Q24" i="5"/>
  <c r="E7" i="5"/>
  <c r="N304" i="5"/>
  <c r="A71" i="5"/>
  <c r="AF417" i="5"/>
  <c r="S7" i="5"/>
  <c r="A33" i="5"/>
  <c r="N60" i="5"/>
  <c r="S68" i="5"/>
  <c r="S97" i="5"/>
  <c r="S98" i="5" s="1"/>
  <c r="J113" i="5"/>
  <c r="L109" i="5"/>
  <c r="N212" i="5"/>
  <c r="S36" i="5"/>
  <c r="N36" i="5"/>
  <c r="S31" i="5"/>
  <c r="L41" i="5"/>
  <c r="N49" i="5"/>
  <c r="S49" i="5"/>
  <c r="S393" i="5"/>
  <c r="S39" i="5"/>
  <c r="N39" i="5"/>
  <c r="K39" i="5"/>
  <c r="S50" i="5"/>
  <c r="F106" i="5"/>
  <c r="N106" i="5" s="1"/>
  <c r="N107" i="5" s="1"/>
  <c r="N51" i="5"/>
  <c r="S51" i="5"/>
  <c r="N31" i="5"/>
  <c r="S55" i="5"/>
  <c r="N46" i="5"/>
  <c r="S9" i="5"/>
  <c r="E9" i="5"/>
  <c r="P9" i="5"/>
  <c r="S17" i="5"/>
  <c r="E17" i="5"/>
  <c r="N34" i="5"/>
  <c r="L24" i="5"/>
  <c r="S21" i="5"/>
  <c r="A65" i="5"/>
  <c r="S275" i="5"/>
  <c r="N275" i="5"/>
  <c r="S53" i="5"/>
  <c r="S60" i="5"/>
  <c r="K6" i="5"/>
  <c r="R6" i="5"/>
  <c r="M6" i="5"/>
  <c r="S58" i="5"/>
  <c r="Z438" i="5"/>
  <c r="D97" i="5"/>
  <c r="E122" i="5" s="1"/>
  <c r="M95" i="5"/>
  <c r="E95" i="5"/>
  <c r="Q106" i="5"/>
  <c r="S106" i="5" s="1"/>
  <c r="E118" i="5"/>
  <c r="F251" i="5"/>
  <c r="F246" i="5"/>
  <c r="N340" i="5"/>
  <c r="S340" i="5"/>
  <c r="N56" i="5"/>
  <c r="A82" i="5"/>
  <c r="N151" i="5"/>
  <c r="N78" i="5"/>
  <c r="S56" i="5"/>
  <c r="N58" i="5"/>
  <c r="N67" i="5"/>
  <c r="S145" i="5"/>
  <c r="N145" i="5"/>
  <c r="N142" i="5"/>
  <c r="M17" i="5"/>
  <c r="N38" i="5"/>
  <c r="S40" i="5"/>
  <c r="S46" i="5"/>
  <c r="S48" i="5"/>
  <c r="N50" i="5"/>
  <c r="N62" i="5"/>
  <c r="S78" i="5"/>
  <c r="C89" i="5"/>
  <c r="AF473" i="5" s="1"/>
  <c r="M94" i="5"/>
  <c r="K96" i="5"/>
  <c r="E99" i="5"/>
  <c r="L136" i="5"/>
  <c r="S124" i="5"/>
  <c r="S131" i="5"/>
  <c r="S149" i="5"/>
  <c r="N162" i="5"/>
  <c r="N222" i="5"/>
  <c r="N280" i="5"/>
  <c r="R296" i="5"/>
  <c r="P296" i="5"/>
  <c r="S80" i="5"/>
  <c r="K94" i="5"/>
  <c r="N10" i="5"/>
  <c r="E11" i="5"/>
  <c r="P6" i="5"/>
  <c r="M9" i="5"/>
  <c r="M10" i="5"/>
  <c r="R10" i="5"/>
  <c r="E12" i="5"/>
  <c r="K17" i="5"/>
  <c r="N55" i="5"/>
  <c r="N64" i="5"/>
  <c r="AL449" i="5"/>
  <c r="N68" i="5"/>
  <c r="S76" i="5"/>
  <c r="S79" i="5"/>
  <c r="N79" i="5"/>
  <c r="N96" i="5"/>
  <c r="S115" i="5"/>
  <c r="N119" i="5"/>
  <c r="S119" i="5"/>
  <c r="N124" i="5"/>
  <c r="S146" i="5"/>
  <c r="N173" i="5"/>
  <c r="S222" i="5"/>
  <c r="N228" i="5"/>
  <c r="M302" i="5"/>
  <c r="K302" i="5"/>
  <c r="N101" i="5"/>
  <c r="E119" i="5"/>
  <c r="K298" i="5"/>
  <c r="S298" i="5"/>
  <c r="N298" i="5"/>
  <c r="L305" i="5"/>
  <c r="K305" i="5" s="1"/>
  <c r="D53" i="5"/>
  <c r="M7" i="5"/>
  <c r="N15" i="5"/>
  <c r="N80" i="5"/>
  <c r="N52" i="5"/>
  <c r="S57" i="5"/>
  <c r="AF450" i="5"/>
  <c r="M96" i="5"/>
  <c r="O97" i="5"/>
  <c r="P115" i="5" s="1"/>
  <c r="S99" i="5"/>
  <c r="S104" i="5"/>
  <c r="N104" i="5"/>
  <c r="S117" i="5"/>
  <c r="R182" i="5"/>
  <c r="Q211" i="5"/>
  <c r="S214" i="5"/>
  <c r="S217" i="5"/>
  <c r="N217" i="5"/>
  <c r="S228" i="5"/>
  <c r="S277" i="5"/>
  <c r="E302" i="5"/>
  <c r="R101" i="5"/>
  <c r="C169" i="5"/>
  <c r="J97" i="5"/>
  <c r="W163" i="5" s="1"/>
  <c r="R7" i="5"/>
  <c r="S15" i="5"/>
  <c r="K38" i="5"/>
  <c r="A47" i="5"/>
  <c r="N57" i="5"/>
  <c r="N99" i="5"/>
  <c r="E120" i="5"/>
  <c r="S132" i="5"/>
  <c r="N132" i="5"/>
  <c r="N147" i="5"/>
  <c r="S160" i="5"/>
  <c r="N160" i="5"/>
  <c r="L211" i="5"/>
  <c r="S205" i="5"/>
  <c r="N205" i="5"/>
  <c r="N214" i="5"/>
  <c r="M297" i="5"/>
  <c r="K297" i="5"/>
  <c r="AF477" i="5"/>
  <c r="AF438" i="5"/>
  <c r="AL432" i="5"/>
  <c r="Z431" i="5"/>
  <c r="V403" i="5"/>
  <c r="AF480" i="5"/>
  <c r="Z473" i="5"/>
  <c r="AL413" i="5"/>
  <c r="Z411" i="5"/>
  <c r="AF442" i="5"/>
  <c r="AL415" i="5"/>
  <c r="AF481" i="5"/>
  <c r="AF445" i="5"/>
  <c r="Z443" i="5"/>
  <c r="AL430" i="5"/>
  <c r="AF430" i="5"/>
  <c r="AF425" i="5"/>
  <c r="Z410" i="5"/>
  <c r="C237" i="5"/>
  <c r="AL439" i="5" s="1"/>
  <c r="AF475" i="5"/>
  <c r="AF439" i="5"/>
  <c r="C292" i="5"/>
  <c r="C357" i="5" s="1"/>
  <c r="AF432" i="5"/>
  <c r="AF413" i="5"/>
  <c r="AF410" i="5"/>
  <c r="V486" i="5"/>
  <c r="A486" i="5" s="1"/>
  <c r="AF471" i="5"/>
  <c r="AL435" i="5"/>
  <c r="AL424" i="5"/>
  <c r="AF448" i="5"/>
  <c r="S6" i="5"/>
  <c r="L13" i="5"/>
  <c r="L27" i="5" s="1"/>
  <c r="A42" i="5"/>
  <c r="AF422" i="5"/>
  <c r="E121" i="5"/>
  <c r="E10" i="5"/>
  <c r="M101" i="5"/>
  <c r="S23" i="5"/>
  <c r="S147" i="5"/>
  <c r="S278" i="5"/>
  <c r="S332" i="5"/>
  <c r="L350" i="5"/>
  <c r="N332" i="5"/>
  <c r="M15" i="5"/>
  <c r="N265" i="5"/>
  <c r="N302" i="5"/>
  <c r="J310" i="5"/>
  <c r="S357" i="5"/>
  <c r="S237" i="5"/>
  <c r="S292" i="5"/>
  <c r="AO403" i="5"/>
  <c r="AO486" i="5"/>
  <c r="S169" i="5"/>
  <c r="K15" i="5"/>
  <c r="N7" i="5"/>
  <c r="N121" i="5"/>
  <c r="N134" i="5"/>
  <c r="E6" i="5"/>
  <c r="S12" i="5"/>
  <c r="N12" i="5"/>
  <c r="S52" i="5"/>
  <c r="S94" i="5"/>
  <c r="S105" i="5"/>
  <c r="S125" i="5"/>
  <c r="S144" i="5"/>
  <c r="N144" i="5"/>
  <c r="M179" i="5"/>
  <c r="Q180" i="5"/>
  <c r="R179" i="5"/>
  <c r="F230" i="5"/>
  <c r="N278" i="5"/>
  <c r="N348" i="5"/>
  <c r="S348" i="5"/>
  <c r="S203" i="5"/>
  <c r="N203" i="5"/>
  <c r="S206" i="5"/>
  <c r="N206" i="5"/>
  <c r="S220" i="5"/>
  <c r="N220" i="5"/>
  <c r="N269" i="5"/>
  <c r="S269" i="5"/>
  <c r="L286" i="5"/>
  <c r="F331" i="5"/>
  <c r="S345" i="5"/>
  <c r="Z448" i="5"/>
  <c r="S367" i="5"/>
  <c r="L378" i="5"/>
  <c r="AN460" i="5"/>
  <c r="AO460" i="5" s="1"/>
  <c r="Q136" i="5"/>
  <c r="N130" i="5"/>
  <c r="S140" i="5"/>
  <c r="S151" i="5"/>
  <c r="P286" i="5"/>
  <c r="P288" i="5"/>
  <c r="S246" i="5"/>
  <c r="Q251" i="5"/>
  <c r="Q246" i="5"/>
  <c r="P267" i="5"/>
  <c r="N319" i="5"/>
  <c r="N325" i="5"/>
  <c r="P94" i="5"/>
  <c r="F97" i="5"/>
  <c r="F109" i="5" s="1"/>
  <c r="N114" i="5"/>
  <c r="L123" i="5"/>
  <c r="S130" i="5"/>
  <c r="N140" i="5"/>
  <c r="N143" i="5"/>
  <c r="S143" i="5"/>
  <c r="N149" i="5"/>
  <c r="L154" i="5"/>
  <c r="Q164" i="5"/>
  <c r="S226" i="5"/>
  <c r="N226" i="5"/>
  <c r="N273" i="5"/>
  <c r="K299" i="5"/>
  <c r="M299" i="5"/>
  <c r="N335" i="5"/>
  <c r="Q396" i="5"/>
  <c r="S158" i="5"/>
  <c r="N158" i="5"/>
  <c r="L164" i="5"/>
  <c r="S245" i="5"/>
  <c r="E304" i="5"/>
  <c r="S304" i="5"/>
  <c r="N308" i="5"/>
  <c r="S308" i="5"/>
  <c r="M308" i="5"/>
  <c r="S342" i="5"/>
  <c r="N342" i="5"/>
  <c r="M189" i="5"/>
  <c r="L190" i="5"/>
  <c r="S201" i="5"/>
  <c r="N201" i="5"/>
  <c r="S224" i="5"/>
  <c r="N224" i="5"/>
  <c r="N282" i="5"/>
  <c r="K195" i="5"/>
  <c r="N259" i="5"/>
  <c r="S259" i="5"/>
  <c r="N299" i="5"/>
  <c r="P301" i="5"/>
  <c r="Q331" i="5"/>
  <c r="S319" i="5"/>
  <c r="S327" i="5"/>
  <c r="AI460" i="5"/>
  <c r="AH460" i="5"/>
  <c r="S134" i="5"/>
  <c r="N141" i="5"/>
  <c r="S163" i="5"/>
  <c r="S189" i="5"/>
  <c r="Q193" i="5"/>
  <c r="S208" i="5"/>
  <c r="S215" i="5"/>
  <c r="N215" i="5"/>
  <c r="K288" i="5"/>
  <c r="S265" i="5"/>
  <c r="S273" i="5"/>
  <c r="S299" i="5"/>
  <c r="N301" i="5"/>
  <c r="S313" i="5"/>
  <c r="R313" i="5" s="1"/>
  <c r="P313" i="5"/>
  <c r="S161" i="5"/>
  <c r="Q243" i="5"/>
  <c r="K267" i="5"/>
  <c r="N245" i="5"/>
  <c r="N246" i="5" s="1"/>
  <c r="E251" i="5"/>
  <c r="S263" i="5"/>
  <c r="N297" i="5"/>
  <c r="S297" i="5"/>
  <c r="E300" i="5"/>
  <c r="S300" i="5"/>
  <c r="N303" i="5"/>
  <c r="S303" i="5"/>
  <c r="D363" i="5"/>
  <c r="E363" i="5" s="1"/>
  <c r="S103" i="5"/>
  <c r="N161" i="5"/>
  <c r="N185" i="5"/>
  <c r="N189" i="5"/>
  <c r="F193" i="5"/>
  <c r="S213" i="5"/>
  <c r="S260" i="5"/>
  <c r="N263" i="5"/>
  <c r="N268" i="5"/>
  <c r="E303" i="5"/>
  <c r="AH456" i="5"/>
  <c r="AI456" i="5" s="1"/>
  <c r="N103" i="5"/>
  <c r="S141" i="5"/>
  <c r="S185" i="5"/>
  <c r="N213" i="5"/>
  <c r="L230" i="5"/>
  <c r="S242" i="5"/>
  <c r="S243" i="5" s="1"/>
  <c r="N248" i="5"/>
  <c r="N249" i="5"/>
  <c r="L249" i="5"/>
  <c r="L251" i="5"/>
  <c r="Q286" i="5"/>
  <c r="N276" i="5"/>
  <c r="S276" i="5"/>
  <c r="N284" i="5"/>
  <c r="K296" i="5"/>
  <c r="S301" i="5"/>
  <c r="L331" i="5"/>
  <c r="S321" i="5"/>
  <c r="S334" i="5"/>
  <c r="N346" i="5"/>
  <c r="N146" i="5"/>
  <c r="M173" i="5"/>
  <c r="S258" i="5"/>
  <c r="S261" i="5"/>
  <c r="S271" i="5"/>
  <c r="R301" i="5"/>
  <c r="S337" i="5"/>
  <c r="K361" i="5"/>
  <c r="J363" i="5"/>
  <c r="K363" i="5" s="1"/>
  <c r="L396" i="5"/>
  <c r="K396" i="5" s="1"/>
  <c r="S380" i="5"/>
  <c r="AI421" i="5"/>
  <c r="AR493" i="5"/>
  <c r="AN493" i="5"/>
  <c r="AH493" i="5"/>
  <c r="S173" i="5"/>
  <c r="S179" i="5"/>
  <c r="N300" i="5"/>
  <c r="S302" i="5"/>
  <c r="S333" i="5"/>
  <c r="AN421" i="5"/>
  <c r="AO421" i="5" s="1"/>
  <c r="AO475" i="5"/>
  <c r="N163" i="5"/>
  <c r="R309" i="5"/>
  <c r="N324" i="5"/>
  <c r="S375" i="5"/>
  <c r="AN454" i="5"/>
  <c r="AO454" i="5" s="1"/>
  <c r="AO494" i="5"/>
  <c r="AI494" i="5"/>
  <c r="S219" i="5"/>
  <c r="AT475" i="5"/>
  <c r="AN494" i="5"/>
  <c r="AH494" i="5"/>
  <c r="L174" i="5"/>
  <c r="L180" i="5"/>
  <c r="N219" i="5"/>
  <c r="N270" i="5"/>
  <c r="S272" i="5"/>
  <c r="N322" i="5"/>
  <c r="S324" i="5"/>
  <c r="S338" i="5"/>
  <c r="AR494" i="5"/>
  <c r="S212" i="5"/>
  <c r="S268" i="5"/>
  <c r="S336" i="5"/>
  <c r="S384" i="5"/>
  <c r="S309" i="5"/>
  <c r="N345" i="5"/>
  <c r="S381" i="5"/>
  <c r="N334" i="5"/>
  <c r="N343" i="5"/>
  <c r="S368" i="5"/>
  <c r="AN459" i="5"/>
  <c r="AO459" i="5" s="1"/>
  <c r="AN478" i="5"/>
  <c r="AO478" i="5" s="1"/>
  <c r="S341" i="5"/>
  <c r="N341" i="5"/>
  <c r="S379" i="5"/>
  <c r="AN455" i="5"/>
  <c r="AO455" i="5" s="1"/>
  <c r="AH459" i="5"/>
  <c r="AI459" i="5" s="1"/>
  <c r="S339" i="5"/>
  <c r="S369" i="5"/>
  <c r="S387" i="5"/>
  <c r="AO495" i="5"/>
  <c r="S343" i="5"/>
  <c r="AN456" i="5"/>
  <c r="AO456" i="5" s="1"/>
  <c r="AH478" i="5"/>
  <c r="AI478" i="5" s="1"/>
  <c r="S377" i="5"/>
  <c r="AN462" i="5"/>
  <c r="S373" i="5"/>
  <c r="AN496" i="5"/>
  <c r="AH455" i="5"/>
  <c r="AI455" i="5" s="1"/>
  <c r="AH458" i="5"/>
  <c r="AI458" i="5" s="1"/>
  <c r="N67" i="15"/>
  <c r="S67" i="15"/>
  <c r="Q183" i="15"/>
  <c r="S182" i="15"/>
  <c r="S122" i="15"/>
  <c r="L24" i="15"/>
  <c r="S57" i="15"/>
  <c r="N57" i="15"/>
  <c r="N62" i="15"/>
  <c r="S62" i="15"/>
  <c r="S116" i="15"/>
  <c r="S51" i="15"/>
  <c r="N48" i="15"/>
  <c r="S48" i="15"/>
  <c r="N36" i="15"/>
  <c r="L54" i="15"/>
  <c r="S146" i="15"/>
  <c r="F97" i="15"/>
  <c r="N118" i="15"/>
  <c r="J305" i="15"/>
  <c r="K296" i="15"/>
  <c r="N298" i="15"/>
  <c r="Z419" i="15"/>
  <c r="N126" i="15"/>
  <c r="S126" i="15"/>
  <c r="S94" i="15"/>
  <c r="J97" i="15"/>
  <c r="S157" i="15"/>
  <c r="N163" i="15"/>
  <c r="S222" i="15"/>
  <c r="N222" i="15"/>
  <c r="L305" i="15"/>
  <c r="AN459" i="15"/>
  <c r="AO459" i="15" s="1"/>
  <c r="AH459" i="15"/>
  <c r="N134" i="15"/>
  <c r="F251" i="15"/>
  <c r="N245" i="15"/>
  <c r="N246" i="15" s="1"/>
  <c r="F246" i="15"/>
  <c r="S324" i="15"/>
  <c r="N324" i="15"/>
  <c r="R8" i="15"/>
  <c r="E15" i="15"/>
  <c r="S21" i="15"/>
  <c r="N56" i="15"/>
  <c r="N159" i="15"/>
  <c r="N242" i="15"/>
  <c r="N243" i="15" s="1"/>
  <c r="L243" i="15"/>
  <c r="S242" i="15"/>
  <c r="S243" i="15" s="1"/>
  <c r="E12" i="15"/>
  <c r="M15" i="15"/>
  <c r="N52" i="15"/>
  <c r="S95" i="15"/>
  <c r="N95" i="15"/>
  <c r="R101" i="15"/>
  <c r="S128" i="15"/>
  <c r="N146" i="15"/>
  <c r="S159" i="15"/>
  <c r="K195" i="15"/>
  <c r="N209" i="15"/>
  <c r="N15" i="15"/>
  <c r="N23" i="15"/>
  <c r="S50" i="15"/>
  <c r="N50" i="15"/>
  <c r="S52" i="15"/>
  <c r="N64" i="15"/>
  <c r="N79" i="15"/>
  <c r="S81" i="15"/>
  <c r="S64" i="15"/>
  <c r="S71" i="15"/>
  <c r="M11" i="15"/>
  <c r="S23" i="15"/>
  <c r="N44" i="15"/>
  <c r="Z443" i="15"/>
  <c r="S69" i="15"/>
  <c r="F106" i="15"/>
  <c r="N106" i="15" s="1"/>
  <c r="N107" i="15" s="1"/>
  <c r="F136" i="15"/>
  <c r="N144" i="15"/>
  <c r="N275" i="15"/>
  <c r="E309" i="15"/>
  <c r="AL436" i="15"/>
  <c r="S152" i="15"/>
  <c r="A99" i="15"/>
  <c r="AL413" i="15"/>
  <c r="S36" i="15"/>
  <c r="N39" i="15"/>
  <c r="K95" i="15"/>
  <c r="S137" i="15"/>
  <c r="S227" i="15"/>
  <c r="N227" i="15"/>
  <c r="S59" i="15"/>
  <c r="N59" i="15"/>
  <c r="S61" i="15"/>
  <c r="K9" i="15"/>
  <c r="K94" i="15"/>
  <c r="R94" i="15"/>
  <c r="E9" i="15"/>
  <c r="AF428" i="15"/>
  <c r="A5" i="15"/>
  <c r="D53" i="15"/>
  <c r="S10" i="15"/>
  <c r="A22" i="15"/>
  <c r="A37" i="15"/>
  <c r="A42" i="15"/>
  <c r="AL418" i="15"/>
  <c r="S75" i="15"/>
  <c r="F83" i="15"/>
  <c r="N94" i="15"/>
  <c r="P96" i="15"/>
  <c r="S96" i="15"/>
  <c r="L97" i="15"/>
  <c r="N105" i="15"/>
  <c r="S105" i="15"/>
  <c r="F123" i="15"/>
  <c r="N113" i="15"/>
  <c r="L136" i="15"/>
  <c r="S124" i="15"/>
  <c r="N142" i="15"/>
  <c r="N228" i="15"/>
  <c r="R303" i="15"/>
  <c r="P303" i="15"/>
  <c r="E17" i="15"/>
  <c r="N47" i="15"/>
  <c r="R12" i="15"/>
  <c r="K12" i="15"/>
  <c r="S142" i="15"/>
  <c r="M176" i="15"/>
  <c r="N53" i="15"/>
  <c r="S70" i="15"/>
  <c r="N75" i="15"/>
  <c r="S115" i="15"/>
  <c r="N130" i="15"/>
  <c r="S151" i="15"/>
  <c r="N151" i="15"/>
  <c r="L154" i="15"/>
  <c r="N301" i="15"/>
  <c r="K309" i="15"/>
  <c r="M309" i="15"/>
  <c r="R363" i="15"/>
  <c r="P363" i="15"/>
  <c r="N96" i="15"/>
  <c r="A66" i="15"/>
  <c r="S131" i="15"/>
  <c r="N131" i="15"/>
  <c r="AL451" i="15"/>
  <c r="AO451" i="15" s="1"/>
  <c r="S40" i="15"/>
  <c r="S65" i="15"/>
  <c r="S80" i="15"/>
  <c r="Q97" i="15"/>
  <c r="K8" i="15"/>
  <c r="S15" i="15"/>
  <c r="S33" i="15"/>
  <c r="N40" i="15"/>
  <c r="A45" i="15"/>
  <c r="Z431" i="15"/>
  <c r="S53" i="15"/>
  <c r="N65" i="15"/>
  <c r="N70" i="15"/>
  <c r="S78" i="15"/>
  <c r="N78" i="15"/>
  <c r="N80" i="15"/>
  <c r="S113" i="15"/>
  <c r="N115" i="15"/>
  <c r="S118" i="15"/>
  <c r="N148" i="15"/>
  <c r="S148" i="15"/>
  <c r="M173" i="15"/>
  <c r="K299" i="15"/>
  <c r="N348" i="15"/>
  <c r="S348" i="15"/>
  <c r="S372" i="15"/>
  <c r="S390" i="15"/>
  <c r="S43" i="15"/>
  <c r="R297" i="15"/>
  <c r="P297" i="15"/>
  <c r="P299" i="15"/>
  <c r="R299" i="15"/>
  <c r="S35" i="15"/>
  <c r="N21" i="15"/>
  <c r="A7" i="15"/>
  <c r="L72" i="15"/>
  <c r="N117" i="15"/>
  <c r="N35" i="15"/>
  <c r="N55" i="15"/>
  <c r="A6" i="15"/>
  <c r="N8" i="15"/>
  <c r="N33" i="15"/>
  <c r="S55" i="15"/>
  <c r="K96" i="15"/>
  <c r="R96" i="15"/>
  <c r="M96" i="15"/>
  <c r="N101" i="15"/>
  <c r="S140" i="15"/>
  <c r="N140" i="15"/>
  <c r="S161" i="15"/>
  <c r="S255" i="15"/>
  <c r="N258" i="15"/>
  <c r="AH478" i="15"/>
  <c r="AI478" i="15" s="1"/>
  <c r="K175" i="15"/>
  <c r="S217" i="15"/>
  <c r="N217" i="15"/>
  <c r="N264" i="15"/>
  <c r="S282" i="15"/>
  <c r="N282" i="15"/>
  <c r="N319" i="15"/>
  <c r="L331" i="15"/>
  <c r="S319" i="15"/>
  <c r="N349" i="15"/>
  <c r="K15" i="15"/>
  <c r="K101" i="15"/>
  <c r="J113" i="15"/>
  <c r="L123" i="15"/>
  <c r="N114" i="15"/>
  <c r="N152" i="15"/>
  <c r="S173" i="15"/>
  <c r="N173" i="15"/>
  <c r="L186" i="15"/>
  <c r="M182" i="15"/>
  <c r="R182" i="15"/>
  <c r="M298" i="15"/>
  <c r="K298" i="15"/>
  <c r="N138" i="15"/>
  <c r="Q154" i="15"/>
  <c r="S224" i="15"/>
  <c r="N224" i="15"/>
  <c r="S129" i="15"/>
  <c r="S150" i="15"/>
  <c r="L164" i="15"/>
  <c r="S229" i="15"/>
  <c r="N229" i="15"/>
  <c r="R304" i="15"/>
  <c r="P304" i="15"/>
  <c r="N346" i="15"/>
  <c r="S346" i="15"/>
  <c r="S120" i="15"/>
  <c r="S82" i="15"/>
  <c r="N145" i="15"/>
  <c r="W160" i="15"/>
  <c r="L174" i="15"/>
  <c r="Q177" i="15"/>
  <c r="S185" i="15"/>
  <c r="N185" i="15"/>
  <c r="N269" i="15"/>
  <c r="V163" i="15"/>
  <c r="W163" i="15" s="1"/>
  <c r="S163" i="15"/>
  <c r="Q211" i="15"/>
  <c r="Q331" i="15"/>
  <c r="S345" i="15"/>
  <c r="AF471" i="15"/>
  <c r="AT471" i="15" s="1"/>
  <c r="Z418" i="15"/>
  <c r="Z437" i="15"/>
  <c r="AF476" i="15"/>
  <c r="AT476" i="15" s="1"/>
  <c r="Z415" i="15"/>
  <c r="V486" i="15"/>
  <c r="A486" i="15" s="1"/>
  <c r="AF422" i="15"/>
  <c r="V403" i="15"/>
  <c r="C292" i="15"/>
  <c r="C357" i="15" s="1"/>
  <c r="C169" i="15"/>
  <c r="Z441" i="15"/>
  <c r="AI441" i="15" s="1"/>
  <c r="AF439" i="15"/>
  <c r="Z432" i="15"/>
  <c r="Z451" i="15"/>
  <c r="AI451" i="15" s="1"/>
  <c r="Z445" i="15"/>
  <c r="AF432" i="15"/>
  <c r="Z429" i="15"/>
  <c r="C237" i="15"/>
  <c r="Z444" i="15"/>
  <c r="C89" i="15"/>
  <c r="Z442" i="15" s="1"/>
  <c r="Z474" i="15"/>
  <c r="N120" i="15"/>
  <c r="S138" i="15"/>
  <c r="S207" i="15"/>
  <c r="N207" i="15"/>
  <c r="AO486" i="15"/>
  <c r="AO403" i="15"/>
  <c r="S237" i="15"/>
  <c r="S357" i="15"/>
  <c r="S169" i="15"/>
  <c r="S292" i="15"/>
  <c r="N10" i="15"/>
  <c r="M95" i="15"/>
  <c r="R95" i="15"/>
  <c r="S117" i="15"/>
  <c r="S132" i="15"/>
  <c r="N150" i="15"/>
  <c r="S269" i="15"/>
  <c r="N277" i="15"/>
  <c r="M301" i="15"/>
  <c r="K301" i="15"/>
  <c r="L378" i="15"/>
  <c r="S300" i="15"/>
  <c r="AH457" i="15"/>
  <c r="AN457" i="15"/>
  <c r="P178" i="15"/>
  <c r="N212" i="15"/>
  <c r="S212" i="15"/>
  <c r="N220" i="15"/>
  <c r="S220" i="15"/>
  <c r="S264" i="15"/>
  <c r="S298" i="15"/>
  <c r="E300" i="15"/>
  <c r="S320" i="15"/>
  <c r="N320" i="15"/>
  <c r="S133" i="15"/>
  <c r="Q180" i="15"/>
  <c r="S203" i="15"/>
  <c r="N203" i="15"/>
  <c r="L251" i="15"/>
  <c r="N268" i="15"/>
  <c r="S284" i="15"/>
  <c r="N302" i="15"/>
  <c r="E302" i="15"/>
  <c r="S376" i="15"/>
  <c r="AH470" i="15"/>
  <c r="AI470" i="15" s="1"/>
  <c r="AN470" i="15"/>
  <c r="AO470" i="15" s="1"/>
  <c r="AI493" i="15"/>
  <c r="AH493" i="15"/>
  <c r="S162" i="15"/>
  <c r="N162" i="15"/>
  <c r="M189" i="15"/>
  <c r="N201" i="15"/>
  <c r="Q230" i="15"/>
  <c r="S215" i="15"/>
  <c r="N215" i="15"/>
  <c r="L230" i="15"/>
  <c r="Q267" i="15"/>
  <c r="N262" i="15"/>
  <c r="K297" i="15"/>
  <c r="M297" i="15"/>
  <c r="K300" i="15"/>
  <c r="K308" i="15"/>
  <c r="M308" i="15"/>
  <c r="S370" i="15"/>
  <c r="AO454" i="15"/>
  <c r="N176" i="15"/>
  <c r="S176" i="15"/>
  <c r="L211" i="15"/>
  <c r="S201" i="15"/>
  <c r="L288" i="15"/>
  <c r="L350" i="15"/>
  <c r="S340" i="15"/>
  <c r="N340" i="15"/>
  <c r="S343" i="15"/>
  <c r="S381" i="15"/>
  <c r="S385" i="15"/>
  <c r="AN454" i="15"/>
  <c r="S139" i="15"/>
  <c r="S143" i="15"/>
  <c r="N158" i="15"/>
  <c r="N199" i="15"/>
  <c r="S213" i="15"/>
  <c r="N213" i="15"/>
  <c r="N255" i="15"/>
  <c r="S268" i="15"/>
  <c r="N279" i="15"/>
  <c r="N300" i="15"/>
  <c r="R308" i="15"/>
  <c r="S329" i="15"/>
  <c r="N329" i="15"/>
  <c r="N332" i="15"/>
  <c r="N343" i="15"/>
  <c r="AI459" i="15"/>
  <c r="S205" i="15"/>
  <c r="N273" i="15"/>
  <c r="K288" i="15"/>
  <c r="S297" i="15"/>
  <c r="E308" i="15"/>
  <c r="S335" i="15"/>
  <c r="N335" i="15"/>
  <c r="AL479" i="15"/>
  <c r="AO479" i="15" s="1"/>
  <c r="F363" i="15"/>
  <c r="S375" i="15"/>
  <c r="S382" i="15"/>
  <c r="AO421" i="15"/>
  <c r="S262" i="15"/>
  <c r="N309" i="15"/>
  <c r="N347" i="15"/>
  <c r="S218" i="15"/>
  <c r="S285" i="15"/>
  <c r="N285" i="15"/>
  <c r="S308" i="15"/>
  <c r="N344" i="15"/>
  <c r="S344" i="15"/>
  <c r="L396" i="15"/>
  <c r="K396" i="15" s="1"/>
  <c r="N182" i="15"/>
  <c r="L183" i="15"/>
  <c r="N216" i="15"/>
  <c r="N218" i="15"/>
  <c r="S274" i="15"/>
  <c r="N274" i="15"/>
  <c r="S278" i="15"/>
  <c r="S280" i="15"/>
  <c r="E301" i="15"/>
  <c r="S304" i="15"/>
  <c r="S309" i="15"/>
  <c r="S339" i="15"/>
  <c r="N339" i="15"/>
  <c r="S341" i="15"/>
  <c r="S392" i="15"/>
  <c r="AN462" i="15"/>
  <c r="AT478" i="15"/>
  <c r="S216" i="15"/>
  <c r="E251" i="15"/>
  <c r="M302" i="15"/>
  <c r="K302" i="15"/>
  <c r="N308" i="15"/>
  <c r="N345" i="15"/>
  <c r="S388" i="15"/>
  <c r="AH462" i="15"/>
  <c r="AO494" i="15"/>
  <c r="AI494" i="15"/>
  <c r="S389" i="15"/>
  <c r="AO455" i="15"/>
  <c r="AN455" i="15"/>
  <c r="S266" i="15"/>
  <c r="N266" i="15"/>
  <c r="S283" i="15"/>
  <c r="N283" i="15"/>
  <c r="S322" i="15"/>
  <c r="N322" i="15"/>
  <c r="P361" i="15"/>
  <c r="Q363" i="15"/>
  <c r="S368" i="15"/>
  <c r="P251" i="15"/>
  <c r="N304" i="15"/>
  <c r="S374" i="15"/>
  <c r="S393" i="15"/>
  <c r="AI421" i="15"/>
  <c r="AO461" i="15"/>
  <c r="S380" i="15"/>
  <c r="AI456" i="15"/>
  <c r="AI461" i="15"/>
  <c r="AH492" i="15"/>
  <c r="Q243" i="15"/>
  <c r="S303" i="15"/>
  <c r="S325" i="15"/>
  <c r="S377" i="15"/>
  <c r="S313" i="15"/>
  <c r="R313" i="15" s="1"/>
  <c r="S333" i="15"/>
  <c r="AR497" i="15"/>
  <c r="AN497" i="15"/>
  <c r="AO497" i="15" s="1"/>
  <c r="AH497" i="15"/>
  <c r="AN478" i="15"/>
  <c r="AN493" i="15"/>
  <c r="AH495" i="15"/>
  <c r="AN456" i="15"/>
  <c r="AO456" i="15" s="1"/>
  <c r="AH456" i="15"/>
  <c r="S383" i="15"/>
  <c r="S391" i="15"/>
  <c r="AH454" i="15"/>
  <c r="AO460" i="15"/>
  <c r="AH473" i="5" l="1"/>
  <c r="AI473" i="5" s="1"/>
  <c r="AT473" i="5"/>
  <c r="F72" i="5"/>
  <c r="Z417" i="5"/>
  <c r="AH417" i="5" s="1"/>
  <c r="AE417" i="5"/>
  <c r="AL466" i="5"/>
  <c r="K23" i="5"/>
  <c r="R23" i="5" s="1"/>
  <c r="K21" i="5"/>
  <c r="R21" i="5" s="1"/>
  <c r="K13" i="5"/>
  <c r="J27" i="5"/>
  <c r="K22" i="5"/>
  <c r="R22" i="5" s="1"/>
  <c r="J24" i="5"/>
  <c r="AI410" i="5"/>
  <c r="AH477" i="5"/>
  <c r="AI477" i="5" s="1"/>
  <c r="L74" i="5"/>
  <c r="L85" i="5" s="1"/>
  <c r="K41" i="5"/>
  <c r="AI492" i="5"/>
  <c r="L290" i="5"/>
  <c r="S251" i="5"/>
  <c r="N251" i="5"/>
  <c r="N252" i="5" s="1"/>
  <c r="F180" i="5"/>
  <c r="N180" i="5" s="1"/>
  <c r="AN432" i="5"/>
  <c r="AO432" i="5" s="1"/>
  <c r="N179" i="5"/>
  <c r="F136" i="5"/>
  <c r="E136" i="5" s="1"/>
  <c r="Q41" i="5"/>
  <c r="S41" i="5" s="1"/>
  <c r="P116" i="5"/>
  <c r="K123" i="5"/>
  <c r="L156" i="5"/>
  <c r="AH448" i="5"/>
  <c r="AI448" i="5" s="1"/>
  <c r="N8" i="5"/>
  <c r="N13" i="5" s="1"/>
  <c r="S8" i="5"/>
  <c r="D32" i="5"/>
  <c r="S286" i="5"/>
  <c r="AL414" i="5"/>
  <c r="AF429" i="5"/>
  <c r="S182" i="5"/>
  <c r="Q183" i="5"/>
  <c r="P15" i="5"/>
  <c r="F177" i="5"/>
  <c r="N176" i="5"/>
  <c r="AL448" i="5"/>
  <c r="AN448" i="5" s="1"/>
  <c r="AL416" i="5"/>
  <c r="AL476" i="5"/>
  <c r="AO476" i="5" s="1"/>
  <c r="S107" i="5"/>
  <c r="P101" i="5"/>
  <c r="AH462" i="5"/>
  <c r="AI462" i="5"/>
  <c r="R297" i="5"/>
  <c r="P297" i="5"/>
  <c r="Q305" i="5"/>
  <c r="F164" i="5"/>
  <c r="Z415" i="5"/>
  <c r="Z474" i="5"/>
  <c r="Z439" i="5"/>
  <c r="AF452" i="5"/>
  <c r="Z449" i="5"/>
  <c r="AL431" i="5"/>
  <c r="Z444" i="5"/>
  <c r="AF437" i="5"/>
  <c r="P184" i="5"/>
  <c r="P117" i="5"/>
  <c r="Q154" i="5"/>
  <c r="S137" i="5"/>
  <c r="D186" i="5"/>
  <c r="S34" i="5"/>
  <c r="L196" i="5"/>
  <c r="P361" i="5"/>
  <c r="S361" i="5"/>
  <c r="Q363" i="5"/>
  <c r="N66" i="5"/>
  <c r="S66" i="5"/>
  <c r="Q378" i="5"/>
  <c r="S378" i="5" s="1"/>
  <c r="AF440" i="5"/>
  <c r="P119" i="5"/>
  <c r="Q174" i="5"/>
  <c r="Q186" i="5"/>
  <c r="E94" i="5"/>
  <c r="AT477" i="5"/>
  <c r="AF423" i="5"/>
  <c r="AF416" i="5"/>
  <c r="AL436" i="5"/>
  <c r="Z476" i="5"/>
  <c r="AF474" i="5"/>
  <c r="Z416" i="5"/>
  <c r="AF464" i="5"/>
  <c r="Z435" i="5"/>
  <c r="AF411" i="5"/>
  <c r="AL423" i="5"/>
  <c r="AL445" i="5"/>
  <c r="AL438" i="5"/>
  <c r="E114" i="5"/>
  <c r="D114" i="5"/>
  <c r="R11" i="5"/>
  <c r="M11" i="5"/>
  <c r="K11" i="5"/>
  <c r="R302" i="5"/>
  <c r="P302" i="5"/>
  <c r="F183" i="5"/>
  <c r="N182" i="5"/>
  <c r="E117" i="5"/>
  <c r="N117" i="5"/>
  <c r="E175" i="5"/>
  <c r="E186" i="5"/>
  <c r="P113" i="5"/>
  <c r="Q123" i="5"/>
  <c r="O113" i="5"/>
  <c r="S113" i="5"/>
  <c r="Q109" i="5"/>
  <c r="S109" i="5" s="1"/>
  <c r="S164" i="5"/>
  <c r="N32" i="5"/>
  <c r="AN439" i="5"/>
  <c r="AO439" i="5" s="1"/>
  <c r="AH439" i="5"/>
  <c r="K8" i="5"/>
  <c r="Q267" i="5"/>
  <c r="S255" i="5"/>
  <c r="Z432" i="5"/>
  <c r="AH432" i="5" s="1"/>
  <c r="AN475" i="5"/>
  <c r="AH475" i="5"/>
  <c r="AI475" i="5" s="1"/>
  <c r="AO413" i="5"/>
  <c r="AF412" i="5"/>
  <c r="AF420" i="5" s="1"/>
  <c r="AL410" i="5"/>
  <c r="P121" i="5"/>
  <c r="F252" i="5"/>
  <c r="M251" i="5" s="1"/>
  <c r="AI454" i="5"/>
  <c r="AH454" i="5"/>
  <c r="M300" i="5"/>
  <c r="AF441" i="5"/>
  <c r="AL474" i="5"/>
  <c r="AO474" i="5" s="1"/>
  <c r="AF415" i="5"/>
  <c r="L288" i="5"/>
  <c r="P118" i="5"/>
  <c r="Z471" i="5"/>
  <c r="N94" i="5"/>
  <c r="AL471" i="5"/>
  <c r="AF449" i="5"/>
  <c r="AF446" i="5"/>
  <c r="AO462" i="5"/>
  <c r="D305" i="5"/>
  <c r="E297" i="5"/>
  <c r="P309" i="5"/>
  <c r="K230" i="5"/>
  <c r="N230" i="5"/>
  <c r="AH492" i="5"/>
  <c r="N286" i="5"/>
  <c r="R303" i="5"/>
  <c r="P303" i="5"/>
  <c r="F286" i="5"/>
  <c r="E286" i="5" s="1"/>
  <c r="F350" i="5"/>
  <c r="E301" i="5"/>
  <c r="K154" i="5"/>
  <c r="R9" i="5"/>
  <c r="AF428" i="5"/>
  <c r="AF431" i="5"/>
  <c r="AF466" i="5"/>
  <c r="AL443" i="5"/>
  <c r="Z423" i="5"/>
  <c r="AL417" i="5"/>
  <c r="Z437" i="5"/>
  <c r="Z413" i="5"/>
  <c r="AH413" i="5" s="1"/>
  <c r="Z425" i="5"/>
  <c r="AH425" i="5" s="1"/>
  <c r="Z447" i="5"/>
  <c r="P114" i="5"/>
  <c r="O114" i="5"/>
  <c r="O186" i="5"/>
  <c r="R173" i="5"/>
  <c r="F174" i="5"/>
  <c r="F186" i="5"/>
  <c r="S114" i="5"/>
  <c r="D106" i="5"/>
  <c r="E106" i="5" s="1"/>
  <c r="E104" i="5"/>
  <c r="E116" i="5"/>
  <c r="E105" i="5"/>
  <c r="E97" i="5"/>
  <c r="E103" i="5"/>
  <c r="D109" i="5"/>
  <c r="E109" i="5" s="1"/>
  <c r="F123" i="5"/>
  <c r="D113" i="5"/>
  <c r="N113" i="5"/>
  <c r="E113" i="5"/>
  <c r="N24" i="5"/>
  <c r="N25" i="5" s="1"/>
  <c r="S24" i="5"/>
  <c r="S25" i="5" s="1"/>
  <c r="P7" i="5"/>
  <c r="P122" i="5"/>
  <c r="J32" i="5"/>
  <c r="L83" i="5"/>
  <c r="N75" i="5"/>
  <c r="S75" i="5"/>
  <c r="K118" i="5"/>
  <c r="K121" i="5"/>
  <c r="K117" i="5"/>
  <c r="J109" i="5"/>
  <c r="K115" i="5"/>
  <c r="J106" i="5"/>
  <c r="M97" i="5"/>
  <c r="M98" i="5" s="1"/>
  <c r="W160" i="5"/>
  <c r="K120" i="5"/>
  <c r="R97" i="5"/>
  <c r="R98" i="5" s="1"/>
  <c r="K97" i="5"/>
  <c r="K122" i="5"/>
  <c r="K104" i="5"/>
  <c r="R104" i="5" s="1"/>
  <c r="K113" i="5"/>
  <c r="K103" i="5"/>
  <c r="R103" i="5" s="1"/>
  <c r="K119" i="5"/>
  <c r="K105" i="5"/>
  <c r="R105" i="5" s="1"/>
  <c r="K114" i="5"/>
  <c r="K116" i="5"/>
  <c r="N255" i="5"/>
  <c r="F267" i="5"/>
  <c r="Q252" i="5"/>
  <c r="R251" i="5" s="1"/>
  <c r="S252" i="5" s="1"/>
  <c r="AE413" i="5"/>
  <c r="AN413" i="5"/>
  <c r="S176" i="5"/>
  <c r="Q177" i="5"/>
  <c r="AN445" i="5"/>
  <c r="AH438" i="5"/>
  <c r="AI438" i="5" s="1"/>
  <c r="F211" i="5"/>
  <c r="N199" i="5"/>
  <c r="L72" i="5"/>
  <c r="K72" i="5" s="1"/>
  <c r="AN461" i="5"/>
  <c r="AN467" i="5" s="1"/>
  <c r="N313" i="5"/>
  <c r="M313" i="5"/>
  <c r="P396" i="5"/>
  <c r="S70" i="5"/>
  <c r="N70" i="5"/>
  <c r="AL452" i="5"/>
  <c r="AO452" i="5" s="1"/>
  <c r="Z428" i="5"/>
  <c r="AI428" i="5" s="1"/>
  <c r="P178" i="5"/>
  <c r="S121" i="5"/>
  <c r="Z445" i="5"/>
  <c r="Z414" i="5"/>
  <c r="P186" i="5"/>
  <c r="P195" i="5" s="1"/>
  <c r="P175" i="5"/>
  <c r="S331" i="5"/>
  <c r="L352" i="5"/>
  <c r="N331" i="5"/>
  <c r="Z436" i="5"/>
  <c r="AL447" i="5"/>
  <c r="AL442" i="5"/>
  <c r="AN442" i="5" s="1"/>
  <c r="N350" i="5"/>
  <c r="AL444" i="5"/>
  <c r="AL425" i="5"/>
  <c r="AN425" i="5" s="1"/>
  <c r="AF447" i="5"/>
  <c r="Z442" i="5"/>
  <c r="AF414" i="5"/>
  <c r="AL433" i="5"/>
  <c r="AF418" i="5"/>
  <c r="AL440" i="5"/>
  <c r="AL418" i="5"/>
  <c r="AL426" i="5"/>
  <c r="AO426" i="5" s="1"/>
  <c r="Z465" i="5"/>
  <c r="AI465" i="5" s="1"/>
  <c r="AL473" i="5"/>
  <c r="AO473" i="5" s="1"/>
  <c r="S199" i="5"/>
  <c r="N44" i="5"/>
  <c r="S44" i="5"/>
  <c r="K35" i="5"/>
  <c r="S35" i="5"/>
  <c r="N35" i="5"/>
  <c r="N136" i="5"/>
  <c r="K136" i="5"/>
  <c r="S136" i="5"/>
  <c r="S82" i="5"/>
  <c r="Z481" i="5"/>
  <c r="N97" i="5"/>
  <c r="N98" i="5" s="1"/>
  <c r="AH470" i="5"/>
  <c r="AI470" i="5" s="1"/>
  <c r="P300" i="5"/>
  <c r="R300" i="5"/>
  <c r="AH410" i="5"/>
  <c r="AE410" i="5"/>
  <c r="AN410" i="5"/>
  <c r="AH442" i="5"/>
  <c r="S13" i="5"/>
  <c r="AT480" i="5"/>
  <c r="P97" i="5"/>
  <c r="O106" i="5"/>
  <c r="P106" i="5" s="1"/>
  <c r="P104" i="5"/>
  <c r="O109" i="5"/>
  <c r="P105" i="5"/>
  <c r="P103" i="5"/>
  <c r="P120" i="5"/>
  <c r="N71" i="5"/>
  <c r="S71" i="5"/>
  <c r="F13" i="5"/>
  <c r="Q13" i="5"/>
  <c r="O32" i="5"/>
  <c r="S396" i="5"/>
  <c r="P304" i="5"/>
  <c r="R304" i="5"/>
  <c r="J315" i="5"/>
  <c r="AF407" i="5" s="1"/>
  <c r="AT471" i="5"/>
  <c r="Z440" i="5"/>
  <c r="AF465" i="5"/>
  <c r="AF426" i="5"/>
  <c r="F378" i="5"/>
  <c r="AL437" i="5"/>
  <c r="AF435" i="5"/>
  <c r="F396" i="5"/>
  <c r="E396" i="5" s="1"/>
  <c r="S366" i="5"/>
  <c r="Q350" i="5"/>
  <c r="Q352" i="5" s="1"/>
  <c r="P181" i="5"/>
  <c r="L54" i="5"/>
  <c r="K54" i="5" s="1"/>
  <c r="N42" i="5"/>
  <c r="S42" i="5"/>
  <c r="AL477" i="5"/>
  <c r="AO477" i="5" s="1"/>
  <c r="Z429" i="5"/>
  <c r="AL411" i="5"/>
  <c r="AF419" i="5"/>
  <c r="AF443" i="5"/>
  <c r="AF424" i="5"/>
  <c r="AF444" i="5"/>
  <c r="AF472" i="5"/>
  <c r="AF482" i="5" s="1"/>
  <c r="Z477" i="5"/>
  <c r="S211" i="5"/>
  <c r="K211" i="5"/>
  <c r="N211" i="5"/>
  <c r="L232" i="5"/>
  <c r="L234" i="5" s="1"/>
  <c r="O305" i="5"/>
  <c r="N115" i="5"/>
  <c r="E115" i="5"/>
  <c r="V82" i="5"/>
  <c r="N109" i="5"/>
  <c r="N110" i="5" s="1"/>
  <c r="L166" i="5"/>
  <c r="R15" i="5"/>
  <c r="F154" i="5"/>
  <c r="E154" i="5" s="1"/>
  <c r="AN497" i="5"/>
  <c r="AO497" i="5" s="1"/>
  <c r="R308" i="5"/>
  <c r="P308" i="5"/>
  <c r="N164" i="5"/>
  <c r="AT481" i="5"/>
  <c r="AH481" i="5"/>
  <c r="AI481" i="5" s="1"/>
  <c r="AN481" i="5"/>
  <c r="AO481" i="5" s="1"/>
  <c r="E361" i="5"/>
  <c r="F363" i="5"/>
  <c r="Q230" i="5"/>
  <c r="S305" i="5"/>
  <c r="N305" i="5"/>
  <c r="N306" i="5" s="1"/>
  <c r="L310" i="5"/>
  <c r="K310" i="5" s="1"/>
  <c r="P17" i="5"/>
  <c r="R17" i="5"/>
  <c r="D31" i="5"/>
  <c r="F41" i="5"/>
  <c r="AH461" i="5"/>
  <c r="AI461" i="5" s="1"/>
  <c r="AN430" i="5"/>
  <c r="AO430" i="5" s="1"/>
  <c r="AH430" i="5"/>
  <c r="AF427" i="5"/>
  <c r="Z441" i="5"/>
  <c r="AI441" i="5" s="1"/>
  <c r="AN470" i="5"/>
  <c r="AO470" i="5" s="1"/>
  <c r="AI497" i="5"/>
  <c r="AH497" i="5"/>
  <c r="O363" i="5"/>
  <c r="R361" i="5"/>
  <c r="E308" i="5"/>
  <c r="F305" i="5"/>
  <c r="F310" i="5" s="1"/>
  <c r="F315" i="5" s="1"/>
  <c r="E331" i="5" s="1"/>
  <c r="L398" i="5"/>
  <c r="K378" i="5"/>
  <c r="S350" i="5"/>
  <c r="AF479" i="5"/>
  <c r="AL441" i="5"/>
  <c r="AO441" i="5" s="1"/>
  <c r="AF436" i="5"/>
  <c r="Z430" i="5"/>
  <c r="AF476" i="5"/>
  <c r="AL428" i="5"/>
  <c r="AO428" i="5" s="1"/>
  <c r="AL450" i="5"/>
  <c r="AO450" i="5" s="1"/>
  <c r="AF433" i="5"/>
  <c r="AF451" i="5"/>
  <c r="AL429" i="5"/>
  <c r="AL465" i="5"/>
  <c r="J31" i="5"/>
  <c r="K33" i="5"/>
  <c r="N33" i="5"/>
  <c r="S33" i="5"/>
  <c r="AO418" i="15"/>
  <c r="S267" i="15"/>
  <c r="Q232" i="15"/>
  <c r="AI419" i="15"/>
  <c r="AH455" i="15"/>
  <c r="AI455" i="15" s="1"/>
  <c r="Z467" i="15"/>
  <c r="AH439" i="15"/>
  <c r="K17" i="15"/>
  <c r="R17" i="15"/>
  <c r="M17" i="15"/>
  <c r="AF464" i="15"/>
  <c r="AF426" i="15"/>
  <c r="AL438" i="15"/>
  <c r="N99" i="15"/>
  <c r="S99" i="15"/>
  <c r="S364" i="15"/>
  <c r="AF423" i="15"/>
  <c r="AL430" i="15"/>
  <c r="Q396" i="15"/>
  <c r="P396" i="15" s="1"/>
  <c r="F331" i="15"/>
  <c r="E99" i="15"/>
  <c r="N51" i="15"/>
  <c r="S379" i="15"/>
  <c r="S396" i="15" s="1"/>
  <c r="Z438" i="15"/>
  <c r="AL426" i="15"/>
  <c r="AO426" i="15" s="1"/>
  <c r="AF452" i="15"/>
  <c r="AF438" i="15"/>
  <c r="AF433" i="15"/>
  <c r="S66" i="15"/>
  <c r="S103" i="15"/>
  <c r="Q106" i="15"/>
  <c r="F378" i="15"/>
  <c r="AI462" i="15"/>
  <c r="R179" i="15"/>
  <c r="P181" i="15"/>
  <c r="R300" i="15"/>
  <c r="P300" i="15"/>
  <c r="Z464" i="15"/>
  <c r="AI464" i="15" s="1"/>
  <c r="AF418" i="15"/>
  <c r="AL419" i="15"/>
  <c r="AF429" i="15"/>
  <c r="AF427" i="15"/>
  <c r="AF412" i="15"/>
  <c r="AF465" i="15"/>
  <c r="AH465" i="15" s="1"/>
  <c r="Z435" i="15"/>
  <c r="AF450" i="15"/>
  <c r="AL439" i="15"/>
  <c r="Z465" i="15"/>
  <c r="AI465" i="15" s="1"/>
  <c r="AL428" i="15"/>
  <c r="AO428" i="15" s="1"/>
  <c r="AF440" i="15"/>
  <c r="Z452" i="15"/>
  <c r="AI452" i="15" s="1"/>
  <c r="F154" i="15"/>
  <c r="F13" i="15"/>
  <c r="Q13" i="15"/>
  <c r="R15" i="15"/>
  <c r="P15" i="15"/>
  <c r="S22" i="15"/>
  <c r="N22" i="15"/>
  <c r="AI418" i="15"/>
  <c r="L156" i="15"/>
  <c r="K123" i="15"/>
  <c r="N123" i="15"/>
  <c r="S123" i="15"/>
  <c r="R173" i="15"/>
  <c r="O186" i="15"/>
  <c r="AF411" i="15"/>
  <c r="S347" i="15"/>
  <c r="AL450" i="15"/>
  <c r="AO450" i="15" s="1"/>
  <c r="S121" i="15"/>
  <c r="P121" i="15"/>
  <c r="Z412" i="15"/>
  <c r="AL445" i="15"/>
  <c r="AF430" i="15"/>
  <c r="N66" i="15"/>
  <c r="N72" i="15" s="1"/>
  <c r="AL447" i="15"/>
  <c r="Q246" i="15"/>
  <c r="P288" i="15"/>
  <c r="P267" i="15"/>
  <c r="S246" i="15"/>
  <c r="P286" i="15"/>
  <c r="Q251" i="15"/>
  <c r="R302" i="15"/>
  <c r="P302" i="15"/>
  <c r="E95" i="15"/>
  <c r="D97" i="15"/>
  <c r="Z414" i="15"/>
  <c r="Z417" i="15"/>
  <c r="AL432" i="15"/>
  <c r="AF451" i="15"/>
  <c r="R7" i="15"/>
  <c r="M7" i="15"/>
  <c r="K7" i="15"/>
  <c r="R298" i="15"/>
  <c r="P298" i="15"/>
  <c r="Q378" i="15"/>
  <c r="S366" i="15"/>
  <c r="AN494" i="15"/>
  <c r="AO462" i="15"/>
  <c r="Q305" i="15"/>
  <c r="S296" i="15"/>
  <c r="F180" i="15"/>
  <c r="N180" i="15" s="1"/>
  <c r="N179" i="15"/>
  <c r="Z471" i="15"/>
  <c r="Z476" i="15"/>
  <c r="AH476" i="15" s="1"/>
  <c r="AI476" i="15" s="1"/>
  <c r="Z481" i="15"/>
  <c r="AL427" i="15"/>
  <c r="AO427" i="15" s="1"/>
  <c r="Z479" i="15"/>
  <c r="AF475" i="15"/>
  <c r="Z473" i="15"/>
  <c r="AF441" i="15"/>
  <c r="AL452" i="15"/>
  <c r="AO452" i="15" s="1"/>
  <c r="Z448" i="15"/>
  <c r="AF472" i="15"/>
  <c r="Z430" i="15"/>
  <c r="AF443" i="15"/>
  <c r="AL446" i="15"/>
  <c r="M12" i="15"/>
  <c r="S97" i="15"/>
  <c r="S98" i="15" s="1"/>
  <c r="N97" i="15"/>
  <c r="N98" i="15" s="1"/>
  <c r="L109" i="15"/>
  <c r="E298" i="15"/>
  <c r="P184" i="15"/>
  <c r="M6" i="15"/>
  <c r="J13" i="15"/>
  <c r="K6" i="15"/>
  <c r="R6" i="15"/>
  <c r="N350" i="15"/>
  <c r="S211" i="15"/>
  <c r="L232" i="15"/>
  <c r="Q190" i="15"/>
  <c r="S189" i="15"/>
  <c r="L83" i="15"/>
  <c r="S76" i="15"/>
  <c r="S83" i="15" s="1"/>
  <c r="N76" i="15"/>
  <c r="N83" i="15" s="1"/>
  <c r="S363" i="15"/>
  <c r="AF415" i="15"/>
  <c r="AF437" i="15"/>
  <c r="N7" i="15"/>
  <c r="E7" i="15"/>
  <c r="S7" i="15"/>
  <c r="S154" i="15"/>
  <c r="N154" i="15"/>
  <c r="K154" i="15"/>
  <c r="D114" i="15"/>
  <c r="N121" i="15"/>
  <c r="E121" i="15"/>
  <c r="S164" i="15"/>
  <c r="R301" i="15"/>
  <c r="P301" i="15"/>
  <c r="AL415" i="15"/>
  <c r="AL464" i="15"/>
  <c r="AL467" i="15" s="1"/>
  <c r="AF448" i="15"/>
  <c r="Z427" i="15"/>
  <c r="AI427" i="15" s="1"/>
  <c r="D305" i="15"/>
  <c r="E296" i="15"/>
  <c r="Q286" i="15"/>
  <c r="S286" i="15" s="1"/>
  <c r="N286" i="15"/>
  <c r="K378" i="15"/>
  <c r="L398" i="15"/>
  <c r="S378" i="15"/>
  <c r="AF449" i="15"/>
  <c r="AL412" i="15"/>
  <c r="AL440" i="15"/>
  <c r="AL423" i="15"/>
  <c r="AF413" i="15"/>
  <c r="AL417" i="15"/>
  <c r="AL476" i="15"/>
  <c r="AL465" i="15"/>
  <c r="AL414" i="15"/>
  <c r="AF474" i="15"/>
  <c r="AL474" i="15"/>
  <c r="AO474" i="15" s="1"/>
  <c r="AL431" i="15"/>
  <c r="AL444" i="15"/>
  <c r="E119" i="15"/>
  <c r="AI492" i="15"/>
  <c r="Q186" i="15"/>
  <c r="Q174" i="15"/>
  <c r="N9" i="15"/>
  <c r="S9" i="15"/>
  <c r="M9" i="15"/>
  <c r="F164" i="15"/>
  <c r="N157" i="15"/>
  <c r="N164" i="15" s="1"/>
  <c r="S56" i="15"/>
  <c r="S72" i="15" s="1"/>
  <c r="F41" i="15"/>
  <c r="Z410" i="15"/>
  <c r="F252" i="15"/>
  <c r="M251" i="15" s="1"/>
  <c r="K116" i="15"/>
  <c r="M97" i="15"/>
  <c r="M98" i="15" s="1"/>
  <c r="J109" i="15"/>
  <c r="K103" i="15"/>
  <c r="R103" i="15" s="1"/>
  <c r="K119" i="15"/>
  <c r="R97" i="15"/>
  <c r="R98" i="15" s="1"/>
  <c r="K120" i="15"/>
  <c r="K117" i="15"/>
  <c r="K113" i="15"/>
  <c r="K115" i="15"/>
  <c r="J106" i="15"/>
  <c r="K118" i="15"/>
  <c r="K122" i="15"/>
  <c r="K104" i="15"/>
  <c r="R104" i="15" s="1"/>
  <c r="K105" i="15"/>
  <c r="R105" i="15" s="1"/>
  <c r="K97" i="15"/>
  <c r="K114" i="15"/>
  <c r="K121" i="15"/>
  <c r="M296" i="15"/>
  <c r="Q72" i="15"/>
  <c r="J32" i="15"/>
  <c r="N119" i="15"/>
  <c r="AN432" i="15"/>
  <c r="AH432" i="15"/>
  <c r="AI432" i="15" s="1"/>
  <c r="AL424" i="15"/>
  <c r="AL473" i="15"/>
  <c r="AO473" i="15" s="1"/>
  <c r="P9" i="15"/>
  <c r="R9" i="15"/>
  <c r="AF447" i="15"/>
  <c r="AL443" i="15"/>
  <c r="Z413" i="15"/>
  <c r="Z477" i="15"/>
  <c r="F396" i="15"/>
  <c r="E396" i="15" s="1"/>
  <c r="O97" i="15"/>
  <c r="P95" i="15"/>
  <c r="F267" i="15"/>
  <c r="F286" i="15"/>
  <c r="E286" i="15" s="1"/>
  <c r="AL429" i="15"/>
  <c r="AF417" i="15"/>
  <c r="AF419" i="15"/>
  <c r="Z446" i="15"/>
  <c r="F183" i="15"/>
  <c r="AN492" i="15"/>
  <c r="AO492" i="15" s="1"/>
  <c r="P186" i="15"/>
  <c r="P195" i="15" s="1"/>
  <c r="P175" i="15"/>
  <c r="Q136" i="15"/>
  <c r="O31" i="15"/>
  <c r="Q41" i="15"/>
  <c r="AI454" i="15"/>
  <c r="R296" i="15"/>
  <c r="O305" i="15"/>
  <c r="P296" i="15"/>
  <c r="S230" i="15"/>
  <c r="S245" i="15"/>
  <c r="AL449" i="15"/>
  <c r="AF481" i="15"/>
  <c r="AL410" i="15"/>
  <c r="AL433" i="15"/>
  <c r="AF424" i="15"/>
  <c r="AF436" i="15"/>
  <c r="Z496" i="15"/>
  <c r="AL480" i="15"/>
  <c r="AO480" i="15" s="1"/>
  <c r="Z440" i="15"/>
  <c r="Z450" i="15"/>
  <c r="AI450" i="15" s="1"/>
  <c r="N103" i="15"/>
  <c r="S331" i="15"/>
  <c r="L352" i="15"/>
  <c r="N331" i="15"/>
  <c r="D186" i="15"/>
  <c r="O113" i="15"/>
  <c r="R309" i="15"/>
  <c r="P309" i="15"/>
  <c r="S17" i="15"/>
  <c r="N17" i="15"/>
  <c r="M305" i="15"/>
  <c r="K305" i="15"/>
  <c r="J310" i="15"/>
  <c r="L13" i="15"/>
  <c r="L27" i="15" s="1"/>
  <c r="K54" i="15" s="1"/>
  <c r="AL437" i="15"/>
  <c r="M300" i="15"/>
  <c r="F211" i="15"/>
  <c r="AF410" i="15"/>
  <c r="AF445" i="15"/>
  <c r="AF444" i="15"/>
  <c r="L195" i="15"/>
  <c r="K230" i="15" s="1"/>
  <c r="N186" i="15"/>
  <c r="N187" i="15" s="1"/>
  <c r="L187" i="15"/>
  <c r="AF425" i="15"/>
  <c r="AL466" i="15"/>
  <c r="AH494" i="15"/>
  <c r="F305" i="15"/>
  <c r="F310" i="15" s="1"/>
  <c r="F315" i="15" s="1"/>
  <c r="N296" i="15"/>
  <c r="Z449" i="15"/>
  <c r="Z480" i="15"/>
  <c r="AH458" i="15"/>
  <c r="AI458" i="15" s="1"/>
  <c r="AF431" i="15"/>
  <c r="Z436" i="15"/>
  <c r="Z426" i="15"/>
  <c r="AI426" i="15" s="1"/>
  <c r="Z498" i="15"/>
  <c r="AF414" i="15"/>
  <c r="AL411" i="15"/>
  <c r="AL441" i="15"/>
  <c r="AO441" i="15" s="1"/>
  <c r="E117" i="15"/>
  <c r="E186" i="15"/>
  <c r="E175" i="15"/>
  <c r="Q123" i="15"/>
  <c r="N136" i="15"/>
  <c r="S136" i="15"/>
  <c r="K136" i="15"/>
  <c r="S38" i="15"/>
  <c r="N38" i="15"/>
  <c r="K38" i="15"/>
  <c r="S34" i="15"/>
  <c r="N34" i="15"/>
  <c r="F24" i="15"/>
  <c r="D32" i="15" s="1"/>
  <c r="N12" i="15"/>
  <c r="S12" i="15"/>
  <c r="F156" i="15"/>
  <c r="E156" i="15" s="1"/>
  <c r="E123" i="15"/>
  <c r="F190" i="15"/>
  <c r="N189" i="15"/>
  <c r="AL477" i="15"/>
  <c r="AO477" i="15" s="1"/>
  <c r="AF435" i="15"/>
  <c r="Z424" i="15"/>
  <c r="AF480" i="15"/>
  <c r="Z466" i="15"/>
  <c r="AI466" i="15" s="1"/>
  <c r="AF473" i="15"/>
  <c r="AF479" i="15"/>
  <c r="Z433" i="15"/>
  <c r="AI433" i="15" s="1"/>
  <c r="AO478" i="15"/>
  <c r="Q350" i="15"/>
  <c r="S332" i="15"/>
  <c r="S350" i="15" s="1"/>
  <c r="N251" i="15"/>
  <c r="N252" i="15" s="1"/>
  <c r="L290" i="15"/>
  <c r="AF466" i="15"/>
  <c r="AH466" i="15" s="1"/>
  <c r="AL442" i="15"/>
  <c r="Z439" i="15"/>
  <c r="AN458" i="15"/>
  <c r="AN467" i="15" s="1"/>
  <c r="F350" i="15"/>
  <c r="F177" i="15"/>
  <c r="AF446" i="15"/>
  <c r="AL435" i="15"/>
  <c r="Z423" i="15"/>
  <c r="AF442" i="15"/>
  <c r="AL448" i="15"/>
  <c r="Z428" i="15"/>
  <c r="AI428" i="15" s="1"/>
  <c r="Z411" i="15"/>
  <c r="AL471" i="15"/>
  <c r="AF416" i="15"/>
  <c r="AF477" i="15"/>
  <c r="F230" i="15"/>
  <c r="P117" i="15"/>
  <c r="F174" i="15"/>
  <c r="F186" i="15"/>
  <c r="Q83" i="15"/>
  <c r="L41" i="15"/>
  <c r="S31" i="15"/>
  <c r="N31" i="15"/>
  <c r="J31" i="15"/>
  <c r="Q164" i="15"/>
  <c r="N32" i="15"/>
  <c r="Q24" i="15"/>
  <c r="L310" i="15"/>
  <c r="S305" i="15"/>
  <c r="F109" i="15"/>
  <c r="E136" i="15" s="1"/>
  <c r="D113" i="15"/>
  <c r="P154" i="5" l="1"/>
  <c r="Q27" i="5"/>
  <c r="S14" i="5"/>
  <c r="O31" i="5"/>
  <c r="AS482" i="5"/>
  <c r="AN423" i="5"/>
  <c r="AH423" i="5"/>
  <c r="S363" i="5"/>
  <c r="S364" i="5"/>
  <c r="AT476" i="5"/>
  <c r="AN476" i="5"/>
  <c r="AH476" i="5"/>
  <c r="AI476" i="5" s="1"/>
  <c r="AI430" i="5"/>
  <c r="Q232" i="5"/>
  <c r="AO440" i="5"/>
  <c r="AI445" i="5"/>
  <c r="AO461" i="5"/>
  <c r="K109" i="5"/>
  <c r="R109" i="5"/>
  <c r="M109" i="5"/>
  <c r="M110" i="5" s="1"/>
  <c r="AO417" i="5"/>
  <c r="E350" i="5"/>
  <c r="AE411" i="5"/>
  <c r="AN411" i="5"/>
  <c r="AO411" i="5" s="1"/>
  <c r="AH411" i="5"/>
  <c r="AI411" i="5" s="1"/>
  <c r="AH437" i="5"/>
  <c r="AI437" i="5" s="1"/>
  <c r="AN437" i="5"/>
  <c r="AO437" i="5" s="1"/>
  <c r="AH433" i="5"/>
  <c r="K398" i="5"/>
  <c r="L400" i="5"/>
  <c r="AN441" i="5"/>
  <c r="AH441" i="5"/>
  <c r="Y414" i="5"/>
  <c r="AI414" i="5"/>
  <c r="AN436" i="5"/>
  <c r="AO436" i="5" s="1"/>
  <c r="AH436" i="5"/>
  <c r="AI436" i="5" s="1"/>
  <c r="P363" i="5"/>
  <c r="R363" i="5"/>
  <c r="AI423" i="5"/>
  <c r="N82" i="5"/>
  <c r="AH465" i="5"/>
  <c r="AN449" i="5"/>
  <c r="AO449" i="5" s="1"/>
  <c r="AH449" i="5"/>
  <c r="AF467" i="5"/>
  <c r="AL419" i="5"/>
  <c r="AL420" i="5" s="1"/>
  <c r="AO431" i="5"/>
  <c r="F352" i="5"/>
  <c r="E352" i="5" s="1"/>
  <c r="AL451" i="5"/>
  <c r="AO451" i="5" s="1"/>
  <c r="AL479" i="5"/>
  <c r="AO479" i="5" s="1"/>
  <c r="S47" i="5"/>
  <c r="S54" i="5" s="1"/>
  <c r="AL480" i="5"/>
  <c r="AL482" i="5" s="1"/>
  <c r="AN482" i="5" s="1"/>
  <c r="AL427" i="5"/>
  <c r="AO427" i="5" s="1"/>
  <c r="AL464" i="5"/>
  <c r="AL467" i="5" s="1"/>
  <c r="AO467" i="5" s="1"/>
  <c r="AH435" i="5"/>
  <c r="AF453" i="5"/>
  <c r="AN435" i="5"/>
  <c r="S65" i="5"/>
  <c r="S72" i="5" s="1"/>
  <c r="AL446" i="5"/>
  <c r="AO448" i="5"/>
  <c r="K74" i="5"/>
  <c r="Q83" i="5"/>
  <c r="M106" i="5"/>
  <c r="K106" i="5"/>
  <c r="AO418" i="5"/>
  <c r="AN426" i="5"/>
  <c r="R110" i="5"/>
  <c r="P109" i="5"/>
  <c r="AI435" i="5"/>
  <c r="AI440" i="5"/>
  <c r="S352" i="5"/>
  <c r="AN440" i="5"/>
  <c r="AH440" i="5"/>
  <c r="AI449" i="5"/>
  <c r="N47" i="5"/>
  <c r="N54" i="5" s="1"/>
  <c r="Z496" i="5"/>
  <c r="Z480" i="5"/>
  <c r="AH480" i="5" s="1"/>
  <c r="AI480" i="5" s="1"/>
  <c r="Z418" i="5"/>
  <c r="AH418" i="5" s="1"/>
  <c r="Z466" i="5"/>
  <c r="AI466" i="5" s="1"/>
  <c r="Z479" i="5"/>
  <c r="Z451" i="5"/>
  <c r="AI451" i="5" s="1"/>
  <c r="Z427" i="5"/>
  <c r="AI427" i="5" s="1"/>
  <c r="Z450" i="5"/>
  <c r="Z498" i="5"/>
  <c r="Z419" i="5"/>
  <c r="Z433" i="5"/>
  <c r="AI433" i="5" s="1"/>
  <c r="AN450" i="5"/>
  <c r="F54" i="5"/>
  <c r="E54" i="5" s="1"/>
  <c r="Z422" i="5"/>
  <c r="AH424" i="5"/>
  <c r="AI424" i="5" s="1"/>
  <c r="AN424" i="5"/>
  <c r="AO424" i="5" s="1"/>
  <c r="AN471" i="5"/>
  <c r="AO471" i="5" s="1"/>
  <c r="E8" i="5"/>
  <c r="D13" i="5"/>
  <c r="AI442" i="5"/>
  <c r="F232" i="5"/>
  <c r="E232" i="5" s="1"/>
  <c r="E211" i="5"/>
  <c r="S83" i="5"/>
  <c r="E123" i="5"/>
  <c r="F156" i="5"/>
  <c r="R186" i="5"/>
  <c r="P187" i="5"/>
  <c r="AN431" i="5"/>
  <c r="AH431" i="5"/>
  <c r="AI431" i="5" s="1"/>
  <c r="Q156" i="5"/>
  <c r="P156" i="5" s="1"/>
  <c r="P123" i="5"/>
  <c r="AH474" i="5"/>
  <c r="AI474" i="5" s="1"/>
  <c r="AN474" i="5"/>
  <c r="AT474" i="5"/>
  <c r="Q398" i="5"/>
  <c r="P398" i="5" s="1"/>
  <c r="P378" i="5"/>
  <c r="S156" i="5"/>
  <c r="K156" i="5"/>
  <c r="AG417" i="5"/>
  <c r="AE412" i="5"/>
  <c r="AH412" i="5"/>
  <c r="F398" i="5"/>
  <c r="E398" i="5" s="1"/>
  <c r="E378" i="5"/>
  <c r="AO445" i="5"/>
  <c r="Q310" i="5"/>
  <c r="S306" i="5"/>
  <c r="AN477" i="5"/>
  <c r="D310" i="5"/>
  <c r="E305" i="5"/>
  <c r="M305" i="5"/>
  <c r="Q187" i="5"/>
  <c r="Q195" i="5"/>
  <c r="S186" i="5"/>
  <c r="S110" i="5"/>
  <c r="AH466" i="5"/>
  <c r="AN443" i="5"/>
  <c r="AO443" i="5" s="1"/>
  <c r="AH443" i="5"/>
  <c r="AI443" i="5" s="1"/>
  <c r="P8" i="5"/>
  <c r="O13" i="5"/>
  <c r="AK417" i="5" s="1"/>
  <c r="AN447" i="5"/>
  <c r="AO447" i="5" s="1"/>
  <c r="AH447" i="5"/>
  <c r="AI447" i="5" s="1"/>
  <c r="AN438" i="5"/>
  <c r="AO438" i="5" s="1"/>
  <c r="F288" i="5"/>
  <c r="E267" i="5"/>
  <c r="N267" i="5"/>
  <c r="N83" i="5"/>
  <c r="AN428" i="5"/>
  <c r="AH428" i="5"/>
  <c r="Q288" i="5"/>
  <c r="Q290" i="5" s="1"/>
  <c r="S290" i="5" s="1"/>
  <c r="S267" i="5"/>
  <c r="AN452" i="5"/>
  <c r="Z426" i="5"/>
  <c r="AI426" i="5" s="1"/>
  <c r="AN429" i="5"/>
  <c r="AO429" i="5" s="1"/>
  <c r="AH429" i="5"/>
  <c r="AI429" i="5" s="1"/>
  <c r="N123" i="5"/>
  <c r="AN417" i="5"/>
  <c r="L315" i="5"/>
  <c r="K315" i="5" s="1"/>
  <c r="S310" i="5"/>
  <c r="N310" i="5"/>
  <c r="N311" i="5" s="1"/>
  <c r="K232" i="5"/>
  <c r="S232" i="5"/>
  <c r="N232" i="5"/>
  <c r="AN415" i="5"/>
  <c r="AO415" i="5" s="1"/>
  <c r="AH415" i="5"/>
  <c r="AE415" i="5"/>
  <c r="AH427" i="5"/>
  <c r="P41" i="5"/>
  <c r="Q72" i="5"/>
  <c r="P72" i="5" s="1"/>
  <c r="AI413" i="5"/>
  <c r="Y413" i="5"/>
  <c r="AM413" i="5" s="1"/>
  <c r="S154" i="5"/>
  <c r="AO442" i="5"/>
  <c r="AN418" i="5"/>
  <c r="AE418" i="5"/>
  <c r="F195" i="5"/>
  <c r="F187" i="5"/>
  <c r="N186" i="5"/>
  <c r="N187" i="5" s="1"/>
  <c r="AH444" i="5"/>
  <c r="AI444" i="5" s="1"/>
  <c r="AN444" i="5"/>
  <c r="AO444" i="5" s="1"/>
  <c r="AE419" i="5"/>
  <c r="AO425" i="5"/>
  <c r="R8" i="5"/>
  <c r="R13" i="5" s="1"/>
  <c r="M186" i="5"/>
  <c r="E195" i="5"/>
  <c r="AI439" i="5"/>
  <c r="K24" i="5"/>
  <c r="K37" i="5"/>
  <c r="K34" i="5"/>
  <c r="K32" i="5"/>
  <c r="K36" i="5"/>
  <c r="K31" i="5"/>
  <c r="F83" i="5"/>
  <c r="Y415" i="5"/>
  <c r="AI415" i="5"/>
  <c r="K27" i="5"/>
  <c r="AI425" i="5"/>
  <c r="N154" i="5"/>
  <c r="Y417" i="5"/>
  <c r="AM417" i="5" s="1"/>
  <c r="AI417" i="5"/>
  <c r="AO423" i="5"/>
  <c r="AN472" i="5"/>
  <c r="AO472" i="5" s="1"/>
  <c r="AH472" i="5"/>
  <c r="AI472" i="5" s="1"/>
  <c r="AT472" i="5"/>
  <c r="AH479" i="5"/>
  <c r="AI479" i="5" s="1"/>
  <c r="AT479" i="5"/>
  <c r="W82" i="5"/>
  <c r="AN414" i="5"/>
  <c r="AO414" i="5" s="1"/>
  <c r="AH414" i="5"/>
  <c r="AE414" i="5"/>
  <c r="AI432" i="5"/>
  <c r="Q54" i="5"/>
  <c r="P54" i="5" s="1"/>
  <c r="AL422" i="5"/>
  <c r="Z412" i="5"/>
  <c r="AL412" i="5"/>
  <c r="AN412" i="5" s="1"/>
  <c r="O310" i="5"/>
  <c r="R305" i="5"/>
  <c r="P305" i="5"/>
  <c r="Z464" i="5"/>
  <c r="AH464" i="5" s="1"/>
  <c r="AH467" i="5" s="1"/>
  <c r="AH471" i="5"/>
  <c r="AI471" i="5" s="1"/>
  <c r="F27" i="5"/>
  <c r="E41" i="5" s="1"/>
  <c r="N14" i="5"/>
  <c r="Z452" i="5"/>
  <c r="AI452" i="5" s="1"/>
  <c r="Z446" i="5"/>
  <c r="AH446" i="5" s="1"/>
  <c r="N65" i="5"/>
  <c r="N72" i="5" s="1"/>
  <c r="AH445" i="5"/>
  <c r="P136" i="5"/>
  <c r="S230" i="5"/>
  <c r="N288" i="5"/>
  <c r="S288" i="5"/>
  <c r="AO410" i="5"/>
  <c r="M8" i="5"/>
  <c r="M13" i="5" s="1"/>
  <c r="AE416" i="5"/>
  <c r="AN416" i="5"/>
  <c r="AO416" i="5" s="1"/>
  <c r="AH416" i="5"/>
  <c r="AI416" i="5" s="1"/>
  <c r="S123" i="5"/>
  <c r="N41" i="5"/>
  <c r="AF434" i="5"/>
  <c r="AN473" i="5"/>
  <c r="AO467" i="15"/>
  <c r="AH446" i="15"/>
  <c r="AN446" i="15"/>
  <c r="AO446" i="15" s="1"/>
  <c r="AN447" i="15"/>
  <c r="AO447" i="15" s="1"/>
  <c r="E230" i="15"/>
  <c r="F354" i="15"/>
  <c r="F232" i="15"/>
  <c r="E232" i="15" s="1"/>
  <c r="E211" i="15"/>
  <c r="N352" i="15"/>
  <c r="AH414" i="15"/>
  <c r="AN414" i="15"/>
  <c r="AO414" i="15" s="1"/>
  <c r="AE414" i="15"/>
  <c r="K109" i="15"/>
  <c r="M109" i="15"/>
  <c r="M110" i="15" s="1"/>
  <c r="AI498" i="15"/>
  <c r="AH498" i="15"/>
  <c r="F288" i="15"/>
  <c r="E267" i="15"/>
  <c r="N267" i="15"/>
  <c r="AH427" i="15"/>
  <c r="AN427" i="15"/>
  <c r="O114" i="15"/>
  <c r="S106" i="15"/>
  <c r="S107" i="15" s="1"/>
  <c r="AL482" i="15"/>
  <c r="AO458" i="15"/>
  <c r="AN479" i="15"/>
  <c r="AH479" i="15"/>
  <c r="AI479" i="15" s="1"/>
  <c r="AT479" i="15"/>
  <c r="AO417" i="15"/>
  <c r="E305" i="15"/>
  <c r="D310" i="15"/>
  <c r="M13" i="15"/>
  <c r="AH472" i="15"/>
  <c r="AI472" i="15" s="1"/>
  <c r="AN472" i="15"/>
  <c r="AO472" i="15" s="1"/>
  <c r="AT472" i="15"/>
  <c r="AN451" i="15"/>
  <c r="AH451" i="15"/>
  <c r="D13" i="15"/>
  <c r="E6" i="15"/>
  <c r="AN429" i="15"/>
  <c r="AH429" i="15"/>
  <c r="AI429" i="15" s="1"/>
  <c r="AN423" i="15"/>
  <c r="AO423" i="15" s="1"/>
  <c r="AH423" i="15"/>
  <c r="AI423" i="15" s="1"/>
  <c r="AT474" i="15"/>
  <c r="AN474" i="15"/>
  <c r="AH474" i="15"/>
  <c r="AI474" i="15" s="1"/>
  <c r="AE415" i="15"/>
  <c r="AH415" i="15"/>
  <c r="AI415" i="15" s="1"/>
  <c r="AN415" i="15"/>
  <c r="AO415" i="15" s="1"/>
  <c r="R13" i="15"/>
  <c r="AN477" i="15"/>
  <c r="AT477" i="15"/>
  <c r="AH477" i="15"/>
  <c r="AI477" i="15" s="1"/>
  <c r="E350" i="15"/>
  <c r="K13" i="15"/>
  <c r="K22" i="15"/>
  <c r="R22" i="15" s="1"/>
  <c r="K23" i="15"/>
  <c r="R23" i="15" s="1"/>
  <c r="J27" i="15"/>
  <c r="K21" i="15"/>
  <c r="R21" i="15" s="1"/>
  <c r="J24" i="15"/>
  <c r="F27" i="15"/>
  <c r="N14" i="15"/>
  <c r="AI411" i="15"/>
  <c r="Y411" i="15"/>
  <c r="AI439" i="15"/>
  <c r="AN473" i="15"/>
  <c r="AH473" i="15"/>
  <c r="AI473" i="15" s="1"/>
  <c r="AT473" i="15"/>
  <c r="AI436" i="15"/>
  <c r="N6" i="15"/>
  <c r="N13" i="15" s="1"/>
  <c r="AI440" i="15"/>
  <c r="P105" i="15"/>
  <c r="P103" i="15"/>
  <c r="P104" i="15"/>
  <c r="O109" i="15"/>
  <c r="P97" i="15"/>
  <c r="O106" i="15"/>
  <c r="P106" i="15" s="1"/>
  <c r="P122" i="15"/>
  <c r="P119" i="15"/>
  <c r="P113" i="15"/>
  <c r="P115" i="15"/>
  <c r="P120" i="15"/>
  <c r="P118" i="15"/>
  <c r="P114" i="15"/>
  <c r="P116" i="15"/>
  <c r="AN413" i="15"/>
  <c r="AO413" i="15" s="1"/>
  <c r="AH413" i="15"/>
  <c r="AI413" i="15" s="1"/>
  <c r="AE413" i="15"/>
  <c r="AO432" i="15"/>
  <c r="AH411" i="15"/>
  <c r="AE411" i="15"/>
  <c r="AN411" i="15"/>
  <c r="AO411" i="15" s="1"/>
  <c r="AF434" i="15"/>
  <c r="E154" i="15"/>
  <c r="AO419" i="15"/>
  <c r="Z416" i="15"/>
  <c r="Z420" i="15" s="1"/>
  <c r="N37" i="15"/>
  <c r="AH426" i="15"/>
  <c r="AN426" i="15"/>
  <c r="AN428" i="15"/>
  <c r="S310" i="15"/>
  <c r="N310" i="15"/>
  <c r="N311" i="15" s="1"/>
  <c r="L315" i="15"/>
  <c r="AN452" i="15"/>
  <c r="AH452" i="15"/>
  <c r="O32" i="15"/>
  <c r="AT481" i="15"/>
  <c r="AN481" i="15"/>
  <c r="AO481" i="15" s="1"/>
  <c r="AH481" i="15"/>
  <c r="AI481" i="15" s="1"/>
  <c r="Q252" i="15"/>
  <c r="R251" i="15" s="1"/>
  <c r="S252" i="15" s="1"/>
  <c r="AO429" i="15"/>
  <c r="AO442" i="15"/>
  <c r="AN431" i="15"/>
  <c r="AO431" i="15" s="1"/>
  <c r="AH431" i="15"/>
  <c r="AI431" i="15" s="1"/>
  <c r="K106" i="15"/>
  <c r="Q187" i="15"/>
  <c r="Q195" i="15"/>
  <c r="AN448" i="15"/>
  <c r="AO448" i="15" s="1"/>
  <c r="AH448" i="15"/>
  <c r="AI448" i="15" s="1"/>
  <c r="P7" i="15"/>
  <c r="Q310" i="15"/>
  <c r="S306" i="15"/>
  <c r="Y417" i="15"/>
  <c r="AI417" i="15"/>
  <c r="F54" i="15"/>
  <c r="Z422" i="15"/>
  <c r="N42" i="15"/>
  <c r="AN418" i="15"/>
  <c r="AH418" i="15"/>
  <c r="AE418" i="15"/>
  <c r="AL416" i="15"/>
  <c r="S37" i="15"/>
  <c r="AH464" i="15"/>
  <c r="AH467" i="15" s="1"/>
  <c r="AI467" i="15" s="1"/>
  <c r="AF467" i="15"/>
  <c r="AH428" i="15"/>
  <c r="AN445" i="15"/>
  <c r="AH445" i="15"/>
  <c r="AI445" i="15" s="1"/>
  <c r="J315" i="15"/>
  <c r="M310" i="15"/>
  <c r="K310" i="15"/>
  <c r="AH450" i="15"/>
  <c r="AN450" i="15"/>
  <c r="AF420" i="15"/>
  <c r="AN410" i="15"/>
  <c r="AO410" i="15" s="1"/>
  <c r="AH410" i="15"/>
  <c r="AE410" i="15"/>
  <c r="AH437" i="15"/>
  <c r="AI437" i="15" s="1"/>
  <c r="AN437" i="15"/>
  <c r="AO437" i="15" s="1"/>
  <c r="O13" i="15"/>
  <c r="AK417" i="15" s="1"/>
  <c r="P6" i="15"/>
  <c r="AN443" i="15"/>
  <c r="AO443" i="15" s="1"/>
  <c r="AH443" i="15"/>
  <c r="AI443" i="15" s="1"/>
  <c r="K156" i="15"/>
  <c r="N156" i="15"/>
  <c r="N230" i="15"/>
  <c r="Y410" i="15"/>
  <c r="AI410" i="15"/>
  <c r="AN441" i="15"/>
  <c r="AH441" i="15"/>
  <c r="Y414" i="15"/>
  <c r="AI414" i="15"/>
  <c r="Q54" i="15"/>
  <c r="Q74" i="15" s="1"/>
  <c r="AL422" i="15"/>
  <c r="S42" i="15"/>
  <c r="AH440" i="15"/>
  <c r="AN440" i="15"/>
  <c r="AO440" i="15" s="1"/>
  <c r="AH442" i="15"/>
  <c r="AI442" i="15" s="1"/>
  <c r="AN442" i="15"/>
  <c r="S251" i="15"/>
  <c r="N45" i="15"/>
  <c r="Z425" i="15"/>
  <c r="L196" i="15"/>
  <c r="L234" i="15"/>
  <c r="N195" i="15"/>
  <c r="N196" i="15" s="1"/>
  <c r="D31" i="15"/>
  <c r="AK415" i="15"/>
  <c r="N211" i="15"/>
  <c r="S109" i="15"/>
  <c r="N109" i="15"/>
  <c r="N110" i="15" s="1"/>
  <c r="L166" i="15"/>
  <c r="D109" i="15"/>
  <c r="E109" i="15" s="1"/>
  <c r="D106" i="15"/>
  <c r="E106" i="15" s="1"/>
  <c r="E103" i="15"/>
  <c r="E104" i="15"/>
  <c r="E115" i="15"/>
  <c r="E105" i="15"/>
  <c r="E97" i="15"/>
  <c r="E114" i="15"/>
  <c r="E113" i="15"/>
  <c r="E118" i="15"/>
  <c r="E116" i="15"/>
  <c r="E122" i="15"/>
  <c r="E120" i="15"/>
  <c r="Q109" i="15"/>
  <c r="P136" i="15" s="1"/>
  <c r="F352" i="15"/>
  <c r="E352" i="15" s="1"/>
  <c r="E331" i="15"/>
  <c r="Q288" i="15"/>
  <c r="S288" i="15" s="1"/>
  <c r="AN419" i="15"/>
  <c r="AE419" i="15"/>
  <c r="AH419" i="15"/>
  <c r="AO445" i="15"/>
  <c r="AF482" i="15"/>
  <c r="AH412" i="15"/>
  <c r="AE412" i="15"/>
  <c r="AN412" i="15"/>
  <c r="AO412" i="15" s="1"/>
  <c r="E378" i="15"/>
  <c r="F398" i="15"/>
  <c r="P232" i="15"/>
  <c r="AN480" i="15"/>
  <c r="AH480" i="15"/>
  <c r="AI480" i="15" s="1"/>
  <c r="AT480" i="15"/>
  <c r="Q156" i="15"/>
  <c r="S6" i="15"/>
  <c r="S13" i="15" s="1"/>
  <c r="S14" i="15" s="1"/>
  <c r="F166" i="15"/>
  <c r="K41" i="15"/>
  <c r="S41" i="15"/>
  <c r="L74" i="15"/>
  <c r="L85" i="15" s="1"/>
  <c r="N41" i="15"/>
  <c r="AN436" i="15"/>
  <c r="AO436" i="15" s="1"/>
  <c r="AH436" i="15"/>
  <c r="K72" i="15"/>
  <c r="N24" i="15"/>
  <c r="N25" i="15" s="1"/>
  <c r="S45" i="15"/>
  <c r="AL425" i="15"/>
  <c r="E195" i="15"/>
  <c r="M186" i="15"/>
  <c r="S186" i="15"/>
  <c r="AN476" i="15"/>
  <c r="AO476" i="15" s="1"/>
  <c r="AH424" i="15"/>
  <c r="AN424" i="15"/>
  <c r="AO424" i="15" s="1"/>
  <c r="O310" i="15"/>
  <c r="P305" i="15"/>
  <c r="R305" i="15"/>
  <c r="AN471" i="15"/>
  <c r="AO471" i="15" s="1"/>
  <c r="AN449" i="15"/>
  <c r="AO449" i="15" s="1"/>
  <c r="AH449" i="15"/>
  <c r="AI449" i="15" s="1"/>
  <c r="K232" i="15"/>
  <c r="N232" i="15"/>
  <c r="S232" i="15"/>
  <c r="AH475" i="15"/>
  <c r="AI475" i="15" s="1"/>
  <c r="AN475" i="15"/>
  <c r="AO475" i="15" s="1"/>
  <c r="AT475" i="15"/>
  <c r="Z447" i="15"/>
  <c r="Z453" i="15" s="1"/>
  <c r="F72" i="15"/>
  <c r="R186" i="15"/>
  <c r="P187" i="15"/>
  <c r="AH433" i="15"/>
  <c r="AN435" i="15"/>
  <c r="AH435" i="15"/>
  <c r="AI435" i="15" s="1"/>
  <c r="AF453" i="15"/>
  <c r="K398" i="15"/>
  <c r="L400" i="15"/>
  <c r="AE417" i="15"/>
  <c r="AH417" i="15"/>
  <c r="AN417" i="15"/>
  <c r="AI412" i="15"/>
  <c r="Y412" i="15"/>
  <c r="Z482" i="15"/>
  <c r="Q27" i="15"/>
  <c r="AE416" i="15"/>
  <c r="AI496" i="15"/>
  <c r="AH496" i="15"/>
  <c r="Q352" i="15"/>
  <c r="S24" i="15"/>
  <c r="S25" i="15" s="1"/>
  <c r="N305" i="15"/>
  <c r="N306" i="15" s="1"/>
  <c r="F187" i="15"/>
  <c r="F195" i="15"/>
  <c r="AL453" i="15"/>
  <c r="AI424" i="15"/>
  <c r="AN444" i="15"/>
  <c r="AO444" i="15" s="1"/>
  <c r="AH444" i="15"/>
  <c r="AI444" i="15" s="1"/>
  <c r="AI446" i="15"/>
  <c r="Y413" i="15"/>
  <c r="AH471" i="15"/>
  <c r="AI471" i="15" s="1"/>
  <c r="F74" i="15"/>
  <c r="E74" i="15" s="1"/>
  <c r="E41" i="15"/>
  <c r="K211" i="15"/>
  <c r="Q398" i="15"/>
  <c r="P378" i="15"/>
  <c r="AN430" i="15"/>
  <c r="AO430" i="15" s="1"/>
  <c r="AH430" i="15"/>
  <c r="AI430" i="15" s="1"/>
  <c r="AN438" i="15"/>
  <c r="AO438" i="15" s="1"/>
  <c r="AH438" i="15"/>
  <c r="AI438" i="15" s="1"/>
  <c r="AN439" i="15"/>
  <c r="AO439" i="15" s="1"/>
  <c r="AN479" i="5" l="1"/>
  <c r="AK418" i="5"/>
  <c r="Q166" i="5"/>
  <c r="S166" i="5" s="1"/>
  <c r="AL453" i="5"/>
  <c r="AN427" i="5"/>
  <c r="P123" i="15"/>
  <c r="AK414" i="5"/>
  <c r="AN420" i="5"/>
  <c r="AO420" i="5" s="1"/>
  <c r="E156" i="5"/>
  <c r="F166" i="5"/>
  <c r="N166" i="5" s="1"/>
  <c r="AI498" i="5"/>
  <c r="AH498" i="5"/>
  <c r="Z453" i="5"/>
  <c r="AQ453" i="5"/>
  <c r="AD453" i="5"/>
  <c r="AG411" i="5"/>
  <c r="AM411" i="5"/>
  <c r="P232" i="5"/>
  <c r="AH451" i="5"/>
  <c r="AG413" i="5"/>
  <c r="Q74" i="5"/>
  <c r="M14" i="5"/>
  <c r="E22" i="5"/>
  <c r="E21" i="5"/>
  <c r="E13" i="5"/>
  <c r="D27" i="5"/>
  <c r="E23" i="5"/>
  <c r="D24" i="5"/>
  <c r="Y410" i="5"/>
  <c r="Y411" i="5"/>
  <c r="AI450" i="5"/>
  <c r="AH450" i="5"/>
  <c r="AH453" i="5" s="1"/>
  <c r="AI453" i="5" s="1"/>
  <c r="AL434" i="5"/>
  <c r="AN422" i="5"/>
  <c r="AO422" i="5" s="1"/>
  <c r="AD434" i="5"/>
  <c r="AN434" i="5"/>
  <c r="AH434" i="5"/>
  <c r="AI434" i="5" s="1"/>
  <c r="AI419" i="5"/>
  <c r="Y419" i="5"/>
  <c r="AO435" i="5"/>
  <c r="AD467" i="5"/>
  <c r="AQ467" i="5"/>
  <c r="AK416" i="5"/>
  <c r="AO482" i="5"/>
  <c r="F196" i="5"/>
  <c r="M195" i="5" s="1"/>
  <c r="F234" i="5"/>
  <c r="N234" i="5" s="1"/>
  <c r="E230" i="5"/>
  <c r="N195" i="5"/>
  <c r="N196" i="5" s="1"/>
  <c r="L354" i="5"/>
  <c r="N315" i="5"/>
  <c r="N316" i="5" s="1"/>
  <c r="K331" i="5"/>
  <c r="K350" i="5"/>
  <c r="AF408" i="5"/>
  <c r="AG412" i="5"/>
  <c r="AM412" i="5"/>
  <c r="AN451" i="5"/>
  <c r="R14" i="5"/>
  <c r="E310" i="5"/>
  <c r="D315" i="5"/>
  <c r="M310" i="5"/>
  <c r="AK411" i="5"/>
  <c r="AI496" i="5"/>
  <c r="AH496" i="5"/>
  <c r="Z482" i="5"/>
  <c r="Y416" i="5"/>
  <c r="F354" i="5"/>
  <c r="Q196" i="5"/>
  <c r="R195" i="5" s="1"/>
  <c r="Q234" i="5"/>
  <c r="S234" i="5" s="1"/>
  <c r="S195" i="5"/>
  <c r="S196" i="5" s="1"/>
  <c r="P211" i="5"/>
  <c r="Q400" i="5"/>
  <c r="S400" i="5" s="1"/>
  <c r="AG414" i="5"/>
  <c r="AM414" i="5"/>
  <c r="AK412" i="5"/>
  <c r="AO412" i="5"/>
  <c r="F400" i="5"/>
  <c r="AM416" i="5"/>
  <c r="AG416" i="5"/>
  <c r="E288" i="5"/>
  <c r="F290" i="5"/>
  <c r="N290" i="5" s="1"/>
  <c r="AO480" i="5"/>
  <c r="AN480" i="5"/>
  <c r="S398" i="5"/>
  <c r="AF469" i="5"/>
  <c r="Z434" i="5"/>
  <c r="AH422" i="5"/>
  <c r="AI422" i="5" s="1"/>
  <c r="AO419" i="5"/>
  <c r="AK419" i="5"/>
  <c r="P310" i="5"/>
  <c r="O315" i="5"/>
  <c r="R310" i="5"/>
  <c r="AN419" i="5"/>
  <c r="AM415" i="5"/>
  <c r="AG415" i="5"/>
  <c r="AN446" i="5"/>
  <c r="AN453" i="5" s="1"/>
  <c r="AO453" i="5" s="1"/>
  <c r="F74" i="5"/>
  <c r="AG419" i="5"/>
  <c r="AM419" i="5"/>
  <c r="K352" i="5"/>
  <c r="AI464" i="5"/>
  <c r="Z467" i="5"/>
  <c r="O27" i="5"/>
  <c r="P13" i="5"/>
  <c r="P21" i="5"/>
  <c r="P23" i="5"/>
  <c r="P22" i="5"/>
  <c r="AK413" i="5"/>
  <c r="AK415" i="5"/>
  <c r="O24" i="5"/>
  <c r="AI446" i="5"/>
  <c r="AK410" i="5"/>
  <c r="Z408" i="5"/>
  <c r="F85" i="5"/>
  <c r="N27" i="5"/>
  <c r="AI412" i="5"/>
  <c r="Y412" i="5"/>
  <c r="Z420" i="5"/>
  <c r="AH419" i="5"/>
  <c r="AH452" i="5"/>
  <c r="E72" i="5"/>
  <c r="S311" i="5"/>
  <c r="Q315" i="5"/>
  <c r="N156" i="5"/>
  <c r="S187" i="5"/>
  <c r="Y418" i="5"/>
  <c r="AM418" i="5" s="1"/>
  <c r="AI418" i="5"/>
  <c r="N352" i="5"/>
  <c r="AH426" i="5"/>
  <c r="P230" i="5"/>
  <c r="Q85" i="5"/>
  <c r="S27" i="5"/>
  <c r="S85" i="5" s="1"/>
  <c r="Q85" i="15"/>
  <c r="M195" i="15"/>
  <c r="AD420" i="15"/>
  <c r="AH420" i="15"/>
  <c r="AI420" i="15" s="1"/>
  <c r="AF469" i="15"/>
  <c r="P109" i="15"/>
  <c r="E288" i="15"/>
  <c r="N288" i="15"/>
  <c r="F290" i="15"/>
  <c r="N290" i="15" s="1"/>
  <c r="E398" i="15"/>
  <c r="F400" i="15"/>
  <c r="Q196" i="15"/>
  <c r="R195" i="15" s="1"/>
  <c r="Q234" i="15"/>
  <c r="S234" i="15" s="1"/>
  <c r="P211" i="15"/>
  <c r="P230" i="15"/>
  <c r="Z408" i="15"/>
  <c r="X453" i="15" s="1"/>
  <c r="F85" i="15"/>
  <c r="P72" i="15"/>
  <c r="AG412" i="15"/>
  <c r="AM412" i="15"/>
  <c r="P74" i="15"/>
  <c r="M315" i="15"/>
  <c r="K315" i="15"/>
  <c r="AF407" i="15"/>
  <c r="N54" i="15"/>
  <c r="Q290" i="15"/>
  <c r="S290" i="15" s="1"/>
  <c r="L354" i="15"/>
  <c r="N315" i="15"/>
  <c r="N316" i="15" s="1"/>
  <c r="K331" i="15"/>
  <c r="K350" i="15"/>
  <c r="AD434" i="15"/>
  <c r="M24" i="15"/>
  <c r="K24" i="15"/>
  <c r="K33" i="15"/>
  <c r="K32" i="15"/>
  <c r="K36" i="15"/>
  <c r="K35" i="15"/>
  <c r="K37" i="15"/>
  <c r="K34" i="15"/>
  <c r="K31" i="15"/>
  <c r="R109" i="15"/>
  <c r="R110" i="15" s="1"/>
  <c r="AK410" i="15"/>
  <c r="R14" i="15"/>
  <c r="Z434" i="15"/>
  <c r="X434" i="15" s="1"/>
  <c r="AH422" i="15"/>
  <c r="AI422" i="15" s="1"/>
  <c r="M106" i="15"/>
  <c r="AN425" i="15"/>
  <c r="AO425" i="15" s="1"/>
  <c r="AM414" i="15"/>
  <c r="AG414" i="15"/>
  <c r="P21" i="15"/>
  <c r="P22" i="15"/>
  <c r="P23" i="15"/>
  <c r="P13" i="15"/>
  <c r="O27" i="15"/>
  <c r="P27" i="15" s="1"/>
  <c r="O24" i="15"/>
  <c r="AK418" i="15"/>
  <c r="AK413" i="15"/>
  <c r="AK419" i="15"/>
  <c r="P156" i="15"/>
  <c r="E54" i="15"/>
  <c r="AG411" i="15"/>
  <c r="AM411" i="15"/>
  <c r="AH425" i="15"/>
  <c r="AI425" i="15" s="1"/>
  <c r="K27" i="15"/>
  <c r="M27" i="15"/>
  <c r="M28" i="15" s="1"/>
  <c r="W82" i="15"/>
  <c r="AK416" i="15"/>
  <c r="X482" i="15"/>
  <c r="S54" i="15"/>
  <c r="S156" i="15"/>
  <c r="AM410" i="15"/>
  <c r="AG410" i="15"/>
  <c r="AD467" i="15"/>
  <c r="AQ467" i="15"/>
  <c r="S27" i="15"/>
  <c r="D27" i="15"/>
  <c r="E27" i="15" s="1"/>
  <c r="M14" i="15"/>
  <c r="E21" i="15"/>
  <c r="E22" i="15"/>
  <c r="E23" i="15"/>
  <c r="E13" i="15"/>
  <c r="D24" i="15"/>
  <c r="Y415" i="15"/>
  <c r="AG415" i="15" s="1"/>
  <c r="Y418" i="15"/>
  <c r="AG418" i="15" s="1"/>
  <c r="Y419" i="15"/>
  <c r="AG419" i="15" s="1"/>
  <c r="AI416" i="15"/>
  <c r="Y416" i="15"/>
  <c r="AG416" i="15" s="1"/>
  <c r="AL420" i="15"/>
  <c r="AN420" i="15" s="1"/>
  <c r="P41" i="15"/>
  <c r="E310" i="15"/>
  <c r="D315" i="15"/>
  <c r="E315" i="15" s="1"/>
  <c r="AL434" i="15"/>
  <c r="AN434" i="15" s="1"/>
  <c r="AN422" i="15"/>
  <c r="AO422" i="15" s="1"/>
  <c r="S352" i="15"/>
  <c r="AD453" i="15"/>
  <c r="AQ453" i="15"/>
  <c r="AN453" i="15"/>
  <c r="AO453" i="15" s="1"/>
  <c r="S74" i="15"/>
  <c r="N74" i="15"/>
  <c r="K74" i="15"/>
  <c r="S187" i="15"/>
  <c r="E72" i="15"/>
  <c r="AK412" i="15"/>
  <c r="AM417" i="15"/>
  <c r="AG417" i="15"/>
  <c r="S400" i="15"/>
  <c r="S110" i="15"/>
  <c r="Q166" i="15"/>
  <c r="P154" i="15"/>
  <c r="N27" i="15"/>
  <c r="AK411" i="15"/>
  <c r="AH447" i="15"/>
  <c r="AH453" i="15" s="1"/>
  <c r="AI453" i="15" s="1"/>
  <c r="P398" i="15"/>
  <c r="Q400" i="15"/>
  <c r="AO435" i="15"/>
  <c r="AH416" i="15"/>
  <c r="R310" i="15"/>
  <c r="P310" i="15"/>
  <c r="O315" i="15"/>
  <c r="AK414" i="15"/>
  <c r="AN416" i="15"/>
  <c r="AO416" i="15" s="1"/>
  <c r="S398" i="15"/>
  <c r="AS482" i="15"/>
  <c r="AN482" i="15"/>
  <c r="AO482" i="15" s="1"/>
  <c r="AH482" i="15"/>
  <c r="AI482" i="15" s="1"/>
  <c r="AD482" i="15"/>
  <c r="S195" i="15"/>
  <c r="S196" i="15" s="1"/>
  <c r="F196" i="15"/>
  <c r="F234" i="15"/>
  <c r="N166" i="15"/>
  <c r="S166" i="15"/>
  <c r="N234" i="15"/>
  <c r="P54" i="15"/>
  <c r="Q315" i="15"/>
  <c r="P352" i="15" s="1"/>
  <c r="S311" i="15"/>
  <c r="AF408" i="15"/>
  <c r="AG413" i="15"/>
  <c r="AM413" i="15"/>
  <c r="K352" i="15"/>
  <c r="AO446" i="5" l="1"/>
  <c r="S85" i="15"/>
  <c r="P24" i="5"/>
  <c r="P35" i="5"/>
  <c r="P38" i="5"/>
  <c r="P40" i="5"/>
  <c r="P34" i="5"/>
  <c r="P39" i="5"/>
  <c r="P36" i="5"/>
  <c r="P31" i="5"/>
  <c r="P32" i="5"/>
  <c r="P37" i="5"/>
  <c r="P33" i="5"/>
  <c r="E74" i="5"/>
  <c r="N74" i="5"/>
  <c r="AF484" i="5"/>
  <c r="AH408" i="5"/>
  <c r="AI408" i="5" s="1"/>
  <c r="AD420" i="5"/>
  <c r="AD482" i="5"/>
  <c r="E27" i="5"/>
  <c r="M27" i="5"/>
  <c r="M28" i="5" s="1"/>
  <c r="F402" i="5"/>
  <c r="X453" i="5"/>
  <c r="X434" i="5"/>
  <c r="AO434" i="5"/>
  <c r="S28" i="5"/>
  <c r="AD469" i="5"/>
  <c r="X482" i="5"/>
  <c r="AH482" i="5"/>
  <c r="AI482" i="5" s="1"/>
  <c r="P74" i="5"/>
  <c r="S74" i="5"/>
  <c r="P27" i="5"/>
  <c r="R27" i="5"/>
  <c r="R28" i="5" s="1"/>
  <c r="X467" i="5"/>
  <c r="AI467" i="5"/>
  <c r="N85" i="5"/>
  <c r="N28" i="5"/>
  <c r="P315" i="5"/>
  <c r="R315" i="5"/>
  <c r="AL407" i="5"/>
  <c r="E315" i="5"/>
  <c r="M315" i="5"/>
  <c r="E24" i="5"/>
  <c r="E40" i="5"/>
  <c r="E34" i="5"/>
  <c r="E32" i="5"/>
  <c r="E31" i="5"/>
  <c r="E36" i="5"/>
  <c r="E39" i="5"/>
  <c r="E38" i="5"/>
  <c r="E35" i="5"/>
  <c r="E37" i="5"/>
  <c r="M24" i="5"/>
  <c r="E33" i="5"/>
  <c r="AG418" i="5"/>
  <c r="Q354" i="5"/>
  <c r="S316" i="5"/>
  <c r="P331" i="5"/>
  <c r="P350" i="5"/>
  <c r="P352" i="5"/>
  <c r="Z407" i="5"/>
  <c r="Y449" i="5" s="1"/>
  <c r="AL408" i="5"/>
  <c r="Z469" i="5"/>
  <c r="X469" i="5" s="1"/>
  <c r="X420" i="5"/>
  <c r="AH420" i="5"/>
  <c r="AI420" i="5" s="1"/>
  <c r="S315" i="5"/>
  <c r="Z484" i="5"/>
  <c r="S354" i="5"/>
  <c r="L402" i="5"/>
  <c r="L403" i="5" s="1"/>
  <c r="N354" i="5"/>
  <c r="AG410" i="5"/>
  <c r="AM410" i="5"/>
  <c r="AL469" i="5"/>
  <c r="P24" i="15"/>
  <c r="P39" i="15"/>
  <c r="P40" i="15"/>
  <c r="P32" i="15"/>
  <c r="P38" i="15"/>
  <c r="P33" i="15"/>
  <c r="P35" i="15"/>
  <c r="P31" i="15"/>
  <c r="P36" i="15"/>
  <c r="P34" i="15"/>
  <c r="P37" i="15"/>
  <c r="AM419" i="15"/>
  <c r="R27" i="15"/>
  <c r="R28" i="15" s="1"/>
  <c r="AL408" i="15"/>
  <c r="N85" i="15"/>
  <c r="N28" i="15"/>
  <c r="S28" i="15"/>
  <c r="AM416" i="15"/>
  <c r="AO434" i="15"/>
  <c r="AM418" i="15"/>
  <c r="F402" i="15"/>
  <c r="AO420" i="15"/>
  <c r="AL469" i="15"/>
  <c r="AI447" i="15"/>
  <c r="Z407" i="15"/>
  <c r="Y449" i="15" s="1"/>
  <c r="Q354" i="15"/>
  <c r="S354" i="15" s="1"/>
  <c r="P331" i="15"/>
  <c r="P350" i="15"/>
  <c r="E24" i="15"/>
  <c r="E39" i="15"/>
  <c r="E35" i="15"/>
  <c r="E33" i="15"/>
  <c r="E40" i="15"/>
  <c r="E34" i="15"/>
  <c r="E36" i="15"/>
  <c r="E31" i="15"/>
  <c r="E32" i="15"/>
  <c r="E38" i="15"/>
  <c r="E37" i="15"/>
  <c r="L402" i="15"/>
  <c r="N354" i="15"/>
  <c r="X467" i="15"/>
  <c r="X420" i="15"/>
  <c r="P315" i="15"/>
  <c r="R315" i="15"/>
  <c r="AL407" i="15"/>
  <c r="AH434" i="15"/>
  <c r="AI434" i="15" s="1"/>
  <c r="AM415" i="15"/>
  <c r="AH408" i="15"/>
  <c r="AI408" i="15" s="1"/>
  <c r="AN408" i="15"/>
  <c r="AF484" i="15"/>
  <c r="S315" i="15"/>
  <c r="S316" i="15" s="1"/>
  <c r="AD469" i="15"/>
  <c r="Z469" i="15"/>
  <c r="X469" i="15" s="1"/>
  <c r="AL484" i="5" l="1"/>
  <c r="AN484" i="5" s="1"/>
  <c r="AJ420" i="5"/>
  <c r="AJ469" i="5"/>
  <c r="AJ467" i="5"/>
  <c r="AJ434" i="5"/>
  <c r="AJ453" i="5"/>
  <c r="AJ408" i="5"/>
  <c r="AN469" i="5"/>
  <c r="AO469" i="5" s="1"/>
  <c r="AN408" i="5"/>
  <c r="AO408" i="5" s="1"/>
  <c r="Y484" i="5"/>
  <c r="Z490" i="5"/>
  <c r="AH469" i="5"/>
  <c r="AI469" i="5" s="1"/>
  <c r="AF490" i="5"/>
  <c r="AH484" i="5"/>
  <c r="AI484" i="5" s="1"/>
  <c r="AE484" i="5"/>
  <c r="Z484" i="15"/>
  <c r="L403" i="15"/>
  <c r="AN469" i="15"/>
  <c r="AO469" i="15" s="1"/>
  <c r="AF490" i="15"/>
  <c r="AE484" i="15"/>
  <c r="AH484" i="15"/>
  <c r="AI484" i="15" s="1"/>
  <c r="AL484" i="15"/>
  <c r="AK484" i="15" s="1"/>
  <c r="AJ434" i="15"/>
  <c r="AO408" i="15"/>
  <c r="AJ453" i="15"/>
  <c r="AJ420" i="15"/>
  <c r="AJ408" i="15"/>
  <c r="AJ467" i="15"/>
  <c r="AJ469" i="15"/>
  <c r="AH469" i="15"/>
  <c r="AI469" i="15" s="1"/>
  <c r="AH490" i="5" l="1"/>
  <c r="AI490" i="5" s="1"/>
  <c r="AF489" i="5"/>
  <c r="AF499" i="5"/>
  <c r="AE490" i="5"/>
  <c r="Z489" i="5"/>
  <c r="Y489" i="5" s="1"/>
  <c r="Y490" i="5"/>
  <c r="Z499" i="5"/>
  <c r="Y499" i="5" s="1"/>
  <c r="AO484" i="5"/>
  <c r="AL490" i="5"/>
  <c r="AK484" i="5"/>
  <c r="AF489" i="15"/>
  <c r="AF499" i="15"/>
  <c r="AE490" i="15"/>
  <c r="AL490" i="15"/>
  <c r="AN484" i="15"/>
  <c r="AO484" i="15" s="1"/>
  <c r="Z490" i="15"/>
  <c r="Y484" i="15"/>
  <c r="AL489" i="5" l="1"/>
  <c r="AL499" i="5"/>
  <c r="AN499" i="5" s="1"/>
  <c r="AK490" i="5"/>
  <c r="AN490" i="5"/>
  <c r="AO490" i="5" s="1"/>
  <c r="AE489" i="5"/>
  <c r="AN489" i="5"/>
  <c r="AH489" i="5"/>
  <c r="AI489" i="5" s="1"/>
  <c r="AH499" i="5"/>
  <c r="AI499" i="5" s="1"/>
  <c r="AF512" i="5"/>
  <c r="AG512" i="5" s="1"/>
  <c r="AE499" i="5"/>
  <c r="AF503" i="5"/>
  <c r="AF505" i="5"/>
  <c r="Z489" i="15"/>
  <c r="Y489" i="15" s="1"/>
  <c r="Z499" i="15"/>
  <c r="Y499" i="15" s="1"/>
  <c r="Y490" i="15"/>
  <c r="AL499" i="15"/>
  <c r="AL489" i="15"/>
  <c r="AN489" i="15" s="1"/>
  <c r="AK490" i="15"/>
  <c r="AN490" i="15"/>
  <c r="AO490" i="15" s="1"/>
  <c r="AH499" i="15"/>
  <c r="AI499" i="15" s="1"/>
  <c r="AF512" i="15"/>
  <c r="AG512" i="15" s="1"/>
  <c r="AE499" i="15"/>
  <c r="AF503" i="15"/>
  <c r="AF505" i="15"/>
  <c r="AE489" i="15"/>
  <c r="AH489" i="15"/>
  <c r="AI489" i="15" s="1"/>
  <c r="AH490" i="15"/>
  <c r="AI490" i="15" s="1"/>
  <c r="AO499" i="5" l="1"/>
  <c r="AK499" i="5"/>
  <c r="AO489" i="5"/>
  <c r="AK489" i="5"/>
  <c r="AO489" i="15"/>
  <c r="AK489" i="15"/>
  <c r="AK499" i="15"/>
  <c r="AN499" i="15"/>
  <c r="AO499" i="15" s="1"/>
  <c r="V403" i="1" l="1"/>
  <c r="C169" i="1"/>
  <c r="C292" i="1"/>
  <c r="A499" i="1"/>
  <c r="A408" i="1" l="1"/>
  <c r="A407" i="1"/>
  <c r="A110" i="1"/>
  <c r="A109" i="1"/>
  <c r="R99" i="1" l="1"/>
  <c r="Q99" i="1"/>
  <c r="I99" i="1"/>
  <c r="F99" i="1"/>
  <c r="A99" i="1"/>
  <c r="A100" i="1"/>
  <c r="A101" i="1"/>
  <c r="D101" i="1"/>
  <c r="F101" i="1"/>
  <c r="G101" i="1"/>
  <c r="I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O104" i="1"/>
  <c r="P104" i="1" s="1"/>
  <c r="Q104" i="1"/>
  <c r="A105" i="1"/>
  <c r="D105" i="1"/>
  <c r="F105" i="1"/>
  <c r="G105" i="1"/>
  <c r="H105" i="1" s="1"/>
  <c r="I105" i="1"/>
  <c r="J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Q113" i="1"/>
  <c r="O113" i="1" s="1"/>
  <c r="A114" i="1"/>
  <c r="F114" i="1"/>
  <c r="I114" i="1"/>
  <c r="Q114" i="1"/>
  <c r="A115" i="1"/>
  <c r="F115" i="1"/>
  <c r="I115" i="1"/>
  <c r="Q115" i="1"/>
  <c r="A116" i="1"/>
  <c r="F116" i="1"/>
  <c r="I116" i="1"/>
  <c r="Q116" i="1"/>
  <c r="A117" i="1"/>
  <c r="F117" i="1"/>
  <c r="I117" i="1"/>
  <c r="Q117" i="1"/>
  <c r="A118" i="1"/>
  <c r="F118" i="1"/>
  <c r="I118" i="1"/>
  <c r="Q118" i="1"/>
  <c r="A119" i="1"/>
  <c r="F119" i="1"/>
  <c r="I119" i="1"/>
  <c r="Q119" i="1"/>
  <c r="A120" i="1"/>
  <c r="F120" i="1"/>
  <c r="I120" i="1"/>
  <c r="Q120" i="1"/>
  <c r="A121" i="1"/>
  <c r="F121" i="1"/>
  <c r="I121" i="1"/>
  <c r="Q121" i="1"/>
  <c r="A122" i="1"/>
  <c r="F122" i="1"/>
  <c r="I122" i="1"/>
  <c r="Q122" i="1"/>
  <c r="A123" i="1"/>
  <c r="A124" i="1"/>
  <c r="F124" i="1"/>
  <c r="I124" i="1"/>
  <c r="Q124" i="1"/>
  <c r="A125" i="1"/>
  <c r="F125" i="1"/>
  <c r="I125" i="1"/>
  <c r="Q125" i="1"/>
  <c r="A126" i="1"/>
  <c r="F126" i="1"/>
  <c r="I126" i="1"/>
  <c r="Q126" i="1"/>
  <c r="A127" i="1"/>
  <c r="F127" i="1"/>
  <c r="I127" i="1"/>
  <c r="Q127" i="1"/>
  <c r="A128" i="1"/>
  <c r="F128" i="1"/>
  <c r="I128" i="1"/>
  <c r="Q128" i="1"/>
  <c r="A129" i="1"/>
  <c r="F129" i="1"/>
  <c r="I129" i="1"/>
  <c r="Q129" i="1"/>
  <c r="A130" i="1"/>
  <c r="F130" i="1"/>
  <c r="I130" i="1"/>
  <c r="Q130" i="1"/>
  <c r="A131" i="1"/>
  <c r="F131" i="1"/>
  <c r="I131" i="1"/>
  <c r="Q131" i="1"/>
  <c r="A132" i="1"/>
  <c r="F132" i="1"/>
  <c r="I132" i="1"/>
  <c r="Q132" i="1"/>
  <c r="A133" i="1"/>
  <c r="F133" i="1"/>
  <c r="I133" i="1"/>
  <c r="Q133" i="1"/>
  <c r="A134" i="1"/>
  <c r="F134" i="1"/>
  <c r="I134" i="1"/>
  <c r="Q134" i="1"/>
  <c r="A135" i="1"/>
  <c r="F135" i="1"/>
  <c r="I135" i="1"/>
  <c r="Q135" i="1"/>
  <c r="A136" i="1"/>
  <c r="A137" i="1"/>
  <c r="F137" i="1"/>
  <c r="I137" i="1"/>
  <c r="Q137" i="1"/>
  <c r="A138" i="1"/>
  <c r="F138" i="1"/>
  <c r="I138" i="1"/>
  <c r="Q138" i="1"/>
  <c r="A139" i="1"/>
  <c r="F139" i="1"/>
  <c r="I139" i="1"/>
  <c r="Q139" i="1"/>
  <c r="A140" i="1"/>
  <c r="F140" i="1"/>
  <c r="I140" i="1"/>
  <c r="Q140" i="1"/>
  <c r="A141" i="1"/>
  <c r="F141" i="1"/>
  <c r="I141" i="1"/>
  <c r="Q141" i="1"/>
  <c r="A142" i="1"/>
  <c r="F142" i="1"/>
  <c r="I142" i="1"/>
  <c r="Q142" i="1"/>
  <c r="A143" i="1"/>
  <c r="F143" i="1"/>
  <c r="I143" i="1"/>
  <c r="Q143" i="1"/>
  <c r="A144" i="1"/>
  <c r="F144" i="1"/>
  <c r="I144" i="1"/>
  <c r="Q144" i="1"/>
  <c r="A145" i="1"/>
  <c r="F145" i="1"/>
  <c r="I145" i="1"/>
  <c r="Q145" i="1"/>
  <c r="A146" i="1"/>
  <c r="F146" i="1"/>
  <c r="I146" i="1"/>
  <c r="Q146" i="1"/>
  <c r="A147" i="1"/>
  <c r="F147" i="1"/>
  <c r="I147" i="1"/>
  <c r="Q147" i="1"/>
  <c r="A148" i="1"/>
  <c r="F148" i="1"/>
  <c r="I148" i="1"/>
  <c r="Q148" i="1"/>
  <c r="A149" i="1"/>
  <c r="F149" i="1"/>
  <c r="I149" i="1"/>
  <c r="Q149" i="1"/>
  <c r="A150" i="1"/>
  <c r="F150" i="1"/>
  <c r="I150" i="1"/>
  <c r="Q150" i="1"/>
  <c r="A151" i="1"/>
  <c r="F151" i="1"/>
  <c r="I151" i="1"/>
  <c r="Q151" i="1"/>
  <c r="A152" i="1"/>
  <c r="F152" i="1"/>
  <c r="I152" i="1"/>
  <c r="Q152" i="1"/>
  <c r="A153" i="1"/>
  <c r="F153" i="1"/>
  <c r="I153" i="1"/>
  <c r="Q153" i="1"/>
  <c r="A154" i="1"/>
  <c r="A155" i="1"/>
  <c r="A156" i="1"/>
  <c r="A157" i="1"/>
  <c r="F157" i="1"/>
  <c r="I157" i="1"/>
  <c r="Q157" i="1"/>
  <c r="A158" i="1"/>
  <c r="F158" i="1"/>
  <c r="I158" i="1"/>
  <c r="Q158" i="1"/>
  <c r="A159" i="1"/>
  <c r="F159" i="1"/>
  <c r="I159" i="1"/>
  <c r="Q159" i="1"/>
  <c r="A160" i="1"/>
  <c r="F160" i="1"/>
  <c r="I160" i="1"/>
  <c r="Q160" i="1"/>
  <c r="A161" i="1"/>
  <c r="F161" i="1"/>
  <c r="I161" i="1"/>
  <c r="Q161" i="1"/>
  <c r="A162" i="1"/>
  <c r="F162" i="1"/>
  <c r="I162" i="1"/>
  <c r="Q162" i="1"/>
  <c r="A163" i="1"/>
  <c r="F163" i="1"/>
  <c r="I163" i="1"/>
  <c r="Q163" i="1"/>
  <c r="A172" i="1"/>
  <c r="A173" i="1"/>
  <c r="D173" i="1"/>
  <c r="E173" i="1"/>
  <c r="F173" i="1"/>
  <c r="G173" i="1"/>
  <c r="H173" i="1"/>
  <c r="H175" i="1" s="1"/>
  <c r="I173" i="1"/>
  <c r="O173" i="1"/>
  <c r="P173" i="1"/>
  <c r="Q173" i="1"/>
  <c r="A174" i="1"/>
  <c r="A175" i="1"/>
  <c r="A176" i="1"/>
  <c r="D176" i="1"/>
  <c r="E176" i="1"/>
  <c r="F176" i="1"/>
  <c r="G176" i="1"/>
  <c r="H176" i="1"/>
  <c r="I176" i="1"/>
  <c r="O176" i="1"/>
  <c r="P176" i="1"/>
  <c r="Q176" i="1"/>
  <c r="A177" i="1"/>
  <c r="A178" i="1"/>
  <c r="A179" i="1"/>
  <c r="D179" i="1"/>
  <c r="E179" i="1"/>
  <c r="F179" i="1"/>
  <c r="G179" i="1"/>
  <c r="H179" i="1"/>
  <c r="I179" i="1"/>
  <c r="O179" i="1"/>
  <c r="P179" i="1"/>
  <c r="Q179" i="1"/>
  <c r="A180" i="1"/>
  <c r="R180" i="1"/>
  <c r="A181" i="1"/>
  <c r="A182" i="1"/>
  <c r="D182" i="1"/>
  <c r="E182" i="1"/>
  <c r="F182" i="1"/>
  <c r="G182" i="1"/>
  <c r="H182" i="1"/>
  <c r="I182" i="1"/>
  <c r="O182" i="1"/>
  <c r="P182" i="1"/>
  <c r="Q182" i="1"/>
  <c r="A183" i="1"/>
  <c r="M183" i="1"/>
  <c r="A184" i="1"/>
  <c r="A185" i="1"/>
  <c r="F185" i="1"/>
  <c r="I185" i="1"/>
  <c r="Q185" i="1"/>
  <c r="A186" i="1"/>
  <c r="R186" i="1"/>
  <c r="S187" i="1" s="1"/>
  <c r="A187" i="1"/>
  <c r="A188" i="1"/>
  <c r="A189" i="1"/>
  <c r="E189" i="1"/>
  <c r="F189" i="1"/>
  <c r="H189" i="1"/>
  <c r="I189" i="1"/>
  <c r="P189" i="1"/>
  <c r="Q189" i="1"/>
  <c r="R189" i="1"/>
  <c r="A190" i="1"/>
  <c r="A191" i="1"/>
  <c r="A192" i="1"/>
  <c r="E192" i="1"/>
  <c r="F192" i="1"/>
  <c r="F193" i="1" s="1"/>
  <c r="H192" i="1"/>
  <c r="I192" i="1"/>
  <c r="I193" i="1" s="1"/>
  <c r="L192" i="1"/>
  <c r="L193" i="1" s="1"/>
  <c r="P192" i="1"/>
  <c r="Q192" i="1"/>
  <c r="Q193" i="1" s="1"/>
  <c r="A193" i="1"/>
  <c r="A194" i="1"/>
  <c r="A195" i="1"/>
  <c r="A196" i="1"/>
  <c r="A197" i="1"/>
  <c r="A198" i="1"/>
  <c r="A199" i="1"/>
  <c r="F199" i="1"/>
  <c r="I199" i="1"/>
  <c r="Q199" i="1"/>
  <c r="A200" i="1"/>
  <c r="F200" i="1"/>
  <c r="I200" i="1"/>
  <c r="Q200" i="1"/>
  <c r="A201" i="1"/>
  <c r="F201" i="1"/>
  <c r="I201" i="1"/>
  <c r="Q201" i="1"/>
  <c r="A202" i="1"/>
  <c r="F202" i="1"/>
  <c r="I202" i="1"/>
  <c r="Q202" i="1"/>
  <c r="A203" i="1"/>
  <c r="F203" i="1"/>
  <c r="I203" i="1"/>
  <c r="Q203" i="1"/>
  <c r="A204" i="1"/>
  <c r="F204" i="1"/>
  <c r="I204" i="1"/>
  <c r="Q204" i="1"/>
  <c r="A205" i="1"/>
  <c r="F205" i="1"/>
  <c r="I205" i="1"/>
  <c r="Q205" i="1"/>
  <c r="A206" i="1"/>
  <c r="F206" i="1"/>
  <c r="I206" i="1"/>
  <c r="Q206" i="1"/>
  <c r="A207" i="1"/>
  <c r="F207" i="1"/>
  <c r="I207" i="1"/>
  <c r="Q207" i="1"/>
  <c r="A208" i="1"/>
  <c r="F208" i="1"/>
  <c r="I208" i="1"/>
  <c r="Q208" i="1"/>
  <c r="A209" i="1"/>
  <c r="F209" i="1"/>
  <c r="I209" i="1"/>
  <c r="Q209" i="1"/>
  <c r="A210" i="1"/>
  <c r="F210" i="1"/>
  <c r="I210" i="1"/>
  <c r="Q210" i="1"/>
  <c r="A211" i="1"/>
  <c r="A212" i="1"/>
  <c r="F212" i="1"/>
  <c r="I212" i="1"/>
  <c r="Q212" i="1"/>
  <c r="A213" i="1"/>
  <c r="F213" i="1"/>
  <c r="I213" i="1"/>
  <c r="Q213" i="1"/>
  <c r="A214" i="1"/>
  <c r="F214" i="1"/>
  <c r="I214" i="1"/>
  <c r="Q214" i="1"/>
  <c r="A215" i="1"/>
  <c r="F215" i="1"/>
  <c r="I215" i="1"/>
  <c r="Q215" i="1"/>
  <c r="A216" i="1"/>
  <c r="F216" i="1"/>
  <c r="I216" i="1"/>
  <c r="Q216" i="1"/>
  <c r="A217" i="1"/>
  <c r="F217" i="1"/>
  <c r="I217" i="1"/>
  <c r="Q217" i="1"/>
  <c r="A218" i="1"/>
  <c r="F218" i="1"/>
  <c r="I218" i="1"/>
  <c r="Q218" i="1"/>
  <c r="A219" i="1"/>
  <c r="F219" i="1"/>
  <c r="I219" i="1"/>
  <c r="Q219" i="1"/>
  <c r="A220" i="1"/>
  <c r="F220" i="1"/>
  <c r="I220" i="1"/>
  <c r="Q220" i="1"/>
  <c r="A221" i="1"/>
  <c r="F221" i="1"/>
  <c r="I221" i="1"/>
  <c r="Q221" i="1"/>
  <c r="A222" i="1"/>
  <c r="F222" i="1"/>
  <c r="I222" i="1"/>
  <c r="Q222" i="1"/>
  <c r="A223" i="1"/>
  <c r="F223" i="1"/>
  <c r="I223" i="1"/>
  <c r="Q223" i="1"/>
  <c r="A224" i="1"/>
  <c r="F224" i="1"/>
  <c r="I224" i="1"/>
  <c r="Q224" i="1"/>
  <c r="A225" i="1"/>
  <c r="F225" i="1"/>
  <c r="I225" i="1"/>
  <c r="Q225" i="1"/>
  <c r="A226" i="1"/>
  <c r="F226" i="1"/>
  <c r="I226" i="1"/>
  <c r="Q226" i="1"/>
  <c r="A227" i="1"/>
  <c r="F227" i="1"/>
  <c r="I227" i="1"/>
  <c r="Q227" i="1"/>
  <c r="F228" i="1"/>
  <c r="I228" i="1"/>
  <c r="Q228" i="1"/>
  <c r="A229" i="1"/>
  <c r="F229" i="1"/>
  <c r="I229" i="1"/>
  <c r="Q229" i="1"/>
  <c r="N233" i="1"/>
  <c r="C237" i="1"/>
  <c r="A240" i="1"/>
  <c r="A241" i="1"/>
  <c r="A242" i="1"/>
  <c r="D242" i="1"/>
  <c r="E242" i="1"/>
  <c r="F242" i="1"/>
  <c r="G242" i="1"/>
  <c r="H242" i="1"/>
  <c r="I242" i="1"/>
  <c r="O242" i="1"/>
  <c r="P242" i="1"/>
  <c r="Q242" i="1"/>
  <c r="A243" i="1"/>
  <c r="A244" i="1"/>
  <c r="A245" i="1"/>
  <c r="D245" i="1"/>
  <c r="E245" i="1"/>
  <c r="F245" i="1"/>
  <c r="G245" i="1"/>
  <c r="H245" i="1"/>
  <c r="I245" i="1"/>
  <c r="O245" i="1"/>
  <c r="R245" i="1" s="1"/>
  <c r="P245" i="1"/>
  <c r="Q245" i="1"/>
  <c r="S246" i="1" s="1"/>
  <c r="A246" i="1"/>
  <c r="A247" i="1"/>
  <c r="A248" i="1"/>
  <c r="D248" i="1"/>
  <c r="E248" i="1"/>
  <c r="F248" i="1"/>
  <c r="G248" i="1"/>
  <c r="H248" i="1"/>
  <c r="I248" i="1"/>
  <c r="O248" i="1"/>
  <c r="R248" i="1" s="1"/>
  <c r="P248" i="1"/>
  <c r="Q248" i="1"/>
  <c r="A249" i="1"/>
  <c r="A250" i="1"/>
  <c r="A251" i="1"/>
  <c r="A252" i="1"/>
  <c r="A253" i="1"/>
  <c r="A254" i="1"/>
  <c r="A255" i="1"/>
  <c r="F255" i="1"/>
  <c r="I255" i="1"/>
  <c r="Q255" i="1"/>
  <c r="A256" i="1"/>
  <c r="F256" i="1"/>
  <c r="I256" i="1"/>
  <c r="Q256" i="1"/>
  <c r="A257" i="1"/>
  <c r="F257" i="1"/>
  <c r="I257" i="1"/>
  <c r="Q257" i="1"/>
  <c r="A258" i="1"/>
  <c r="F258" i="1"/>
  <c r="I258" i="1"/>
  <c r="Q258" i="1"/>
  <c r="A259" i="1"/>
  <c r="F259" i="1"/>
  <c r="I259" i="1"/>
  <c r="Q259" i="1"/>
  <c r="A260" i="1"/>
  <c r="F260" i="1"/>
  <c r="I260" i="1"/>
  <c r="Q260" i="1"/>
  <c r="A261" i="1"/>
  <c r="F261" i="1"/>
  <c r="I261" i="1"/>
  <c r="Q261" i="1"/>
  <c r="A262" i="1"/>
  <c r="F262" i="1"/>
  <c r="I262" i="1"/>
  <c r="Q262" i="1"/>
  <c r="A263" i="1"/>
  <c r="F263" i="1"/>
  <c r="I263" i="1"/>
  <c r="Q263" i="1"/>
  <c r="A264" i="1"/>
  <c r="F264" i="1"/>
  <c r="I264" i="1"/>
  <c r="Q264" i="1"/>
  <c r="A265" i="1"/>
  <c r="F265" i="1"/>
  <c r="I265" i="1"/>
  <c r="Q265" i="1"/>
  <c r="A266" i="1"/>
  <c r="F266" i="1"/>
  <c r="I266" i="1"/>
  <c r="Q266" i="1"/>
  <c r="A267" i="1"/>
  <c r="A268" i="1"/>
  <c r="F268" i="1"/>
  <c r="I268" i="1"/>
  <c r="Q268" i="1"/>
  <c r="A269" i="1"/>
  <c r="F269" i="1"/>
  <c r="I269" i="1"/>
  <c r="Q269" i="1"/>
  <c r="A270" i="1"/>
  <c r="F270" i="1"/>
  <c r="I270" i="1"/>
  <c r="Q270" i="1"/>
  <c r="A271" i="1"/>
  <c r="F271" i="1"/>
  <c r="I271" i="1"/>
  <c r="Q271" i="1"/>
  <c r="A272" i="1"/>
  <c r="F272" i="1"/>
  <c r="I272" i="1"/>
  <c r="Q272" i="1"/>
  <c r="A273" i="1"/>
  <c r="F273" i="1"/>
  <c r="I273" i="1"/>
  <c r="Q273" i="1"/>
  <c r="A274" i="1"/>
  <c r="F274" i="1"/>
  <c r="I274" i="1"/>
  <c r="Q274" i="1"/>
  <c r="A275" i="1"/>
  <c r="F275" i="1"/>
  <c r="I275" i="1"/>
  <c r="Q275" i="1"/>
  <c r="A276" i="1"/>
  <c r="F276" i="1"/>
  <c r="I276" i="1"/>
  <c r="Q276" i="1"/>
  <c r="A277" i="1"/>
  <c r="F277" i="1"/>
  <c r="I277" i="1"/>
  <c r="Q277" i="1"/>
  <c r="A278" i="1"/>
  <c r="F278" i="1"/>
  <c r="I278" i="1"/>
  <c r="Q278" i="1"/>
  <c r="A279" i="1"/>
  <c r="F279" i="1"/>
  <c r="I279" i="1"/>
  <c r="Q279" i="1"/>
  <c r="A280" i="1"/>
  <c r="F280" i="1"/>
  <c r="I280" i="1"/>
  <c r="Q280" i="1"/>
  <c r="A281" i="1"/>
  <c r="F281" i="1"/>
  <c r="I281" i="1"/>
  <c r="Q281" i="1"/>
  <c r="A282" i="1"/>
  <c r="F282" i="1"/>
  <c r="I282" i="1"/>
  <c r="Q282" i="1"/>
  <c r="A283" i="1"/>
  <c r="F283" i="1"/>
  <c r="I283" i="1"/>
  <c r="Q283" i="1"/>
  <c r="A284" i="1"/>
  <c r="F284" i="1"/>
  <c r="I284" i="1"/>
  <c r="Q284" i="1"/>
  <c r="A285" i="1"/>
  <c r="F285" i="1"/>
  <c r="I285" i="1"/>
  <c r="Q285" i="1"/>
  <c r="N289" i="1"/>
  <c r="C357" i="1"/>
  <c r="A295" i="1"/>
  <c r="A296" i="1"/>
  <c r="D296" i="1"/>
  <c r="F296" i="1"/>
  <c r="G296" i="1"/>
  <c r="H296" i="1" s="1"/>
  <c r="I296" i="1"/>
  <c r="O296" i="1"/>
  <c r="Q296" i="1"/>
  <c r="A297" i="1"/>
  <c r="D297" i="1"/>
  <c r="F297" i="1"/>
  <c r="G297" i="1"/>
  <c r="H297" i="1" s="1"/>
  <c r="I297" i="1"/>
  <c r="O297" i="1"/>
  <c r="Q297" i="1"/>
  <c r="A298" i="1"/>
  <c r="D298" i="1"/>
  <c r="F298" i="1"/>
  <c r="G298" i="1"/>
  <c r="H298" i="1" s="1"/>
  <c r="I298" i="1"/>
  <c r="O298" i="1"/>
  <c r="Q298" i="1"/>
  <c r="A299" i="1"/>
  <c r="D299" i="1"/>
  <c r="F299" i="1"/>
  <c r="G299" i="1"/>
  <c r="H299" i="1" s="1"/>
  <c r="I299" i="1"/>
  <c r="O299" i="1"/>
  <c r="Q299" i="1"/>
  <c r="A300" i="1"/>
  <c r="D300" i="1"/>
  <c r="F300" i="1"/>
  <c r="G300" i="1"/>
  <c r="H300" i="1" s="1"/>
  <c r="I300" i="1"/>
  <c r="O300" i="1"/>
  <c r="Q300" i="1"/>
  <c r="A301" i="1"/>
  <c r="D301" i="1"/>
  <c r="F301" i="1"/>
  <c r="G301" i="1"/>
  <c r="H301" i="1" s="1"/>
  <c r="I301" i="1"/>
  <c r="O301" i="1"/>
  <c r="Q301" i="1"/>
  <c r="A302" i="1"/>
  <c r="D302" i="1"/>
  <c r="E302" i="1" s="1"/>
  <c r="F302" i="1"/>
  <c r="G302" i="1"/>
  <c r="H302" i="1" s="1"/>
  <c r="I302" i="1"/>
  <c r="O302" i="1"/>
  <c r="P302" i="1" s="1"/>
  <c r="Q302" i="1"/>
  <c r="A303" i="1"/>
  <c r="D303" i="1"/>
  <c r="E303" i="1" s="1"/>
  <c r="F303" i="1"/>
  <c r="G303" i="1"/>
  <c r="H303" i="1" s="1"/>
  <c r="I303" i="1"/>
  <c r="O303" i="1"/>
  <c r="P303" i="1" s="1"/>
  <c r="Q303" i="1"/>
  <c r="A304" i="1"/>
  <c r="D304" i="1"/>
  <c r="F304" i="1"/>
  <c r="G304" i="1"/>
  <c r="H304" i="1" s="1"/>
  <c r="I304" i="1"/>
  <c r="O304" i="1"/>
  <c r="P304" i="1" s="1"/>
  <c r="Q304" i="1"/>
  <c r="A305" i="1"/>
  <c r="A306" i="1"/>
  <c r="A307" i="1"/>
  <c r="A308" i="1"/>
  <c r="D308" i="1"/>
  <c r="F308" i="1"/>
  <c r="G308" i="1"/>
  <c r="H308" i="1" s="1"/>
  <c r="I308" i="1"/>
  <c r="O308" i="1"/>
  <c r="Q308" i="1"/>
  <c r="A309" i="1"/>
  <c r="D309" i="1"/>
  <c r="F309" i="1"/>
  <c r="G309" i="1"/>
  <c r="H309" i="1" s="1"/>
  <c r="I309" i="1"/>
  <c r="O309" i="1"/>
  <c r="Q309" i="1"/>
  <c r="A310" i="1"/>
  <c r="A311" i="1"/>
  <c r="A312" i="1"/>
  <c r="D312" i="1"/>
  <c r="E312" i="1" s="1"/>
  <c r="F312" i="1"/>
  <c r="G312" i="1"/>
  <c r="H312" i="1" s="1"/>
  <c r="I312" i="1"/>
  <c r="J312" i="1"/>
  <c r="K312" i="1" s="1"/>
  <c r="L312" i="1"/>
  <c r="O312" i="1"/>
  <c r="P312" i="1" s="1"/>
  <c r="Q312" i="1"/>
  <c r="A313" i="1"/>
  <c r="D313" i="1"/>
  <c r="E313" i="1" s="1"/>
  <c r="F313" i="1"/>
  <c r="M313" i="1" s="1"/>
  <c r="G313" i="1"/>
  <c r="H313" i="1" s="1"/>
  <c r="I313" i="1"/>
  <c r="O313" i="1"/>
  <c r="P313" i="1" s="1"/>
  <c r="Q313" i="1"/>
  <c r="A314" i="1"/>
  <c r="A315" i="1"/>
  <c r="A316" i="1"/>
  <c r="A317" i="1"/>
  <c r="A318" i="1"/>
  <c r="A319" i="1"/>
  <c r="F319" i="1"/>
  <c r="I319" i="1"/>
  <c r="Q319" i="1"/>
  <c r="A320" i="1"/>
  <c r="F320" i="1"/>
  <c r="I320" i="1"/>
  <c r="Q320" i="1"/>
  <c r="A321" i="1"/>
  <c r="F321" i="1"/>
  <c r="I321" i="1"/>
  <c r="Q321" i="1"/>
  <c r="A322" i="1"/>
  <c r="F322" i="1"/>
  <c r="I322" i="1"/>
  <c r="Q322" i="1"/>
  <c r="A323" i="1"/>
  <c r="F323" i="1"/>
  <c r="I323" i="1"/>
  <c r="Q323" i="1"/>
  <c r="A324" i="1"/>
  <c r="F324" i="1"/>
  <c r="I324" i="1"/>
  <c r="Q324" i="1"/>
  <c r="A325" i="1"/>
  <c r="F325" i="1"/>
  <c r="I325" i="1"/>
  <c r="Q325" i="1"/>
  <c r="A326" i="1"/>
  <c r="F326" i="1"/>
  <c r="I326" i="1"/>
  <c r="Q326" i="1"/>
  <c r="A327" i="1"/>
  <c r="F327" i="1"/>
  <c r="I327" i="1"/>
  <c r="Q327" i="1"/>
  <c r="A328" i="1"/>
  <c r="F328" i="1"/>
  <c r="I328" i="1"/>
  <c r="Q328" i="1"/>
  <c r="A329" i="1"/>
  <c r="F329" i="1"/>
  <c r="I329" i="1"/>
  <c r="Q329" i="1"/>
  <c r="A330" i="1"/>
  <c r="F330" i="1"/>
  <c r="I330" i="1"/>
  <c r="Q330" i="1"/>
  <c r="A331" i="1"/>
  <c r="A332" i="1"/>
  <c r="F332" i="1"/>
  <c r="I332" i="1"/>
  <c r="Q332" i="1"/>
  <c r="A333" i="1"/>
  <c r="F333" i="1"/>
  <c r="I333" i="1"/>
  <c r="Q333" i="1"/>
  <c r="A334" i="1"/>
  <c r="F334" i="1"/>
  <c r="I334" i="1"/>
  <c r="Q334" i="1"/>
  <c r="A335" i="1"/>
  <c r="F335" i="1"/>
  <c r="I335" i="1"/>
  <c r="Q335" i="1"/>
  <c r="A336" i="1"/>
  <c r="F336" i="1"/>
  <c r="I336" i="1"/>
  <c r="Q336" i="1"/>
  <c r="A337" i="1"/>
  <c r="F337" i="1"/>
  <c r="I337" i="1"/>
  <c r="Q337" i="1"/>
  <c r="A338" i="1"/>
  <c r="F338" i="1"/>
  <c r="I338" i="1"/>
  <c r="Q338" i="1"/>
  <c r="A339" i="1"/>
  <c r="F339" i="1"/>
  <c r="I339" i="1"/>
  <c r="Q339" i="1"/>
  <c r="A340" i="1"/>
  <c r="F340" i="1"/>
  <c r="I340" i="1"/>
  <c r="Q340" i="1"/>
  <c r="A341" i="1"/>
  <c r="F341" i="1"/>
  <c r="I341" i="1"/>
  <c r="Q341" i="1"/>
  <c r="A342" i="1"/>
  <c r="F342" i="1"/>
  <c r="I342" i="1"/>
  <c r="Q342" i="1"/>
  <c r="A343" i="1"/>
  <c r="F343" i="1"/>
  <c r="I343" i="1"/>
  <c r="Q343" i="1"/>
  <c r="A344" i="1"/>
  <c r="F344" i="1"/>
  <c r="I344" i="1"/>
  <c r="Q344" i="1"/>
  <c r="A345" i="1"/>
  <c r="F345" i="1"/>
  <c r="I345" i="1"/>
  <c r="Q345" i="1"/>
  <c r="A346" i="1"/>
  <c r="F346" i="1"/>
  <c r="I346" i="1"/>
  <c r="Q346" i="1"/>
  <c r="A347" i="1"/>
  <c r="F347" i="1"/>
  <c r="I347" i="1"/>
  <c r="Q347" i="1"/>
  <c r="A348" i="1"/>
  <c r="F348" i="1"/>
  <c r="I348" i="1"/>
  <c r="Q348" i="1"/>
  <c r="A349" i="1"/>
  <c r="F349" i="1"/>
  <c r="I349" i="1"/>
  <c r="Q349" i="1"/>
  <c r="N353" i="1"/>
  <c r="A360" i="1"/>
  <c r="A361" i="1"/>
  <c r="D361" i="1"/>
  <c r="D363" i="1" s="1"/>
  <c r="E363" i="1" s="1"/>
  <c r="F361" i="1"/>
  <c r="F363" i="1" s="1"/>
  <c r="G361" i="1"/>
  <c r="G363" i="1" s="1"/>
  <c r="H363" i="1" s="1"/>
  <c r="I361" i="1"/>
  <c r="I363" i="1" s="1"/>
  <c r="O361" i="1"/>
  <c r="Q361" i="1"/>
  <c r="Q363" i="1" s="1"/>
  <c r="S364" i="1" s="1"/>
  <c r="A362" i="1"/>
  <c r="A363" i="1"/>
  <c r="A364" i="1"/>
  <c r="A365" i="1"/>
  <c r="A366" i="1"/>
  <c r="F366" i="1"/>
  <c r="I366" i="1"/>
  <c r="L366" i="1"/>
  <c r="Q366" i="1"/>
  <c r="A367" i="1"/>
  <c r="F367" i="1"/>
  <c r="I367" i="1"/>
  <c r="Q367" i="1"/>
  <c r="A368" i="1"/>
  <c r="F368" i="1"/>
  <c r="I368" i="1"/>
  <c r="Q368" i="1"/>
  <c r="A369" i="1"/>
  <c r="F369" i="1"/>
  <c r="I369" i="1"/>
  <c r="Q369" i="1"/>
  <c r="A370" i="1"/>
  <c r="F370" i="1"/>
  <c r="I370" i="1"/>
  <c r="Q370" i="1"/>
  <c r="A371" i="1"/>
  <c r="F371" i="1"/>
  <c r="I371" i="1"/>
  <c r="Q371" i="1"/>
  <c r="A372" i="1"/>
  <c r="F372" i="1"/>
  <c r="I372" i="1"/>
  <c r="Q372" i="1"/>
  <c r="A373" i="1"/>
  <c r="F373" i="1"/>
  <c r="I373" i="1"/>
  <c r="Q373" i="1"/>
  <c r="A374" i="1"/>
  <c r="F374" i="1"/>
  <c r="I374" i="1"/>
  <c r="Q374" i="1"/>
  <c r="A375" i="1"/>
  <c r="F375" i="1"/>
  <c r="I375" i="1"/>
  <c r="Q375" i="1"/>
  <c r="A376" i="1"/>
  <c r="F376" i="1"/>
  <c r="I376" i="1"/>
  <c r="Q376" i="1"/>
  <c r="A377" i="1"/>
  <c r="F377" i="1"/>
  <c r="I377" i="1"/>
  <c r="Q377" i="1"/>
  <c r="A378" i="1"/>
  <c r="A379" i="1"/>
  <c r="F379" i="1"/>
  <c r="I379" i="1"/>
  <c r="Q379" i="1"/>
  <c r="A380" i="1"/>
  <c r="F380" i="1"/>
  <c r="I380" i="1"/>
  <c r="Q380" i="1"/>
  <c r="A381" i="1"/>
  <c r="F381" i="1"/>
  <c r="I381" i="1"/>
  <c r="Q381" i="1"/>
  <c r="A382" i="1"/>
  <c r="F382" i="1"/>
  <c r="I382" i="1"/>
  <c r="Q382" i="1"/>
  <c r="A383" i="1"/>
  <c r="F383" i="1"/>
  <c r="I383" i="1"/>
  <c r="Q383" i="1"/>
  <c r="A384" i="1"/>
  <c r="F384" i="1"/>
  <c r="I384" i="1"/>
  <c r="Q384" i="1"/>
  <c r="A385" i="1"/>
  <c r="F385" i="1"/>
  <c r="I385" i="1"/>
  <c r="Q385" i="1"/>
  <c r="A386" i="1"/>
  <c r="F386" i="1"/>
  <c r="I386" i="1"/>
  <c r="Q386" i="1"/>
  <c r="A387" i="1"/>
  <c r="F387" i="1"/>
  <c r="I387" i="1"/>
  <c r="Q387" i="1"/>
  <c r="A388" i="1"/>
  <c r="F388" i="1"/>
  <c r="I388" i="1"/>
  <c r="Q388" i="1"/>
  <c r="A389" i="1"/>
  <c r="F389" i="1"/>
  <c r="I389" i="1"/>
  <c r="Q389" i="1"/>
  <c r="A390" i="1"/>
  <c r="F390" i="1"/>
  <c r="I390" i="1"/>
  <c r="Q390" i="1"/>
  <c r="A391" i="1"/>
  <c r="F391" i="1"/>
  <c r="I391" i="1"/>
  <c r="Q391" i="1"/>
  <c r="A392" i="1"/>
  <c r="F392" i="1"/>
  <c r="I392" i="1"/>
  <c r="Q392" i="1"/>
  <c r="A393" i="1"/>
  <c r="F393" i="1"/>
  <c r="I393" i="1"/>
  <c r="Q393" i="1"/>
  <c r="A394" i="1"/>
  <c r="F394" i="1"/>
  <c r="I394" i="1"/>
  <c r="Q394" i="1"/>
  <c r="A395" i="1"/>
  <c r="F395" i="1"/>
  <c r="I395" i="1"/>
  <c r="Q395" i="1"/>
  <c r="A405" i="1"/>
  <c r="A406" i="1"/>
  <c r="A409" i="1"/>
  <c r="A410" i="1"/>
  <c r="Z410" i="1"/>
  <c r="AC410" i="1"/>
  <c r="AB410" i="1" s="1"/>
  <c r="A411" i="1"/>
  <c r="Z411" i="1"/>
  <c r="AC411" i="1"/>
  <c r="AB411" i="1" s="1"/>
  <c r="A412" i="1"/>
  <c r="Z412" i="1"/>
  <c r="AC412" i="1"/>
  <c r="AB412" i="1" s="1"/>
  <c r="A413" i="1"/>
  <c r="Z413" i="1"/>
  <c r="AC413" i="1"/>
  <c r="AB413" i="1" s="1"/>
  <c r="A414" i="1"/>
  <c r="Z414" i="1"/>
  <c r="AC414" i="1"/>
  <c r="AB414" i="1" s="1"/>
  <c r="A415" i="1"/>
  <c r="Z415" i="1"/>
  <c r="AC415" i="1"/>
  <c r="AB415" i="1" s="1"/>
  <c r="A416" i="1"/>
  <c r="Z416" i="1"/>
  <c r="AC416" i="1"/>
  <c r="AB416" i="1" s="1"/>
  <c r="A417" i="1"/>
  <c r="Z417" i="1"/>
  <c r="AC417" i="1"/>
  <c r="AB417" i="1" s="1"/>
  <c r="AO417" i="1"/>
  <c r="A418" i="1"/>
  <c r="Z418" i="1"/>
  <c r="AC418" i="1"/>
  <c r="AB418" i="1" s="1"/>
  <c r="AO418" i="1"/>
  <c r="A419" i="1"/>
  <c r="Z419" i="1"/>
  <c r="AC419" i="1"/>
  <c r="AB419" i="1" s="1"/>
  <c r="AO419" i="1"/>
  <c r="A420" i="1"/>
  <c r="A421" i="1"/>
  <c r="Z421" i="1"/>
  <c r="AC421" i="1"/>
  <c r="AB421" i="1" s="1"/>
  <c r="AL421" i="1"/>
  <c r="A422" i="1"/>
  <c r="Z422" i="1"/>
  <c r="AC422" i="1"/>
  <c r="A423" i="1"/>
  <c r="Z423" i="1"/>
  <c r="AC423" i="1"/>
  <c r="AB423" i="1" s="1"/>
  <c r="A424" i="1"/>
  <c r="Z424" i="1"/>
  <c r="AC424" i="1"/>
  <c r="AB424" i="1" s="1"/>
  <c r="A425" i="1"/>
  <c r="Z425" i="1"/>
  <c r="AC425" i="1"/>
  <c r="AB425" i="1" s="1"/>
  <c r="A426" i="1"/>
  <c r="Z426" i="1"/>
  <c r="AI426" i="1" s="1"/>
  <c r="AC426" i="1"/>
  <c r="AB426" i="1" s="1"/>
  <c r="AO426" i="1"/>
  <c r="A427" i="1"/>
  <c r="Z427" i="1"/>
  <c r="AI427" i="1" s="1"/>
  <c r="AC427" i="1"/>
  <c r="AB427" i="1" s="1"/>
  <c r="AO427" i="1"/>
  <c r="A428" i="1"/>
  <c r="Z428" i="1"/>
  <c r="AC428" i="1"/>
  <c r="AB428" i="1" s="1"/>
  <c r="AO428" i="1"/>
  <c r="A429" i="1"/>
  <c r="Z429" i="1"/>
  <c r="AC429" i="1"/>
  <c r="AB429" i="1" s="1"/>
  <c r="A430" i="1"/>
  <c r="Z430" i="1"/>
  <c r="AC430" i="1"/>
  <c r="AB430" i="1" s="1"/>
  <c r="A431" i="1"/>
  <c r="Z431" i="1"/>
  <c r="AC431" i="1"/>
  <c r="AB431" i="1" s="1"/>
  <c r="A432" i="1"/>
  <c r="Z432" i="1"/>
  <c r="AC432" i="1"/>
  <c r="AB432" i="1" s="1"/>
  <c r="A433" i="1"/>
  <c r="Z433" i="1"/>
  <c r="AI433" i="1" s="1"/>
  <c r="AC433" i="1"/>
  <c r="AB433" i="1" s="1"/>
  <c r="A434" i="1"/>
  <c r="A435" i="1"/>
  <c r="Z435" i="1"/>
  <c r="AC435" i="1"/>
  <c r="AB435" i="1" s="1"/>
  <c r="A436" i="1"/>
  <c r="Z436" i="1"/>
  <c r="AC436" i="1"/>
  <c r="AB436" i="1" s="1"/>
  <c r="A437" i="1"/>
  <c r="Z437" i="1"/>
  <c r="AC437" i="1"/>
  <c r="AB437" i="1" s="1"/>
  <c r="A438" i="1"/>
  <c r="Z438" i="1"/>
  <c r="AC438" i="1"/>
  <c r="AB438" i="1" s="1"/>
  <c r="A439" i="1"/>
  <c r="Z439" i="1"/>
  <c r="AC439" i="1"/>
  <c r="AB439" i="1" s="1"/>
  <c r="A440" i="1"/>
  <c r="Z440" i="1"/>
  <c r="AC440" i="1"/>
  <c r="AB440" i="1" s="1"/>
  <c r="Z441" i="1"/>
  <c r="AC441" i="1"/>
  <c r="AB441" i="1" s="1"/>
  <c r="A442" i="1"/>
  <c r="Z442" i="1"/>
  <c r="AC442" i="1"/>
  <c r="AB442" i="1" s="1"/>
  <c r="A443" i="1"/>
  <c r="Z443" i="1"/>
  <c r="AC443" i="1"/>
  <c r="AB443" i="1" s="1"/>
  <c r="A444" i="1"/>
  <c r="Z444" i="1"/>
  <c r="AC444" i="1"/>
  <c r="AB444" i="1" s="1"/>
  <c r="A445" i="1"/>
  <c r="Z445" i="1"/>
  <c r="AC445" i="1"/>
  <c r="AB445" i="1" s="1"/>
  <c r="A446" i="1"/>
  <c r="Z446" i="1"/>
  <c r="AC446" i="1"/>
  <c r="AB446" i="1" s="1"/>
  <c r="A447" i="1"/>
  <c r="Z447" i="1"/>
  <c r="AC447" i="1"/>
  <c r="AB447" i="1" s="1"/>
  <c r="A448" i="1"/>
  <c r="Z448" i="1"/>
  <c r="AC448" i="1"/>
  <c r="AB448" i="1" s="1"/>
  <c r="A449" i="1"/>
  <c r="Z449" i="1"/>
  <c r="AC449" i="1"/>
  <c r="AB449" i="1" s="1"/>
  <c r="AL449" i="1"/>
  <c r="A450" i="1"/>
  <c r="Z450" i="1"/>
  <c r="AI450" i="1" s="1"/>
  <c r="AC450" i="1"/>
  <c r="AB450" i="1" s="1"/>
  <c r="A451" i="1"/>
  <c r="Z451" i="1"/>
  <c r="AC451" i="1"/>
  <c r="AB451" i="1" s="1"/>
  <c r="AO451" i="1"/>
  <c r="A452" i="1"/>
  <c r="Z452" i="1"/>
  <c r="AC452" i="1"/>
  <c r="AB452" i="1" s="1"/>
  <c r="AO452" i="1"/>
  <c r="A453" i="1"/>
  <c r="AC453" i="1"/>
  <c r="A454" i="1"/>
  <c r="Z454" i="1"/>
  <c r="AC454" i="1"/>
  <c r="AB454" i="1" s="1"/>
  <c r="AL454" i="1"/>
  <c r="A455" i="1"/>
  <c r="Z455" i="1"/>
  <c r="AC455" i="1"/>
  <c r="AB455" i="1" s="1"/>
  <c r="AL455" i="1"/>
  <c r="A456" i="1"/>
  <c r="Z456" i="1"/>
  <c r="AC456" i="1"/>
  <c r="AL456" i="1"/>
  <c r="A457" i="1"/>
  <c r="Z457" i="1"/>
  <c r="AI457" i="1" s="1"/>
  <c r="AC457" i="1"/>
  <c r="AB457" i="1" s="1"/>
  <c r="AL457" i="1"/>
  <c r="A458" i="1"/>
  <c r="Z458" i="1"/>
  <c r="AC458" i="1"/>
  <c r="AB458" i="1" s="1"/>
  <c r="AL458" i="1"/>
  <c r="A459" i="1"/>
  <c r="Z459" i="1"/>
  <c r="AC459" i="1"/>
  <c r="AB459" i="1" s="1"/>
  <c r="AL459" i="1"/>
  <c r="A460" i="1"/>
  <c r="Z460" i="1"/>
  <c r="AC460" i="1"/>
  <c r="AB460" i="1" s="1"/>
  <c r="AL460" i="1"/>
  <c r="A461" i="1"/>
  <c r="Z461" i="1"/>
  <c r="AC461" i="1"/>
  <c r="AB461" i="1" s="1"/>
  <c r="AL461" i="1"/>
  <c r="A462" i="1"/>
  <c r="Z462" i="1"/>
  <c r="AC462" i="1"/>
  <c r="AB462" i="1" s="1"/>
  <c r="AL462" i="1"/>
  <c r="A463" i="1"/>
  <c r="Z463" i="1"/>
  <c r="AC463" i="1"/>
  <c r="AB463" i="1" s="1"/>
  <c r="AF463" i="1"/>
  <c r="AL463" i="1"/>
  <c r="A464" i="1"/>
  <c r="Z464" i="1"/>
  <c r="AI464" i="1" s="1"/>
  <c r="AC464" i="1"/>
  <c r="AF464" i="1"/>
  <c r="AL464" i="1"/>
  <c r="A465" i="1"/>
  <c r="Z465" i="1"/>
  <c r="AI465" i="1" s="1"/>
  <c r="AC465" i="1"/>
  <c r="AL465" i="1"/>
  <c r="A466" i="1"/>
  <c r="Z466" i="1"/>
  <c r="AI466" i="1" s="1"/>
  <c r="AC466" i="1"/>
  <c r="AL466" i="1"/>
  <c r="A467" i="1"/>
  <c r="A468" i="1"/>
  <c r="AH468" i="1"/>
  <c r="AN468" i="1"/>
  <c r="AO468" i="1"/>
  <c r="A469" i="1"/>
  <c r="A470" i="1"/>
  <c r="Z470" i="1"/>
  <c r="AC470" i="1"/>
  <c r="AB470" i="1" s="1"/>
  <c r="AL470" i="1"/>
  <c r="A471" i="1"/>
  <c r="Z471" i="1"/>
  <c r="AC471" i="1"/>
  <c r="AB471" i="1" s="1"/>
  <c r="AL471" i="1"/>
  <c r="A472" i="1"/>
  <c r="Z472" i="1"/>
  <c r="AC472" i="1"/>
  <c r="AB472" i="1" s="1"/>
  <c r="AL472" i="1"/>
  <c r="A473" i="1"/>
  <c r="Z473" i="1"/>
  <c r="AC473" i="1"/>
  <c r="AB473" i="1" s="1"/>
  <c r="AL473" i="1"/>
  <c r="AO473" i="1" s="1"/>
  <c r="A474" i="1"/>
  <c r="Z474" i="1"/>
  <c r="AC474" i="1"/>
  <c r="AB474" i="1" s="1"/>
  <c r="AL474" i="1"/>
  <c r="A475" i="1"/>
  <c r="Z475" i="1"/>
  <c r="AC475" i="1"/>
  <c r="AB475" i="1" s="1"/>
  <c r="AL475" i="1"/>
  <c r="A476" i="1"/>
  <c r="Z476" i="1"/>
  <c r="AC476" i="1"/>
  <c r="AB476" i="1" s="1"/>
  <c r="AL476" i="1"/>
  <c r="A477" i="1"/>
  <c r="Z477" i="1"/>
  <c r="AC477" i="1"/>
  <c r="AB477" i="1" s="1"/>
  <c r="AL477" i="1"/>
  <c r="AO477" i="1" s="1"/>
  <c r="A478" i="1"/>
  <c r="Z478" i="1"/>
  <c r="AC478" i="1"/>
  <c r="AB478" i="1" s="1"/>
  <c r="AL478" i="1"/>
  <c r="A479" i="1"/>
  <c r="Z479" i="1"/>
  <c r="AC479" i="1"/>
  <c r="AB479" i="1" s="1"/>
  <c r="AL479" i="1"/>
  <c r="AO479" i="1" s="1"/>
  <c r="A480" i="1"/>
  <c r="Z480" i="1"/>
  <c r="AC480" i="1"/>
  <c r="AB480" i="1" s="1"/>
  <c r="AL480" i="1"/>
  <c r="A481" i="1"/>
  <c r="Z481" i="1"/>
  <c r="AC481" i="1"/>
  <c r="AB481" i="1" s="1"/>
  <c r="AL481" i="1"/>
  <c r="A482" i="1"/>
  <c r="A483" i="1"/>
  <c r="AN483" i="1"/>
  <c r="AO483" i="1"/>
  <c r="A484" i="1"/>
  <c r="A485" i="1"/>
  <c r="A486" i="1"/>
  <c r="A487" i="1"/>
  <c r="A488" i="1"/>
  <c r="A489" i="1"/>
  <c r="A490" i="1"/>
  <c r="A491" i="1"/>
  <c r="A492" i="1"/>
  <c r="Z492" i="1"/>
  <c r="AC492" i="1"/>
  <c r="AB492" i="1" s="1"/>
  <c r="AL492" i="1"/>
  <c r="A493" i="1"/>
  <c r="Z493" i="1"/>
  <c r="AI493" i="1" s="1"/>
  <c r="AC493" i="1"/>
  <c r="AB493" i="1" s="1"/>
  <c r="AL493" i="1"/>
  <c r="AO493" i="1" s="1"/>
  <c r="A494" i="1"/>
  <c r="Z494" i="1"/>
  <c r="AI494" i="1" s="1"/>
  <c r="AC494" i="1"/>
  <c r="AB494" i="1" s="1"/>
  <c r="AL494" i="1"/>
  <c r="AO494" i="1" s="1"/>
  <c r="A495" i="1"/>
  <c r="Z495" i="1"/>
  <c r="AI495" i="1" s="1"/>
  <c r="AC495" i="1"/>
  <c r="AB495" i="1" s="1"/>
  <c r="AL495" i="1"/>
  <c r="AO495" i="1" s="1"/>
  <c r="A496" i="1"/>
  <c r="Z496" i="1"/>
  <c r="AC496" i="1"/>
  <c r="AB496" i="1" s="1"/>
  <c r="AL496" i="1"/>
  <c r="AO496" i="1" s="1"/>
  <c r="A497" i="1"/>
  <c r="Z497" i="1"/>
  <c r="AI497" i="1" s="1"/>
  <c r="AC497" i="1"/>
  <c r="AB497" i="1" s="1"/>
  <c r="AL497" i="1"/>
  <c r="A498" i="1"/>
  <c r="Z498" i="1"/>
  <c r="AC498" i="1"/>
  <c r="AB498" i="1" s="1"/>
  <c r="AL498" i="1"/>
  <c r="AO498" i="1" s="1"/>
  <c r="A500" i="1"/>
  <c r="B19" i="1"/>
  <c r="A19" i="1" s="1"/>
  <c r="F19" i="1"/>
  <c r="I19" i="1"/>
  <c r="L19" i="1"/>
  <c r="Q19" i="1"/>
  <c r="R19" i="1"/>
  <c r="N19" i="1" l="1"/>
  <c r="Q180" i="1"/>
  <c r="F177" i="1"/>
  <c r="I174" i="1"/>
  <c r="I183" i="1"/>
  <c r="E101" i="1"/>
  <c r="P267" i="1"/>
  <c r="R302" i="1"/>
  <c r="I246" i="1"/>
  <c r="Q183" i="1"/>
  <c r="I106" i="1"/>
  <c r="Q190" i="1"/>
  <c r="P308" i="1"/>
  <c r="Q243" i="1"/>
  <c r="I190" i="1"/>
  <c r="F180" i="1"/>
  <c r="R104" i="1"/>
  <c r="F190" i="1"/>
  <c r="I180" i="1"/>
  <c r="F183" i="1"/>
  <c r="Q106" i="1"/>
  <c r="O114" i="1" s="1"/>
  <c r="P101" i="1"/>
  <c r="E301" i="1"/>
  <c r="E296" i="1"/>
  <c r="F249" i="1"/>
  <c r="Q251" i="1"/>
  <c r="I136" i="1"/>
  <c r="H136" i="1" s="1"/>
  <c r="F251" i="1"/>
  <c r="AI452" i="1"/>
  <c r="S19" i="1"/>
  <c r="P298" i="1"/>
  <c r="Q246" i="1"/>
  <c r="P105" i="1"/>
  <c r="I396" i="1"/>
  <c r="H396" i="1" s="1"/>
  <c r="Z467" i="1"/>
  <c r="E299" i="1"/>
  <c r="I305" i="1"/>
  <c r="I310" i="1" s="1"/>
  <c r="I315" i="1" s="1"/>
  <c r="I177" i="1"/>
  <c r="P251" i="1"/>
  <c r="Q177" i="1"/>
  <c r="Q211" i="1"/>
  <c r="P211" i="1" s="1"/>
  <c r="P361" i="1"/>
  <c r="P296" i="1"/>
  <c r="E308" i="1"/>
  <c r="F123" i="1"/>
  <c r="F106" i="1"/>
  <c r="D113" i="1" s="1"/>
  <c r="Q230" i="1"/>
  <c r="P230" i="1" s="1"/>
  <c r="AL482" i="1"/>
  <c r="AC434" i="1"/>
  <c r="Z420" i="1"/>
  <c r="I350" i="1"/>
  <c r="H350" i="1" s="1"/>
  <c r="F136" i="1"/>
  <c r="E136" i="1" s="1"/>
  <c r="E300" i="1"/>
  <c r="S249" i="1"/>
  <c r="E304" i="1"/>
  <c r="Z482" i="1"/>
  <c r="S366" i="1"/>
  <c r="Q267" i="1"/>
  <c r="I251" i="1"/>
  <c r="E251" i="1"/>
  <c r="I186" i="1"/>
  <c r="I195" i="1" s="1"/>
  <c r="P186" i="1"/>
  <c r="P195" i="1" s="1"/>
  <c r="I154" i="1"/>
  <c r="H154" i="1" s="1"/>
  <c r="Q305" i="1"/>
  <c r="Q310" i="1" s="1"/>
  <c r="Q249" i="1"/>
  <c r="P297" i="1"/>
  <c r="H251" i="1"/>
  <c r="F211" i="1"/>
  <c r="E211" i="1" s="1"/>
  <c r="H186" i="1"/>
  <c r="I230" i="1"/>
  <c r="H230" i="1" s="1"/>
  <c r="AC467" i="1"/>
  <c r="E361" i="1"/>
  <c r="Q378" i="1"/>
  <c r="P378" i="1" s="1"/>
  <c r="P299" i="1"/>
  <c r="I249" i="1"/>
  <c r="F186" i="1"/>
  <c r="F195" i="1" s="1"/>
  <c r="F164" i="1"/>
  <c r="P300" i="1"/>
  <c r="G305" i="1"/>
  <c r="G310" i="1" s="1"/>
  <c r="E309" i="1"/>
  <c r="Q164" i="1"/>
  <c r="F350" i="1"/>
  <c r="E350" i="1" s="1"/>
  <c r="I331" i="1"/>
  <c r="H331" i="1" s="1"/>
  <c r="F331" i="1"/>
  <c r="E331" i="1" s="1"/>
  <c r="F243" i="1"/>
  <c r="E105" i="1"/>
  <c r="AH464" i="1"/>
  <c r="AC420" i="1"/>
  <c r="Q396" i="1"/>
  <c r="P396" i="1" s="1"/>
  <c r="Q186" i="1"/>
  <c r="Q174" i="1"/>
  <c r="E175" i="1"/>
  <c r="E186" i="1"/>
  <c r="E195" i="1" s="1"/>
  <c r="E298" i="1"/>
  <c r="F154" i="1"/>
  <c r="E154" i="1" s="1"/>
  <c r="AI498" i="1"/>
  <c r="AI441" i="1"/>
  <c r="AI417" i="1"/>
  <c r="P309" i="1"/>
  <c r="AI419" i="1"/>
  <c r="I286" i="1"/>
  <c r="H286" i="1" s="1"/>
  <c r="AB456" i="1"/>
  <c r="Z453" i="1"/>
  <c r="F230" i="1"/>
  <c r="AB422" i="1"/>
  <c r="H361" i="1"/>
  <c r="AC482" i="1"/>
  <c r="AI451" i="1"/>
  <c r="Z434" i="1"/>
  <c r="I378" i="1"/>
  <c r="R303" i="1"/>
  <c r="I164" i="1"/>
  <c r="I123" i="1"/>
  <c r="G114" i="1"/>
  <c r="AO457" i="1"/>
  <c r="F305" i="1"/>
  <c r="F310" i="1" s="1"/>
  <c r="F315" i="1" s="1"/>
  <c r="AI418" i="1"/>
  <c r="F378" i="1"/>
  <c r="P301" i="1"/>
  <c r="I267" i="1"/>
  <c r="F396" i="1"/>
  <c r="E396" i="1" s="1"/>
  <c r="Q286" i="1"/>
  <c r="P286" i="1" s="1"/>
  <c r="P175" i="1"/>
  <c r="AL467" i="1"/>
  <c r="Q350" i="1"/>
  <c r="P350" i="1" s="1"/>
  <c r="E297" i="1"/>
  <c r="I211" i="1"/>
  <c r="K105" i="1"/>
  <c r="R105" i="1" s="1"/>
  <c r="Q154" i="1"/>
  <c r="P154" i="1" s="1"/>
  <c r="Q136" i="1"/>
  <c r="P136" i="1" s="1"/>
  <c r="Q123" i="1"/>
  <c r="R361" i="1"/>
  <c r="O363" i="1"/>
  <c r="O305" i="1"/>
  <c r="H101" i="1"/>
  <c r="Q331" i="1"/>
  <c r="D305" i="1"/>
  <c r="F286" i="1"/>
  <c r="E286" i="1" s="1"/>
  <c r="F267" i="1"/>
  <c r="F174" i="1"/>
  <c r="F246" i="1"/>
  <c r="I243" i="1"/>
  <c r="R304" i="1"/>
  <c r="R103" i="1"/>
  <c r="Q252" i="1" l="1"/>
  <c r="Q232" i="1"/>
  <c r="P232" i="1" s="1"/>
  <c r="F252" i="1"/>
  <c r="F156" i="1"/>
  <c r="E156" i="1" s="1"/>
  <c r="F196" i="1"/>
  <c r="F232" i="1"/>
  <c r="F234" i="1" s="1"/>
  <c r="E123" i="1"/>
  <c r="I352" i="1"/>
  <c r="H352" i="1" s="1"/>
  <c r="D114" i="1"/>
  <c r="I187" i="1"/>
  <c r="I252" i="1"/>
  <c r="F352" i="1"/>
  <c r="E352" i="1" s="1"/>
  <c r="H195" i="1"/>
  <c r="I196" i="1" s="1"/>
  <c r="F187" i="1"/>
  <c r="H305" i="1"/>
  <c r="AC469" i="1"/>
  <c r="O310" i="1"/>
  <c r="P305" i="1"/>
  <c r="I398" i="1"/>
  <c r="H378" i="1"/>
  <c r="Q315" i="1"/>
  <c r="H211" i="1"/>
  <c r="I232" i="1"/>
  <c r="H232" i="1" s="1"/>
  <c r="Q398" i="1"/>
  <c r="AA420" i="1"/>
  <c r="H267" i="1"/>
  <c r="I288" i="1"/>
  <c r="E230" i="1"/>
  <c r="Z469" i="1"/>
  <c r="P363" i="1"/>
  <c r="R363" i="1"/>
  <c r="E267" i="1"/>
  <c r="F288" i="1"/>
  <c r="D310" i="1"/>
  <c r="E305" i="1"/>
  <c r="F398" i="1"/>
  <c r="E378" i="1"/>
  <c r="I156" i="1"/>
  <c r="H123" i="1"/>
  <c r="Q288" i="1"/>
  <c r="P331" i="1"/>
  <c r="Q352" i="1"/>
  <c r="P352" i="1" s="1"/>
  <c r="Q156" i="1"/>
  <c r="P123" i="1"/>
  <c r="H310" i="1"/>
  <c r="G315" i="1"/>
  <c r="H315" i="1" s="1"/>
  <c r="Q187" i="1"/>
  <c r="Q195" i="1"/>
  <c r="I354" i="1" l="1"/>
  <c r="E232" i="1"/>
  <c r="F354" i="1"/>
  <c r="I234" i="1"/>
  <c r="AA482" i="1"/>
  <c r="E288" i="1"/>
  <c r="F290" i="1"/>
  <c r="Q354" i="1"/>
  <c r="P288" i="1"/>
  <c r="Q290" i="1"/>
  <c r="P398" i="1"/>
  <c r="Q400" i="1"/>
  <c r="P156" i="1"/>
  <c r="Q234" i="1"/>
  <c r="Q196" i="1"/>
  <c r="H288" i="1"/>
  <c r="I290" i="1"/>
  <c r="H156" i="1"/>
  <c r="I166" i="1"/>
  <c r="P310" i="1"/>
  <c r="O315" i="1"/>
  <c r="AA469" i="1"/>
  <c r="H398" i="1"/>
  <c r="I400" i="1"/>
  <c r="E310" i="1"/>
  <c r="D315" i="1"/>
  <c r="E398" i="1"/>
  <c r="F400" i="1"/>
  <c r="AA453" i="1"/>
  <c r="AC484" i="1"/>
  <c r="AA467" i="1"/>
  <c r="AA434" i="1"/>
  <c r="AB484" i="1" l="1"/>
  <c r="AC490" i="1"/>
  <c r="E315" i="1"/>
  <c r="P315" i="1"/>
  <c r="AB490" i="1" l="1"/>
  <c r="S1" i="1" l="1"/>
  <c r="S357" i="1" l="1"/>
  <c r="S169" i="1"/>
  <c r="S237" i="1"/>
  <c r="AO486" i="1"/>
  <c r="S292" i="1"/>
  <c r="AO403" i="1"/>
  <c r="S89" i="1"/>
  <c r="D96" i="1" l="1"/>
  <c r="F96" i="1"/>
  <c r="G96" i="1"/>
  <c r="H96" i="1" s="1"/>
  <c r="I96" i="1"/>
  <c r="A96" i="1"/>
  <c r="E96" i="1" l="1"/>
  <c r="O96" i="1" l="1"/>
  <c r="Q96" i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I95" i="1"/>
  <c r="G95" i="1"/>
  <c r="I94" i="1"/>
  <c r="G94" i="1"/>
  <c r="F95" i="1"/>
  <c r="F94" i="1"/>
  <c r="D95" i="1"/>
  <c r="D94" i="1"/>
  <c r="Q93" i="1"/>
  <c r="I93" i="1"/>
  <c r="Q82" i="1"/>
  <c r="Q81" i="1"/>
  <c r="Q80" i="1"/>
  <c r="Q79" i="1"/>
  <c r="Q78" i="1"/>
  <c r="Q77" i="1"/>
  <c r="Q76" i="1"/>
  <c r="Q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G97" i="1"/>
  <c r="D97" i="1"/>
  <c r="F97" i="1"/>
  <c r="F109" i="1" s="1"/>
  <c r="F166" i="1" s="1"/>
  <c r="Q97" i="1"/>
  <c r="Q109" i="1" s="1"/>
  <c r="Q166" i="1" s="1"/>
  <c r="O97" i="1"/>
  <c r="O109" i="1" s="1"/>
  <c r="H94" i="1"/>
  <c r="P94" i="1"/>
  <c r="H95" i="1"/>
  <c r="P95" i="1"/>
  <c r="Q83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9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Q40" i="1"/>
  <c r="Q39" i="1"/>
  <c r="Q38" i="1"/>
  <c r="Q37" i="1"/>
  <c r="Q36" i="1"/>
  <c r="Q35" i="1"/>
  <c r="Q34" i="1"/>
  <c r="Q33" i="1"/>
  <c r="Q32" i="1"/>
  <c r="Q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I23" i="1"/>
  <c r="I22" i="1"/>
  <c r="I21" i="1"/>
  <c r="F23" i="1"/>
  <c r="F22" i="1"/>
  <c r="F21" i="1"/>
  <c r="Q17" i="1"/>
  <c r="O17" i="1"/>
  <c r="I17" i="1"/>
  <c r="G17" i="1"/>
  <c r="F17" i="1"/>
  <c r="D17" i="1"/>
  <c r="Q15" i="1"/>
  <c r="O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07" i="1" s="1"/>
  <c r="I5" i="1"/>
  <c r="F5" i="1"/>
  <c r="Z407" i="1" s="1"/>
  <c r="P109" i="1" l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AJ467" i="1"/>
  <c r="H97" i="1"/>
  <c r="H121" i="1"/>
  <c r="H116" i="1"/>
  <c r="H113" i="1"/>
  <c r="H120" i="1"/>
  <c r="H118" i="1"/>
  <c r="H115" i="1"/>
  <c r="H119" i="1"/>
  <c r="H114" i="1"/>
  <c r="H122" i="1"/>
  <c r="H117" i="1"/>
  <c r="N69" i="1"/>
  <c r="S69" i="1"/>
  <c r="O13" i="2" l="1"/>
  <c r="O10" i="2" l="1"/>
  <c r="N13" i="2"/>
  <c r="J13" i="2"/>
  <c r="J10" i="2" l="1"/>
  <c r="N10" i="2"/>
  <c r="C13" i="2"/>
  <c r="F13" i="2"/>
  <c r="L13" i="2"/>
  <c r="G13" i="2"/>
  <c r="B13" i="2"/>
  <c r="B10" i="2" s="1"/>
  <c r="F10" i="2" l="1"/>
  <c r="G10" i="2"/>
  <c r="P13" i="2"/>
  <c r="P10" i="2" l="1"/>
  <c r="D13" i="2"/>
  <c r="H13" i="2"/>
  <c r="Q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E17" i="1"/>
  <c r="B17" i="1"/>
  <c r="A17" i="1" s="1"/>
  <c r="B16" i="1"/>
  <c r="A16" i="1" s="1"/>
  <c r="B15" i="1"/>
  <c r="P15" i="1" s="1"/>
  <c r="B14" i="1"/>
  <c r="A14" i="1" s="1"/>
  <c r="O13" i="1"/>
  <c r="B13" i="1"/>
  <c r="A13" i="1" s="1"/>
  <c r="P12" i="1"/>
  <c r="B12" i="1"/>
  <c r="A12" i="1" s="1"/>
  <c r="P11" i="1"/>
  <c r="B11" i="1"/>
  <c r="P10" i="1"/>
  <c r="B10" i="1"/>
  <c r="A10" i="1" s="1"/>
  <c r="P9" i="1"/>
  <c r="B9" i="1"/>
  <c r="P8" i="1"/>
  <c r="B8" i="1"/>
  <c r="A8" i="1" s="1"/>
  <c r="B7" i="1"/>
  <c r="P7" i="1" s="1"/>
  <c r="B6" i="1"/>
  <c r="A6" i="1" s="1"/>
  <c r="B5" i="1"/>
  <c r="A5" i="1" s="1"/>
  <c r="AK418" i="1" l="1"/>
  <c r="AK433" i="1"/>
  <c r="AK419" i="1"/>
  <c r="AK417" i="1"/>
  <c r="AK498" i="1"/>
  <c r="A7" i="1"/>
  <c r="I10" i="2"/>
  <c r="A21" i="1"/>
  <c r="A23" i="1"/>
  <c r="O24" i="1"/>
  <c r="A33" i="1"/>
  <c r="A15" i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A39" i="1"/>
  <c r="P39" i="1"/>
  <c r="Q54" i="1"/>
  <c r="A46" i="1"/>
  <c r="F72" i="1"/>
  <c r="A78" i="1"/>
  <c r="P97" i="1"/>
  <c r="E12" i="1"/>
  <c r="A11" i="1"/>
  <c r="F24" i="1"/>
  <c r="D32" i="1" s="1"/>
  <c r="H23" i="1"/>
  <c r="A35" i="1"/>
  <c r="A80" i="1"/>
  <c r="E94" i="1"/>
  <c r="A77" i="1"/>
  <c r="Q24" i="1"/>
  <c r="O32" i="1" s="1"/>
  <c r="A42" i="1"/>
  <c r="A82" i="1"/>
  <c r="E10" i="1"/>
  <c r="O27" i="1"/>
  <c r="P23" i="1"/>
  <c r="A79" i="1"/>
  <c r="AL450" i="1" l="1"/>
  <c r="AL441" i="1"/>
  <c r="AL431" i="1"/>
  <c r="AL422" i="1"/>
  <c r="AL413" i="1"/>
  <c r="AL416" i="1"/>
  <c r="AL447" i="1"/>
  <c r="AL430" i="1"/>
  <c r="AL446" i="1"/>
  <c r="AL445" i="1"/>
  <c r="AL411" i="1"/>
  <c r="AL415" i="1"/>
  <c r="AL438" i="1"/>
  <c r="AL423" i="1"/>
  <c r="AL412" i="1"/>
  <c r="AL429" i="1"/>
  <c r="AL414" i="1"/>
  <c r="AL436" i="1"/>
  <c r="AL443" i="1"/>
  <c r="AL410" i="1"/>
  <c r="AL437" i="1"/>
  <c r="AL440" i="1"/>
  <c r="AL425" i="1"/>
  <c r="AL444" i="1"/>
  <c r="AL424" i="1"/>
  <c r="AL439" i="1"/>
  <c r="AL442" i="1"/>
  <c r="AL435" i="1"/>
  <c r="AL432" i="1"/>
  <c r="AL448" i="1"/>
  <c r="P38" i="1"/>
  <c r="P40" i="1"/>
  <c r="P32" i="1"/>
  <c r="P35" i="1"/>
  <c r="P33" i="1"/>
  <c r="P36" i="1"/>
  <c r="P34" i="1"/>
  <c r="P31" i="1"/>
  <c r="P37" i="1"/>
  <c r="H12" i="1"/>
  <c r="H15" i="1"/>
  <c r="I13" i="1"/>
  <c r="E11" i="1"/>
  <c r="H7" i="1"/>
  <c r="H8" i="1"/>
  <c r="P22" i="1"/>
  <c r="E7" i="1"/>
  <c r="E15" i="1"/>
  <c r="P24" i="1"/>
  <c r="E6" i="1"/>
  <c r="E9" i="1"/>
  <c r="G13" i="1"/>
  <c r="E8" i="1"/>
  <c r="H10" i="1"/>
  <c r="E97" i="1"/>
  <c r="F41" i="1"/>
  <c r="Q41" i="1"/>
  <c r="Q13" i="1"/>
  <c r="F13" i="1"/>
  <c r="AK411" i="1" l="1"/>
  <c r="AL420" i="1"/>
  <c r="AK410" i="1"/>
  <c r="AK416" i="1"/>
  <c r="AK413" i="1"/>
  <c r="AL453" i="1"/>
  <c r="AJ453" i="1" s="1"/>
  <c r="AL434" i="1"/>
  <c r="AK414" i="1"/>
  <c r="AK412" i="1"/>
  <c r="AK415" i="1"/>
  <c r="AO450" i="1"/>
  <c r="F27" i="1"/>
  <c r="Z408" i="1" s="1"/>
  <c r="D31" i="1"/>
  <c r="O31" i="1"/>
  <c r="N9" i="2"/>
  <c r="N8" i="2" s="1"/>
  <c r="G27" i="1"/>
  <c r="H13" i="1"/>
  <c r="G24" i="1"/>
  <c r="H39" i="1" s="1"/>
  <c r="I54" i="1"/>
  <c r="I27" i="1"/>
  <c r="F54" i="1"/>
  <c r="D13" i="1"/>
  <c r="H11" i="1"/>
  <c r="Q27" i="1"/>
  <c r="AL408" i="1" s="1"/>
  <c r="P13" i="1"/>
  <c r="Q74" i="1"/>
  <c r="H9" i="1"/>
  <c r="I83" i="1"/>
  <c r="F83" i="1"/>
  <c r="I41" i="1"/>
  <c r="E41" i="1" l="1"/>
  <c r="AJ434" i="1"/>
  <c r="AJ420" i="1"/>
  <c r="AL469" i="1"/>
  <c r="AJ408" i="1"/>
  <c r="AL484" i="1"/>
  <c r="Y416" i="1"/>
  <c r="Y412" i="1"/>
  <c r="Y417" i="1"/>
  <c r="Y411" i="1"/>
  <c r="Y413" i="1"/>
  <c r="Y414" i="1"/>
  <c r="Y415" i="1"/>
  <c r="Y410" i="1"/>
  <c r="Y418" i="1"/>
  <c r="Y419" i="1"/>
  <c r="X434" i="1"/>
  <c r="X469" i="1"/>
  <c r="X467" i="1"/>
  <c r="X482" i="1"/>
  <c r="Z484" i="1"/>
  <c r="X420" i="1"/>
  <c r="X453" i="1"/>
  <c r="P41" i="1"/>
  <c r="E54" i="1"/>
  <c r="E72" i="1"/>
  <c r="H35" i="1"/>
  <c r="H32" i="1"/>
  <c r="P74" i="1"/>
  <c r="H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D27" i="1"/>
  <c r="E13" i="1"/>
  <c r="D24" i="1"/>
  <c r="H27" i="1"/>
  <c r="AJ469" i="1" l="1"/>
  <c r="Z490" i="1"/>
  <c r="Z499" i="1" s="1"/>
  <c r="Y499" i="1" s="1"/>
  <c r="Y484" i="1"/>
  <c r="AK484" i="1"/>
  <c r="AL490" i="1"/>
  <c r="AL499" i="1" s="1"/>
  <c r="J9" i="2"/>
  <c r="J8" i="2" s="1"/>
  <c r="O9" i="2"/>
  <c r="O8" i="2" s="1"/>
  <c r="E27" i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K499" i="1" l="1"/>
  <c r="Y490" i="1"/>
  <c r="Z489" i="1"/>
  <c r="Y489" i="1" s="1"/>
  <c r="AL489" i="1"/>
  <c r="AK489" i="1" s="1"/>
  <c r="AK490" i="1"/>
  <c r="C9" i="2"/>
  <c r="C8" i="2" s="1"/>
  <c r="P9" i="2"/>
  <c r="P8" i="2" s="1"/>
  <c r="B9" i="2"/>
  <c r="H9" i="2" l="1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11" i="2" l="1"/>
  <c r="L10" i="2" l="1"/>
  <c r="M11" i="2" l="1"/>
  <c r="L9" i="2" l="1"/>
  <c r="L8" i="2" s="1"/>
  <c r="L93" i="1" l="1"/>
  <c r="K192" i="1"/>
  <c r="J245" i="1"/>
  <c r="J248" i="1"/>
  <c r="J242" i="1"/>
  <c r="R242" i="1" s="1"/>
  <c r="J8" i="1" l="1"/>
  <c r="L11" i="1"/>
  <c r="L66" i="1"/>
  <c r="L76" i="1"/>
  <c r="L48" i="1"/>
  <c r="L185" i="1"/>
  <c r="L375" i="1"/>
  <c r="S375" i="1" s="1"/>
  <c r="L105" i="1"/>
  <c r="L248" i="1"/>
  <c r="L388" i="1"/>
  <c r="S388" i="1" s="1"/>
  <c r="L134" i="1"/>
  <c r="L376" i="1"/>
  <c r="S376" i="1" s="1"/>
  <c r="L139" i="1"/>
  <c r="L329" i="1"/>
  <c r="L57" i="1"/>
  <c r="L336" i="1"/>
  <c r="L143" i="1"/>
  <c r="L384" i="1"/>
  <c r="S384" i="1" s="1"/>
  <c r="L210" i="1"/>
  <c r="L334" i="1"/>
  <c r="L147" i="1"/>
  <c r="L391" i="1"/>
  <c r="S391" i="1" s="1"/>
  <c r="AF494" i="1"/>
  <c r="J302" i="1"/>
  <c r="J361" i="1"/>
  <c r="J363" i="1" s="1"/>
  <c r="K363" i="1" s="1"/>
  <c r="L40" i="1"/>
  <c r="L6" i="1"/>
  <c r="L75" i="1"/>
  <c r="L47" i="1"/>
  <c r="L65" i="1"/>
  <c r="L256" i="1"/>
  <c r="L42" i="1"/>
  <c r="L70" i="1"/>
  <c r="L117" i="1"/>
  <c r="L257" i="1"/>
  <c r="L394" i="1"/>
  <c r="S394" i="1" s="1"/>
  <c r="L145" i="1"/>
  <c r="L302" i="1"/>
  <c r="L149" i="1"/>
  <c r="L383" i="1"/>
  <c r="S383" i="1" s="1"/>
  <c r="L68" i="1"/>
  <c r="L371" i="1"/>
  <c r="S371" i="1" s="1"/>
  <c r="L146" i="1"/>
  <c r="L390" i="1"/>
  <c r="S390" i="1" s="1"/>
  <c r="L214" i="1"/>
  <c r="L392" i="1"/>
  <c r="S392" i="1" s="1"/>
  <c r="L157" i="1"/>
  <c r="AF496" i="1"/>
  <c r="AF478" i="1"/>
  <c r="K182" i="1"/>
  <c r="M182" i="1" s="1"/>
  <c r="J304" i="1"/>
  <c r="K304" i="1" s="1"/>
  <c r="L15" i="1"/>
  <c r="L23" i="1"/>
  <c r="L22" i="1"/>
  <c r="L56" i="1"/>
  <c r="L104" i="1"/>
  <c r="L259" i="1"/>
  <c r="L266" i="1"/>
  <c r="L218" i="1"/>
  <c r="L125" i="1"/>
  <c r="L263" i="1"/>
  <c r="L82" i="1"/>
  <c r="L209" i="1"/>
  <c r="L386" i="1"/>
  <c r="S386" i="1" s="1"/>
  <c r="L159" i="1"/>
  <c r="L389" i="1"/>
  <c r="S389" i="1" s="1"/>
  <c r="J95" i="1"/>
  <c r="L377" i="1"/>
  <c r="S377" i="1" s="1"/>
  <c r="L217" i="1"/>
  <c r="L279" i="1"/>
  <c r="L280" i="1"/>
  <c r="L160" i="1"/>
  <c r="AF458" i="1"/>
  <c r="AF493" i="1"/>
  <c r="K248" i="1"/>
  <c r="M248" i="1" s="1"/>
  <c r="L64" i="1"/>
  <c r="L51" i="1"/>
  <c r="L78" i="1"/>
  <c r="L141" i="1"/>
  <c r="L119" i="1"/>
  <c r="L270" i="1"/>
  <c r="L101" i="1"/>
  <c r="L137" i="1"/>
  <c r="L129" i="1"/>
  <c r="L271" i="1"/>
  <c r="L347" i="1"/>
  <c r="L213" i="1"/>
  <c r="J96" i="1"/>
  <c r="L162" i="1"/>
  <c r="L395" i="1"/>
  <c r="S395" i="1" s="1"/>
  <c r="L103" i="1"/>
  <c r="L116" i="1"/>
  <c r="L220" i="1"/>
  <c r="L265" i="1"/>
  <c r="L301" i="1"/>
  <c r="L31" i="1"/>
  <c r="L163" i="1"/>
  <c r="AF492" i="1"/>
  <c r="J309" i="1"/>
  <c r="J301" i="1"/>
  <c r="J17" i="1"/>
  <c r="L71" i="1"/>
  <c r="L63" i="1"/>
  <c r="L380" i="1"/>
  <c r="S380" i="1" s="1"/>
  <c r="L127" i="1"/>
  <c r="L273" i="1"/>
  <c r="L113" i="1"/>
  <c r="L308" i="1"/>
  <c r="L138" i="1"/>
  <c r="L277" i="1"/>
  <c r="L148" i="1"/>
  <c r="L225" i="1"/>
  <c r="L299" i="1"/>
  <c r="L173" i="1"/>
  <c r="L144" i="1"/>
  <c r="L118" i="1"/>
  <c r="L276" i="1"/>
  <c r="L226" i="1"/>
  <c r="L212" i="1"/>
  <c r="L333" i="1"/>
  <c r="L152" i="1"/>
  <c r="L189" i="1"/>
  <c r="AF461" i="1"/>
  <c r="L361" i="1"/>
  <c r="K189" i="1"/>
  <c r="M189" i="1" s="1"/>
  <c r="L39" i="1"/>
  <c r="J11" i="1"/>
  <c r="L60" i="1"/>
  <c r="L79" i="1"/>
  <c r="L132" i="1"/>
  <c r="L283" i="1"/>
  <c r="L120" i="1"/>
  <c r="J94" i="1"/>
  <c r="L153" i="1"/>
  <c r="L281" i="1"/>
  <c r="L327" i="1"/>
  <c r="L285" i="1"/>
  <c r="L368" i="1"/>
  <c r="S368" i="1" s="1"/>
  <c r="L202" i="1"/>
  <c r="L224" i="1"/>
  <c r="L121" i="1"/>
  <c r="L338" i="1"/>
  <c r="L258" i="1"/>
  <c r="L128" i="1"/>
  <c r="L337" i="1"/>
  <c r="L208" i="1"/>
  <c r="L203" i="1"/>
  <c r="AF497" i="1"/>
  <c r="AF455" i="1"/>
  <c r="J308" i="1"/>
  <c r="K245" i="1"/>
  <c r="L50" i="1"/>
  <c r="L37" i="1"/>
  <c r="L67" i="1"/>
  <c r="L344" i="1"/>
  <c r="L151" i="1"/>
  <c r="L296" i="1"/>
  <c r="L142" i="1"/>
  <c r="L228" i="1"/>
  <c r="J173" i="1"/>
  <c r="R173" i="1" s="1"/>
  <c r="L309" i="1"/>
  <c r="L124" i="1"/>
  <c r="L297" i="1"/>
  <c r="J101" i="1"/>
  <c r="L206" i="1"/>
  <c r="L242" i="1"/>
  <c r="L126" i="1"/>
  <c r="L215" i="1"/>
  <c r="L261" i="1"/>
  <c r="L131" i="1"/>
  <c r="L346" i="1"/>
  <c r="L381" i="1"/>
  <c r="S381" i="1" s="1"/>
  <c r="L245" i="1"/>
  <c r="AF459" i="1"/>
  <c r="AF460" i="1"/>
  <c r="J297" i="1"/>
  <c r="J298" i="1"/>
  <c r="J15" i="1"/>
  <c r="J12" i="1"/>
  <c r="L21" i="1"/>
  <c r="L58" i="1"/>
  <c r="L133" i="1"/>
  <c r="L176" i="1"/>
  <c r="L323" i="1"/>
  <c r="L222" i="1"/>
  <c r="L304" i="1"/>
  <c r="L182" i="1"/>
  <c r="L328" i="1"/>
  <c r="J182" i="1"/>
  <c r="R182" i="1" s="1"/>
  <c r="L322" i="1"/>
  <c r="L161" i="1"/>
  <c r="L255" i="1"/>
  <c r="L374" i="1"/>
  <c r="S374" i="1" s="1"/>
  <c r="L223" i="1"/>
  <c r="L158" i="1"/>
  <c r="L264" i="1"/>
  <c r="L150" i="1"/>
  <c r="L349" i="1"/>
  <c r="J10" i="1"/>
  <c r="L298" i="1"/>
  <c r="AF470" i="1"/>
  <c r="AF495" i="1"/>
  <c r="K242" i="1"/>
  <c r="M242" i="1" s="1"/>
  <c r="J313" i="1"/>
  <c r="K313" i="1" s="1"/>
  <c r="L62" i="1"/>
  <c r="L9" i="1"/>
  <c r="L8" i="1"/>
  <c r="L45" i="1"/>
  <c r="L204" i="1"/>
  <c r="L179" i="1"/>
  <c r="L326" i="1"/>
  <c r="L260" i="1"/>
  <c r="L393" i="1"/>
  <c r="S393" i="1" s="1"/>
  <c r="L205" i="1"/>
  <c r="L332" i="1"/>
  <c r="L321" i="1"/>
  <c r="L339" i="1"/>
  <c r="J9" i="1"/>
  <c r="L268" i="1"/>
  <c r="L96" i="1"/>
  <c r="L272" i="1"/>
  <c r="L38" i="1"/>
  <c r="L269" i="1"/>
  <c r="J176" i="1"/>
  <c r="R176" i="1" s="1"/>
  <c r="L372" i="1"/>
  <c r="S372" i="1" s="1"/>
  <c r="L44" i="1"/>
  <c r="L313" i="1"/>
  <c r="AF498" i="1"/>
  <c r="M13" i="2"/>
  <c r="M10" i="2" s="1"/>
  <c r="AF462" i="1"/>
  <c r="L5" i="1"/>
  <c r="L10" i="1"/>
  <c r="L81" i="1"/>
  <c r="L99" i="1"/>
  <c r="L52" i="1"/>
  <c r="L53" i="1"/>
  <c r="L200" i="1"/>
  <c r="L341" i="1"/>
  <c r="L274" i="1"/>
  <c r="L59" i="1"/>
  <c r="L216" i="1"/>
  <c r="L335" i="1"/>
  <c r="L387" i="1"/>
  <c r="S387" i="1" s="1"/>
  <c r="L342" i="1"/>
  <c r="L32" i="1"/>
  <c r="L278" i="1"/>
  <c r="L201" i="1"/>
  <c r="L282" i="1"/>
  <c r="L77" i="1"/>
  <c r="L275" i="1"/>
  <c r="J179" i="1"/>
  <c r="R179" i="1" s="1"/>
  <c r="L115" i="1"/>
  <c r="L320" i="1"/>
  <c r="AF457" i="1"/>
  <c r="K173" i="1"/>
  <c r="K176" i="1"/>
  <c r="M176" i="1" s="1"/>
  <c r="L55" i="1"/>
  <c r="L61" i="1"/>
  <c r="L17" i="1"/>
  <c r="L36" i="1"/>
  <c r="J7" i="1"/>
  <c r="L221" i="1"/>
  <c r="L367" i="1"/>
  <c r="L324" i="1"/>
  <c r="L46" i="1"/>
  <c r="L219" i="1"/>
  <c r="L345" i="1"/>
  <c r="L43" i="1"/>
  <c r="L348" i="1"/>
  <c r="L114" i="1"/>
  <c r="L300" i="1"/>
  <c r="L284" i="1"/>
  <c r="L319" i="1"/>
  <c r="L95" i="1"/>
  <c r="L340" i="1"/>
  <c r="L199" i="1"/>
  <c r="L7" i="1"/>
  <c r="L135" i="1"/>
  <c r="L330" i="1"/>
  <c r="AF421" i="1"/>
  <c r="AF456" i="1"/>
  <c r="J300" i="1"/>
  <c r="K179" i="1"/>
  <c r="M179" i="1" s="1"/>
  <c r="L34" i="1"/>
  <c r="J6" i="1"/>
  <c r="L49" i="1"/>
  <c r="L12" i="1"/>
  <c r="L35" i="1"/>
  <c r="L227" i="1"/>
  <c r="L373" i="1"/>
  <c r="S373" i="1" s="1"/>
  <c r="L369" i="1"/>
  <c r="S369" i="1" s="1"/>
  <c r="L94" i="1"/>
  <c r="L229" i="1"/>
  <c r="L382" i="1"/>
  <c r="S382" i="1" s="1"/>
  <c r="L80" i="1"/>
  <c r="L370" i="1"/>
  <c r="S370" i="1" s="1"/>
  <c r="L130" i="1"/>
  <c r="L303" i="1"/>
  <c r="L33" i="1"/>
  <c r="L325" i="1"/>
  <c r="L140" i="1"/>
  <c r="L343" i="1"/>
  <c r="L207" i="1"/>
  <c r="L262" i="1"/>
  <c r="L122" i="1"/>
  <c r="L385" i="1"/>
  <c r="S385" i="1" s="1"/>
  <c r="AF454" i="1"/>
  <c r="J299" i="1"/>
  <c r="J303" i="1"/>
  <c r="K303" i="1" s="1"/>
  <c r="J296" i="1"/>
  <c r="AF415" i="1" l="1"/>
  <c r="N205" i="1"/>
  <c r="S205" i="1"/>
  <c r="S328" i="1"/>
  <c r="N328" i="1"/>
  <c r="AH460" i="1"/>
  <c r="AI460" i="1" s="1"/>
  <c r="AN460" i="1"/>
  <c r="AO460" i="1" s="1"/>
  <c r="N207" i="1"/>
  <c r="S207" i="1"/>
  <c r="S33" i="1"/>
  <c r="N33" i="1"/>
  <c r="N7" i="1"/>
  <c r="S7" i="1"/>
  <c r="S345" i="1"/>
  <c r="N345" i="1"/>
  <c r="L378" i="1"/>
  <c r="S367" i="1"/>
  <c r="AF435" i="1"/>
  <c r="N99" i="1"/>
  <c r="S99" i="1"/>
  <c r="AN462" i="1"/>
  <c r="AO462" i="1" s="1"/>
  <c r="AH462" i="1"/>
  <c r="AI462" i="1" s="1"/>
  <c r="L180" i="1"/>
  <c r="N180" i="1" s="1"/>
  <c r="S179" i="1"/>
  <c r="N179" i="1"/>
  <c r="N298" i="1"/>
  <c r="S298" i="1"/>
  <c r="S58" i="1"/>
  <c r="N58" i="1"/>
  <c r="R15" i="1"/>
  <c r="M15" i="1"/>
  <c r="K15" i="1"/>
  <c r="S215" i="1"/>
  <c r="N215" i="1"/>
  <c r="N309" i="1"/>
  <c r="S309" i="1"/>
  <c r="L305" i="1"/>
  <c r="S296" i="1"/>
  <c r="N296" i="1"/>
  <c r="S203" i="1"/>
  <c r="N203" i="1"/>
  <c r="N258" i="1"/>
  <c r="S258" i="1"/>
  <c r="N202" i="1"/>
  <c r="S202" i="1"/>
  <c r="S276" i="1"/>
  <c r="N276" i="1"/>
  <c r="S347" i="1"/>
  <c r="N347" i="1"/>
  <c r="AF445" i="1"/>
  <c r="N259" i="1"/>
  <c r="S259" i="1"/>
  <c r="S68" i="1"/>
  <c r="N68" i="1"/>
  <c r="S145" i="1"/>
  <c r="N145" i="1"/>
  <c r="AH494" i="1"/>
  <c r="AN494" i="1"/>
  <c r="S210" i="1"/>
  <c r="N210" i="1"/>
  <c r="AF437" i="1"/>
  <c r="S66" i="1"/>
  <c r="N66" i="1"/>
  <c r="AF440" i="1"/>
  <c r="M309" i="1"/>
  <c r="R309" i="1"/>
  <c r="K309" i="1"/>
  <c r="N78" i="1"/>
  <c r="S78" i="1"/>
  <c r="M296" i="1"/>
  <c r="J305" i="1"/>
  <c r="K296" i="1"/>
  <c r="R296" i="1"/>
  <c r="AF412" i="1"/>
  <c r="AH421" i="1"/>
  <c r="AI421" i="1" s="1"/>
  <c r="AN421" i="1"/>
  <c r="AO421" i="1" s="1"/>
  <c r="S319" i="1"/>
  <c r="N319" i="1"/>
  <c r="L331" i="1"/>
  <c r="L379" i="1"/>
  <c r="S17" i="1"/>
  <c r="N17" i="1"/>
  <c r="S115" i="1"/>
  <c r="N115" i="1"/>
  <c r="N282" i="1"/>
  <c r="S282" i="1"/>
  <c r="S200" i="1"/>
  <c r="N200" i="1"/>
  <c r="AF452" i="1"/>
  <c r="N9" i="1"/>
  <c r="S9" i="1"/>
  <c r="S323" i="1"/>
  <c r="N323" i="1"/>
  <c r="S37" i="1"/>
  <c r="N37" i="1"/>
  <c r="S153" i="1"/>
  <c r="N153" i="1"/>
  <c r="R11" i="1"/>
  <c r="M11" i="1"/>
  <c r="K11" i="1"/>
  <c r="K361" i="1"/>
  <c r="S361" i="1"/>
  <c r="L363" i="1"/>
  <c r="S363" i="1" s="1"/>
  <c r="N333" i="1"/>
  <c r="S333" i="1"/>
  <c r="N299" i="1"/>
  <c r="S299" i="1"/>
  <c r="S138" i="1"/>
  <c r="N138" i="1"/>
  <c r="N71" i="1"/>
  <c r="S71" i="1"/>
  <c r="N220" i="1"/>
  <c r="S220" i="1"/>
  <c r="S162" i="1"/>
  <c r="N162" i="1"/>
  <c r="AF471" i="1"/>
  <c r="M95" i="1"/>
  <c r="R95" i="1"/>
  <c r="J97" i="1"/>
  <c r="K95" i="1"/>
  <c r="N209" i="1"/>
  <c r="S209" i="1"/>
  <c r="S125" i="1"/>
  <c r="N125" i="1"/>
  <c r="N214" i="1"/>
  <c r="S214" i="1"/>
  <c r="N42" i="1"/>
  <c r="S42" i="1"/>
  <c r="L54" i="1"/>
  <c r="S47" i="1"/>
  <c r="N47" i="1"/>
  <c r="S185" i="1"/>
  <c r="N185" i="1"/>
  <c r="S40" i="1"/>
  <c r="N40" i="1"/>
  <c r="K40" i="1"/>
  <c r="N343" i="1"/>
  <c r="S343" i="1"/>
  <c r="S219" i="1"/>
  <c r="N219" i="1"/>
  <c r="N221" i="1"/>
  <c r="S221" i="1"/>
  <c r="K186" i="1"/>
  <c r="M173" i="1"/>
  <c r="K175" i="1"/>
  <c r="AF411" i="1"/>
  <c r="S81" i="1"/>
  <c r="N81" i="1"/>
  <c r="AF427" i="1"/>
  <c r="N339" i="1"/>
  <c r="S339" i="1"/>
  <c r="AH495" i="1"/>
  <c r="AN495" i="1"/>
  <c r="R10" i="1"/>
  <c r="M10" i="1"/>
  <c r="K10" i="1"/>
  <c r="N346" i="1"/>
  <c r="S346" i="1"/>
  <c r="S126" i="1"/>
  <c r="N126" i="1"/>
  <c r="S208" i="1"/>
  <c r="N208" i="1"/>
  <c r="N338" i="1"/>
  <c r="S338" i="1"/>
  <c r="N118" i="1"/>
  <c r="S118" i="1"/>
  <c r="N271" i="1"/>
  <c r="S271" i="1"/>
  <c r="N280" i="1"/>
  <c r="S280" i="1"/>
  <c r="S104" i="1"/>
  <c r="N104" i="1"/>
  <c r="AH496" i="1"/>
  <c r="AI496" i="1" s="1"/>
  <c r="AN496" i="1"/>
  <c r="S329" i="1"/>
  <c r="N329" i="1"/>
  <c r="N12" i="1"/>
  <c r="S12" i="1"/>
  <c r="S114" i="1"/>
  <c r="N114" i="1"/>
  <c r="S255" i="1"/>
  <c r="N255" i="1"/>
  <c r="L267" i="1"/>
  <c r="S49" i="1"/>
  <c r="N49" i="1"/>
  <c r="N199" i="1"/>
  <c r="L211" i="1"/>
  <c r="S199" i="1"/>
  <c r="S59" i="1"/>
  <c r="N59" i="1"/>
  <c r="AF466" i="1"/>
  <c r="AH466" i="1" s="1"/>
  <c r="AN498" i="1"/>
  <c r="AH498" i="1"/>
  <c r="AE498" i="1"/>
  <c r="M9" i="2"/>
  <c r="M8" i="2" s="1"/>
  <c r="N96" i="1"/>
  <c r="S96" i="1"/>
  <c r="S204" i="1"/>
  <c r="N204" i="1"/>
  <c r="N158" i="1"/>
  <c r="S158" i="1"/>
  <c r="S182" i="1"/>
  <c r="N182" i="1"/>
  <c r="L183" i="1"/>
  <c r="N21" i="1"/>
  <c r="S21" i="1"/>
  <c r="L24" i="1"/>
  <c r="AN459" i="1"/>
  <c r="AO459" i="1" s="1"/>
  <c r="AH459" i="1"/>
  <c r="AI459" i="1" s="1"/>
  <c r="N151" i="1"/>
  <c r="S151" i="1"/>
  <c r="AF416" i="1"/>
  <c r="S132" i="1"/>
  <c r="N132" i="1"/>
  <c r="S127" i="1"/>
  <c r="N127" i="1"/>
  <c r="AF410" i="1"/>
  <c r="S270" i="1"/>
  <c r="N270" i="1"/>
  <c r="AN493" i="1"/>
  <c r="AH493" i="1"/>
  <c r="N15" i="1"/>
  <c r="S15" i="1"/>
  <c r="N249" i="1"/>
  <c r="N248" i="1"/>
  <c r="L249" i="1"/>
  <c r="S248" i="1"/>
  <c r="N11" i="1"/>
  <c r="S11" i="1"/>
  <c r="AF449" i="1"/>
  <c r="N303" i="1"/>
  <c r="S303" i="1"/>
  <c r="N227" i="1"/>
  <c r="S227" i="1"/>
  <c r="AF413" i="1"/>
  <c r="S348" i="1"/>
  <c r="N348" i="1"/>
  <c r="N61" i="1"/>
  <c r="S61" i="1"/>
  <c r="N201" i="1"/>
  <c r="S201" i="1"/>
  <c r="N342" i="1"/>
  <c r="S342" i="1"/>
  <c r="AF439" i="1"/>
  <c r="S53" i="1"/>
  <c r="N53" i="1"/>
  <c r="AF476" i="1"/>
  <c r="S161" i="1"/>
  <c r="N161" i="1"/>
  <c r="S176" i="1"/>
  <c r="N176" i="1"/>
  <c r="L177" i="1"/>
  <c r="K298" i="1"/>
  <c r="R298" i="1"/>
  <c r="M298" i="1"/>
  <c r="N297" i="1"/>
  <c r="S297" i="1"/>
  <c r="AH455" i="1"/>
  <c r="AI455" i="1" s="1"/>
  <c r="AN455" i="1"/>
  <c r="AO455" i="1" s="1"/>
  <c r="S285" i="1"/>
  <c r="N285" i="1"/>
  <c r="K94" i="1"/>
  <c r="M94" i="1"/>
  <c r="R94" i="1"/>
  <c r="AH461" i="1"/>
  <c r="AI461" i="1" s="1"/>
  <c r="AN461" i="1"/>
  <c r="AO461" i="1" s="1"/>
  <c r="L230" i="1"/>
  <c r="N212" i="1"/>
  <c r="S212" i="1"/>
  <c r="N225" i="1"/>
  <c r="S225" i="1"/>
  <c r="N308" i="1"/>
  <c r="S308" i="1"/>
  <c r="R17" i="1"/>
  <c r="M17" i="1"/>
  <c r="K17" i="1"/>
  <c r="AN492" i="1"/>
  <c r="AO492" i="1" s="1"/>
  <c r="AH492" i="1"/>
  <c r="AI492" i="1" s="1"/>
  <c r="S116" i="1"/>
  <c r="N116" i="1"/>
  <c r="M96" i="1"/>
  <c r="K96" i="1"/>
  <c r="R96" i="1"/>
  <c r="N51" i="1"/>
  <c r="S51" i="1"/>
  <c r="S82" i="1"/>
  <c r="N82" i="1"/>
  <c r="N218" i="1"/>
  <c r="S218" i="1"/>
  <c r="N257" i="1"/>
  <c r="S257" i="1"/>
  <c r="N75" i="1"/>
  <c r="S75" i="1"/>
  <c r="L83" i="1"/>
  <c r="N143" i="1"/>
  <c r="S143" i="1"/>
  <c r="S48" i="1"/>
  <c r="N48" i="1"/>
  <c r="AF426" i="1"/>
  <c r="N122" i="1"/>
  <c r="S122" i="1"/>
  <c r="N140" i="1"/>
  <c r="S140" i="1"/>
  <c r="N229" i="1"/>
  <c r="S229" i="1"/>
  <c r="N330" i="1"/>
  <c r="S330" i="1"/>
  <c r="N284" i="1"/>
  <c r="S284" i="1"/>
  <c r="S46" i="1"/>
  <c r="N46" i="1"/>
  <c r="R7" i="1"/>
  <c r="M7" i="1"/>
  <c r="K7" i="1"/>
  <c r="S10" i="1"/>
  <c r="N10" i="1"/>
  <c r="AF417" i="1"/>
  <c r="S269" i="1"/>
  <c r="N269" i="1"/>
  <c r="S321" i="1"/>
  <c r="N321" i="1"/>
  <c r="N260" i="1"/>
  <c r="S260" i="1"/>
  <c r="S62" i="1"/>
  <c r="N62" i="1"/>
  <c r="N131" i="1"/>
  <c r="S131" i="1"/>
  <c r="S242" i="1"/>
  <c r="S243" i="1" s="1"/>
  <c r="L243" i="1"/>
  <c r="N242" i="1"/>
  <c r="N243" i="1" s="1"/>
  <c r="N228" i="1"/>
  <c r="S228" i="1"/>
  <c r="S337" i="1"/>
  <c r="N337" i="1"/>
  <c r="S121" i="1"/>
  <c r="N121" i="1"/>
  <c r="N39" i="1"/>
  <c r="S39" i="1"/>
  <c r="K39" i="1"/>
  <c r="S144" i="1"/>
  <c r="N144" i="1"/>
  <c r="S129" i="1"/>
  <c r="N129" i="1"/>
  <c r="S279" i="1"/>
  <c r="N279" i="1"/>
  <c r="AF481" i="1"/>
  <c r="AF441" i="1"/>
  <c r="S56" i="1"/>
  <c r="N56" i="1"/>
  <c r="N149" i="1"/>
  <c r="S149" i="1"/>
  <c r="AF422" i="1"/>
  <c r="S147" i="1"/>
  <c r="N147" i="1"/>
  <c r="N139" i="1"/>
  <c r="S139" i="1"/>
  <c r="AF438" i="1"/>
  <c r="R101" i="1"/>
  <c r="M101" i="1"/>
  <c r="K101" i="1"/>
  <c r="R308" i="1"/>
  <c r="K308" i="1"/>
  <c r="M308" i="1"/>
  <c r="S283" i="1"/>
  <c r="N283" i="1"/>
  <c r="S273" i="1"/>
  <c r="N273" i="1"/>
  <c r="N31" i="1"/>
  <c r="S31" i="1"/>
  <c r="L41" i="1"/>
  <c r="N101" i="1"/>
  <c r="S101" i="1"/>
  <c r="S23" i="1"/>
  <c r="N23" i="1"/>
  <c r="AF429" i="1"/>
  <c r="N275" i="1"/>
  <c r="S275" i="1"/>
  <c r="AF418" i="1"/>
  <c r="AF433" i="1"/>
  <c r="AH433" i="1" s="1"/>
  <c r="S313" i="1"/>
  <c r="R313" i="1" s="1"/>
  <c r="N313" i="1"/>
  <c r="N268" i="1"/>
  <c r="S268" i="1"/>
  <c r="L286" i="1"/>
  <c r="S45" i="1"/>
  <c r="N45" i="1"/>
  <c r="AH470" i="1"/>
  <c r="AI470" i="1" s="1"/>
  <c r="AN470" i="1"/>
  <c r="AO470" i="1" s="1"/>
  <c r="S349" i="1"/>
  <c r="N349" i="1"/>
  <c r="S245" i="1"/>
  <c r="K267" i="1"/>
  <c r="L246" i="1"/>
  <c r="N245" i="1"/>
  <c r="N246" i="1" s="1"/>
  <c r="L251" i="1"/>
  <c r="N344" i="1"/>
  <c r="S344" i="1"/>
  <c r="S50" i="1"/>
  <c r="N50" i="1"/>
  <c r="S79" i="1"/>
  <c r="N79" i="1"/>
  <c r="N301" i="1"/>
  <c r="S301" i="1"/>
  <c r="N119" i="1"/>
  <c r="S119" i="1"/>
  <c r="AF436" i="1"/>
  <c r="L164" i="1"/>
  <c r="N157" i="1"/>
  <c r="S157" i="1"/>
  <c r="N146" i="1"/>
  <c r="S146" i="1"/>
  <c r="S256" i="1"/>
  <c r="N256" i="1"/>
  <c r="AF480" i="1"/>
  <c r="AF444" i="1"/>
  <c r="S130" i="1"/>
  <c r="N130" i="1"/>
  <c r="N35" i="1"/>
  <c r="S35" i="1"/>
  <c r="R6" i="1"/>
  <c r="M6" i="1"/>
  <c r="K6" i="1"/>
  <c r="J13" i="1"/>
  <c r="M300" i="1"/>
  <c r="K300" i="1"/>
  <c r="R300" i="1"/>
  <c r="N340" i="1"/>
  <c r="S340" i="1"/>
  <c r="N43" i="1"/>
  <c r="S43" i="1"/>
  <c r="AF442" i="1"/>
  <c r="AH457" i="1"/>
  <c r="AN457" i="1"/>
  <c r="N278" i="1"/>
  <c r="S278" i="1"/>
  <c r="S274" i="1"/>
  <c r="N274" i="1"/>
  <c r="N52" i="1"/>
  <c r="S52" i="1"/>
  <c r="AF419" i="1"/>
  <c r="AF451" i="1"/>
  <c r="S223" i="1"/>
  <c r="N223" i="1"/>
  <c r="S322" i="1"/>
  <c r="N322" i="1"/>
  <c r="N304" i="1"/>
  <c r="S304" i="1"/>
  <c r="R12" i="1"/>
  <c r="M12" i="1"/>
  <c r="K12" i="1"/>
  <c r="S124" i="1"/>
  <c r="L136" i="1"/>
  <c r="N124" i="1"/>
  <c r="AF430" i="1"/>
  <c r="AN497" i="1"/>
  <c r="AO497" i="1" s="1"/>
  <c r="AH497" i="1"/>
  <c r="N327" i="1"/>
  <c r="S327" i="1"/>
  <c r="L190" i="1"/>
  <c r="S189" i="1"/>
  <c r="N189" i="1"/>
  <c r="S148" i="1"/>
  <c r="N148" i="1"/>
  <c r="N113" i="1"/>
  <c r="S113" i="1"/>
  <c r="L123" i="1"/>
  <c r="J113" i="1"/>
  <c r="L106" i="1"/>
  <c r="S103" i="1"/>
  <c r="N103" i="1"/>
  <c r="AF431" i="1"/>
  <c r="AN458" i="1"/>
  <c r="AO458" i="1" s="1"/>
  <c r="AH458" i="1"/>
  <c r="AI458" i="1" s="1"/>
  <c r="N159" i="1"/>
  <c r="S159" i="1"/>
  <c r="AF475" i="1"/>
  <c r="S117" i="1"/>
  <c r="N117" i="1"/>
  <c r="AF472" i="1"/>
  <c r="N336" i="1"/>
  <c r="S336" i="1"/>
  <c r="S76" i="1"/>
  <c r="N76" i="1"/>
  <c r="M8" i="1"/>
  <c r="R8" i="1"/>
  <c r="K8" i="1"/>
  <c r="AH454" i="1"/>
  <c r="AN454" i="1"/>
  <c r="N34" i="1"/>
  <c r="S34" i="1"/>
  <c r="S216" i="1"/>
  <c r="N216" i="1"/>
  <c r="N272" i="1"/>
  <c r="S272" i="1"/>
  <c r="R299" i="1"/>
  <c r="K299" i="1"/>
  <c r="M299" i="1"/>
  <c r="N262" i="1"/>
  <c r="S262" i="1"/>
  <c r="S325" i="1"/>
  <c r="N325" i="1"/>
  <c r="L97" i="1"/>
  <c r="S94" i="1"/>
  <c r="N94" i="1"/>
  <c r="N135" i="1"/>
  <c r="S135" i="1"/>
  <c r="N300" i="1"/>
  <c r="S300" i="1"/>
  <c r="AF423" i="1"/>
  <c r="S324" i="1"/>
  <c r="N324" i="1"/>
  <c r="S36" i="1"/>
  <c r="N36" i="1"/>
  <c r="S55" i="1"/>
  <c r="N55" i="1"/>
  <c r="L72" i="1"/>
  <c r="AF428" i="1"/>
  <c r="AF465" i="1"/>
  <c r="AH465" i="1" s="1"/>
  <c r="N38" i="1"/>
  <c r="S38" i="1"/>
  <c r="K38" i="1"/>
  <c r="N332" i="1"/>
  <c r="L350" i="1"/>
  <c r="K350" i="1" s="1"/>
  <c r="S332" i="1"/>
  <c r="S326" i="1"/>
  <c r="N326" i="1"/>
  <c r="AF443" i="1"/>
  <c r="N133" i="1"/>
  <c r="S133" i="1"/>
  <c r="K297" i="1"/>
  <c r="R297" i="1"/>
  <c r="M297" i="1"/>
  <c r="S261" i="1"/>
  <c r="N261" i="1"/>
  <c r="N142" i="1"/>
  <c r="S142" i="1"/>
  <c r="N128" i="1"/>
  <c r="S128" i="1"/>
  <c r="S224" i="1"/>
  <c r="N224" i="1"/>
  <c r="N226" i="1"/>
  <c r="S226" i="1"/>
  <c r="L174" i="1"/>
  <c r="L186" i="1"/>
  <c r="N173" i="1"/>
  <c r="S173" i="1"/>
  <c r="M301" i="1"/>
  <c r="R301" i="1"/>
  <c r="K301" i="1"/>
  <c r="N163" i="1"/>
  <c r="S163" i="1"/>
  <c r="S213" i="1"/>
  <c r="N213" i="1"/>
  <c r="L154" i="1"/>
  <c r="S137" i="1"/>
  <c r="N137" i="1"/>
  <c r="N64" i="1"/>
  <c r="S64" i="1"/>
  <c r="S217" i="1"/>
  <c r="N217" i="1"/>
  <c r="AF477" i="1"/>
  <c r="N266" i="1"/>
  <c r="S266" i="1"/>
  <c r="N302" i="1"/>
  <c r="S302" i="1"/>
  <c r="K302" i="1"/>
  <c r="M302" i="1"/>
  <c r="S334" i="1"/>
  <c r="N334" i="1"/>
  <c r="S105" i="1"/>
  <c r="N105" i="1"/>
  <c r="N80" i="1"/>
  <c r="S80" i="1"/>
  <c r="N264" i="1"/>
  <c r="S264" i="1"/>
  <c r="AF414" i="1"/>
  <c r="N77" i="1"/>
  <c r="S77" i="1"/>
  <c r="N335" i="1"/>
  <c r="S335" i="1"/>
  <c r="AF479" i="1"/>
  <c r="N44" i="1"/>
  <c r="S44" i="1"/>
  <c r="AF425" i="1"/>
  <c r="N150" i="1"/>
  <c r="S150" i="1"/>
  <c r="S206" i="1"/>
  <c r="N206" i="1"/>
  <c r="N67" i="1"/>
  <c r="S67" i="1"/>
  <c r="S120" i="1"/>
  <c r="N120" i="1"/>
  <c r="S60" i="1"/>
  <c r="N60" i="1"/>
  <c r="S63" i="1"/>
  <c r="N63" i="1"/>
  <c r="S265" i="1"/>
  <c r="N265" i="1"/>
  <c r="S141" i="1"/>
  <c r="N141" i="1"/>
  <c r="S263" i="1"/>
  <c r="N263" i="1"/>
  <c r="S22" i="1"/>
  <c r="N22" i="1"/>
  <c r="S65" i="1"/>
  <c r="N65" i="1"/>
  <c r="N6" i="1"/>
  <c r="S6" i="1"/>
  <c r="L13" i="1"/>
  <c r="AF447" i="1"/>
  <c r="AN456" i="1"/>
  <c r="AO456" i="1" s="1"/>
  <c r="AH456" i="1"/>
  <c r="AI456" i="1" s="1"/>
  <c r="N95" i="1"/>
  <c r="S95" i="1"/>
  <c r="S320" i="1"/>
  <c r="N320" i="1"/>
  <c r="AF474" i="1"/>
  <c r="S32" i="1"/>
  <c r="N32" i="1"/>
  <c r="J32" i="1"/>
  <c r="N341" i="1"/>
  <c r="S341" i="1"/>
  <c r="AF432" i="1"/>
  <c r="AF450" i="1"/>
  <c r="AF424" i="1"/>
  <c r="M9" i="1"/>
  <c r="R9" i="1"/>
  <c r="K9" i="1"/>
  <c r="N8" i="1"/>
  <c r="S8" i="1"/>
  <c r="S222" i="1"/>
  <c r="N222" i="1"/>
  <c r="AF448" i="1"/>
  <c r="M245" i="1"/>
  <c r="K251" i="1"/>
  <c r="L252" i="1" s="1"/>
  <c r="N281" i="1"/>
  <c r="S281" i="1"/>
  <c r="N152" i="1"/>
  <c r="S152" i="1"/>
  <c r="S277" i="1"/>
  <c r="N277" i="1"/>
  <c r="N160" i="1"/>
  <c r="S160" i="1"/>
  <c r="AN478" i="1"/>
  <c r="AO478" i="1" s="1"/>
  <c r="AH478" i="1"/>
  <c r="AI478" i="1" s="1"/>
  <c r="S70" i="1"/>
  <c r="N70" i="1"/>
  <c r="AF446" i="1"/>
  <c r="N57" i="1"/>
  <c r="S57" i="1"/>
  <c r="N134" i="1"/>
  <c r="S134" i="1"/>
  <c r="AF473" i="1"/>
  <c r="AF434" i="1" l="1"/>
  <c r="N83" i="1"/>
  <c r="AF482" i="1"/>
  <c r="M13" i="1"/>
  <c r="M14" i="1" s="1"/>
  <c r="S350" i="1"/>
  <c r="AF467" i="1"/>
  <c r="AH434" i="1"/>
  <c r="AI434" i="1" s="1"/>
  <c r="AN434" i="1"/>
  <c r="AO434" i="1" s="1"/>
  <c r="AN482" i="1"/>
  <c r="AO482" i="1" s="1"/>
  <c r="AH482" i="1"/>
  <c r="AI482" i="1" s="1"/>
  <c r="N154" i="1"/>
  <c r="S154" i="1"/>
  <c r="K154" i="1"/>
  <c r="AH447" i="1"/>
  <c r="AI447" i="1" s="1"/>
  <c r="AN447" i="1"/>
  <c r="AO447" i="1" s="1"/>
  <c r="AN428" i="1"/>
  <c r="AH428" i="1"/>
  <c r="AI428" i="1" s="1"/>
  <c r="AN451" i="1"/>
  <c r="AH451" i="1"/>
  <c r="AH418" i="1"/>
  <c r="AN418" i="1"/>
  <c r="AE418" i="1"/>
  <c r="AH441" i="1"/>
  <c r="AN441" i="1"/>
  <c r="AO441" i="1" s="1"/>
  <c r="AH426" i="1"/>
  <c r="AN426" i="1"/>
  <c r="K230" i="1"/>
  <c r="S230" i="1"/>
  <c r="N230" i="1"/>
  <c r="AH445" i="1"/>
  <c r="AI445" i="1" s="1"/>
  <c r="AN445" i="1"/>
  <c r="AO445" i="1" s="1"/>
  <c r="AN419" i="1"/>
  <c r="AH419" i="1"/>
  <c r="AE419" i="1"/>
  <c r="AH481" i="1"/>
  <c r="AI481" i="1" s="1"/>
  <c r="AN481" i="1"/>
  <c r="AO481" i="1" s="1"/>
  <c r="AH450" i="1"/>
  <c r="AN450" i="1"/>
  <c r="AN474" i="1"/>
  <c r="AO474" i="1" s="1"/>
  <c r="AH474" i="1"/>
  <c r="AI474" i="1" s="1"/>
  <c r="AN479" i="1"/>
  <c r="AH479" i="1"/>
  <c r="AI479" i="1" s="1"/>
  <c r="S136" i="1"/>
  <c r="N136" i="1"/>
  <c r="K136" i="1"/>
  <c r="AE416" i="1"/>
  <c r="K22" i="1"/>
  <c r="R22" i="1" s="1"/>
  <c r="K21" i="1"/>
  <c r="R21" i="1" s="1"/>
  <c r="J27" i="1"/>
  <c r="K23" i="1"/>
  <c r="R23" i="1" s="1"/>
  <c r="K13" i="1"/>
  <c r="AN480" i="1"/>
  <c r="AO480" i="1" s="1"/>
  <c r="AH480" i="1"/>
  <c r="AI480" i="1" s="1"/>
  <c r="AH436" i="1"/>
  <c r="AI436" i="1" s="1"/>
  <c r="AN436" i="1"/>
  <c r="AO436" i="1" s="1"/>
  <c r="AN417" i="1"/>
  <c r="AE417" i="1"/>
  <c r="AH417" i="1"/>
  <c r="AF453" i="1"/>
  <c r="AH435" i="1"/>
  <c r="AN435" i="1"/>
  <c r="AH473" i="1"/>
  <c r="AI473" i="1" s="1"/>
  <c r="AN473" i="1"/>
  <c r="L109" i="1"/>
  <c r="S97" i="1"/>
  <c r="S98" i="1" s="1"/>
  <c r="N97" i="1"/>
  <c r="N98" i="1" s="1"/>
  <c r="K123" i="1"/>
  <c r="N123" i="1"/>
  <c r="L156" i="1"/>
  <c r="S123" i="1"/>
  <c r="AH415" i="1"/>
  <c r="AI415" i="1" s="1"/>
  <c r="AE415" i="1"/>
  <c r="AN415" i="1"/>
  <c r="AO415" i="1" s="1"/>
  <c r="AH472" i="1"/>
  <c r="AI472" i="1" s="1"/>
  <c r="AN472" i="1"/>
  <c r="AO472" i="1" s="1"/>
  <c r="AH432" i="1"/>
  <c r="AI432" i="1" s="1"/>
  <c r="AN432" i="1"/>
  <c r="AO432" i="1" s="1"/>
  <c r="J31" i="1"/>
  <c r="L27" i="1"/>
  <c r="R13" i="1"/>
  <c r="R14" i="1" s="1"/>
  <c r="S83" i="1"/>
  <c r="N305" i="1"/>
  <c r="N306" i="1" s="1"/>
  <c r="L310" i="1"/>
  <c r="S305" i="1"/>
  <c r="S306" i="1" s="1"/>
  <c r="S13" i="1"/>
  <c r="S14" i="1" s="1"/>
  <c r="AN477" i="1"/>
  <c r="AH477" i="1"/>
  <c r="AI477" i="1" s="1"/>
  <c r="N186" i="1"/>
  <c r="N187" i="1" s="1"/>
  <c r="L187" i="1"/>
  <c r="L195" i="1"/>
  <c r="S186" i="1"/>
  <c r="N350" i="1"/>
  <c r="S251" i="1"/>
  <c r="N251" i="1"/>
  <c r="N252" i="1" s="1"/>
  <c r="K286" i="1"/>
  <c r="S286" i="1"/>
  <c r="AH422" i="1"/>
  <c r="AI422" i="1" s="1"/>
  <c r="AN422" i="1"/>
  <c r="AO422" i="1" s="1"/>
  <c r="S24" i="1"/>
  <c r="S25" i="1" s="1"/>
  <c r="N24" i="1"/>
  <c r="N25" i="1" s="1"/>
  <c r="K195" i="1"/>
  <c r="M186" i="1"/>
  <c r="K122" i="1"/>
  <c r="P121" i="1"/>
  <c r="R97" i="1"/>
  <c r="R98" i="1" s="1"/>
  <c r="K97" i="1"/>
  <c r="P115" i="1"/>
  <c r="K117" i="1"/>
  <c r="M97" i="1"/>
  <c r="M98" i="1" s="1"/>
  <c r="K120" i="1"/>
  <c r="P114" i="1"/>
  <c r="K121" i="1"/>
  <c r="P113" i="1"/>
  <c r="K114" i="1"/>
  <c r="K113" i="1"/>
  <c r="P118" i="1"/>
  <c r="P116" i="1"/>
  <c r="P120" i="1"/>
  <c r="K119" i="1"/>
  <c r="J109" i="1"/>
  <c r="P117" i="1"/>
  <c r="P122" i="1"/>
  <c r="K116" i="1"/>
  <c r="K115" i="1"/>
  <c r="P119" i="1"/>
  <c r="K118" i="1"/>
  <c r="AH412" i="1"/>
  <c r="AI412" i="1" s="1"/>
  <c r="AE412" i="1"/>
  <c r="AN412" i="1"/>
  <c r="AO412" i="1" s="1"/>
  <c r="AH442" i="1"/>
  <c r="AI442" i="1" s="1"/>
  <c r="AN442" i="1"/>
  <c r="AO442" i="1" s="1"/>
  <c r="N13" i="1"/>
  <c r="N14" i="1" s="1"/>
  <c r="AH425" i="1"/>
  <c r="AI425" i="1" s="1"/>
  <c r="AN425" i="1"/>
  <c r="AO425" i="1" s="1"/>
  <c r="AO454" i="1"/>
  <c r="AN467" i="1"/>
  <c r="AO467" i="1" s="1"/>
  <c r="AH431" i="1"/>
  <c r="AI431" i="1" s="1"/>
  <c r="AN431" i="1"/>
  <c r="AO431" i="1" s="1"/>
  <c r="N41" i="1"/>
  <c r="S41" i="1"/>
  <c r="K41" i="1"/>
  <c r="L74" i="1"/>
  <c r="AN427" i="1"/>
  <c r="AH427" i="1"/>
  <c r="AH440" i="1"/>
  <c r="AI440" i="1" s="1"/>
  <c r="AN440" i="1"/>
  <c r="AO440" i="1" s="1"/>
  <c r="S378" i="1"/>
  <c r="K378" i="1"/>
  <c r="AH467" i="1"/>
  <c r="AI467" i="1" s="1"/>
  <c r="AI454" i="1"/>
  <c r="N286" i="1"/>
  <c r="L396" i="1"/>
  <c r="K396" i="1" s="1"/>
  <c r="S379" i="1"/>
  <c r="S396" i="1" s="1"/>
  <c r="K72" i="1"/>
  <c r="L232" i="1"/>
  <c r="N211" i="1"/>
  <c r="K211" i="1"/>
  <c r="S211" i="1"/>
  <c r="R251" i="1"/>
  <c r="S252" i="1" s="1"/>
  <c r="M251" i="1"/>
  <c r="AH439" i="1"/>
  <c r="AI439" i="1" s="1"/>
  <c r="AN439" i="1"/>
  <c r="AO439" i="1" s="1"/>
  <c r="AH449" i="1"/>
  <c r="AI449" i="1" s="1"/>
  <c r="AN449" i="1"/>
  <c r="AO449" i="1" s="1"/>
  <c r="AH416" i="1"/>
  <c r="AI416" i="1" s="1"/>
  <c r="AN416" i="1"/>
  <c r="AO416" i="1" s="1"/>
  <c r="S54" i="1"/>
  <c r="AH471" i="1"/>
  <c r="AI471" i="1" s="1"/>
  <c r="AN471" i="1"/>
  <c r="AO471" i="1" s="1"/>
  <c r="AH452" i="1"/>
  <c r="AN452" i="1"/>
  <c r="N72" i="1"/>
  <c r="AN475" i="1"/>
  <c r="AO475" i="1" s="1"/>
  <c r="AH475" i="1"/>
  <c r="AI475" i="1" s="1"/>
  <c r="AH430" i="1"/>
  <c r="AI430" i="1" s="1"/>
  <c r="AN430" i="1"/>
  <c r="AO430" i="1" s="1"/>
  <c r="AH438" i="1"/>
  <c r="AI438" i="1" s="1"/>
  <c r="AN438" i="1"/>
  <c r="AO438" i="1" s="1"/>
  <c r="N54" i="1"/>
  <c r="S72" i="1"/>
  <c r="J24" i="1"/>
  <c r="AH446" i="1"/>
  <c r="AI446" i="1" s="1"/>
  <c r="AN446" i="1"/>
  <c r="AO446" i="1" s="1"/>
  <c r="AH448" i="1"/>
  <c r="AI448" i="1" s="1"/>
  <c r="AN448" i="1"/>
  <c r="AO448" i="1" s="1"/>
  <c r="AH424" i="1"/>
  <c r="AI424" i="1" s="1"/>
  <c r="AN424" i="1"/>
  <c r="AO424" i="1" s="1"/>
  <c r="AH414" i="1"/>
  <c r="AI414" i="1" s="1"/>
  <c r="AE414" i="1"/>
  <c r="AN414" i="1"/>
  <c r="AO414" i="1" s="1"/>
  <c r="AH443" i="1"/>
  <c r="AI443" i="1" s="1"/>
  <c r="AN443" i="1"/>
  <c r="AO443" i="1" s="1"/>
  <c r="AH444" i="1"/>
  <c r="AI444" i="1" s="1"/>
  <c r="AN444" i="1"/>
  <c r="AO444" i="1" s="1"/>
  <c r="S164" i="1"/>
  <c r="AH429" i="1"/>
  <c r="AI429" i="1" s="1"/>
  <c r="AN429" i="1"/>
  <c r="AO429" i="1" s="1"/>
  <c r="AN476" i="1"/>
  <c r="AO476" i="1" s="1"/>
  <c r="AH476" i="1"/>
  <c r="AI476" i="1" s="1"/>
  <c r="K13" i="2"/>
  <c r="K10" i="2" s="1"/>
  <c r="AH423" i="1"/>
  <c r="AI423" i="1" s="1"/>
  <c r="AN423" i="1"/>
  <c r="AO423" i="1" s="1"/>
  <c r="J114" i="1"/>
  <c r="N106" i="1"/>
  <c r="N107" i="1" s="1"/>
  <c r="S106" i="1"/>
  <c r="S107" i="1" s="1"/>
  <c r="N164" i="1"/>
  <c r="AH413" i="1"/>
  <c r="AI413" i="1" s="1"/>
  <c r="AE413" i="1"/>
  <c r="AN413" i="1"/>
  <c r="AO413" i="1" s="1"/>
  <c r="AF420" i="1"/>
  <c r="AH410" i="1"/>
  <c r="AI410" i="1" s="1"/>
  <c r="AE410" i="1"/>
  <c r="AN410" i="1"/>
  <c r="AO410" i="1" s="1"/>
  <c r="S267" i="1"/>
  <c r="L288" i="1"/>
  <c r="L290" i="1" s="1"/>
  <c r="N267" i="1"/>
  <c r="AH411" i="1"/>
  <c r="AI411" i="1" s="1"/>
  <c r="AE411" i="1"/>
  <c r="AN411" i="1"/>
  <c r="AO411" i="1" s="1"/>
  <c r="S331" i="1"/>
  <c r="L352" i="1"/>
  <c r="N331" i="1"/>
  <c r="K331" i="1"/>
  <c r="K305" i="1"/>
  <c r="M305" i="1"/>
  <c r="R305" i="1"/>
  <c r="J310" i="1"/>
  <c r="AH437" i="1"/>
  <c r="AI437" i="1" s="1"/>
  <c r="AN437" i="1"/>
  <c r="AO437" i="1" s="1"/>
  <c r="L398" i="1" l="1"/>
  <c r="S290" i="1"/>
  <c r="N290" i="1"/>
  <c r="N74" i="1"/>
  <c r="S74" i="1"/>
  <c r="K74" i="1"/>
  <c r="AM419" i="1"/>
  <c r="AG419" i="1"/>
  <c r="AM410" i="1"/>
  <c r="AG410" i="1"/>
  <c r="K232" i="1"/>
  <c r="S232" i="1"/>
  <c r="N232" i="1"/>
  <c r="AM415" i="1"/>
  <c r="AG415" i="1"/>
  <c r="K24" i="1"/>
  <c r="M24" i="1"/>
  <c r="K32" i="1"/>
  <c r="K37" i="1"/>
  <c r="K36" i="1"/>
  <c r="K31" i="1"/>
  <c r="K35" i="1"/>
  <c r="K33" i="1"/>
  <c r="K34" i="1"/>
  <c r="R109" i="1"/>
  <c r="R110" i="1" s="1"/>
  <c r="K109" i="1"/>
  <c r="M109" i="1"/>
  <c r="M110" i="1" s="1"/>
  <c r="AH420" i="1"/>
  <c r="AI420" i="1" s="1"/>
  <c r="AF469" i="1"/>
  <c r="AN420" i="1"/>
  <c r="AO420" i="1" s="1"/>
  <c r="L400" i="1"/>
  <c r="S400" i="1" s="1"/>
  <c r="K398" i="1"/>
  <c r="S398" i="1"/>
  <c r="AO435" i="1"/>
  <c r="AN453" i="1"/>
  <c r="AO453" i="1" s="1"/>
  <c r="R27" i="1"/>
  <c r="R28" i="1" s="1"/>
  <c r="K27" i="1"/>
  <c r="M27" i="1"/>
  <c r="M28" i="1" s="1"/>
  <c r="N156" i="1"/>
  <c r="S156" i="1"/>
  <c r="K156" i="1"/>
  <c r="AI435" i="1"/>
  <c r="AH453" i="1"/>
  <c r="AI453" i="1" s="1"/>
  <c r="AM411" i="1"/>
  <c r="AG411" i="1"/>
  <c r="AG413" i="1"/>
  <c r="AM413" i="1"/>
  <c r="AG412" i="1"/>
  <c r="AM412" i="1"/>
  <c r="N27" i="1"/>
  <c r="N28" i="1" s="1"/>
  <c r="S27" i="1"/>
  <c r="S28" i="1" s="1"/>
  <c r="L85" i="1"/>
  <c r="AM416" i="1"/>
  <c r="AG416" i="1"/>
  <c r="K54" i="1"/>
  <c r="AM417" i="1"/>
  <c r="AG417" i="1"/>
  <c r="AM414" i="1"/>
  <c r="AG414" i="1"/>
  <c r="S195" i="1"/>
  <c r="S196" i="1" s="1"/>
  <c r="L196" i="1"/>
  <c r="N195" i="1"/>
  <c r="N196" i="1" s="1"/>
  <c r="L234" i="1"/>
  <c r="N85" i="1"/>
  <c r="M310" i="1"/>
  <c r="J315" i="1"/>
  <c r="AF407" i="1" s="1"/>
  <c r="K9" i="2" s="1"/>
  <c r="K8" i="2" s="1"/>
  <c r="R310" i="1"/>
  <c r="K310" i="1"/>
  <c r="K288" i="1"/>
  <c r="S288" i="1"/>
  <c r="N288" i="1"/>
  <c r="N310" i="1"/>
  <c r="N311" i="1" s="1"/>
  <c r="L315" i="1"/>
  <c r="AF408" i="1" s="1"/>
  <c r="AD420" i="1" s="1"/>
  <c r="S310" i="1"/>
  <c r="S311" i="1" s="1"/>
  <c r="AG418" i="1"/>
  <c r="AM418" i="1"/>
  <c r="N109" i="1"/>
  <c r="N110" i="1" s="1"/>
  <c r="S109" i="1"/>
  <c r="S110" i="1" s="1"/>
  <c r="L166" i="1"/>
  <c r="S352" i="1"/>
  <c r="K352" i="1"/>
  <c r="N352" i="1"/>
  <c r="M195" i="1" l="1"/>
  <c r="R195" i="1"/>
  <c r="AH469" i="1"/>
  <c r="AI469" i="1" s="1"/>
  <c r="AD469" i="1"/>
  <c r="AN469" i="1"/>
  <c r="AO469" i="1" s="1"/>
  <c r="N234" i="1"/>
  <c r="S234" i="1"/>
  <c r="AD453" i="1"/>
  <c r="S85" i="1"/>
  <c r="M315" i="1"/>
  <c r="K315" i="1"/>
  <c r="R315" i="1"/>
  <c r="AF484" i="1"/>
  <c r="AN408" i="1"/>
  <c r="AO408" i="1" s="1"/>
  <c r="AH408" i="1"/>
  <c r="AI408" i="1" s="1"/>
  <c r="AD434" i="1"/>
  <c r="AD467" i="1"/>
  <c r="AD482" i="1"/>
  <c r="N166" i="1"/>
  <c r="S166" i="1"/>
  <c r="N315" i="1"/>
  <c r="N316" i="1" s="1"/>
  <c r="S315" i="1"/>
  <c r="S316" i="1" s="1"/>
  <c r="V315" i="1"/>
  <c r="L354" i="1"/>
  <c r="S354" i="1" l="1"/>
  <c r="N354" i="1"/>
  <c r="AH484" i="1"/>
  <c r="AI484" i="1" s="1"/>
  <c r="AN484" i="1"/>
  <c r="AO484" i="1" s="1"/>
  <c r="AE484" i="1"/>
  <c r="AF490" i="1"/>
  <c r="AF499" i="1" l="1"/>
  <c r="AE490" i="1"/>
  <c r="AF489" i="1"/>
  <c r="AH490" i="1"/>
  <c r="AI490" i="1" s="1"/>
  <c r="AN490" i="1"/>
  <c r="AO490" i="1" s="1"/>
  <c r="AH499" i="1" l="1"/>
  <c r="AI499" i="1" s="1"/>
  <c r="AN499" i="1"/>
  <c r="AO499" i="1" s="1"/>
  <c r="AE499" i="1"/>
  <c r="AH489" i="1"/>
  <c r="AI489" i="1" s="1"/>
  <c r="AE489" i="1"/>
  <c r="AN489" i="1"/>
  <c r="AO489" i="1" s="1"/>
</calcChain>
</file>

<file path=xl/sharedStrings.xml><?xml version="1.0" encoding="utf-8"?>
<sst xmlns="http://schemas.openxmlformats.org/spreadsheetml/2006/main" count="3822" uniqueCount="278">
  <si>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</si>
  <si>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</si>
  <si>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</si>
  <si>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</si>
  <si>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</si>
  <si>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</si>
  <si>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</si>
  <si>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</si>
  <si>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</si>
  <si>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</si>
  <si>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</si>
  <si>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</si>
  <si>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</si>
  <si>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</si>
  <si>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</si>
  <si>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</si>
  <si>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</si>
  <si>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</si>
  <si>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</si>
  <si>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</si>
  <si>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</si>
  <si>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</si>
  <si>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</si>
  <si>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</si>
  <si>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</si>
  <si>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</si>
  <si>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</si>
  <si>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</si>
  <si>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</si>
  <si>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</si>
  <si>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</si>
  <si>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</si>
  <si>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</si>
  <si>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</si>
  <si>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</si>
  <si>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</si>
  <si>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</si>
  <si>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</si>
  <si>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</si>
  <si>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</si>
  <si>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</si>
  <si>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</si>
  <si>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</si>
  <si>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</si>
  <si>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</si>
  <si>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</si>
  <si>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</si>
  <si>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</si>
  <si>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</si>
  <si>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</si>
  <si>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</si>
  <si>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</si>
  <si>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</si>
  <si>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</si>
  <si>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</si>
  <si>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</si>
  <si>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</si>
  <si>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</si>
  <si>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</si>
  <si>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</si>
  <si>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</si>
  <si>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</si>
  <si>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</si>
  <si>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</si>
  <si>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</si>
  <si>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</si>
  <si>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</si>
  <si>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</si>
  <si>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</si>
  <si>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</si>
  <si>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</si>
  <si>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</si>
  <si>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</si>
  <si>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</si>
  <si>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</si>
  <si>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</si>
  <si>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</si>
  <si>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</si>
  <si>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</si>
  <si>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</si>
  <si>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</si>
  <si>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</si>
  <si>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</si>
  <si>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</si>
  <si>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</si>
  <si>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</si>
  <si>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</si>
  <si>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</si>
  <si>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</si>
  <si>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</si>
  <si>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</si>
  <si>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</si>
  <si>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</si>
  <si>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</si>
  <si>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</si>
  <si>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</si>
  <si>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</si>
  <si>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</si>
  <si>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</si>
  <si>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</si>
  <si>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</si>
  <si>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</si>
  <si>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</si>
  <si>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</si>
  <si>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</si>
  <si>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</si>
  <si>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</si>
  <si>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</si>
  <si>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</si>
  <si>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</si>
  <si>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</si>
  <si>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</si>
  <si>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</si>
  <si>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</si>
  <si>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</si>
  <si>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</si>
  <si>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</si>
  <si>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</si>
  <si>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</si>
  <si>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</si>
  <si>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</si>
  <si>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</si>
  <si>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</si>
  <si>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</si>
  <si>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</si>
  <si>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</si>
  <si>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</si>
  <si>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</si>
  <si>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</si>
  <si>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</si>
  <si>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</si>
  <si>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</si>
  <si>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</si>
  <si>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</si>
  <si>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</si>
  <si>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</si>
  <si>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</si>
  <si>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</si>
  <si>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</si>
  <si>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</si>
  <si>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</si>
  <si>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</si>
  <si>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</si>
  <si>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</si>
  <si>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</si>
  <si>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</si>
  <si>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</si>
  <si>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</si>
  <si>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</si>
  <si>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</si>
  <si>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</si>
  <si>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</si>
  <si>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</si>
  <si>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</si>
  <si>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</si>
  <si>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</si>
  <si>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</si>
  <si>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</si>
  <si>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</si>
  <si>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</si>
  <si>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</si>
  <si>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</si>
  <si>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</si>
  <si>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</si>
  <si>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</si>
  <si>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</si>
  <si>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</si>
  <si>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</si>
  <si>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</si>
  <si>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</si>
  <si>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</si>
  <si>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</si>
  <si>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</si>
  <si>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</si>
  <si>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</si>
  <si>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</si>
  <si>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</si>
  <si>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</si>
  <si>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</si>
  <si>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</si>
  <si>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</si>
  <si>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</si>
  <si>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</si>
  <si>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</si>
  <si>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</si>
  <si>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</si>
  <si>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</si>
  <si>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</si>
  <si>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</si>
  <si>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</si>
  <si>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</si>
  <si>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</si>
  <si>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</si>
  <si>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</si>
  <si>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</si>
  <si>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</si>
  <si>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</si>
  <si>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</si>
  <si>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</si>
  <si>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</si>
  <si>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</si>
  <si>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</si>
  <si>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</si>
  <si>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</si>
  <si>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</si>
  <si>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</si>
  <si>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</si>
  <si>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</si>
  <si>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</si>
  <si>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</si>
  <si>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</si>
  <si>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</si>
  <si>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</si>
  <si>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</si>
  <si>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</si>
  <si>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</si>
  <si>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</si>
  <si>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</si>
  <si>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</si>
  <si>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</si>
  <si>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</si>
  <si>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</si>
  <si>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</si>
  <si>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</si>
  <si>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</si>
  <si>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</si>
  <si>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</si>
  <si>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</si>
  <si>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</si>
  <si>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</si>
  <si>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</si>
  <si>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</si>
  <si>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</si>
  <si>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</si>
  <si>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</si>
  <si>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</si>
  <si>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</si>
  <si>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</si>
  <si>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</si>
  <si>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Pertes</t>
  </si>
  <si>
    <t>Bonis cadres</t>
  </si>
  <si>
    <t>Autres revenus</t>
  </si>
  <si>
    <t>Provision maladies</t>
  </si>
  <si>
    <t>Q2 2026</t>
  </si>
  <si>
    <t>Transport</t>
  </si>
  <si>
    <t>Promo Huile et Filtre</t>
  </si>
  <si>
    <t>Ajust claims ?</t>
  </si>
  <si>
    <t>Moins réparation</t>
  </si>
  <si>
    <t>E signature 636$</t>
  </si>
  <si>
    <t>Meeting munich 36k, vs budget 12k</t>
  </si>
  <si>
    <t>Cablage borne 1.5k</t>
  </si>
  <si>
    <t>Vetements service</t>
  </si>
  <si>
    <t>Pochettes de vitre 594$ + Tag clé 258$</t>
  </si>
  <si>
    <t xml:space="preserve">Changement 3CX 16SC à 32SC 997$ </t>
  </si>
  <si>
    <t>Affichage poste 977$</t>
  </si>
  <si>
    <t>Francis Pellerin - renouvellement Volks</t>
  </si>
  <si>
    <t>Meeting Nashville + Repas vente privée</t>
  </si>
  <si>
    <t>+2.8k lavage vitre</t>
  </si>
  <si>
    <t>Gars pneus budgeté mars, avril + temps mécano inspection Weiss</t>
  </si>
  <si>
    <t>Meeting Nashville</t>
  </si>
  <si>
    <t>Économie gars claims (sal)</t>
  </si>
  <si>
    <t>ERA</t>
  </si>
  <si>
    <t>Affichage de poste</t>
  </si>
  <si>
    <t>lgm</t>
  </si>
  <si>
    <t>Réalisé, Avril 2026</t>
  </si>
  <si>
    <t>Réalisé, Mai 2026</t>
  </si>
  <si>
    <t>Essences + transport</t>
  </si>
  <si>
    <t>2k Lavavage ligne essaie</t>
  </si>
  <si>
    <t>Pas de claims à l'interne, ni réceptionniste temps partiel</t>
  </si>
  <si>
    <t>+4k mentorat André, +3.3k mai Peachy, +3.5k juin Peachy, +2k vider drains</t>
  </si>
  <si>
    <t>Plusieurs petits outils (-500$) de BMW Canada</t>
  </si>
  <si>
    <t>Crédit billets avions ??</t>
  </si>
  <si>
    <t>affichage de postes</t>
  </si>
  <si>
    <t>1.4K Freins ancien démo Yvon vendu janv 2026</t>
  </si>
  <si>
    <t>Toit ouvrant Z4</t>
  </si>
  <si>
    <t>7k moteurs</t>
  </si>
  <si>
    <t>moteur 7k</t>
  </si>
  <si>
    <t>Réalisé, Juin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</si>
</sst>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b/>
      <sz val="16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3"/>
      <color theme="1"/>
      <name val="Arial mt"/>
    </font>
    <font>
      <sz val="14"/>
      <color theme="1"/>
      <name val="Arial mt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1" fillId="0" borderId="0"/>
    <xf numFmtId="168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13" fillId="0" borderId="0"/>
    <xf numFmtId="0" fontId="2" fillId="0" borderId="0"/>
    <xf numFmtId="0" fontId="31" fillId="0" borderId="0"/>
    <xf numFmtId="43" fontId="3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15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7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37" fontId="17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18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19" fillId="2" borderId="22" xfId="0" applyFont="1" applyFill="1" applyBorder="1"/>
    <xf numFmtId="0" fontId="19" fillId="2" borderId="12" xfId="0" applyFont="1" applyFill="1" applyBorder="1"/>
    <xf numFmtId="37" fontId="19" fillId="2" borderId="67" xfId="0" applyNumberFormat="1" applyFont="1" applyFill="1" applyBorder="1"/>
    <xf numFmtId="37" fontId="19" fillId="2" borderId="68" xfId="0" applyNumberFormat="1" applyFont="1" applyFill="1" applyBorder="1"/>
    <xf numFmtId="37" fontId="19" fillId="2" borderId="12" xfId="0" applyNumberFormat="1" applyFont="1" applyFill="1" applyBorder="1"/>
    <xf numFmtId="165" fontId="19" fillId="2" borderId="12" xfId="0" applyNumberFormat="1" applyFont="1" applyFill="1" applyBorder="1"/>
    <xf numFmtId="37" fontId="19" fillId="2" borderId="69" xfId="0" applyNumberFormat="1" applyFont="1" applyFill="1" applyBorder="1"/>
    <xf numFmtId="165" fontId="19" fillId="2" borderId="17" xfId="0" applyNumberFormat="1" applyFont="1" applyFill="1" applyBorder="1"/>
    <xf numFmtId="0" fontId="19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0" fillId="0" borderId="10" xfId="0" applyNumberFormat="1" applyFont="1" applyBorder="1"/>
    <xf numFmtId="0" fontId="19" fillId="2" borderId="34" xfId="0" applyFont="1" applyFill="1" applyBorder="1"/>
    <xf numFmtId="0" fontId="19" fillId="2" borderId="35" xfId="0" applyFont="1" applyFill="1" applyBorder="1"/>
    <xf numFmtId="165" fontId="19" fillId="2" borderId="35" xfId="0" applyNumberFormat="1" applyFont="1" applyFill="1" applyBorder="1"/>
    <xf numFmtId="37" fontId="19" fillId="2" borderId="74" xfId="0" applyNumberFormat="1" applyFont="1" applyFill="1" applyBorder="1"/>
    <xf numFmtId="165" fontId="19" fillId="2" borderId="38" xfId="0" applyNumberFormat="1" applyFont="1" applyFill="1" applyBorder="1"/>
    <xf numFmtId="0" fontId="19" fillId="2" borderId="38" xfId="0" applyFont="1" applyFill="1" applyBorder="1"/>
    <xf numFmtId="37" fontId="19" fillId="2" borderId="35" xfId="0" applyNumberFormat="1" applyFont="1" applyFill="1" applyBorder="1"/>
    <xf numFmtId="0" fontId="19" fillId="2" borderId="75" xfId="0" applyFont="1" applyFill="1" applyBorder="1"/>
    <xf numFmtId="43" fontId="7" fillId="0" borderId="0" xfId="0" applyNumberFormat="1" applyFont="1"/>
    <xf numFmtId="43" fontId="18" fillId="0" borderId="0" xfId="0" applyNumberFormat="1" applyFont="1"/>
    <xf numFmtId="165" fontId="14" fillId="0" borderId="70" xfId="0" applyNumberFormat="1" applyFont="1" applyBorder="1"/>
    <xf numFmtId="166" fontId="19" fillId="2" borderId="35" xfId="0" applyNumberFormat="1" applyFont="1" applyFill="1" applyBorder="1"/>
    <xf numFmtId="37" fontId="19" fillId="2" borderId="38" xfId="0" applyNumberFormat="1" applyFont="1" applyFill="1" applyBorder="1"/>
    <xf numFmtId="37" fontId="19" fillId="2" borderId="75" xfId="0" applyNumberFormat="1" applyFont="1" applyFill="1" applyBorder="1"/>
    <xf numFmtId="37" fontId="18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18" fillId="0" borderId="0" xfId="0" applyNumberFormat="1" applyFont="1"/>
    <xf numFmtId="0" fontId="14" fillId="2" borderId="35" xfId="0" applyFont="1" applyFill="1" applyBorder="1"/>
    <xf numFmtId="165" fontId="19" fillId="2" borderId="39" xfId="0" applyNumberFormat="1" applyFont="1" applyFill="1" applyBorder="1"/>
    <xf numFmtId="165" fontId="19" fillId="0" borderId="0" xfId="0" applyNumberFormat="1" applyFont="1"/>
    <xf numFmtId="0" fontId="19" fillId="0" borderId="0" xfId="0" applyFont="1"/>
    <xf numFmtId="0" fontId="18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19" fillId="0" borderId="7" xfId="0" applyNumberFormat="1" applyFont="1" applyBorder="1"/>
    <xf numFmtId="0" fontId="19" fillId="0" borderId="7" xfId="0" applyFont="1" applyBorder="1"/>
    <xf numFmtId="165" fontId="19" fillId="0" borderId="77" xfId="0" applyNumberFormat="1" applyFont="1" applyBorder="1"/>
    <xf numFmtId="37" fontId="19" fillId="0" borderId="77" xfId="0" applyNumberFormat="1" applyFont="1" applyBorder="1"/>
    <xf numFmtId="37" fontId="14" fillId="0" borderId="84" xfId="0" applyNumberFormat="1" applyFont="1" applyBorder="1"/>
    <xf numFmtId="37" fontId="19" fillId="0" borderId="7" xfId="0" applyNumberFormat="1" applyFont="1" applyBorder="1"/>
    <xf numFmtId="165" fontId="19" fillId="0" borderId="71" xfId="0" applyNumberFormat="1" applyFont="1" applyBorder="1"/>
    <xf numFmtId="37" fontId="19" fillId="0" borderId="71" xfId="0" applyNumberFormat="1" applyFont="1" applyBorder="1"/>
    <xf numFmtId="37" fontId="14" fillId="0" borderId="85" xfId="0" applyNumberFormat="1" applyFont="1" applyBorder="1"/>
    <xf numFmtId="37" fontId="19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19" fillId="3" borderId="6" xfId="0" applyFont="1" applyFill="1" applyBorder="1"/>
    <xf numFmtId="0" fontId="19" fillId="3" borderId="7" xfId="0" applyFont="1" applyFill="1" applyBorder="1"/>
    <xf numFmtId="37" fontId="19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19" fillId="2" borderId="57" xfId="0" applyFont="1" applyFill="1" applyBorder="1"/>
    <xf numFmtId="0" fontId="19" fillId="2" borderId="58" xfId="0" applyFont="1" applyFill="1" applyBorder="1"/>
    <xf numFmtId="0" fontId="19" fillId="2" borderId="58" xfId="0" applyFont="1" applyFill="1" applyBorder="1" applyAlignment="1">
      <alignment horizontal="center"/>
    </xf>
    <xf numFmtId="165" fontId="19" fillId="2" borderId="58" xfId="0" applyNumberFormat="1" applyFont="1" applyFill="1" applyBorder="1"/>
    <xf numFmtId="37" fontId="19" fillId="2" borderId="86" xfId="0" applyNumberFormat="1" applyFont="1" applyFill="1" applyBorder="1"/>
    <xf numFmtId="37" fontId="19" fillId="2" borderId="58" xfId="0" applyNumberFormat="1" applyFont="1" applyFill="1" applyBorder="1"/>
    <xf numFmtId="37" fontId="19" fillId="2" borderId="87" xfId="0" applyNumberFormat="1" applyFont="1" applyFill="1" applyBorder="1"/>
    <xf numFmtId="165" fontId="19" fillId="2" borderId="88" xfId="0" applyNumberFormat="1" applyFont="1" applyFill="1" applyBorder="1"/>
    <xf numFmtId="0" fontId="19" fillId="2" borderId="87" xfId="0" applyFont="1" applyFill="1" applyBorder="1" applyAlignment="1">
      <alignment horizontal="center"/>
    </xf>
    <xf numFmtId="37" fontId="19" fillId="2" borderId="89" xfId="0" applyNumberFormat="1" applyFont="1" applyFill="1" applyBorder="1"/>
    <xf numFmtId="165" fontId="19" fillId="2" borderId="46" xfId="0" applyNumberFormat="1" applyFont="1" applyFill="1" applyBorder="1"/>
    <xf numFmtId="39" fontId="14" fillId="0" borderId="0" xfId="0" applyNumberFormat="1" applyFont="1"/>
    <xf numFmtId="0" fontId="19" fillId="2" borderId="90" xfId="0" applyFont="1" applyFill="1" applyBorder="1"/>
    <xf numFmtId="0" fontId="19" fillId="2" borderId="91" xfId="0" applyFont="1" applyFill="1" applyBorder="1"/>
    <xf numFmtId="0" fontId="19" fillId="2" borderId="91" xfId="0" applyFont="1" applyFill="1" applyBorder="1" applyAlignment="1">
      <alignment horizontal="center"/>
    </xf>
    <xf numFmtId="165" fontId="19" fillId="2" borderId="91" xfId="0" applyNumberFormat="1" applyFont="1" applyFill="1" applyBorder="1"/>
    <xf numFmtId="37" fontId="19" fillId="2" borderId="92" xfId="0" applyNumberFormat="1" applyFont="1" applyFill="1" applyBorder="1"/>
    <xf numFmtId="37" fontId="19" fillId="2" borderId="91" xfId="0" applyNumberFormat="1" applyFont="1" applyFill="1" applyBorder="1"/>
    <xf numFmtId="37" fontId="19" fillId="2" borderId="93" xfId="0" applyNumberFormat="1" applyFont="1" applyFill="1" applyBorder="1"/>
    <xf numFmtId="37" fontId="19" fillId="2" borderId="94" xfId="0" applyNumberFormat="1" applyFont="1" applyFill="1" applyBorder="1"/>
    <xf numFmtId="37" fontId="19" fillId="2" borderId="63" xfId="0" applyNumberFormat="1" applyFont="1" applyFill="1" applyBorder="1"/>
    <xf numFmtId="165" fontId="19" fillId="2" borderId="66" xfId="0" applyNumberFormat="1" applyFont="1" applyFill="1" applyBorder="1"/>
    <xf numFmtId="0" fontId="18" fillId="0" borderId="18" xfId="0" applyFont="1" applyBorder="1"/>
    <xf numFmtId="37" fontId="18" fillId="0" borderId="70" xfId="0" applyNumberFormat="1" applyFont="1" applyBorder="1"/>
    <xf numFmtId="0" fontId="18" fillId="0" borderId="70" xfId="0" applyFont="1" applyBorder="1"/>
    <xf numFmtId="0" fontId="18" fillId="0" borderId="85" xfId="0" applyFont="1" applyBorder="1"/>
    <xf numFmtId="0" fontId="18" fillId="0" borderId="72" xfId="0" applyFont="1" applyBorder="1"/>
    <xf numFmtId="0" fontId="18" fillId="0" borderId="10" xfId="0" applyFont="1" applyBorder="1"/>
    <xf numFmtId="0" fontId="7" fillId="0" borderId="72" xfId="0" applyFont="1" applyBorder="1"/>
    <xf numFmtId="165" fontId="19" fillId="2" borderId="61" xfId="0" applyNumberFormat="1" applyFont="1" applyFill="1" applyBorder="1"/>
    <xf numFmtId="0" fontId="21" fillId="0" borderId="0" xfId="0" applyFont="1"/>
    <xf numFmtId="37" fontId="21" fillId="0" borderId="0" xfId="0" applyNumberFormat="1" applyFont="1"/>
    <xf numFmtId="0" fontId="21" fillId="3" borderId="0" xfId="0" applyFont="1" applyFill="1"/>
    <xf numFmtId="37" fontId="18" fillId="3" borderId="0" xfId="0" applyNumberFormat="1" applyFont="1" applyFill="1"/>
    <xf numFmtId="0" fontId="22" fillId="3" borderId="0" xfId="0" applyFont="1" applyFill="1"/>
    <xf numFmtId="37" fontId="21" fillId="3" borderId="0" xfId="0" applyNumberFormat="1" applyFont="1" applyFill="1"/>
    <xf numFmtId="0" fontId="23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64" fontId="24" fillId="3" borderId="0" xfId="0" applyNumberFormat="1" applyFont="1" applyFill="1" applyAlignment="1">
      <alignment horizontal="right"/>
    </xf>
    <xf numFmtId="0" fontId="21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3" borderId="0" xfId="0" applyFont="1" applyFill="1"/>
    <xf numFmtId="165" fontId="18" fillId="3" borderId="0" xfId="0" applyNumberFormat="1" applyFont="1" applyFill="1"/>
    <xf numFmtId="9" fontId="18" fillId="3" borderId="0" xfId="0" applyNumberFormat="1" applyFont="1" applyFill="1"/>
    <xf numFmtId="165" fontId="21" fillId="3" borderId="0" xfId="0" applyNumberFormat="1" applyFont="1" applyFill="1"/>
    <xf numFmtId="0" fontId="25" fillId="3" borderId="0" xfId="0" applyFont="1" applyFill="1"/>
    <xf numFmtId="0" fontId="23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4" fillId="3" borderId="0" xfId="0" applyFont="1" applyFill="1" applyAlignment="1">
      <alignment horizontal="left"/>
    </xf>
    <xf numFmtId="0" fontId="27" fillId="3" borderId="0" xfId="0" applyFont="1" applyFill="1"/>
    <xf numFmtId="0" fontId="29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0" fillId="0" borderId="96" xfId="0" applyFont="1" applyBorder="1" applyAlignment="1">
      <alignment vertical="center"/>
    </xf>
    <xf numFmtId="0" fontId="30" fillId="0" borderId="97" xfId="0" applyFont="1" applyBorder="1" applyAlignment="1">
      <alignment vertical="center"/>
    </xf>
    <xf numFmtId="37" fontId="30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0" fillId="7" borderId="95" xfId="0" applyFont="1" applyFill="1" applyBorder="1" applyAlignment="1">
      <alignment horizontal="center"/>
    </xf>
    <xf numFmtId="0" fontId="30" fillId="8" borderId="95" xfId="0" applyFont="1" applyFill="1" applyBorder="1" applyAlignment="1">
      <alignment horizontal="center"/>
    </xf>
    <xf numFmtId="0" fontId="30" fillId="5" borderId="95" xfId="0" applyFont="1" applyFill="1" applyBorder="1" applyAlignment="1">
      <alignment horizontal="center"/>
    </xf>
    <xf numFmtId="3" fontId="29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0" fillId="0" borderId="100" xfId="0" applyNumberFormat="1" applyFont="1" applyBorder="1" applyAlignment="1">
      <alignment horizontal="center" vertical="center"/>
    </xf>
    <xf numFmtId="3" fontId="29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0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4" fillId="0" borderId="0" xfId="0" applyFont="1" applyAlignment="1">
      <alignment horizontal="center"/>
    </xf>
    <xf numFmtId="3" fontId="34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19" fillId="2" borderId="101" xfId="0" applyFont="1" applyFill="1" applyBorder="1"/>
    <xf numFmtId="0" fontId="19" fillId="2" borderId="102" xfId="0" applyFont="1" applyFill="1" applyBorder="1"/>
    <xf numFmtId="0" fontId="19" fillId="2" borderId="102" xfId="0" applyFont="1" applyFill="1" applyBorder="1" applyAlignment="1">
      <alignment horizontal="center"/>
    </xf>
    <xf numFmtId="165" fontId="19" fillId="2" borderId="102" xfId="0" applyNumberFormat="1" applyFont="1" applyFill="1" applyBorder="1"/>
    <xf numFmtId="37" fontId="19" fillId="2" borderId="103" xfId="0" applyNumberFormat="1" applyFont="1" applyFill="1" applyBorder="1"/>
    <xf numFmtId="37" fontId="19" fillId="2" borderId="102" xfId="0" applyNumberFormat="1" applyFont="1" applyFill="1" applyBorder="1"/>
    <xf numFmtId="37" fontId="19" fillId="2" borderId="104" xfId="0" applyNumberFormat="1" applyFont="1" applyFill="1" applyBorder="1"/>
    <xf numFmtId="37" fontId="19" fillId="2" borderId="105" xfId="0" applyNumberFormat="1" applyFont="1" applyFill="1" applyBorder="1"/>
    <xf numFmtId="165" fontId="19" fillId="2" borderId="106" xfId="0" applyNumberFormat="1" applyFont="1" applyFill="1" applyBorder="1"/>
    <xf numFmtId="170" fontId="9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8" fillId="0" borderId="0" xfId="0" quotePrefix="1" applyFont="1"/>
    <xf numFmtId="3" fontId="9" fillId="0" borderId="107" xfId="0" applyNumberFormat="1" applyFont="1" applyBorder="1"/>
    <xf numFmtId="3" fontId="9" fillId="0" borderId="108" xfId="0" applyNumberFormat="1" applyFont="1" applyBorder="1"/>
    <xf numFmtId="3" fontId="9" fillId="0" borderId="109" xfId="0" applyNumberFormat="1" applyFont="1" applyBorder="1"/>
    <xf numFmtId="0" fontId="9" fillId="0" borderId="0" xfId="0" quotePrefix="1" applyFont="1"/>
    <xf numFmtId="0" fontId="9" fillId="2" borderId="110" xfId="0" applyFont="1" applyFill="1" applyBorder="1"/>
    <xf numFmtId="37" fontId="10" fillId="2" borderId="111" xfId="0" applyNumberFormat="1" applyFont="1" applyFill="1" applyBorder="1"/>
    <xf numFmtId="39" fontId="12" fillId="0" borderId="112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18" fillId="0" borderId="0" xfId="0" applyNumberFormat="1" applyFont="1"/>
    <xf numFmtId="1" fontId="18" fillId="0" borderId="0" xfId="0" applyNumberFormat="1" applyFont="1"/>
    <xf numFmtId="10" fontId="18" fillId="0" borderId="0" xfId="0" applyNumberFormat="1" applyFont="1" applyAlignment="1">
      <alignment horizontal="center"/>
    </xf>
    <xf numFmtId="171" fontId="18" fillId="0" borderId="0" xfId="0" applyNumberFormat="1" applyFont="1"/>
    <xf numFmtId="1" fontId="21" fillId="0" borderId="0" xfId="0" applyNumberFormat="1" applyFont="1"/>
    <xf numFmtId="10" fontId="21" fillId="0" borderId="0" xfId="0" applyNumberFormat="1" applyFont="1"/>
    <xf numFmtId="171" fontId="21" fillId="0" borderId="0" xfId="0" applyNumberFormat="1" applyFont="1"/>
    <xf numFmtId="3" fontId="37" fillId="0" borderId="0" xfId="0" applyNumberFormat="1" applyFont="1"/>
    <xf numFmtId="3" fontId="18" fillId="0" borderId="0" xfId="0" applyNumberFormat="1" applyFont="1"/>
    <xf numFmtId="10" fontId="18" fillId="0" borderId="0" xfId="0" quotePrefix="1" applyNumberFormat="1" applyFont="1"/>
    <xf numFmtId="1" fontId="18" fillId="0" borderId="0" xfId="0" quotePrefix="1" applyNumberFormat="1" applyFont="1"/>
    <xf numFmtId="0" fontId="18" fillId="0" borderId="0" xfId="0" quotePrefix="1" applyFont="1"/>
    <xf numFmtId="165" fontId="19" fillId="2" borderId="86" xfId="0" applyNumberFormat="1" applyFont="1" applyFill="1" applyBorder="1"/>
    <xf numFmtId="10" fontId="19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165" fontId="19" fillId="2" borderId="103" xfId="0" applyNumberFormat="1" applyFont="1" applyFill="1" applyBorder="1"/>
    <xf numFmtId="0" fontId="38" fillId="0" borderId="0" xfId="0" applyFont="1"/>
    <xf numFmtId="0" fontId="10" fillId="0" borderId="11" xfId="0" applyFont="1" applyBorder="1"/>
    <xf numFmtId="3" fontId="9" fillId="0" borderId="73" xfId="0" applyNumberFormat="1" applyFont="1" applyBorder="1"/>
    <xf numFmtId="172" fontId="38" fillId="0" borderId="0" xfId="0" quotePrefix="1" applyNumberFormat="1" applyFont="1"/>
    <xf numFmtId="10" fontId="7" fillId="0" borderId="0" xfId="0" applyNumberFormat="1" applyFont="1"/>
    <xf numFmtId="0" fontId="18" fillId="9" borderId="0" xfId="0" applyFont="1" applyFill="1"/>
    <xf numFmtId="0" fontId="38" fillId="0" borderId="0" xfId="0" quotePrefix="1" applyFont="1"/>
    <xf numFmtId="0" fontId="39" fillId="0" borderId="0" xfId="0" applyFont="1"/>
    <xf numFmtId="37" fontId="39" fillId="0" borderId="0" xfId="0" applyNumberFormat="1" applyFont="1"/>
    <xf numFmtId="37" fontId="14" fillId="10" borderId="79" xfId="0" applyNumberFormat="1" applyFont="1" applyFill="1" applyBorder="1"/>
    <xf numFmtId="0" fontId="30" fillId="7" borderId="95" xfId="0" applyFont="1" applyFill="1" applyBorder="1" applyAlignment="1">
      <alignment horizontal="center" vertical="center"/>
    </xf>
    <xf numFmtId="0" fontId="30" fillId="8" borderId="95" xfId="0" applyFont="1" applyFill="1" applyBorder="1" applyAlignment="1">
      <alignment horizontal="center" vertical="center"/>
    </xf>
    <xf numFmtId="0" fontId="30" fillId="6" borderId="95" xfId="0" applyFont="1" applyFill="1" applyBorder="1" applyAlignment="1">
      <alignment horizontal="center" vertical="center"/>
    </xf>
    <xf numFmtId="0" fontId="30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77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205</v>
      </c>
      <c r="C3" s="437" t="s">
        <v>243</v>
      </c>
      <c r="P3" s="438"/>
      <c r="Q3" s="439"/>
    </row>
    <row r="5" spans="1:17" s="416" customFormat="1" ht="16.5" customHeight="1"/>
    <row r="6" spans="1:17" s="416" customFormat="1" ht="16.5" customHeight="1">
      <c r="B6" s="499" t="s">
        <v>197</v>
      </c>
      <c r="C6" s="499"/>
      <c r="D6" s="499"/>
      <c r="E6" s="499"/>
      <c r="F6" s="500" t="s">
        <v>198</v>
      </c>
      <c r="G6" s="500"/>
      <c r="H6" s="500"/>
      <c r="I6" s="500"/>
      <c r="J6" s="501" t="s">
        <v>199</v>
      </c>
      <c r="K6" s="501"/>
      <c r="L6" s="501"/>
      <c r="M6" s="501"/>
      <c r="N6" s="502" t="s">
        <v>200</v>
      </c>
      <c r="O6" s="502"/>
      <c r="P6" s="502"/>
      <c r="Q6" s="502"/>
    </row>
    <row r="7" spans="1:17" s="416" customFormat="1" ht="16.5" customHeight="1">
      <c r="A7"/>
      <c r="B7" s="423" t="s">
        <v>190</v>
      </c>
      <c r="C7" s="423" t="s">
        <v>191</v>
      </c>
      <c r="D7" s="423" t="s">
        <v>192</v>
      </c>
      <c r="E7" s="423" t="s">
        <v>193</v>
      </c>
      <c r="F7" s="424" t="s">
        <v>190</v>
      </c>
      <c r="G7" s="424" t="s">
        <v>191</v>
      </c>
      <c r="H7" s="424" t="s">
        <v>192</v>
      </c>
      <c r="I7" s="424" t="s">
        <v>193</v>
      </c>
      <c r="J7" s="435" t="s">
        <v>190</v>
      </c>
      <c r="K7" s="435" t="s">
        <v>191</v>
      </c>
      <c r="L7" s="435" t="s">
        <v>192</v>
      </c>
      <c r="M7" s="435" t="s">
        <v>193</v>
      </c>
      <c r="N7" s="425" t="s">
        <v>190</v>
      </c>
      <c r="O7" s="425" t="s">
        <v>191</v>
      </c>
      <c r="P7" s="425" t="s">
        <v>192</v>
      </c>
      <c r="Q7" s="425" t="s">
        <v>193</v>
      </c>
    </row>
    <row r="8" spans="1:17" s="416" customFormat="1" ht="16.5" customHeight="1">
      <c r="A8" s="415" t="s">
        <v>196</v>
      </c>
      <c r="B8" s="426" t="e">
        <f t="shared" ref="B8:Q8" si="0">+B9-B10</f>
        <v>#VALUE!</v>
      </c>
      <c r="C8" s="426">
        <f t="shared" si="0"/>
        <v>0</v>
      </c>
      <c r="D8" s="426">
        <f t="shared" si="0"/>
        <v>0</v>
      </c>
      <c r="E8" s="426">
        <f t="shared" si="0"/>
        <v>0</v>
      </c>
      <c r="F8" s="426" t="e">
        <f t="shared" si="0"/>
        <v>#VALUE!</v>
      </c>
      <c r="G8" s="426">
        <f t="shared" si="0"/>
        <v>0</v>
      </c>
      <c r="H8" s="426">
        <f t="shared" si="0"/>
        <v>0</v>
      </c>
      <c r="I8" s="426">
        <f t="shared" si="0"/>
        <v>0</v>
      </c>
      <c r="J8" s="431" t="e">
        <f t="shared" si="0"/>
        <v>#VALUE!</v>
      </c>
      <c r="K8" s="431">
        <f t="shared" si="0"/>
        <v>0</v>
      </c>
      <c r="L8" s="431">
        <f t="shared" si="0"/>
        <v>0</v>
      </c>
      <c r="M8" s="431">
        <f t="shared" si="0"/>
        <v>0</v>
      </c>
      <c r="N8" s="426" t="e">
        <f t="shared" si="0"/>
        <v>#VALUE!</v>
      </c>
      <c r="O8" s="426">
        <f t="shared" si="0"/>
        <v>0</v>
      </c>
      <c r="P8" s="426">
        <f t="shared" si="0"/>
        <v>0</v>
      </c>
      <c r="Q8" s="426">
        <f t="shared" si="0"/>
        <v>0</v>
      </c>
    </row>
    <row r="9" spans="1:17" s="416" customFormat="1" ht="16.5" customHeight="1">
      <c r="A9" s="417" t="s">
        <v>194</v>
      </c>
      <c r="B9" s="419" t="str">
        <f>+Conso!$Z$406</f>
        <v>$TOTAL</v>
      </c>
      <c r="C9" s="419">
        <f>+Conso!$Z$407</f>
        <v>18042431.719417728</v>
      </c>
      <c r="D9" s="419">
        <f>+Conso!$Z$483</f>
        <v>0</v>
      </c>
      <c r="E9" s="419">
        <f>+Conso!$Z$498</f>
        <v>0</v>
      </c>
      <c r="F9" s="419" t="str">
        <f>+Conso!$AC$406</f>
        <v>$TOTAL</v>
      </c>
      <c r="G9" s="419">
        <f>+Conso!$AC$407</f>
        <v>0</v>
      </c>
      <c r="H9" s="419">
        <f>+Conso!$AC$483</f>
        <v>0</v>
      </c>
      <c r="I9" s="419">
        <f>+Conso!$AC$498</f>
        <v>0</v>
      </c>
      <c r="J9" s="419" t="str">
        <f>+Conso!$AF$406</f>
        <v>$TOTAL</v>
      </c>
      <c r="K9" s="419">
        <f>+Conso!$AF$407</f>
        <v>19326469.110000007</v>
      </c>
      <c r="L9" s="419">
        <f>+Conso!$AF$483</f>
        <v>0</v>
      </c>
      <c r="M9" s="419">
        <f>+Conso!$AF$498</f>
        <v>0</v>
      </c>
      <c r="N9" s="419" t="str">
        <f>+Conso!$AL$406</f>
        <v>$TOTAL</v>
      </c>
      <c r="O9" s="419">
        <f>+Conso!$AL$407</f>
        <v>14964562.32999998</v>
      </c>
      <c r="P9" s="419">
        <f>+Conso!$AL$483</f>
        <v>0</v>
      </c>
      <c r="Q9" s="419">
        <f>+Conso!$AL$498</f>
        <v>0</v>
      </c>
    </row>
    <row r="10" spans="1:17" s="416" customFormat="1" ht="16.5" customHeight="1">
      <c r="A10" s="418" t="s">
        <v>195</v>
      </c>
      <c r="B10" s="430">
        <f>+SUM(B11:B13)</f>
        <v>0</v>
      </c>
      <c r="C10" s="430">
        <f t="shared" ref="C10:Q10" si="1">+SUM(C11:C13)</f>
        <v>18042431.719417728</v>
      </c>
      <c r="D10" s="430">
        <f t="shared" si="1"/>
        <v>0</v>
      </c>
      <c r="E10" s="430">
        <f t="shared" si="1"/>
        <v>0</v>
      </c>
      <c r="F10" s="430">
        <f t="shared" si="1"/>
        <v>0</v>
      </c>
      <c r="G10" s="430">
        <f t="shared" si="1"/>
        <v>0</v>
      </c>
      <c r="H10" s="430">
        <f t="shared" si="1"/>
        <v>0</v>
      </c>
      <c r="I10" s="430">
        <f t="shared" si="1"/>
        <v>0</v>
      </c>
      <c r="J10" s="430">
        <f t="shared" si="1"/>
        <v>0</v>
      </c>
      <c r="K10" s="430">
        <f t="shared" si="1"/>
        <v>19326469.110000003</v>
      </c>
      <c r="L10" s="430">
        <f t="shared" si="1"/>
        <v>0</v>
      </c>
      <c r="M10" s="430">
        <f t="shared" si="1"/>
        <v>0</v>
      </c>
      <c r="N10" s="430">
        <f t="shared" si="1"/>
        <v>0</v>
      </c>
      <c r="O10" s="430">
        <f t="shared" si="1"/>
        <v>14964562.32999998</v>
      </c>
      <c r="P10" s="430">
        <f t="shared" si="1"/>
        <v>0</v>
      </c>
      <c r="Q10" s="430">
        <f t="shared" si="1"/>
        <v>0</v>
      </c>
    </row>
    <row r="11" spans="1:17" s="416" customFormat="1" ht="16.5" customHeight="1">
      <c r="A11" s="427" t="s">
        <v>202</v>
      </c>
      <c r="B11" s="420" t="str">
        <f>+'Mois 1'!$Z$406</f>
        <v>$TOTAL</v>
      </c>
      <c r="C11" s="420">
        <f>+'Mois 1'!$Z$407</f>
        <v>5932390.6174224121</v>
      </c>
      <c r="D11" s="420">
        <f>+'Mois 1'!$Z$483</f>
        <v>0</v>
      </c>
      <c r="E11" s="420">
        <f>+'Mois 1'!$Z$498</f>
        <v>0</v>
      </c>
      <c r="F11" s="420">
        <f>+'Mois 1'!$AC$406</f>
        <v>0</v>
      </c>
      <c r="G11" s="420">
        <f>+'Mois 1'!$AC$407</f>
        <v>0</v>
      </c>
      <c r="H11" s="420">
        <f>+'Mois 1'!$AC$483</f>
        <v>0</v>
      </c>
      <c r="I11" s="420">
        <f>+'Mois 1'!$AC$498</f>
        <v>0</v>
      </c>
      <c r="J11" s="432" t="str">
        <f>+'Mois 1'!$AF$406</f>
        <v>$TOTAL</v>
      </c>
      <c r="K11" s="432">
        <f>+'Mois 1'!$AF$407</f>
        <v>6155759.4600000009</v>
      </c>
      <c r="L11" s="432">
        <f>+'Mois 1'!$AF$483</f>
        <v>0</v>
      </c>
      <c r="M11" s="432">
        <f>+'Mois 1'!$AF$498</f>
        <v>0</v>
      </c>
      <c r="N11" s="420" t="str">
        <f>+'Mois 1'!$AL$406</f>
        <v>$TOTAL</v>
      </c>
      <c r="O11" s="420">
        <f>+'Mois 1'!$AL$407</f>
        <v>4784256.5199999996</v>
      </c>
      <c r="P11" s="420">
        <f>+'Mois 1'!$AL$483</f>
        <v>0</v>
      </c>
      <c r="Q11" s="420">
        <f>+'Mois 1'!$AL$498</f>
        <v>0</v>
      </c>
    </row>
    <row r="12" spans="1:17" s="416" customFormat="1" ht="16.5" customHeight="1">
      <c r="A12" s="428" t="s">
        <v>203</v>
      </c>
      <c r="B12" s="421" t="str">
        <f>+'Mois 2'!$Z$406</f>
        <v>$TOTAL</v>
      </c>
      <c r="C12" s="421">
        <f>+'Mois 2'!$Z$407</f>
        <v>6617137.7549481243</v>
      </c>
      <c r="D12" s="421">
        <f>+'Mois 2'!$Z$483</f>
        <v>0</v>
      </c>
      <c r="E12" s="421">
        <f>+'Mois 2'!$Z$498</f>
        <v>0</v>
      </c>
      <c r="F12" s="421">
        <f>+'Mois 2'!$AC$406</f>
        <v>0</v>
      </c>
      <c r="G12" s="421">
        <f>+'Mois 2'!$AC$407</f>
        <v>0</v>
      </c>
      <c r="H12" s="421">
        <f>+'Mois 2'!$AC$483</f>
        <v>0</v>
      </c>
      <c r="I12" s="421">
        <f>+'Mois 2'!$AC$498</f>
        <v>0</v>
      </c>
      <c r="J12" s="433" t="str">
        <f>+'Mois 2'!$AF$406</f>
        <v>$TOTAL</v>
      </c>
      <c r="K12" s="433">
        <f>+'Mois 2'!$AF$407</f>
        <v>6778938.7100000009</v>
      </c>
      <c r="L12" s="433">
        <f>+'Mois 2'!$AF$483</f>
        <v>0</v>
      </c>
      <c r="M12" s="433">
        <f>+'Mois 2'!$AF$498</f>
        <v>0</v>
      </c>
      <c r="N12" s="421" t="str">
        <f>+'Mois 2'!$AL$406</f>
        <v>$TOTAL</v>
      </c>
      <c r="O12" s="421">
        <f>+'Mois 2'!$AL$407</f>
        <v>6366734.2599999895</v>
      </c>
      <c r="P12" s="421">
        <f>+'Mois 2'!$AL$483</f>
        <v>0</v>
      </c>
      <c r="Q12" s="421">
        <f>+'Mois 2'!$AL$498</f>
        <v>0</v>
      </c>
    </row>
    <row r="13" spans="1:17">
      <c r="A13" s="429" t="s">
        <v>204</v>
      </c>
      <c r="B13" s="422" t="str">
        <f>+'Mois 3'!$Z$406</f>
        <v>$TOTAL</v>
      </c>
      <c r="C13" s="422">
        <f>+'Mois 3'!$Z$407</f>
        <v>5492903.3470471911</v>
      </c>
      <c r="D13" s="422">
        <f>+'Mois 3'!$Z$483</f>
        <v>0</v>
      </c>
      <c r="E13" s="422">
        <f>+'Mois 3'!$Z$498</f>
        <v>0</v>
      </c>
      <c r="F13" s="422">
        <f>+'Mois 3'!$AC$406</f>
        <v>0</v>
      </c>
      <c r="G13" s="422">
        <f>+'Mois 3'!$AC$407</f>
        <v>0</v>
      </c>
      <c r="H13" s="422">
        <f>+'Mois 3'!$AC$483</f>
        <v>0</v>
      </c>
      <c r="I13" s="422">
        <f>+'Mois 3'!$AC$498</f>
        <v>0</v>
      </c>
      <c r="J13" s="434" t="str">
        <f>+'Mois 3'!$AF$406</f>
        <v>$TOTAL</v>
      </c>
      <c r="K13" s="434">
        <f>+'Mois 3'!$AF$407</f>
        <v>6391770.9400000004</v>
      </c>
      <c r="L13" s="434">
        <f>+'Mois 3'!$AF$483</f>
        <v>0</v>
      </c>
      <c r="M13" s="434">
        <f>+'Mois 3'!$AF$498</f>
        <v>0</v>
      </c>
      <c r="N13" s="422" t="str">
        <f>+'Mois 3'!$AL$406</f>
        <v>$TOTAL</v>
      </c>
      <c r="O13" s="422">
        <f>+'Mois 3'!$AL$407</f>
        <v>3813571.54999999</v>
      </c>
      <c r="P13" s="422">
        <f>+'Mois 3'!$AL$483</f>
        <v>0</v>
      </c>
      <c r="Q13" s="422">
        <f>+'Mois 3'!$AL$498</f>
        <v>0</v>
      </c>
    </row>
  </sheetData>
  <mergeCells count="4">
    <mergeCell ref="B6:E6"/>
    <mergeCell ref="F6:I6"/>
    <mergeCell ref="J6:M6"/>
    <mergeCell ref="N6:Q6"/>
  </mergeCells>
  <phoneticPr fontId="3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3"/>
  <sheetViews>
    <sheetView tabSelected="1" view="pageBreakPreview" topLeftCell="F442" zoomScale="60" zoomScaleNormal="70" workbookViewId="0">
      <selection activeCell="J507" sqref="J507:K50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48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Q2 2026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1" t="s">
        <v>2</v>
      </c>
      <c r="E2" s="451" t="s">
        <v>3</v>
      </c>
      <c r="F2" s="451" t="s">
        <v>4</v>
      </c>
      <c r="G2" s="451" t="s">
        <v>2</v>
      </c>
      <c r="H2" s="451" t="s">
        <v>3</v>
      </c>
      <c r="I2" s="451" t="s">
        <v>4</v>
      </c>
      <c r="J2" s="451"/>
      <c r="K2" s="451"/>
      <c r="L2" s="451"/>
      <c r="M2" s="452"/>
      <c r="N2" s="452"/>
      <c r="O2" s="451"/>
      <c r="P2" s="451"/>
      <c r="Q2" s="451"/>
      <c r="R2" s="10"/>
      <c r="S2" s="10"/>
      <c r="T2" s="10"/>
      <c r="U2" s="10"/>
    </row>
    <row r="3" spans="1:40" ht="21" thickTop="1">
      <c r="B3" s="11"/>
      <c r="C3" s="12"/>
      <c r="D3" s="510" t="s">
        <v>5</v>
      </c>
      <c r="E3" s="511"/>
      <c r="F3" s="512"/>
      <c r="G3" s="513" t="s">
        <v>6</v>
      </c>
      <c r="H3" s="511"/>
      <c r="I3" s="512"/>
      <c r="J3" s="513" t="s">
        <v>7</v>
      </c>
      <c r="K3" s="511"/>
      <c r="L3" s="512"/>
      <c r="M3" s="513" t="s">
        <v>212</v>
      </c>
      <c r="N3" s="512"/>
      <c r="O3" s="510" t="s">
        <v>8</v>
      </c>
      <c r="P3" s="511"/>
      <c r="Q3" s="512"/>
      <c r="R3" s="508" t="s">
        <v>213</v>
      </c>
      <c r="S3" s="509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9500834.8039215691</v>
      </c>
      <c r="G5" s="23"/>
      <c r="H5" s="21"/>
      <c r="I5" s="24">
        <f>+SUM(START:END!I5)</f>
        <v>0</v>
      </c>
      <c r="J5" s="23"/>
      <c r="K5" s="25"/>
      <c r="L5" s="22">
        <f>+SUM(START:END!L5)</f>
        <v>10082677.250000004</v>
      </c>
      <c r="M5" s="26"/>
      <c r="N5" s="27"/>
      <c r="O5" s="23"/>
      <c r="P5" s="25"/>
      <c r="Q5" s="22">
        <f>+SUM(START:END!Q5)</f>
        <v>8603227.3399999905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28</v>
      </c>
      <c r="E6" s="30">
        <f>IF(D6=0,0,F6/D6)</f>
        <v>4701.176470588236</v>
      </c>
      <c r="F6" s="30">
        <f>+SUM(START:END!F6)</f>
        <v>131632.9411764706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37</v>
      </c>
      <c r="K6" s="30">
        <f>IF(J6=0,0,L6/J6)</f>
        <v>5547.419729729716</v>
      </c>
      <c r="L6" s="32">
        <f>+SUM(START:END!L6)</f>
        <v>205254.5299999995</v>
      </c>
      <c r="M6" s="31">
        <f t="shared" ref="M6:M12" si="2">J6-D6</f>
        <v>9</v>
      </c>
      <c r="N6" s="33">
        <f t="shared" ref="N6:N12" si="3">L6-F6</f>
        <v>73621.588823528902</v>
      </c>
      <c r="O6" s="31">
        <f>+SUM(START:END!O6)</f>
        <v>27</v>
      </c>
      <c r="P6" s="30">
        <f>IF(O6=0,0,Q6/O6)</f>
        <v>5997.1281481481446</v>
      </c>
      <c r="Q6" s="32">
        <f>+SUM(START:END!Q6)</f>
        <v>161922.4599999999</v>
      </c>
      <c r="R6" s="31">
        <f>J6-O6</f>
        <v>10</v>
      </c>
      <c r="S6" s="34">
        <f>L6-Q6</f>
        <v>43332.0699999996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65</v>
      </c>
      <c r="E7" s="30">
        <f t="shared" ref="E7:E12" si="4">IF(D7=0,0,F7/D7)</f>
        <v>3928.5</v>
      </c>
      <c r="F7" s="30">
        <f>+SUM(START:END!F7)</f>
        <v>255352.5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45</v>
      </c>
      <c r="K7" s="30">
        <f t="shared" ref="K7:K12" si="6">IF(J7=0,0,L7/J7)</f>
        <v>3957.2977777777846</v>
      </c>
      <c r="L7" s="32">
        <f>+SUM(START:END!L7)</f>
        <v>178078.40000000031</v>
      </c>
      <c r="M7" s="31">
        <f t="shared" si="2"/>
        <v>-20</v>
      </c>
      <c r="N7" s="33">
        <f t="shared" si="3"/>
        <v>-77274.099999999686</v>
      </c>
      <c r="O7" s="31">
        <f>+SUM(START:END!O7)</f>
        <v>45</v>
      </c>
      <c r="P7" s="30">
        <f t="shared" ref="P7:P12" si="7">IF(O7=0,0,Q7/O7)</f>
        <v>4008.3437777777713</v>
      </c>
      <c r="Q7" s="32">
        <f>+SUM(START:END!Q7)</f>
        <v>180375.46999999971</v>
      </c>
      <c r="R7" s="31">
        <f t="shared" ref="R7:R12" si="8">J7-O7</f>
        <v>0</v>
      </c>
      <c r="S7" s="34">
        <f t="shared" ref="S7:S12" si="9">L7-Q7</f>
        <v>-2297.0699999993958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93</v>
      </c>
      <c r="E13" s="36">
        <f>IF(D13&lt;=0,0,F13/D13)</f>
        <v>4161.1337760910819</v>
      </c>
      <c r="F13" s="37">
        <f>+SUM(F6:F12)</f>
        <v>386985.4411764706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82</v>
      </c>
      <c r="K13" s="36">
        <f>IF(J13&lt;=0,0,L13/J13)</f>
        <v>4674.7918292682907</v>
      </c>
      <c r="L13" s="37">
        <f>+SUM(L6:L12)</f>
        <v>383332.92999999982</v>
      </c>
      <c r="M13" s="38">
        <f>+SUM(M6:M12)</f>
        <v>-11</v>
      </c>
      <c r="N13" s="37">
        <f>+SUM(N6:N12)</f>
        <v>-3652.5111764707835</v>
      </c>
      <c r="O13" s="38">
        <f>+SUM(O6:O12)</f>
        <v>72</v>
      </c>
      <c r="P13" s="36">
        <f>IF(O13&lt;=0,0,Q13/O13)</f>
        <v>4754.1379166666611</v>
      </c>
      <c r="Q13" s="37">
        <f>+SUM(Q6:Q12)</f>
        <v>342297.92999999959</v>
      </c>
      <c r="R13" s="38">
        <f>+SUM(R6:R12)</f>
        <v>10</v>
      </c>
      <c r="S13" s="39">
        <f>+SUM(S6:S12)</f>
        <v>41035.000000000204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-0.11827956989247312</v>
      </c>
      <c r="N14" s="43">
        <f>IF(F13=0,0,N13/F13)</f>
        <v>-9.4383684444738301E-3</v>
      </c>
      <c r="O14" s="41"/>
      <c r="P14" s="30"/>
      <c r="Q14" s="40"/>
      <c r="R14" s="42">
        <f>R13/O13</f>
        <v>0.1388888888888889</v>
      </c>
      <c r="S14" s="44">
        <f>IF(Q13=0,0,(S13/Q13))</f>
        <v>0.11988094698673829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10</v>
      </c>
      <c r="E15" s="25">
        <f>IF(D15=0,0,F15/D15)</f>
        <v>1200</v>
      </c>
      <c r="F15" s="22">
        <f>+SUM(START:END!F15)</f>
        <v>12000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11</v>
      </c>
      <c r="K15" s="50">
        <f>IF(J15=0,0,L15/J15)</f>
        <v>398.09545454545611</v>
      </c>
      <c r="L15" s="50">
        <f>+SUM(START:END!L15)</f>
        <v>4379.0500000000175</v>
      </c>
      <c r="M15" s="51">
        <f>J15-D15</f>
        <v>1</v>
      </c>
      <c r="N15" s="48">
        <f>L15-F15</f>
        <v>-7620.9499999999825</v>
      </c>
      <c r="O15" s="49">
        <f>+SUM(START:END!O15)</f>
        <v>21</v>
      </c>
      <c r="P15" s="50">
        <f>IF(O15=0,0,Q15/O15)</f>
        <v>2815.8661904761798</v>
      </c>
      <c r="Q15" s="50">
        <f>+SUM(START:END!Q15)</f>
        <v>59133.189999999777</v>
      </c>
      <c r="R15" s="51">
        <f>J15-O15</f>
        <v>-10</v>
      </c>
      <c r="S15" s="52">
        <f>L15-Q15</f>
        <v>-54754.139999999759</v>
      </c>
      <c r="T15" s="13"/>
      <c r="U15" s="13"/>
      <c r="W15" s="453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6</v>
      </c>
      <c r="E17" s="30">
        <f>IF(D17=0,0,F17/D17)</f>
        <v>750</v>
      </c>
      <c r="F17" s="30">
        <f>+SUM(START:END!F17)</f>
        <v>4500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11</v>
      </c>
      <c r="K17" s="30">
        <f>IF(J17=0,0,L17/J17)</f>
        <v>484.49727272727017</v>
      </c>
      <c r="L17" s="33">
        <f>+SUM(START:END!L17)</f>
        <v>5329.4699999999721</v>
      </c>
      <c r="M17" s="51">
        <f>J17-D17</f>
        <v>5</v>
      </c>
      <c r="N17" s="33">
        <f>L17-F17</f>
        <v>829.46999999997206</v>
      </c>
      <c r="O17" s="51">
        <f>+SUM(START:END!O17)</f>
        <v>0</v>
      </c>
      <c r="P17" s="30">
        <f>IF(O17=0,0,Q17/O17)</f>
        <v>0</v>
      </c>
      <c r="Q17" s="33">
        <f>+SUM(START:END!Q17)</f>
        <v>0</v>
      </c>
      <c r="R17" s="31">
        <f>J17-O17</f>
        <v>11</v>
      </c>
      <c r="S17" s="34">
        <f>L17-Q17</f>
        <v>5329.4699999999721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90" t="s">
        <v>23</v>
      </c>
      <c r="D19" s="25"/>
      <c r="E19" s="25"/>
      <c r="F19" s="22">
        <f>+SUM(START:END!F19)</f>
        <v>0</v>
      </c>
      <c r="G19" s="46"/>
      <c r="H19" s="25"/>
      <c r="I19" s="22">
        <f>+SUM(START:END!I19)</f>
        <v>0</v>
      </c>
      <c r="J19" s="46"/>
      <c r="K19" s="25"/>
      <c r="L19" s="22">
        <f>+SUM(START:END!L19)</f>
        <v>0</v>
      </c>
      <c r="M19" s="46"/>
      <c r="N19" s="22">
        <f>L19-F19</f>
        <v>0</v>
      </c>
      <c r="O19" s="46"/>
      <c r="P19" s="25"/>
      <c r="Q19" s="22">
        <f>+SUM(START:END!Q19)</f>
        <v>0</v>
      </c>
      <c r="R19" s="46">
        <f>O19-K19</f>
        <v>0</v>
      </c>
      <c r="S19" s="491">
        <f>L19-Q19</f>
        <v>0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721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14.300107526881721</v>
      </c>
      <c r="L21" s="33">
        <f>+SUM(START:END!L21)</f>
        <v>1329.91</v>
      </c>
      <c r="M21" s="31"/>
      <c r="N21" s="33">
        <f>L21-F21</f>
        <v>608.91000000000008</v>
      </c>
      <c r="O21" s="31"/>
      <c r="P21" s="30">
        <f>IF(O13=0,0,Q21/(O13+O15))</f>
        <v>5.289354838709678</v>
      </c>
      <c r="Q21" s="33">
        <f>+SUM(START:END!Q21)</f>
        <v>491.91</v>
      </c>
      <c r="R21" s="31">
        <f>O21-K21</f>
        <v>-14.300107526881721</v>
      </c>
      <c r="S21" s="34">
        <f>L21-Q21</f>
        <v>838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118450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563.04623655913986</v>
      </c>
      <c r="L22" s="33">
        <f>+SUM(START:END!L22)</f>
        <v>52363.3</v>
      </c>
      <c r="M22" s="31"/>
      <c r="N22" s="33">
        <f>L22-F22</f>
        <v>-66086.7</v>
      </c>
      <c r="O22" s="31"/>
      <c r="P22" s="30">
        <f>IF(O13=0,0,Q22/(O13+O15))</f>
        <v>1464.1901075268815</v>
      </c>
      <c r="Q22" s="33">
        <f>+SUM(START:END!Q22)</f>
        <v>136169.68</v>
      </c>
      <c r="R22" s="31">
        <f>O22-K22</f>
        <v>-563.04623655913986</v>
      </c>
      <c r="S22" s="34">
        <f>L22-Q22</f>
        <v>-83806.37999999999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45629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495.57247311827956</v>
      </c>
      <c r="L23" s="33">
        <f>+SUM(START:END!L23)</f>
        <v>46088.24</v>
      </c>
      <c r="M23" s="51"/>
      <c r="N23" s="33">
        <f>L23-F23</f>
        <v>459.23999999999796</v>
      </c>
      <c r="O23" s="31"/>
      <c r="P23" s="30">
        <f>IF(O13=0,0,Q23/(O13+O15))</f>
        <v>802.8445161290324</v>
      </c>
      <c r="Q23" s="33">
        <f>+SUM(START:END!Q23)</f>
        <v>74664.540000000008</v>
      </c>
      <c r="R23" s="31">
        <f>O23-K23</f>
        <v>-495.57247311827956</v>
      </c>
      <c r="S23" s="34">
        <f>L23-Q23</f>
        <v>-28576.30000000001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103</v>
      </c>
      <c r="E24" s="36">
        <f>IF(D24&lt;=0,0,F24/D24)</f>
        <v>1600</v>
      </c>
      <c r="F24" s="37">
        <f>F21+F22+F23</f>
        <v>164800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93</v>
      </c>
      <c r="K24" s="36">
        <f>IF(J24&lt;=0,0,L24/J24)</f>
        <v>1072.9188172043011</v>
      </c>
      <c r="L24" s="37">
        <f>L21+L22+L23</f>
        <v>99781.450000000012</v>
      </c>
      <c r="M24" s="58">
        <f>J24-D24</f>
        <v>-10</v>
      </c>
      <c r="N24" s="37">
        <f>L24-F24</f>
        <v>-65018.549999999988</v>
      </c>
      <c r="O24" s="38">
        <f>+O15+O13</f>
        <v>93</v>
      </c>
      <c r="P24" s="36">
        <f>IF(O24&lt;=0,0,Q24/O24)</f>
        <v>2272.3239784946236</v>
      </c>
      <c r="Q24" s="37">
        <f>Q21+Q22+Q23</f>
        <v>211326.13</v>
      </c>
      <c r="R24" s="56"/>
      <c r="S24" s="39">
        <f>L24-Q24</f>
        <v>-111544.68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-0.3945300364077669</v>
      </c>
      <c r="O25" s="41"/>
      <c r="P25" s="13"/>
      <c r="Q25" s="59"/>
      <c r="R25" s="60"/>
      <c r="S25" s="44">
        <f>IF(Q24=0,0,(S24/Q24))</f>
        <v>-0.52783193446073129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109</v>
      </c>
      <c r="E27" s="64">
        <f>IF(D27&lt;=0,0,F27/D27)</f>
        <v>5213.6279007015655</v>
      </c>
      <c r="F27" s="65">
        <f>F13+F17+F24+F19+F15</f>
        <v>568285.4411764706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104</v>
      </c>
      <c r="K27" s="67">
        <f>IF(J27&lt;=0,0,L27/J27)</f>
        <v>4738.681730769229</v>
      </c>
      <c r="L27" s="65">
        <f>L13+L17+L24+L19+L15</f>
        <v>492822.89999999979</v>
      </c>
      <c r="M27" s="66">
        <f>J27-D27</f>
        <v>-5</v>
      </c>
      <c r="N27" s="65">
        <f>L27-F27</f>
        <v>-75462.541176470811</v>
      </c>
      <c r="O27" s="66">
        <f>+O13+O15+O17</f>
        <v>93</v>
      </c>
      <c r="P27" s="67">
        <f>IF(O27&lt;=0,0,Q27/O27)</f>
        <v>6588.7876344085962</v>
      </c>
      <c r="Q27" s="65">
        <f>Q13+Q17+Q24+Q19+Q15</f>
        <v>612757.24999999942</v>
      </c>
      <c r="R27" s="66">
        <f>J27-O27</f>
        <v>11</v>
      </c>
      <c r="S27" s="68">
        <f>L27-Q27</f>
        <v>-119934.34999999963</v>
      </c>
      <c r="T27" s="13"/>
      <c r="U27" s="13"/>
      <c r="W27" s="11"/>
      <c r="X27" s="484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-4.5871559633027525E-2</v>
      </c>
      <c r="N28" s="74">
        <f>N27/F27</f>
        <v>-0.13278985472555385</v>
      </c>
      <c r="O28" s="72"/>
      <c r="P28" s="70"/>
      <c r="Q28" s="71"/>
      <c r="R28" s="73">
        <f>R27/O27</f>
        <v>0.11827956989247312</v>
      </c>
      <c r="S28" s="75">
        <f>IF(Q27=0,0,S27/Q27)</f>
        <v>-0.19572897750291773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0.27413522512767446</v>
      </c>
      <c r="E31" s="82">
        <f t="shared" ref="E31:E40" si="10">F31/D$24</f>
        <v>1061.9025605784104</v>
      </c>
      <c r="F31" s="30">
        <f>+SUM(START:END!F31)</f>
        <v>109375.96373957628</v>
      </c>
      <c r="G31" s="156"/>
      <c r="H31" s="82" t="e">
        <f t="shared" ref="H31:H40" si="11">I31/G$24</f>
        <v>#DIV/0!</v>
      </c>
      <c r="I31" s="30">
        <f>+SUM(START:END!I31)</f>
        <v>0</v>
      </c>
      <c r="J31" s="156">
        <f>L31/(L13+L15)</f>
        <v>0.26539272786979662</v>
      </c>
      <c r="K31" s="82">
        <f t="shared" ref="K31:K40" si="12">IF(L31=0,0,L31/J$24)</f>
        <v>1106.4079569892474</v>
      </c>
      <c r="L31" s="30">
        <f>+SUM(START:END!L31)</f>
        <v>102895.94</v>
      </c>
      <c r="M31" s="41"/>
      <c r="N31" s="59">
        <f t="shared" ref="N31:N53" si="13">L31-F31</f>
        <v>-6480.0237395762815</v>
      </c>
      <c r="O31" s="156">
        <f>Q31/(Q13+Q15+Q17)</f>
        <v>0.2572717581038565</v>
      </c>
      <c r="P31" s="82">
        <f t="shared" ref="P31:P40" si="14">IF(Q31=0,0,Q31/O$24)</f>
        <v>1110.5041935483873</v>
      </c>
      <c r="Q31" s="33">
        <f>+SUM(START:END!Q31)</f>
        <v>103276.89000000001</v>
      </c>
      <c r="R31" s="41"/>
      <c r="S31" s="85">
        <f t="shared" ref="S31:S53" si="15">L31-Q31</f>
        <v>-380.95000000001164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f>+SUM(START:END!F32)</f>
        <v>50264</v>
      </c>
      <c r="G32" s="161"/>
      <c r="H32" s="90" t="e">
        <f t="shared" si="11"/>
        <v>#DIV/0!</v>
      </c>
      <c r="I32" s="22">
        <f>+SUM(START:END!I32)</f>
        <v>0</v>
      </c>
      <c r="J32" s="161">
        <f>L32/L24</f>
        <v>0.23001189098775374</v>
      </c>
      <c r="K32" s="88">
        <f t="shared" si="12"/>
        <v>246.7840860215054</v>
      </c>
      <c r="L32" s="22">
        <f>+SUM(START:END!L32)</f>
        <v>22950.920000000002</v>
      </c>
      <c r="M32" s="23"/>
      <c r="N32" s="91">
        <f t="shared" si="13"/>
        <v>-27313.079999999998</v>
      </c>
      <c r="O32" s="161">
        <f>Q32/Q24</f>
        <v>0.34098760053950733</v>
      </c>
      <c r="P32" s="88">
        <f t="shared" si="14"/>
        <v>774.83430107526874</v>
      </c>
      <c r="Q32" s="22">
        <f>+SUM(START:END!Q32)</f>
        <v>72059.59</v>
      </c>
      <c r="R32" s="23"/>
      <c r="S32" s="92">
        <f t="shared" si="15"/>
        <v>-49108.67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f>+SUM(START:END!F33)</f>
        <v>12360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167.99354838709678</v>
      </c>
      <c r="L33" s="30">
        <f>+SUM(START:END!L33)</f>
        <v>15623.4</v>
      </c>
      <c r="M33" s="41"/>
      <c r="N33" s="59">
        <f t="shared" si="13"/>
        <v>3263.3999999999996</v>
      </c>
      <c r="O33" s="41"/>
      <c r="P33" s="82">
        <f t="shared" si="14"/>
        <v>122.49</v>
      </c>
      <c r="Q33" s="33">
        <f>+SUM(START:END!Q33)</f>
        <v>11391.57</v>
      </c>
      <c r="R33" s="41"/>
      <c r="S33" s="85">
        <f t="shared" si="15"/>
        <v>4231.83</v>
      </c>
      <c r="T33" s="13"/>
      <c r="U33" s="13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f>+SUM(START:END!F34)</f>
        <v>3605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51.072365591397848</v>
      </c>
      <c r="L34" s="30">
        <f>+SUM(START:END!L34)</f>
        <v>4749.7299999999996</v>
      </c>
      <c r="M34" s="41"/>
      <c r="N34" s="59">
        <f t="shared" si="13"/>
        <v>1144.7299999999996</v>
      </c>
      <c r="O34" s="41"/>
      <c r="P34" s="82">
        <f t="shared" si="14"/>
        <v>37.781290322580645</v>
      </c>
      <c r="Q34" s="33">
        <f>+SUM(START:END!Q34)</f>
        <v>3513.66</v>
      </c>
      <c r="R34" s="41"/>
      <c r="S34" s="85">
        <f t="shared" si="15"/>
        <v>1236.0699999999997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95.71844660194175</v>
      </c>
      <c r="F35" s="22">
        <f>+SUM(START:END!F35)</f>
        <v>9859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96.994086021505382</v>
      </c>
      <c r="L35" s="22">
        <f>+SUM(START:END!L35)</f>
        <v>9020.4500000000007</v>
      </c>
      <c r="M35" s="23"/>
      <c r="N35" s="91">
        <f t="shared" si="13"/>
        <v>-838.54999999999927</v>
      </c>
      <c r="O35" s="23"/>
      <c r="P35" s="88">
        <f t="shared" si="14"/>
        <v>52.236774193548385</v>
      </c>
      <c r="Q35" s="33">
        <f>+SUM(START:END!Q35)</f>
        <v>4858.0199999999995</v>
      </c>
      <c r="R35" s="23"/>
      <c r="S35" s="92">
        <f t="shared" si="15"/>
        <v>4162.4300000000012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234.88787878787872</v>
      </c>
      <c r="F36" s="30">
        <f>+SUM(START:END!F36)</f>
        <v>24193.451515151508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180.01913978494622</v>
      </c>
      <c r="L36" s="454">
        <f>+SUM(START:END!L36)</f>
        <v>16741.78</v>
      </c>
      <c r="M36" s="13"/>
      <c r="N36" s="59">
        <f t="shared" si="13"/>
        <v>-7451.6715151515091</v>
      </c>
      <c r="O36" s="41"/>
      <c r="P36" s="82">
        <f t="shared" si="14"/>
        <v>494.38526881720429</v>
      </c>
      <c r="Q36" s="55">
        <f>+SUM(START:END!Q36)</f>
        <v>45977.83</v>
      </c>
      <c r="R36" s="41"/>
      <c r="S36" s="85">
        <f t="shared" si="15"/>
        <v>-29236.050000000003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686.46233467861123</v>
      </c>
      <c r="F37" s="30">
        <f>+SUM(START:END!F37)</f>
        <v>70705.620471896953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689.29430107526878</v>
      </c>
      <c r="L37" s="455">
        <f>+SUM(START:END!L37)</f>
        <v>64104.369999999995</v>
      </c>
      <c r="M37" s="13"/>
      <c r="N37" s="59">
        <f t="shared" si="13"/>
        <v>-6601.2504718969576</v>
      </c>
      <c r="O37" s="41"/>
      <c r="P37" s="82">
        <f t="shared" si="14"/>
        <v>800.39150537634407</v>
      </c>
      <c r="Q37" s="33">
        <f>+SUM(START:END!Q37)</f>
        <v>74436.41</v>
      </c>
      <c r="R37" s="41"/>
      <c r="S37" s="85">
        <f>L37-Q37</f>
        <v>-10332.040000000008</v>
      </c>
      <c r="T37" s="13"/>
      <c r="U37" s="13"/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55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55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56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0.49334896763537389</v>
      </c>
      <c r="F41" s="96">
        <f>SUM(F31:F40)</f>
        <v>280363.03572662477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0.47904955309503705</v>
      </c>
      <c r="L41" s="96">
        <f>SUM(L31:L40)</f>
        <v>236086.59000000003</v>
      </c>
      <c r="M41" s="98"/>
      <c r="N41" s="96">
        <f t="shared" si="13"/>
        <v>-44276.445726624748</v>
      </c>
      <c r="O41" s="97" t="s">
        <v>38</v>
      </c>
      <c r="P41" s="95">
        <f>Q41/Q$27</f>
        <v>0.51490858737289569</v>
      </c>
      <c r="Q41" s="99">
        <f>SUM(Q31:Q40)</f>
        <v>315513.96999999997</v>
      </c>
      <c r="R41" s="100"/>
      <c r="S41" s="101">
        <f t="shared" si="15"/>
        <v>-79427.379999999946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39460.47975916804</v>
      </c>
      <c r="G42" s="41"/>
      <c r="H42" s="13"/>
      <c r="I42" s="30">
        <f>+SUM(START:END!I42)</f>
        <v>0</v>
      </c>
      <c r="J42" s="41"/>
      <c r="K42" s="13"/>
      <c r="L42" s="33">
        <f>+SUM(START:END!L42)</f>
        <v>28010.9</v>
      </c>
      <c r="M42" s="41"/>
      <c r="N42" s="59">
        <f t="shared" si="13"/>
        <v>-11449.579759168038</v>
      </c>
      <c r="O42" s="41"/>
      <c r="P42" s="13"/>
      <c r="Q42" s="33">
        <f>+SUM(START:END!Q42)</f>
        <v>41662.89</v>
      </c>
      <c r="R42" s="41"/>
      <c r="S42" s="85">
        <f t="shared" si="15"/>
        <v>-13651.989999999998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15160.02521072797</v>
      </c>
      <c r="G43" s="83"/>
      <c r="H43" s="13"/>
      <c r="I43" s="22">
        <f>+SUM(START:END!I43)</f>
        <v>0</v>
      </c>
      <c r="J43" s="41"/>
      <c r="K43" s="13"/>
      <c r="L43" s="33">
        <f>+SUM(START:END!L43)</f>
        <v>12364.779999999999</v>
      </c>
      <c r="M43" s="41"/>
      <c r="N43" s="59">
        <f t="shared" si="13"/>
        <v>-2795.2452107279714</v>
      </c>
      <c r="O43" s="41"/>
      <c r="P43" s="13"/>
      <c r="Q43" s="33">
        <f>+SUM(START:END!Q43)</f>
        <v>28011.770000000004</v>
      </c>
      <c r="R43" s="41"/>
      <c r="S43" s="85">
        <f t="shared" si="15"/>
        <v>-15646.990000000005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0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520</v>
      </c>
      <c r="M44" s="107"/>
      <c r="N44" s="109">
        <f t="shared" si="13"/>
        <v>520</v>
      </c>
      <c r="O44" s="107"/>
      <c r="P44" s="105"/>
      <c r="Q44" s="108">
        <f>+SUM(START:END!Q44)</f>
        <v>1026</v>
      </c>
      <c r="R44" s="107"/>
      <c r="S44" s="110">
        <f t="shared" si="15"/>
        <v>-506</v>
      </c>
      <c r="T44" s="13"/>
      <c r="U44" s="13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29740.360413401188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21525.489999999998</v>
      </c>
      <c r="M49" s="41"/>
      <c r="N49" s="59">
        <f t="shared" si="13"/>
        <v>-8214.8704134011896</v>
      </c>
      <c r="O49" s="41"/>
      <c r="P49" s="13"/>
      <c r="Q49" s="22">
        <f>+SUM(START:END!Q49)</f>
        <v>28615.34</v>
      </c>
      <c r="R49" s="41"/>
      <c r="S49" s="85">
        <f t="shared" si="15"/>
        <v>-7089.8500000000022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31629.611551640832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26428.309999999998</v>
      </c>
      <c r="M50" s="107"/>
      <c r="N50" s="109">
        <f t="shared" si="13"/>
        <v>-5201.3015516408341</v>
      </c>
      <c r="O50" s="107"/>
      <c r="P50" s="105"/>
      <c r="Q50" s="33">
        <f>+SUM(START:END!Q50)</f>
        <v>37522.080000000002</v>
      </c>
      <c r="R50" s="107"/>
      <c r="S50" s="110">
        <f t="shared" si="15"/>
        <v>-11093.770000000004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20500.674153841275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11591.98</v>
      </c>
      <c r="M51" s="41"/>
      <c r="N51" s="59">
        <f t="shared" si="13"/>
        <v>-8908.6941538412757</v>
      </c>
      <c r="O51" s="41"/>
      <c r="P51" s="13"/>
      <c r="Q51" s="33">
        <f>+SUM(START:END!Q51)</f>
        <v>14434.630000000001</v>
      </c>
      <c r="R51" s="41"/>
      <c r="S51" s="85">
        <f t="shared" si="15"/>
        <v>-2842.6500000000015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5740.1887630755582</v>
      </c>
      <c r="G52" s="83"/>
      <c r="H52" s="13"/>
      <c r="I52" s="30">
        <f>+SUM(START:END!I52)</f>
        <v>0</v>
      </c>
      <c r="J52" s="41"/>
      <c r="K52" s="13"/>
      <c r="L52" s="33">
        <f>+SUM(START:END!L52)</f>
        <v>3903.9100000000003</v>
      </c>
      <c r="M52" s="41"/>
      <c r="N52" s="59">
        <f t="shared" si="13"/>
        <v>-1836.2787630755579</v>
      </c>
      <c r="O52" s="41"/>
      <c r="P52" s="13"/>
      <c r="Q52" s="33">
        <f>+SUM(START:END!Q52)</f>
        <v>6957.4500000000007</v>
      </c>
      <c r="R52" s="41"/>
      <c r="S52" s="85">
        <f t="shared" si="15"/>
        <v>-3053.5400000000004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0.25028151268032844</v>
      </c>
      <c r="F54" s="96">
        <f>+SUM(F42:F53)</f>
        <v>142231.33985185486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0.21172995410724632</v>
      </c>
      <c r="L54" s="96">
        <f>+SUM(L42:L53)</f>
        <v>104345.37</v>
      </c>
      <c r="M54" s="100"/>
      <c r="N54" s="96">
        <f>+SUM(N42:N53)</f>
        <v>-37885.969851854861</v>
      </c>
      <c r="O54" s="97" t="s">
        <v>38</v>
      </c>
      <c r="P54" s="95">
        <f>Q54/Q$27</f>
        <v>0.25822649997205283</v>
      </c>
      <c r="Q54" s="96">
        <f>+SUM(Q42:Q53)</f>
        <v>158230.16000000003</v>
      </c>
      <c r="R54" s="100"/>
      <c r="S54" s="101">
        <f>+SUM(S42:S53)</f>
        <v>-53884.790000000008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6109.5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3406.8900000000003</v>
      </c>
      <c r="M57" s="23"/>
      <c r="N57" s="91">
        <f t="shared" si="16"/>
        <v>-2702.6099999999997</v>
      </c>
      <c r="O57" s="23"/>
      <c r="P57" s="111"/>
      <c r="Q57" s="22">
        <f>+SUM(START:END!Q57)</f>
        <v>27833.32</v>
      </c>
      <c r="R57" s="23"/>
      <c r="S57" s="92">
        <f t="shared" si="17"/>
        <v>-24426.43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27586.056500000002</v>
      </c>
      <c r="G58" s="83"/>
      <c r="H58" s="13"/>
      <c r="I58" s="30">
        <f>+SUM(START:END!I58)</f>
        <v>0</v>
      </c>
      <c r="J58" s="41"/>
      <c r="K58" s="13"/>
      <c r="L58" s="33">
        <f>+SUM(START:END!L58)</f>
        <v>27910.199999999997</v>
      </c>
      <c r="M58" s="41"/>
      <c r="N58" s="59">
        <f t="shared" si="16"/>
        <v>324.14349999999467</v>
      </c>
      <c r="O58" s="41"/>
      <c r="P58" s="13"/>
      <c r="Q58" s="33">
        <f>+SUM(START:END!Q58)</f>
        <v>15279.84</v>
      </c>
      <c r="R58" s="41"/>
      <c r="S58" s="85">
        <f t="shared" si="17"/>
        <v>12630.359999999997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3990</v>
      </c>
      <c r="G59" s="83"/>
      <c r="H59" s="13"/>
      <c r="I59" s="30">
        <f>+SUM(START:END!I59)</f>
        <v>0</v>
      </c>
      <c r="J59" s="41"/>
      <c r="K59" s="13"/>
      <c r="L59" s="33">
        <f>+SUM(START:END!L59)</f>
        <v>9212.5300000000007</v>
      </c>
      <c r="M59" s="41"/>
      <c r="N59" s="59">
        <f t="shared" si="16"/>
        <v>5222.5300000000007</v>
      </c>
      <c r="O59" s="41"/>
      <c r="P59" s="13"/>
      <c r="Q59" s="33">
        <f>+SUM(START:END!Q59)</f>
        <v>2750.8600000000006</v>
      </c>
      <c r="R59" s="41"/>
      <c r="S59" s="85">
        <f t="shared" si="17"/>
        <v>6461.67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8017.0810000000001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10749.630000000001</v>
      </c>
      <c r="M60" s="23"/>
      <c r="N60" s="91">
        <f t="shared" si="16"/>
        <v>2732.5490000000009</v>
      </c>
      <c r="O60" s="23"/>
      <c r="P60" s="111"/>
      <c r="Q60" s="22">
        <f>+SUM(START:END!Q60)</f>
        <v>10516.29</v>
      </c>
      <c r="R60" s="23"/>
      <c r="S60" s="92">
        <f t="shared" si="17"/>
        <v>233.34000000000015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225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543.56999999999994</v>
      </c>
      <c r="M61" s="41"/>
      <c r="N61" s="59">
        <f t="shared" si="16"/>
        <v>318.56999999999994</v>
      </c>
      <c r="O61" s="41"/>
      <c r="P61" s="13"/>
      <c r="Q61" s="33">
        <f>+SUM(START:END!Q61)</f>
        <v>138.66</v>
      </c>
      <c r="R61" s="41"/>
      <c r="S61" s="85">
        <f t="shared" si="17"/>
        <v>404.90999999999997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74.099999999999994</v>
      </c>
      <c r="M62" s="41"/>
      <c r="N62" s="59">
        <f t="shared" si="16"/>
        <v>-15.900000000000006</v>
      </c>
      <c r="O62" s="41"/>
      <c r="P62" s="13"/>
      <c r="Q62" s="33">
        <f>+SUM(START:END!Q62)</f>
        <v>297</v>
      </c>
      <c r="R62" s="41"/>
      <c r="S62" s="85">
        <f t="shared" si="17"/>
        <v>-222.9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1740</v>
      </c>
      <c r="G63" s="83"/>
      <c r="H63" s="13"/>
      <c r="I63" s="30">
        <f>+SUM(START:END!I63)</f>
        <v>0</v>
      </c>
      <c r="J63" s="41"/>
      <c r="K63" s="13"/>
      <c r="L63" s="32">
        <f>+SUM(START:END!L63)</f>
        <v>2087.3000000000002</v>
      </c>
      <c r="M63" s="41"/>
      <c r="N63" s="59">
        <f t="shared" si="16"/>
        <v>347.30000000000018</v>
      </c>
      <c r="O63" s="41"/>
      <c r="P63" s="13"/>
      <c r="Q63" s="32">
        <f>+SUM(START:END!Q63)</f>
        <v>1630.6200000000001</v>
      </c>
      <c r="R63" s="41"/>
      <c r="S63" s="85">
        <f t="shared" si="17"/>
        <v>456.68000000000006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472.79999999999995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906.55</v>
      </c>
      <c r="M64" s="41"/>
      <c r="N64" s="59">
        <f t="shared" si="16"/>
        <v>433.75</v>
      </c>
      <c r="O64" s="41"/>
      <c r="P64" s="13"/>
      <c r="Q64" s="33">
        <f>+SUM(START:END!Q64)</f>
        <v>559.82999999999993</v>
      </c>
      <c r="R64" s="41"/>
      <c r="S64" s="85">
        <f t="shared" si="17"/>
        <v>346.72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680</v>
      </c>
      <c r="G65" s="83"/>
      <c r="H65" s="13"/>
      <c r="I65" s="30">
        <f>+SUM(START:END!I65)</f>
        <v>0</v>
      </c>
      <c r="J65" s="41"/>
      <c r="K65" s="13"/>
      <c r="L65" s="33">
        <f>+SUM(START:END!L65)</f>
        <v>403.06</v>
      </c>
      <c r="M65" s="41"/>
      <c r="N65" s="59">
        <f t="shared" si="16"/>
        <v>-276.94</v>
      </c>
      <c r="O65" s="41"/>
      <c r="P65" s="13"/>
      <c r="Q65" s="33">
        <f>+SUM(START:END!Q65)</f>
        <v>731.84</v>
      </c>
      <c r="R65" s="41"/>
      <c r="S65" s="85">
        <f t="shared" si="17"/>
        <v>-328.78000000000003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1887.2499999999998</v>
      </c>
      <c r="G66" s="83"/>
      <c r="H66" s="13"/>
      <c r="I66" s="30">
        <f>+SUM(START:END!I66)</f>
        <v>0</v>
      </c>
      <c r="J66" s="41"/>
      <c r="K66" s="13"/>
      <c r="L66" s="33">
        <f>+SUM(START:END!L66)</f>
        <v>2081.31</v>
      </c>
      <c r="M66" s="41"/>
      <c r="N66" s="59">
        <f t="shared" si="16"/>
        <v>194.06000000000017</v>
      </c>
      <c r="O66" s="41"/>
      <c r="P66" s="13"/>
      <c r="Q66" s="33">
        <f>+SUM(START:END!Q66)</f>
        <v>3376.37</v>
      </c>
      <c r="R66" s="41"/>
      <c r="S66" s="85">
        <f t="shared" si="17"/>
        <v>-1295.06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964.78400000000033</v>
      </c>
      <c r="G67" s="83"/>
      <c r="H67" s="13"/>
      <c r="I67" s="30">
        <f>+SUM(START:END!I67)</f>
        <v>0</v>
      </c>
      <c r="J67" s="41"/>
      <c r="K67" s="13"/>
      <c r="L67" s="33">
        <f>+SUM(START:END!L67)</f>
        <v>-820.8</v>
      </c>
      <c r="M67" s="41"/>
      <c r="N67" s="59">
        <f t="shared" si="16"/>
        <v>-1785.5840000000003</v>
      </c>
      <c r="O67" s="41"/>
      <c r="P67" s="13"/>
      <c r="Q67" s="33">
        <f>+SUM(START:END!Q67)</f>
        <v>1139.08</v>
      </c>
      <c r="R67" s="41"/>
      <c r="S67" s="85">
        <f>L67-Q67</f>
        <v>-1959.8799999999999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13060.550837980763</v>
      </c>
      <c r="G68" s="83"/>
      <c r="H68" s="13"/>
      <c r="I68" s="30">
        <f>+SUM(START:END!I68)</f>
        <v>0</v>
      </c>
      <c r="J68" s="41"/>
      <c r="K68" s="13"/>
      <c r="L68" s="32">
        <f>+SUM(START:END!L68)</f>
        <v>10597.02</v>
      </c>
      <c r="M68" s="41"/>
      <c r="N68" s="59">
        <f t="shared" si="16"/>
        <v>-2463.530837980763</v>
      </c>
      <c r="O68" s="41"/>
      <c r="P68" s="13"/>
      <c r="Q68" s="33">
        <f>+SUM(START:END!Q68)</f>
        <v>11498.539999999999</v>
      </c>
      <c r="R68" s="41"/>
      <c r="S68" s="85">
        <f>L68-Q68</f>
        <v>-901.51999999999862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0.11406771604738537</v>
      </c>
      <c r="F72" s="96">
        <f>+SUM(F55:F71)</f>
        <v>64823.022337980772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0.13625860324266592</v>
      </c>
      <c r="L72" s="96">
        <f>+SUM(L55:L71)</f>
        <v>67151.360000000001</v>
      </c>
      <c r="M72" s="100"/>
      <c r="N72" s="96">
        <f>+SUM(N55:N71)</f>
        <v>2328.3376620192339</v>
      </c>
      <c r="O72" s="97" t="s">
        <v>38</v>
      </c>
      <c r="P72" s="95">
        <f>Q72/Q$27</f>
        <v>0.12362522026463185</v>
      </c>
      <c r="Q72" s="96">
        <f>+SUM(Q55:Q71)</f>
        <v>75752.250000000015</v>
      </c>
      <c r="R72" s="100"/>
      <c r="S72" s="101">
        <f>+SUM(S55:S71)</f>
        <v>-8600.89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0.85769819636308775</v>
      </c>
      <c r="F74" s="96">
        <f>F41+F54+F72</f>
        <v>487417.39791646041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0.82703811044494924</v>
      </c>
      <c r="L74" s="96">
        <f>L41+L54+L72</f>
        <v>407583.32</v>
      </c>
      <c r="M74" s="100"/>
      <c r="N74" s="113">
        <f t="shared" ref="N74:N82" si="18">L74-F74</f>
        <v>-79834.077916460403</v>
      </c>
      <c r="O74" s="97" t="s">
        <v>38</v>
      </c>
      <c r="P74" s="95">
        <f>Q74/Q$27</f>
        <v>0.89676030760958036</v>
      </c>
      <c r="Q74" s="96">
        <f>Q41+Q54+Q72</f>
        <v>549496.38</v>
      </c>
      <c r="R74" s="100"/>
      <c r="S74" s="114">
        <f>L74-Q74</f>
        <v>-141913.06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f>+SUM(START:END!F75)</f>
        <v>150269.81357142859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137796.24</v>
      </c>
      <c r="M75" s="41"/>
      <c r="N75" s="59">
        <f t="shared" si="18"/>
        <v>-12473.573571428598</v>
      </c>
      <c r="O75" s="41"/>
      <c r="P75" s="13"/>
      <c r="Q75" s="32">
        <f>+SUM(START:END!Q75)</f>
        <v>147274.36000000002</v>
      </c>
      <c r="R75" s="41"/>
      <c r="S75" s="85">
        <f>L75-Q75</f>
        <v>-9478.1200000000244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182145.2285714286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165196.79999999999</v>
      </c>
      <c r="M78" s="41"/>
      <c r="N78" s="59">
        <f t="shared" si="18"/>
        <v>-16948.428571428609</v>
      </c>
      <c r="O78" s="41"/>
      <c r="P78" s="13"/>
      <c r="Q78" s="32">
        <f>+SUM(START:END!Q78)</f>
        <v>160254.79999999999</v>
      </c>
      <c r="R78" s="41"/>
      <c r="S78" s="85">
        <f t="shared" si="19"/>
        <v>4942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60059.299999999996</v>
      </c>
      <c r="G82" s="83"/>
      <c r="H82" s="13"/>
      <c r="I82" s="30">
        <f>+SUM(START:END!I82)</f>
        <v>0</v>
      </c>
      <c r="J82" s="41"/>
      <c r="K82" s="13"/>
      <c r="L82" s="32">
        <f>+SUM(START:END!L82)</f>
        <v>53550</v>
      </c>
      <c r="M82" s="41"/>
      <c r="N82" s="59">
        <f t="shared" si="18"/>
        <v>-6509.2999999999956</v>
      </c>
      <c r="O82" s="41"/>
      <c r="P82" s="13"/>
      <c r="Q82" s="32">
        <f>+SUM(START:END!Q82)</f>
        <v>55335</v>
      </c>
      <c r="R82" s="41"/>
      <c r="S82" s="85">
        <f t="shared" si="19"/>
        <v>-1785</v>
      </c>
      <c r="T82" s="13"/>
      <c r="U82" s="13"/>
      <c r="W82" s="483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392474.3421428572</v>
      </c>
      <c r="G83" s="97"/>
      <c r="H83" s="95"/>
      <c r="I83" s="96">
        <f>+SUM(I75:I82)</f>
        <v>0</v>
      </c>
      <c r="J83" s="97"/>
      <c r="K83" s="95"/>
      <c r="L83" s="96">
        <f>+SUM(L75:L82)</f>
        <v>356543.04</v>
      </c>
      <c r="M83" s="100"/>
      <c r="N83" s="96">
        <f>+SUM(N75:N82)</f>
        <v>-35931.302142857203</v>
      </c>
      <c r="O83" s="97"/>
      <c r="P83" s="95"/>
      <c r="Q83" s="96">
        <f>+SUM(Q75:Q82)</f>
        <v>362864.16000000003</v>
      </c>
      <c r="R83" s="100"/>
      <c r="S83" s="101">
        <f>+SUM(S75:S82)</f>
        <v>-6321.1200000000244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473342.3854028674</v>
      </c>
      <c r="G85" s="128"/>
      <c r="H85" s="126"/>
      <c r="I85" s="127">
        <f>I27-I74+I83</f>
        <v>0</v>
      </c>
      <c r="J85" s="128"/>
      <c r="K85" s="125"/>
      <c r="L85" s="127">
        <f>L27-L74+L83</f>
        <v>441782.61999999976</v>
      </c>
      <c r="M85" s="128"/>
      <c r="N85" s="127">
        <f>N27-N41-N54-N72+N83</f>
        <v>-31559.765402867641</v>
      </c>
      <c r="O85" s="128"/>
      <c r="P85" s="125"/>
      <c r="Q85" s="127">
        <f>Q27-Q74+Q83</f>
        <v>426125.02999999945</v>
      </c>
      <c r="R85" s="128"/>
      <c r="S85" s="129">
        <f>S27-S41-S54-S72+S83</f>
        <v>15657.590000000302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Q2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0" t="s">
        <v>5</v>
      </c>
      <c r="E91" s="511"/>
      <c r="F91" s="512"/>
      <c r="G91" s="513" t="s">
        <v>71</v>
      </c>
      <c r="H91" s="511"/>
      <c r="I91" s="512"/>
      <c r="J91" s="513" t="s">
        <v>7</v>
      </c>
      <c r="K91" s="511"/>
      <c r="L91" s="512"/>
      <c r="M91" s="513" t="s">
        <v>212</v>
      </c>
      <c r="N91" s="512"/>
      <c r="O91" s="510" t="s">
        <v>8</v>
      </c>
      <c r="P91" s="511"/>
      <c r="Q91" s="512"/>
      <c r="R91" s="508" t="s">
        <v>213</v>
      </c>
      <c r="S91" s="509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99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6592888.2657946562</v>
      </c>
      <c r="G93" s="46"/>
      <c r="H93" s="25"/>
      <c r="I93" s="22">
        <f>+SUM(START:END!I93)</f>
        <v>0</v>
      </c>
      <c r="J93" s="23"/>
      <c r="K93" s="25"/>
      <c r="L93" s="22">
        <f>+SUM(START:END!L93)</f>
        <v>7460702.4800000004</v>
      </c>
      <c r="M93" s="137"/>
      <c r="N93" s="138"/>
      <c r="O93" s="23"/>
      <c r="P93" s="25"/>
      <c r="Q93" s="22">
        <f>+SUM(START:END!Q93)</f>
        <v>4642482.4099999899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46</v>
      </c>
      <c r="E94" s="30">
        <f>IF(D94=0,0,F94/D94)</f>
        <v>2400</v>
      </c>
      <c r="F94" s="30">
        <f>+SUM(START:END!F94)</f>
        <v>110400</v>
      </c>
      <c r="G94" s="31">
        <f>+SUM(START:END!G94)</f>
        <v>0</v>
      </c>
      <c r="H94" s="30">
        <f t="shared" ref="H94:H98" si="21">IF(G94=0,0,I94/G94)</f>
        <v>0</v>
      </c>
      <c r="I94" s="30">
        <f>+SUM(START:END!I94)</f>
        <v>0</v>
      </c>
      <c r="J94" s="31">
        <f>+SUM(START:END!J94)</f>
        <v>35</v>
      </c>
      <c r="K94" s="30">
        <f>IF(J94=0,0,L94/J94)</f>
        <v>1828.6842857142851</v>
      </c>
      <c r="L94" s="33">
        <f>+SUM(START:END!L94)</f>
        <v>64003.949999999983</v>
      </c>
      <c r="M94" s="31">
        <f>J94-D94</f>
        <v>-11</v>
      </c>
      <c r="N94" s="33">
        <f>L94-F94</f>
        <v>-46396.050000000017</v>
      </c>
      <c r="O94" s="31">
        <f>+SUM(START:END!O94)</f>
        <v>14</v>
      </c>
      <c r="P94" s="30">
        <f>IF(O94=0,0,Q94/O94)</f>
        <v>2570.5035714285705</v>
      </c>
      <c r="Q94" s="33">
        <f>+SUM(START:END!Q94)</f>
        <v>35987.049999999988</v>
      </c>
      <c r="R94" s="31">
        <f>J94-O94</f>
        <v>21</v>
      </c>
      <c r="S94" s="34">
        <f>L94-Q94</f>
        <v>28016.899999999994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12</v>
      </c>
      <c r="E95" s="30">
        <f>IF(D95=0,0,F95/D95)</f>
        <v>1400</v>
      </c>
      <c r="F95" s="30">
        <f>+SUM(START:END!F95)</f>
        <v>16800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9</v>
      </c>
      <c r="K95" s="30">
        <f>IF(J95=0,0,L95/J95)</f>
        <v>3424.6666666666665</v>
      </c>
      <c r="L95" s="32">
        <f>+SUM(START:END!L95)</f>
        <v>30822</v>
      </c>
      <c r="M95" s="31">
        <f>J95-D95</f>
        <v>-3</v>
      </c>
      <c r="N95" s="33">
        <f>L95-F95</f>
        <v>14022</v>
      </c>
      <c r="O95" s="31">
        <f>+SUM(START:END!O95)</f>
        <v>29</v>
      </c>
      <c r="P95" s="30">
        <f>IF(O95=0,0,Q95/O95)</f>
        <v>1877.6982758620659</v>
      </c>
      <c r="Q95" s="32">
        <f>+SUM(START:END!Q95)</f>
        <v>54453.249999999913</v>
      </c>
      <c r="R95" s="31">
        <f>J95-O95</f>
        <v>-20</v>
      </c>
      <c r="S95" s="34">
        <f>L95-Q95</f>
        <v>-23631.249999999913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>+B96&amp;C96</f>
        <v>Véhicules usagésAutres marques</v>
      </c>
      <c r="B96" s="11" t="s">
        <v>70</v>
      </c>
      <c r="C96" s="29" t="s">
        <v>206</v>
      </c>
      <c r="D96" s="30">
        <f>+SUM(START:END!D96)</f>
        <v>19</v>
      </c>
      <c r="E96" s="25">
        <f>IF(D96=0,0,F96/D96)</f>
        <v>1500</v>
      </c>
      <c r="F96" s="30">
        <f>+SUM(START:END!F96)</f>
        <v>28500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19</v>
      </c>
      <c r="K96" s="30">
        <f>IF(J96=0,0,L96/J96)</f>
        <v>2094.4831578947342</v>
      </c>
      <c r="L96" s="32">
        <f>+SUM(START:END!L96)</f>
        <v>39795.179999999949</v>
      </c>
      <c r="M96" s="31">
        <f>J96-D96</f>
        <v>0</v>
      </c>
      <c r="N96" s="33">
        <f>L96-F96</f>
        <v>11295.179999999949</v>
      </c>
      <c r="O96" s="31">
        <f>+SUM(START:END!O96)</f>
        <v>19</v>
      </c>
      <c r="P96" s="30">
        <f>IF(O96=0,0,Q96/O96)</f>
        <v>1441.976842105262</v>
      </c>
      <c r="Q96" s="32">
        <f>+SUM(START:END!Q96)</f>
        <v>27397.559999999976</v>
      </c>
      <c r="R96" s="31">
        <f>J96-O96</f>
        <v>0</v>
      </c>
      <c r="S96" s="34">
        <f>L96-Q96</f>
        <v>12397.619999999974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77</v>
      </c>
      <c r="E97" s="30">
        <f>IF(D97=0,0,F97/D97)</f>
        <v>2022.077922077922</v>
      </c>
      <c r="F97" s="37">
        <f>+F94+F95+F96</f>
        <v>155700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63</v>
      </c>
      <c r="K97" s="36">
        <f>IF(J97=0,0,L97/J97)</f>
        <v>2136.8433333333323</v>
      </c>
      <c r="L97" s="37">
        <f>+L94+L95+L96</f>
        <v>134621.12999999995</v>
      </c>
      <c r="M97" s="38">
        <f>J97-D97</f>
        <v>-14</v>
      </c>
      <c r="N97" s="37">
        <f>L97-F97</f>
        <v>-21078.870000000054</v>
      </c>
      <c r="O97" s="38">
        <f>+O95+O94+O96</f>
        <v>62</v>
      </c>
      <c r="P97" s="36">
        <f>IF(O97&lt;=0,0,Q97/O97)</f>
        <v>1900.6106451612882</v>
      </c>
      <c r="Q97" s="37">
        <f>+Q94+Q95+Q96</f>
        <v>117837.85999999987</v>
      </c>
      <c r="R97" s="38">
        <f>J97-O97</f>
        <v>1</v>
      </c>
      <c r="S97" s="39">
        <f>L97-Q97</f>
        <v>16783.270000000077</v>
      </c>
      <c r="T97" s="13"/>
      <c r="U97" s="13"/>
      <c r="W97" s="457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-0.18181818181818182</v>
      </c>
      <c r="N98" s="43">
        <f>N97/F97</f>
        <v>-0.13538131021194638</v>
      </c>
      <c r="O98" s="41"/>
      <c r="P98" s="13"/>
      <c r="Q98" s="40"/>
      <c r="R98" s="42">
        <f>R97/O97</f>
        <v>1.6129032258064516E-2</v>
      </c>
      <c r="S98" s="44">
        <f>IF(Q97=0,0,(S97/Q97))</f>
        <v>0.14242680578211531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usagésRachat bail</v>
      </c>
      <c r="B99" s="11" t="s">
        <v>70</v>
      </c>
      <c r="C99" s="53" t="s">
        <v>23</v>
      </c>
      <c r="D99" s="30"/>
      <c r="E99" s="30"/>
      <c r="F99" s="30">
        <f>+SUM(START:END!F99)</f>
        <v>6532.8941807164829</v>
      </c>
      <c r="G99" s="31"/>
      <c r="H99" s="30"/>
      <c r="I99" s="30">
        <f>+SUM(START:END!I99)</f>
        <v>0</v>
      </c>
      <c r="J99" s="31"/>
      <c r="K99" s="30"/>
      <c r="L99" s="33">
        <f>+SUM(START:END!L99)</f>
        <v>9983.0099999999802</v>
      </c>
      <c r="M99" s="31"/>
      <c r="N99" s="33">
        <f>L99-F99</f>
        <v>3450.1158192834973</v>
      </c>
      <c r="O99" s="31"/>
      <c r="P99" s="30"/>
      <c r="Q99" s="33">
        <f>+SUM(START:END!Q99)</f>
        <v>7056.6399999999794</v>
      </c>
      <c r="R99" s="31">
        <f>O99-K99</f>
        <v>0</v>
      </c>
      <c r="S99" s="34">
        <f>L99-Q99</f>
        <v>2926.3700000000008</v>
      </c>
      <c r="T99" s="13"/>
      <c r="U99" s="13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25">
      <c r="A100" t="str">
        <f t="shared" ref="A100" si="22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ref="A101" si="23">+B101&amp;C101</f>
        <v>Véhicules usagésVentes au Gros</v>
      </c>
      <c r="B101" s="11" t="s">
        <v>70</v>
      </c>
      <c r="C101" s="29" t="s">
        <v>75</v>
      </c>
      <c r="D101" s="30">
        <f>+SUM(START:END!D101)</f>
        <v>81</v>
      </c>
      <c r="E101" s="30">
        <f>IF(D101=0,0,F101/D101)</f>
        <v>500</v>
      </c>
      <c r="F101" s="30">
        <f>+SUM(START:END!F101)</f>
        <v>40500</v>
      </c>
      <c r="G101" s="31">
        <f>+SUM(START:END!G101)</f>
        <v>0</v>
      </c>
      <c r="H101" s="30">
        <f t="shared" ref="H101" si="24">IF(G101=0,0,I101/G101)</f>
        <v>0</v>
      </c>
      <c r="I101" s="30">
        <f>+SUM(START:END!I101)</f>
        <v>0</v>
      </c>
      <c r="J101" s="31">
        <f>+SUM(START:END!J101)</f>
        <v>108</v>
      </c>
      <c r="K101" s="30">
        <f>IF(J101=0,0,L101/J101)</f>
        <v>634.12583333333521</v>
      </c>
      <c r="L101" s="33">
        <f>+SUM(START:END!L101)</f>
        <v>68485.5900000002</v>
      </c>
      <c r="M101" s="31">
        <f>J101-D101</f>
        <v>27</v>
      </c>
      <c r="N101" s="33">
        <f>L101-F101</f>
        <v>27985.5900000002</v>
      </c>
      <c r="O101" s="31">
        <f>+SUM(START:END!O101)</f>
        <v>60</v>
      </c>
      <c r="P101" s="30">
        <f>IF(O101=0,0,Q101/O101)</f>
        <v>404.78349999999881</v>
      </c>
      <c r="Q101" s="33">
        <f>+SUM(START:END!Q101)</f>
        <v>24287.009999999929</v>
      </c>
      <c r="R101" s="31">
        <f>J101-O101</f>
        <v>48</v>
      </c>
      <c r="S101" s="34">
        <f>L101-Q101</f>
        <v>44198.580000000271</v>
      </c>
      <c r="T101" s="13"/>
      <c r="U101" s="13"/>
      <c r="W101" s="457"/>
      <c r="X101" s="13"/>
      <c r="Y101" s="13"/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ref="A102" si="25">+B102&amp;C102</f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ref="A103" si="26">+B103&amp;C103</f>
        <v>Véhicules usagésRev. Finances</v>
      </c>
      <c r="B103" s="11" t="s">
        <v>70</v>
      </c>
      <c r="C103" s="29" t="s">
        <v>24</v>
      </c>
      <c r="D103" s="30">
        <f>+SUM(START:END!D103)</f>
        <v>0</v>
      </c>
      <c r="E103" s="30">
        <f>IF(D103=0,0,F103/D103)</f>
        <v>0</v>
      </c>
      <c r="F103" s="33">
        <f>+SUM(START:END!F103)</f>
        <v>26950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23648.46</v>
      </c>
      <c r="M103" s="31"/>
      <c r="N103" s="33">
        <f>L103-F103</f>
        <v>-3301.5400000000009</v>
      </c>
      <c r="O103" s="31">
        <f>+SUM(START:END!O103)</f>
        <v>0</v>
      </c>
      <c r="P103" s="30">
        <f>IF(O103=0,0,Q103/O103)</f>
        <v>0</v>
      </c>
      <c r="Q103" s="33">
        <f>+SUM(START:END!Q103)</f>
        <v>34930.130000000005</v>
      </c>
      <c r="R103" s="31">
        <f>O103-K103</f>
        <v>0</v>
      </c>
      <c r="S103" s="34">
        <f>L103-Q103</f>
        <v>-11281.670000000006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ref="A104" si="27">+B104&amp;C104</f>
        <v>Véhicules usagésRev. Protections</v>
      </c>
      <c r="B104" s="11" t="s">
        <v>70</v>
      </c>
      <c r="C104" s="29" t="s">
        <v>25</v>
      </c>
      <c r="D104" s="30">
        <f>+SUM(START:END!D104)</f>
        <v>0</v>
      </c>
      <c r="E104" s="30">
        <f>IF(D104=0,0,F104/D104)</f>
        <v>0</v>
      </c>
      <c r="F104" s="33">
        <f>+SUM(START:END!F104)</f>
        <v>73150</v>
      </c>
      <c r="G104" s="31">
        <f>+SUM(START:END!G104)</f>
        <v>0</v>
      </c>
      <c r="H104" s="30">
        <f>IF(G104=0,0,I104/G104)</f>
        <v>0</v>
      </c>
      <c r="I104" s="30">
        <f>+SUM(START:END!I104)</f>
        <v>0</v>
      </c>
      <c r="J104" s="31">
        <f>+SUM(START:END!J104)</f>
        <v>0</v>
      </c>
      <c r="K104" s="30">
        <f>IF(J104=0,0,L104/J104)</f>
        <v>0</v>
      </c>
      <c r="L104" s="33">
        <f>+SUM(START:END!L104)</f>
        <v>31423.86</v>
      </c>
      <c r="M104" s="31"/>
      <c r="N104" s="33">
        <f>L104-F104</f>
        <v>-41726.14</v>
      </c>
      <c r="O104" s="31">
        <f>+SUM(START:END!O104)</f>
        <v>0</v>
      </c>
      <c r="P104" s="30">
        <f>IF(O104=0,0,Q104/O104)</f>
        <v>0</v>
      </c>
      <c r="Q104" s="33">
        <f>+SUM(START:END!Q104)</f>
        <v>86875.389999999898</v>
      </c>
      <c r="R104" s="31">
        <f>O104-K104</f>
        <v>0</v>
      </c>
      <c r="S104" s="34">
        <f>L104-Q104</f>
        <v>-55451.529999999897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ref="A105" si="28">+B105&amp;C105</f>
        <v>Véhicules usagésRev. Autres</v>
      </c>
      <c r="B105" s="11" t="s">
        <v>70</v>
      </c>
      <c r="C105" s="29" t="s">
        <v>26</v>
      </c>
      <c r="D105" s="30">
        <f>+SUM(START:END!D105)</f>
        <v>0</v>
      </c>
      <c r="E105" s="47">
        <f>IF(D105=0,0,F105/D105)</f>
        <v>0</v>
      </c>
      <c r="F105" s="33">
        <f>+SUM(START:END!F105)</f>
        <v>15400</v>
      </c>
      <c r="G105" s="31">
        <f>+SUM(START:END!G105)</f>
        <v>0</v>
      </c>
      <c r="H105" s="47">
        <f>IF(G105=0,0,I105/G105)</f>
        <v>0</v>
      </c>
      <c r="I105" s="30">
        <f>+SUM(START:END!I105)</f>
        <v>0</v>
      </c>
      <c r="J105" s="31">
        <f>+SUM(START:END!J105)</f>
        <v>0</v>
      </c>
      <c r="K105" s="47">
        <f>IF(J105=0,0,L105/J105)</f>
        <v>0</v>
      </c>
      <c r="L105" s="33">
        <f>+SUM(START:END!L105)</f>
        <v>5189.84</v>
      </c>
      <c r="M105" s="51"/>
      <c r="N105" s="33">
        <f>L105-F105</f>
        <v>-10210.16</v>
      </c>
      <c r="O105" s="31">
        <f>+SUM(START:END!O105)</f>
        <v>0</v>
      </c>
      <c r="P105" s="47">
        <f>IF(O105=0,0,Q105/O105)</f>
        <v>0</v>
      </c>
      <c r="Q105" s="33">
        <f>+SUM(START:END!Q105)</f>
        <v>23749.929999999989</v>
      </c>
      <c r="R105" s="31">
        <f>O105-K105</f>
        <v>0</v>
      </c>
      <c r="S105" s="34">
        <f>L105-Q105</f>
        <v>-18560.089999999989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ref="A106" si="29">+B106&amp;C106</f>
        <v>Véhicules usagésTotal F&amp;I</v>
      </c>
      <c r="B106" s="11" t="s">
        <v>70</v>
      </c>
      <c r="C106" s="35" t="s">
        <v>27</v>
      </c>
      <c r="D106" s="36">
        <f>D98</f>
        <v>0</v>
      </c>
      <c r="E106" s="30">
        <f>IF(D106=0,0,F106/D106)</f>
        <v>0</v>
      </c>
      <c r="F106" s="37">
        <f>F103+F104+F105</f>
        <v>115500</v>
      </c>
      <c r="G106" s="38">
        <f>G98</f>
        <v>0</v>
      </c>
      <c r="H106" s="36">
        <f>IF(G106=0,0,I106/G106)</f>
        <v>0</v>
      </c>
      <c r="I106" s="37">
        <f>I103+I104+I105</f>
        <v>0</v>
      </c>
      <c r="J106" s="38">
        <f>J98</f>
        <v>0</v>
      </c>
      <c r="K106" s="36">
        <f>IF(J106&lt;=0,0,L106/J106)</f>
        <v>0</v>
      </c>
      <c r="L106" s="37">
        <f>L103+L104+L105</f>
        <v>60262.16</v>
      </c>
      <c r="M106" s="31">
        <f>J106-D106</f>
        <v>0</v>
      </c>
      <c r="N106" s="37">
        <f>L106-F106</f>
        <v>-55237.84</v>
      </c>
      <c r="O106" s="38">
        <f>O98</f>
        <v>0</v>
      </c>
      <c r="P106" s="36">
        <f>IF(O106&lt;=0,0,Q106/O106)</f>
        <v>0</v>
      </c>
      <c r="Q106" s="37">
        <f>Q103+Q104+Q105</f>
        <v>145555.4499999999</v>
      </c>
      <c r="R106" s="56"/>
      <c r="S106" s="39">
        <f>L106-Q106</f>
        <v>-85293.289999999892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0.25">
      <c r="A107" t="str">
        <f t="shared" ref="A107" si="30">+B107&amp;C107</f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-0.47824969696969694</v>
      </c>
      <c r="O107" s="41"/>
      <c r="P107" s="13"/>
      <c r="Q107" s="59"/>
      <c r="R107" s="60"/>
      <c r="S107" s="44">
        <f>IF(Q106=0,0,(S106/Q106))</f>
        <v>-0.58598486006535622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Bot="1">
      <c r="A108" t="str">
        <f t="shared" ref="A108:A110" si="31">+B108&amp;C108</f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158</v>
      </c>
      <c r="E109" s="67">
        <f>IF(D109&lt;=0,0,F109/D109)</f>
        <v>2014.1322416501043</v>
      </c>
      <c r="F109" s="65">
        <f>F97+F106+F101+F99</f>
        <v>318232.89418071648</v>
      </c>
      <c r="G109" s="66"/>
      <c r="H109" s="67"/>
      <c r="I109" s="65"/>
      <c r="J109" s="66">
        <f>J97+J101</f>
        <v>171</v>
      </c>
      <c r="K109" s="67">
        <f>IF(J109&lt;=0,0,L109/J109)</f>
        <v>1598.5490643274861</v>
      </c>
      <c r="L109" s="65">
        <f>L97+L106+L101+L99</f>
        <v>273351.89000000013</v>
      </c>
      <c r="M109" s="66">
        <f>J109-D109</f>
        <v>13</v>
      </c>
      <c r="N109" s="65">
        <f>L109-F109</f>
        <v>-44881.004180716351</v>
      </c>
      <c r="O109" s="66">
        <f>O97+O101</f>
        <v>122</v>
      </c>
      <c r="P109" s="67">
        <f>IF(O109&lt;=0,0,Q109/O109)</f>
        <v>2415.8767213114729</v>
      </c>
      <c r="Q109" s="65">
        <f>Q97+Q106+Q101+Q99</f>
        <v>294736.95999999967</v>
      </c>
      <c r="R109" s="66">
        <f>J109-O109</f>
        <v>49</v>
      </c>
      <c r="S109" s="68">
        <f>L109-Q109</f>
        <v>-21385.069999999541</v>
      </c>
      <c r="T109" s="13"/>
      <c r="U109" s="13"/>
      <c r="W109" s="11"/>
      <c r="X109" s="48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8.2278481012658222E-2</v>
      </c>
      <c r="N110" s="74">
        <f>N109/F109</f>
        <v>-0.14103194547584874</v>
      </c>
      <c r="O110" s="72"/>
      <c r="P110" s="70"/>
      <c r="Q110" s="71"/>
      <c r="R110" s="73">
        <f>O109/R109</f>
        <v>2.489795918367347</v>
      </c>
      <c r="S110" s="144">
        <f>IF(Q109=0,0,(S109/Q109))</f>
        <v>-7.2556458477415139E-2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 thickTop="1">
      <c r="A111" t="str">
        <f t="shared" ref="A111" si="32">+B111&amp;C111</f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ref="A112" si="33">+B112&amp;C112</f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ref="A113" si="34">+B113&amp;C113</f>
        <v>Véhicules usagésComm. vendeurs</v>
      </c>
      <c r="B113" s="11" t="s">
        <v>70</v>
      </c>
      <c r="C113" s="29" t="s">
        <v>30</v>
      </c>
      <c r="D113" s="147">
        <f>F113/(F98+F106)</f>
        <v>0.45412928447999701</v>
      </c>
      <c r="E113" s="82">
        <f>F113/D$97</f>
        <v>681.19392671999549</v>
      </c>
      <c r="F113" s="30">
        <f>+SUM(START:END!F113)</f>
        <v>52451.932357439655</v>
      </c>
      <c r="G113" s="156" t="e">
        <f>I113/I98</f>
        <v>#DIV/0!</v>
      </c>
      <c r="H113" s="82" t="e">
        <f>I113/G$97</f>
        <v>#DIV/0!</v>
      </c>
      <c r="I113" s="30">
        <f>+SUM(START:END!I113)</f>
        <v>0</v>
      </c>
      <c r="J113" s="156" t="e">
        <f>L113/L98</f>
        <v>#DIV/0!</v>
      </c>
      <c r="K113" s="82">
        <f>IF($J$97=0,0,L113/(J$94+J$95))</f>
        <v>1292.7870454545455</v>
      </c>
      <c r="L113" s="33">
        <f>+SUM(START:END!L113)</f>
        <v>56882.63</v>
      </c>
      <c r="M113" s="41"/>
      <c r="N113" s="59">
        <f t="shared" ref="N113:N131" si="35">L113-F113</f>
        <v>4430.6976425603425</v>
      </c>
      <c r="O113" s="156" t="e">
        <f>Q113/Q98</f>
        <v>#DIV/0!</v>
      </c>
      <c r="P113" s="82">
        <f>IF($J$97=0,0,Q113/(O$94+O$95))</f>
        <v>922.32581395348825</v>
      </c>
      <c r="Q113" s="33">
        <f>+SUM(START:END!Q113)</f>
        <v>39660.009999999995</v>
      </c>
      <c r="R113" s="41"/>
      <c r="S113" s="85">
        <f t="shared" ref="S113:S118" si="36">L113-Q113</f>
        <v>17222.620000000003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ref="A114" si="37">+B114&amp;C114</f>
        <v>Véhicules usagésComm. F&amp;I</v>
      </c>
      <c r="B114" s="11" t="s">
        <v>70</v>
      </c>
      <c r="C114" s="86" t="s">
        <v>31</v>
      </c>
      <c r="D114" s="217">
        <f>F114/(F106+F20)</f>
        <v>0.27</v>
      </c>
      <c r="E114" s="88">
        <f>F114/D$97</f>
        <v>405</v>
      </c>
      <c r="F114" s="22">
        <f>+SUM(START:END!F114)</f>
        <v>31185</v>
      </c>
      <c r="G114" s="161" t="e">
        <f>I114/I99</f>
        <v>#DIV/0!</v>
      </c>
      <c r="H114" s="88" t="e">
        <f>I114/G$97</f>
        <v>#DIV/0!</v>
      </c>
      <c r="I114" s="22">
        <f>+SUM(START:END!I114)</f>
        <v>0</v>
      </c>
      <c r="J114" s="161">
        <f>L114/L106</f>
        <v>0.16745284271257452</v>
      </c>
      <c r="K114" s="88">
        <f>IF($J$97=0,0,L114/(J$94+J$95))</f>
        <v>229.3425</v>
      </c>
      <c r="L114" s="33">
        <f>+SUM(START:END!L114)</f>
        <v>10091.07</v>
      </c>
      <c r="M114" s="23"/>
      <c r="N114" s="91">
        <f t="shared" si="35"/>
        <v>-21093.93</v>
      </c>
      <c r="O114" s="161">
        <f>Q114/(Q106+Q20)</f>
        <v>0.25734378204320091</v>
      </c>
      <c r="P114" s="88">
        <f>IF($J$97=0,0,Q114/(O$94+O$95))</f>
        <v>871.11139534883728</v>
      </c>
      <c r="Q114" s="33">
        <f>+SUM(START:END!Q114)</f>
        <v>37457.79</v>
      </c>
      <c r="R114" s="23"/>
      <c r="S114" s="92">
        <f t="shared" si="36"/>
        <v>-27366.720000000001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ref="A115" si="38">+B115&amp;C115</f>
        <v>Véhicules usagésFrais de livraison</v>
      </c>
      <c r="B115" s="11" t="s">
        <v>70</v>
      </c>
      <c r="C115" s="29" t="s">
        <v>32</v>
      </c>
      <c r="D115" s="81"/>
      <c r="E115" s="82">
        <f>F115/D$97</f>
        <v>85</v>
      </c>
      <c r="F115" s="30">
        <f>+SUM(START:END!F115)</f>
        <v>6545</v>
      </c>
      <c r="G115" s="83"/>
      <c r="H115" s="82" t="e">
        <f>I115/G$97</f>
        <v>#DIV/0!</v>
      </c>
      <c r="I115" s="30">
        <f>+SUM(START:END!I115)</f>
        <v>0</v>
      </c>
      <c r="J115" s="41"/>
      <c r="K115" s="82">
        <f>IF($J$97=0,0,L115/(J$94+J$95))</f>
        <v>101.10477272727272</v>
      </c>
      <c r="L115" s="108">
        <f>+SUM(START:END!L115)</f>
        <v>4448.6099999999997</v>
      </c>
      <c r="M115" s="41"/>
      <c r="N115" s="59">
        <f t="shared" si="35"/>
        <v>-2096.3900000000003</v>
      </c>
      <c r="O115" s="41"/>
      <c r="P115" s="82">
        <f>IF($J$97=0,0,Q115/(O$94+O$95))</f>
        <v>120.47302325581396</v>
      </c>
      <c r="Q115" s="108">
        <f>+SUM(START:END!Q115)</f>
        <v>5180.34</v>
      </c>
      <c r="R115" s="41"/>
      <c r="S115" s="85">
        <f t="shared" si="36"/>
        <v>-731.73000000000047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ref="A116" si="39">+B116&amp;C116</f>
        <v>Véhicules usagésService gratuit 1</v>
      </c>
      <c r="B116" s="11" t="s">
        <v>70</v>
      </c>
      <c r="C116" s="29" t="s">
        <v>33</v>
      </c>
      <c r="D116" s="81"/>
      <c r="E116" s="82">
        <f t="shared" ref="E116:E122" si="40">F116/D$97</f>
        <v>80</v>
      </c>
      <c r="F116" s="30">
        <f>+SUM(START:END!F116)</f>
        <v>6160</v>
      </c>
      <c r="G116" s="83"/>
      <c r="H116" s="82" t="e">
        <f t="shared" ref="H116:H122" si="41">I116/G$97</f>
        <v>#DIV/0!</v>
      </c>
      <c r="I116" s="30">
        <f>+SUM(START:END!I116)</f>
        <v>0</v>
      </c>
      <c r="J116" s="41"/>
      <c r="K116" s="82">
        <f t="shared" ref="K116:K122" si="42">IF($J$97=0,0,L116/(J$94+J$95))</f>
        <v>106.85704545454546</v>
      </c>
      <c r="L116" s="33">
        <f>+SUM(START:END!L116)</f>
        <v>4701.71</v>
      </c>
      <c r="M116" s="41"/>
      <c r="N116" s="59">
        <f t="shared" si="35"/>
        <v>-1458.29</v>
      </c>
      <c r="O116" s="41"/>
      <c r="P116" s="82">
        <f t="shared" ref="P116:P122" si="43">IF($J$97=0,0,Q116/(O$94+O$95))</f>
        <v>92.303720930232558</v>
      </c>
      <c r="Q116" s="33">
        <f>+SUM(START:END!Q116)</f>
        <v>3969.06</v>
      </c>
      <c r="R116" s="41"/>
      <c r="S116" s="85">
        <f t="shared" si="36"/>
        <v>732.65000000000009</v>
      </c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ref="A117" si="44">+B117&amp;C117</f>
        <v>Véhicules usagésEntretien stock</v>
      </c>
      <c r="B117" s="11" t="s">
        <v>70</v>
      </c>
      <c r="C117" s="86" t="s">
        <v>34</v>
      </c>
      <c r="D117" s="87"/>
      <c r="E117" s="88">
        <f t="shared" si="40"/>
        <v>46.81818181818182</v>
      </c>
      <c r="F117" s="22">
        <f>+SUM(START:END!F117)</f>
        <v>3605</v>
      </c>
      <c r="G117" s="89"/>
      <c r="H117" s="88" t="e">
        <f t="shared" si="41"/>
        <v>#DIV/0!</v>
      </c>
      <c r="I117" s="22">
        <f>+SUM(START:END!I117)</f>
        <v>0</v>
      </c>
      <c r="J117" s="23"/>
      <c r="K117" s="88">
        <f t="shared" si="42"/>
        <v>101.98068181818184</v>
      </c>
      <c r="L117" s="48">
        <f>+SUM(START:END!L117)</f>
        <v>4487.1500000000005</v>
      </c>
      <c r="M117" s="23"/>
      <c r="N117" s="91">
        <f t="shared" si="35"/>
        <v>882.15000000000055</v>
      </c>
      <c r="O117" s="23"/>
      <c r="P117" s="88">
        <f t="shared" si="43"/>
        <v>188.72000000000003</v>
      </c>
      <c r="Q117" s="48">
        <f>+SUM(START:END!Q117)</f>
        <v>8114.9600000000009</v>
      </c>
      <c r="R117" s="23"/>
      <c r="S117" s="92">
        <f t="shared" si="36"/>
        <v>-3627.8100000000004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ref="A118" si="45">+B118&amp;C118</f>
        <v>Véhicules usagésPublicité 1</v>
      </c>
      <c r="B118" s="11" t="s">
        <v>70</v>
      </c>
      <c r="C118" s="29" t="s">
        <v>35</v>
      </c>
      <c r="D118" s="81"/>
      <c r="E118" s="82">
        <f t="shared" si="40"/>
        <v>23.668831168831169</v>
      </c>
      <c r="F118" s="30">
        <f>+SUM(START:END!F118)</f>
        <v>1822.5</v>
      </c>
      <c r="G118" s="83"/>
      <c r="H118" s="82" t="e">
        <f t="shared" si="41"/>
        <v>#DIV/0!</v>
      </c>
      <c r="I118" s="30">
        <f>+SUM(START:END!I118)</f>
        <v>0</v>
      </c>
      <c r="J118" s="41"/>
      <c r="K118" s="82">
        <f t="shared" si="42"/>
        <v>52.661363636363632</v>
      </c>
      <c r="L118" s="33">
        <f>+SUM(START:END!L118)</f>
        <v>2317.1</v>
      </c>
      <c r="M118" s="41"/>
      <c r="N118" s="59">
        <f t="shared" si="35"/>
        <v>494.59999999999991</v>
      </c>
      <c r="O118" s="41"/>
      <c r="P118" s="82">
        <f t="shared" si="43"/>
        <v>429.83162790697679</v>
      </c>
      <c r="Q118" s="33">
        <f>+SUM(START:END!Q118)</f>
        <v>18482.760000000002</v>
      </c>
      <c r="R118" s="41"/>
      <c r="S118" s="85">
        <f t="shared" si="36"/>
        <v>-16165.660000000002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>
      <c r="A119" t="str">
        <f t="shared" ref="A119" si="46"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40"/>
        <v>305.58795486480727</v>
      </c>
      <c r="F119" s="30">
        <f>+SUM(START:END!F119)</f>
        <v>23530.27252459016</v>
      </c>
      <c r="G119" s="83"/>
      <c r="H119" s="82" t="e">
        <f t="shared" si="41"/>
        <v>#DIV/0!</v>
      </c>
      <c r="I119" s="30">
        <f>+SUM(START:END!I119)</f>
        <v>0</v>
      </c>
      <c r="J119" s="41"/>
      <c r="K119" s="82">
        <f t="shared" si="42"/>
        <v>553.26045454545454</v>
      </c>
      <c r="L119" s="33">
        <f>+SUM(START:END!L119)</f>
        <v>24343.46</v>
      </c>
      <c r="M119" s="41"/>
      <c r="N119" s="59">
        <f t="shared" si="35"/>
        <v>813.18747540983895</v>
      </c>
      <c r="O119" s="41"/>
      <c r="P119" s="82">
        <f t="shared" si="43"/>
        <v>331.94883720930233</v>
      </c>
      <c r="Q119" s="33">
        <f>+SUM(START:END!Q119)</f>
        <v>14273.8</v>
      </c>
      <c r="R119" s="41"/>
      <c r="S119" s="85">
        <f>L119-Q119</f>
        <v>10069.66</v>
      </c>
      <c r="T119" s="13"/>
      <c r="U119" s="13"/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ref="A120" si="47">+B120&amp;C120</f>
        <v>Véhicules usagés[...]</v>
      </c>
      <c r="B120" s="11" t="s">
        <v>70</v>
      </c>
      <c r="C120" s="29" t="s">
        <v>19</v>
      </c>
      <c r="D120" s="81"/>
      <c r="E120" s="82">
        <f t="shared" si="40"/>
        <v>0</v>
      </c>
      <c r="F120" s="30">
        <f>+SUM(START:END!F120)</f>
        <v>0</v>
      </c>
      <c r="G120" s="83"/>
      <c r="H120" s="82" t="e">
        <f t="shared" si="41"/>
        <v>#DIV/0!</v>
      </c>
      <c r="I120" s="30">
        <f>+SUM(START:END!I120)</f>
        <v>0</v>
      </c>
      <c r="J120" s="41"/>
      <c r="K120" s="82">
        <f t="shared" si="42"/>
        <v>0</v>
      </c>
      <c r="L120" s="33">
        <f>+SUM(START:END!L120)</f>
        <v>0</v>
      </c>
      <c r="M120" s="41"/>
      <c r="N120" s="59">
        <f t="shared" si="35"/>
        <v>0</v>
      </c>
      <c r="O120" s="41"/>
      <c r="P120" s="82">
        <f t="shared" si="43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ref="A121" si="48">+B121&amp;C121</f>
        <v>Véhicules usagés[...]</v>
      </c>
      <c r="B121" s="11" t="s">
        <v>70</v>
      </c>
      <c r="C121" s="29" t="s">
        <v>19</v>
      </c>
      <c r="D121" s="81"/>
      <c r="E121" s="82">
        <f t="shared" si="40"/>
        <v>0</v>
      </c>
      <c r="F121" s="30">
        <f>+SUM(START:END!F121)</f>
        <v>0</v>
      </c>
      <c r="G121" s="83"/>
      <c r="H121" s="82" t="e">
        <f t="shared" si="41"/>
        <v>#DIV/0!</v>
      </c>
      <c r="I121" s="30">
        <f>+SUM(START:END!I121)</f>
        <v>0</v>
      </c>
      <c r="J121" s="41"/>
      <c r="K121" s="82">
        <f t="shared" si="42"/>
        <v>0</v>
      </c>
      <c r="L121" s="33">
        <f>+SUM(START:END!L121)</f>
        <v>0</v>
      </c>
      <c r="M121" s="41"/>
      <c r="N121" s="59">
        <f t="shared" si="35"/>
        <v>0</v>
      </c>
      <c r="O121" s="41"/>
      <c r="P121" s="82">
        <f t="shared" si="43"/>
        <v>0</v>
      </c>
      <c r="Q121" s="33">
        <f>+SUM(START:END!Q121)</f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 hidden="1">
      <c r="A122" t="str">
        <f t="shared" ref="A122" si="49">+B122&amp;C122</f>
        <v>Véhicules usagés[...]</v>
      </c>
      <c r="B122" s="11" t="s">
        <v>70</v>
      </c>
      <c r="C122" s="29" t="s">
        <v>19</v>
      </c>
      <c r="D122" s="81"/>
      <c r="E122" s="82">
        <f t="shared" si="40"/>
        <v>0</v>
      </c>
      <c r="F122" s="30">
        <f>+SUM(START:END!F122)</f>
        <v>0</v>
      </c>
      <c r="G122" s="83"/>
      <c r="H122" s="82" t="e">
        <f t="shared" si="41"/>
        <v>#DIV/0!</v>
      </c>
      <c r="I122" s="30">
        <f>+SUM(START:END!I122)</f>
        <v>0</v>
      </c>
      <c r="J122" s="41"/>
      <c r="K122" s="82">
        <f t="shared" si="42"/>
        <v>0</v>
      </c>
      <c r="L122" s="33">
        <f>+SUM(START:END!L122)</f>
        <v>0</v>
      </c>
      <c r="M122" s="41"/>
      <c r="N122" s="59">
        <f t="shared" si="35"/>
        <v>0</v>
      </c>
      <c r="O122" s="41"/>
      <c r="P122" s="82">
        <f t="shared" si="43"/>
        <v>0</v>
      </c>
      <c r="Q122" s="33">
        <f>+SUM(START:END!Q122)</f>
        <v>0</v>
      </c>
      <c r="R122" s="41"/>
      <c r="S122" s="85">
        <f t="shared" ref="S122:S127" si="50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ref="A123" si="51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 t="e">
        <f>F123/F$108</f>
        <v>#DIV/0!</v>
      </c>
      <c r="F123" s="96">
        <f>SUM(F113:F122)</f>
        <v>125299.70488202982</v>
      </c>
      <c r="G123" s="97" t="s">
        <v>38</v>
      </c>
      <c r="H123" s="95" t="e">
        <f>I123/I$108</f>
        <v>#DIV/0!</v>
      </c>
      <c r="I123" s="96">
        <f>SUM(I113:I122)</f>
        <v>0</v>
      </c>
      <c r="J123" s="97" t="s">
        <v>38</v>
      </c>
      <c r="K123" s="95" t="e">
        <f>L123/L$108</f>
        <v>#DIV/0!</v>
      </c>
      <c r="L123" s="96">
        <f>SUM(L113:L122)</f>
        <v>107271.73000000001</v>
      </c>
      <c r="M123" s="100"/>
      <c r="N123" s="96">
        <f t="shared" si="35"/>
        <v>-18027.974882029812</v>
      </c>
      <c r="O123" s="97" t="s">
        <v>38</v>
      </c>
      <c r="P123" s="95" t="e">
        <f>Q123/Q$108</f>
        <v>#DIV/0!</v>
      </c>
      <c r="Q123" s="96">
        <f>SUM(Q113:Q122)</f>
        <v>127138.71999999999</v>
      </c>
      <c r="R123" s="100"/>
      <c r="S123" s="101">
        <f t="shared" si="50"/>
        <v>-19866.989999999976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ref="A124" si="52">+B124&amp;C124</f>
        <v>Véhicules usagésSalaires cadres</v>
      </c>
      <c r="B124" s="11" t="s">
        <v>70</v>
      </c>
      <c r="C124" s="102" t="s">
        <v>40</v>
      </c>
      <c r="D124" s="13"/>
      <c r="E124" s="13"/>
      <c r="F124" s="30">
        <f>+SUM(START:END!F124)</f>
        <v>20590.797616858239</v>
      </c>
      <c r="G124" s="41"/>
      <c r="H124" s="13"/>
      <c r="I124" s="30">
        <f>+SUM(START:END!I124)</f>
        <v>0</v>
      </c>
      <c r="J124" s="41"/>
      <c r="K124" s="13"/>
      <c r="L124" s="33">
        <f>+SUM(START:END!L124)</f>
        <v>21016.480000000003</v>
      </c>
      <c r="M124" s="41"/>
      <c r="N124" s="59">
        <f t="shared" si="35"/>
        <v>425.68238314176415</v>
      </c>
      <c r="O124" s="41"/>
      <c r="P124" s="13"/>
      <c r="Q124" s="33">
        <f>+SUM(START:END!Q124)</f>
        <v>14171.61</v>
      </c>
      <c r="R124" s="41"/>
      <c r="S124" s="85">
        <f t="shared" si="50"/>
        <v>6844.8700000000026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ref="A125" si="53">+B125&amp;C125</f>
        <v>Véhicules usagésSalaires commis</v>
      </c>
      <c r="B125" s="11" t="s">
        <v>70</v>
      </c>
      <c r="C125" s="103" t="s">
        <v>41</v>
      </c>
      <c r="D125" s="81"/>
      <c r="E125" s="13"/>
      <c r="F125" s="22">
        <f>+SUM(START:END!F125)</f>
        <v>5822.6052394636008</v>
      </c>
      <c r="G125" s="83"/>
      <c r="H125" s="13"/>
      <c r="I125" s="22">
        <f>+SUM(START:END!I125)</f>
        <v>0</v>
      </c>
      <c r="J125" s="41"/>
      <c r="K125" s="13"/>
      <c r="L125" s="22">
        <f>+SUM(START:END!L125)</f>
        <v>4749.47</v>
      </c>
      <c r="M125" s="41"/>
      <c r="N125" s="59">
        <f t="shared" si="35"/>
        <v>-1073.1352394636006</v>
      </c>
      <c r="O125" s="41"/>
      <c r="P125" s="13"/>
      <c r="Q125" s="22">
        <f>+SUM(START:END!Q125)</f>
        <v>8864.36</v>
      </c>
      <c r="R125" s="41"/>
      <c r="S125" s="85">
        <f t="shared" si="50"/>
        <v>-4114.8900000000003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ref="A126" si="54">+B126&amp;C126</f>
        <v>Véhicules usagésSalaires autres</v>
      </c>
      <c r="B126" s="11" t="s">
        <v>70</v>
      </c>
      <c r="C126" s="102" t="s">
        <v>42</v>
      </c>
      <c r="D126" s="104"/>
      <c r="E126" s="105"/>
      <c r="F126" s="30">
        <f>+SUM(START:END!F126)</f>
        <v>0</v>
      </c>
      <c r="G126" s="106"/>
      <c r="H126" s="105"/>
      <c r="I126" s="30">
        <f>+SUM(START:END!I126)</f>
        <v>0</v>
      </c>
      <c r="J126" s="107"/>
      <c r="K126" s="105"/>
      <c r="L126" s="33">
        <f>+SUM(START:END!L126)</f>
        <v>0</v>
      </c>
      <c r="M126" s="107"/>
      <c r="N126" s="109">
        <f t="shared" si="35"/>
        <v>0</v>
      </c>
      <c r="O126" s="107"/>
      <c r="P126" s="105"/>
      <c r="Q126" s="33">
        <f>+SUM(START:END!Q126)</f>
        <v>8427</v>
      </c>
      <c r="R126" s="107"/>
      <c r="S126" s="110">
        <f t="shared" si="50"/>
        <v>-8427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ref="A127" si="55">+B127&amp;C127</f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35"/>
        <v>0</v>
      </c>
      <c r="O127" s="41"/>
      <c r="P127" s="13"/>
      <c r="Q127" s="33">
        <f>+SUM(START:END!Q127)</f>
        <v>0</v>
      </c>
      <c r="R127" s="41"/>
      <c r="S127" s="85">
        <f t="shared" si="50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ref="A128" si="56"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35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ref="A129" si="57"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35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 hidden="1">
      <c r="A130" t="str">
        <f t="shared" ref="A130" si="58"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f>+SUM(START:END!F130)</f>
        <v>0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0</v>
      </c>
      <c r="M130" s="41"/>
      <c r="N130" s="59">
        <f t="shared" si="35"/>
        <v>0</v>
      </c>
      <c r="O130" s="41"/>
      <c r="P130" s="13"/>
      <c r="Q130" s="33">
        <f>+SUM(START:END!Q130)</f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ref="A131" si="59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f>+SUM(START:END!F131)</f>
        <v>14957.048824578258</v>
      </c>
      <c r="G131" s="83"/>
      <c r="H131" s="13"/>
      <c r="I131" s="30">
        <f>+SUM(START:END!I131)</f>
        <v>0</v>
      </c>
      <c r="J131" s="41"/>
      <c r="K131" s="13"/>
      <c r="L131" s="33">
        <f>+SUM(START:END!L131)</f>
        <v>11116.4</v>
      </c>
      <c r="M131" s="41"/>
      <c r="N131" s="59">
        <f t="shared" si="35"/>
        <v>-3840.6488245782584</v>
      </c>
      <c r="O131" s="41"/>
      <c r="P131" s="13"/>
      <c r="Q131" s="33">
        <f>+SUM(START:END!Q131)</f>
        <v>13703.810000000001</v>
      </c>
      <c r="R131" s="41"/>
      <c r="S131" s="85">
        <f>L131-Q131</f>
        <v>-2587.4100000000017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ref="A132" si="60">+B132&amp;C132</f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f>+SUM(START:END!F132)</f>
        <v>15870.963357306082</v>
      </c>
      <c r="G132" s="106"/>
      <c r="H132" s="105"/>
      <c r="I132" s="54">
        <f>+SUM(START:END!I132)</f>
        <v>0</v>
      </c>
      <c r="J132" s="107"/>
      <c r="K132" s="105"/>
      <c r="L132" s="55">
        <f>+SUM(START:END!L132)</f>
        <v>13703.62</v>
      </c>
      <c r="M132" s="107"/>
      <c r="N132" s="109">
        <f t="shared" ref="N132:N154" si="61">L132-F132</f>
        <v>-2167.3433573060811</v>
      </c>
      <c r="O132" s="107"/>
      <c r="P132" s="105"/>
      <c r="Q132" s="55">
        <f>+SUM(START:END!Q132)</f>
        <v>16441.62</v>
      </c>
      <c r="R132" s="107"/>
      <c r="S132" s="110">
        <f t="shared" ref="S132:S149" si="62">L132-Q132</f>
        <v>-2737.9999999999982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ref="A133" si="63">+B133&amp;C133</f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f>+SUM(START:END!F133)</f>
        <v>10286.735509365051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5625.11</v>
      </c>
      <c r="M133" s="41"/>
      <c r="N133" s="59">
        <f t="shared" si="61"/>
        <v>-4661.6255093650516</v>
      </c>
      <c r="O133" s="41"/>
      <c r="P133" s="13"/>
      <c r="Q133" s="33">
        <f>+SUM(START:END!Q133)</f>
        <v>7150.8899999999994</v>
      </c>
      <c r="R133" s="41"/>
      <c r="S133" s="85">
        <f t="shared" si="62"/>
        <v>-1525.7799999999997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>
      <c r="A134" t="str">
        <f t="shared" ref="A134" si="64">+B134&amp;C134</f>
        <v>Véhicules usagésCsst</v>
      </c>
      <c r="B134" s="11" t="s">
        <v>70</v>
      </c>
      <c r="C134" s="102" t="s">
        <v>47</v>
      </c>
      <c r="D134" s="81"/>
      <c r="E134" s="13"/>
      <c r="F134" s="30">
        <f>+SUM(START:END!F134)</f>
        <v>2880.2859426222144</v>
      </c>
      <c r="G134" s="83"/>
      <c r="H134" s="13"/>
      <c r="I134" s="30">
        <f>+SUM(START:END!I134)</f>
        <v>0</v>
      </c>
      <c r="J134" s="41"/>
      <c r="K134" s="13"/>
      <c r="L134" s="33">
        <f>+SUM(START:END!L134)</f>
        <v>1916.94</v>
      </c>
      <c r="M134" s="41"/>
      <c r="N134" s="59">
        <f t="shared" si="61"/>
        <v>-963.34594262221435</v>
      </c>
      <c r="O134" s="41"/>
      <c r="P134" s="13"/>
      <c r="Q134" s="33">
        <f>+SUM(START:END!Q134)</f>
        <v>3103.18</v>
      </c>
      <c r="R134" s="41"/>
      <c r="S134" s="85">
        <f t="shared" si="62"/>
        <v>-1186.2399999999998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 hidden="1">
      <c r="A135" t="str">
        <f t="shared" ref="A135" si="65">+B135&amp;C135</f>
        <v>Véhicules usagés[...]</v>
      </c>
      <c r="B135" s="11" t="s">
        <v>70</v>
      </c>
      <c r="C135" s="29" t="s">
        <v>19</v>
      </c>
      <c r="D135" s="87"/>
      <c r="E135" s="111"/>
      <c r="F135" s="30">
        <f>+SUM(START:END!F135)</f>
        <v>0</v>
      </c>
      <c r="G135" s="89"/>
      <c r="H135" s="111"/>
      <c r="I135" s="30">
        <f>+SUM(START:END!I135)</f>
        <v>0</v>
      </c>
      <c r="J135" s="23"/>
      <c r="K135" s="111"/>
      <c r="L135" s="33">
        <f>+SUM(START:END!L135)</f>
        <v>0</v>
      </c>
      <c r="M135" s="41"/>
      <c r="N135" s="59">
        <f t="shared" si="61"/>
        <v>0</v>
      </c>
      <c r="O135" s="23"/>
      <c r="P135" s="111"/>
      <c r="Q135" s="33">
        <f>+SUM(START:END!Q135)</f>
        <v>0</v>
      </c>
      <c r="R135" s="23"/>
      <c r="S135" s="92">
        <f t="shared" si="6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ref="A136" si="66">+B136&amp;C136</f>
        <v>Véhicules usagésTOTAL PERSONNEL</v>
      </c>
      <c r="B136" s="11" t="s">
        <v>70</v>
      </c>
      <c r="C136" s="93" t="s">
        <v>48</v>
      </c>
      <c r="D136" s="94" t="s">
        <v>38</v>
      </c>
      <c r="E136" s="95" t="e">
        <f>F136/F$108</f>
        <v>#DIV/0!</v>
      </c>
      <c r="F136" s="96">
        <f>+SUM(F124:F135)</f>
        <v>70408.436490193446</v>
      </c>
      <c r="G136" s="97" t="s">
        <v>38</v>
      </c>
      <c r="H136" s="95" t="e">
        <f>I136/I$108</f>
        <v>#DIV/0!</v>
      </c>
      <c r="I136" s="96">
        <f>+SUM(I124:I135)</f>
        <v>0</v>
      </c>
      <c r="J136" s="97" t="s">
        <v>38</v>
      </c>
      <c r="K136" s="95" t="e">
        <f>L136/L$108</f>
        <v>#DIV/0!</v>
      </c>
      <c r="L136" s="96">
        <f>SUM(L124:L135)</f>
        <v>58128.020000000011</v>
      </c>
      <c r="M136" s="458"/>
      <c r="N136" s="459">
        <f t="shared" si="61"/>
        <v>-12280.416490193435</v>
      </c>
      <c r="O136" s="97" t="s">
        <v>38</v>
      </c>
      <c r="P136" s="95" t="e">
        <f>Q136/Q$108</f>
        <v>#DIV/0!</v>
      </c>
      <c r="Q136" s="96">
        <f>SUM(Q124:Q135)</f>
        <v>71862.469999999987</v>
      </c>
      <c r="R136" s="146"/>
      <c r="S136" s="114">
        <f t="shared" si="62"/>
        <v>-13734.449999999975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ref="A137" si="67">+B137&amp;C137</f>
        <v>Véhicules usagésPublicité 2</v>
      </c>
      <c r="B137" s="11" t="s">
        <v>70</v>
      </c>
      <c r="C137" s="29" t="s">
        <v>49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61"/>
        <v>0</v>
      </c>
      <c r="O137" s="41"/>
      <c r="P137" s="13"/>
      <c r="Q137" s="33">
        <f>+SUM(START:END!Q137)</f>
        <v>0</v>
      </c>
      <c r="R137" s="41"/>
      <c r="S137" s="85">
        <f t="shared" si="6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 hidden="1">
      <c r="A138" t="str">
        <f t="shared" ref="A138" si="68">+B138&amp;C138</f>
        <v>Véhicules usagésService gratuit 2</v>
      </c>
      <c r="B138" s="11" t="s">
        <v>70</v>
      </c>
      <c r="C138" s="29" t="s">
        <v>50</v>
      </c>
      <c r="D138" s="81"/>
      <c r="E138" s="13"/>
      <c r="F138" s="30">
        <f>+SUM(START:END!F138)</f>
        <v>0</v>
      </c>
      <c r="G138" s="83"/>
      <c r="H138" s="13"/>
      <c r="I138" s="30">
        <f>+SUM(START:END!I138)</f>
        <v>0</v>
      </c>
      <c r="J138" s="41"/>
      <c r="K138" s="13"/>
      <c r="L138" s="33">
        <f>+SUM(START:END!L138)</f>
        <v>0</v>
      </c>
      <c r="M138" s="41"/>
      <c r="N138" s="59">
        <f t="shared" si="61"/>
        <v>0</v>
      </c>
      <c r="O138" s="41"/>
      <c r="P138" s="13"/>
      <c r="Q138" s="33">
        <f>+SUM(START:END!Q138)</f>
        <v>0</v>
      </c>
      <c r="R138" s="41"/>
      <c r="S138" s="85">
        <f t="shared" si="6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ref="A139" si="69">+B139&amp;C139</f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f>+SUM(START:END!F139)</f>
        <v>2290.75</v>
      </c>
      <c r="G139" s="89"/>
      <c r="H139" s="111"/>
      <c r="I139" s="22">
        <f>+SUM(START:END!I139)</f>
        <v>0</v>
      </c>
      <c r="J139" s="23"/>
      <c r="K139" s="111"/>
      <c r="L139" s="22">
        <f>+SUM(START:END!L139)</f>
        <v>1319.72</v>
      </c>
      <c r="M139" s="23"/>
      <c r="N139" s="91">
        <f t="shared" si="61"/>
        <v>-971.03</v>
      </c>
      <c r="O139" s="23"/>
      <c r="P139" s="111"/>
      <c r="Q139" s="22">
        <f>+SUM(START:END!Q139)</f>
        <v>2606.04</v>
      </c>
      <c r="R139" s="23"/>
      <c r="S139" s="92">
        <f t="shared" si="62"/>
        <v>-1286.32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ref="A140" si="70">+B140&amp;C140</f>
        <v>Véhicules usagésInformatique</v>
      </c>
      <c r="B140" s="11" t="s">
        <v>70</v>
      </c>
      <c r="C140" s="29" t="s">
        <v>52</v>
      </c>
      <c r="D140" s="81"/>
      <c r="E140" s="13"/>
      <c r="F140" s="30">
        <f>+SUM(START:END!F140)</f>
        <v>12253.545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12300.7</v>
      </c>
      <c r="M140" s="41"/>
      <c r="N140" s="59">
        <f t="shared" si="61"/>
        <v>47.155000000000655</v>
      </c>
      <c r="O140" s="41"/>
      <c r="P140" s="13"/>
      <c r="Q140" s="33">
        <f>+SUM(START:END!Q140)</f>
        <v>4789.3599999999997</v>
      </c>
      <c r="R140" s="41"/>
      <c r="S140" s="85">
        <f t="shared" si="62"/>
        <v>7511.3400000000011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ref="A141" si="71">+B141&amp;C141</f>
        <v>Véhicules usagésFrais de déplacement</v>
      </c>
      <c r="B141" s="11" t="s">
        <v>70</v>
      </c>
      <c r="C141" s="29" t="s">
        <v>53</v>
      </c>
      <c r="D141" s="81"/>
      <c r="E141" s="13"/>
      <c r="F141" s="30">
        <f>+SUM(START:END!F141)</f>
        <v>1496.25</v>
      </c>
      <c r="G141" s="83"/>
      <c r="H141" s="13"/>
      <c r="I141" s="30">
        <f>+SUM(START:END!I141)</f>
        <v>0</v>
      </c>
      <c r="J141" s="41"/>
      <c r="K141" s="13"/>
      <c r="L141" s="33">
        <f>+SUM(START:END!L141)</f>
        <v>3198.86</v>
      </c>
      <c r="M141" s="41"/>
      <c r="N141" s="59">
        <f t="shared" si="61"/>
        <v>1702.6100000000001</v>
      </c>
      <c r="O141" s="41"/>
      <c r="P141" s="13"/>
      <c r="Q141" s="33">
        <f>+SUM(START:END!Q141)</f>
        <v>452.76</v>
      </c>
      <c r="R141" s="41"/>
      <c r="S141" s="85">
        <f t="shared" si="62"/>
        <v>2746.1000000000004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ref="A142" si="72">+B142&amp;C142</f>
        <v>Véhicules usagésServices extérieurs</v>
      </c>
      <c r="B142" s="11" t="s">
        <v>70</v>
      </c>
      <c r="C142" s="86" t="s">
        <v>54</v>
      </c>
      <c r="D142" s="87"/>
      <c r="E142" s="111"/>
      <c r="F142" s="22">
        <f>+SUM(START:END!F142)</f>
        <v>8693.6710000000003</v>
      </c>
      <c r="G142" s="89"/>
      <c r="H142" s="111"/>
      <c r="I142" s="22">
        <f>+SUM(START:END!I142)</f>
        <v>0</v>
      </c>
      <c r="J142" s="23"/>
      <c r="K142" s="111"/>
      <c r="L142" s="22">
        <f>+SUM(START:END!L142)</f>
        <v>8922.0499999999993</v>
      </c>
      <c r="M142" s="23"/>
      <c r="N142" s="91">
        <f t="shared" si="61"/>
        <v>228.378999999999</v>
      </c>
      <c r="O142" s="23"/>
      <c r="P142" s="111"/>
      <c r="Q142" s="22">
        <f>+SUM(START:END!Q142)</f>
        <v>2343.6099999999997</v>
      </c>
      <c r="R142" s="23"/>
      <c r="S142" s="92">
        <f t="shared" si="62"/>
        <v>6578.44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ref="A143" si="73">+B143&amp;C143</f>
        <v>Véhicules usagésFournitures autres</v>
      </c>
      <c r="B143" s="11" t="s">
        <v>70</v>
      </c>
      <c r="C143" s="29" t="s">
        <v>55</v>
      </c>
      <c r="D143" s="81"/>
      <c r="E143" s="13"/>
      <c r="F143" s="30">
        <f>+SUM(START:END!F143)</f>
        <v>41.25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197.85000000000002</v>
      </c>
      <c r="M143" s="41"/>
      <c r="N143" s="59">
        <f t="shared" si="61"/>
        <v>156.60000000000002</v>
      </c>
      <c r="O143" s="41"/>
      <c r="P143" s="13"/>
      <c r="Q143" s="33">
        <f>+SUM(START:END!Q143)</f>
        <v>30.81</v>
      </c>
      <c r="R143" s="41"/>
      <c r="S143" s="85">
        <f t="shared" si="62"/>
        <v>167.04000000000002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ref="A144" si="74">+B144&amp;C144</f>
        <v>Véhicules usagésUniformes</v>
      </c>
      <c r="B144" s="11" t="s">
        <v>70</v>
      </c>
      <c r="C144" s="29" t="s">
        <v>56</v>
      </c>
      <c r="D144" s="81"/>
      <c r="E144" s="13"/>
      <c r="F144" s="30">
        <f>+SUM(START:END!F144)</f>
        <v>22.5</v>
      </c>
      <c r="G144" s="83"/>
      <c r="H144" s="13"/>
      <c r="I144" s="30">
        <f>+SUM(START:END!I144)</f>
        <v>0</v>
      </c>
      <c r="J144" s="41"/>
      <c r="K144" s="13"/>
      <c r="L144" s="33">
        <f>+SUM(START:END!L144)</f>
        <v>39.9</v>
      </c>
      <c r="M144" s="41"/>
      <c r="N144" s="59">
        <f t="shared" si="61"/>
        <v>17.399999999999999</v>
      </c>
      <c r="O144" s="41"/>
      <c r="P144" s="13"/>
      <c r="Q144" s="33">
        <f>+SUM(START:END!Q144)</f>
        <v>66</v>
      </c>
      <c r="R144" s="41"/>
      <c r="S144" s="85">
        <f t="shared" si="62"/>
        <v>-26.1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ref="A145" si="75">+B145&amp;C145</f>
        <v>Véhicules usagésPapeterie</v>
      </c>
      <c r="B145" s="11" t="s">
        <v>70</v>
      </c>
      <c r="C145" s="29" t="s">
        <v>57</v>
      </c>
      <c r="D145" s="81"/>
      <c r="E145" s="13"/>
      <c r="F145" s="30">
        <f>+SUM(START:END!F145)</f>
        <v>652.5</v>
      </c>
      <c r="G145" s="83"/>
      <c r="H145" s="13"/>
      <c r="I145" s="30">
        <f>+SUM(START:END!I145)</f>
        <v>0</v>
      </c>
      <c r="J145" s="41"/>
      <c r="K145" s="13"/>
      <c r="L145" s="32">
        <f>+SUM(START:END!L145)</f>
        <v>925.35</v>
      </c>
      <c r="M145" s="41"/>
      <c r="N145" s="59">
        <f t="shared" si="61"/>
        <v>272.85000000000002</v>
      </c>
      <c r="O145" s="41"/>
      <c r="P145" s="13"/>
      <c r="Q145" s="32">
        <f>+SUM(START:END!Q145)</f>
        <v>405.04</v>
      </c>
      <c r="R145" s="41"/>
      <c r="S145" s="85">
        <f t="shared" si="62"/>
        <v>520.30999999999995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ref="A146" si="76">+B146&amp;C146</f>
        <v>Véhicules usagésTéléphone</v>
      </c>
      <c r="B146" s="11" t="s">
        <v>70</v>
      </c>
      <c r="C146" s="29" t="s">
        <v>58</v>
      </c>
      <c r="D146" s="81"/>
      <c r="E146" s="13"/>
      <c r="F146" s="30">
        <f>+SUM(START:END!F146)</f>
        <v>190.05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354.6</v>
      </c>
      <c r="M146" s="41"/>
      <c r="N146" s="59">
        <f t="shared" si="61"/>
        <v>164.55</v>
      </c>
      <c r="O146" s="41"/>
      <c r="P146" s="13"/>
      <c r="Q146" s="33">
        <f>+SUM(START:END!Q146)</f>
        <v>188.32999999999998</v>
      </c>
      <c r="R146" s="41"/>
      <c r="S146" s="85">
        <f t="shared" si="62"/>
        <v>166.27000000000004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ref="A147" si="77">+B147&amp;C147</f>
        <v>Véhicules usagésFrais postaux</v>
      </c>
      <c r="B147" s="11" t="s">
        <v>70</v>
      </c>
      <c r="C147" s="29" t="s">
        <v>59</v>
      </c>
      <c r="D147" s="81"/>
      <c r="E147" s="13"/>
      <c r="F147" s="30">
        <f>+SUM(START:END!F147)</f>
        <v>254.99999999999994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291.06</v>
      </c>
      <c r="M147" s="41"/>
      <c r="N147" s="59">
        <f t="shared" si="61"/>
        <v>36.060000000000059</v>
      </c>
      <c r="O147" s="41"/>
      <c r="P147" s="13"/>
      <c r="Q147" s="33">
        <f>+SUM(START:END!Q147)</f>
        <v>352.03999999999996</v>
      </c>
      <c r="R147" s="41"/>
      <c r="S147" s="85">
        <f t="shared" si="62"/>
        <v>-60.979999999999961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ref="A148" si="78">+B148&amp;C148</f>
        <v>Véhicules usagésDivers</v>
      </c>
      <c r="B148" s="11" t="s">
        <v>70</v>
      </c>
      <c r="C148" s="29" t="s">
        <v>60</v>
      </c>
      <c r="D148" s="81"/>
      <c r="E148" s="13"/>
      <c r="F148" s="30">
        <f>+SUM(START:END!F148)</f>
        <v>716.74999999999989</v>
      </c>
      <c r="G148" s="83"/>
      <c r="H148" s="13"/>
      <c r="I148" s="30">
        <f>+SUM(START:END!I148)</f>
        <v>0</v>
      </c>
      <c r="J148" s="41"/>
      <c r="K148" s="13"/>
      <c r="L148" s="33">
        <f>+SUM(START:END!L148)</f>
        <v>815.99</v>
      </c>
      <c r="M148" s="41"/>
      <c r="N148" s="59">
        <f t="shared" si="61"/>
        <v>99.240000000000123</v>
      </c>
      <c r="O148" s="41"/>
      <c r="P148" s="13"/>
      <c r="Q148" s="33">
        <f>+SUM(START:END!Q148)</f>
        <v>750.31</v>
      </c>
      <c r="R148" s="41"/>
      <c r="S148" s="85">
        <f t="shared" si="62"/>
        <v>65.680000000000064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ref="A149" si="79">+B149&amp;C149</f>
        <v>Véhicules usagésFormation</v>
      </c>
      <c r="B149" s="11" t="s">
        <v>70</v>
      </c>
      <c r="C149" s="29" t="s">
        <v>61</v>
      </c>
      <c r="D149" s="81"/>
      <c r="E149" s="13"/>
      <c r="F149" s="30">
        <f>+SUM(START:END!F149)</f>
        <v>343.0440000000001</v>
      </c>
      <c r="G149" s="83"/>
      <c r="H149" s="13"/>
      <c r="I149" s="30">
        <f>+SUM(START:END!I149)</f>
        <v>0</v>
      </c>
      <c r="J149" s="41"/>
      <c r="K149" s="13"/>
      <c r="L149" s="59">
        <f>+SUM(START:END!L149)</f>
        <v>-411.19</v>
      </c>
      <c r="M149" s="41"/>
      <c r="N149" s="59">
        <f t="shared" si="61"/>
        <v>-754.23400000000015</v>
      </c>
      <c r="O149" s="41"/>
      <c r="P149" s="13"/>
      <c r="Q149" s="33">
        <f>+SUM(START:END!Q149)</f>
        <v>253.12</v>
      </c>
      <c r="R149" s="41"/>
      <c r="S149" s="85">
        <f t="shared" si="62"/>
        <v>-664.31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>
      <c r="A150" t="str">
        <f t="shared" ref="A150" si="80"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f>+SUM(START:END!F150)</f>
        <v>4897.706564242786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3828.5499999999997</v>
      </c>
      <c r="M150" s="41"/>
      <c r="N150" s="59">
        <f t="shared" si="61"/>
        <v>-1069.1565642427863</v>
      </c>
      <c r="O150" s="41"/>
      <c r="P150" s="13"/>
      <c r="Q150" s="33">
        <f>+SUM(START:END!Q150)</f>
        <v>2555.23</v>
      </c>
      <c r="R150" s="41"/>
      <c r="S150" s="85">
        <f>L150-Q150</f>
        <v>1273.3199999999997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ref="A151" si="81"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61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ref="A152" si="82"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61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 hidden="1">
      <c r="A153" t="str">
        <f t="shared" ref="A153" si="83"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f>+SUM(START:END!F153)</f>
        <v>0</v>
      </c>
      <c r="G153" s="83"/>
      <c r="H153" s="13"/>
      <c r="I153" s="30">
        <f>+SUM(START:END!I153)</f>
        <v>0</v>
      </c>
      <c r="J153" s="41"/>
      <c r="K153" s="13"/>
      <c r="L153" s="33">
        <f>+SUM(START:END!L153)</f>
        <v>0</v>
      </c>
      <c r="M153" s="41"/>
      <c r="N153" s="59">
        <f t="shared" si="61"/>
        <v>0</v>
      </c>
      <c r="O153" s="41"/>
      <c r="P153" s="13"/>
      <c r="Q153" s="33">
        <f>+SUM(START:END!Q153)</f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ref="A154" si="84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 t="e">
        <f>F154/F$108</f>
        <v>#DIV/0!</v>
      </c>
      <c r="F154" s="96">
        <f>+SUM(F137:F153)</f>
        <v>31853.016564242789</v>
      </c>
      <c r="G154" s="97" t="s">
        <v>38</v>
      </c>
      <c r="H154" s="95" t="e">
        <f>I154/I$108</f>
        <v>#DIV/0!</v>
      </c>
      <c r="I154" s="96">
        <f>+SUM(I137:I153)</f>
        <v>0</v>
      </c>
      <c r="J154" s="97" t="s">
        <v>38</v>
      </c>
      <c r="K154" s="95" t="e">
        <f>L154/L$108</f>
        <v>#DIV/0!</v>
      </c>
      <c r="L154" s="96">
        <f>+SUM(L137:L153)</f>
        <v>31783.439999999999</v>
      </c>
      <c r="M154" s="100"/>
      <c r="N154" s="96">
        <f t="shared" si="61"/>
        <v>-69.576564242790482</v>
      </c>
      <c r="O154" s="97" t="s">
        <v>38</v>
      </c>
      <c r="P154" s="95" t="e">
        <f>Q154/Q$108</f>
        <v>#DIV/0!</v>
      </c>
      <c r="Q154" s="96">
        <f>+SUM(Q137:Q153)</f>
        <v>14792.650000000001</v>
      </c>
      <c r="R154" s="100"/>
      <c r="S154" s="101">
        <f>L154-Q154</f>
        <v>16990.789999999997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ref="A155" si="85">+B155&amp;C155</f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ref="A156" si="86">+B156&amp;C156</f>
        <v>Véhicules usagésTOTAL DES DÉPENSES</v>
      </c>
      <c r="B156" s="11" t="s">
        <v>70</v>
      </c>
      <c r="C156" s="93" t="s">
        <v>64</v>
      </c>
      <c r="D156" s="94" t="s">
        <v>38</v>
      </c>
      <c r="E156" s="95" t="e">
        <f>F156/F$108</f>
        <v>#DIV/0!</v>
      </c>
      <c r="F156" s="96">
        <f>F123+F136+F154</f>
        <v>227561.15793646604</v>
      </c>
      <c r="G156" s="97" t="s">
        <v>38</v>
      </c>
      <c r="H156" s="95" t="e">
        <f>I156/I$108</f>
        <v>#DIV/0!</v>
      </c>
      <c r="I156" s="96">
        <f>I123+I136+I154</f>
        <v>0</v>
      </c>
      <c r="J156" s="97" t="s">
        <v>38</v>
      </c>
      <c r="K156" s="95" t="e">
        <f>L156/L$108</f>
        <v>#DIV/0!</v>
      </c>
      <c r="L156" s="96">
        <f>L123+L136+L154</f>
        <v>197183.19000000003</v>
      </c>
      <c r="M156" s="100"/>
      <c r="N156" s="113">
        <f t="shared" ref="N156:N163" si="87">L156-F156</f>
        <v>-30377.967936466011</v>
      </c>
      <c r="O156" s="97" t="s">
        <v>38</v>
      </c>
      <c r="P156" s="95" t="e">
        <f>Q156/Q$108</f>
        <v>#DIV/0!</v>
      </c>
      <c r="Q156" s="96">
        <f>Q123+Q136+Q154</f>
        <v>213793.83999999997</v>
      </c>
      <c r="R156" s="100"/>
      <c r="S156" s="114">
        <f t="shared" ref="S156:S163" si="88">L156-Q156</f>
        <v>-16610.649999999936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ref="A157" si="89">+B157&amp;C157</f>
        <v>Véhicules usagésRBSC used</v>
      </c>
      <c r="B157" s="11" t="s">
        <v>70</v>
      </c>
      <c r="C157" s="29" t="s">
        <v>217</v>
      </c>
      <c r="D157" s="148"/>
      <c r="E157" s="149"/>
      <c r="F157" s="30">
        <f>+SUM(START:END!F157)</f>
        <v>17250</v>
      </c>
      <c r="G157" s="150"/>
      <c r="H157" s="149"/>
      <c r="I157" s="30">
        <f>+SUM(START:END!I157)</f>
        <v>0</v>
      </c>
      <c r="J157" s="150"/>
      <c r="K157" s="149"/>
      <c r="L157" s="32">
        <f>+SUM(START:END!L157)</f>
        <v>13600</v>
      </c>
      <c r="M157" s="41"/>
      <c r="N157" s="59">
        <f t="shared" si="87"/>
        <v>-3650</v>
      </c>
      <c r="O157" s="150"/>
      <c r="P157" s="149"/>
      <c r="Q157" s="33">
        <f>+SUM(START:END!Q157)</f>
        <v>4400</v>
      </c>
      <c r="R157" s="41"/>
      <c r="S157" s="85">
        <f t="shared" si="88"/>
        <v>9200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ref="A158" si="90">+B158&amp;C158</f>
        <v>Véhicules usagésProgramme 360</v>
      </c>
      <c r="B158" s="11" t="s">
        <v>70</v>
      </c>
      <c r="C158" s="29" t="s">
        <v>218</v>
      </c>
      <c r="D158" s="148"/>
      <c r="E158" s="149"/>
      <c r="F158" s="30">
        <f>+SUM(START:END!F158)</f>
        <v>0</v>
      </c>
      <c r="G158" s="150"/>
      <c r="H158" s="149"/>
      <c r="I158" s="30">
        <f>+SUM(START:END!I158)</f>
        <v>0</v>
      </c>
      <c r="J158" s="150"/>
      <c r="K158" s="149"/>
      <c r="L158" s="33">
        <f>+SUM(START:END!L158)</f>
        <v>18900</v>
      </c>
      <c r="M158" s="41"/>
      <c r="N158" s="59">
        <f t="shared" si="87"/>
        <v>18900</v>
      </c>
      <c r="O158" s="150"/>
      <c r="P158" s="149"/>
      <c r="Q158" s="33">
        <f>+SUM(START:END!Q158)</f>
        <v>-2050</v>
      </c>
      <c r="R158" s="41"/>
      <c r="S158" s="85">
        <f t="shared" si="88"/>
        <v>20950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 hidden="1">
      <c r="A159" t="str">
        <f t="shared" ref="A159" si="91">+B159&amp;C159</f>
        <v>Véhicules usagésProgramme used 3</v>
      </c>
      <c r="B159" s="11" t="s">
        <v>70</v>
      </c>
      <c r="C159" s="29" t="s">
        <v>77</v>
      </c>
      <c r="D159" s="81"/>
      <c r="E159" s="13"/>
      <c r="F159" s="30">
        <f>+SUM(START:END!F159)</f>
        <v>0</v>
      </c>
      <c r="G159" s="83"/>
      <c r="H159" s="13"/>
      <c r="I159" s="30">
        <f>+SUM(START:END!I159)</f>
        <v>0</v>
      </c>
      <c r="J159" s="41"/>
      <c r="K159" s="13"/>
      <c r="L159" s="33">
        <f>+SUM(START:END!L159)</f>
        <v>0</v>
      </c>
      <c r="M159" s="41"/>
      <c r="N159" s="59">
        <f t="shared" si="87"/>
        <v>0</v>
      </c>
      <c r="O159" s="41"/>
      <c r="P159" s="13"/>
      <c r="Q159" s="33">
        <f>+SUM(START:END!Q159)</f>
        <v>0</v>
      </c>
      <c r="R159" s="41"/>
      <c r="S159" s="85">
        <f t="shared" si="88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usagésFrais administration</v>
      </c>
      <c r="B160" s="11" t="s">
        <v>70</v>
      </c>
      <c r="C160" s="29" t="s">
        <v>67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87"/>
        <v>0</v>
      </c>
      <c r="O160" s="41"/>
      <c r="P160" s="13"/>
      <c r="Q160" s="33">
        <f>+SUM(START:END!Q160)</f>
        <v>0</v>
      </c>
      <c r="R160" s="41"/>
      <c r="S160" s="85">
        <f t="shared" si="88"/>
        <v>0</v>
      </c>
      <c r="T160" s="112"/>
      <c r="U160" s="13"/>
      <c r="W160" s="48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87"/>
        <v>0</v>
      </c>
      <c r="O161" s="41"/>
      <c r="P161" s="13"/>
      <c r="Q161" s="33">
        <f>+SUM(START:END!Q161)</f>
        <v>0</v>
      </c>
      <c r="R161" s="41"/>
      <c r="S161" s="85">
        <f t="shared" si="88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87"/>
        <v>0</v>
      </c>
      <c r="O162" s="41"/>
      <c r="P162" s="13"/>
      <c r="Q162" s="33">
        <f>+SUM(START:END!Q162)</f>
        <v>0</v>
      </c>
      <c r="R162" s="41"/>
      <c r="S162" s="85">
        <f t="shared" si="88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A163" t="str">
        <f>+B163&amp;C163</f>
        <v>Véhicules usagés[...]</v>
      </c>
      <c r="B163" s="11" t="s">
        <v>70</v>
      </c>
      <c r="C163" s="86" t="s">
        <v>19</v>
      </c>
      <c r="D163" s="87"/>
      <c r="E163" s="111"/>
      <c r="F163" s="30">
        <f>+SUM(START:END!F163)</f>
        <v>38942.75</v>
      </c>
      <c r="G163" s="83"/>
      <c r="H163" s="13"/>
      <c r="I163" s="30">
        <f>+SUM(START:END!I163)</f>
        <v>0</v>
      </c>
      <c r="J163" s="41"/>
      <c r="K163" s="13"/>
      <c r="L163" s="32">
        <f>+SUM(START:END!L163)</f>
        <v>36890</v>
      </c>
      <c r="M163" s="41"/>
      <c r="N163" s="59">
        <f t="shared" si="87"/>
        <v>-2052.75</v>
      </c>
      <c r="O163" s="41"/>
      <c r="P163" s="13"/>
      <c r="Q163" s="33">
        <f>+SUM(START:END!Q163)</f>
        <v>35105</v>
      </c>
      <c r="R163" s="41"/>
      <c r="S163" s="85">
        <f t="shared" si="88"/>
        <v>1785</v>
      </c>
      <c r="T163" s="112"/>
      <c r="U163" s="13"/>
      <c r="W163" s="48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93" t="s">
        <v>68</v>
      </c>
      <c r="D164" s="94"/>
      <c r="E164" s="95"/>
      <c r="F164" s="96">
        <f>+SUM(F157:F163)</f>
        <v>56192.75</v>
      </c>
      <c r="G164" s="97"/>
      <c r="H164" s="95"/>
      <c r="I164" s="96">
        <f>+SUM(I157:I163)</f>
        <v>0</v>
      </c>
      <c r="J164" s="97"/>
      <c r="K164" s="95"/>
      <c r="L164" s="96">
        <f>+SUM(L157:L163)</f>
        <v>69390</v>
      </c>
      <c r="M164" s="100"/>
      <c r="N164" s="96">
        <f>SUM(N157:N160)</f>
        <v>15250</v>
      </c>
      <c r="O164" s="97"/>
      <c r="P164" s="95"/>
      <c r="Q164" s="96">
        <f>+SUM(Q157:Q163)</f>
        <v>37455</v>
      </c>
      <c r="R164" s="100"/>
      <c r="S164" s="101">
        <f>+SUM(S157:S163)</f>
        <v>31935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0.25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Bot="1">
      <c r="B166" s="11"/>
      <c r="C166" s="124" t="s">
        <v>69</v>
      </c>
      <c r="D166" s="151"/>
      <c r="E166" s="125"/>
      <c r="F166" s="127">
        <f>F109-F156+F164</f>
        <v>146864.48624425044</v>
      </c>
      <c r="G166" s="152"/>
      <c r="H166" s="125"/>
      <c r="I166" s="127">
        <f>I109-I156+I164</f>
        <v>0</v>
      </c>
      <c r="J166" s="153"/>
      <c r="K166" s="126"/>
      <c r="L166" s="127">
        <f>L109-L156+L164</f>
        <v>145558.7000000001</v>
      </c>
      <c r="M166" s="153"/>
      <c r="N166" s="127">
        <f>L166-F166</f>
        <v>-1305.7862442503392</v>
      </c>
      <c r="O166" s="153"/>
      <c r="P166" s="126"/>
      <c r="Q166" s="127">
        <f>Q109-Q156+Q164</f>
        <v>118398.1199999997</v>
      </c>
      <c r="R166" s="153"/>
      <c r="S166" s="129">
        <f>L166-Q166</f>
        <v>27160.580000000395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25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25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  Q2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" thickTop="1">
      <c r="B171" s="11"/>
      <c r="C171" s="12"/>
      <c r="D171" s="510" t="s">
        <v>5</v>
      </c>
      <c r="E171" s="511"/>
      <c r="F171" s="512"/>
      <c r="G171" s="513" t="s">
        <v>71</v>
      </c>
      <c r="H171" s="511"/>
      <c r="I171" s="512"/>
      <c r="J171" s="513" t="s">
        <v>7</v>
      </c>
      <c r="K171" s="511"/>
      <c r="L171" s="512"/>
      <c r="M171" s="513" t="s">
        <v>212</v>
      </c>
      <c r="N171" s="512"/>
      <c r="O171" s="510" t="s">
        <v>8</v>
      </c>
      <c r="P171" s="511"/>
      <c r="Q171" s="512"/>
      <c r="R171" s="508" t="s">
        <v>213</v>
      </c>
      <c r="S171" s="509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25">
      <c r="A172" t="str">
        <f t="shared" ref="A172:A178" si="92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 t="s">
        <v>39</v>
      </c>
      <c r="H172" s="80" t="s">
        <v>79</v>
      </c>
      <c r="I172" s="134" t="s">
        <v>12</v>
      </c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92"/>
        <v>ServiceM/O Client</v>
      </c>
      <c r="B173" s="11" t="s">
        <v>78</v>
      </c>
      <c r="C173" s="29" t="s">
        <v>81</v>
      </c>
      <c r="D173" s="485">
        <f>+SUM(START:END!D173)</f>
        <v>851.6636051680814</v>
      </c>
      <c r="E173" s="82">
        <f>+SUM(START:END!E173)</f>
        <v>302340.57983466896</v>
      </c>
      <c r="F173" s="82">
        <f>+SUM(START:END!F173)</f>
        <v>238849.05806938847</v>
      </c>
      <c r="G173" s="155">
        <f>+SUM(START:END!G173)</f>
        <v>0</v>
      </c>
      <c r="H173" s="82">
        <f>+SUM(START:END!H173)</f>
        <v>0</v>
      </c>
      <c r="I173" s="82">
        <f>+SUM(START:END!I173)</f>
        <v>0</v>
      </c>
      <c r="J173" s="60">
        <f>+SUM(START:END!J173)</f>
        <v>839</v>
      </c>
      <c r="K173" s="30">
        <f>+SUM(START:END!K173)</f>
        <v>278984.77</v>
      </c>
      <c r="L173" s="33">
        <f>+SUM(START:END!L173)</f>
        <v>218932.18</v>
      </c>
      <c r="M173" s="156">
        <f>(K173-E173)/E173</f>
        <v>-7.7250000140374017E-2</v>
      </c>
      <c r="N173" s="59">
        <f>L173-F173</f>
        <v>-19916.878069388476</v>
      </c>
      <c r="O173" s="60">
        <f>+SUM(START:END!O173)</f>
        <v>804</v>
      </c>
      <c r="P173" s="30">
        <f>+SUM(START:END!P173)</f>
        <v>259162.83999999988</v>
      </c>
      <c r="Q173" s="33">
        <f>+SUM(START:END!Q173)</f>
        <v>206730.98999999987</v>
      </c>
      <c r="R173" s="156">
        <f>IF(O173=0,0,J173/O173)</f>
        <v>1.0435323383084578</v>
      </c>
      <c r="S173" s="85">
        <f>L173-Q173</f>
        <v>12201.190000000119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92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 t="e">
        <f>I173/H173</f>
        <v>#DIV/0!</v>
      </c>
      <c r="J174" s="60"/>
      <c r="K174" s="13"/>
      <c r="L174" s="157">
        <f>L173/K173</f>
        <v>0.7847459916897972</v>
      </c>
      <c r="M174" s="156"/>
      <c r="N174" s="59"/>
      <c r="O174" s="60"/>
      <c r="P174" s="13"/>
      <c r="Q174" s="157">
        <f>Q173/P173</f>
        <v>0.79768762373494584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92"/>
        <v>Service</v>
      </c>
      <c r="B175" s="11" t="s">
        <v>78</v>
      </c>
      <c r="C175" s="86"/>
      <c r="D175" s="486"/>
      <c r="E175" s="158">
        <f>IFERROR(E173/D173,0)</f>
        <v>355.00000000000006</v>
      </c>
      <c r="F175" s="159"/>
      <c r="G175" s="23"/>
      <c r="H175" s="158">
        <f>IFERROR(H173/G173,0)</f>
        <v>0</v>
      </c>
      <c r="I175" s="159"/>
      <c r="J175" s="160"/>
      <c r="K175" s="460">
        <f>IFERROR(K173/J173,0)</f>
        <v>332.52058402860553</v>
      </c>
      <c r="L175" s="159"/>
      <c r="M175" s="161"/>
      <c r="N175" s="91"/>
      <c r="O175" s="160"/>
      <c r="P175" s="460">
        <f>IFERROR(P173/O173,0)</f>
        <v>322.34184079601977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92"/>
        <v>ServiceM/O Garantie</v>
      </c>
      <c r="B176" s="11" t="s">
        <v>78</v>
      </c>
      <c r="C176" s="14" t="s">
        <v>83</v>
      </c>
      <c r="D176" s="487">
        <f>+SUM(START:END!D176)</f>
        <v>562.94706130118902</v>
      </c>
      <c r="E176" s="82">
        <f>+SUM(START:END!E176)</f>
        <v>106959.9416472259</v>
      </c>
      <c r="F176" s="82">
        <f>+SUM(START:END!F176)</f>
        <v>71021.401253757998</v>
      </c>
      <c r="G176" s="163">
        <f>+SUM(START:END!G176)</f>
        <v>0</v>
      </c>
      <c r="H176" s="82">
        <f>+SUM(START:END!H176)</f>
        <v>0</v>
      </c>
      <c r="I176" s="82">
        <f>+SUM(START:END!I176)</f>
        <v>0</v>
      </c>
      <c r="J176" s="163">
        <f>+SUM(START:END!J176)</f>
        <v>703</v>
      </c>
      <c r="K176" s="164">
        <f>+SUM(START:END!K176)</f>
        <v>102487.87</v>
      </c>
      <c r="L176" s="33">
        <f>+SUM(START:END!L176)</f>
        <v>64320.060000000012</v>
      </c>
      <c r="M176" s="156">
        <f>(K176-E176)/E176</f>
        <v>-4.1810715099075552E-2</v>
      </c>
      <c r="N176" s="109">
        <f>L176-F176</f>
        <v>-6701.3412537579861</v>
      </c>
      <c r="O176" s="163">
        <f>+SUM(START:END!O176)</f>
        <v>605</v>
      </c>
      <c r="P176" s="164">
        <f>+SUM(START:END!P176)</f>
        <v>112031.1899999999</v>
      </c>
      <c r="Q176" s="33">
        <f>+SUM(START:END!Q176)</f>
        <v>76090.359999999899</v>
      </c>
      <c r="R176" s="156">
        <f>IF(O176=0,0,J176/O176)</f>
        <v>1.1619834710743802</v>
      </c>
      <c r="S176" s="85">
        <f>L176-Q176</f>
        <v>-11770.299999999886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92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 t="e">
        <f>I176/H176</f>
        <v>#DIV/0!</v>
      </c>
      <c r="J177" s="41"/>
      <c r="K177" s="13"/>
      <c r="L177" s="157">
        <f>L176/K176</f>
        <v>0.62758705005772897</v>
      </c>
      <c r="M177" s="42"/>
      <c r="N177" s="43"/>
      <c r="O177" s="41"/>
      <c r="P177" s="13"/>
      <c r="Q177" s="157">
        <f>Q176/P176</f>
        <v>0.67918907225746661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92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/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ref="A179:A185" si="93">+B179&amp;C179</f>
        <v>ServiceM/O Interne</v>
      </c>
      <c r="B179" s="11" t="s">
        <v>78</v>
      </c>
      <c r="C179" s="29" t="s">
        <v>84</v>
      </c>
      <c r="D179" s="485">
        <f>+SUM(START:END!D179)</f>
        <v>697.5</v>
      </c>
      <c r="E179" s="82">
        <f>+SUM(START:END!E179)</f>
        <v>279000</v>
      </c>
      <c r="F179" s="82">
        <f>+SUM(START:END!F179)</f>
        <v>210087</v>
      </c>
      <c r="G179" s="41">
        <f>+SUM(START:END!G179)</f>
        <v>0</v>
      </c>
      <c r="H179" s="82">
        <f>+SUM(START:END!H179)</f>
        <v>0</v>
      </c>
      <c r="I179" s="82">
        <f>+SUM(START:END!I179)</f>
        <v>0</v>
      </c>
      <c r="J179" s="60">
        <f>+SUM(START:END!J179)</f>
        <v>549</v>
      </c>
      <c r="K179" s="164">
        <f>+SUM(START:END!K179)</f>
        <v>215544.86</v>
      </c>
      <c r="L179" s="33">
        <f>+SUM(START:END!L179)</f>
        <v>167129.12</v>
      </c>
      <c r="M179" s="156">
        <f>(K179-E179)/E179</f>
        <v>-0.22743777777777782</v>
      </c>
      <c r="N179" s="59">
        <f>L179-F179</f>
        <v>-42957.880000000005</v>
      </c>
      <c r="O179" s="60">
        <f>+SUM(START:END!O179)</f>
        <v>460</v>
      </c>
      <c r="P179" s="164">
        <f>+SUM(START:END!P179)</f>
        <v>204248.85999999981</v>
      </c>
      <c r="Q179" s="33">
        <f>+SUM(START:END!Q179)</f>
        <v>160666.46999999991</v>
      </c>
      <c r="R179" s="156">
        <f>IF(O179=0,0,J179/O179)</f>
        <v>1.1934782608695653</v>
      </c>
      <c r="S179" s="85">
        <f>L179-Q179</f>
        <v>6462.6500000000815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93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 t="e">
        <f>I179/H179</f>
        <v>#DIV/0!</v>
      </c>
      <c r="J180" s="60"/>
      <c r="K180" s="143"/>
      <c r="L180" s="157">
        <f>L179/K179</f>
        <v>0.77537975157468386</v>
      </c>
      <c r="M180" s="156"/>
      <c r="N180" s="59">
        <f>L180-F180</f>
        <v>2.2379751574683859E-2</v>
      </c>
      <c r="O180" s="60"/>
      <c r="P180" s="143"/>
      <c r="Q180" s="157">
        <f>Q179/P179</f>
        <v>0.78662113462958894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93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/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93"/>
        <v>ServiceM/O Esthétique</v>
      </c>
      <c r="B182" s="11" t="s">
        <v>78</v>
      </c>
      <c r="C182" s="14" t="s">
        <v>85</v>
      </c>
      <c r="D182" s="487">
        <f>+SUM(START:END!D182)</f>
        <v>278.7382392018427</v>
      </c>
      <c r="E182" s="82">
        <f>+SUM(START:END!E182)</f>
        <v>76653.015780506728</v>
      </c>
      <c r="F182" s="82">
        <f>+SUM(START:END!F182)</f>
        <v>54883.559298842825</v>
      </c>
      <c r="G182" s="107">
        <f>+SUM(START:END!G182)</f>
        <v>0</v>
      </c>
      <c r="H182" s="82">
        <f>+SUM(START:END!H182)</f>
        <v>0</v>
      </c>
      <c r="I182" s="82">
        <f>+SUM(START:END!I182)</f>
        <v>0</v>
      </c>
      <c r="J182" s="163">
        <f>+SUM(START:END!J182)</f>
        <v>192</v>
      </c>
      <c r="K182" s="164">
        <f>+SUM(START:END!K182)</f>
        <v>44687.67</v>
      </c>
      <c r="L182" s="108">
        <f>+SUM(START:END!L182)</f>
        <v>31443.55</v>
      </c>
      <c r="M182" s="172">
        <f>IF(E182=0,0,(K182-E182)/E182)</f>
        <v>-0.41701354415119685</v>
      </c>
      <c r="N182" s="109">
        <f>L182-F182</f>
        <v>-23440.009298842826</v>
      </c>
      <c r="O182" s="163">
        <f>+SUM(START:END!O182)</f>
        <v>198</v>
      </c>
      <c r="P182" s="164">
        <f>+SUM(START:END!P182)</f>
        <v>41149.709999999897</v>
      </c>
      <c r="Q182" s="108">
        <f>+SUM(START:END!Q182)</f>
        <v>29151.179999999989</v>
      </c>
      <c r="R182" s="156">
        <f>IF(O182=0,0,J182/O182)</f>
        <v>0.96969696969696972</v>
      </c>
      <c r="S182" s="110">
        <f>L182-Q182</f>
        <v>2292.3700000000099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93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0.71600000000000008</v>
      </c>
      <c r="G183" s="78"/>
      <c r="H183" s="173"/>
      <c r="I183" s="157">
        <f>IFERROR(I182/H182,0)</f>
        <v>0</v>
      </c>
      <c r="J183" s="174"/>
      <c r="K183" s="173"/>
      <c r="L183" s="157">
        <f>IFERROR(L182/K182,0)</f>
        <v>0.70362921136859458</v>
      </c>
      <c r="M183" s="60">
        <f>J183-D183</f>
        <v>0</v>
      </c>
      <c r="N183" s="175"/>
      <c r="O183" s="174"/>
      <c r="P183" s="173"/>
      <c r="Q183" s="157">
        <f>IFERROR(Q182/P182,0)</f>
        <v>0.70841762918863982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0.25">
      <c r="A184" t="str">
        <f t="shared" si="93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/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Bot="1">
      <c r="A185" t="str">
        <f t="shared" si="93"/>
        <v>ServiceAjustement M/O</v>
      </c>
      <c r="B185" s="11" t="s">
        <v>78</v>
      </c>
      <c r="C185" s="29" t="s">
        <v>86</v>
      </c>
      <c r="D185" s="13"/>
      <c r="E185" s="13"/>
      <c r="F185" s="59">
        <f>+SUM(START:END!F185)</f>
        <v>-10773.305386402306</v>
      </c>
      <c r="G185" s="41"/>
      <c r="H185" s="82"/>
      <c r="I185" s="82">
        <f>+SUM(START:END!I185)</f>
        <v>0</v>
      </c>
      <c r="J185" s="60"/>
      <c r="K185" s="82"/>
      <c r="L185" s="82">
        <f>+SUM(START:END!L185)</f>
        <v>-4385.42</v>
      </c>
      <c r="M185" s="174"/>
      <c r="N185" s="59">
        <f>L185-F185</f>
        <v>6387.8853864023058</v>
      </c>
      <c r="O185" s="60"/>
      <c r="P185" s="82"/>
      <c r="Q185" s="82">
        <f>+SUM(START:END!Q185)</f>
        <v>-7297.7199999999993</v>
      </c>
      <c r="R185" s="183"/>
      <c r="S185" s="85">
        <f>L185-Q185</f>
        <v>2912.2999999999993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 thickTop="1">
      <c r="A186" t="str">
        <f t="shared" ref="A186:A192" si="94">+B186&amp;C186</f>
        <v>ServiceSous-total M/O</v>
      </c>
      <c r="B186" s="11" t="s">
        <v>78</v>
      </c>
      <c r="C186" s="184" t="s">
        <v>87</v>
      </c>
      <c r="D186" s="185"/>
      <c r="E186" s="185">
        <f>E173+E176+E179+E182+E185</f>
        <v>764953.53726240166</v>
      </c>
      <c r="F186" s="186">
        <f>F173+F176+F179+F182+F185</f>
        <v>564067.713235587</v>
      </c>
      <c r="G186" s="187"/>
      <c r="H186" s="185">
        <f>H173+H176+H179+H182+H185</f>
        <v>0</v>
      </c>
      <c r="I186" s="186">
        <f>I173+I176+I179+I182+I185</f>
        <v>0</v>
      </c>
      <c r="J186" s="187"/>
      <c r="K186" s="185">
        <f>K173+K176+K179+K182+K185</f>
        <v>641705.17000000004</v>
      </c>
      <c r="L186" s="186">
        <f>L173+L176+L179+L182+L185</f>
        <v>477439.49</v>
      </c>
      <c r="M186" s="188">
        <f>(K186-E186)/E186</f>
        <v>-0.16111876245906395</v>
      </c>
      <c r="N186" s="186">
        <f>L186-F186</f>
        <v>-86628.223235587007</v>
      </c>
      <c r="O186" s="187"/>
      <c r="P186" s="185">
        <f>P173+P176+P179+P182+P185</f>
        <v>616592.59999999951</v>
      </c>
      <c r="Q186" s="186">
        <f>Q173+Q176+Q179+Q182+Q185</f>
        <v>465341.27999999968</v>
      </c>
      <c r="R186" s="42">
        <f>IF(O186=0,0,J186/O186)</f>
        <v>0</v>
      </c>
      <c r="S186" s="189">
        <f>L186-Q186</f>
        <v>12098.210000000312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94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0.73738820171256381</v>
      </c>
      <c r="G187" s="193"/>
      <c r="H187" s="191"/>
      <c r="I187" s="43" t="e">
        <f>I186/H186</f>
        <v>#DIV/0!</v>
      </c>
      <c r="J187" s="193"/>
      <c r="K187" s="440"/>
      <c r="L187" s="43">
        <f>L186/K186</f>
        <v>0.74401689797824122</v>
      </c>
      <c r="M187" s="193"/>
      <c r="N187" s="192">
        <f>N186/F186</f>
        <v>-0.15357770211429581</v>
      </c>
      <c r="O187" s="193"/>
      <c r="P187" s="440"/>
      <c r="Q187" s="43">
        <f>Q186/P186</f>
        <v>0.75469812644524126</v>
      </c>
      <c r="R187" s="193"/>
      <c r="S187" s="44">
        <f>IF(R186=0,0,S186/R186)</f>
        <v>0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94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94"/>
        <v>ServiceSous-traitement</v>
      </c>
      <c r="B189" s="11" t="s">
        <v>78</v>
      </c>
      <c r="C189" s="29" t="s">
        <v>89</v>
      </c>
      <c r="D189" s="82"/>
      <c r="E189" s="82">
        <f>+SUM(START:END!E189)</f>
        <v>19237.248376026684</v>
      </c>
      <c r="F189" s="82">
        <f>+SUM(START:END!F189)</f>
        <v>2885.5872564040023</v>
      </c>
      <c r="G189" s="60"/>
      <c r="H189" s="82">
        <f>+SUM(START:END!H189)</f>
        <v>0</v>
      </c>
      <c r="I189" s="82">
        <f>+SUM(START:END!I189)</f>
        <v>0</v>
      </c>
      <c r="J189" s="60"/>
      <c r="K189" s="30">
        <f>+SUM(START:END!K189)</f>
        <v>36592.25</v>
      </c>
      <c r="L189" s="33">
        <f>+SUM(START:END!L189)</f>
        <v>3788.4900000000007</v>
      </c>
      <c r="M189" s="84">
        <f>IF(E189=0,0,(K189-E189)/E189)</f>
        <v>0.90215613401347927</v>
      </c>
      <c r="N189" s="59">
        <f>L189-F189</f>
        <v>902.90274359599834</v>
      </c>
      <c r="O189" s="60"/>
      <c r="P189" s="30">
        <f>+SUM(START:END!P189)</f>
        <v>23266.870000000003</v>
      </c>
      <c r="Q189" s="33">
        <f>+SUM(START:END!Q189)</f>
        <v>2851.8199999999993</v>
      </c>
      <c r="R189" s="156">
        <f>IF(O189=0,0,J189/O189)</f>
        <v>0</v>
      </c>
      <c r="S189" s="85">
        <f>L189-Q189</f>
        <v>936.67000000000144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94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>
        <f>IFERROR(I189/H189,0)</f>
        <v>0</v>
      </c>
      <c r="J190" s="174"/>
      <c r="K190" s="173"/>
      <c r="L190" s="157">
        <f>IFERROR(L189/K189,0)</f>
        <v>0.10353257861978973</v>
      </c>
      <c r="M190" s="174"/>
      <c r="N190" s="175"/>
      <c r="O190" s="174"/>
      <c r="P190" s="173"/>
      <c r="Q190" s="157">
        <f>IFERROR(Q189/P189,0)</f>
        <v>0.12256998900152874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94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94"/>
        <v>ServiceM.O. Recond. MCPA</v>
      </c>
      <c r="B192" s="11" t="s">
        <v>78</v>
      </c>
      <c r="C192" s="29" t="s">
        <v>90</v>
      </c>
      <c r="D192" s="13"/>
      <c r="E192" s="82">
        <f>+SUM(START:END!E192)</f>
        <v>0</v>
      </c>
      <c r="F192" s="82">
        <f>+SUM(START:END!F192)</f>
        <v>0</v>
      </c>
      <c r="G192" s="41"/>
      <c r="H192" s="82">
        <f>+SUM(START:END!H192)</f>
        <v>0</v>
      </c>
      <c r="I192" s="82">
        <f>+SUM(START:END!I192)</f>
        <v>0</v>
      </c>
      <c r="J192" s="174"/>
      <c r="K192" s="30">
        <f>+SUM(START:END!K192)</f>
        <v>0</v>
      </c>
      <c r="L192" s="157">
        <f>+SUM(START:END!L192)</f>
        <v>0</v>
      </c>
      <c r="M192" s="174"/>
      <c r="N192" s="175"/>
      <c r="O192" s="174"/>
      <c r="P192" s="30">
        <f>+SUM(START:END!P192)</f>
        <v>0</v>
      </c>
      <c r="Q192" s="157">
        <f>+SUM(START:END!Q192)</f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0.25" hidden="1">
      <c r="A193" t="str">
        <f t="shared" ref="A193:A199" si="95">+B193&amp;C193</f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>
        <f>IF(I192=0,0,I192/H192)</f>
        <v>0</v>
      </c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Bot="1">
      <c r="A194" t="str">
        <f t="shared" si="95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Top="1">
      <c r="A195" t="str">
        <f t="shared" si="95"/>
        <v>ServiceTotal Mécanique</v>
      </c>
      <c r="B195" s="11" t="s">
        <v>78</v>
      </c>
      <c r="C195" s="62" t="s">
        <v>91</v>
      </c>
      <c r="D195" s="63"/>
      <c r="E195" s="63">
        <f>E186+E189+E192</f>
        <v>784190.78563842829</v>
      </c>
      <c r="F195" s="65">
        <f>F186+F189+F192</f>
        <v>566953.30049199099</v>
      </c>
      <c r="G195" s="66"/>
      <c r="H195" s="63">
        <f>H186+H189+H192</f>
        <v>0</v>
      </c>
      <c r="I195" s="65">
        <f>I186+I189+I192</f>
        <v>0</v>
      </c>
      <c r="J195" s="66"/>
      <c r="K195" s="63">
        <f>K186+K189+K192</f>
        <v>678297.42</v>
      </c>
      <c r="L195" s="65">
        <f>L186+L189+L192</f>
        <v>481227.98</v>
      </c>
      <c r="M195" s="205">
        <f>L196-F196</f>
        <v>-1.3514224758509052E-2</v>
      </c>
      <c r="N195" s="65">
        <f>L195-F195</f>
        <v>-85725.320491991006</v>
      </c>
      <c r="O195" s="66"/>
      <c r="P195" s="63">
        <f>P186+P189+P192</f>
        <v>639859.46999999951</v>
      </c>
      <c r="Q195" s="65">
        <f>Q186+Q189+Q192</f>
        <v>468193.09999999969</v>
      </c>
      <c r="R195" s="205">
        <f>L196-Q196</f>
        <v>-2.224782771189282E-2</v>
      </c>
      <c r="S195" s="68">
        <f>L195-Q195</f>
        <v>13034.880000000296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Bot="1">
      <c r="A196" t="str">
        <f t="shared" si="95"/>
        <v>Service</v>
      </c>
      <c r="B196" s="11" t="s">
        <v>78</v>
      </c>
      <c r="C196" s="69"/>
      <c r="D196" s="70"/>
      <c r="E196" s="70"/>
      <c r="F196" s="74">
        <f>F195/E195</f>
        <v>0.72297878383054559</v>
      </c>
      <c r="G196" s="72"/>
      <c r="H196" s="70"/>
      <c r="I196" s="74" t="e">
        <f>I195/H195</f>
        <v>#DIV/0!</v>
      </c>
      <c r="J196" s="72"/>
      <c r="K196" s="70"/>
      <c r="L196" s="74">
        <f>L195/K195</f>
        <v>0.70946455907203654</v>
      </c>
      <c r="M196" s="73"/>
      <c r="N196" s="74">
        <f>N195/F195</f>
        <v>-0.15120349492206897</v>
      </c>
      <c r="O196" s="72"/>
      <c r="P196" s="70"/>
      <c r="Q196" s="74">
        <f>Q195/P195</f>
        <v>0.73171238678392936</v>
      </c>
      <c r="R196" s="73"/>
      <c r="S196" s="75">
        <f>L195/S195</f>
        <v>36.918481796532767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 thickTop="1">
      <c r="A197" t="str">
        <f t="shared" si="95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95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95"/>
        <v>ServiceSalaires cadres</v>
      </c>
      <c r="B199" s="11" t="s">
        <v>78</v>
      </c>
      <c r="C199" s="102" t="s">
        <v>40</v>
      </c>
      <c r="D199" s="13"/>
      <c r="E199" s="13"/>
      <c r="F199" s="30">
        <f>+SUM(START:END!F199)</f>
        <v>34411.65648688245</v>
      </c>
      <c r="G199" s="41"/>
      <c r="H199" s="13"/>
      <c r="I199" s="30">
        <f>+SUM(START:END!I199)</f>
        <v>0</v>
      </c>
      <c r="J199" s="41"/>
      <c r="K199" s="13"/>
      <c r="L199" s="33">
        <f>+SUM(START:END!L199)</f>
        <v>25765.22</v>
      </c>
      <c r="M199" s="41"/>
      <c r="N199" s="59">
        <f t="shared" ref="N199:N230" si="96">L199-F199</f>
        <v>-8646.4364868824487</v>
      </c>
      <c r="O199" s="41"/>
      <c r="P199" s="13"/>
      <c r="Q199" s="33">
        <f>+SUM(START:END!Q199)</f>
        <v>36507.94</v>
      </c>
      <c r="R199" s="41"/>
      <c r="S199" s="85">
        <f t="shared" ref="S199:S204" si="97">L199-Q199</f>
        <v>-10742.720000000001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ref="A200:A206" si="98">+B200&amp;C200</f>
        <v>ServiceSalaires commis</v>
      </c>
      <c r="B200" s="11" t="s">
        <v>78</v>
      </c>
      <c r="C200" s="103" t="s">
        <v>41</v>
      </c>
      <c r="D200" s="81"/>
      <c r="E200" s="13"/>
      <c r="F200" s="22">
        <f>+SUM(START:END!F200)</f>
        <v>15630.386305356204</v>
      </c>
      <c r="G200" s="83"/>
      <c r="H200" s="13"/>
      <c r="I200" s="22">
        <f>+SUM(START:END!I200)</f>
        <v>0</v>
      </c>
      <c r="J200" s="41"/>
      <c r="K200" s="13"/>
      <c r="L200" s="33">
        <f>+SUM(START:END!L200)</f>
        <v>8984.7000000000007</v>
      </c>
      <c r="M200" s="41"/>
      <c r="N200" s="59">
        <f t="shared" si="96"/>
        <v>-6645.6863053562029</v>
      </c>
      <c r="O200" s="41"/>
      <c r="P200" s="13"/>
      <c r="Q200" s="33">
        <f>+SUM(START:END!Q200)</f>
        <v>15732.939999999999</v>
      </c>
      <c r="R200" s="41"/>
      <c r="S200" s="85">
        <f t="shared" si="97"/>
        <v>-6748.239999999998</v>
      </c>
      <c r="T200" s="13"/>
      <c r="U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98"/>
        <v>ServiceSalaires autres</v>
      </c>
      <c r="B201" s="11" t="s">
        <v>78</v>
      </c>
      <c r="C201" s="102" t="s">
        <v>42</v>
      </c>
      <c r="D201" s="104"/>
      <c r="E201" s="105"/>
      <c r="F201" s="30">
        <f>+SUM(START:END!F201)</f>
        <v>44589.213652968043</v>
      </c>
      <c r="G201" s="106"/>
      <c r="H201" s="105"/>
      <c r="I201" s="30">
        <f>+SUM(START:END!I201)</f>
        <v>0</v>
      </c>
      <c r="J201" s="107"/>
      <c r="K201" s="105"/>
      <c r="L201" s="108">
        <f>+SUM(START:END!L201)</f>
        <v>45775.119999999995</v>
      </c>
      <c r="M201" s="107"/>
      <c r="N201" s="109">
        <f t="shared" si="96"/>
        <v>1185.9063470319525</v>
      </c>
      <c r="O201" s="107"/>
      <c r="P201" s="105"/>
      <c r="Q201" s="108">
        <f>+SUM(START:END!Q201)</f>
        <v>31190.47</v>
      </c>
      <c r="R201" s="107"/>
      <c r="S201" s="110">
        <f t="shared" si="97"/>
        <v>14584.649999999994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>
      <c r="A202" t="str">
        <f t="shared" si="98"/>
        <v>ServiceSalaires spécialistes</v>
      </c>
      <c r="B202" s="11" t="s">
        <v>78</v>
      </c>
      <c r="C202" s="102" t="s">
        <v>43</v>
      </c>
      <c r="D202" s="81"/>
      <c r="E202" s="13"/>
      <c r="F202" s="30">
        <f>+SUM(START:END!F202)</f>
        <v>45733.513409961684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45532.57</v>
      </c>
      <c r="M202" s="41"/>
      <c r="N202" s="59">
        <f t="shared" si="96"/>
        <v>-200.94340996168467</v>
      </c>
      <c r="O202" s="41"/>
      <c r="P202" s="13"/>
      <c r="Q202" s="33">
        <f>+SUM(START:END!Q202)</f>
        <v>45118.130000000005</v>
      </c>
      <c r="R202" s="41"/>
      <c r="S202" s="85">
        <f t="shared" si="97"/>
        <v>414.43999999999505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98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96"/>
        <v>0</v>
      </c>
      <c r="O203" s="41"/>
      <c r="P203" s="13"/>
      <c r="Q203" s="33">
        <f>+SUM(START:END!Q203)</f>
        <v>0</v>
      </c>
      <c r="R203" s="41"/>
      <c r="S203" s="85">
        <f t="shared" si="97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98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96"/>
        <v>0</v>
      </c>
      <c r="O204" s="41"/>
      <c r="P204" s="13"/>
      <c r="Q204" s="33">
        <f>+SUM(START:END!Q204)</f>
        <v>0</v>
      </c>
      <c r="R204" s="41"/>
      <c r="S204" s="85">
        <f t="shared" si="97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 hidden="1">
      <c r="A205" t="str">
        <f t="shared" si="98"/>
        <v>Service[...]</v>
      </c>
      <c r="B205" s="11" t="s">
        <v>78</v>
      </c>
      <c r="C205" s="29" t="s">
        <v>19</v>
      </c>
      <c r="D205" s="81"/>
      <c r="E205" s="13"/>
      <c r="F205" s="30">
        <f>+SUM(START:END!F205)</f>
        <v>0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0</v>
      </c>
      <c r="M205" s="41"/>
      <c r="N205" s="59">
        <f t="shared" si="96"/>
        <v>0</v>
      </c>
      <c r="O205" s="41"/>
      <c r="P205" s="13"/>
      <c r="Q205" s="33">
        <f>+SUM(START:END!Q205)</f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98"/>
        <v>ServiceSalaires en absences</v>
      </c>
      <c r="B206" s="11" t="s">
        <v>78</v>
      </c>
      <c r="C206" s="103" t="s">
        <v>44</v>
      </c>
      <c r="D206" s="81"/>
      <c r="E206" s="13"/>
      <c r="F206" s="30">
        <f>+SUM(START:END!F206)</f>
        <v>48521.508490690321</v>
      </c>
      <c r="G206" s="83"/>
      <c r="H206" s="13"/>
      <c r="I206" s="30">
        <f>+SUM(START:END!I206)</f>
        <v>0</v>
      </c>
      <c r="J206" s="41"/>
      <c r="K206" s="13"/>
      <c r="L206" s="33">
        <f>+SUM(START:END!L206)</f>
        <v>40734.720000000001</v>
      </c>
      <c r="M206" s="41"/>
      <c r="N206" s="59">
        <f t="shared" si="96"/>
        <v>-7786.78849069032</v>
      </c>
      <c r="O206" s="41"/>
      <c r="P206" s="13"/>
      <c r="Q206" s="33">
        <f>+SUM(START:END!Q206)</f>
        <v>33736.950000000004</v>
      </c>
      <c r="R206" s="41"/>
      <c r="S206" s="85">
        <f>L206-Q206</f>
        <v>6997.7699999999968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ref="A207:A213" si="99">+B207&amp;C207</f>
        <v>ServiceDéduction à la source</v>
      </c>
      <c r="B207" s="11" t="s">
        <v>78</v>
      </c>
      <c r="C207" s="102" t="s">
        <v>45</v>
      </c>
      <c r="D207" s="104"/>
      <c r="E207" s="105"/>
      <c r="F207" s="55">
        <f>+SUM(START:END!F207)</f>
        <v>51271.067302861527</v>
      </c>
      <c r="G207" s="106"/>
      <c r="H207" s="105"/>
      <c r="I207" s="55">
        <f>+SUM(START:END!I207)</f>
        <v>0</v>
      </c>
      <c r="J207" s="107"/>
      <c r="K207" s="105"/>
      <c r="L207" s="108">
        <f>+SUM(START:END!L207)</f>
        <v>45075.93</v>
      </c>
      <c r="M207" s="107"/>
      <c r="N207" s="109">
        <f t="shared" si="96"/>
        <v>-6195.1373028615271</v>
      </c>
      <c r="O207" s="107"/>
      <c r="P207" s="105"/>
      <c r="Q207" s="108">
        <f>+SUM(START:END!Q207)</f>
        <v>44367.229999999996</v>
      </c>
      <c r="R207" s="107"/>
      <c r="S207" s="110">
        <f t="shared" ref="S207:S217" si="100">L207-Q207</f>
        <v>708.70000000000437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99"/>
        <v>ServiceBénéfices marginaux</v>
      </c>
      <c r="B208" s="11" t="s">
        <v>78</v>
      </c>
      <c r="C208" s="102" t="s">
        <v>46</v>
      </c>
      <c r="D208" s="81"/>
      <c r="E208" s="13"/>
      <c r="F208" s="30">
        <f>+SUM(START:END!F208)</f>
        <v>35054.218607808289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19122.72</v>
      </c>
      <c r="M208" s="41"/>
      <c r="N208" s="59">
        <f t="shared" si="96"/>
        <v>-15931.498607808287</v>
      </c>
      <c r="O208" s="41"/>
      <c r="P208" s="13"/>
      <c r="Q208" s="33">
        <f>+SUM(START:END!Q208)</f>
        <v>18558.46</v>
      </c>
      <c r="R208" s="41"/>
      <c r="S208" s="85">
        <f t="shared" si="100"/>
        <v>564.26000000000204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>
      <c r="A209" t="str">
        <f t="shared" si="99"/>
        <v>ServiceCsst</v>
      </c>
      <c r="B209" s="11" t="s">
        <v>78</v>
      </c>
      <c r="C209" s="102" t="s">
        <v>47</v>
      </c>
      <c r="D209" s="81"/>
      <c r="E209" s="13"/>
      <c r="F209" s="30">
        <f>+SUM(START:END!F209)</f>
        <v>9304.7492512600547</v>
      </c>
      <c r="G209" s="83"/>
      <c r="H209" s="13"/>
      <c r="I209" s="30">
        <f>+SUM(START:END!I209)</f>
        <v>0</v>
      </c>
      <c r="J209" s="41"/>
      <c r="K209" s="13"/>
      <c r="L209" s="33">
        <f>+SUM(START:END!L209)</f>
        <v>5729.32</v>
      </c>
      <c r="M209" s="462"/>
      <c r="N209" s="145">
        <f t="shared" si="96"/>
        <v>-3575.429251260055</v>
      </c>
      <c r="O209" s="462"/>
      <c r="P209" s="463"/>
      <c r="Q209" s="22">
        <f>+SUM(START:END!Q209)</f>
        <v>7650.09</v>
      </c>
      <c r="R209" s="462"/>
      <c r="S209" s="464">
        <f t="shared" si="100"/>
        <v>-1920.7700000000004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 hidden="1">
      <c r="A210" t="str">
        <f t="shared" si="99"/>
        <v>Service[...]</v>
      </c>
      <c r="B210" s="11" t="s">
        <v>78</v>
      </c>
      <c r="C210" s="29" t="s">
        <v>19</v>
      </c>
      <c r="D210" s="87"/>
      <c r="E210" s="111"/>
      <c r="F210" s="30">
        <f>+SUM(START:END!F210)</f>
        <v>0</v>
      </c>
      <c r="G210" s="89"/>
      <c r="H210" s="111"/>
      <c r="I210" s="30">
        <f>+SUM(START:END!I210)</f>
        <v>0</v>
      </c>
      <c r="J210" s="23"/>
      <c r="K210" s="111"/>
      <c r="L210" s="33">
        <f>+SUM(START:END!L210)</f>
        <v>0</v>
      </c>
      <c r="M210" s="23"/>
      <c r="N210" s="91">
        <f t="shared" si="96"/>
        <v>0</v>
      </c>
      <c r="O210" s="23"/>
      <c r="P210" s="111"/>
      <c r="Q210" s="33">
        <f>+SUM(START:END!Q210)</f>
        <v>0</v>
      </c>
      <c r="R210" s="23"/>
      <c r="S210" s="92">
        <f t="shared" si="100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99"/>
        <v>ServiceTOTAL PERSONNEL</v>
      </c>
      <c r="B211" s="11" t="s">
        <v>78</v>
      </c>
      <c r="C211" s="93" t="s">
        <v>48</v>
      </c>
      <c r="D211" s="94" t="s">
        <v>92</v>
      </c>
      <c r="E211" s="95" t="e">
        <f>F211/F$194</f>
        <v>#DIV/0!</v>
      </c>
      <c r="F211" s="96">
        <f>+SUM(F199:F210)</f>
        <v>284516.31350778858</v>
      </c>
      <c r="G211" s="97" t="s">
        <v>92</v>
      </c>
      <c r="H211" s="95" t="e">
        <f>I211/I$194</f>
        <v>#DIV/0!</v>
      </c>
      <c r="I211" s="96">
        <f>+SUM(I199:I210)</f>
        <v>0</v>
      </c>
      <c r="J211" s="97" t="s">
        <v>92</v>
      </c>
      <c r="K211" s="95" t="e">
        <f>L211/L$194</f>
        <v>#DIV/0!</v>
      </c>
      <c r="L211" s="96">
        <f>+SUM(L199:L210)</f>
        <v>236720.3</v>
      </c>
      <c r="M211" s="146"/>
      <c r="N211" s="113">
        <f t="shared" si="96"/>
        <v>-47796.013507788593</v>
      </c>
      <c r="O211" s="97" t="s">
        <v>92</v>
      </c>
      <c r="P211" s="95" t="e">
        <f>Q211/Q$194</f>
        <v>#DIV/0!</v>
      </c>
      <c r="Q211" s="96">
        <f>+SUM(Q199:Q210)</f>
        <v>232862.21000000002</v>
      </c>
      <c r="R211" s="146"/>
      <c r="S211" s="114">
        <f t="shared" si="100"/>
        <v>3858.0899999999674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99"/>
        <v>ServicePublicité 2</v>
      </c>
      <c r="B212" s="11" t="s">
        <v>78</v>
      </c>
      <c r="C212" s="29" t="s">
        <v>49</v>
      </c>
      <c r="D212" s="81"/>
      <c r="E212" s="13"/>
      <c r="F212" s="30">
        <f>+SUM(START:END!F212)</f>
        <v>7420.2684193532705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8252.4699999999993</v>
      </c>
      <c r="M212" s="41"/>
      <c r="N212" s="59">
        <f t="shared" si="96"/>
        <v>832.20158064672887</v>
      </c>
      <c r="O212" s="41"/>
      <c r="P212" s="13"/>
      <c r="Q212" s="33">
        <f>+SUM(START:END!Q212)</f>
        <v>19776.23</v>
      </c>
      <c r="R212" s="41"/>
      <c r="S212" s="85">
        <f t="shared" si="100"/>
        <v>-11523.76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99"/>
        <v>ServiceService gratuit 2</v>
      </c>
      <c r="B213" s="11" t="s">
        <v>78</v>
      </c>
      <c r="C213" s="29" t="s">
        <v>50</v>
      </c>
      <c r="D213" s="81"/>
      <c r="E213" s="13"/>
      <c r="F213" s="30">
        <f>+SUM(START:END!F213)</f>
        <v>11250</v>
      </c>
      <c r="G213" s="83"/>
      <c r="H213" s="13"/>
      <c r="I213" s="30">
        <f>+SUM(START:END!I213)</f>
        <v>0</v>
      </c>
      <c r="J213" s="41"/>
      <c r="K213" s="13"/>
      <c r="L213" s="33">
        <f>+SUM(START:END!L213)</f>
        <v>19329.61</v>
      </c>
      <c r="M213" s="41"/>
      <c r="N213" s="59">
        <f t="shared" si="96"/>
        <v>8079.6100000000006</v>
      </c>
      <c r="O213" s="41"/>
      <c r="P213" s="13"/>
      <c r="Q213" s="33">
        <f>+SUM(START:END!Q213)</f>
        <v>12806.560000000001</v>
      </c>
      <c r="R213" s="41"/>
      <c r="S213" s="85">
        <f t="shared" si="100"/>
        <v>6523.0499999999993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ref="A214:A220" si="101">+B214&amp;C214</f>
        <v>ServiceFrais véhicules de cie</v>
      </c>
      <c r="B214" s="11" t="s">
        <v>78</v>
      </c>
      <c r="C214" s="86" t="s">
        <v>51</v>
      </c>
      <c r="D214" s="87"/>
      <c r="E214" s="111"/>
      <c r="F214" s="22">
        <f>+SUM(START:END!F214)</f>
        <v>22359.750000000004</v>
      </c>
      <c r="G214" s="89"/>
      <c r="H214" s="111"/>
      <c r="I214" s="22">
        <f>+SUM(START:END!I214)</f>
        <v>0</v>
      </c>
      <c r="J214" s="23"/>
      <c r="K214" s="111"/>
      <c r="L214" s="33">
        <f>+SUM(START:END!L214)</f>
        <v>21144.100000000002</v>
      </c>
      <c r="M214" s="23"/>
      <c r="N214" s="91">
        <f t="shared" si="96"/>
        <v>-1215.6500000000015</v>
      </c>
      <c r="O214" s="23"/>
      <c r="P214" s="111"/>
      <c r="Q214" s="33">
        <f>+SUM(START:END!Q214)</f>
        <v>18897.870000000003</v>
      </c>
      <c r="R214" s="23"/>
      <c r="S214" s="92">
        <f t="shared" si="100"/>
        <v>2246.2299999999996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101"/>
        <v>ServiceInformatique</v>
      </c>
      <c r="B215" s="11" t="s">
        <v>78</v>
      </c>
      <c r="C215" s="29" t="s">
        <v>52</v>
      </c>
      <c r="D215" s="81"/>
      <c r="E215" s="13"/>
      <c r="F215" s="30">
        <f>+SUM(START:END!F215)</f>
        <v>19909.232499999998</v>
      </c>
      <c r="G215" s="83"/>
      <c r="H215" s="13"/>
      <c r="I215" s="30">
        <f>+SUM(START:END!I215)</f>
        <v>0</v>
      </c>
      <c r="J215" s="41"/>
      <c r="K215" s="13"/>
      <c r="L215" s="108">
        <f>+SUM(START:END!L215)</f>
        <v>19814.849999999999</v>
      </c>
      <c r="M215" s="41"/>
      <c r="N215" s="59">
        <f t="shared" si="96"/>
        <v>-94.382499999999709</v>
      </c>
      <c r="O215" s="41"/>
      <c r="P215" s="13"/>
      <c r="Q215" s="108">
        <f>+SUM(START:END!Q215)</f>
        <v>18248.79</v>
      </c>
      <c r="R215" s="41"/>
      <c r="S215" s="85">
        <f t="shared" si="100"/>
        <v>1566.0599999999977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101"/>
        <v>ServiceFrais de déplacement</v>
      </c>
      <c r="B216" s="11" t="s">
        <v>78</v>
      </c>
      <c r="C216" s="29" t="s">
        <v>53</v>
      </c>
      <c r="D216" s="81"/>
      <c r="E216" s="13"/>
      <c r="F216" s="30">
        <f>+SUM(START:END!F216)</f>
        <v>3993.75</v>
      </c>
      <c r="G216" s="83"/>
      <c r="H216" s="13"/>
      <c r="I216" s="30">
        <f>+SUM(START:END!I216)</f>
        <v>0</v>
      </c>
      <c r="J216" s="41"/>
      <c r="K216" s="13"/>
      <c r="L216" s="33">
        <f>+SUM(START:END!L216)</f>
        <v>5799.4599999999991</v>
      </c>
      <c r="M216" s="41"/>
      <c r="N216" s="59">
        <f t="shared" si="96"/>
        <v>1805.7099999999991</v>
      </c>
      <c r="O216" s="41"/>
      <c r="P216" s="13"/>
      <c r="Q216" s="33">
        <f>+SUM(START:END!Q216)</f>
        <v>1447.0900000000001</v>
      </c>
      <c r="R216" s="41"/>
      <c r="S216" s="85">
        <f t="shared" si="100"/>
        <v>4352.369999999999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101"/>
        <v>ServiceServices extérieurs</v>
      </c>
      <c r="B217" s="11" t="s">
        <v>78</v>
      </c>
      <c r="C217" s="86" t="s">
        <v>54</v>
      </c>
      <c r="D217" s="87"/>
      <c r="E217" s="111"/>
      <c r="F217" s="22">
        <f>+SUM(START:END!F217)</f>
        <v>13301.56</v>
      </c>
      <c r="G217" s="89"/>
      <c r="H217" s="111"/>
      <c r="I217" s="22">
        <f>+SUM(START:END!I217)</f>
        <v>0</v>
      </c>
      <c r="J217" s="23"/>
      <c r="K217" s="111"/>
      <c r="L217" s="22">
        <f>+SUM(START:END!L217)</f>
        <v>25562.870000000003</v>
      </c>
      <c r="M217" s="462"/>
      <c r="N217" s="145">
        <f t="shared" si="96"/>
        <v>12261.310000000003</v>
      </c>
      <c r="O217" s="462"/>
      <c r="P217" s="463"/>
      <c r="Q217" s="22">
        <f>+SUM(START:END!Q217)</f>
        <v>6401.91</v>
      </c>
      <c r="R217" s="23"/>
      <c r="S217" s="92">
        <f t="shared" si="100"/>
        <v>19160.960000000003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 hidden="1">
      <c r="A218" t="str">
        <f t="shared" si="101"/>
        <v>ServiceFournitures d'atelier</v>
      </c>
      <c r="B218" s="11" t="s">
        <v>78</v>
      </c>
      <c r="C218" s="29" t="s">
        <v>93</v>
      </c>
      <c r="D218" s="81"/>
      <c r="E218" s="13"/>
      <c r="F218" s="30">
        <f>+SUM(START:END!F218)</f>
        <v>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0</v>
      </c>
      <c r="M218" s="41"/>
      <c r="N218" s="59">
        <f t="shared" si="96"/>
        <v>0</v>
      </c>
      <c r="O218" s="41"/>
      <c r="P218" s="13"/>
      <c r="Q218" s="33">
        <f>+SUM(START:END!Q218)</f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101"/>
        <v>ServiceFournitures autres</v>
      </c>
      <c r="B219" s="11" t="s">
        <v>78</v>
      </c>
      <c r="C219" s="29" t="s">
        <v>55</v>
      </c>
      <c r="D219" s="81"/>
      <c r="E219" s="13"/>
      <c r="F219" s="30">
        <f>+SUM(START:END!F219)</f>
        <v>9750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14489.099999999999</v>
      </c>
      <c r="M219" s="41"/>
      <c r="N219" s="59">
        <f t="shared" si="96"/>
        <v>4739.0999999999985</v>
      </c>
      <c r="O219" s="41"/>
      <c r="P219" s="13"/>
      <c r="Q219" s="33">
        <f>+SUM(START:END!Q219)</f>
        <v>8559.130000000001</v>
      </c>
      <c r="R219" s="41"/>
      <c r="S219" s="85">
        <f t="shared" ref="S219:S227" si="102">L219-Q219</f>
        <v>5929.9699999999975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101"/>
        <v>ServiceUniformes</v>
      </c>
      <c r="B220" s="11" t="s">
        <v>78</v>
      </c>
      <c r="C220" s="29" t="s">
        <v>56</v>
      </c>
      <c r="D220" s="81"/>
      <c r="E220" s="13"/>
      <c r="F220" s="30">
        <f>+SUM(START:END!F220)</f>
        <v>3975</v>
      </c>
      <c r="G220" s="83"/>
      <c r="H220" s="13"/>
      <c r="I220" s="30">
        <f>+SUM(START:END!I220)</f>
        <v>0</v>
      </c>
      <c r="J220" s="41"/>
      <c r="K220" s="13"/>
      <c r="L220" s="33">
        <f>+SUM(START:END!L220)</f>
        <v>4214.71</v>
      </c>
      <c r="M220" s="41"/>
      <c r="N220" s="59">
        <f t="shared" si="96"/>
        <v>239.71000000000004</v>
      </c>
      <c r="O220" s="41"/>
      <c r="P220" s="13"/>
      <c r="Q220" s="33">
        <f>+SUM(START:END!Q220)</f>
        <v>2987.61</v>
      </c>
      <c r="R220" s="41"/>
      <c r="S220" s="85">
        <f t="shared" si="102"/>
        <v>1227.0999999999999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ref="A221:A227" si="103">+B221&amp;C221</f>
        <v>ServicePapeterie</v>
      </c>
      <c r="B221" s="11" t="s">
        <v>78</v>
      </c>
      <c r="C221" s="29" t="s">
        <v>57</v>
      </c>
      <c r="D221" s="81"/>
      <c r="E221" s="13"/>
      <c r="F221" s="30">
        <f>+SUM(START:END!F221)</f>
        <v>1087.5</v>
      </c>
      <c r="G221" s="83"/>
      <c r="H221" s="13"/>
      <c r="I221" s="30">
        <f>+SUM(START:END!I221)</f>
        <v>0</v>
      </c>
      <c r="J221" s="41"/>
      <c r="K221" s="13"/>
      <c r="L221" s="32">
        <f>+SUM(START:END!L221)</f>
        <v>1277.02</v>
      </c>
      <c r="M221" s="41"/>
      <c r="N221" s="59">
        <f t="shared" si="96"/>
        <v>189.51999999999998</v>
      </c>
      <c r="O221" s="41"/>
      <c r="P221" s="13"/>
      <c r="Q221" s="32">
        <f>+SUM(START:END!Q221)</f>
        <v>2200.88</v>
      </c>
      <c r="R221" s="41"/>
      <c r="S221" s="85">
        <f t="shared" si="102"/>
        <v>-923.86000000000013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103"/>
        <v>ServiceTéléphone</v>
      </c>
      <c r="B222" s="11" t="s">
        <v>78</v>
      </c>
      <c r="C222" s="29" t="s">
        <v>58</v>
      </c>
      <c r="D222" s="81"/>
      <c r="E222" s="13"/>
      <c r="F222" s="30">
        <f>+SUM(START:END!F222)</f>
        <v>342.75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606.23</v>
      </c>
      <c r="M222" s="41"/>
      <c r="N222" s="59">
        <f t="shared" si="96"/>
        <v>263.48</v>
      </c>
      <c r="O222" s="41"/>
      <c r="P222" s="13"/>
      <c r="Q222" s="33">
        <f>+SUM(START:END!Q222)</f>
        <v>343.61</v>
      </c>
      <c r="R222" s="41"/>
      <c r="S222" s="85">
        <f t="shared" si="102"/>
        <v>262.62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103"/>
        <v>ServiceFrais postaux</v>
      </c>
      <c r="B223" s="11" t="s">
        <v>78</v>
      </c>
      <c r="C223" s="29" t="s">
        <v>59</v>
      </c>
      <c r="D223" s="81"/>
      <c r="E223" s="13"/>
      <c r="F223" s="30">
        <f>+SUM(START:END!F223)</f>
        <v>425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1268.73</v>
      </c>
      <c r="M223" s="41"/>
      <c r="N223" s="59">
        <f t="shared" si="96"/>
        <v>843.73</v>
      </c>
      <c r="O223" s="41"/>
      <c r="P223" s="13"/>
      <c r="Q223" s="33">
        <f>+SUM(START:END!Q223)</f>
        <v>295.78000000000003</v>
      </c>
      <c r="R223" s="41"/>
      <c r="S223" s="85">
        <f t="shared" si="102"/>
        <v>972.95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103"/>
        <v>ServiceDivers</v>
      </c>
      <c r="B224" s="11" t="s">
        <v>78</v>
      </c>
      <c r="C224" s="29" t="s">
        <v>60</v>
      </c>
      <c r="D224" s="81"/>
      <c r="E224" s="13"/>
      <c r="F224" s="30">
        <f>+SUM(START:END!F224)</f>
        <v>1145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2676.41</v>
      </c>
      <c r="M224" s="41"/>
      <c r="N224" s="59">
        <f t="shared" si="96"/>
        <v>1531.4099999999999</v>
      </c>
      <c r="O224" s="41"/>
      <c r="P224" s="13"/>
      <c r="Q224" s="33">
        <f>+SUM(START:END!Q224)</f>
        <v>3875.77</v>
      </c>
      <c r="R224" s="41"/>
      <c r="S224" s="85">
        <f t="shared" si="102"/>
        <v>-1199.3600000000001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103"/>
        <v>ServiceFormation</v>
      </c>
      <c r="B225" s="11" t="s">
        <v>78</v>
      </c>
      <c r="C225" s="29" t="s">
        <v>61</v>
      </c>
      <c r="D225" s="81"/>
      <c r="E225" s="13"/>
      <c r="F225" s="30">
        <f>+SUM(START:END!F225)</f>
        <v>5346.7400000000007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5167.3599999999997</v>
      </c>
      <c r="M225" s="41"/>
      <c r="N225" s="59">
        <f t="shared" si="96"/>
        <v>-179.38000000000102</v>
      </c>
      <c r="O225" s="41"/>
      <c r="P225" s="13"/>
      <c r="Q225" s="33">
        <f>+SUM(START:END!Q225)</f>
        <v>4736.12</v>
      </c>
      <c r="R225" s="41"/>
      <c r="S225" s="85">
        <f t="shared" si="102"/>
        <v>431.23999999999978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>
      <c r="A226" t="str">
        <f t="shared" si="103"/>
        <v>ServiceFrais bancaires</v>
      </c>
      <c r="B226" s="11" t="s">
        <v>78</v>
      </c>
      <c r="C226" s="29" t="s">
        <v>62</v>
      </c>
      <c r="D226" s="81"/>
      <c r="E226" s="13"/>
      <c r="F226" s="30">
        <f>+SUM(START:END!F226)</f>
        <v>8162.8442737379773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6526.8799999999992</v>
      </c>
      <c r="M226" s="41"/>
      <c r="N226" s="59">
        <f t="shared" si="96"/>
        <v>-1635.9642737379781</v>
      </c>
      <c r="O226" s="41"/>
      <c r="P226" s="13"/>
      <c r="Q226" s="33">
        <f>+SUM(START:END!Q226)</f>
        <v>6388.09</v>
      </c>
      <c r="R226" s="41"/>
      <c r="S226" s="85">
        <f t="shared" si="102"/>
        <v>138.78999999999905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103"/>
        <v>Service[...]</v>
      </c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96"/>
        <v>0</v>
      </c>
      <c r="O227" s="41"/>
      <c r="P227" s="13"/>
      <c r="Q227" s="33">
        <f>+SUM(START:END!Q227)</f>
        <v>0</v>
      </c>
      <c r="R227" s="41"/>
      <c r="S227" s="85">
        <f t="shared" si="102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96"/>
        <v>0</v>
      </c>
      <c r="O228" s="41"/>
      <c r="P228" s="13"/>
      <c r="Q228" s="33">
        <f>+SUM(START:END!Q228)</f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 hidden="1">
      <c r="A229" t="str">
        <f t="shared" ref="A229" si="104">+B229&amp;C229</f>
        <v>Service[...]</v>
      </c>
      <c r="B229" s="11" t="s">
        <v>78</v>
      </c>
      <c r="C229" s="29" t="s">
        <v>19</v>
      </c>
      <c r="D229" s="81"/>
      <c r="E229" s="13"/>
      <c r="F229" s="30">
        <f>+SUM(START:END!F229)</f>
        <v>0</v>
      </c>
      <c r="G229" s="83"/>
      <c r="H229" s="13"/>
      <c r="I229" s="30">
        <f>+SUM(START:END!I229)</f>
        <v>0</v>
      </c>
      <c r="J229" s="41"/>
      <c r="K229" s="13"/>
      <c r="L229" s="33">
        <f>+SUM(START:END!L229)</f>
        <v>0</v>
      </c>
      <c r="M229" s="41"/>
      <c r="N229" s="59">
        <f t="shared" si="96"/>
        <v>0</v>
      </c>
      <c r="O229" s="41"/>
      <c r="P229" s="13"/>
      <c r="Q229" s="33">
        <f>+SUM(START:END!Q229)</f>
        <v>0</v>
      </c>
      <c r="R229" s="41"/>
      <c r="S229" s="85">
        <f t="shared" ref="S229" si="10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93" t="s">
        <v>63</v>
      </c>
      <c r="D230" s="94" t="s">
        <v>92</v>
      </c>
      <c r="E230" s="95" t="e">
        <f>F230/F$194</f>
        <v>#DIV/0!</v>
      </c>
      <c r="F230" s="96">
        <f>+SUM(F212:F229)</f>
        <v>108469.39519309126</v>
      </c>
      <c r="G230" s="97" t="s">
        <v>92</v>
      </c>
      <c r="H230" s="95" t="e">
        <f>I230/I$194</f>
        <v>#DIV/0!</v>
      </c>
      <c r="I230" s="96">
        <f>+SUM(I212:I229)</f>
        <v>0</v>
      </c>
      <c r="J230" s="97" t="s">
        <v>92</v>
      </c>
      <c r="K230" s="95" t="e">
        <f>L230/L$194</f>
        <v>#DIV/0!</v>
      </c>
      <c r="L230" s="96">
        <f>+SUM(L212:L229)</f>
        <v>136129.79999999999</v>
      </c>
      <c r="M230" s="100"/>
      <c r="N230" s="96">
        <f t="shared" si="96"/>
        <v>27660.404806908729</v>
      </c>
      <c r="O230" s="97" t="s">
        <v>92</v>
      </c>
      <c r="P230" s="95" t="e">
        <f>Q230/Q$194</f>
        <v>#DIV/0!</v>
      </c>
      <c r="Q230" s="96">
        <f>+SUM(Q212:Q229)</f>
        <v>106965.44000000002</v>
      </c>
      <c r="R230" s="100"/>
      <c r="S230" s="101">
        <f>L230-Q230</f>
        <v>29164.359999999971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93" t="s">
        <v>64</v>
      </c>
      <c r="D232" s="94" t="s">
        <v>38</v>
      </c>
      <c r="E232" s="95" t="e">
        <f>F232/F$194</f>
        <v>#DIV/0!</v>
      </c>
      <c r="F232" s="96">
        <f>F211+F230</f>
        <v>392985.70870087983</v>
      </c>
      <c r="G232" s="97" t="s">
        <v>38</v>
      </c>
      <c r="H232" s="95" t="e">
        <f>I232/I$194</f>
        <v>#DIV/0!</v>
      </c>
      <c r="I232" s="96">
        <f>I211+I230</f>
        <v>0</v>
      </c>
      <c r="J232" s="97" t="s">
        <v>38</v>
      </c>
      <c r="K232" s="95" t="e">
        <f>L232/L$194</f>
        <v>#DIV/0!</v>
      </c>
      <c r="L232" s="96">
        <f>L211+L230</f>
        <v>372850.1</v>
      </c>
      <c r="M232" s="100"/>
      <c r="N232" s="113">
        <f>L232-F232</f>
        <v>-20135.608700879849</v>
      </c>
      <c r="O232" s="97" t="s">
        <v>38</v>
      </c>
      <c r="P232" s="95" t="e">
        <f>Q232/Q$194</f>
        <v>#DIV/0!</v>
      </c>
      <c r="Q232" s="96">
        <f>Q211+Q230</f>
        <v>339827.65</v>
      </c>
      <c r="R232" s="100"/>
      <c r="S232" s="114">
        <f>L232-Q232</f>
        <v>33022.449999999953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25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>
        <f>L233-F233</f>
        <v>0</v>
      </c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Bot="1">
      <c r="B234" s="11"/>
      <c r="C234" s="124" t="s">
        <v>69</v>
      </c>
      <c r="D234" s="151"/>
      <c r="E234" s="125"/>
      <c r="F234" s="127">
        <f>F195-F232</f>
        <v>173967.59179111116</v>
      </c>
      <c r="G234" s="152"/>
      <c r="H234" s="125"/>
      <c r="I234" s="127">
        <f>I195-I232</f>
        <v>0</v>
      </c>
      <c r="J234" s="153"/>
      <c r="K234" s="126"/>
      <c r="L234" s="127">
        <f>L195-L232</f>
        <v>108377.88</v>
      </c>
      <c r="M234" s="153"/>
      <c r="N234" s="127">
        <f>L234-F234</f>
        <v>-65589.711791111156</v>
      </c>
      <c r="O234" s="153"/>
      <c r="P234" s="126"/>
      <c r="Q234" s="127">
        <f>Q195-Q232</f>
        <v>128365.44999999966</v>
      </c>
      <c r="R234" s="153"/>
      <c r="S234" s="129">
        <f>L234-Q234</f>
        <v>-19987.569999999658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25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25" hidden="1">
      <c r="B237" s="11"/>
      <c r="C237" s="6">
        <f>C2</f>
        <v>0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  Q2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25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" hidden="1" thickTop="1">
      <c r="B239" s="11"/>
      <c r="C239" s="12"/>
      <c r="D239" s="510" t="s">
        <v>5</v>
      </c>
      <c r="E239" s="511"/>
      <c r="F239" s="512"/>
      <c r="G239" s="513" t="s">
        <v>71</v>
      </c>
      <c r="H239" s="511"/>
      <c r="I239" s="512"/>
      <c r="J239" s="513" t="s">
        <v>7</v>
      </c>
      <c r="K239" s="511"/>
      <c r="L239" s="512"/>
      <c r="M239" s="513" t="s">
        <v>212</v>
      </c>
      <c r="N239" s="512"/>
      <c r="O239" s="510" t="s">
        <v>8</v>
      </c>
      <c r="P239" s="511"/>
      <c r="Q239" s="512"/>
      <c r="R239" s="508" t="s">
        <v>213</v>
      </c>
      <c r="S239" s="509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25" hidden="1">
      <c r="A240" t="str">
        <f t="shared" ref="A240:A247" si="10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 t="s">
        <v>39</v>
      </c>
      <c r="H240" s="80" t="s">
        <v>79</v>
      </c>
      <c r="I240" s="134" t="s">
        <v>12</v>
      </c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 hidden="1">
      <c r="A241" t="str">
        <f t="shared" si="10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 hidden="1">
      <c r="A242" t="str">
        <f t="shared" si="106"/>
        <v>CarrosserieM/O Sous-traitement</v>
      </c>
      <c r="B242" s="11" t="s">
        <v>94</v>
      </c>
      <c r="C242" s="29" t="s">
        <v>95</v>
      </c>
      <c r="D242" s="80">
        <f>+SUM(START:END!D242)</f>
        <v>0</v>
      </c>
      <c r="E242" s="82">
        <f>+SUM(START:END!E242)</f>
        <v>0</v>
      </c>
      <c r="F242" s="82">
        <f>+SUM(START:END!F242)</f>
        <v>0</v>
      </c>
      <c r="G242" s="155">
        <f>+SUM(START:END!G242)</f>
        <v>0</v>
      </c>
      <c r="H242" s="82">
        <f>+SUM(START:END!H242)</f>
        <v>0</v>
      </c>
      <c r="I242" s="82">
        <f>+SUM(START:END!I242)</f>
        <v>0</v>
      </c>
      <c r="J242" s="60">
        <f>+SUM(START:END!J242)</f>
        <v>0</v>
      </c>
      <c r="K242" s="30">
        <f>+SUM(START:END!K242)</f>
        <v>0</v>
      </c>
      <c r="L242" s="33">
        <f>+SUM(START:END!L242)</f>
        <v>0</v>
      </c>
      <c r="M242" s="156">
        <f>IFERROR((K242-E242)/E242,0)</f>
        <v>0</v>
      </c>
      <c r="N242" s="59">
        <f>L242-F242</f>
        <v>0</v>
      </c>
      <c r="O242" s="60">
        <f>+SUM(START:END!O242)</f>
        <v>1</v>
      </c>
      <c r="P242" s="30">
        <f>+SUM(START:END!P242)</f>
        <v>4637.87</v>
      </c>
      <c r="Q242" s="33">
        <f>+SUM(START:END!Q242)</f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 hidden="1">
      <c r="A243" t="str">
        <f t="shared" si="10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>
        <f>IFERROR(I242/H242,0)</f>
        <v>0</v>
      </c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 hidden="1">
      <c r="A244" t="str">
        <f t="shared" si="10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 hidden="1">
      <c r="A245" t="str">
        <f t="shared" si="106"/>
        <v>CarrosserieM/O Carrosserie</v>
      </c>
      <c r="B245" s="11" t="s">
        <v>94</v>
      </c>
      <c r="C245" s="14" t="s">
        <v>96</v>
      </c>
      <c r="D245" s="105">
        <f>+SUM(START:END!D245)</f>
        <v>0</v>
      </c>
      <c r="E245" s="82">
        <f>+SUM(START:END!E245)</f>
        <v>0</v>
      </c>
      <c r="F245" s="82">
        <f>+SUM(START:END!F245)</f>
        <v>0</v>
      </c>
      <c r="G245" s="208">
        <f>+SUM(START:END!G245)</f>
        <v>0</v>
      </c>
      <c r="H245" s="82">
        <f>+SUM(START:END!H245)</f>
        <v>0</v>
      </c>
      <c r="I245" s="82">
        <f>+SUM(START:END!I245)</f>
        <v>0</v>
      </c>
      <c r="J245" s="163">
        <f>+SUM(START:END!J245)</f>
        <v>0</v>
      </c>
      <c r="K245" s="164">
        <f>+SUM(START:END!K245)</f>
        <v>0</v>
      </c>
      <c r="L245" s="108">
        <f>+SUM(START:END!L245)</f>
        <v>0</v>
      </c>
      <c r="M245" s="172">
        <f>IFERROR((K245-E245)/E245,0)</f>
        <v>0</v>
      </c>
      <c r="N245" s="109">
        <f>L245-F245</f>
        <v>0</v>
      </c>
      <c r="O245" s="163">
        <f>+SUM(START:END!O245)</f>
        <v>0</v>
      </c>
      <c r="P245" s="164">
        <f>+SUM(START:END!P245)</f>
        <v>0</v>
      </c>
      <c r="Q245" s="108">
        <f>+SUM(START:END!Q245)</f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 hidden="1">
      <c r="A246" t="str">
        <f t="shared" si="10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 t="e">
        <f>I245/H245</f>
        <v>#DIV/0!</v>
      </c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 hidden="1">
      <c r="A247" t="str">
        <f t="shared" si="10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 hidden="1">
      <c r="A248" t="str">
        <f t="shared" ref="A248:A266" si="107">+B248&amp;C248</f>
        <v>CarrosserieM/O Esthétique Carr.</v>
      </c>
      <c r="B248" s="11" t="s">
        <v>94</v>
      </c>
      <c r="C248" s="14" t="s">
        <v>97</v>
      </c>
      <c r="D248" s="162">
        <f>+SUM(START:END!D248)</f>
        <v>0</v>
      </c>
      <c r="E248" s="82">
        <f>+SUM(START:END!E248)</f>
        <v>0</v>
      </c>
      <c r="F248" s="82">
        <f>+SUM(START:END!F248)</f>
        <v>0</v>
      </c>
      <c r="G248" s="163">
        <f>+SUM(START:END!G248)</f>
        <v>0</v>
      </c>
      <c r="H248" s="82">
        <f>+SUM(START:END!H248)</f>
        <v>0</v>
      </c>
      <c r="I248" s="82">
        <f>+SUM(START:END!I248)</f>
        <v>0</v>
      </c>
      <c r="J248" s="163">
        <f>+SUM(START:END!J248)</f>
        <v>0</v>
      </c>
      <c r="K248" s="30">
        <f>+SUM(START:END!K248)</f>
        <v>0</v>
      </c>
      <c r="L248" s="33">
        <f>+SUM(START:END!L248)</f>
        <v>0</v>
      </c>
      <c r="M248" s="156">
        <f>IFERROR((K248-E248)/E248,0)</f>
        <v>0</v>
      </c>
      <c r="N248" s="109">
        <f>L248-F248</f>
        <v>0</v>
      </c>
      <c r="O248" s="163">
        <f>+SUM(START:END!O248)</f>
        <v>0</v>
      </c>
      <c r="P248" s="30">
        <f>+SUM(START:END!P248)</f>
        <v>0</v>
      </c>
      <c r="Q248" s="33">
        <f>+SUM(START:END!Q248)</f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0.25" hidden="1">
      <c r="A249" t="str">
        <f t="shared" si="107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 t="e">
        <f>I248/H248</f>
        <v>#DIV/0!</v>
      </c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0.25" hidden="1">
      <c r="A250" t="str">
        <f t="shared" si="107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hidden="1" thickTop="1">
      <c r="A251" t="str">
        <f t="shared" si="107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>
        <f>H245+H248+H242</f>
        <v>0</v>
      </c>
      <c r="I251" s="65">
        <f>I245+I248+I242</f>
        <v>0</v>
      </c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>P245+P248+P242</f>
        <v>4637.87</v>
      </c>
      <c r="Q251" s="65">
        <f>Q245+Q248+Q242</f>
        <v>0</v>
      </c>
      <c r="R251" s="205">
        <f>L252-Q252</f>
        <v>0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hidden="1" thickBot="1">
      <c r="A252" t="str">
        <f t="shared" si="107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 t="e">
        <f>I251/H251</f>
        <v>#DIV/0!</v>
      </c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>
        <f>IF(P251=0,0,Q251/P251)</f>
        <v>0</v>
      </c>
      <c r="R252" s="73"/>
      <c r="S252" s="75">
        <f>IF(R251=0,0,S251/R251)</f>
        <v>0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 hidden="1">
      <c r="A253" t="str">
        <f t="shared" si="107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 hidden="1">
      <c r="A254" t="str">
        <f t="shared" si="107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 hidden="1">
      <c r="A255" t="str">
        <f t="shared" si="107"/>
        <v>CarrosserieSalaires cadres</v>
      </c>
      <c r="B255" s="11" t="s">
        <v>94</v>
      </c>
      <c r="C255" s="102" t="s">
        <v>40</v>
      </c>
      <c r="D255" s="13"/>
      <c r="E255" s="13"/>
      <c r="F255" s="30">
        <f>+SUM(START:END!F255)</f>
        <v>0</v>
      </c>
      <c r="G255" s="41"/>
      <c r="H255" s="13"/>
      <c r="I255" s="30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ref="N255:N265" si="108">L255-F255</f>
        <v>0</v>
      </c>
      <c r="O255" s="41"/>
      <c r="P255" s="13"/>
      <c r="Q255" s="33">
        <f>+SUM(START:END!Q255)</f>
        <v>0</v>
      </c>
      <c r="R255" s="41"/>
      <c r="S255" s="85">
        <f t="shared" ref="S255" si="10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 hidden="1">
      <c r="A256" t="str">
        <f t="shared" si="107"/>
        <v>CarrosserieSalaires commis</v>
      </c>
      <c r="B256" s="11" t="s">
        <v>94</v>
      </c>
      <c r="C256" s="103" t="s">
        <v>41</v>
      </c>
      <c r="D256" s="81"/>
      <c r="E256" s="13"/>
      <c r="F256" s="22">
        <f>+SUM(START:END!F256)</f>
        <v>0</v>
      </c>
      <c r="G256" s="83"/>
      <c r="H256" s="13"/>
      <c r="I256" s="22">
        <f>+SUM(START:END!I256)</f>
        <v>0</v>
      </c>
      <c r="J256" s="41"/>
      <c r="K256" s="13"/>
      <c r="L256" s="33">
        <f>+SUM(START:END!L256)</f>
        <v>0</v>
      </c>
      <c r="M256" s="41"/>
      <c r="N256" s="59">
        <f t="shared" si="108"/>
        <v>0</v>
      </c>
      <c r="O256" s="41"/>
      <c r="P256" s="13"/>
      <c r="Q256" s="33">
        <f>+SUM(START:END!Q256)</f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 hidden="1">
      <c r="A257" t="str">
        <f t="shared" si="107"/>
        <v>CarrosserieSalaires autres</v>
      </c>
      <c r="B257" s="11" t="s">
        <v>94</v>
      </c>
      <c r="C257" s="102" t="s">
        <v>42</v>
      </c>
      <c r="D257" s="104"/>
      <c r="E257" s="105"/>
      <c r="F257" s="30">
        <f>+SUM(START:END!F257)</f>
        <v>0</v>
      </c>
      <c r="G257" s="106"/>
      <c r="H257" s="105"/>
      <c r="I257" s="30">
        <f>+SUM(START:END!I257)</f>
        <v>0</v>
      </c>
      <c r="J257" s="107"/>
      <c r="K257" s="105"/>
      <c r="L257" s="108">
        <f>+SUM(START:END!L257)</f>
        <v>0</v>
      </c>
      <c r="M257" s="107"/>
      <c r="N257" s="109">
        <f t="shared" si="108"/>
        <v>0</v>
      </c>
      <c r="O257" s="107"/>
      <c r="P257" s="105"/>
      <c r="Q257" s="108">
        <f>+SUM(START:END!Q257)</f>
        <v>0</v>
      </c>
      <c r="R257" s="107"/>
      <c r="S257" s="110">
        <f t="shared" ref="S257:S265" si="11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107"/>
        <v>CarrosserieSalaires spécialistes</v>
      </c>
      <c r="B258" s="11" t="s">
        <v>94</v>
      </c>
      <c r="C258" s="102" t="s">
        <v>43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108"/>
        <v>0</v>
      </c>
      <c r="O258" s="41"/>
      <c r="P258" s="13"/>
      <c r="Q258" s="33">
        <f>+SUM(START:END!Q258)</f>
        <v>0</v>
      </c>
      <c r="R258" s="41"/>
      <c r="S258" s="85">
        <f t="shared" si="11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107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108"/>
        <v>0</v>
      </c>
      <c r="O259" s="41"/>
      <c r="P259" s="13"/>
      <c r="Q259" s="33">
        <f>+SUM(START:END!Q259)</f>
        <v>0</v>
      </c>
      <c r="R259" s="41"/>
      <c r="S259" s="85">
        <f t="shared" si="11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107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108"/>
        <v>0</v>
      </c>
      <c r="O260" s="41"/>
      <c r="P260" s="13"/>
      <c r="Q260" s="33">
        <f>+SUM(START:END!Q260)</f>
        <v>0</v>
      </c>
      <c r="R260" s="41"/>
      <c r="S260" s="85">
        <f t="shared" si="11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 hidden="1">
      <c r="A261" t="str">
        <f t="shared" si="107"/>
        <v>Carrosserie[...]</v>
      </c>
      <c r="B261" s="11" t="s">
        <v>94</v>
      </c>
      <c r="C261" s="29" t="s">
        <v>19</v>
      </c>
      <c r="D261" s="81"/>
      <c r="E261" s="13"/>
      <c r="F261" s="30">
        <f>+SUM(START:END!F261)</f>
        <v>0</v>
      </c>
      <c r="G261" s="83"/>
      <c r="H261" s="13"/>
      <c r="I261" s="30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108"/>
        <v>0</v>
      </c>
      <c r="O261" s="41"/>
      <c r="P261" s="13"/>
      <c r="Q261" s="33">
        <f>+SUM(START:END!Q261)</f>
        <v>0</v>
      </c>
      <c r="R261" s="41"/>
      <c r="S261" s="85">
        <f t="shared" si="11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 hidden="1">
      <c r="A262" t="str">
        <f t="shared" si="107"/>
        <v>CarrosserieSalaires en absences</v>
      </c>
      <c r="B262" s="11" t="s">
        <v>94</v>
      </c>
      <c r="C262" s="103" t="s">
        <v>44</v>
      </c>
      <c r="D262" s="81"/>
      <c r="E262" s="13"/>
      <c r="F262" s="22">
        <f>+SUM(START:END!F262)</f>
        <v>0</v>
      </c>
      <c r="G262" s="83"/>
      <c r="H262" s="13"/>
      <c r="I262" s="22">
        <f>+SUM(START:END!I262)</f>
        <v>0</v>
      </c>
      <c r="J262" s="41"/>
      <c r="K262" s="13"/>
      <c r="L262" s="33">
        <f>+SUM(START:END!L262)</f>
        <v>0</v>
      </c>
      <c r="M262" s="41"/>
      <c r="N262" s="59">
        <f t="shared" si="108"/>
        <v>0</v>
      </c>
      <c r="O262" s="41"/>
      <c r="P262" s="13"/>
      <c r="Q262" s="33">
        <f>+SUM(START:END!Q262)</f>
        <v>0</v>
      </c>
      <c r="R262" s="41"/>
      <c r="S262" s="85">
        <f t="shared" si="11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 hidden="1">
      <c r="A263" t="str">
        <f t="shared" si="107"/>
        <v>CarrosserieDéduction à la source</v>
      </c>
      <c r="B263" s="11" t="s">
        <v>94</v>
      </c>
      <c r="C263" s="102" t="s">
        <v>45</v>
      </c>
      <c r="D263" s="104"/>
      <c r="E263" s="105"/>
      <c r="F263" s="30">
        <f>+SUM(START:END!F263)</f>
        <v>0</v>
      </c>
      <c r="G263" s="106"/>
      <c r="H263" s="105"/>
      <c r="I263" s="30">
        <f>+SUM(START:END!I263)</f>
        <v>0</v>
      </c>
      <c r="J263" s="107"/>
      <c r="K263" s="105"/>
      <c r="L263" s="108">
        <f>+SUM(START:END!L263)</f>
        <v>0</v>
      </c>
      <c r="M263" s="107"/>
      <c r="N263" s="109">
        <f t="shared" si="108"/>
        <v>0</v>
      </c>
      <c r="O263" s="107"/>
      <c r="P263" s="105"/>
      <c r="Q263" s="108">
        <f>+SUM(START:END!Q263)</f>
        <v>0</v>
      </c>
      <c r="R263" s="107"/>
      <c r="S263" s="110">
        <f t="shared" si="110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 hidden="1">
      <c r="A264" t="str">
        <f t="shared" si="107"/>
        <v>CarrosserieBénéfices marginaux</v>
      </c>
      <c r="B264" s="11" t="s">
        <v>94</v>
      </c>
      <c r="C264" s="102" t="s">
        <v>46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1"/>
      <c r="N264" s="59">
        <f t="shared" si="108"/>
        <v>0</v>
      </c>
      <c r="O264" s="41"/>
      <c r="P264" s="13"/>
      <c r="Q264" s="33">
        <f>+SUM(START:END!Q264)</f>
        <v>0</v>
      </c>
      <c r="R264" s="41"/>
      <c r="S264" s="85">
        <f t="shared" si="11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107"/>
        <v>CarrosserieCsst</v>
      </c>
      <c r="B265" s="11" t="s">
        <v>94</v>
      </c>
      <c r="C265" s="102" t="s">
        <v>47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62"/>
      <c r="N265" s="145">
        <f t="shared" si="108"/>
        <v>0</v>
      </c>
      <c r="O265" s="41"/>
      <c r="P265" s="13"/>
      <c r="Q265" s="33">
        <f>+SUM(START:END!Q265)</f>
        <v>0</v>
      </c>
      <c r="R265" s="41"/>
      <c r="S265" s="85">
        <f t="shared" si="11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 hidden="1">
      <c r="A266" t="str">
        <f t="shared" si="107"/>
        <v>Carrosserie[...]</v>
      </c>
      <c r="B266" s="11" t="s">
        <v>94</v>
      </c>
      <c r="C266" s="29" t="s">
        <v>19</v>
      </c>
      <c r="D266" s="87"/>
      <c r="E266" s="111"/>
      <c r="F266" s="30">
        <f>+SUM(START:END!F266)</f>
        <v>0</v>
      </c>
      <c r="G266" s="89"/>
      <c r="H266" s="111"/>
      <c r="I266" s="30">
        <f>+SUM(START:END!I266)</f>
        <v>0</v>
      </c>
      <c r="J266" s="23"/>
      <c r="K266" s="111"/>
      <c r="L266" s="33">
        <f>+SUM(START:END!L266)</f>
        <v>0</v>
      </c>
      <c r="M266" s="23"/>
      <c r="N266" s="91">
        <f>L266-F266</f>
        <v>0</v>
      </c>
      <c r="O266" s="23"/>
      <c r="P266" s="111"/>
      <c r="Q266" s="33">
        <f>+SUM(START:END!Q266)</f>
        <v>0</v>
      </c>
      <c r="R266" s="23"/>
      <c r="S266" s="92">
        <f>L266-Q266</f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 hidden="1">
      <c r="A267" t="str">
        <f t="shared" ref="A267:A285" si="111">+B267&amp;C267</f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F267/F$244</f>
        <v>#DIV/0!</v>
      </c>
      <c r="F267" s="96">
        <f>+SUM(F255:F266)</f>
        <v>0</v>
      </c>
      <c r="G267" s="97" t="s">
        <v>38</v>
      </c>
      <c r="H267" s="95" t="e">
        <f>I267/I$244</f>
        <v>#DIV/0!</v>
      </c>
      <c r="I267" s="96">
        <f>+SUM(I255:I266)</f>
        <v>0</v>
      </c>
      <c r="J267" s="97" t="s">
        <v>38</v>
      </c>
      <c r="K267" s="95">
        <f>IF(L245=0,0,L267/L$244)</f>
        <v>0</v>
      </c>
      <c r="L267" s="96">
        <f>+SUM(L255:L266)</f>
        <v>0</v>
      </c>
      <c r="M267" s="146"/>
      <c r="N267" s="113">
        <f>L267-F267</f>
        <v>0</v>
      </c>
      <c r="O267" s="97" t="s">
        <v>38</v>
      </c>
      <c r="P267" s="95">
        <f>IF(Q245=0,0,Q267/Q$244)</f>
        <v>0</v>
      </c>
      <c r="Q267" s="96">
        <f>+SUM(Q255:Q266)</f>
        <v>0</v>
      </c>
      <c r="R267" s="146"/>
      <c r="S267" s="114">
        <f t="shared" ref="S267:S273" si="112">L267-Q267</f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 hidden="1">
      <c r="A268" t="str">
        <f t="shared" si="111"/>
        <v>CarrosseriePublicité 2</v>
      </c>
      <c r="B268" s="11" t="s">
        <v>94</v>
      </c>
      <c r="C268" s="210" t="s">
        <v>49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ref="N268:N285" si="113">L268-F268</f>
        <v>0</v>
      </c>
      <c r="O268" s="41"/>
      <c r="P268" s="13"/>
      <c r="Q268" s="33">
        <f>+SUM(START:END!Q268)</f>
        <v>0</v>
      </c>
      <c r="R268" s="41"/>
      <c r="S268" s="85">
        <f t="shared" si="112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 hidden="1">
      <c r="A269" t="str">
        <f t="shared" si="111"/>
        <v>CarrosserieService gratuit 2</v>
      </c>
      <c r="B269" s="11" t="s">
        <v>94</v>
      </c>
      <c r="C269" s="102" t="s">
        <v>50</v>
      </c>
      <c r="D269" s="81"/>
      <c r="E269" s="13"/>
      <c r="F269" s="30">
        <f>+SUM(START:END!F269)</f>
        <v>0</v>
      </c>
      <c r="G269" s="83"/>
      <c r="H269" s="13"/>
      <c r="I269" s="30">
        <f>+SUM(START:END!I269)</f>
        <v>0</v>
      </c>
      <c r="J269" s="41"/>
      <c r="K269" s="13"/>
      <c r="L269" s="33">
        <f>+SUM(START:END!L269)</f>
        <v>0</v>
      </c>
      <c r="M269" s="41"/>
      <c r="N269" s="59">
        <f t="shared" si="113"/>
        <v>0</v>
      </c>
      <c r="O269" s="41"/>
      <c r="P269" s="13"/>
      <c r="Q269" s="33">
        <f>+SUM(START:END!Q269)</f>
        <v>0</v>
      </c>
      <c r="R269" s="41"/>
      <c r="S269" s="85">
        <f t="shared" si="112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 hidden="1">
      <c r="A270" t="str">
        <f t="shared" si="111"/>
        <v>CarrosserieFrais véhicules de cie</v>
      </c>
      <c r="B270" s="11" t="s">
        <v>94</v>
      </c>
      <c r="C270" s="103" t="s">
        <v>51</v>
      </c>
      <c r="D270" s="87"/>
      <c r="E270" s="111"/>
      <c r="F270" s="22">
        <f>+SUM(START:END!F270)</f>
        <v>0</v>
      </c>
      <c r="G270" s="89"/>
      <c r="H270" s="111"/>
      <c r="I270" s="22">
        <f>+SUM(START:END!I270)</f>
        <v>0</v>
      </c>
      <c r="J270" s="23"/>
      <c r="K270" s="111"/>
      <c r="L270" s="33">
        <f>+SUM(START:END!L270)</f>
        <v>0</v>
      </c>
      <c r="M270" s="23"/>
      <c r="N270" s="91">
        <f t="shared" si="113"/>
        <v>0</v>
      </c>
      <c r="O270" s="23"/>
      <c r="P270" s="111"/>
      <c r="Q270" s="33">
        <f>+SUM(START:END!Q270)</f>
        <v>0</v>
      </c>
      <c r="R270" s="23"/>
      <c r="S270" s="92">
        <f t="shared" si="112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 hidden="1">
      <c r="A271" t="str">
        <f t="shared" si="111"/>
        <v>CarrosserieInformatique</v>
      </c>
      <c r="B271" s="11" t="s">
        <v>94</v>
      </c>
      <c r="C271" s="102" t="s">
        <v>52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108">
        <f>+SUM(START:END!L271)</f>
        <v>0</v>
      </c>
      <c r="M271" s="41"/>
      <c r="N271" s="59">
        <f t="shared" si="113"/>
        <v>0</v>
      </c>
      <c r="O271" s="41"/>
      <c r="P271" s="13"/>
      <c r="Q271" s="108">
        <f>+SUM(START:END!Q271)</f>
        <v>0</v>
      </c>
      <c r="R271" s="41"/>
      <c r="S271" s="85">
        <f t="shared" si="112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 hidden="1">
      <c r="A272" t="str">
        <f t="shared" si="111"/>
        <v>CarrosserieFrais de déplacement</v>
      </c>
      <c r="B272" s="11" t="s">
        <v>94</v>
      </c>
      <c r="C272" s="102" t="s">
        <v>53</v>
      </c>
      <c r="D272" s="81"/>
      <c r="E272" s="13"/>
      <c r="F272" s="30">
        <f>+SUM(START:END!F272)</f>
        <v>0</v>
      </c>
      <c r="G272" s="83"/>
      <c r="H272" s="13"/>
      <c r="I272" s="30">
        <f>+SUM(START:END!I272)</f>
        <v>0</v>
      </c>
      <c r="J272" s="41"/>
      <c r="K272" s="13"/>
      <c r="L272" s="33">
        <f>+SUM(START:END!L272)</f>
        <v>0</v>
      </c>
      <c r="M272" s="41"/>
      <c r="N272" s="59">
        <f t="shared" si="113"/>
        <v>0</v>
      </c>
      <c r="O272" s="41"/>
      <c r="P272" s="13"/>
      <c r="Q272" s="33">
        <f>+SUM(START:END!Q272)</f>
        <v>0</v>
      </c>
      <c r="R272" s="41"/>
      <c r="S272" s="85">
        <f t="shared" si="112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 hidden="1">
      <c r="A273" t="str">
        <f t="shared" si="111"/>
        <v>CarrosserieServices extérieurs</v>
      </c>
      <c r="B273" s="11" t="s">
        <v>94</v>
      </c>
      <c r="C273" s="102" t="s">
        <v>54</v>
      </c>
      <c r="D273" s="87"/>
      <c r="E273" s="111"/>
      <c r="F273" s="22">
        <f>+SUM(START:END!F273)</f>
        <v>0</v>
      </c>
      <c r="G273" s="89"/>
      <c r="H273" s="111"/>
      <c r="I273" s="22">
        <f>+SUM(START:END!I273)</f>
        <v>0</v>
      </c>
      <c r="J273" s="23"/>
      <c r="K273" s="111"/>
      <c r="L273" s="33">
        <f>+SUM(START:END!L273)</f>
        <v>0</v>
      </c>
      <c r="M273" s="23"/>
      <c r="N273" s="91">
        <f t="shared" si="113"/>
        <v>0</v>
      </c>
      <c r="O273" s="23"/>
      <c r="P273" s="111"/>
      <c r="Q273" s="22">
        <f>+SUM(START:END!Q273)</f>
        <v>0</v>
      </c>
      <c r="R273" s="23"/>
      <c r="S273" s="92">
        <f t="shared" si="112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 hidden="1">
      <c r="A274" t="str">
        <f t="shared" si="111"/>
        <v>CarrosserieFournitures d'atelier</v>
      </c>
      <c r="B274" s="11" t="s">
        <v>94</v>
      </c>
      <c r="C274" s="211" t="s">
        <v>93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55">
        <f>+SUM(START:END!L274)</f>
        <v>0</v>
      </c>
      <c r="M274" s="41"/>
      <c r="N274" s="59">
        <f t="shared" si="113"/>
        <v>0</v>
      </c>
      <c r="O274" s="41"/>
      <c r="P274" s="13"/>
      <c r="Q274" s="33">
        <f>+SUM(START:END!Q274)</f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 hidden="1">
      <c r="A275" t="str">
        <f t="shared" si="111"/>
        <v>CarrosserieFournitures autres</v>
      </c>
      <c r="B275" s="11" t="s">
        <v>94</v>
      </c>
      <c r="C275" s="102" t="s">
        <v>55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113"/>
        <v>0</v>
      </c>
      <c r="O275" s="41"/>
      <c r="P275" s="13"/>
      <c r="Q275" s="33">
        <f>+SUM(START:END!Q275)</f>
        <v>0</v>
      </c>
      <c r="R275" s="41"/>
      <c r="S275" s="85">
        <f t="shared" ref="S275:S283" si="114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 hidden="1">
      <c r="A276" t="str">
        <f t="shared" si="111"/>
        <v>CarrosserieUniformes</v>
      </c>
      <c r="B276" s="11" t="s">
        <v>94</v>
      </c>
      <c r="C276" s="102" t="s">
        <v>56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3">
        <f>+SUM(START:END!L276)</f>
        <v>0</v>
      </c>
      <c r="M276" s="41"/>
      <c r="N276" s="59">
        <f t="shared" si="113"/>
        <v>0</v>
      </c>
      <c r="O276" s="41"/>
      <c r="P276" s="13"/>
      <c r="Q276" s="33">
        <f>+SUM(START:END!Q276)</f>
        <v>0</v>
      </c>
      <c r="R276" s="41"/>
      <c r="S276" s="85">
        <f t="shared" si="114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 hidden="1">
      <c r="A277" t="str">
        <f t="shared" si="111"/>
        <v>CarrosseriePapeterie</v>
      </c>
      <c r="B277" s="11" t="s">
        <v>94</v>
      </c>
      <c r="C277" s="102" t="s">
        <v>57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2">
        <f>+SUM(START:END!L277)</f>
        <v>0</v>
      </c>
      <c r="M277" s="41"/>
      <c r="N277" s="59">
        <f t="shared" si="113"/>
        <v>0</v>
      </c>
      <c r="O277" s="41"/>
      <c r="P277" s="13"/>
      <c r="Q277" s="32">
        <f>+SUM(START:END!Q277)</f>
        <v>0</v>
      </c>
      <c r="R277" s="41"/>
      <c r="S277" s="85">
        <f t="shared" si="114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 hidden="1">
      <c r="A278" t="str">
        <f t="shared" si="111"/>
        <v>CarrosserieTéléphone</v>
      </c>
      <c r="B278" s="11" t="s">
        <v>94</v>
      </c>
      <c r="C278" s="102" t="s">
        <v>58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113"/>
        <v>0</v>
      </c>
      <c r="O278" s="41"/>
      <c r="P278" s="13"/>
      <c r="Q278" s="33">
        <f>+SUM(START:END!Q278)</f>
        <v>0</v>
      </c>
      <c r="R278" s="41"/>
      <c r="S278" s="85">
        <f t="shared" si="114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 hidden="1">
      <c r="A279" t="str">
        <f t="shared" si="111"/>
        <v>CarrosserieFrais postaux</v>
      </c>
      <c r="B279" s="11" t="s">
        <v>94</v>
      </c>
      <c r="C279" s="102" t="s">
        <v>59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113"/>
        <v>0</v>
      </c>
      <c r="O279" s="41"/>
      <c r="P279" s="13"/>
      <c r="Q279" s="33">
        <f>+SUM(START:END!Q279)</f>
        <v>0</v>
      </c>
      <c r="R279" s="41"/>
      <c r="S279" s="85">
        <f t="shared" si="114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 hidden="1">
      <c r="A280" t="str">
        <f t="shared" si="111"/>
        <v>CarrosserieDivers</v>
      </c>
      <c r="B280" s="11" t="s">
        <v>94</v>
      </c>
      <c r="C280" s="102" t="s">
        <v>60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113"/>
        <v>0</v>
      </c>
      <c r="O280" s="41"/>
      <c r="P280" s="13"/>
      <c r="Q280" s="33">
        <f>+SUM(START:END!Q280)</f>
        <v>0</v>
      </c>
      <c r="R280" s="41"/>
      <c r="S280" s="85">
        <f t="shared" si="114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 hidden="1">
      <c r="A281" t="str">
        <f t="shared" si="111"/>
        <v>CarrosserieFormation</v>
      </c>
      <c r="B281" s="11" t="s">
        <v>94</v>
      </c>
      <c r="C281" s="102" t="s">
        <v>61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113"/>
        <v>0</v>
      </c>
      <c r="O281" s="41"/>
      <c r="P281" s="13"/>
      <c r="Q281" s="33">
        <f>+SUM(START:END!Q281)</f>
        <v>0</v>
      </c>
      <c r="R281" s="41"/>
      <c r="S281" s="85">
        <f t="shared" si="114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111"/>
        <v>CarrosserieFrais bancaires</v>
      </c>
      <c r="B282" s="11" t="s">
        <v>94</v>
      </c>
      <c r="C282" s="102" t="s">
        <v>62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113"/>
        <v>0</v>
      </c>
      <c r="O282" s="41"/>
      <c r="P282" s="13"/>
      <c r="Q282" s="33">
        <f>+SUM(START:END!Q282)</f>
        <v>0</v>
      </c>
      <c r="R282" s="41"/>
      <c r="S282" s="85">
        <f t="shared" si="114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111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113"/>
        <v>0</v>
      </c>
      <c r="O283" s="41"/>
      <c r="P283" s="13"/>
      <c r="Q283" s="33">
        <f>+SUM(START:END!Q283)</f>
        <v>0</v>
      </c>
      <c r="R283" s="41"/>
      <c r="S283" s="85">
        <f t="shared" si="114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111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113"/>
        <v>0</v>
      </c>
      <c r="O284" s="41"/>
      <c r="P284" s="13"/>
      <c r="Q284" s="33">
        <f>+SUM(START:END!Q284)</f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 hidden="1">
      <c r="A285" t="str">
        <f t="shared" si="111"/>
        <v>Carrosserie[...]</v>
      </c>
      <c r="B285" s="11" t="s">
        <v>94</v>
      </c>
      <c r="C285" s="102" t="s">
        <v>19</v>
      </c>
      <c r="D285" s="81"/>
      <c r="E285" s="13"/>
      <c r="F285" s="30">
        <f>+SUM(START:END!F285)</f>
        <v>0</v>
      </c>
      <c r="G285" s="83"/>
      <c r="H285" s="13"/>
      <c r="I285" s="30">
        <f>+SUM(START:END!I285)</f>
        <v>0</v>
      </c>
      <c r="J285" s="41"/>
      <c r="K285" s="13"/>
      <c r="L285" s="33">
        <f>+SUM(START:END!L285)</f>
        <v>0</v>
      </c>
      <c r="M285" s="41"/>
      <c r="N285" s="59">
        <f t="shared" si="113"/>
        <v>0</v>
      </c>
      <c r="O285" s="41"/>
      <c r="P285" s="13"/>
      <c r="Q285" s="33">
        <f>+SUM(START:END!Q285)</f>
        <v>0</v>
      </c>
      <c r="R285" s="41"/>
      <c r="S285" s="85">
        <f t="shared" ref="S285" si="115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 hidden="1">
      <c r="B286" s="11"/>
      <c r="C286" s="93" t="s">
        <v>63</v>
      </c>
      <c r="D286" s="94" t="s">
        <v>38</v>
      </c>
      <c r="E286" s="95" t="e">
        <f>F286/F$250</f>
        <v>#DIV/0!</v>
      </c>
      <c r="F286" s="96">
        <f>+SUM(F268:F285)</f>
        <v>0</v>
      </c>
      <c r="G286" s="97" t="s">
        <v>38</v>
      </c>
      <c r="H286" s="95" t="e">
        <f>I286/I$250</f>
        <v>#DIV/0!</v>
      </c>
      <c r="I286" s="96">
        <f>+SUM(I268:I285)</f>
        <v>0</v>
      </c>
      <c r="J286" s="97" t="s">
        <v>38</v>
      </c>
      <c r="K286" s="95" t="e">
        <f>L286/L$250</f>
        <v>#DIV/0!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 t="e">
        <f>Q286/Q$250</f>
        <v>#DIV/0!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 hidden="1">
      <c r="B288" s="11"/>
      <c r="C288" s="93" t="s">
        <v>64</v>
      </c>
      <c r="D288" s="94" t="s">
        <v>38</v>
      </c>
      <c r="E288" s="95" t="e">
        <f>F288/F$250</f>
        <v>#DIV/0!</v>
      </c>
      <c r="F288" s="96">
        <f>F267+F286</f>
        <v>0</v>
      </c>
      <c r="G288" s="97" t="s">
        <v>38</v>
      </c>
      <c r="H288" s="95" t="e">
        <f>I288/I$250</f>
        <v>#DIV/0!</v>
      </c>
      <c r="I288" s="96">
        <f>I267+I286</f>
        <v>0</v>
      </c>
      <c r="J288" s="97" t="s">
        <v>38</v>
      </c>
      <c r="K288" s="95" t="e">
        <f>L288/L$250</f>
        <v>#DIV/0!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 t="e">
        <f>Q288/Q$250</f>
        <v>#DIV/0!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25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>
        <f>L289-F289</f>
        <v>0</v>
      </c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>
        <f>I251-I288</f>
        <v>0</v>
      </c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25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25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  Q2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" thickTop="1">
      <c r="B294" s="11"/>
      <c r="C294" s="12"/>
      <c r="D294" s="510" t="s">
        <v>5</v>
      </c>
      <c r="E294" s="511"/>
      <c r="F294" s="512"/>
      <c r="G294" s="513" t="s">
        <v>71</v>
      </c>
      <c r="H294" s="511"/>
      <c r="I294" s="512"/>
      <c r="J294" s="513" t="s">
        <v>7</v>
      </c>
      <c r="K294" s="511"/>
      <c r="L294" s="512"/>
      <c r="M294" s="513" t="s">
        <v>212</v>
      </c>
      <c r="N294" s="512"/>
      <c r="O294" s="510" t="s">
        <v>8</v>
      </c>
      <c r="P294" s="511"/>
      <c r="Q294" s="512"/>
      <c r="R294" s="508" t="s">
        <v>213</v>
      </c>
      <c r="S294" s="509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ref="A295:A299" si="116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 t="s">
        <v>79</v>
      </c>
      <c r="H295" s="80" t="s">
        <v>99</v>
      </c>
      <c r="I295" s="134" t="s">
        <v>12</v>
      </c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116"/>
        <v>PiècesPièces Ro Clients</v>
      </c>
      <c r="B296" s="11" t="s">
        <v>98</v>
      </c>
      <c r="C296" s="29" t="s">
        <v>100</v>
      </c>
      <c r="D296" s="82">
        <f>+SUM(START:END!D296)</f>
        <v>207352.58304994123</v>
      </c>
      <c r="E296" s="147">
        <f>IF(D296=0,0,F296/D296)</f>
        <v>0.40200000000000002</v>
      </c>
      <c r="F296" s="85">
        <f>+SUM(START:END!F296)</f>
        <v>83355.73838607638</v>
      </c>
      <c r="G296" s="82">
        <f>+SUM(START:END!G296)</f>
        <v>0</v>
      </c>
      <c r="H296" s="147">
        <f>IF(G296=0,0,I296/G296)</f>
        <v>0</v>
      </c>
      <c r="I296" s="85">
        <f>+SUM(START:END!I296)</f>
        <v>0</v>
      </c>
      <c r="J296" s="30">
        <f>+SUM(START:END!J296)</f>
        <v>271731.04000000004</v>
      </c>
      <c r="K296" s="147">
        <f>IF(J296=0,0,L296/J296)</f>
        <v>0.36710093922284326</v>
      </c>
      <c r="L296" s="33">
        <f>+SUM(START:END!L296)</f>
        <v>99752.72</v>
      </c>
      <c r="M296" s="156">
        <f t="shared" ref="M296:M302" si="117">(+J296-D296)/D296</f>
        <v>0.31047820096146644</v>
      </c>
      <c r="N296" s="59">
        <f t="shared" ref="N296:N305" si="118">L296-F296</f>
        <v>16396.981613923621</v>
      </c>
      <c r="O296" s="30">
        <f>+SUM(START:END!O296)</f>
        <v>190491.29999999981</v>
      </c>
      <c r="P296" s="147">
        <f>IF(O296=0,0,Q296/O296)</f>
        <v>0.40094949218153147</v>
      </c>
      <c r="Q296" s="33">
        <f>+SUM(START:END!Q296)</f>
        <v>76377.389999999694</v>
      </c>
      <c r="R296" s="156">
        <f>IF(O296=0,0,(J296-O296)/O296)</f>
        <v>0.42647480488610401</v>
      </c>
      <c r="S296" s="85">
        <f t="shared" ref="S296:S301" si="119">L296-Q296</f>
        <v>23375.330000000307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116"/>
        <v>PiècesPièces Ro Carrosserie</v>
      </c>
      <c r="B297" s="11" t="s">
        <v>98</v>
      </c>
      <c r="C297" s="29" t="s">
        <v>101</v>
      </c>
      <c r="D297" s="82">
        <f>+SUM(START:END!D297)</f>
        <v>0</v>
      </c>
      <c r="E297" s="147">
        <f t="shared" ref="E297:E304" si="120">IF(D297=0,0,F297/D297)</f>
        <v>0</v>
      </c>
      <c r="F297" s="85">
        <f>+SUM(START:END!F297)</f>
        <v>0</v>
      </c>
      <c r="G297" s="82">
        <f>+SUM(START:END!G297)</f>
        <v>0</v>
      </c>
      <c r="H297" s="147">
        <f t="shared" ref="H297:H304" si="121">IF(G297=0,0,I297/G297)</f>
        <v>0</v>
      </c>
      <c r="I297" s="85">
        <f>+SUM(START:END!I297)</f>
        <v>0</v>
      </c>
      <c r="J297" s="30">
        <f>+SUM(START:END!J297)</f>
        <v>0</v>
      </c>
      <c r="K297" s="147">
        <f t="shared" ref="K297:K304" si="122">IF(J297=0,0,L297/J297)</f>
        <v>0</v>
      </c>
      <c r="L297" s="33">
        <f>+SUM(START:END!L297)</f>
        <v>0</v>
      </c>
      <c r="M297" s="156" t="e">
        <f t="shared" si="117"/>
        <v>#DIV/0!</v>
      </c>
      <c r="N297" s="59">
        <f t="shared" si="118"/>
        <v>0</v>
      </c>
      <c r="O297" s="30">
        <f>+SUM(START:END!O297)</f>
        <v>5327.3099999999995</v>
      </c>
      <c r="P297" s="147">
        <f t="shared" ref="P297:P304" si="123">IF(O297=0,0,Q297/O297)</f>
        <v>0.28271679327840865</v>
      </c>
      <c r="Q297" s="33">
        <f>+SUM(START:END!Q297)</f>
        <v>1506.119999999999</v>
      </c>
      <c r="R297" s="156">
        <f t="shared" ref="R297:R301" si="124">IF(O297=0,0,(J297-O297)/O297)</f>
        <v>-1</v>
      </c>
      <c r="S297" s="85">
        <f t="shared" si="119"/>
        <v>-1506.119999999999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116"/>
        <v>PiècesP/A Garantie</v>
      </c>
      <c r="B298" s="11" t="s">
        <v>98</v>
      </c>
      <c r="C298" s="29" t="s">
        <v>102</v>
      </c>
      <c r="D298" s="82">
        <f>+SUM(START:END!D298)</f>
        <v>171358.82147512108</v>
      </c>
      <c r="E298" s="147">
        <f t="shared" si="120"/>
        <v>0.27700000000000002</v>
      </c>
      <c r="F298" s="85">
        <f>+SUM(START:END!F298)</f>
        <v>47466.393548608539</v>
      </c>
      <c r="G298" s="82">
        <f>+SUM(START:END!G298)</f>
        <v>0</v>
      </c>
      <c r="H298" s="147">
        <f t="shared" si="121"/>
        <v>0</v>
      </c>
      <c r="I298" s="85">
        <f>+SUM(START:END!I298)</f>
        <v>0</v>
      </c>
      <c r="J298" s="30">
        <f>+SUM(START:END!J298)</f>
        <v>183228</v>
      </c>
      <c r="K298" s="147">
        <f t="shared" si="122"/>
        <v>0.28783068090029906</v>
      </c>
      <c r="L298" s="33">
        <f>+SUM(START:END!L298)</f>
        <v>52738.639999999992</v>
      </c>
      <c r="M298" s="156">
        <f t="shared" si="117"/>
        <v>6.9265056929690455E-2</v>
      </c>
      <c r="N298" s="59">
        <f t="shared" si="118"/>
        <v>5272.2464513914529</v>
      </c>
      <c r="O298" s="30">
        <f>+SUM(START:END!O298)</f>
        <v>206403.41</v>
      </c>
      <c r="P298" s="147">
        <f t="shared" si="123"/>
        <v>0.27078283251231167</v>
      </c>
      <c r="Q298" s="33">
        <f>+SUM(START:END!Q298)</f>
        <v>55890.5</v>
      </c>
      <c r="R298" s="156">
        <f t="shared" si="124"/>
        <v>-0.11228210812989961</v>
      </c>
      <c r="S298" s="85">
        <f t="shared" si="119"/>
        <v>-3151.8600000000079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116"/>
        <v>PiècesVentes Internes</v>
      </c>
      <c r="B299" s="11" t="s">
        <v>98</v>
      </c>
      <c r="C299" s="29" t="s">
        <v>103</v>
      </c>
      <c r="D299" s="82">
        <f>+SUM(START:END!D299)</f>
        <v>111600</v>
      </c>
      <c r="E299" s="147">
        <f t="shared" si="120"/>
        <v>0.33800000000000002</v>
      </c>
      <c r="F299" s="85">
        <f>+SUM(START:END!F299)</f>
        <v>37720.800000000003</v>
      </c>
      <c r="G299" s="82">
        <f>+SUM(START:END!G299)</f>
        <v>0</v>
      </c>
      <c r="H299" s="147">
        <f t="shared" si="121"/>
        <v>0</v>
      </c>
      <c r="I299" s="85">
        <f>+SUM(START:END!I299)</f>
        <v>0</v>
      </c>
      <c r="J299" s="30">
        <f>+SUM(START:END!J299)</f>
        <v>67898.92</v>
      </c>
      <c r="K299" s="147">
        <f t="shared" si="122"/>
        <v>0.27508935340945045</v>
      </c>
      <c r="L299" s="33">
        <f>+SUM(START:END!L299)</f>
        <v>18678.270000000004</v>
      </c>
      <c r="M299" s="156">
        <f t="shared" si="117"/>
        <v>-0.39158673835125452</v>
      </c>
      <c r="N299" s="59">
        <f t="shared" si="118"/>
        <v>-19042.53</v>
      </c>
      <c r="O299" s="30">
        <f>+SUM(START:END!O299)</f>
        <v>85368.41</v>
      </c>
      <c r="P299" s="147">
        <f t="shared" si="123"/>
        <v>0.32368964116820248</v>
      </c>
      <c r="Q299" s="33">
        <f>+SUM(START:END!Q299)</f>
        <v>27632.869999999988</v>
      </c>
      <c r="R299" s="156">
        <f t="shared" si="124"/>
        <v>-0.20463646915761938</v>
      </c>
      <c r="S299" s="85">
        <f t="shared" si="119"/>
        <v>-8954.599999999984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ref="A300:A309" si="125">+B300&amp;C300</f>
        <v>PiècesVentes Détails</v>
      </c>
      <c r="B300" s="11" t="s">
        <v>98</v>
      </c>
      <c r="C300" s="29" t="s">
        <v>104</v>
      </c>
      <c r="D300" s="82">
        <f>+SUM(START:END!D300)</f>
        <v>57354.818607990426</v>
      </c>
      <c r="E300" s="147">
        <f t="shared" si="120"/>
        <v>0.33099999999999996</v>
      </c>
      <c r="F300" s="85">
        <f>+SUM(START:END!F300)</f>
        <v>18984.444959244829</v>
      </c>
      <c r="G300" s="82">
        <f>+SUM(START:END!G300)</f>
        <v>0</v>
      </c>
      <c r="H300" s="147">
        <f t="shared" si="121"/>
        <v>0</v>
      </c>
      <c r="I300" s="85">
        <f>+SUM(START:END!I300)</f>
        <v>0</v>
      </c>
      <c r="J300" s="30">
        <f>+SUM(START:END!J300)</f>
        <v>80677.19</v>
      </c>
      <c r="K300" s="147">
        <f t="shared" si="122"/>
        <v>0.35946219743151692</v>
      </c>
      <c r="L300" s="33">
        <f>+SUM(START:END!L300)</f>
        <v>29000.400000000005</v>
      </c>
      <c r="M300" s="156">
        <f t="shared" si="117"/>
        <v>0.40663316453694448</v>
      </c>
      <c r="N300" s="59">
        <f t="shared" si="118"/>
        <v>10015.955040755176</v>
      </c>
      <c r="O300" s="30">
        <f>+SUM(START:END!O300)</f>
        <v>57151.54</v>
      </c>
      <c r="P300" s="147">
        <f t="shared" si="123"/>
        <v>0.31689767239867878</v>
      </c>
      <c r="Q300" s="33">
        <f>+SUM(START:END!Q300)</f>
        <v>18111.189999999988</v>
      </c>
      <c r="R300" s="156">
        <f t="shared" si="124"/>
        <v>0.41163632686013363</v>
      </c>
      <c r="S300" s="85">
        <f t="shared" si="119"/>
        <v>10889.210000000017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>
      <c r="A301" t="str">
        <f t="shared" si="125"/>
        <v>PiècesVentes de Gros</v>
      </c>
      <c r="B301" s="11" t="s">
        <v>98</v>
      </c>
      <c r="C301" s="29" t="s">
        <v>105</v>
      </c>
      <c r="D301" s="82">
        <f>+SUM(START:END!D301)</f>
        <v>278400</v>
      </c>
      <c r="E301" s="147">
        <f t="shared" si="120"/>
        <v>0.2</v>
      </c>
      <c r="F301" s="85">
        <f>+SUM(START:END!F301)</f>
        <v>55680</v>
      </c>
      <c r="G301" s="82">
        <f>+SUM(START:END!G301)</f>
        <v>0</v>
      </c>
      <c r="H301" s="147">
        <f t="shared" si="121"/>
        <v>0</v>
      </c>
      <c r="I301" s="85">
        <f>+SUM(START:END!I301)</f>
        <v>0</v>
      </c>
      <c r="J301" s="30">
        <f>+SUM(START:END!J301)</f>
        <v>233963.96000000002</v>
      </c>
      <c r="K301" s="147">
        <f t="shared" si="122"/>
        <v>0.18140191335451838</v>
      </c>
      <c r="L301" s="33">
        <f>+SUM(START:END!L301)</f>
        <v>42441.510000000009</v>
      </c>
      <c r="M301" s="156">
        <f t="shared" si="117"/>
        <v>-0.15961221264367809</v>
      </c>
      <c r="N301" s="59">
        <f t="shared" si="118"/>
        <v>-13238.489999999991</v>
      </c>
      <c r="O301" s="30">
        <f>+SUM(START:END!O301)</f>
        <v>213229.32</v>
      </c>
      <c r="P301" s="147">
        <f t="shared" si="123"/>
        <v>0.18042631285416047</v>
      </c>
      <c r="Q301" s="33">
        <f>+SUM(START:END!Q301)</f>
        <v>38472.179999999898</v>
      </c>
      <c r="R301" s="156">
        <f t="shared" si="124"/>
        <v>9.7241036082655108E-2</v>
      </c>
      <c r="S301" s="85">
        <f t="shared" si="119"/>
        <v>3969.3300000001109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 hidden="1">
      <c r="A302" t="str">
        <f t="shared" si="125"/>
        <v>Pièces[...]</v>
      </c>
      <c r="B302" s="11" t="s">
        <v>98</v>
      </c>
      <c r="C302" s="29" t="s">
        <v>19</v>
      </c>
      <c r="D302" s="82">
        <f>+SUM(START:END!D302)</f>
        <v>0</v>
      </c>
      <c r="E302" s="147">
        <f t="shared" si="120"/>
        <v>0</v>
      </c>
      <c r="F302" s="85">
        <f>+SUM(START:END!F302)</f>
        <v>0</v>
      </c>
      <c r="G302" s="82">
        <f>+SUM(START:END!G302)</f>
        <v>0</v>
      </c>
      <c r="H302" s="147">
        <f t="shared" si="121"/>
        <v>0</v>
      </c>
      <c r="I302" s="85">
        <f>+SUM(START:END!I302)</f>
        <v>0</v>
      </c>
      <c r="J302" s="30">
        <f>+SUM(START:END!J302)</f>
        <v>0</v>
      </c>
      <c r="K302" s="147">
        <f t="shared" si="122"/>
        <v>0</v>
      </c>
      <c r="L302" s="33">
        <f>+SUM(START:END!L302)</f>
        <v>0</v>
      </c>
      <c r="M302" s="156" t="e">
        <f t="shared" si="117"/>
        <v>#DIV/0!</v>
      </c>
      <c r="N302" s="59">
        <f t="shared" si="118"/>
        <v>0</v>
      </c>
      <c r="O302" s="30">
        <f>+SUM(START:END!O302)</f>
        <v>0</v>
      </c>
      <c r="P302" s="147">
        <f t="shared" si="123"/>
        <v>0</v>
      </c>
      <c r="Q302" s="33">
        <f>+SUM(START:END!Q302)</f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125"/>
        <v>PiècesEscomptes</v>
      </c>
      <c r="B303" s="11" t="s">
        <v>98</v>
      </c>
      <c r="C303" s="29" t="s">
        <v>106</v>
      </c>
      <c r="D303" s="82">
        <f>+SUM(START:END!D303)</f>
        <v>0</v>
      </c>
      <c r="E303" s="147">
        <f t="shared" si="120"/>
        <v>0</v>
      </c>
      <c r="F303" s="85">
        <f>+SUM(START:END!F303)</f>
        <v>30595.045301224174</v>
      </c>
      <c r="G303" s="82">
        <f>+SUM(START:END!G303)</f>
        <v>0</v>
      </c>
      <c r="H303" s="147">
        <f t="shared" si="121"/>
        <v>0</v>
      </c>
      <c r="I303" s="85">
        <f>+SUM(START:END!I303)</f>
        <v>0</v>
      </c>
      <c r="J303" s="30">
        <f>+SUM(START:END!J303)</f>
        <v>0</v>
      </c>
      <c r="K303" s="147">
        <f t="shared" si="122"/>
        <v>0</v>
      </c>
      <c r="L303" s="33">
        <f>+SUM(START:END!L303)</f>
        <v>19630.2</v>
      </c>
      <c r="M303" s="156"/>
      <c r="N303" s="59">
        <f t="shared" si="118"/>
        <v>-10964.845301224173</v>
      </c>
      <c r="O303" s="30">
        <f>+SUM(START:END!O303)</f>
        <v>0</v>
      </c>
      <c r="P303" s="147">
        <f t="shared" si="123"/>
        <v>0</v>
      </c>
      <c r="Q303" s="33">
        <f>+SUM(START:END!Q303)</f>
        <v>29649.71</v>
      </c>
      <c r="R303" s="156">
        <f t="shared" ref="R303:R304" si="126">IF(O303=0,0,(J303-O303)/O303)</f>
        <v>0</v>
      </c>
      <c r="S303" s="85">
        <f>L303-Q303</f>
        <v>-10019.509999999998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125"/>
        <v>PiècesRectif. Inventaire</v>
      </c>
      <c r="B304" s="11" t="s">
        <v>98</v>
      </c>
      <c r="C304" s="86" t="s">
        <v>107</v>
      </c>
      <c r="D304" s="82">
        <f>+SUM(START:END!D304)</f>
        <v>0</v>
      </c>
      <c r="E304" s="147">
        <f t="shared" si="120"/>
        <v>0</v>
      </c>
      <c r="F304" s="85">
        <f>+SUM(START:END!F304)</f>
        <v>0</v>
      </c>
      <c r="G304" s="82">
        <f>+SUM(START:END!G304)</f>
        <v>0</v>
      </c>
      <c r="H304" s="147">
        <f t="shared" si="121"/>
        <v>0</v>
      </c>
      <c r="I304" s="85">
        <f>+SUM(START:END!I304)</f>
        <v>0</v>
      </c>
      <c r="J304" s="30">
        <f>+SUM(START:END!J304)</f>
        <v>0</v>
      </c>
      <c r="K304" s="147">
        <f t="shared" si="122"/>
        <v>0</v>
      </c>
      <c r="L304" s="33">
        <f>+SUM(START:END!L304)</f>
        <v>0</v>
      </c>
      <c r="M304" s="156"/>
      <c r="N304" s="59">
        <f t="shared" si="118"/>
        <v>0</v>
      </c>
      <c r="O304" s="30">
        <f>+SUM(START:END!O304)</f>
        <v>0</v>
      </c>
      <c r="P304" s="147">
        <f t="shared" si="123"/>
        <v>0</v>
      </c>
      <c r="Q304" s="33">
        <f>+SUM(START:END!Q304)</f>
        <v>0</v>
      </c>
      <c r="R304" s="156">
        <f t="shared" si="126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125"/>
        <v>PiècesSous-total Pièces</v>
      </c>
      <c r="B305" s="11" t="s">
        <v>98</v>
      </c>
      <c r="C305" s="53" t="s">
        <v>108</v>
      </c>
      <c r="D305" s="194">
        <f>SUM(D296:D304)</f>
        <v>826066.2231330527</v>
      </c>
      <c r="E305" s="212">
        <f>IF(D305&lt;=0,0,F305/D305)</f>
        <v>0.33145335631408956</v>
      </c>
      <c r="F305" s="198">
        <f>SUM(F296:F304)</f>
        <v>273802.42219515395</v>
      </c>
      <c r="G305" s="194">
        <f>SUM(G296:G304)</f>
        <v>0</v>
      </c>
      <c r="H305" s="212">
        <f>IF(G305&lt;=0,0,I305/G305)</f>
        <v>0</v>
      </c>
      <c r="I305" s="198">
        <f>SUM(I296:I304)</f>
        <v>0</v>
      </c>
      <c r="J305" s="194">
        <f>SUM(J296:J304)</f>
        <v>837499.1100000001</v>
      </c>
      <c r="K305" s="212">
        <f>IF(J305&lt;=0,0,L305/J305)</f>
        <v>0.31312479842515889</v>
      </c>
      <c r="L305" s="196">
        <f>SUM(L296:L304)</f>
        <v>262241.74</v>
      </c>
      <c r="M305" s="213">
        <f>(+J305-D305)/D305</f>
        <v>1.3840157782490439E-2</v>
      </c>
      <c r="N305" s="196">
        <f t="shared" si="118"/>
        <v>-11560.68219515396</v>
      </c>
      <c r="O305" s="194">
        <f>SUM(O296:O304)</f>
        <v>757971.2899999998</v>
      </c>
      <c r="P305" s="212">
        <f>IF(O305&lt;=0,0,Q305/O305)</f>
        <v>0.32671416881766013</v>
      </c>
      <c r="Q305" s="196">
        <f>SUM(Q296:Q304)</f>
        <v>247639.95999999956</v>
      </c>
      <c r="R305" s="213">
        <f>IF(O305=0,0,(J305-O305)/O305)</f>
        <v>0.10492194236011276</v>
      </c>
      <c r="S305" s="198">
        <f>L305-Q305</f>
        <v>14601.780000000435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125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-4.2222717032481295E-2</v>
      </c>
      <c r="O306" s="41"/>
      <c r="P306" s="13"/>
      <c r="Q306" s="40"/>
      <c r="R306" s="41"/>
      <c r="S306" s="44">
        <f>IF(Q305=0,0,S305/Q305)</f>
        <v>5.8963747207843441E-2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125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125"/>
        <v>PiècesVentes Pneus</v>
      </c>
      <c r="B308" s="11" t="s">
        <v>98</v>
      </c>
      <c r="C308" s="29" t="s">
        <v>109</v>
      </c>
      <c r="D308" s="82">
        <f>+SUM(START:END!D308)</f>
        <v>296846.64282492158</v>
      </c>
      <c r="E308" s="147">
        <f>IF(D308=0,0,F308/D308)</f>
        <v>0.25</v>
      </c>
      <c r="F308" s="110">
        <f>+SUM(START:END!F308)</f>
        <v>74211.660706230396</v>
      </c>
      <c r="G308" s="82">
        <f>+SUM(START:END!G308)</f>
        <v>0</v>
      </c>
      <c r="H308" s="147">
        <f>IF(G308=0,0,I308/G308)</f>
        <v>0</v>
      </c>
      <c r="I308" s="110">
        <f>+SUM(START:END!I308)</f>
        <v>0</v>
      </c>
      <c r="J308" s="30">
        <f>+SUM(START:END!J308)</f>
        <v>220588.83</v>
      </c>
      <c r="K308" s="147">
        <f>IF(J308=0,0,L308/J308)</f>
        <v>0.241278490846522</v>
      </c>
      <c r="L308" s="33">
        <f>+SUM(START:END!L308)</f>
        <v>53223.34</v>
      </c>
      <c r="M308" s="156">
        <f>(+J308-D308)/D308</f>
        <v>-0.2568929602815081</v>
      </c>
      <c r="N308" s="59">
        <f>L308-F308</f>
        <v>-20988.320706230399</v>
      </c>
      <c r="O308" s="30">
        <f>+SUM(START:END!O308)</f>
        <v>277695.29000000004</v>
      </c>
      <c r="P308" s="147">
        <f>IF(O308=0,0,Q308/O308)</f>
        <v>0.24171375034844808</v>
      </c>
      <c r="Q308" s="33">
        <f>+SUM(START:END!Q308)</f>
        <v>67122.769999999902</v>
      </c>
      <c r="R308" s="156">
        <f>IF(O308=0,0,(J308-O308)/O308)</f>
        <v>-0.20564432331567467</v>
      </c>
      <c r="S308" s="85">
        <f>L308-Q308</f>
        <v>-13899.429999999906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125"/>
        <v>PiècesHuiles et Graisse</v>
      </c>
      <c r="B309" s="11" t="s">
        <v>98</v>
      </c>
      <c r="C309" s="86" t="s">
        <v>110</v>
      </c>
      <c r="D309" s="82">
        <f>+SUM(START:END!D309)</f>
        <v>41604.998105099825</v>
      </c>
      <c r="E309" s="147">
        <f>IF(D309=0,0,F309/D309)</f>
        <v>0.35499999999999998</v>
      </c>
      <c r="F309" s="92">
        <f>+SUM(START:END!F309)</f>
        <v>14769.774327310437</v>
      </c>
      <c r="G309" s="82">
        <f>+SUM(START:END!G309)</f>
        <v>0</v>
      </c>
      <c r="H309" s="147">
        <f>IF(G309=0,0,I309/G309)</f>
        <v>0</v>
      </c>
      <c r="I309" s="92">
        <f>+SUM(START:END!I309)</f>
        <v>0</v>
      </c>
      <c r="J309" s="30">
        <f>+SUM(START:END!J309)</f>
        <v>46704.020000000004</v>
      </c>
      <c r="K309" s="147">
        <f>IF(J309=0,0,L309/J309)</f>
        <v>0.33821885139651786</v>
      </c>
      <c r="L309" s="33">
        <f>+SUM(START:END!L309)</f>
        <v>15796.18</v>
      </c>
      <c r="M309" s="156">
        <f>(+J309-D309)/D309</f>
        <v>0.12255791676806146</v>
      </c>
      <c r="N309" s="59">
        <f>L309-F309</f>
        <v>1026.4056726895633</v>
      </c>
      <c r="O309" s="30">
        <f>+SUM(START:END!O309)</f>
        <v>38688.660000000003</v>
      </c>
      <c r="P309" s="147">
        <f>IF(O309=0,0,Q309/O309)</f>
        <v>0.36306788604205981</v>
      </c>
      <c r="Q309" s="33">
        <f>+SUM(START:END!Q309)</f>
        <v>14046.609999999999</v>
      </c>
      <c r="R309" s="156">
        <f>IF(O309=0,0,(J309-O309)/O309)</f>
        <v>0.20717595285026671</v>
      </c>
      <c r="S309" s="85">
        <f>L309-Q309</f>
        <v>1749.5700000000015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ref="A310:A319" si="127">+B310&amp;C310</f>
        <v>PiècesSous-total Pièces et Acc.</v>
      </c>
      <c r="B310" s="11" t="s">
        <v>98</v>
      </c>
      <c r="C310" s="53" t="s">
        <v>111</v>
      </c>
      <c r="D310" s="194">
        <f>D305+D308+D309</f>
        <v>1164517.8640630741</v>
      </c>
      <c r="E310" s="212">
        <f>IF(D310&lt;=0,0,F310/D310)</f>
        <v>0.31153138000212355</v>
      </c>
      <c r="F310" s="196">
        <f>F305+F308+F309</f>
        <v>362783.85722869477</v>
      </c>
      <c r="G310" s="197">
        <f>G305+G308+G309</f>
        <v>0</v>
      </c>
      <c r="H310" s="212">
        <f>IF(G310&lt;=0,0,I310/G310)</f>
        <v>0</v>
      </c>
      <c r="I310" s="196">
        <f>I305+I308+I309</f>
        <v>0</v>
      </c>
      <c r="J310" s="197">
        <f>J305+J308+J309</f>
        <v>1104791.9600000002</v>
      </c>
      <c r="K310" s="212">
        <f>IF(J310&lt;=0,0,L310/J310)</f>
        <v>0.29984039710064497</v>
      </c>
      <c r="L310" s="196">
        <f>L305+L308+L309</f>
        <v>331261.25999999995</v>
      </c>
      <c r="M310" s="213">
        <f>(+J310-D310)/D310</f>
        <v>-5.1288096049198061E-2</v>
      </c>
      <c r="N310" s="196">
        <f>L310-F310</f>
        <v>-31522.597228694824</v>
      </c>
      <c r="O310" s="197">
        <f>O305+O308+O309</f>
        <v>1074355.2399999998</v>
      </c>
      <c r="P310" s="212">
        <f>IF(O310&lt;=0,0,Q310/O310)</f>
        <v>0.30605271679039747</v>
      </c>
      <c r="Q310" s="196">
        <f>Q305+Q308+Q309</f>
        <v>328809.33999999944</v>
      </c>
      <c r="R310" s="213">
        <f>IF(O310=0,0,(J310-O310)/O310)</f>
        <v>2.8330219713919247E-2</v>
      </c>
      <c r="S310" s="198">
        <f>L310-Q310</f>
        <v>2451.9200000005076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127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-8.6890848643310328E-2</v>
      </c>
      <c r="O311" s="41"/>
      <c r="P311" s="13"/>
      <c r="Q311" s="40"/>
      <c r="R311" s="41"/>
      <c r="S311" s="44">
        <f>IF(Q310=0,0,S310/Q310)</f>
        <v>7.4569657905718609E-3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127"/>
        <v>PiècesPièces recond. MCPA</v>
      </c>
      <c r="B312" s="11" t="s">
        <v>98</v>
      </c>
      <c r="C312" s="29" t="s">
        <v>189</v>
      </c>
      <c r="D312" s="13">
        <f>+SUM(START:END!D312)</f>
        <v>0</v>
      </c>
      <c r="E312" s="13">
        <f>IF(D312=0,0,F312/D312)</f>
        <v>0</v>
      </c>
      <c r="F312" s="40">
        <f>+SUM(START:END!F312)</f>
        <v>0</v>
      </c>
      <c r="G312" s="41">
        <f>+SUM(START:END!G312)</f>
        <v>0</v>
      </c>
      <c r="H312" s="13">
        <f>IF(G312=0,0,I312/G312)</f>
        <v>0</v>
      </c>
      <c r="I312" s="40">
        <f>+SUM(START:END!I312)</f>
        <v>0</v>
      </c>
      <c r="J312" s="41">
        <f>+SUM(START:END!J312)</f>
        <v>0</v>
      </c>
      <c r="K312" s="13">
        <f>IF(J312=0,0,L312/J312)</f>
        <v>0</v>
      </c>
      <c r="L312" s="40">
        <f>+SUM(START:END!L312)</f>
        <v>0</v>
      </c>
      <c r="M312" s="41"/>
      <c r="N312" s="43"/>
      <c r="O312" s="41">
        <f>+SUM(START:END!O312)</f>
        <v>0</v>
      </c>
      <c r="P312" s="13">
        <f>IF(O312=0,0,Q312/O312)</f>
        <v>0</v>
      </c>
      <c r="Q312" s="40">
        <f>+SUM(START:END!Q312)</f>
        <v>0</v>
      </c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25">
      <c r="A313" t="str">
        <f t="shared" si="127"/>
        <v>PiècesAutostock</v>
      </c>
      <c r="B313" s="11" t="s">
        <v>98</v>
      </c>
      <c r="C313" s="86" t="s">
        <v>112</v>
      </c>
      <c r="D313" s="90">
        <f>+SUM(START:END!D313)</f>
        <v>0</v>
      </c>
      <c r="E313" s="216">
        <f>IF(D313=0,0,F313/D313)</f>
        <v>0</v>
      </c>
      <c r="F313" s="145">
        <f>+SUM(START:END!F313)</f>
        <v>0</v>
      </c>
      <c r="G313" s="171">
        <f>+SUM(START:END!G313)</f>
        <v>0</v>
      </c>
      <c r="H313" s="216">
        <f>IF(G313=0,0,I313/G313)</f>
        <v>0</v>
      </c>
      <c r="I313" s="145">
        <f>+SUM(START:END!I313)</f>
        <v>0</v>
      </c>
      <c r="J313" s="46">
        <f>+SUM(START:END!J313)</f>
        <v>0</v>
      </c>
      <c r="K313" s="217">
        <f>IF(J313=0,0,L313/J313)</f>
        <v>0</v>
      </c>
      <c r="L313" s="22">
        <f>+SUM(START:END!L313)</f>
        <v>0</v>
      </c>
      <c r="M313" s="217">
        <f>IF(F313=0,0,(+L313-F313)/F313)</f>
        <v>0</v>
      </c>
      <c r="N313" s="91">
        <f>L313-F313</f>
        <v>0</v>
      </c>
      <c r="O313" s="46">
        <f>+SUM(START:END!O313)</f>
        <v>0</v>
      </c>
      <c r="P313" s="217">
        <f>IF(O313=0,0,Q313/O313)</f>
        <v>0</v>
      </c>
      <c r="Q313" s="22">
        <f>+SUM(START:END!Q313)</f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127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Top="1">
      <c r="A315" t="str">
        <f t="shared" si="127"/>
        <v>PiècesTotal Dépt. Pièces</v>
      </c>
      <c r="B315" s="11" t="s">
        <v>98</v>
      </c>
      <c r="C315" s="62" t="s">
        <v>113</v>
      </c>
      <c r="D315" s="63">
        <f>D310+D313+D312</f>
        <v>1164517.8640630741</v>
      </c>
      <c r="E315" s="218">
        <f>IF(D315&lt;=0,0,F315/D315)</f>
        <v>0.31153138000212355</v>
      </c>
      <c r="F315" s="65">
        <f>F310+F313+F312</f>
        <v>362783.85722869477</v>
      </c>
      <c r="G315" s="66">
        <f>G310+G313+G312</f>
        <v>0</v>
      </c>
      <c r="H315" s="218">
        <f>IF(G315&lt;=0,0,I315/G315)</f>
        <v>0</v>
      </c>
      <c r="I315" s="65">
        <f>I310+I313+I312</f>
        <v>0</v>
      </c>
      <c r="J315" s="66">
        <f>J310+J313+J312</f>
        <v>1104791.9600000002</v>
      </c>
      <c r="K315" s="218">
        <f>IF(J315&lt;=0,0,L315/J315)</f>
        <v>0.29984039710064497</v>
      </c>
      <c r="L315" s="65">
        <f>L310+L313+L312</f>
        <v>331261.25999999995</v>
      </c>
      <c r="M315" s="219">
        <f>(+J315-D315)/D315</f>
        <v>-5.1288096049198061E-2</v>
      </c>
      <c r="N315" s="220">
        <f>L315-F315</f>
        <v>-31522.597228694824</v>
      </c>
      <c r="O315" s="66">
        <f>O310+O313+O312</f>
        <v>1074355.2399999998</v>
      </c>
      <c r="P315" s="218">
        <f>IF(O315&lt;=0,0,Q315/O315)</f>
        <v>0.30605271679039747</v>
      </c>
      <c r="Q315" s="65">
        <f>Q310+Q313+Q312</f>
        <v>328809.33999999944</v>
      </c>
      <c r="R315" s="219">
        <f>IF(O315=0,0,(J315-O315)/O315)</f>
        <v>2.8330219713919247E-2</v>
      </c>
      <c r="S315" s="221">
        <f>L315-Q315</f>
        <v>2451.9200000005076</v>
      </c>
      <c r="T315" s="13"/>
      <c r="U315" s="13"/>
      <c r="V315" s="489">
        <f>(L315+L195)/(F195+F315)</f>
        <v>0.87389132858997809</v>
      </c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Bot="1">
      <c r="A316" t="str">
        <f t="shared" si="127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-8.6890848643310328E-2</v>
      </c>
      <c r="O316" s="226"/>
      <c r="P316" s="224"/>
      <c r="Q316" s="225"/>
      <c r="R316" s="227"/>
      <c r="S316" s="75">
        <f>IF(Q315=0,0,S315/Q315)</f>
        <v>7.4569657905718609E-3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 thickTop="1">
      <c r="A317" t="str">
        <f t="shared" si="127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127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127"/>
        <v>PiècesSalaires cadres</v>
      </c>
      <c r="B319" s="11" t="s">
        <v>98</v>
      </c>
      <c r="C319" s="102" t="s">
        <v>40</v>
      </c>
      <c r="D319" s="13"/>
      <c r="E319" s="13"/>
      <c r="F319" s="30">
        <f>+SUM(START:END!F319)</f>
        <v>13422.281226053641</v>
      </c>
      <c r="G319" s="41"/>
      <c r="H319" s="13"/>
      <c r="I319" s="30">
        <f>+SUM(START:END!I319)</f>
        <v>0</v>
      </c>
      <c r="J319" s="41"/>
      <c r="K319" s="13"/>
      <c r="L319" s="33">
        <f>+SUM(START:END!L319)</f>
        <v>7745.32</v>
      </c>
      <c r="M319" s="41"/>
      <c r="N319" s="59">
        <f t="shared" ref="N319:N329" si="128">L319-F319</f>
        <v>-5676.9612260536414</v>
      </c>
      <c r="O319" s="41"/>
      <c r="P319" s="13"/>
      <c r="Q319" s="33">
        <f>+SUM(START:END!Q319)</f>
        <v>10489.51</v>
      </c>
      <c r="R319" s="41"/>
      <c r="S319" s="85">
        <f t="shared" ref="S319:S322" si="129">L319-Q319</f>
        <v>-2744.1900000000005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ref="A320:A329" si="130">+B320&amp;C320</f>
        <v>PiècesSalaires commis</v>
      </c>
      <c r="B320" s="11" t="s">
        <v>98</v>
      </c>
      <c r="C320" s="103" t="s">
        <v>41</v>
      </c>
      <c r="D320" s="81"/>
      <c r="E320" s="13"/>
      <c r="F320" s="22">
        <f>+SUM(START:END!F320)</f>
        <v>7159.1313793103445</v>
      </c>
      <c r="G320" s="83"/>
      <c r="H320" s="13"/>
      <c r="I320" s="22">
        <f>+SUM(START:END!I320)</f>
        <v>0</v>
      </c>
      <c r="J320" s="41"/>
      <c r="K320" s="13"/>
      <c r="L320" s="33">
        <f>+SUM(START:END!L320)</f>
        <v>5837.77</v>
      </c>
      <c r="M320" s="41"/>
      <c r="N320" s="59">
        <f t="shared" si="128"/>
        <v>-1321.3613793103441</v>
      </c>
      <c r="O320" s="41"/>
      <c r="P320" s="13"/>
      <c r="Q320" s="33">
        <f>+SUM(START:END!Q320)</f>
        <v>8740.14</v>
      </c>
      <c r="R320" s="41"/>
      <c r="S320" s="85">
        <f t="shared" si="129"/>
        <v>-2902.369999999999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130"/>
        <v>PiècesSalaires autres</v>
      </c>
      <c r="B321" s="11" t="s">
        <v>98</v>
      </c>
      <c r="C321" s="102" t="s">
        <v>42</v>
      </c>
      <c r="D321" s="104"/>
      <c r="E321" s="105"/>
      <c r="F321" s="30">
        <f>+SUM(START:END!F321)</f>
        <v>56480.032495921958</v>
      </c>
      <c r="G321" s="106"/>
      <c r="H321" s="105"/>
      <c r="I321" s="30">
        <f>+SUM(START:END!I321)</f>
        <v>0</v>
      </c>
      <c r="J321" s="107"/>
      <c r="K321" s="105"/>
      <c r="L321" s="108">
        <f>+SUM(START:END!L321)</f>
        <v>50677.440000000002</v>
      </c>
      <c r="M321" s="107"/>
      <c r="N321" s="109">
        <f t="shared" si="128"/>
        <v>-5802.5924959219556</v>
      </c>
      <c r="O321" s="107"/>
      <c r="P321" s="105"/>
      <c r="Q321" s="108">
        <f>+SUM(START:END!Q321)</f>
        <v>40735.850000000006</v>
      </c>
      <c r="R321" s="107"/>
      <c r="S321" s="110">
        <f t="shared" si="129"/>
        <v>9941.5899999999965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130"/>
        <v>PiècesSalaires spécialistes</v>
      </c>
      <c r="B322" s="11" t="s">
        <v>98</v>
      </c>
      <c r="C322" s="102" t="s">
        <v>43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128"/>
        <v>0</v>
      </c>
      <c r="O322" s="41"/>
      <c r="P322" s="13"/>
      <c r="Q322" s="33">
        <f>+SUM(START:END!Q322)</f>
        <v>0</v>
      </c>
      <c r="R322" s="41"/>
      <c r="S322" s="85">
        <f t="shared" si="129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130"/>
        <v>Pièces[...]</v>
      </c>
      <c r="B323" s="11" t="s">
        <v>98</v>
      </c>
      <c r="C323" s="228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128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130"/>
        <v>Pièces[...]</v>
      </c>
      <c r="B324" s="11" t="s">
        <v>98</v>
      </c>
      <c r="C324" s="228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128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 hidden="1">
      <c r="A325" t="str">
        <f t="shared" si="130"/>
        <v>Pièces[...]</v>
      </c>
      <c r="B325" s="11" t="s">
        <v>98</v>
      </c>
      <c r="C325" s="228" t="s">
        <v>19</v>
      </c>
      <c r="D325" s="81"/>
      <c r="E325" s="13"/>
      <c r="F325" s="30">
        <f>+SUM(START:END!F325)</f>
        <v>0</v>
      </c>
      <c r="G325" s="83"/>
      <c r="H325" s="13"/>
      <c r="I325" s="30">
        <f>+SUM(START:END!I325)</f>
        <v>0</v>
      </c>
      <c r="J325" s="41"/>
      <c r="K325" s="13"/>
      <c r="L325" s="33">
        <f>+SUM(START:END!L325)</f>
        <v>0</v>
      </c>
      <c r="M325" s="41"/>
      <c r="N325" s="59">
        <f t="shared" si="128"/>
        <v>0</v>
      </c>
      <c r="O325" s="41"/>
      <c r="P325" s="13"/>
      <c r="Q325" s="33">
        <f>+SUM(START:END!Q325)</f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130"/>
        <v>PiècesSalaires en absences</v>
      </c>
      <c r="B326" s="11" t="s">
        <v>98</v>
      </c>
      <c r="C326" s="103" t="s">
        <v>44</v>
      </c>
      <c r="D326" s="81"/>
      <c r="E326" s="13"/>
      <c r="F326" s="22">
        <f>+SUM(START:END!F326)</f>
        <v>11554.781086615927</v>
      </c>
      <c r="G326" s="83"/>
      <c r="H326" s="13"/>
      <c r="I326" s="22">
        <f>+SUM(START:END!I326)</f>
        <v>0</v>
      </c>
      <c r="J326" s="41"/>
      <c r="K326" s="13"/>
      <c r="L326" s="33">
        <f>+SUM(START:END!L326)</f>
        <v>8921.51</v>
      </c>
      <c r="M326" s="41"/>
      <c r="N326" s="59">
        <f t="shared" si="128"/>
        <v>-2633.2710866159268</v>
      </c>
      <c r="O326" s="41"/>
      <c r="P326" s="13"/>
      <c r="Q326" s="33">
        <f>+SUM(START:END!Q326)</f>
        <v>7873.61</v>
      </c>
      <c r="R326" s="41"/>
      <c r="S326" s="85">
        <f t="shared" ref="S326:S329" si="131">L326-Q326</f>
        <v>1047.9000000000005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130"/>
        <v>PiècesDéduction à la source</v>
      </c>
      <c r="B327" s="11" t="s">
        <v>98</v>
      </c>
      <c r="C327" s="102" t="s">
        <v>45</v>
      </c>
      <c r="D327" s="104"/>
      <c r="E327" s="105"/>
      <c r="F327" s="30">
        <f>+SUM(START:END!F327)</f>
        <v>11755.519226604638</v>
      </c>
      <c r="G327" s="106"/>
      <c r="H327" s="105"/>
      <c r="I327" s="30">
        <f>+SUM(START:END!I327)</f>
        <v>0</v>
      </c>
      <c r="J327" s="107"/>
      <c r="K327" s="105"/>
      <c r="L327" s="108">
        <f>+SUM(START:END!L327)</f>
        <v>10019.16</v>
      </c>
      <c r="M327" s="107"/>
      <c r="N327" s="109">
        <f t="shared" si="128"/>
        <v>-1736.359226604638</v>
      </c>
      <c r="O327" s="107"/>
      <c r="P327" s="105"/>
      <c r="Q327" s="108">
        <f>+SUM(START:END!Q327)</f>
        <v>10458.450000000001</v>
      </c>
      <c r="R327" s="107"/>
      <c r="S327" s="110">
        <f t="shared" si="131"/>
        <v>-439.29000000000087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130"/>
        <v>PiècesBénéfices marginaux</v>
      </c>
      <c r="B328" s="11" t="s">
        <v>98</v>
      </c>
      <c r="C328" s="102" t="s">
        <v>46</v>
      </c>
      <c r="D328" s="81"/>
      <c r="E328" s="13"/>
      <c r="F328" s="30">
        <f>+SUM(START:END!F328)</f>
        <v>8533.6361793129963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7697.34</v>
      </c>
      <c r="M328" s="41"/>
      <c r="N328" s="59">
        <f t="shared" si="128"/>
        <v>-836.29617931299617</v>
      </c>
      <c r="O328" s="41"/>
      <c r="P328" s="13"/>
      <c r="Q328" s="33">
        <f>+SUM(START:END!Q328)</f>
        <v>5176.24</v>
      </c>
      <c r="R328" s="41"/>
      <c r="S328" s="85">
        <f t="shared" si="131"/>
        <v>2521.1000000000004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>
      <c r="A329" t="str">
        <f t="shared" si="130"/>
        <v>PiècesCsst</v>
      </c>
      <c r="B329" s="11" t="s">
        <v>98</v>
      </c>
      <c r="C329" s="102" t="s">
        <v>47</v>
      </c>
      <c r="D329" s="81"/>
      <c r="E329" s="13"/>
      <c r="F329" s="30">
        <f>+SUM(START:END!F329)</f>
        <v>2133.4090448282491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1541.04</v>
      </c>
      <c r="M329" s="462"/>
      <c r="N329" s="145">
        <f t="shared" si="128"/>
        <v>-592.36904482824912</v>
      </c>
      <c r="O329" s="41"/>
      <c r="P329" s="13"/>
      <c r="Q329" s="33">
        <f>+SUM(START:END!Q329)</f>
        <v>1812.7800000000002</v>
      </c>
      <c r="R329" s="41"/>
      <c r="S329" s="85">
        <f t="shared" si="131"/>
        <v>-271.74000000000024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 hidden="1">
      <c r="A330" t="str">
        <f t="shared" ref="A330:A339" si="132">+B330&amp;C330</f>
        <v>Pièces[...]</v>
      </c>
      <c r="B330" s="11" t="s">
        <v>98</v>
      </c>
      <c r="C330" s="29" t="s">
        <v>19</v>
      </c>
      <c r="D330" s="87"/>
      <c r="E330" s="111"/>
      <c r="F330" s="30">
        <f>+SUM(START:END!F330)</f>
        <v>0</v>
      </c>
      <c r="G330" s="89"/>
      <c r="H330" s="111"/>
      <c r="I330" s="30">
        <f>+SUM(START:END!I330)</f>
        <v>0</v>
      </c>
      <c r="J330" s="23"/>
      <c r="K330" s="111"/>
      <c r="L330" s="33">
        <f>+SUM(START:END!L330)</f>
        <v>0</v>
      </c>
      <c r="M330" s="23"/>
      <c r="N330" s="91">
        <f>L330-F330</f>
        <v>0</v>
      </c>
      <c r="O330" s="23"/>
      <c r="P330" s="111"/>
      <c r="Q330" s="33">
        <f>+SUM(START:END!Q330)</f>
        <v>0</v>
      </c>
      <c r="R330" s="23"/>
      <c r="S330" s="92">
        <f>L330-Q330</f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132"/>
        <v>PiècesTOTAL PERSONNEL</v>
      </c>
      <c r="B331" s="11" t="s">
        <v>98</v>
      </c>
      <c r="C331" s="93" t="s">
        <v>48</v>
      </c>
      <c r="D331" s="94" t="s">
        <v>38</v>
      </c>
      <c r="E331" s="95" t="e">
        <f>F331/F$314</f>
        <v>#DIV/0!</v>
      </c>
      <c r="F331" s="96">
        <f>+SUM(F319:F330)</f>
        <v>111038.79063864774</v>
      </c>
      <c r="G331" s="97" t="s">
        <v>38</v>
      </c>
      <c r="H331" s="95" t="e">
        <f>I331/I$314</f>
        <v>#DIV/0!</v>
      </c>
      <c r="I331" s="96">
        <f>+SUM(I319:I330)</f>
        <v>0</v>
      </c>
      <c r="J331" s="97" t="s">
        <v>38</v>
      </c>
      <c r="K331" s="95" t="e">
        <f>L331/L$314</f>
        <v>#DIV/0!</v>
      </c>
      <c r="L331" s="96">
        <f>+SUM(L319:L330)</f>
        <v>92439.579999999987</v>
      </c>
      <c r="M331" s="146"/>
      <c r="N331" s="113">
        <f t="shared" ref="N331:N349" si="133">L331-F331</f>
        <v>-18599.210638647754</v>
      </c>
      <c r="O331" s="97" t="s">
        <v>38</v>
      </c>
      <c r="P331" s="95" t="e">
        <f>Q331/Q$314</f>
        <v>#DIV/0!</v>
      </c>
      <c r="Q331" s="96">
        <f>+SUM(Q319:Q330)</f>
        <v>85286.58</v>
      </c>
      <c r="R331" s="146"/>
      <c r="S331" s="114">
        <f t="shared" ref="S331:S337" si="134">L331-Q331</f>
        <v>7152.9999999999854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132"/>
        <v>PiècesPublicité 2</v>
      </c>
      <c r="B332" s="11" t="s">
        <v>98</v>
      </c>
      <c r="C332" s="210" t="s">
        <v>49</v>
      </c>
      <c r="D332" s="81"/>
      <c r="E332" s="13"/>
      <c r="F332" s="30">
        <f>+SUM(START:END!F332)</f>
        <v>4134.9522258056077</v>
      </c>
      <c r="G332" s="83"/>
      <c r="H332" s="13"/>
      <c r="I332" s="30">
        <f>+SUM(START:END!I332)</f>
        <v>0</v>
      </c>
      <c r="J332" s="41"/>
      <c r="K332" s="13"/>
      <c r="L332" s="33">
        <f>+SUM(START:END!L332)</f>
        <v>6009.4500000000007</v>
      </c>
      <c r="M332" s="41"/>
      <c r="N332" s="59">
        <f t="shared" si="133"/>
        <v>1874.4977741943931</v>
      </c>
      <c r="O332" s="41"/>
      <c r="P332" s="13"/>
      <c r="Q332" s="33">
        <f>+SUM(START:END!Q332)</f>
        <v>10188.32</v>
      </c>
      <c r="R332" s="41"/>
      <c r="S332" s="85">
        <f t="shared" si="134"/>
        <v>-4178.869999999999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132"/>
        <v>PiècesService gratuit 2</v>
      </c>
      <c r="B333" s="11" t="s">
        <v>98</v>
      </c>
      <c r="C333" s="102" t="s">
        <v>50</v>
      </c>
      <c r="D333" s="81"/>
      <c r="E333" s="13"/>
      <c r="F333" s="30">
        <f>+SUM(START:END!F333)</f>
        <v>1875</v>
      </c>
      <c r="G333" s="83"/>
      <c r="H333" s="13"/>
      <c r="I333" s="30">
        <f>+SUM(START:END!I333)</f>
        <v>0</v>
      </c>
      <c r="J333" s="41"/>
      <c r="K333" s="13"/>
      <c r="L333" s="30">
        <f>+SUM(START:END!L333)</f>
        <v>77.38</v>
      </c>
      <c r="M333" s="41"/>
      <c r="N333" s="59">
        <f t="shared" si="133"/>
        <v>-1797.62</v>
      </c>
      <c r="O333" s="41"/>
      <c r="P333" s="13"/>
      <c r="Q333" s="33">
        <f>+SUM(START:END!Q333)</f>
        <v>939.04999999999905</v>
      </c>
      <c r="R333" s="41"/>
      <c r="S333" s="85">
        <f t="shared" si="134"/>
        <v>-861.66999999999905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132"/>
        <v>PiècesFrais véhicules de cie</v>
      </c>
      <c r="B334" s="11" t="s">
        <v>98</v>
      </c>
      <c r="C334" s="103" t="s">
        <v>51</v>
      </c>
      <c r="D334" s="87"/>
      <c r="E334" s="111"/>
      <c r="F334" s="22">
        <f>+SUM(START:END!F334)</f>
        <v>14471</v>
      </c>
      <c r="G334" s="89"/>
      <c r="H334" s="111"/>
      <c r="I334" s="22">
        <f>+SUM(START:END!I334)</f>
        <v>0</v>
      </c>
      <c r="J334" s="23"/>
      <c r="K334" s="111"/>
      <c r="L334" s="22">
        <f>+SUM(START:END!L334)</f>
        <v>14394.22</v>
      </c>
      <c r="M334" s="23"/>
      <c r="N334" s="91">
        <f t="shared" si="133"/>
        <v>-76.780000000000655</v>
      </c>
      <c r="O334" s="23"/>
      <c r="P334" s="111"/>
      <c r="Q334" s="33">
        <f>+SUM(START:END!Q334)</f>
        <v>16684.57999999998</v>
      </c>
      <c r="R334" s="23"/>
      <c r="S334" s="92">
        <f t="shared" si="134"/>
        <v>-2290.3599999999806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132"/>
        <v>PiècesInformatique</v>
      </c>
      <c r="B335" s="11" t="s">
        <v>98</v>
      </c>
      <c r="C335" s="102" t="s">
        <v>52</v>
      </c>
      <c r="D335" s="81"/>
      <c r="E335" s="13"/>
      <c r="F335" s="30">
        <f>+SUM(START:END!F335)</f>
        <v>7954.4260000000013</v>
      </c>
      <c r="G335" s="83"/>
      <c r="H335" s="13"/>
      <c r="I335" s="30">
        <f>+SUM(START:END!I335)</f>
        <v>0</v>
      </c>
      <c r="J335" s="41"/>
      <c r="K335" s="13"/>
      <c r="L335" s="108">
        <f>+SUM(START:END!L335)</f>
        <v>8391.4699999999993</v>
      </c>
      <c r="M335" s="41"/>
      <c r="N335" s="59">
        <f t="shared" si="133"/>
        <v>437.04399999999805</v>
      </c>
      <c r="O335" s="41"/>
      <c r="P335" s="13"/>
      <c r="Q335" s="108">
        <f>+SUM(START:END!Q335)</f>
        <v>6019.38</v>
      </c>
      <c r="R335" s="41"/>
      <c r="S335" s="85">
        <f t="shared" si="134"/>
        <v>2372.0899999999992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132"/>
        <v>PiècesFrais de déplacement</v>
      </c>
      <c r="B336" s="11" t="s">
        <v>98</v>
      </c>
      <c r="C336" s="102" t="s">
        <v>53</v>
      </c>
      <c r="D336" s="81"/>
      <c r="E336" s="13"/>
      <c r="F336" s="30">
        <f>+SUM(START:END!F336)</f>
        <v>2995</v>
      </c>
      <c r="G336" s="83"/>
      <c r="H336" s="13"/>
      <c r="I336" s="30">
        <f>+SUM(START:END!I336)</f>
        <v>0</v>
      </c>
      <c r="J336" s="41"/>
      <c r="K336" s="13"/>
      <c r="L336" s="33">
        <f>+SUM(START:END!L336)</f>
        <v>4029.16</v>
      </c>
      <c r="M336" s="41"/>
      <c r="N336" s="59">
        <f t="shared" si="133"/>
        <v>1034.1599999999999</v>
      </c>
      <c r="O336" s="41"/>
      <c r="P336" s="13"/>
      <c r="Q336" s="33">
        <f>+SUM(START:END!Q336)</f>
        <v>905.5</v>
      </c>
      <c r="R336" s="41"/>
      <c r="S336" s="85">
        <f t="shared" si="134"/>
        <v>3123.66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132"/>
        <v>PiècesServices extérieurs</v>
      </c>
      <c r="B337" s="11" t="s">
        <v>98</v>
      </c>
      <c r="C337" s="229" t="s">
        <v>54</v>
      </c>
      <c r="D337" s="87"/>
      <c r="E337" s="111"/>
      <c r="F337" s="22">
        <f>+SUM(START:END!F337)</f>
        <v>3955.7280000000001</v>
      </c>
      <c r="G337" s="89"/>
      <c r="H337" s="111"/>
      <c r="I337" s="22">
        <f>+SUM(START:END!I337)</f>
        <v>0</v>
      </c>
      <c r="J337" s="23"/>
      <c r="K337" s="111"/>
      <c r="L337" s="48">
        <f>+SUM(START:END!L337)</f>
        <v>5050.0200000000004</v>
      </c>
      <c r="M337" s="23"/>
      <c r="N337" s="91">
        <f t="shared" si="133"/>
        <v>1094.2920000000004</v>
      </c>
      <c r="O337" s="23"/>
      <c r="P337" s="111"/>
      <c r="Q337" s="48">
        <f>+SUM(START:END!Q337)</f>
        <v>6839.3599999999897</v>
      </c>
      <c r="R337" s="23"/>
      <c r="S337" s="92">
        <f t="shared" si="134"/>
        <v>-1789.3399999999892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 hidden="1">
      <c r="A338" t="str">
        <f t="shared" si="132"/>
        <v>PiècesFournitures d'atelier</v>
      </c>
      <c r="B338" s="11" t="s">
        <v>98</v>
      </c>
      <c r="C338" s="102" t="s">
        <v>93</v>
      </c>
      <c r="D338" s="81"/>
      <c r="E338" s="13"/>
      <c r="F338" s="30">
        <f>+SUM(START:END!F338)</f>
        <v>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0</v>
      </c>
      <c r="M338" s="41"/>
      <c r="N338" s="59">
        <f t="shared" si="133"/>
        <v>0</v>
      </c>
      <c r="O338" s="41"/>
      <c r="P338" s="13"/>
      <c r="Q338" s="33">
        <f>+SUM(START:END!Q338)</f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132"/>
        <v>PiècesFournitures autres</v>
      </c>
      <c r="B339" s="11" t="s">
        <v>98</v>
      </c>
      <c r="C339" s="102" t="s">
        <v>55</v>
      </c>
      <c r="D339" s="81"/>
      <c r="E339" s="13"/>
      <c r="F339" s="30">
        <f>+SUM(START:END!F339)</f>
        <v>45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245.6</v>
      </c>
      <c r="M339" s="41"/>
      <c r="N339" s="59">
        <f t="shared" si="133"/>
        <v>200.6</v>
      </c>
      <c r="O339" s="41"/>
      <c r="P339" s="13"/>
      <c r="Q339" s="33">
        <f>+SUM(START:END!Q339)</f>
        <v>61.61</v>
      </c>
      <c r="R339" s="41"/>
      <c r="S339" s="85">
        <f t="shared" ref="S339:S344" si="135">L339-Q339</f>
        <v>183.99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ref="A340:A349" si="136">+B340&amp;C340</f>
        <v>PiècesUniformes</v>
      </c>
      <c r="B340" s="11" t="s">
        <v>98</v>
      </c>
      <c r="C340" s="102" t="s">
        <v>56</v>
      </c>
      <c r="D340" s="81"/>
      <c r="E340" s="13"/>
      <c r="F340" s="30">
        <f>+SUM(START:END!F340)</f>
        <v>112.5</v>
      </c>
      <c r="G340" s="83"/>
      <c r="H340" s="13"/>
      <c r="I340" s="30">
        <f>+SUM(START:END!I340)</f>
        <v>0</v>
      </c>
      <c r="J340" s="41"/>
      <c r="K340" s="13"/>
      <c r="L340" s="33">
        <f>+SUM(START:END!L340)</f>
        <v>147.88</v>
      </c>
      <c r="M340" s="41"/>
      <c r="N340" s="59">
        <f t="shared" si="133"/>
        <v>35.379999999999995</v>
      </c>
      <c r="O340" s="41"/>
      <c r="P340" s="13"/>
      <c r="Q340" s="33">
        <f>+SUM(START:END!Q340)</f>
        <v>132</v>
      </c>
      <c r="R340" s="41"/>
      <c r="S340" s="85">
        <f t="shared" si="135"/>
        <v>15.879999999999995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136"/>
        <v>PiècesPapeterie</v>
      </c>
      <c r="B341" s="11" t="s">
        <v>98</v>
      </c>
      <c r="C341" s="102" t="s">
        <v>57</v>
      </c>
      <c r="D341" s="81"/>
      <c r="E341" s="13"/>
      <c r="F341" s="30">
        <f>+SUM(START:END!F341)</f>
        <v>870</v>
      </c>
      <c r="G341" s="83"/>
      <c r="H341" s="13"/>
      <c r="I341" s="30">
        <f>+SUM(START:END!I341)</f>
        <v>0</v>
      </c>
      <c r="J341" s="41"/>
      <c r="K341" s="13"/>
      <c r="L341" s="32">
        <f>+SUM(START:END!L341)</f>
        <v>725.85</v>
      </c>
      <c r="M341" s="41"/>
      <c r="N341" s="59">
        <f t="shared" si="133"/>
        <v>-144.14999999999998</v>
      </c>
      <c r="O341" s="41"/>
      <c r="P341" s="13"/>
      <c r="Q341" s="32">
        <f>+SUM(START:END!Q341)</f>
        <v>1077.02</v>
      </c>
      <c r="R341" s="41"/>
      <c r="S341" s="85">
        <f t="shared" si="135"/>
        <v>-351.16999999999996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136"/>
        <v>PiècesTéléphone</v>
      </c>
      <c r="B342" s="11" t="s">
        <v>98</v>
      </c>
      <c r="C342" s="102" t="s">
        <v>58</v>
      </c>
      <c r="D342" s="81"/>
      <c r="E342" s="13"/>
      <c r="F342" s="30">
        <f>+SUM(START:END!F342)</f>
        <v>341.4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543.03</v>
      </c>
      <c r="M342" s="41"/>
      <c r="N342" s="59">
        <f t="shared" si="133"/>
        <v>201.63</v>
      </c>
      <c r="O342" s="41"/>
      <c r="P342" s="13"/>
      <c r="Q342" s="33">
        <f>+SUM(START:END!Q342)</f>
        <v>312.18</v>
      </c>
      <c r="R342" s="41"/>
      <c r="S342" s="85">
        <f t="shared" si="135"/>
        <v>230.84999999999997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136"/>
        <v>PiècesFrais postaux</v>
      </c>
      <c r="B343" s="11" t="s">
        <v>98</v>
      </c>
      <c r="C343" s="102" t="s">
        <v>59</v>
      </c>
      <c r="D343" s="81"/>
      <c r="E343" s="13"/>
      <c r="F343" s="30">
        <f>+SUM(START:END!F343)</f>
        <v>7115.0000000000009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4638.84</v>
      </c>
      <c r="M343" s="41"/>
      <c r="N343" s="59">
        <f t="shared" si="133"/>
        <v>-2476.1600000000008</v>
      </c>
      <c r="O343" s="41"/>
      <c r="P343" s="13"/>
      <c r="Q343" s="33">
        <f>+SUM(START:END!Q343)</f>
        <v>1977.58</v>
      </c>
      <c r="R343" s="41"/>
      <c r="S343" s="85">
        <f t="shared" si="135"/>
        <v>2661.26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136"/>
        <v>PiècesDivers</v>
      </c>
      <c r="B344" s="11" t="s">
        <v>98</v>
      </c>
      <c r="C344" s="102" t="s">
        <v>60</v>
      </c>
      <c r="D344" s="81"/>
      <c r="E344" s="13"/>
      <c r="F344" s="30">
        <f>+SUM(START:END!F344)</f>
        <v>916</v>
      </c>
      <c r="G344" s="83"/>
      <c r="H344" s="13"/>
      <c r="I344" s="30">
        <f>+SUM(START:END!I344)</f>
        <v>0</v>
      </c>
      <c r="J344" s="41"/>
      <c r="K344" s="13"/>
      <c r="L344" s="33">
        <f>+SUM(START:END!L344)</f>
        <v>932.06999999999994</v>
      </c>
      <c r="M344" s="41"/>
      <c r="N344" s="59">
        <f t="shared" si="133"/>
        <v>16.069999999999936</v>
      </c>
      <c r="O344" s="41"/>
      <c r="P344" s="13"/>
      <c r="Q344" s="33">
        <f>+SUM(START:END!Q344)</f>
        <v>1500.589999999999</v>
      </c>
      <c r="R344" s="41"/>
      <c r="S344" s="85">
        <f t="shared" si="135"/>
        <v>-568.51999999999907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136"/>
        <v>PiècesFormation</v>
      </c>
      <c r="B345" s="11" t="s">
        <v>98</v>
      </c>
      <c r="C345" s="102" t="s">
        <v>61</v>
      </c>
      <c r="D345" s="81"/>
      <c r="E345" s="13"/>
      <c r="F345" s="30">
        <f>+SUM(START:END!F345)</f>
        <v>457.39200000000017</v>
      </c>
      <c r="G345" s="83"/>
      <c r="H345" s="13"/>
      <c r="I345" s="30">
        <f>+SUM(START:END!I345)</f>
        <v>0</v>
      </c>
      <c r="J345" s="41"/>
      <c r="K345" s="13"/>
      <c r="L345" s="59">
        <f>+SUM(START:END!L345)</f>
        <v>-301.80999999999995</v>
      </c>
      <c r="M345" s="41"/>
      <c r="N345" s="59">
        <f t="shared" si="133"/>
        <v>-759.20200000000011</v>
      </c>
      <c r="O345" s="41"/>
      <c r="P345" s="13"/>
      <c r="Q345" s="33">
        <f>+SUM(START:END!Q345)</f>
        <v>506.28999999999996</v>
      </c>
      <c r="R345" s="41"/>
      <c r="S345" s="85">
        <f>L345-Q345</f>
        <v>-808.09999999999991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>
      <c r="A346" t="str">
        <f t="shared" si="136"/>
        <v>PiècesFrais bancaires</v>
      </c>
      <c r="B346" s="11" t="s">
        <v>98</v>
      </c>
      <c r="C346" s="102" t="s">
        <v>62</v>
      </c>
      <c r="D346" s="81"/>
      <c r="E346" s="13"/>
      <c r="F346" s="30">
        <f>+SUM(START:END!F346)</f>
        <v>6530.2754189903817</v>
      </c>
      <c r="G346" s="83"/>
      <c r="H346" s="13"/>
      <c r="I346" s="30">
        <f>+SUM(START:END!I346)</f>
        <v>0</v>
      </c>
      <c r="J346" s="41"/>
      <c r="K346" s="13"/>
      <c r="L346" s="32">
        <f>+SUM(START:END!L346)</f>
        <v>5122.17</v>
      </c>
      <c r="M346" s="41"/>
      <c r="N346" s="59">
        <f t="shared" si="133"/>
        <v>-1408.1054189903816</v>
      </c>
      <c r="O346" s="41"/>
      <c r="P346" s="13"/>
      <c r="Q346" s="33">
        <f>+SUM(START:END!Q346)</f>
        <v>5110.43</v>
      </c>
      <c r="R346" s="41"/>
      <c r="S346" s="85">
        <f>L346-Q346</f>
        <v>11.739999999999782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1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133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1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133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 hidden="1">
      <c r="A349" t="str">
        <f t="shared" si="136"/>
        <v>Pièces[...]</v>
      </c>
      <c r="B349" s="11" t="s">
        <v>98</v>
      </c>
      <c r="C349" s="102" t="s">
        <v>19</v>
      </c>
      <c r="D349" s="81"/>
      <c r="E349" s="13"/>
      <c r="F349" s="30">
        <f>+SUM(START:END!F349)</f>
        <v>0</v>
      </c>
      <c r="G349" s="83"/>
      <c r="H349" s="13"/>
      <c r="I349" s="30">
        <f>+SUM(START:END!I349)</f>
        <v>0</v>
      </c>
      <c r="J349" s="41"/>
      <c r="K349" s="13"/>
      <c r="L349" s="33">
        <f>+SUM(START:END!L349)</f>
        <v>0</v>
      </c>
      <c r="M349" s="41"/>
      <c r="N349" s="59">
        <f t="shared" si="133"/>
        <v>0</v>
      </c>
      <c r="O349" s="41"/>
      <c r="P349" s="13"/>
      <c r="Q349" s="33">
        <f>+SUM(START:END!Q349)</f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93" t="s">
        <v>63</v>
      </c>
      <c r="D350" s="94" t="s">
        <v>38</v>
      </c>
      <c r="E350" s="95" t="e">
        <f>F350/F$314</f>
        <v>#DIV/0!</v>
      </c>
      <c r="F350" s="96">
        <f>+SUM(F332:F349)</f>
        <v>51773.673644795992</v>
      </c>
      <c r="G350" s="97" t="s">
        <v>38</v>
      </c>
      <c r="H350" s="95" t="e">
        <f>I350/I$314</f>
        <v>#DIV/0!</v>
      </c>
      <c r="I350" s="96">
        <f>+SUM(I332:I349)</f>
        <v>0</v>
      </c>
      <c r="J350" s="97" t="s">
        <v>38</v>
      </c>
      <c r="K350" s="95" t="e">
        <f>L350/L$314</f>
        <v>#DIV/0!</v>
      </c>
      <c r="L350" s="96">
        <f>+SUM(L332:L349)</f>
        <v>50005.329999999994</v>
      </c>
      <c r="M350" s="100"/>
      <c r="N350" s="96">
        <f>+SUM(N332:N349)</f>
        <v>-1768.3436447959916</v>
      </c>
      <c r="O350" s="97" t="s">
        <v>38</v>
      </c>
      <c r="P350" s="95" t="e">
        <f>Q350/Q$314</f>
        <v>#DIV/0!</v>
      </c>
      <c r="Q350" s="96">
        <f>+SUM(Q332:Q349)</f>
        <v>52253.88999999997</v>
      </c>
      <c r="R350" s="100"/>
      <c r="S350" s="101">
        <f>+SUM(S332:S349)</f>
        <v>-2248.5599999999681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93" t="s">
        <v>64</v>
      </c>
      <c r="D352" s="94" t="s">
        <v>38</v>
      </c>
      <c r="E352" s="95" t="e">
        <f>F352/F$314</f>
        <v>#DIV/0!</v>
      </c>
      <c r="F352" s="96">
        <f>F331+F350</f>
        <v>162812.46428344373</v>
      </c>
      <c r="G352" s="97" t="s">
        <v>38</v>
      </c>
      <c r="H352" s="95" t="e">
        <f>I352/I$314</f>
        <v>#DIV/0!</v>
      </c>
      <c r="I352" s="96">
        <f>I331+I350</f>
        <v>0</v>
      </c>
      <c r="J352" s="97" t="s">
        <v>38</v>
      </c>
      <c r="K352" s="95" t="e">
        <f>L352/L$314</f>
        <v>#DIV/0!</v>
      </c>
      <c r="L352" s="96">
        <f>L331+L350</f>
        <v>142444.90999999997</v>
      </c>
      <c r="M352" s="100"/>
      <c r="N352" s="113">
        <f>L352-F352</f>
        <v>-20367.554283443751</v>
      </c>
      <c r="O352" s="97" t="s">
        <v>38</v>
      </c>
      <c r="P352" s="95" t="e">
        <f>Q352/Q$314</f>
        <v>#DIV/0!</v>
      </c>
      <c r="Q352" s="96">
        <f>Q331+Q350</f>
        <v>137540.46999999997</v>
      </c>
      <c r="R352" s="100"/>
      <c r="S352" s="114">
        <f>L352-Q352</f>
        <v>4904.4400000000023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25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>
        <f>L353-F353</f>
        <v>0</v>
      </c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Bot="1">
      <c r="B354" s="7"/>
      <c r="C354" s="124" t="s">
        <v>69</v>
      </c>
      <c r="D354" s="151"/>
      <c r="E354" s="125"/>
      <c r="F354" s="127">
        <f>F315-F352</f>
        <v>199971.39294525105</v>
      </c>
      <c r="G354" s="152"/>
      <c r="H354" s="125"/>
      <c r="I354" s="127">
        <f>I315-I352</f>
        <v>0</v>
      </c>
      <c r="J354" s="153"/>
      <c r="K354" s="126"/>
      <c r="L354" s="127">
        <f>L315-L352</f>
        <v>188816.34999999998</v>
      </c>
      <c r="M354" s="153"/>
      <c r="N354" s="127">
        <f>L354-F354</f>
        <v>-11155.042945251073</v>
      </c>
      <c r="O354" s="153"/>
      <c r="P354" s="126"/>
      <c r="Q354" s="127">
        <f>Q315-Q352</f>
        <v>191268.86999999947</v>
      </c>
      <c r="R354" s="153"/>
      <c r="S354" s="129">
        <f>L354-Q354</f>
        <v>-2452.5199999994948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0.25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25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  Q2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5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Top="1">
      <c r="B359" s="7"/>
      <c r="C359" s="12"/>
      <c r="D359" s="510" t="s">
        <v>5</v>
      </c>
      <c r="E359" s="511"/>
      <c r="F359" s="512"/>
      <c r="G359" s="513" t="s">
        <v>71</v>
      </c>
      <c r="H359" s="511"/>
      <c r="I359" s="512"/>
      <c r="J359" s="513" t="s">
        <v>7</v>
      </c>
      <c r="K359" s="511"/>
      <c r="L359" s="512"/>
      <c r="M359" s="513"/>
      <c r="N359" s="512"/>
      <c r="O359" s="510" t="s">
        <v>8</v>
      </c>
      <c r="P359" s="511"/>
      <c r="Q359" s="512"/>
      <c r="R359" s="513" t="s">
        <v>9</v>
      </c>
      <c r="S359" s="514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66" si="137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 t="s">
        <v>79</v>
      </c>
      <c r="H360" s="230" t="s">
        <v>99</v>
      </c>
      <c r="I360" s="231" t="s">
        <v>12</v>
      </c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Top="1">
      <c r="A361" t="str">
        <f t="shared" si="137"/>
        <v>BoutiqueBoutique</v>
      </c>
      <c r="B361" s="11" t="s">
        <v>114</v>
      </c>
      <c r="C361" s="62" t="s">
        <v>114</v>
      </c>
      <c r="D361" s="233">
        <f>+SUM(START:END!D361)</f>
        <v>0</v>
      </c>
      <c r="E361" s="234">
        <f>IFERROR(F361/D361,0)</f>
        <v>0</v>
      </c>
      <c r="F361" s="235">
        <f>+SUM(START:END!F361)</f>
        <v>0</v>
      </c>
      <c r="G361" s="233">
        <f>+SUM(START:END!G361)</f>
        <v>0</v>
      </c>
      <c r="H361" s="234">
        <f>IFERROR(I361/G361,0)</f>
        <v>0</v>
      </c>
      <c r="I361" s="233">
        <f>+SUM(START:END!I361)</f>
        <v>0</v>
      </c>
      <c r="J361" s="236">
        <f>+SUM(START:END!J361)</f>
        <v>0</v>
      </c>
      <c r="K361" s="218">
        <f>IFERROR(L361/J361,0)</f>
        <v>0</v>
      </c>
      <c r="L361" s="237">
        <f>+SUM(START:END!L361)</f>
        <v>0</v>
      </c>
      <c r="M361" s="219"/>
      <c r="N361" s="220"/>
      <c r="O361" s="236">
        <f>+SUM(START:END!O361)</f>
        <v>0</v>
      </c>
      <c r="P361" s="218">
        <f>IFERROR(Q361/O361,0)</f>
        <v>0</v>
      </c>
      <c r="Q361" s="237">
        <f>+SUM(START:END!Q361)</f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Bot="1">
      <c r="A362" t="str">
        <f t="shared" si="137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 thickTop="1">
      <c r="A363" t="str">
        <f t="shared" si="137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>
        <f>+G361</f>
        <v>0</v>
      </c>
      <c r="H363" s="173">
        <f>IF(G363&lt;=0,0,I363/G363)</f>
        <v>0</v>
      </c>
      <c r="I363" s="175">
        <f>+I361</f>
        <v>0</v>
      </c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137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137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137"/>
        <v>BoutiqueSalaires cadres</v>
      </c>
      <c r="B366" s="11" t="s">
        <v>114</v>
      </c>
      <c r="C366" s="102" t="s">
        <v>40</v>
      </c>
      <c r="D366" s="13"/>
      <c r="E366" s="13"/>
      <c r="F366" s="30">
        <f>+SUM(START:END!F365)</f>
        <v>0</v>
      </c>
      <c r="G366" s="41"/>
      <c r="H366" s="13"/>
      <c r="I366" s="30">
        <f>+SUM(START:END!I365)</f>
        <v>0</v>
      </c>
      <c r="J366" s="41"/>
      <c r="K366" s="13"/>
      <c r="L366" s="33">
        <f>+SUM(START:END!L365)</f>
        <v>0</v>
      </c>
      <c r="M366" s="41"/>
      <c r="N366" s="40"/>
      <c r="O366" s="41"/>
      <c r="P366" s="13"/>
      <c r="Q366" s="33">
        <f>+SUM(START:END!Q365)</f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ref="A367:A395" si="138">+B367&amp;C367</f>
        <v>BoutiqueSalaires commis</v>
      </c>
      <c r="B367" s="11" t="s">
        <v>114</v>
      </c>
      <c r="C367" s="103" t="s">
        <v>41</v>
      </c>
      <c r="D367" s="81"/>
      <c r="E367" s="13"/>
      <c r="F367" s="22">
        <f>+SUM(START:END!F366)</f>
        <v>0</v>
      </c>
      <c r="G367" s="83"/>
      <c r="H367" s="13"/>
      <c r="I367" s="22">
        <f>+SUM(START:END!I366)</f>
        <v>0</v>
      </c>
      <c r="J367" s="41"/>
      <c r="K367" s="13"/>
      <c r="L367" s="22">
        <f>+SUM(START:END!L366)</f>
        <v>0</v>
      </c>
      <c r="M367" s="41"/>
      <c r="N367" s="59"/>
      <c r="O367" s="41"/>
      <c r="P367" s="13"/>
      <c r="Q367" s="22">
        <f>+SUM(START:END!Q366)</f>
        <v>0</v>
      </c>
      <c r="R367" s="41"/>
      <c r="S367" s="85">
        <f t="shared" ref="S367:S395" si="139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138"/>
        <v>BoutiqueSalaires autres</v>
      </c>
      <c r="B368" s="11" t="s">
        <v>114</v>
      </c>
      <c r="C368" s="102" t="s">
        <v>42</v>
      </c>
      <c r="D368" s="104"/>
      <c r="E368" s="105"/>
      <c r="F368" s="30">
        <f>+SUM(START:END!F367)</f>
        <v>0</v>
      </c>
      <c r="G368" s="106"/>
      <c r="H368" s="105"/>
      <c r="I368" s="30">
        <f>+SUM(START:END!I367)</f>
        <v>0</v>
      </c>
      <c r="J368" s="107"/>
      <c r="K368" s="105"/>
      <c r="L368" s="33">
        <f>+SUM(START:END!L367)</f>
        <v>0</v>
      </c>
      <c r="M368" s="107"/>
      <c r="N368" s="109"/>
      <c r="O368" s="107"/>
      <c r="P368" s="105"/>
      <c r="Q368" s="33">
        <f>+SUM(START:END!Q367)</f>
        <v>0</v>
      </c>
      <c r="R368" s="107"/>
      <c r="S368" s="110">
        <f t="shared" si="139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138"/>
        <v>BoutiqueSalaires spécialistes</v>
      </c>
      <c r="B369" s="11" t="s">
        <v>114</v>
      </c>
      <c r="C369" s="102" t="s">
        <v>43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139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138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139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138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139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138"/>
        <v>Boutique[...]</v>
      </c>
      <c r="B372" s="11" t="s">
        <v>114</v>
      </c>
      <c r="C372" s="29" t="s">
        <v>19</v>
      </c>
      <c r="D372" s="81"/>
      <c r="E372" s="13"/>
      <c r="F372" s="30">
        <f>+SUM(START:END!F371)</f>
        <v>0</v>
      </c>
      <c r="G372" s="83"/>
      <c r="H372" s="13"/>
      <c r="I372" s="30">
        <f>+SUM(START:END!I371)</f>
        <v>0</v>
      </c>
      <c r="J372" s="41"/>
      <c r="K372" s="13"/>
      <c r="L372" s="33">
        <f>+SUM(START:END!L371)</f>
        <v>0</v>
      </c>
      <c r="M372" s="41"/>
      <c r="N372" s="59"/>
      <c r="O372" s="41"/>
      <c r="P372" s="13"/>
      <c r="Q372" s="33">
        <f>+SUM(START:END!Q371)</f>
        <v>0</v>
      </c>
      <c r="R372" s="41"/>
      <c r="S372" s="85">
        <f t="shared" si="139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138"/>
        <v>BoutiqueSalaires en absences</v>
      </c>
      <c r="B373" s="11" t="s">
        <v>114</v>
      </c>
      <c r="C373" s="103" t="s">
        <v>44</v>
      </c>
      <c r="D373" s="81"/>
      <c r="E373" s="13"/>
      <c r="F373" s="22">
        <f>+SUM(START:END!F372)</f>
        <v>0</v>
      </c>
      <c r="G373" s="83"/>
      <c r="H373" s="13"/>
      <c r="I373" s="22">
        <f>+SUM(START:END!I372)</f>
        <v>0</v>
      </c>
      <c r="J373" s="41"/>
      <c r="K373" s="13"/>
      <c r="L373" s="22">
        <f>+SUM(START:END!L372)</f>
        <v>0</v>
      </c>
      <c r="M373" s="41"/>
      <c r="N373" s="59"/>
      <c r="O373" s="41"/>
      <c r="P373" s="13"/>
      <c r="Q373" s="22">
        <f>+SUM(START:END!Q372)</f>
        <v>0</v>
      </c>
      <c r="R373" s="41"/>
      <c r="S373" s="85">
        <f t="shared" si="139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138"/>
        <v>BoutiqueDéduction à la source</v>
      </c>
      <c r="B374" s="11" t="s">
        <v>114</v>
      </c>
      <c r="C374" s="102" t="s">
        <v>45</v>
      </c>
      <c r="D374" s="104"/>
      <c r="E374" s="105"/>
      <c r="F374" s="30">
        <f>+SUM(START:END!F373)</f>
        <v>0</v>
      </c>
      <c r="G374" s="106"/>
      <c r="H374" s="105"/>
      <c r="I374" s="30">
        <f>+SUM(START:END!I373)</f>
        <v>0</v>
      </c>
      <c r="J374" s="107"/>
      <c r="K374" s="105"/>
      <c r="L374" s="33">
        <f>+SUM(START:END!L373)</f>
        <v>0</v>
      </c>
      <c r="M374" s="107"/>
      <c r="N374" s="109"/>
      <c r="O374" s="107"/>
      <c r="P374" s="105"/>
      <c r="Q374" s="33">
        <f>+SUM(START:END!Q373)</f>
        <v>0</v>
      </c>
      <c r="R374" s="107"/>
      <c r="S374" s="110">
        <f t="shared" si="139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138"/>
        <v>BoutiqueBénéfices marginaux</v>
      </c>
      <c r="B375" s="11" t="s">
        <v>114</v>
      </c>
      <c r="C375" s="102" t="s">
        <v>46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139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138"/>
        <v>BoutiqueCsst</v>
      </c>
      <c r="B376" s="11" t="s">
        <v>114</v>
      </c>
      <c r="C376" s="102" t="s">
        <v>47</v>
      </c>
      <c r="D376" s="81"/>
      <c r="E376" s="13"/>
      <c r="F376" s="30">
        <f>+SUM(START:END!F375)</f>
        <v>0</v>
      </c>
      <c r="G376" s="83"/>
      <c r="H376" s="13"/>
      <c r="I376" s="30">
        <f>+SUM(START:END!I375)</f>
        <v>0</v>
      </c>
      <c r="J376" s="41"/>
      <c r="K376" s="13"/>
      <c r="L376" s="33">
        <f>+SUM(START:END!L375)</f>
        <v>0</v>
      </c>
      <c r="M376" s="41"/>
      <c r="N376" s="59"/>
      <c r="O376" s="41"/>
      <c r="P376" s="13"/>
      <c r="Q376" s="33">
        <f>+SUM(START:END!Q375)</f>
        <v>0</v>
      </c>
      <c r="R376" s="41"/>
      <c r="S376" s="85">
        <f t="shared" si="139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138"/>
        <v>Boutique[...]</v>
      </c>
      <c r="B377" s="11" t="s">
        <v>114</v>
      </c>
      <c r="C377" s="29" t="s">
        <v>19</v>
      </c>
      <c r="D377" s="87"/>
      <c r="E377" s="111"/>
      <c r="F377" s="30">
        <f>+SUM(START:END!F376)</f>
        <v>0</v>
      </c>
      <c r="G377" s="89"/>
      <c r="H377" s="111"/>
      <c r="I377" s="30">
        <f>+SUM(START:END!I376)</f>
        <v>0</v>
      </c>
      <c r="J377" s="23"/>
      <c r="K377" s="111"/>
      <c r="L377" s="33">
        <f>+SUM(START:END!L376)</f>
        <v>0</v>
      </c>
      <c r="M377" s="23"/>
      <c r="N377" s="91"/>
      <c r="O377" s="23"/>
      <c r="P377" s="111"/>
      <c r="Q377" s="33">
        <f>+SUM(START:END!Q376)</f>
        <v>0</v>
      </c>
      <c r="R377" s="23"/>
      <c r="S377" s="92">
        <f t="shared" si="139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138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IFERROR(F378/F$360,0)</f>
        <v>0</v>
      </c>
      <c r="F378" s="96">
        <f>+SUM(F366:F377)</f>
        <v>0</v>
      </c>
      <c r="G378" s="97" t="s">
        <v>38</v>
      </c>
      <c r="H378" s="95">
        <f>IFERROR(I378/I$360,0)</f>
        <v>0</v>
      </c>
      <c r="I378" s="96">
        <f>+SUM(I366:I377)</f>
        <v>0</v>
      </c>
      <c r="J378" s="97" t="s">
        <v>38</v>
      </c>
      <c r="K378" s="95">
        <f>IFERROR(L378/L$360,0)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IFERROR(Q378/Q$360,0)</f>
        <v>0</v>
      </c>
      <c r="Q378" s="96">
        <f>+SUM(Q366:Q377)</f>
        <v>0</v>
      </c>
      <c r="R378" s="146"/>
      <c r="S378" s="114">
        <f t="shared" si="139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138"/>
        <v>BoutiquePublicité 2</v>
      </c>
      <c r="B379" s="11" t="s">
        <v>114</v>
      </c>
      <c r="C379" s="210" t="s">
        <v>49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139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138"/>
        <v>BoutiqueService gratuit 2</v>
      </c>
      <c r="B380" s="11" t="s">
        <v>114</v>
      </c>
      <c r="C380" s="102" t="s">
        <v>50</v>
      </c>
      <c r="D380" s="81"/>
      <c r="E380" s="13"/>
      <c r="F380" s="30">
        <f>+SUM(START:END!F379)</f>
        <v>0</v>
      </c>
      <c r="G380" s="83"/>
      <c r="H380" s="13"/>
      <c r="I380" s="30">
        <f>+SUM(START:END!I379)</f>
        <v>0</v>
      </c>
      <c r="J380" s="41"/>
      <c r="K380" s="13"/>
      <c r="L380" s="33">
        <f>+SUM(START:END!L379)</f>
        <v>0</v>
      </c>
      <c r="M380" s="41"/>
      <c r="N380" s="59"/>
      <c r="O380" s="41"/>
      <c r="P380" s="13"/>
      <c r="Q380" s="33">
        <f>+SUM(START:END!Q379)</f>
        <v>0</v>
      </c>
      <c r="R380" s="41"/>
      <c r="S380" s="85">
        <f t="shared" si="139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138"/>
        <v>BoutiqueFrais véhicules de cie</v>
      </c>
      <c r="B381" s="11" t="s">
        <v>114</v>
      </c>
      <c r="C381" s="103" t="s">
        <v>51</v>
      </c>
      <c r="D381" s="87"/>
      <c r="E381" s="111"/>
      <c r="F381" s="22">
        <f>+SUM(START:END!F380)</f>
        <v>0</v>
      </c>
      <c r="G381" s="89"/>
      <c r="H381" s="111"/>
      <c r="I381" s="22">
        <f>+SUM(START:END!I380)</f>
        <v>0</v>
      </c>
      <c r="J381" s="23"/>
      <c r="K381" s="111"/>
      <c r="L381" s="22">
        <f>+SUM(START:END!L380)</f>
        <v>0</v>
      </c>
      <c r="M381" s="23"/>
      <c r="N381" s="91"/>
      <c r="O381" s="23"/>
      <c r="P381" s="111"/>
      <c r="Q381" s="22">
        <f>+SUM(START:END!Q380)</f>
        <v>0</v>
      </c>
      <c r="R381" s="23"/>
      <c r="S381" s="92">
        <f t="shared" si="139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138"/>
        <v>BoutiqueInformatique</v>
      </c>
      <c r="B382" s="11" t="s">
        <v>114</v>
      </c>
      <c r="C382" s="102" t="s">
        <v>52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139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138"/>
        <v>BoutiqueFrais de déplacement</v>
      </c>
      <c r="B383" s="11" t="s">
        <v>114</v>
      </c>
      <c r="C383" s="102" t="s">
        <v>53</v>
      </c>
      <c r="D383" s="81"/>
      <c r="E383" s="13"/>
      <c r="F383" s="30">
        <f>+SUM(START:END!F382)</f>
        <v>0</v>
      </c>
      <c r="G383" s="83"/>
      <c r="H383" s="13"/>
      <c r="I383" s="30">
        <f>+SUM(START:END!I382)</f>
        <v>0</v>
      </c>
      <c r="J383" s="41"/>
      <c r="K383" s="13"/>
      <c r="L383" s="33">
        <f>+SUM(START:END!L382)</f>
        <v>0</v>
      </c>
      <c r="M383" s="41"/>
      <c r="N383" s="59"/>
      <c r="O383" s="41"/>
      <c r="P383" s="13"/>
      <c r="Q383" s="33">
        <f>+SUM(START:END!Q382)</f>
        <v>0</v>
      </c>
      <c r="R383" s="41"/>
      <c r="S383" s="85">
        <f t="shared" si="139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138"/>
        <v>BoutiqueServices extérieurs</v>
      </c>
      <c r="B384" s="11" t="s">
        <v>114</v>
      </c>
      <c r="C384" s="102" t="s">
        <v>54</v>
      </c>
      <c r="D384" s="87"/>
      <c r="E384" s="111"/>
      <c r="F384" s="22">
        <f>+SUM(START:END!F383)</f>
        <v>0</v>
      </c>
      <c r="G384" s="89"/>
      <c r="H384" s="111"/>
      <c r="I384" s="22">
        <f>+SUM(START:END!I383)</f>
        <v>0</v>
      </c>
      <c r="J384" s="23"/>
      <c r="K384" s="111"/>
      <c r="L384" s="22">
        <f>+SUM(START:END!L383)</f>
        <v>0</v>
      </c>
      <c r="M384" s="23"/>
      <c r="N384" s="91"/>
      <c r="O384" s="23"/>
      <c r="P384" s="111"/>
      <c r="Q384" s="22">
        <f>+SUM(START:END!Q383)</f>
        <v>0</v>
      </c>
      <c r="R384" s="23"/>
      <c r="S384" s="92">
        <f t="shared" si="139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138"/>
        <v>BoutiqueFournitures autres</v>
      </c>
      <c r="B385" s="11" t="s">
        <v>114</v>
      </c>
      <c r="C385" s="210" t="s">
        <v>55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139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138"/>
        <v>BoutiqueUniformes</v>
      </c>
      <c r="B386" s="11" t="s">
        <v>114</v>
      </c>
      <c r="C386" s="102" t="s">
        <v>56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139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138"/>
        <v>BoutiquePapeterie</v>
      </c>
      <c r="B387" s="11" t="s">
        <v>114</v>
      </c>
      <c r="C387" s="102" t="s">
        <v>57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139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138"/>
        <v>BoutiqueTéléphone</v>
      </c>
      <c r="B388" s="11" t="s">
        <v>114</v>
      </c>
      <c r="C388" s="102" t="s">
        <v>58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139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138"/>
        <v>BoutiqueFrais postaux</v>
      </c>
      <c r="B389" s="11" t="s">
        <v>114</v>
      </c>
      <c r="C389" s="102" t="s">
        <v>59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139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138"/>
        <v>BoutiqueDivers</v>
      </c>
      <c r="B390" s="11" t="s">
        <v>114</v>
      </c>
      <c r="C390" s="102" t="s">
        <v>60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139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138"/>
        <v>BoutiqueFormation</v>
      </c>
      <c r="B391" s="11" t="s">
        <v>114</v>
      </c>
      <c r="C391" s="102" t="s">
        <v>61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139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138"/>
        <v>BoutiqueFrais bancaires</v>
      </c>
      <c r="B392" s="11" t="s">
        <v>114</v>
      </c>
      <c r="C392" s="102" t="s">
        <v>62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139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138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139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138"/>
        <v>Boutique[...]</v>
      </c>
      <c r="B394" s="11" t="s">
        <v>114</v>
      </c>
      <c r="C394" s="102" t="s">
        <v>19</v>
      </c>
      <c r="D394" s="81"/>
      <c r="E394" s="13"/>
      <c r="F394" s="30">
        <f>+SUM(START:END!F393)</f>
        <v>0</v>
      </c>
      <c r="G394" s="83"/>
      <c r="H394" s="13"/>
      <c r="I394" s="30">
        <f>+SUM(START:END!I393)</f>
        <v>0</v>
      </c>
      <c r="J394" s="41"/>
      <c r="K394" s="13"/>
      <c r="L394" s="33">
        <f>+SUM(START:END!L393)</f>
        <v>0</v>
      </c>
      <c r="M394" s="41"/>
      <c r="N394" s="59"/>
      <c r="O394" s="41"/>
      <c r="P394" s="13"/>
      <c r="Q394" s="33">
        <f>+SUM(START:END!Q393)</f>
        <v>0</v>
      </c>
      <c r="R394" s="41"/>
      <c r="S394" s="85">
        <f t="shared" si="139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A395" t="str">
        <f t="shared" si="138"/>
        <v>Boutique[...]</v>
      </c>
      <c r="B395" s="11" t="s">
        <v>114</v>
      </c>
      <c r="C395" s="102" t="s">
        <v>19</v>
      </c>
      <c r="D395" s="87"/>
      <c r="E395" s="111"/>
      <c r="F395" s="30">
        <f>+SUM(START:END!F394)</f>
        <v>0</v>
      </c>
      <c r="G395" s="89"/>
      <c r="H395" s="111"/>
      <c r="I395" s="30">
        <f>+SUM(START:END!I394)</f>
        <v>0</v>
      </c>
      <c r="J395" s="23"/>
      <c r="K395" s="111"/>
      <c r="L395" s="33">
        <f>+SUM(START:END!L394)</f>
        <v>0</v>
      </c>
      <c r="M395" s="23"/>
      <c r="N395" s="91"/>
      <c r="O395" s="23"/>
      <c r="P395" s="111"/>
      <c r="Q395" s="33">
        <f>+SUM(START:END!Q394)</f>
        <v>0</v>
      </c>
      <c r="R395" s="23"/>
      <c r="S395" s="92">
        <f t="shared" si="139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93" t="s">
        <v>63</v>
      </c>
      <c r="D396" s="94" t="s">
        <v>38</v>
      </c>
      <c r="E396" s="95">
        <f>IFERROR(F396/F$360,0)</f>
        <v>0</v>
      </c>
      <c r="F396" s="96">
        <f>+SUM(F379:F395)</f>
        <v>0</v>
      </c>
      <c r="G396" s="97" t="s">
        <v>38</v>
      </c>
      <c r="H396" s="95">
        <f>IFERROR(I396/I$360,0)</f>
        <v>0</v>
      </c>
      <c r="I396" s="96">
        <f>+SUM(I379:I395)</f>
        <v>0</v>
      </c>
      <c r="J396" s="97" t="s">
        <v>38</v>
      </c>
      <c r="K396" s="95">
        <f>IFERROR(L396/L$360,0)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IFERROR(Q396/Q$360,0)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93" t="s">
        <v>64</v>
      </c>
      <c r="D398" s="94" t="s">
        <v>38</v>
      </c>
      <c r="E398" s="95">
        <f>IFERROR(F398/F$360,0)</f>
        <v>0</v>
      </c>
      <c r="F398" s="96">
        <f>F378+F396</f>
        <v>0</v>
      </c>
      <c r="G398" s="97" t="s">
        <v>38</v>
      </c>
      <c r="H398" s="95">
        <f>IFERROR(I398/I$360,0)</f>
        <v>0</v>
      </c>
      <c r="I398" s="96">
        <f>I378+I396</f>
        <v>0</v>
      </c>
      <c r="J398" s="97" t="s">
        <v>38</v>
      </c>
      <c r="K398" s="95">
        <f>IFERROR(L398/L$360,0)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IFERROR(Q398/Q$360,0)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0.25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.75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>
        <f>I363-I398</f>
        <v>0</v>
      </c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0.25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25">
      <c r="B402" s="7"/>
      <c r="C402" s="13"/>
      <c r="D402" s="13"/>
      <c r="E402" s="13"/>
      <c r="F402" s="82"/>
      <c r="G402" s="13"/>
      <c r="H402" s="13"/>
      <c r="I402" s="13"/>
      <c r="J402" s="13"/>
      <c r="K402" s="13"/>
      <c r="L402" s="82"/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25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/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  Q2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.75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1.75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06" t="s">
        <v>117</v>
      </c>
      <c r="Y405" s="504"/>
      <c r="Z405" s="507"/>
      <c r="AA405" s="503" t="s">
        <v>71</v>
      </c>
      <c r="AB405" s="504"/>
      <c r="AC405" s="507"/>
      <c r="AD405" s="503" t="s">
        <v>7</v>
      </c>
      <c r="AE405" s="504"/>
      <c r="AF405" s="507"/>
      <c r="AG405" s="503" t="s">
        <v>212</v>
      </c>
      <c r="AH405" s="504"/>
      <c r="AI405" s="507"/>
      <c r="AJ405" s="503" t="s">
        <v>118</v>
      </c>
      <c r="AK405" s="504"/>
      <c r="AL405" s="504"/>
      <c r="AM405" s="503" t="s">
        <v>119</v>
      </c>
      <c r="AN405" s="504"/>
      <c r="AO405" s="505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25">
      <c r="A406" t="str">
        <f t="shared" ref="A406:A408" si="140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 t="s">
        <v>121</v>
      </c>
      <c r="AB406" s="257" t="s">
        <v>122</v>
      </c>
      <c r="AC406" s="258" t="s">
        <v>123</v>
      </c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8">
      <c r="A407" t="str">
        <f t="shared" si="140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18042431.719417728</v>
      </c>
      <c r="AA407" s="261"/>
      <c r="AB407" s="261"/>
      <c r="AC407" s="262"/>
      <c r="AD407" s="263"/>
      <c r="AE407" s="264"/>
      <c r="AF407" s="264">
        <f>L5+L93+K195+K251+J315+J363</f>
        <v>19326469.110000007</v>
      </c>
      <c r="AG407" s="263"/>
      <c r="AH407" s="264"/>
      <c r="AI407" s="265"/>
      <c r="AJ407" s="263"/>
      <c r="AK407" s="264"/>
      <c r="AL407" s="264">
        <f>Q5+Q93+P195+P251+O315+O363</f>
        <v>14964562.32999998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8">
      <c r="A408" t="str">
        <f t="shared" si="140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1816255.4930778728</v>
      </c>
      <c r="AA408" s="269"/>
      <c r="AB408" s="269"/>
      <c r="AC408" s="270"/>
      <c r="AD408" s="271"/>
      <c r="AE408" s="272"/>
      <c r="AF408" s="272">
        <f>L27+L109+L195+L251+L315+L363</f>
        <v>1578664.03</v>
      </c>
      <c r="AG408" s="271"/>
      <c r="AH408" s="272">
        <f>AF408-Z408</f>
        <v>-237591.46307787276</v>
      </c>
      <c r="AI408" s="273">
        <f>AH408/Z408</f>
        <v>-0.13081389924676523</v>
      </c>
      <c r="AJ408" s="271">
        <f>+AL408/AL407</f>
        <v>0.1139022052507967</v>
      </c>
      <c r="AK408" s="272"/>
      <c r="AL408" s="272">
        <f>Q27+Q109+Q195+Q251+Q315+Q363</f>
        <v>1704496.649999998</v>
      </c>
      <c r="AM408" s="274"/>
      <c r="AN408" s="272">
        <f>AF408-AL408</f>
        <v>-125832.61999999802</v>
      </c>
      <c r="AO408" s="275">
        <f>IF(AL408=0,0,AN408/AL408)</f>
        <v>-7.382391745973696E-2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8">
      <c r="A409" t="str">
        <f t="shared" ref="A409" si="141">+U409&amp;V409</f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8">
      <c r="A410" t="str">
        <f t="shared" ref="A410" si="142">+U410&amp;V410</f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>Z410/(D$13+D$97)</f>
        <v>951.92880057068203</v>
      </c>
      <c r="Z410" s="278">
        <f>+SUM(START:END!Z410)</f>
        <v>161827.89609701594</v>
      </c>
      <c r="AA410" s="277"/>
      <c r="AB410" s="285">
        <f>IF(AC410=0,0,AC410/(G$13+G$97))</f>
        <v>0</v>
      </c>
      <c r="AC410" s="278">
        <f>+SUM(START:END!AC410)</f>
        <v>0</v>
      </c>
      <c r="AD410" s="286"/>
      <c r="AE410" s="285">
        <f>IF(AF410=0,0,AF410/(J$13+J$97))</f>
        <v>1101.9211724137931</v>
      </c>
      <c r="AF410" s="278">
        <f>+SUM(START:END!AF410)</f>
        <v>159778.57</v>
      </c>
      <c r="AG410" s="279">
        <f t="shared" ref="AG410:AG419" si="143">AE410-Y410</f>
        <v>149.99237184311107</v>
      </c>
      <c r="AH410" s="280">
        <f t="shared" ref="AH410:AH437" si="144">AF410-Z410</f>
        <v>-2049.3260970159317</v>
      </c>
      <c r="AI410" s="281">
        <f t="shared" ref="AI410:AI419" si="145">IF(Z410=0,0,AH410/Z410)</f>
        <v>-1.2663614533969837E-2</v>
      </c>
      <c r="AJ410" s="286"/>
      <c r="AK410" s="280">
        <f>AL410/(O$13+O$97)</f>
        <v>1066.6932835820896</v>
      </c>
      <c r="AL410" s="278">
        <f t="shared" ref="AL410:AL416" si="146">+SUMIF($C:$C,$V410,Q:Q)</f>
        <v>142936.90000000002</v>
      </c>
      <c r="AM410" s="282">
        <f t="shared" ref="AM410:AM415" si="147">AE410-Y410</f>
        <v>149.99237184311107</v>
      </c>
      <c r="AN410" s="280">
        <f t="shared" ref="AN410:AN415" si="148">AF410-AL410</f>
        <v>16841.669999999984</v>
      </c>
      <c r="AO410" s="287">
        <f t="shared" ref="AO410:AO432" si="149">IF(AL410=0,0,AN410/AL410)</f>
        <v>0.11782590779567755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8">
      <c r="A411" t="str">
        <f t="shared" ref="A411" si="150">+U411&amp;V411</f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ref="Y411:Y416" si="151">Z411/(D$13+D$97)</f>
        <v>479.11176470588236</v>
      </c>
      <c r="Z411" s="262">
        <f>+SUM(START:END!Z411)</f>
        <v>81449</v>
      </c>
      <c r="AA411" s="261"/>
      <c r="AB411" s="289">
        <f t="shared" ref="AB411:AB416" si="152">IF(AC411=0,0,AC411/(G$13+G$97))</f>
        <v>0</v>
      </c>
      <c r="AC411" s="262">
        <f>+SUM(START:END!AC411)</f>
        <v>0</v>
      </c>
      <c r="AD411" s="290"/>
      <c r="AE411" s="289">
        <f t="shared" ref="AE411:AE416" si="153">IF(AF411=0,0,AF411/(J$13+J$97))</f>
        <v>227.8757931034483</v>
      </c>
      <c r="AF411" s="262">
        <f>+SUM(START:END!AF411)</f>
        <v>33041.990000000005</v>
      </c>
      <c r="AG411" s="263">
        <f t="shared" si="143"/>
        <v>-251.23597160243406</v>
      </c>
      <c r="AH411" s="264">
        <f t="shared" si="144"/>
        <v>-48407.009999999995</v>
      </c>
      <c r="AI411" s="291">
        <f t="shared" si="145"/>
        <v>-0.59432295055801787</v>
      </c>
      <c r="AJ411" s="290"/>
      <c r="AK411" s="264">
        <f t="shared" ref="AK411:AK416" si="154">AL411/(O$13+O$97)</f>
        <v>817.293880597015</v>
      </c>
      <c r="AL411" s="262">
        <f t="shared" si="146"/>
        <v>109517.38</v>
      </c>
      <c r="AM411" s="266">
        <f t="shared" si="147"/>
        <v>-251.23597160243406</v>
      </c>
      <c r="AN411" s="264">
        <f t="shared" si="148"/>
        <v>-76475.39</v>
      </c>
      <c r="AO411" s="292">
        <f t="shared" si="149"/>
        <v>-0.6982945537959363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8">
      <c r="A412" t="str">
        <f t="shared" ref="A412" si="155">+U412&amp;V412</f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151"/>
        <v>111.20588235294117</v>
      </c>
      <c r="Z412" s="278">
        <f>+SUM(START:END!Z412)</f>
        <v>18905</v>
      </c>
      <c r="AA412" s="277"/>
      <c r="AB412" s="285">
        <f t="shared" si="152"/>
        <v>0</v>
      </c>
      <c r="AC412" s="278">
        <f>+SUM(START:END!AC412)</f>
        <v>0</v>
      </c>
      <c r="AD412" s="286"/>
      <c r="AE412" s="285">
        <f t="shared" si="153"/>
        <v>138.42765517241378</v>
      </c>
      <c r="AF412" s="278">
        <f>+SUM(START:END!AF412)</f>
        <v>20072.009999999998</v>
      </c>
      <c r="AG412" s="279">
        <f t="shared" si="143"/>
        <v>27.221772819472605</v>
      </c>
      <c r="AH412" s="280">
        <f t="shared" si="144"/>
        <v>1167.0099999999984</v>
      </c>
      <c r="AI412" s="281">
        <f t="shared" si="145"/>
        <v>6.1730230097857622E-2</v>
      </c>
      <c r="AJ412" s="286"/>
      <c r="AK412" s="280">
        <f t="shared" si="154"/>
        <v>123.67097014925373</v>
      </c>
      <c r="AL412" s="278">
        <f t="shared" si="146"/>
        <v>16571.91</v>
      </c>
      <c r="AM412" s="282">
        <f t="shared" si="147"/>
        <v>27.221772819472605</v>
      </c>
      <c r="AN412" s="280">
        <f t="shared" si="148"/>
        <v>3500.0999999999985</v>
      </c>
      <c r="AO412" s="287">
        <f t="shared" si="149"/>
        <v>0.211206795112935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8">
      <c r="A413" t="str">
        <f t="shared" ref="A413" si="156">+U413&amp;V413</f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132</v>
      </c>
      <c r="X413" s="277"/>
      <c r="Y413" s="285">
        <f t="shared" si="151"/>
        <v>57.441176470588232</v>
      </c>
      <c r="Z413" s="278">
        <f>+SUM(START:END!Z413)</f>
        <v>9765</v>
      </c>
      <c r="AA413" s="277"/>
      <c r="AB413" s="285">
        <f t="shared" si="152"/>
        <v>0</v>
      </c>
      <c r="AC413" s="278">
        <f>+SUM(START:END!AC413)</f>
        <v>0</v>
      </c>
      <c r="AD413" s="286"/>
      <c r="AE413" s="285">
        <f t="shared" si="153"/>
        <v>65.182344827586192</v>
      </c>
      <c r="AF413" s="278">
        <f>+SUM(START:END!AF413)</f>
        <v>9451.4399999999987</v>
      </c>
      <c r="AG413" s="279">
        <f t="shared" si="143"/>
        <v>7.7411683569979601</v>
      </c>
      <c r="AH413" s="280">
        <f t="shared" si="144"/>
        <v>-313.56000000000131</v>
      </c>
      <c r="AI413" s="281">
        <f t="shared" si="145"/>
        <v>-3.211059907834115E-2</v>
      </c>
      <c r="AJ413" s="286"/>
      <c r="AK413" s="280">
        <f t="shared" si="154"/>
        <v>55.84119402985074</v>
      </c>
      <c r="AL413" s="278">
        <f t="shared" si="146"/>
        <v>7482.7199999999993</v>
      </c>
      <c r="AM413" s="282">
        <f t="shared" si="147"/>
        <v>7.7411683569979601</v>
      </c>
      <c r="AN413" s="280">
        <f t="shared" si="148"/>
        <v>1968.7199999999993</v>
      </c>
      <c r="AO413" s="293">
        <f t="shared" si="149"/>
        <v>0.26310218743986136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8">
      <c r="A414" t="str">
        <f t="shared" ref="A414" si="157">+U414&amp;V414</f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/>
      <c r="X414" s="261"/>
      <c r="Y414" s="289">
        <f t="shared" si="151"/>
        <v>79.2</v>
      </c>
      <c r="Z414" s="262">
        <f>+SUM(START:END!Z414)</f>
        <v>13464</v>
      </c>
      <c r="AA414" s="261"/>
      <c r="AB414" s="289">
        <f t="shared" si="152"/>
        <v>0</v>
      </c>
      <c r="AC414" s="262">
        <f>+SUM(START:END!AC414)</f>
        <v>0</v>
      </c>
      <c r="AD414" s="290"/>
      <c r="AE414" s="289">
        <f t="shared" si="153"/>
        <v>93.155862068965504</v>
      </c>
      <c r="AF414" s="262">
        <f>+SUM(START:END!AF414)</f>
        <v>13507.599999999999</v>
      </c>
      <c r="AG414" s="263">
        <f t="shared" si="143"/>
        <v>13.955862068965502</v>
      </c>
      <c r="AH414" s="264">
        <f t="shared" si="144"/>
        <v>43.599999999998545</v>
      </c>
      <c r="AI414" s="291">
        <f t="shared" si="145"/>
        <v>3.2382650029707774E-3</v>
      </c>
      <c r="AJ414" s="290"/>
      <c r="AK414" s="264">
        <f t="shared" si="154"/>
        <v>96.813283582089554</v>
      </c>
      <c r="AL414" s="262">
        <f t="shared" si="146"/>
        <v>12972.98</v>
      </c>
      <c r="AM414" s="266">
        <f t="shared" si="147"/>
        <v>13.955862068965502</v>
      </c>
      <c r="AN414" s="264">
        <f t="shared" si="148"/>
        <v>534.61999999999898</v>
      </c>
      <c r="AO414" s="292">
        <f t="shared" si="149"/>
        <v>4.1210269344437361E-2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8">
      <c r="A415" t="str">
        <f t="shared" ref="A415" si="158">+U415&amp;V415</f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133</v>
      </c>
      <c r="X415" s="281"/>
      <c r="Y415" s="285">
        <f t="shared" si="151"/>
        <v>153.03500891265594</v>
      </c>
      <c r="Z415" s="278">
        <f>+SUM(START:END!Z415)</f>
        <v>26015.951515151508</v>
      </c>
      <c r="AA415" s="281"/>
      <c r="AB415" s="285">
        <f t="shared" si="152"/>
        <v>0</v>
      </c>
      <c r="AC415" s="278">
        <f>+SUM(START:END!AC415)</f>
        <v>0</v>
      </c>
      <c r="AD415" s="286"/>
      <c r="AE415" s="285">
        <f t="shared" si="153"/>
        <v>131.44055172413795</v>
      </c>
      <c r="AF415" s="278">
        <f>+SUM(START:END!AF415)</f>
        <v>19058.88</v>
      </c>
      <c r="AG415" s="279">
        <f t="shared" si="143"/>
        <v>-21.594457188517993</v>
      </c>
      <c r="AH415" s="280">
        <f t="shared" si="144"/>
        <v>-6957.0715151515069</v>
      </c>
      <c r="AI415" s="281">
        <f t="shared" si="145"/>
        <v>-0.2674156088851779</v>
      </c>
      <c r="AJ415" s="286"/>
      <c r="AK415" s="280">
        <f t="shared" si="154"/>
        <v>481.04917910447762</v>
      </c>
      <c r="AL415" s="278">
        <f t="shared" si="146"/>
        <v>64460.590000000004</v>
      </c>
      <c r="AM415" s="282">
        <f t="shared" si="147"/>
        <v>-21.594457188517993</v>
      </c>
      <c r="AN415" s="280">
        <f t="shared" si="148"/>
        <v>-45401.710000000006</v>
      </c>
      <c r="AO415" s="287">
        <f t="shared" si="149"/>
        <v>-0.70433283344133224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25">
      <c r="A416" t="str">
        <f t="shared" ref="A416" si="159">+U416&amp;V416</f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134</v>
      </c>
      <c r="X416" s="277"/>
      <c r="Y416" s="285">
        <f t="shared" si="151"/>
        <v>554.32878233227723</v>
      </c>
      <c r="Z416" s="278">
        <f>+SUM(START:END!Z416)</f>
        <v>94235.89299648712</v>
      </c>
      <c r="AA416" s="277"/>
      <c r="AB416" s="285">
        <f t="shared" si="152"/>
        <v>0</v>
      </c>
      <c r="AC416" s="278">
        <f>+SUM(START:END!AC416)</f>
        <v>0</v>
      </c>
      <c r="AD416" s="286"/>
      <c r="AE416" s="285">
        <f t="shared" si="153"/>
        <v>609.98503448275858</v>
      </c>
      <c r="AF416" s="278">
        <f>+SUM(START:END!AF416)</f>
        <v>88447.829999999987</v>
      </c>
      <c r="AG416" s="279">
        <f t="shared" si="143"/>
        <v>55.65625215048135</v>
      </c>
      <c r="AH416" s="280">
        <f t="shared" si="144"/>
        <v>-5788.0629964871332</v>
      </c>
      <c r="AI416" s="281">
        <f t="shared" si="145"/>
        <v>-6.1421002257631259E-2</v>
      </c>
      <c r="AJ416" s="286"/>
      <c r="AK416" s="280">
        <f t="shared" si="154"/>
        <v>662.01649253731352</v>
      </c>
      <c r="AL416" s="278">
        <f t="shared" si="146"/>
        <v>88710.21</v>
      </c>
      <c r="AM416" s="282">
        <f>AE416-Y416</f>
        <v>55.65625215048135</v>
      </c>
      <c r="AN416" s="280">
        <f>AF416-AL416</f>
        <v>-262.38000000001921</v>
      </c>
      <c r="AO416" s="292">
        <f t="shared" si="149"/>
        <v>-2.9577204247405028E-3</v>
      </c>
      <c r="AP416" s="244"/>
      <c r="AQ416" s="470"/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ref="A417" si="160">+U417&amp;V417</f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>Z417/(D$13+D$97)</f>
        <v>0</v>
      </c>
      <c r="Z417" s="278">
        <f>+SUM(START:END!Z417)</f>
        <v>0</v>
      </c>
      <c r="AA417" s="277"/>
      <c r="AB417" s="285">
        <f>IF(AC417=0,0,AC417/(G$13+G$97))</f>
        <v>0</v>
      </c>
      <c r="AC417" s="278">
        <f>+SUM(START:END!AC417)</f>
        <v>0</v>
      </c>
      <c r="AD417" s="286"/>
      <c r="AE417" s="285">
        <f>IF(AF417=0,0,AF417/(J$13+J$97))</f>
        <v>0</v>
      </c>
      <c r="AF417" s="278">
        <f>+SUM(START:END!AF417)</f>
        <v>0</v>
      </c>
      <c r="AG417" s="279">
        <f t="shared" si="143"/>
        <v>0</v>
      </c>
      <c r="AH417" s="280">
        <f t="shared" si="144"/>
        <v>0</v>
      </c>
      <c r="AI417" s="281">
        <f t="shared" si="145"/>
        <v>0</v>
      </c>
      <c r="AJ417" s="286"/>
      <c r="AK417" s="280">
        <f>AL417/(O$13+O$97)</f>
        <v>0</v>
      </c>
      <c r="AL417" s="278"/>
      <c r="AM417" s="282">
        <f>AE417-Y417</f>
        <v>0</v>
      </c>
      <c r="AN417" s="280">
        <f>AF417-AL417</f>
        <v>0</v>
      </c>
      <c r="AO417" s="287">
        <f t="shared" si="149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ref="A418" si="161">+U418&amp;V418</f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>Z418/(D$13+D$97)</f>
        <v>0</v>
      </c>
      <c r="Z418" s="278">
        <f>+SUM(START:END!Z418)</f>
        <v>0</v>
      </c>
      <c r="AA418" s="277"/>
      <c r="AB418" s="285">
        <f>IF(AC418=0,0,AC418/(G$13+G$97))</f>
        <v>0</v>
      </c>
      <c r="AC418" s="278">
        <f>+SUM(START:END!AC418)</f>
        <v>0</v>
      </c>
      <c r="AD418" s="286"/>
      <c r="AE418" s="285">
        <f>IF(AF418=0,0,AF418/(J$13+J$97))</f>
        <v>0</v>
      </c>
      <c r="AF418" s="278">
        <f>+SUM(START:END!AF418)</f>
        <v>0</v>
      </c>
      <c r="AG418" s="279">
        <f t="shared" si="143"/>
        <v>0</v>
      </c>
      <c r="AH418" s="280">
        <f t="shared" si="144"/>
        <v>0</v>
      </c>
      <c r="AI418" s="281">
        <f t="shared" si="145"/>
        <v>0</v>
      </c>
      <c r="AJ418" s="286"/>
      <c r="AK418" s="280">
        <f>AL418/(O$13+O$97)</f>
        <v>0</v>
      </c>
      <c r="AL418" s="278"/>
      <c r="AM418" s="282">
        <f>AE418-Y418</f>
        <v>0</v>
      </c>
      <c r="AN418" s="280">
        <f>AF418-AL418</f>
        <v>0</v>
      </c>
      <c r="AO418" s="287">
        <f t="shared" si="149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ref="A419" si="162">+U419&amp;V419</f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/>
      <c r="X419" s="277"/>
      <c r="Y419" s="285">
        <f>Z419/(D$13+D$97)</f>
        <v>0</v>
      </c>
      <c r="Z419" s="278">
        <f>+SUM(START:END!Z419)</f>
        <v>0</v>
      </c>
      <c r="AA419" s="277"/>
      <c r="AB419" s="285">
        <f>IF(AC419=0,0,AC419/(G$13+G$97))</f>
        <v>0</v>
      </c>
      <c r="AC419" s="278">
        <f>+SUM(START:END!AC419)</f>
        <v>0</v>
      </c>
      <c r="AD419" s="286"/>
      <c r="AE419" s="285">
        <f>IF(AF419=0,0,AF419/(J$13+J$97))</f>
        <v>0</v>
      </c>
      <c r="AF419" s="278">
        <f>+SUM(START:END!AF419)</f>
        <v>0</v>
      </c>
      <c r="AG419" s="279">
        <f t="shared" si="143"/>
        <v>0</v>
      </c>
      <c r="AH419" s="280">
        <f t="shared" si="144"/>
        <v>0</v>
      </c>
      <c r="AI419" s="281">
        <f t="shared" si="145"/>
        <v>0</v>
      </c>
      <c r="AJ419" s="286"/>
      <c r="AK419" s="280">
        <f>AL419/(O$13+O$97)</f>
        <v>0</v>
      </c>
      <c r="AL419" s="278"/>
      <c r="AM419" s="282">
        <f>AE419-Y419</f>
        <v>0</v>
      </c>
      <c r="AN419" s="280">
        <f>AF419-AL419</f>
        <v>0</v>
      </c>
      <c r="AO419" s="287">
        <f t="shared" si="149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25">
      <c r="A420" t="str">
        <f t="shared" ref="A420" si="163">+U420&amp;V420</f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0.22335114313747134</v>
      </c>
      <c r="Y420" s="295"/>
      <c r="Z420" s="297">
        <f>SUM(Z410:Z419)</f>
        <v>405662.74060865457</v>
      </c>
      <c r="AA420" s="296" t="e">
        <f>AC420/AC408</f>
        <v>#DIV/0!</v>
      </c>
      <c r="AB420" s="295"/>
      <c r="AC420" s="297">
        <f>SUM(AC410:AC419)</f>
        <v>0</v>
      </c>
      <c r="AD420" s="298">
        <f>AF420/AF408</f>
        <v>0.217499299075054</v>
      </c>
      <c r="AE420" s="295"/>
      <c r="AF420" s="297">
        <f>SUM(AF410:AF419)</f>
        <v>343358.32</v>
      </c>
      <c r="AG420" s="299"/>
      <c r="AH420" s="300">
        <f t="shared" si="144"/>
        <v>-62304.42060865456</v>
      </c>
      <c r="AI420" s="296">
        <f>AH420/Z420</f>
        <v>-0.15358674675217468</v>
      </c>
      <c r="AJ420" s="298">
        <f>IF($AL$407=0,0,AL420/$AL$407)</f>
        <v>2.9580062566387174E-2</v>
      </c>
      <c r="AK420" s="295"/>
      <c r="AL420" s="297">
        <f>SUM(AL410:AL419)</f>
        <v>442652.69</v>
      </c>
      <c r="AM420" s="301"/>
      <c r="AN420" s="300">
        <f t="shared" ref="AN420:AN432" si="164">AF420-AL420</f>
        <v>-99294.37</v>
      </c>
      <c r="AO420" s="275">
        <f t="shared" si="149"/>
        <v>-0.22431665331119979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8">
      <c r="A421" t="str">
        <f t="shared" ref="A421" si="165">+U421&amp;V421</f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136</v>
      </c>
      <c r="X421" s="277"/>
      <c r="Y421" s="277"/>
      <c r="Z421" s="278">
        <f>+SUM(START:END!Z421)</f>
        <v>50082.375478927206</v>
      </c>
      <c r="AA421" s="277"/>
      <c r="AB421" s="277">
        <f t="shared" ref="AB421:AB431" si="166">IF(AC421=0,0,AC421/(G$13+G$97))</f>
        <v>0</v>
      </c>
      <c r="AC421" s="278">
        <f>+SUM(START:END!AC421)</f>
        <v>0</v>
      </c>
      <c r="AD421" s="286"/>
      <c r="AE421" s="285"/>
      <c r="AF421" s="278">
        <f>+SUM(START:END!AF421)</f>
        <v>49407.75</v>
      </c>
      <c r="AG421" s="279"/>
      <c r="AH421" s="280">
        <f t="shared" si="144"/>
        <v>-674.62547892720613</v>
      </c>
      <c r="AI421" s="281">
        <f t="shared" ref="AI421:AI433" si="167">IF(Z421=0,0,AH421/Z421)</f>
        <v>-1.34703171020924E-2</v>
      </c>
      <c r="AJ421" s="286"/>
      <c r="AK421" s="277"/>
      <c r="AL421" s="278">
        <f>+SUM(START:END!AL421)</f>
        <v>45428.279999999904</v>
      </c>
      <c r="AM421" s="282"/>
      <c r="AN421" s="280">
        <f t="shared" si="164"/>
        <v>3979.4700000000958</v>
      </c>
      <c r="AO421" s="287">
        <f t="shared" si="149"/>
        <v>8.7598958181998171E-2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8">
      <c r="A422" t="str">
        <f t="shared" ref="A422" si="168">+U422&amp;V422</f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137</v>
      </c>
      <c r="X422" s="277"/>
      <c r="Y422" s="277"/>
      <c r="Z422" s="278">
        <f>+SUM(START:END!Z422)</f>
        <v>107885.21508896237</v>
      </c>
      <c r="AA422" s="277"/>
      <c r="AB422" s="277">
        <f t="shared" si="166"/>
        <v>0</v>
      </c>
      <c r="AC422" s="278">
        <f>+SUM(START:END!AC422)</f>
        <v>0</v>
      </c>
      <c r="AD422" s="286"/>
      <c r="AE422" s="285"/>
      <c r="AF422" s="278">
        <f>+SUM(START:END!AF422)</f>
        <v>82537.920000000013</v>
      </c>
      <c r="AG422" s="279"/>
      <c r="AH422" s="280">
        <f t="shared" si="144"/>
        <v>-25347.295088962361</v>
      </c>
      <c r="AI422" s="281">
        <f t="shared" si="167"/>
        <v>-0.23494688376030884</v>
      </c>
      <c r="AJ422" s="286"/>
      <c r="AK422" s="277"/>
      <c r="AL422" s="278">
        <f>+SUMIF($C:$C,$V422,Q:Q)</f>
        <v>102831.95</v>
      </c>
      <c r="AM422" s="282"/>
      <c r="AN422" s="280">
        <f t="shared" si="164"/>
        <v>-20294.029999999984</v>
      </c>
      <c r="AO422" s="287">
        <f t="shared" si="149"/>
        <v>-0.19735140683415986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8">
      <c r="A423" t="str">
        <f t="shared" ref="A423" si="169">+U423&amp;V423</f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>+SUM(START:END!Z423)</f>
        <v>43772.148134858115</v>
      </c>
      <c r="AA423" s="261"/>
      <c r="AB423" s="261">
        <f t="shared" si="166"/>
        <v>0</v>
      </c>
      <c r="AC423" s="262">
        <f>+SUM(START:END!AC423)</f>
        <v>0</v>
      </c>
      <c r="AD423" s="290"/>
      <c r="AE423" s="289"/>
      <c r="AF423" s="262">
        <f>+SUM(START:END!AF423)</f>
        <v>31936.719999999998</v>
      </c>
      <c r="AG423" s="263"/>
      <c r="AH423" s="264">
        <f t="shared" si="144"/>
        <v>-11835.428134858117</v>
      </c>
      <c r="AI423" s="291">
        <f t="shared" si="167"/>
        <v>-0.27038719000936873</v>
      </c>
      <c r="AJ423" s="290"/>
      <c r="AK423" s="261"/>
      <c r="AL423" s="262">
        <f>+SUMIF($C:$C,$V423,Q:Q)</f>
        <v>61349.210000000006</v>
      </c>
      <c r="AM423" s="266"/>
      <c r="AN423" s="264">
        <f t="shared" si="164"/>
        <v>-29412.490000000009</v>
      </c>
      <c r="AO423" s="267">
        <f t="shared" si="149"/>
        <v>-0.479427363449342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8">
      <c r="A424" t="str">
        <f t="shared" ref="A424" si="170">+U424&amp;V424</f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>+SUM(START:END!Z424)</f>
        <v>101069.24614889</v>
      </c>
      <c r="AA424" s="277"/>
      <c r="AB424" s="277">
        <f t="shared" si="166"/>
        <v>0</v>
      </c>
      <c r="AC424" s="278">
        <f>+SUM(START:END!AC424)</f>
        <v>0</v>
      </c>
      <c r="AD424" s="286"/>
      <c r="AE424" s="285"/>
      <c r="AF424" s="278">
        <f>+SUM(START:END!AF424)</f>
        <v>96972.56</v>
      </c>
      <c r="AG424" s="279"/>
      <c r="AH424" s="280">
        <f t="shared" si="144"/>
        <v>-4096.6861488900031</v>
      </c>
      <c r="AI424" s="281">
        <f t="shared" si="167"/>
        <v>-4.0533459039112416E-2</v>
      </c>
      <c r="AJ424" s="286"/>
      <c r="AK424" s="277"/>
      <c r="AL424" s="278">
        <f>+SUMIF($C:$C,$V424,Q:Q)</f>
        <v>81379.320000000007</v>
      </c>
      <c r="AM424" s="282"/>
      <c r="AN424" s="280">
        <f t="shared" si="164"/>
        <v>15593.239999999991</v>
      </c>
      <c r="AO424" s="287">
        <f t="shared" si="149"/>
        <v>0.19161182472402066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8">
      <c r="A425" t="str">
        <f t="shared" ref="A425" si="171">+U425&amp;V425</f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140</v>
      </c>
      <c r="X425" s="277"/>
      <c r="Y425" s="277"/>
      <c r="Z425" s="278">
        <f>+SUM(START:END!Z425)</f>
        <v>45733.513409961684</v>
      </c>
      <c r="AA425" s="277"/>
      <c r="AB425" s="277">
        <f t="shared" si="166"/>
        <v>0</v>
      </c>
      <c r="AC425" s="278">
        <f>+SUM(START:END!AC425)</f>
        <v>0</v>
      </c>
      <c r="AD425" s="286"/>
      <c r="AE425" s="285"/>
      <c r="AF425" s="278">
        <f>+SUM(START:END!AF425)</f>
        <v>45532.57</v>
      </c>
      <c r="AG425" s="279"/>
      <c r="AH425" s="280">
        <f t="shared" si="144"/>
        <v>-200.94340996168467</v>
      </c>
      <c r="AI425" s="281">
        <f t="shared" si="167"/>
        <v>-4.3937890395692875E-3</v>
      </c>
      <c r="AJ425" s="286"/>
      <c r="AK425" s="277"/>
      <c r="AL425" s="278">
        <f>+SUMIF($C:$C,$V425,Q:Q)</f>
        <v>45118.130000000005</v>
      </c>
      <c r="AM425" s="282"/>
      <c r="AN425" s="280">
        <f t="shared" si="164"/>
        <v>414.43999999999505</v>
      </c>
      <c r="AO425" s="287">
        <f t="shared" si="149"/>
        <v>9.1856643881294501E-3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ref="A426" si="172">+U426&amp;V426</f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>+SUM(START:END!Z426)</f>
        <v>0</v>
      </c>
      <c r="AA426" s="277"/>
      <c r="AB426" s="277">
        <f t="shared" si="166"/>
        <v>0</v>
      </c>
      <c r="AC426" s="280">
        <f>+SUM(START:END!AC426)</f>
        <v>0</v>
      </c>
      <c r="AD426" s="286"/>
      <c r="AE426" s="285"/>
      <c r="AF426" s="278">
        <f>+SUM(START:END!AF426)</f>
        <v>0</v>
      </c>
      <c r="AG426" s="279"/>
      <c r="AH426" s="280">
        <f t="shared" si="144"/>
        <v>0</v>
      </c>
      <c r="AI426" s="281">
        <f t="shared" si="167"/>
        <v>0</v>
      </c>
      <c r="AJ426" s="286"/>
      <c r="AK426" s="277"/>
      <c r="AL426" s="278"/>
      <c r="AM426" s="282"/>
      <c r="AN426" s="280">
        <f t="shared" si="164"/>
        <v>0</v>
      </c>
      <c r="AO426" s="287">
        <f t="shared" si="149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ref="A427" si="173">+U427&amp;V427</f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>+SUM(START:END!Z427)</f>
        <v>0</v>
      </c>
      <c r="AA427" s="277"/>
      <c r="AB427" s="277">
        <f t="shared" si="166"/>
        <v>0</v>
      </c>
      <c r="AC427" s="280">
        <f>+SUM(START:END!AC427)</f>
        <v>0</v>
      </c>
      <c r="AD427" s="286"/>
      <c r="AE427" s="285"/>
      <c r="AF427" s="278">
        <f>+SUM(START:END!AF427)</f>
        <v>0</v>
      </c>
      <c r="AG427" s="279"/>
      <c r="AH427" s="280">
        <f t="shared" si="144"/>
        <v>0</v>
      </c>
      <c r="AI427" s="281">
        <f t="shared" si="167"/>
        <v>0</v>
      </c>
      <c r="AJ427" s="286"/>
      <c r="AK427" s="277"/>
      <c r="AL427" s="278"/>
      <c r="AM427" s="282"/>
      <c r="AN427" s="280">
        <f t="shared" si="164"/>
        <v>0</v>
      </c>
      <c r="AO427" s="287">
        <f t="shared" si="149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ref="A428" si="174">+U428&amp;V428</f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>+SUM(START:END!Z428)</f>
        <v>0</v>
      </c>
      <c r="AA428" s="277"/>
      <c r="AB428" s="277">
        <f t="shared" si="166"/>
        <v>0</v>
      </c>
      <c r="AC428" s="280">
        <f>+SUM(START:END!AC428)</f>
        <v>0</v>
      </c>
      <c r="AD428" s="286"/>
      <c r="AE428" s="285"/>
      <c r="AF428" s="278">
        <f>+SUM(START:END!AF428)</f>
        <v>0</v>
      </c>
      <c r="AG428" s="279"/>
      <c r="AH428" s="280">
        <f t="shared" si="144"/>
        <v>0</v>
      </c>
      <c r="AI428" s="281">
        <f t="shared" si="167"/>
        <v>0</v>
      </c>
      <c r="AJ428" s="286"/>
      <c r="AK428" s="277"/>
      <c r="AL428" s="278"/>
      <c r="AM428" s="282"/>
      <c r="AN428" s="280">
        <f t="shared" si="164"/>
        <v>0</v>
      </c>
      <c r="AO428" s="287">
        <f t="shared" si="149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8">
      <c r="A429" t="str">
        <f t="shared" ref="A429" si="175">+U429&amp;V429</f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>+SUM(START:END!Z429)</f>
        <v>104773.69881528569</v>
      </c>
      <c r="AA429" s="261"/>
      <c r="AB429" s="261">
        <f t="shared" si="166"/>
        <v>0</v>
      </c>
      <c r="AC429" s="262">
        <f>+SUM(START:END!AC429)</f>
        <v>0</v>
      </c>
      <c r="AD429" s="290"/>
      <c r="AE429" s="289"/>
      <c r="AF429" s="262">
        <f>+SUM(START:END!AF429)</f>
        <v>82298.12</v>
      </c>
      <c r="AG429" s="263"/>
      <c r="AH429" s="264">
        <f t="shared" si="144"/>
        <v>-22475.578815285699</v>
      </c>
      <c r="AI429" s="291">
        <f t="shared" si="167"/>
        <v>-0.21451546589864862</v>
      </c>
      <c r="AJ429" s="290"/>
      <c r="AK429" s="261"/>
      <c r="AL429" s="262">
        <f>+SUMIF($C:$C,$V429,Q:Q)</f>
        <v>83929.71</v>
      </c>
      <c r="AM429" s="266"/>
      <c r="AN429" s="264">
        <f t="shared" si="164"/>
        <v>-1631.5900000000111</v>
      </c>
      <c r="AO429" s="292">
        <f t="shared" si="149"/>
        <v>-1.9439957554958916E-2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8">
      <c r="A430" t="str">
        <f t="shared" ref="A430" si="176">+U430&amp;V430</f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>+SUM(START:END!Z430)</f>
        <v>110527.16143841308</v>
      </c>
      <c r="AA430" s="277"/>
      <c r="AB430" s="277">
        <f t="shared" si="166"/>
        <v>0</v>
      </c>
      <c r="AC430" s="278">
        <f>+SUM(START:END!AC430)</f>
        <v>0</v>
      </c>
      <c r="AD430" s="286"/>
      <c r="AE430" s="285"/>
      <c r="AF430" s="278">
        <f>+SUM(START:END!AF430)</f>
        <v>95227.01999999999</v>
      </c>
      <c r="AG430" s="279"/>
      <c r="AH430" s="280">
        <f t="shared" si="144"/>
        <v>-15300.141438413091</v>
      </c>
      <c r="AI430" s="281">
        <f t="shared" si="167"/>
        <v>-0.13842879197561311</v>
      </c>
      <c r="AJ430" s="286"/>
      <c r="AK430" s="277"/>
      <c r="AL430" s="278">
        <f>+SUMIF($C:$C,$V430,Q:Q)</f>
        <v>108789.37999999999</v>
      </c>
      <c r="AM430" s="282"/>
      <c r="AN430" s="280">
        <f t="shared" si="164"/>
        <v>-13562.36</v>
      </c>
      <c r="AO430" s="287">
        <f t="shared" si="149"/>
        <v>-0.12466621282334729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8">
      <c r="A431" t="str">
        <f t="shared" ref="A431" si="177">+U431&amp;V431</f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143</v>
      </c>
      <c r="X431" s="277"/>
      <c r="Y431" s="277"/>
      <c r="Z431" s="278">
        <f>+SUM(START:END!Z431)</f>
        <v>74375.26445032761</v>
      </c>
      <c r="AA431" s="277"/>
      <c r="AB431" s="277">
        <f t="shared" si="166"/>
        <v>0</v>
      </c>
      <c r="AC431" s="278">
        <f>+SUM(START:END!AC431)</f>
        <v>0</v>
      </c>
      <c r="AD431" s="286"/>
      <c r="AE431" s="285"/>
      <c r="AF431" s="278">
        <f>+SUM(START:END!AF431)</f>
        <v>44037.149999999994</v>
      </c>
      <c r="AG431" s="279"/>
      <c r="AH431" s="280">
        <f t="shared" si="144"/>
        <v>-30338.114450327615</v>
      </c>
      <c r="AI431" s="281">
        <f t="shared" si="167"/>
        <v>-0.40790597081626889</v>
      </c>
      <c r="AJ431" s="286"/>
      <c r="AK431" s="277"/>
      <c r="AL431" s="278">
        <f>+SUMIF($C:$C,$V431,Q:Q)</f>
        <v>45320.219999999994</v>
      </c>
      <c r="AM431" s="282"/>
      <c r="AN431" s="280">
        <f t="shared" si="164"/>
        <v>-1283.0699999999997</v>
      </c>
      <c r="AO431" s="287">
        <f t="shared" si="149"/>
        <v>-2.8311204138020511E-2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8">
      <c r="A432" t="str">
        <f t="shared" ref="A432" si="178">+U432&amp;V432</f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/>
      <c r="X432" s="277"/>
      <c r="Y432" s="277"/>
      <c r="Z432" s="278">
        <f>+SUM(START:END!Z432)</f>
        <v>20058.633001786075</v>
      </c>
      <c r="AA432" s="277"/>
      <c r="AB432" s="277">
        <f>IF(AC432=0,0,AC432/(G$13+G$97))</f>
        <v>0</v>
      </c>
      <c r="AC432" s="278">
        <f>+SUM(START:END!AC432)</f>
        <v>0</v>
      </c>
      <c r="AD432" s="286"/>
      <c r="AE432" s="285"/>
      <c r="AF432" s="278">
        <f>+SUM(START:END!AF432)</f>
        <v>13091.21</v>
      </c>
      <c r="AG432" s="279"/>
      <c r="AH432" s="280">
        <f t="shared" si="144"/>
        <v>-6967.4230017860755</v>
      </c>
      <c r="AI432" s="304">
        <f t="shared" si="167"/>
        <v>-0.34735283312505283</v>
      </c>
      <c r="AJ432" s="286"/>
      <c r="AK432" s="277"/>
      <c r="AL432" s="278">
        <f>+SUMIF($C:$C,$V432,Q:Q)</f>
        <v>19523.5</v>
      </c>
      <c r="AM432" s="282"/>
      <c r="AN432" s="280">
        <f t="shared" si="164"/>
        <v>-6432.2900000000009</v>
      </c>
      <c r="AO432" s="292">
        <f t="shared" si="149"/>
        <v>-0.32946397930698906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ref="A433" si="179">+U433&amp;V433</f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+SUM(START:END!Z433)</f>
        <v>0</v>
      </c>
      <c r="AA433" s="277"/>
      <c r="AB433" s="277">
        <f>IF(AC433=0,0,AC433/(G$13+G$97))</f>
        <v>0</v>
      </c>
      <c r="AC433" s="280">
        <f>+SUM(START:END!AC433)</f>
        <v>0</v>
      </c>
      <c r="AD433" s="286"/>
      <c r="AE433" s="285"/>
      <c r="AF433" s="278">
        <f>+SUM(START:END!AF433)</f>
        <v>0</v>
      </c>
      <c r="AG433" s="279"/>
      <c r="AH433" s="280">
        <f t="shared" si="144"/>
        <v>0</v>
      </c>
      <c r="AI433" s="281">
        <f t="shared" si="167"/>
        <v>0</v>
      </c>
      <c r="AJ433" s="286"/>
      <c r="AK433" s="277">
        <f>AL433/(O$13+O$97)</f>
        <v>0</v>
      </c>
      <c r="AL433" s="278"/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8">
      <c r="A434" t="str">
        <f t="shared" ref="A434" si="180">+U434&amp;V434</f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0.3624364845564092</v>
      </c>
      <c r="Y434" s="295"/>
      <c r="Z434" s="297">
        <f>SUM(Z421:Z433)</f>
        <v>658277.25596741179</v>
      </c>
      <c r="AA434" s="296" t="e">
        <f>AC434/AC408</f>
        <v>#DIV/0!</v>
      </c>
      <c r="AB434" s="295"/>
      <c r="AC434" s="297">
        <f>SUM(AC421:AC433)</f>
        <v>0</v>
      </c>
      <c r="AD434" s="298">
        <f>AF434/AF408</f>
        <v>0.34272081311689861</v>
      </c>
      <c r="AE434" s="305"/>
      <c r="AF434" s="297">
        <f>SUM(AF421:AF433)</f>
        <v>541041.02</v>
      </c>
      <c r="AG434" s="306"/>
      <c r="AH434" s="300">
        <f t="shared" si="144"/>
        <v>-117236.23596741178</v>
      </c>
      <c r="AI434" s="296">
        <f>AH434/Z434</f>
        <v>-0.17809552875272905</v>
      </c>
      <c r="AJ434" s="298">
        <f>IF($AL$407=0,0,AL434/$AL$407)</f>
        <v>3.9671704852326316E-2</v>
      </c>
      <c r="AK434" s="295"/>
      <c r="AL434" s="297">
        <f>SUM(AL421:AL433)</f>
        <v>593669.69999999984</v>
      </c>
      <c r="AM434" s="307"/>
      <c r="AN434" s="300">
        <f t="shared" ref="AN434:AN440" si="181">AF434-AL434</f>
        <v>-52628.679999999818</v>
      </c>
      <c r="AO434" s="275">
        <f>IF(AL434=0,0,AN434/AL434)</f>
        <v>-8.8649766023093032E-2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8">
      <c r="A435" t="str">
        <f t="shared" ref="A435" si="182">+U435&amp;V435</f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133</v>
      </c>
      <c r="X435" s="310"/>
      <c r="Y435" s="310"/>
      <c r="Z435" s="311">
        <f>+SUM(START:END!Z435)</f>
        <v>11555.220645158879</v>
      </c>
      <c r="AA435" s="310"/>
      <c r="AB435" s="310">
        <f t="shared" ref="AB435:AB452" si="183">IF(AC435=0,0,AC435/(G$13+G$97))</f>
        <v>0</v>
      </c>
      <c r="AC435" s="311">
        <f>+SUM(START:END!AC435)</f>
        <v>0</v>
      </c>
      <c r="AD435" s="312"/>
      <c r="AE435" s="313"/>
      <c r="AF435" s="311">
        <f>+SUM(START:END!AF435)</f>
        <v>14261.92</v>
      </c>
      <c r="AG435" s="312"/>
      <c r="AH435" s="314">
        <f t="shared" si="144"/>
        <v>2706.699354841121</v>
      </c>
      <c r="AI435" s="315">
        <f t="shared" ref="AI435:AI452" si="184">IF(Z435=0,0,AH435/Z435)</f>
        <v>0.23424038691767493</v>
      </c>
      <c r="AJ435" s="312"/>
      <c r="AK435" s="310"/>
      <c r="AL435" s="311">
        <f t="shared" ref="AL435:AL448" si="185">+SUMIF($C:$C,$V435,Q:Q)</f>
        <v>29964.55</v>
      </c>
      <c r="AM435" s="316"/>
      <c r="AN435" s="314">
        <f t="shared" si="181"/>
        <v>-15702.63</v>
      </c>
      <c r="AO435" s="283">
        <f t="shared" ref="AO435:AO440" si="186">IF(AL435=0,0,AN435/AL435)</f>
        <v>-0.52404024088464529</v>
      </c>
      <c r="AP435" s="244"/>
      <c r="AQ435" s="244"/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8">
      <c r="A436" t="str">
        <f t="shared" ref="A436" si="187">+U436&amp;V436</f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144</v>
      </c>
      <c r="X436" s="277"/>
      <c r="Y436" s="277"/>
      <c r="Z436" s="278">
        <f>+SUM(START:END!Z436)</f>
        <v>13125</v>
      </c>
      <c r="AA436" s="277"/>
      <c r="AB436" s="277">
        <f t="shared" si="183"/>
        <v>0</v>
      </c>
      <c r="AC436" s="278">
        <f>+SUM(START:END!AC436)</f>
        <v>0</v>
      </c>
      <c r="AD436" s="286"/>
      <c r="AE436" s="285"/>
      <c r="AF436" s="278">
        <f>+SUM(START:END!AF436)</f>
        <v>19406.990000000002</v>
      </c>
      <c r="AG436" s="279"/>
      <c r="AH436" s="280">
        <f t="shared" si="144"/>
        <v>6281.9900000000016</v>
      </c>
      <c r="AI436" s="281">
        <f t="shared" si="184"/>
        <v>0.47862780952380962</v>
      </c>
      <c r="AJ436" s="286"/>
      <c r="AK436" s="277"/>
      <c r="AL436" s="278">
        <f t="shared" si="185"/>
        <v>13745.61</v>
      </c>
      <c r="AM436" s="282"/>
      <c r="AN436" s="280">
        <f t="shared" si="181"/>
        <v>5661.380000000001</v>
      </c>
      <c r="AO436" s="287">
        <f t="shared" si="186"/>
        <v>0.41186822556438024</v>
      </c>
      <c r="AP436" s="244"/>
      <c r="AQ436" s="244"/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8">
      <c r="A437" t="str">
        <f t="shared" ref="A437" si="188">+U437&amp;V437</f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145</v>
      </c>
      <c r="X437" s="261"/>
      <c r="Y437" s="261"/>
      <c r="Z437" s="262">
        <f>+SUM(START:END!Z437)</f>
        <v>45231</v>
      </c>
      <c r="AA437" s="261"/>
      <c r="AB437" s="261">
        <f t="shared" si="183"/>
        <v>0</v>
      </c>
      <c r="AC437" s="262">
        <f>+SUM(START:END!AC437)</f>
        <v>0</v>
      </c>
      <c r="AD437" s="290"/>
      <c r="AE437" s="289"/>
      <c r="AF437" s="262">
        <f>+SUM(START:END!AF437)</f>
        <v>40264.930000000008</v>
      </c>
      <c r="AG437" s="263"/>
      <c r="AH437" s="264">
        <f t="shared" si="144"/>
        <v>-4966.0699999999924</v>
      </c>
      <c r="AI437" s="291">
        <f t="shared" si="184"/>
        <v>-0.10979350445490908</v>
      </c>
      <c r="AJ437" s="290"/>
      <c r="AK437" s="261"/>
      <c r="AL437" s="262">
        <f t="shared" si="185"/>
        <v>66021.809999999983</v>
      </c>
      <c r="AM437" s="266"/>
      <c r="AN437" s="264">
        <f t="shared" si="181"/>
        <v>-25756.879999999976</v>
      </c>
      <c r="AO437" s="267">
        <f t="shared" si="186"/>
        <v>-0.39012683838870793</v>
      </c>
      <c r="AP437" s="244"/>
      <c r="AQ437" s="480"/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8">
      <c r="A438" t="str">
        <f t="shared" ref="A438" si="189">+U438&amp;V438</f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146</v>
      </c>
      <c r="X438" s="277"/>
      <c r="Y438" s="277"/>
      <c r="Z438" s="278">
        <f>+SUM(START:END!Z438)</f>
        <v>67703.260000000009</v>
      </c>
      <c r="AA438" s="277"/>
      <c r="AB438" s="277">
        <f t="shared" si="183"/>
        <v>0</v>
      </c>
      <c r="AC438" s="278">
        <f>+SUM(START:END!AC438)</f>
        <v>0</v>
      </c>
      <c r="AD438" s="286"/>
      <c r="AE438" s="285"/>
      <c r="AF438" s="278">
        <f>+SUM(START:END!AF438)</f>
        <v>68417.22</v>
      </c>
      <c r="AG438" s="279"/>
      <c r="AH438" s="280">
        <f>AF438-Z438</f>
        <v>713.95999999999185</v>
      </c>
      <c r="AI438" s="281">
        <f t="shared" si="184"/>
        <v>1.054543016096997E-2</v>
      </c>
      <c r="AJ438" s="286"/>
      <c r="AK438" s="277"/>
      <c r="AL438" s="278">
        <f t="shared" si="185"/>
        <v>44337.37</v>
      </c>
      <c r="AM438" s="282"/>
      <c r="AN438" s="280">
        <f t="shared" si="181"/>
        <v>24079.85</v>
      </c>
      <c r="AO438" s="287">
        <f t="shared" si="186"/>
        <v>0.54310506013324644</v>
      </c>
      <c r="AP438" s="480"/>
      <c r="AQ438" s="244"/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8">
      <c r="A439" t="str">
        <f t="shared" ref="A439" si="190">+U439&amp;V439</f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147</v>
      </c>
      <c r="X439" s="277"/>
      <c r="Y439" s="277"/>
      <c r="Z439" s="278">
        <f>+SUM(START:END!Z439)</f>
        <v>12475</v>
      </c>
      <c r="AA439" s="277"/>
      <c r="AB439" s="277">
        <f t="shared" si="183"/>
        <v>0</v>
      </c>
      <c r="AC439" s="278">
        <f>+SUM(START:END!AC439)</f>
        <v>0</v>
      </c>
      <c r="AD439" s="286"/>
      <c r="AE439" s="285"/>
      <c r="AF439" s="278">
        <f>+SUM(START:END!AF439)</f>
        <v>22240.010000000002</v>
      </c>
      <c r="AG439" s="279"/>
      <c r="AH439" s="280">
        <f t="shared" ref="AH439:AH452" si="191">AF439-Z439</f>
        <v>9765.010000000002</v>
      </c>
      <c r="AI439" s="281">
        <f t="shared" si="184"/>
        <v>0.7827663326653308</v>
      </c>
      <c r="AJ439" s="286"/>
      <c r="AK439" s="277"/>
      <c r="AL439" s="278">
        <f t="shared" si="185"/>
        <v>5556.2100000000009</v>
      </c>
      <c r="AM439" s="282"/>
      <c r="AN439" s="280">
        <f t="shared" si="181"/>
        <v>16683.800000000003</v>
      </c>
      <c r="AO439" s="287">
        <f t="shared" si="186"/>
        <v>3.0027302783732077</v>
      </c>
      <c r="AP439" s="480"/>
      <c r="AQ439" s="244"/>
      <c r="AR439" s="244"/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8">
      <c r="A440" t="str">
        <f t="shared" ref="A440" si="192">+U440&amp;V440</f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148</v>
      </c>
      <c r="X440" s="277"/>
      <c r="Y440" s="277"/>
      <c r="Z440" s="278">
        <f>+SUM(START:END!Z440)</f>
        <v>33968.04</v>
      </c>
      <c r="AA440" s="277"/>
      <c r="AB440" s="277">
        <f t="shared" si="183"/>
        <v>0</v>
      </c>
      <c r="AC440" s="278">
        <f>+SUM(START:END!AC440)</f>
        <v>0</v>
      </c>
      <c r="AD440" s="286"/>
      <c r="AE440" s="285"/>
      <c r="AF440" s="278">
        <f>+SUM(START:END!AF440)</f>
        <v>50284.57</v>
      </c>
      <c r="AG440" s="279"/>
      <c r="AH440" s="280">
        <f t="shared" si="191"/>
        <v>16316.529999999999</v>
      </c>
      <c r="AI440" s="281">
        <f t="shared" si="184"/>
        <v>0.48034946967796782</v>
      </c>
      <c r="AJ440" s="286"/>
      <c r="AK440" s="277"/>
      <c r="AL440" s="278">
        <f t="shared" si="185"/>
        <v>26101.169999999991</v>
      </c>
      <c r="AM440" s="282"/>
      <c r="AN440" s="280">
        <f t="shared" si="181"/>
        <v>24183.400000000009</v>
      </c>
      <c r="AO440" s="287">
        <f t="shared" si="186"/>
        <v>0.92652551590599264</v>
      </c>
      <c r="AP440" s="244"/>
      <c r="AQ440" s="480"/>
      <c r="AR440" s="480"/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>+SUM(START:END!Z441)</f>
        <v>0</v>
      </c>
      <c r="AA441" s="318"/>
      <c r="AB441" s="318">
        <f t="shared" si="183"/>
        <v>0</v>
      </c>
      <c r="AC441" s="319">
        <f>+SUM(START:END!AC441)</f>
        <v>0</v>
      </c>
      <c r="AD441" s="320"/>
      <c r="AE441" s="321"/>
      <c r="AF441" s="319">
        <f>+SUM(START:END!AF441)</f>
        <v>0</v>
      </c>
      <c r="AG441" s="322"/>
      <c r="AH441" s="323">
        <f t="shared" si="191"/>
        <v>0</v>
      </c>
      <c r="AI441" s="324">
        <f t="shared" si="184"/>
        <v>0</v>
      </c>
      <c r="AJ441" s="320"/>
      <c r="AK441" s="318"/>
      <c r="AL441" s="319">
        <f t="shared" si="185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8">
      <c r="A442" t="str">
        <f t="shared" ref="A442" si="193">+U442&amp;V442</f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>+SUM(START:END!Z442)</f>
        <v>10061.25</v>
      </c>
      <c r="AA442" s="277"/>
      <c r="AB442" s="285">
        <f t="shared" si="183"/>
        <v>0</v>
      </c>
      <c r="AC442" s="278">
        <f>+SUM(START:END!AC442)</f>
        <v>0</v>
      </c>
      <c r="AD442" s="286"/>
      <c r="AE442" s="285"/>
      <c r="AF442" s="278">
        <f>+SUM(START:END!AF442)</f>
        <v>15476.12</v>
      </c>
      <c r="AG442" s="279"/>
      <c r="AH442" s="280">
        <f t="shared" si="191"/>
        <v>5414.8700000000008</v>
      </c>
      <c r="AI442" s="281">
        <f t="shared" si="184"/>
        <v>0.53819058268107844</v>
      </c>
      <c r="AJ442" s="286"/>
      <c r="AK442" s="277"/>
      <c r="AL442" s="278">
        <f t="shared" si="185"/>
        <v>8790.2100000000009</v>
      </c>
      <c r="AM442" s="282"/>
      <c r="AN442" s="280">
        <f t="shared" ref="AN442:AN448" si="194">AF442-AL442</f>
        <v>6685.91</v>
      </c>
      <c r="AO442" s="287">
        <f t="shared" ref="AO442:AO448" si="195">IF(AL442=0,0,AN442/AL442)</f>
        <v>0.76060867715333302</v>
      </c>
      <c r="AP442" s="244"/>
      <c r="AQ442" s="244"/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8">
      <c r="A443" t="str">
        <f t="shared" ref="A443" si="196">+U443&amp;V443</f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150</v>
      </c>
      <c r="X443" s="277"/>
      <c r="Y443" s="277"/>
      <c r="Z443" s="278">
        <f>+SUM(START:END!Z443)</f>
        <v>4200</v>
      </c>
      <c r="AA443" s="277"/>
      <c r="AB443" s="277">
        <f t="shared" si="183"/>
        <v>0</v>
      </c>
      <c r="AC443" s="278">
        <f>+SUM(START:END!AC443)</f>
        <v>0</v>
      </c>
      <c r="AD443" s="286"/>
      <c r="AE443" s="285"/>
      <c r="AF443" s="278">
        <f>+SUM(START:END!AF443)</f>
        <v>4476.59</v>
      </c>
      <c r="AG443" s="279"/>
      <c r="AH443" s="280">
        <f t="shared" si="191"/>
        <v>276.59000000000015</v>
      </c>
      <c r="AI443" s="304">
        <f t="shared" si="184"/>
        <v>6.5854761904761944E-2</v>
      </c>
      <c r="AJ443" s="286"/>
      <c r="AK443" s="277"/>
      <c r="AL443" s="278">
        <f t="shared" si="185"/>
        <v>3482.61</v>
      </c>
      <c r="AM443" s="282"/>
      <c r="AN443" s="280">
        <f t="shared" si="194"/>
        <v>993.98</v>
      </c>
      <c r="AO443" s="287">
        <f t="shared" si="195"/>
        <v>0.2854123774984853</v>
      </c>
      <c r="AP443" s="244"/>
      <c r="AQ443" s="244"/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8">
      <c r="A444" t="str">
        <f t="shared" ref="A444" si="197"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>+SUM(START:END!Z444)</f>
        <v>4350</v>
      </c>
      <c r="AA444" s="277"/>
      <c r="AB444" s="277">
        <f t="shared" si="183"/>
        <v>0</v>
      </c>
      <c r="AC444" s="278">
        <f>+SUM(START:END!AC444)</f>
        <v>0</v>
      </c>
      <c r="AD444" s="286"/>
      <c r="AE444" s="285"/>
      <c r="AF444" s="278">
        <f>+SUM(START:END!AF444)</f>
        <v>5015.5200000000004</v>
      </c>
      <c r="AG444" s="279"/>
      <c r="AH444" s="280">
        <f t="shared" si="191"/>
        <v>665.52000000000044</v>
      </c>
      <c r="AI444" s="281">
        <f t="shared" si="184"/>
        <v>0.15299310344827596</v>
      </c>
      <c r="AJ444" s="286"/>
      <c r="AK444" s="277"/>
      <c r="AL444" s="278">
        <f t="shared" si="185"/>
        <v>5313.5599999999995</v>
      </c>
      <c r="AM444" s="282"/>
      <c r="AN444" s="280">
        <f t="shared" si="194"/>
        <v>-298.03999999999905</v>
      </c>
      <c r="AO444" s="287">
        <f t="shared" si="195"/>
        <v>-5.6090455363259115E-2</v>
      </c>
      <c r="AP444" s="244"/>
      <c r="AQ444" s="244"/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8">
      <c r="A445" t="str">
        <f t="shared" ref="A445" si="198">+U445&amp;V445</f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152</v>
      </c>
      <c r="X445" s="277"/>
      <c r="Y445" s="277"/>
      <c r="Z445" s="278">
        <f>+SUM(START:END!Z445)</f>
        <v>1347</v>
      </c>
      <c r="AA445" s="277"/>
      <c r="AB445" s="277">
        <f t="shared" si="183"/>
        <v>0</v>
      </c>
      <c r="AC445" s="278">
        <f>+SUM(START:END!AC445)</f>
        <v>0</v>
      </c>
      <c r="AD445" s="286"/>
      <c r="AE445" s="285"/>
      <c r="AF445" s="278">
        <f>+SUM(START:END!AF445)</f>
        <v>2410.41</v>
      </c>
      <c r="AG445" s="279"/>
      <c r="AH445" s="280">
        <f t="shared" si="191"/>
        <v>1063.4099999999999</v>
      </c>
      <c r="AI445" s="304">
        <f t="shared" si="184"/>
        <v>0.78946547884187068</v>
      </c>
      <c r="AJ445" s="286"/>
      <c r="AK445" s="277"/>
      <c r="AL445" s="278">
        <f t="shared" si="185"/>
        <v>1403.95</v>
      </c>
      <c r="AM445" s="282"/>
      <c r="AN445" s="280">
        <f t="shared" si="194"/>
        <v>1006.4599999999998</v>
      </c>
      <c r="AO445" s="287">
        <f t="shared" si="195"/>
        <v>0.7168773816731363</v>
      </c>
      <c r="AP445" s="244"/>
      <c r="AQ445" s="244"/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8">
      <c r="A446" t="str">
        <f t="shared" ref="A446" si="199">+U446&amp;V446</f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153</v>
      </c>
      <c r="X446" s="277"/>
      <c r="Y446" s="277"/>
      <c r="Z446" s="278">
        <f>+SUM(START:END!Z446)</f>
        <v>8475</v>
      </c>
      <c r="AA446" s="277"/>
      <c r="AB446" s="277">
        <f t="shared" si="183"/>
        <v>0</v>
      </c>
      <c r="AC446" s="278">
        <f>+SUM(START:END!AC446)</f>
        <v>0</v>
      </c>
      <c r="AD446" s="286"/>
      <c r="AE446" s="285"/>
      <c r="AF446" s="278">
        <f>+SUM(START:END!AF446)</f>
        <v>6601.69</v>
      </c>
      <c r="AG446" s="279"/>
      <c r="AH446" s="280">
        <f t="shared" si="191"/>
        <v>-1873.3100000000004</v>
      </c>
      <c r="AI446" s="281">
        <f t="shared" si="184"/>
        <v>-0.22103952802359886</v>
      </c>
      <c r="AJ446" s="286"/>
      <c r="AK446" s="277"/>
      <c r="AL446" s="278">
        <f t="shared" si="185"/>
        <v>3357.24</v>
      </c>
      <c r="AM446" s="282"/>
      <c r="AN446" s="280">
        <f t="shared" si="194"/>
        <v>3244.45</v>
      </c>
      <c r="AO446" s="287">
        <f t="shared" si="195"/>
        <v>0.96640395086440056</v>
      </c>
      <c r="AP446" s="244"/>
      <c r="AQ446" s="244"/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8">
      <c r="A447" t="str">
        <f t="shared" ref="A447" si="200">+U447&amp;V447</f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154</v>
      </c>
      <c r="X447" s="277"/>
      <c r="Y447" s="285"/>
      <c r="Z447" s="278">
        <f>+SUM(START:END!Z447)</f>
        <v>4664.9999999999991</v>
      </c>
      <c r="AA447" s="277"/>
      <c r="AB447" s="285">
        <f t="shared" si="183"/>
        <v>0</v>
      </c>
      <c r="AC447" s="278">
        <f>+SUM(START:END!AC447)</f>
        <v>0</v>
      </c>
      <c r="AD447" s="286"/>
      <c r="AE447" s="285"/>
      <c r="AF447" s="278">
        <f>+SUM(START:END!AF447)</f>
        <v>6505.78</v>
      </c>
      <c r="AG447" s="279"/>
      <c r="AH447" s="280">
        <f t="shared" si="191"/>
        <v>1840.7800000000007</v>
      </c>
      <c r="AI447" s="304">
        <f t="shared" si="184"/>
        <v>0.39459378349410523</v>
      </c>
      <c r="AJ447" s="286"/>
      <c r="AK447" s="277"/>
      <c r="AL447" s="278">
        <f t="shared" si="185"/>
        <v>9503.0399999999991</v>
      </c>
      <c r="AM447" s="282"/>
      <c r="AN447" s="280">
        <f t="shared" si="194"/>
        <v>-2997.2599999999993</v>
      </c>
      <c r="AO447" s="287">
        <f t="shared" si="195"/>
        <v>-0.31540012459170957</v>
      </c>
      <c r="AP447" s="244"/>
      <c r="AQ447" s="244"/>
      <c r="AR447" s="480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8">
      <c r="A448" t="str">
        <f t="shared" ref="A448" si="201">+U448&amp;V448</f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155</v>
      </c>
      <c r="X448" s="277"/>
      <c r="Y448" s="285"/>
      <c r="Z448" s="278">
        <f>+SUM(START:END!Z448)</f>
        <v>7111.9600000000009</v>
      </c>
      <c r="AA448" s="277"/>
      <c r="AB448" s="285">
        <f t="shared" si="183"/>
        <v>0</v>
      </c>
      <c r="AC448" s="278">
        <f>+SUM(START:END!AC448)</f>
        <v>0</v>
      </c>
      <c r="AD448" s="286"/>
      <c r="AE448" s="285"/>
      <c r="AF448" s="278">
        <f>+SUM(START:END!AF448)</f>
        <v>3633.56</v>
      </c>
      <c r="AG448" s="279"/>
      <c r="AH448" s="280">
        <f t="shared" si="191"/>
        <v>-3478.400000000001</v>
      </c>
      <c r="AI448" s="281">
        <f t="shared" si="184"/>
        <v>-0.48909161468849666</v>
      </c>
      <c r="AJ448" s="286"/>
      <c r="AK448" s="277"/>
      <c r="AL448" s="278">
        <f t="shared" si="185"/>
        <v>6634.61</v>
      </c>
      <c r="AM448" s="282"/>
      <c r="AN448" s="280">
        <f t="shared" si="194"/>
        <v>-3001.0499999999997</v>
      </c>
      <c r="AO448" s="287">
        <f t="shared" si="195"/>
        <v>-0.45233254102351156</v>
      </c>
      <c r="AP448" s="244"/>
      <c r="AQ448" s="244"/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8">
      <c r="A449" t="str">
        <f t="shared" ref="A449" si="202">+U449&amp;V449</f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156</v>
      </c>
      <c r="X449" s="277"/>
      <c r="Y449" s="285"/>
      <c r="Z449" s="278">
        <f>+SUM(START:END!Z449)</f>
        <v>32651.377094951909</v>
      </c>
      <c r="AA449" s="277"/>
      <c r="AB449" s="285">
        <f t="shared" si="183"/>
        <v>0</v>
      </c>
      <c r="AC449" s="278">
        <f>+SUM(START:END!AC449)</f>
        <v>0</v>
      </c>
      <c r="AD449" s="286"/>
      <c r="AE449" s="285"/>
      <c r="AF449" s="278">
        <f>+SUM(START:END!AF449)</f>
        <v>26074.619999999995</v>
      </c>
      <c r="AG449" s="279"/>
      <c r="AH449" s="280">
        <f t="shared" si="191"/>
        <v>-6576.757094951914</v>
      </c>
      <c r="AI449" s="281">
        <f t="shared" si="184"/>
        <v>-0.20142357474927813</v>
      </c>
      <c r="AJ449" s="286"/>
      <c r="AK449" s="277"/>
      <c r="AL449" s="278">
        <f>+SUM(START:END!AL449)</f>
        <v>25552.29</v>
      </c>
      <c r="AM449" s="282"/>
      <c r="AN449" s="280">
        <f>AF449-AL449</f>
        <v>522.32999999999447</v>
      </c>
      <c r="AO449" s="287">
        <f>IF(AL449=0,0,AN449/AL449)</f>
        <v>2.0441612082517633E-2</v>
      </c>
      <c r="AP449" s="244"/>
      <c r="AQ449" s="244"/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ref="A450" si="203">+U450&amp;V450</f>
        <v>Mitsubishi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201</v>
      </c>
      <c r="W450" s="284"/>
      <c r="X450" s="277"/>
      <c r="Y450" s="285"/>
      <c r="Z450" s="280">
        <f>+SUM(START:END!Z450)</f>
        <v>0</v>
      </c>
      <c r="AA450" s="277"/>
      <c r="AB450" s="277">
        <f t="shared" si="183"/>
        <v>0</v>
      </c>
      <c r="AC450" s="280">
        <f>+SUM(START:END!AC450)</f>
        <v>0</v>
      </c>
      <c r="AD450" s="286"/>
      <c r="AE450" s="285"/>
      <c r="AF450" s="278">
        <f>+SUM(START:END!AF450)</f>
        <v>0</v>
      </c>
      <c r="AG450" s="279"/>
      <c r="AH450" s="280">
        <f t="shared" si="191"/>
        <v>0</v>
      </c>
      <c r="AI450" s="281">
        <f t="shared" si="184"/>
        <v>0</v>
      </c>
      <c r="AJ450" s="286"/>
      <c r="AK450" s="277"/>
      <c r="AL450" s="278">
        <f>+SUMIF($C:$C,$V450,Q:Q)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ref="A451:A500" si="204">+U451&amp;V451</f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+SUM(START:END!Z451)</f>
        <v>0</v>
      </c>
      <c r="AA451" s="277"/>
      <c r="AB451" s="277">
        <f t="shared" si="183"/>
        <v>0</v>
      </c>
      <c r="AC451" s="280">
        <f>+SUM(START:END!AC451)</f>
        <v>0</v>
      </c>
      <c r="AD451" s="286"/>
      <c r="AE451" s="285"/>
      <c r="AF451" s="278">
        <f>+SUM(START:END!AF451)</f>
        <v>0</v>
      </c>
      <c r="AG451" s="279"/>
      <c r="AH451" s="280">
        <f t="shared" si="191"/>
        <v>0</v>
      </c>
      <c r="AI451" s="281">
        <f t="shared" si="184"/>
        <v>0</v>
      </c>
      <c r="AJ451" s="286"/>
      <c r="AK451" s="277"/>
      <c r="AL451" s="278"/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204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+SUM(START:END!Z452)</f>
        <v>0</v>
      </c>
      <c r="AA452" s="277"/>
      <c r="AB452" s="277">
        <f t="shared" si="183"/>
        <v>0</v>
      </c>
      <c r="AC452" s="280">
        <f>+SUM(START:END!AC452)</f>
        <v>0</v>
      </c>
      <c r="AD452" s="286"/>
      <c r="AE452" s="285"/>
      <c r="AF452" s="278">
        <f>+SUM(START:END!AF452)</f>
        <v>0</v>
      </c>
      <c r="AG452" s="279"/>
      <c r="AH452" s="280">
        <f t="shared" si="191"/>
        <v>0</v>
      </c>
      <c r="AI452" s="281">
        <f t="shared" si="184"/>
        <v>0</v>
      </c>
      <c r="AJ452" s="286"/>
      <c r="AK452" s="277"/>
      <c r="AL452" s="278"/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8">
      <c r="A453" t="str">
        <f t="shared" si="204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0.14145537823245843</v>
      </c>
      <c r="Y453" s="295"/>
      <c r="Z453" s="297">
        <f>+SUM(Z435:Z452)</f>
        <v>256919.10774011078</v>
      </c>
      <c r="AA453" s="296" t="e">
        <f>AC453/+AC408</f>
        <v>#DIV/0!</v>
      </c>
      <c r="AB453" s="295"/>
      <c r="AC453" s="297">
        <f>+SUM(START:END!AC452)</f>
        <v>0</v>
      </c>
      <c r="AD453" s="298">
        <f>AF453/AF408</f>
        <v>0.18057669306622512</v>
      </c>
      <c r="AE453" s="295"/>
      <c r="AF453" s="297">
        <f>+SUM(AF435:AF452)</f>
        <v>285069.93</v>
      </c>
      <c r="AG453" s="306"/>
      <c r="AH453" s="300">
        <f>+SUM(AH435:AH452)</f>
        <v>28150.822259889224</v>
      </c>
      <c r="AI453" s="296">
        <f>AH453/Z453</f>
        <v>0.109570761425676</v>
      </c>
      <c r="AJ453" s="298">
        <f>IF($AL$407=0,0,AL453/$AL$407)</f>
        <v>1.6690379878286778E-2</v>
      </c>
      <c r="AK453" s="296"/>
      <c r="AL453" s="297">
        <f>+SUM(AL435:AL452)</f>
        <v>249764.22999999995</v>
      </c>
      <c r="AM453" s="307"/>
      <c r="AN453" s="300">
        <f>+SUM(AN435:AN452)</f>
        <v>35305.700000000019</v>
      </c>
      <c r="AO453" s="329">
        <f>IF(AL453=0,0,AN453/AL453)</f>
        <v>0.14135611012033239</v>
      </c>
      <c r="AP453" s="244"/>
      <c r="AQ453" s="308"/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8">
      <c r="A454" t="str">
        <f t="shared" si="204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f>+SUM(START:END!Z454)</f>
        <v>150000</v>
      </c>
      <c r="AA454" s="277"/>
      <c r="AB454" s="285">
        <f t="shared" ref="AB454:AB463" si="205">IF(AC454=0,0,AC454/(G$13+G$97))</f>
        <v>0</v>
      </c>
      <c r="AC454" s="278">
        <f>+SUM(START:END!AC454)</f>
        <v>0</v>
      </c>
      <c r="AD454" s="286"/>
      <c r="AE454" s="285"/>
      <c r="AF454" s="278">
        <f>+SUM(START:END!AF454)</f>
        <v>150000</v>
      </c>
      <c r="AG454" s="279"/>
      <c r="AH454" s="280">
        <f t="shared" ref="AH454:AH462" si="206">AF454-Z454</f>
        <v>0</v>
      </c>
      <c r="AI454" s="281">
        <f t="shared" ref="AI454:AI462" si="207">IF(Z454=0,0,AH454/Z454)</f>
        <v>0</v>
      </c>
      <c r="AJ454" s="286"/>
      <c r="AK454" s="277"/>
      <c r="AL454" s="278">
        <f>+SUM(START:END!AL454)</f>
        <v>150000</v>
      </c>
      <c r="AM454" s="282"/>
      <c r="AN454" s="280">
        <f>AF454-AL454</f>
        <v>0</v>
      </c>
      <c r="AO454" s="287">
        <f t="shared" ref="AO454:AO462" si="208">IF(AL454=0,0,AN454/AL454)</f>
        <v>0</v>
      </c>
      <c r="AP454" s="244"/>
      <c r="AQ454" s="494"/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8">
      <c r="A455" t="str">
        <f t="shared" si="204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f>+SUM(START:END!Z455)</f>
        <v>19039.590000000004</v>
      </c>
      <c r="AA455" s="277"/>
      <c r="AB455" s="285">
        <f t="shared" si="205"/>
        <v>0</v>
      </c>
      <c r="AC455" s="278">
        <f>+SUM(START:END!AC455)</f>
        <v>0</v>
      </c>
      <c r="AD455" s="286"/>
      <c r="AE455" s="285"/>
      <c r="AF455" s="278">
        <f>+SUM(START:END!AF455)</f>
        <v>19039.89</v>
      </c>
      <c r="AG455" s="279"/>
      <c r="AH455" s="280">
        <f t="shared" si="206"/>
        <v>0.29999999999563443</v>
      </c>
      <c r="AI455" s="281">
        <f t="shared" si="207"/>
        <v>1.5756641818213227E-5</v>
      </c>
      <c r="AJ455" s="286"/>
      <c r="AK455" s="277"/>
      <c r="AL455" s="278">
        <f>+SUM(START:END!AL455)</f>
        <v>18490.5</v>
      </c>
      <c r="AM455" s="282"/>
      <c r="AN455" s="280">
        <f t="shared" ref="AN455:AN462" si="209">AF455-AL455</f>
        <v>549.38999999999942</v>
      </c>
      <c r="AO455" s="287">
        <f t="shared" si="208"/>
        <v>2.9712014277601981E-2</v>
      </c>
      <c r="AP455" s="244"/>
      <c r="AQ455" s="494"/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8">
      <c r="A456" t="str">
        <f t="shared" si="204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f>+SUM(START:END!Z456)</f>
        <v>8159.8200000000015</v>
      </c>
      <c r="AA456" s="261"/>
      <c r="AB456" s="289">
        <f t="shared" si="205"/>
        <v>0</v>
      </c>
      <c r="AC456" s="262">
        <f>+SUM(START:END!AC456)</f>
        <v>0</v>
      </c>
      <c r="AD456" s="290"/>
      <c r="AE456" s="289"/>
      <c r="AF456" s="262">
        <f>+SUM(START:END!AF456)</f>
        <v>8159.9699999999993</v>
      </c>
      <c r="AG456" s="263"/>
      <c r="AH456" s="264">
        <f t="shared" si="206"/>
        <v>0.14999999999781721</v>
      </c>
      <c r="AI456" s="291">
        <f t="shared" si="207"/>
        <v>1.8382758442933445E-5</v>
      </c>
      <c r="AJ456" s="290"/>
      <c r="AK456" s="261"/>
      <c r="AL456" s="262">
        <f>+SUM(START:END!AL456)</f>
        <v>7924.5</v>
      </c>
      <c r="AM456" s="266"/>
      <c r="AN456" s="264">
        <f t="shared" si="209"/>
        <v>235.46999999999935</v>
      </c>
      <c r="AO456" s="267">
        <f t="shared" si="208"/>
        <v>2.9714177550634026E-2</v>
      </c>
      <c r="AP456" s="244"/>
      <c r="AQ456" s="494"/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204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f>+SUM(START:END!Z457)</f>
        <v>0</v>
      </c>
      <c r="AA457" s="277"/>
      <c r="AB457" s="285">
        <f t="shared" si="205"/>
        <v>0</v>
      </c>
      <c r="AC457" s="278">
        <f>+SUM(START:END!AC457)</f>
        <v>0</v>
      </c>
      <c r="AD457" s="286"/>
      <c r="AE457" s="285"/>
      <c r="AF457" s="278">
        <f>+SUM(START:END!AF457)</f>
        <v>0</v>
      </c>
      <c r="AG457" s="279"/>
      <c r="AH457" s="280">
        <f t="shared" si="206"/>
        <v>0</v>
      </c>
      <c r="AI457" s="281">
        <f t="shared" si="207"/>
        <v>0</v>
      </c>
      <c r="AJ457" s="286"/>
      <c r="AK457" s="277"/>
      <c r="AL457" s="278">
        <f>+SUM(START:END!AL457)</f>
        <v>0</v>
      </c>
      <c r="AM457" s="282"/>
      <c r="AN457" s="280">
        <f t="shared" si="209"/>
        <v>0</v>
      </c>
      <c r="AO457" s="287">
        <f t="shared" si="208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8">
      <c r="A458" t="str">
        <f t="shared" si="204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f>+SUM(START:END!Z458)</f>
        <v>10713.5</v>
      </c>
      <c r="AA458" s="261"/>
      <c r="AB458" s="289">
        <f t="shared" si="205"/>
        <v>0</v>
      </c>
      <c r="AC458" s="262">
        <f>+SUM(START:END!AC458)</f>
        <v>0</v>
      </c>
      <c r="AD458" s="290"/>
      <c r="AE458" s="289"/>
      <c r="AF458" s="262">
        <f>+SUM(START:END!AF458)</f>
        <v>10713.48</v>
      </c>
      <c r="AG458" s="263"/>
      <c r="AH458" s="264">
        <f t="shared" si="206"/>
        <v>-2.0000000000436557E-2</v>
      </c>
      <c r="AI458" s="291">
        <f t="shared" si="207"/>
        <v>-1.8668035656355587E-6</v>
      </c>
      <c r="AJ458" s="290"/>
      <c r="AK458" s="261"/>
      <c r="AL458" s="262">
        <f>+SUM(START:END!AL458)</f>
        <v>14561.49</v>
      </c>
      <c r="AM458" s="266"/>
      <c r="AN458" s="264">
        <f t="shared" si="209"/>
        <v>-3848.01</v>
      </c>
      <c r="AO458" s="267">
        <f t="shared" si="208"/>
        <v>-0.26425935807393341</v>
      </c>
      <c r="AP458" s="244"/>
      <c r="AQ458" s="494"/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8">
      <c r="A459" t="str">
        <f t="shared" si="204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f>+SUM(START:END!Z459)</f>
        <v>20025</v>
      </c>
      <c r="AA459" s="330"/>
      <c r="AB459" s="331">
        <f t="shared" si="205"/>
        <v>0</v>
      </c>
      <c r="AC459" s="278">
        <f>+SUM(START:END!AC459)</f>
        <v>0</v>
      </c>
      <c r="AD459" s="286"/>
      <c r="AE459" s="285"/>
      <c r="AF459" s="278">
        <f>+SUM(START:END!AF459)</f>
        <v>19757.789999999997</v>
      </c>
      <c r="AG459" s="279"/>
      <c r="AH459" s="280">
        <f t="shared" si="206"/>
        <v>-267.21000000000276</v>
      </c>
      <c r="AI459" s="281">
        <f t="shared" si="207"/>
        <v>-1.3343820224719239E-2</v>
      </c>
      <c r="AJ459" s="286"/>
      <c r="AK459" s="277"/>
      <c r="AL459" s="278">
        <f>+SUM(START:END!AL459)</f>
        <v>17232.509999999998</v>
      </c>
      <c r="AM459" s="282"/>
      <c r="AN459" s="280">
        <f t="shared" si="209"/>
        <v>2525.2799999999988</v>
      </c>
      <c r="AO459" s="287">
        <f t="shared" si="208"/>
        <v>0.14654162394218828</v>
      </c>
      <c r="AP459" s="244"/>
      <c r="AQ459" s="244"/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8">
      <c r="A460" t="str">
        <f t="shared" si="204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169</v>
      </c>
      <c r="X460" s="277"/>
      <c r="Y460" s="285"/>
      <c r="Z460" s="278">
        <f>+SUM(START:END!Z460)</f>
        <v>5250</v>
      </c>
      <c r="AA460" s="277"/>
      <c r="AB460" s="285">
        <f t="shared" si="205"/>
        <v>0</v>
      </c>
      <c r="AC460" s="278">
        <f>+SUM(START:END!AC460)</f>
        <v>0</v>
      </c>
      <c r="AD460" s="286"/>
      <c r="AE460" s="285"/>
      <c r="AF460" s="278">
        <f>+SUM(START:END!AF460)</f>
        <v>4816</v>
      </c>
      <c r="AG460" s="279"/>
      <c r="AH460" s="280">
        <f t="shared" si="206"/>
        <v>-434</v>
      </c>
      <c r="AI460" s="281">
        <f t="shared" si="207"/>
        <v>-8.2666666666666666E-2</v>
      </c>
      <c r="AJ460" s="286"/>
      <c r="AK460" s="277"/>
      <c r="AL460" s="278">
        <f>+SUM(START:END!AL460)</f>
        <v>18921.989999999998</v>
      </c>
      <c r="AM460" s="282"/>
      <c r="AN460" s="280">
        <f t="shared" si="209"/>
        <v>-14105.989999999998</v>
      </c>
      <c r="AO460" s="287">
        <f t="shared" si="208"/>
        <v>-0.74548131565443165</v>
      </c>
      <c r="AP460" s="244"/>
      <c r="AQ460" s="494"/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8">
      <c r="A461" t="str">
        <f t="shared" si="204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171</v>
      </c>
      <c r="X461" s="261"/>
      <c r="Y461" s="289"/>
      <c r="Z461" s="262">
        <f>+SUM(START:END!Z461)</f>
        <v>1350</v>
      </c>
      <c r="AA461" s="261"/>
      <c r="AB461" s="289">
        <f t="shared" si="205"/>
        <v>0</v>
      </c>
      <c r="AC461" s="262">
        <f>+SUM(START:END!AC461)</f>
        <v>0</v>
      </c>
      <c r="AD461" s="290"/>
      <c r="AE461" s="289"/>
      <c r="AF461" s="262">
        <f>+SUM(START:END!AF461)</f>
        <v>1350</v>
      </c>
      <c r="AG461" s="263"/>
      <c r="AH461" s="264">
        <f t="shared" si="206"/>
        <v>0</v>
      </c>
      <c r="AI461" s="291">
        <f t="shared" si="207"/>
        <v>0</v>
      </c>
      <c r="AJ461" s="290"/>
      <c r="AK461" s="261"/>
      <c r="AL461" s="262">
        <f>+SUM(START:END!AL461)</f>
        <v>3591.9</v>
      </c>
      <c r="AM461" s="266"/>
      <c r="AN461" s="264">
        <f t="shared" si="209"/>
        <v>-2241.9</v>
      </c>
      <c r="AO461" s="267">
        <f t="shared" si="208"/>
        <v>-0.62415434728138308</v>
      </c>
      <c r="AP461" s="244"/>
      <c r="AQ461" s="244"/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8">
      <c r="A462" t="str">
        <f t="shared" si="204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f>+SUM(START:END!Z462)</f>
        <v>837</v>
      </c>
      <c r="AA462" s="277"/>
      <c r="AB462" s="285">
        <f t="shared" si="205"/>
        <v>0</v>
      </c>
      <c r="AC462" s="278">
        <f>+SUM(START:END!AC462)</f>
        <v>0</v>
      </c>
      <c r="AD462" s="286"/>
      <c r="AE462" s="285"/>
      <c r="AF462" s="278">
        <f>+SUM(START:END!AF462)</f>
        <v>913.16000000000008</v>
      </c>
      <c r="AG462" s="279"/>
      <c r="AH462" s="280">
        <f t="shared" si="206"/>
        <v>76.160000000000082</v>
      </c>
      <c r="AI462" s="333">
        <f t="shared" si="207"/>
        <v>9.0991636798088513E-2</v>
      </c>
      <c r="AJ462" s="277"/>
      <c r="AK462" s="277"/>
      <c r="AL462" s="278">
        <f>+SUM(START:END!AL462)</f>
        <v>614.099999999999</v>
      </c>
      <c r="AM462" s="282"/>
      <c r="AN462" s="280">
        <f t="shared" si="209"/>
        <v>299.06000000000108</v>
      </c>
      <c r="AO462" s="287">
        <f t="shared" si="208"/>
        <v>0.48698908972480309</v>
      </c>
      <c r="AP462" s="244"/>
      <c r="AQ462" s="244"/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204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f>+SUM(START:END!Z463)</f>
        <v>0</v>
      </c>
      <c r="AA463" s="277"/>
      <c r="AB463" s="285">
        <f t="shared" si="205"/>
        <v>0</v>
      </c>
      <c r="AC463" s="278">
        <f>+SUM(START:END!AC463)</f>
        <v>0</v>
      </c>
      <c r="AD463" s="286"/>
      <c r="AE463" s="285"/>
      <c r="AF463" s="278">
        <f>+SUM(START:END!AF463)</f>
        <v>0</v>
      </c>
      <c r="AG463" s="279"/>
      <c r="AH463" s="280">
        <v>0</v>
      </c>
      <c r="AI463" s="304">
        <v>0</v>
      </c>
      <c r="AJ463" s="277"/>
      <c r="AK463" s="277"/>
      <c r="AL463" s="278">
        <f>+SUM(START:END!AL463)</f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204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+SUM(START:END!Z463)</f>
        <v>0</v>
      </c>
      <c r="AA464" s="277"/>
      <c r="AB464" s="277"/>
      <c r="AC464" s="280">
        <f>+SUM(START:END!AC463)</f>
        <v>0</v>
      </c>
      <c r="AD464" s="286"/>
      <c r="AE464" s="285"/>
      <c r="AF464" s="278">
        <f>+SUM(START:END!AF463)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+SUM(START:END!AL464)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204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+SUM(START:END!Z464)</f>
        <v>0</v>
      </c>
      <c r="AA465" s="277"/>
      <c r="AB465" s="277"/>
      <c r="AC465" s="280">
        <f>+SUM(START:END!AC464)</f>
        <v>0</v>
      </c>
      <c r="AD465" s="286"/>
      <c r="AE465" s="285"/>
      <c r="AF465" s="278">
        <f>+SUM(START:END!AF464)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+SUM(START:END!AL465)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204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+SUM(START:END!Z465)</f>
        <v>0</v>
      </c>
      <c r="AA466" s="277"/>
      <c r="AB466" s="277"/>
      <c r="AC466" s="280">
        <f>+SUM(START:END!AC465)</f>
        <v>0</v>
      </c>
      <c r="AD466" s="286"/>
      <c r="AE466" s="285"/>
      <c r="AF466" s="278">
        <f>+SUM(START:END!AF465)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+SUM(START:END!AL466)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8">
      <c r="A467" t="str">
        <f t="shared" si="204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0.11858183544156566</v>
      </c>
      <c r="Y467" s="295"/>
      <c r="Z467" s="297">
        <f>SUM(Z454:Z466)</f>
        <v>215374.91</v>
      </c>
      <c r="AA467" s="296" t="e">
        <f>AC467/+AC408</f>
        <v>#DIV/0!</v>
      </c>
      <c r="AB467" s="295"/>
      <c r="AC467" s="297">
        <f>SUM(AC454:AC466)</f>
        <v>0</v>
      </c>
      <c r="AD467" s="298">
        <f>AF467/AF408</f>
        <v>0.13603292779148204</v>
      </c>
      <c r="AE467" s="295"/>
      <c r="AF467" s="297">
        <f>SUM(AF454:AF466)</f>
        <v>214750.29000000004</v>
      </c>
      <c r="AG467" s="306"/>
      <c r="AH467" s="300">
        <f>SUM(AH454:AH466)</f>
        <v>-624.62000000000967</v>
      </c>
      <c r="AI467" s="296">
        <f>IF(Z467=0,0,AH467/Z467)</f>
        <v>-2.9001521114971548E-3</v>
      </c>
      <c r="AJ467" s="298">
        <f>IF($AL$407=0,0,AL467/$AL$407)</f>
        <v>1.5458988034433234E-2</v>
      </c>
      <c r="AK467" s="296"/>
      <c r="AL467" s="297">
        <f>SUM(AL454:AL466)</f>
        <v>231336.99</v>
      </c>
      <c r="AM467" s="307"/>
      <c r="AN467" s="300">
        <f>SUM(AN454:AN466)</f>
        <v>-16586.7</v>
      </c>
      <c r="AO467" s="329">
        <f t="shared" ref="AO467:AO484" si="210">IF(AL467=0,0,AN467/AL467)</f>
        <v>-7.169929893183101E-2</v>
      </c>
      <c r="AP467" s="244"/>
      <c r="AQ467" s="308"/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8">
      <c r="A468" t="str">
        <f t="shared" si="204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211">AF468-Z468</f>
        <v>0</v>
      </c>
      <c r="AI468" s="281"/>
      <c r="AJ468" s="286"/>
      <c r="AK468" s="277"/>
      <c r="AL468" s="334"/>
      <c r="AM468" s="335"/>
      <c r="AN468" s="280">
        <f t="shared" ref="AN468:AN484" si="212">AF468-AL468</f>
        <v>0</v>
      </c>
      <c r="AO468" s="336">
        <f t="shared" si="210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8">
      <c r="A469" t="str">
        <f t="shared" si="204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0.84582484136790459</v>
      </c>
      <c r="Y469" s="295"/>
      <c r="Z469" s="297">
        <f>Z420+Z434+Z453+Z467</f>
        <v>1536234.014316177</v>
      </c>
      <c r="AA469" s="296" t="e">
        <f>AC469/+AC408</f>
        <v>#DIV/0!</v>
      </c>
      <c r="AB469" s="295"/>
      <c r="AC469" s="297">
        <f>AC420+AC434+AC453+AC467</f>
        <v>0</v>
      </c>
      <c r="AD469" s="298">
        <f>AF469/AF408</f>
        <v>0.87682973304965972</v>
      </c>
      <c r="AE469" s="295"/>
      <c r="AF469" s="297">
        <f>AF420+AF434+AF453+AF467</f>
        <v>1384219.56</v>
      </c>
      <c r="AG469" s="306"/>
      <c r="AH469" s="300">
        <f t="shared" si="211"/>
        <v>-152014.45431617694</v>
      </c>
      <c r="AI469" s="296">
        <f>AH469/Z469</f>
        <v>-9.8952667952638101E-2</v>
      </c>
      <c r="AJ469" s="298">
        <f>IF($AL$407=0,0,AL469/$AL$407)</f>
        <v>0.10140113533143351</v>
      </c>
      <c r="AK469" s="296"/>
      <c r="AL469" s="297">
        <f>AL420+AL434+AL453+AL467</f>
        <v>1517423.6099999999</v>
      </c>
      <c r="AM469" s="307"/>
      <c r="AN469" s="300">
        <f t="shared" si="212"/>
        <v>-133204.04999999981</v>
      </c>
      <c r="AO469" s="275">
        <f t="shared" si="210"/>
        <v>-8.7783035088006722E-2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8">
      <c r="A470" t="str">
        <f t="shared" si="204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f>+SUM(START:END!Z470)</f>
        <v>0</v>
      </c>
      <c r="AA470" s="337"/>
      <c r="AB470" s="338">
        <f t="shared" ref="AB470:AB478" si="213">IF(AC470=0,0,AC470/(G$13+G$97))</f>
        <v>0</v>
      </c>
      <c r="AC470" s="311">
        <f>+SUM(START:END!AC470)</f>
        <v>0</v>
      </c>
      <c r="AD470" s="339"/>
      <c r="AE470" s="338"/>
      <c r="AF470" s="278">
        <f>+SUM(START:END!AF470)</f>
        <v>45777.84</v>
      </c>
      <c r="AG470" s="340"/>
      <c r="AH470" s="280">
        <f t="shared" si="211"/>
        <v>45777.84</v>
      </c>
      <c r="AI470" s="333" t="e">
        <f>IF(AH470=0,0,AH470/Z470)</f>
        <v>#DIV/0!</v>
      </c>
      <c r="AJ470" s="339"/>
      <c r="AK470" s="337"/>
      <c r="AL470" s="341">
        <f>+SUM(START:END!AL470)</f>
        <v>2783.95999999999</v>
      </c>
      <c r="AM470" s="342"/>
      <c r="AN470" s="280">
        <f t="shared" si="212"/>
        <v>42993.880000000005</v>
      </c>
      <c r="AO470" s="287">
        <f t="shared" si="210"/>
        <v>15.443425911291886</v>
      </c>
      <c r="AP470" s="244"/>
      <c r="AQ470" s="244"/>
      <c r="AR470" s="244"/>
      <c r="AS470" s="244"/>
      <c r="AT470" s="308"/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8">
      <c r="A471" t="str">
        <f t="shared" si="204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+SUM(START:END!Z471)</f>
        <v>182145.2285714286</v>
      </c>
      <c r="AA471" s="330"/>
      <c r="AB471" s="331">
        <f t="shared" si="213"/>
        <v>0</v>
      </c>
      <c r="AC471" s="278">
        <f>+SUM(START:END!AC471)</f>
        <v>0</v>
      </c>
      <c r="AD471" s="343"/>
      <c r="AE471" s="331"/>
      <c r="AF471" s="278">
        <f>+SUM(START:END!AF471)</f>
        <v>165196.79999999999</v>
      </c>
      <c r="AG471" s="344"/>
      <c r="AH471" s="280">
        <f t="shared" si="211"/>
        <v>-16948.428571428609</v>
      </c>
      <c r="AI471" s="304">
        <f>IF(Z471=0,0,AH471/Z471)</f>
        <v>-9.3048984617141645E-2</v>
      </c>
      <c r="AJ471" s="343"/>
      <c r="AK471" s="330"/>
      <c r="AL471" s="345">
        <f>+SUM(START:END!AL471)</f>
        <v>160254.79999999999</v>
      </c>
      <c r="AM471" s="346"/>
      <c r="AN471" s="280">
        <f t="shared" si="212"/>
        <v>4942</v>
      </c>
      <c r="AO471" s="287">
        <f t="shared" si="210"/>
        <v>3.0838389864141356E-2</v>
      </c>
      <c r="AP471" s="244"/>
      <c r="AQ471" s="244"/>
      <c r="AR471" s="244"/>
      <c r="AS471" s="244"/>
      <c r="AT471" s="308"/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8">
      <c r="A472" t="str">
        <f t="shared" si="204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f>+SUM(START:END!Z472)</f>
        <v>150269.81357142859</v>
      </c>
      <c r="AA472" s="330"/>
      <c r="AB472" s="331">
        <f t="shared" si="213"/>
        <v>0</v>
      </c>
      <c r="AC472" s="278">
        <f>+SUM(START:END!AC472)</f>
        <v>0</v>
      </c>
      <c r="AD472" s="343"/>
      <c r="AE472" s="331"/>
      <c r="AF472" s="278">
        <f>+SUM(START:END!AF472)</f>
        <v>137796.24</v>
      </c>
      <c r="AG472" s="344"/>
      <c r="AH472" s="280">
        <f t="shared" si="211"/>
        <v>-12473.573571428598</v>
      </c>
      <c r="AI472" s="304">
        <f t="shared" ref="AI472:AI481" si="214">IF(AH472=0,0,AH472/Z472)</f>
        <v>-8.3007846186615955E-2</v>
      </c>
      <c r="AJ472" s="343"/>
      <c r="AK472" s="330"/>
      <c r="AL472" s="345">
        <f>+SUM(START:END!AL472)</f>
        <v>147274.36000000002</v>
      </c>
      <c r="AM472" s="346"/>
      <c r="AN472" s="280">
        <f t="shared" si="212"/>
        <v>-9478.1200000000244</v>
      </c>
      <c r="AO472" s="287">
        <f t="shared" si="210"/>
        <v>-6.4356891450759138E-2</v>
      </c>
      <c r="AP472" s="244"/>
      <c r="AQ472" s="244"/>
      <c r="AR472" s="244"/>
      <c r="AS472" s="244"/>
      <c r="AT472" s="308"/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204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+SUM(START:END!Z473)</f>
        <v>0</v>
      </c>
      <c r="AA473" s="330"/>
      <c r="AB473" s="331">
        <f t="shared" si="213"/>
        <v>0</v>
      </c>
      <c r="AC473" s="278">
        <f>+SUM(START:END!AC473)</f>
        <v>0</v>
      </c>
      <c r="AD473" s="343"/>
      <c r="AE473" s="331"/>
      <c r="AF473" s="278">
        <f>+SUM(START:END!AF473)</f>
        <v>0</v>
      </c>
      <c r="AG473" s="344"/>
      <c r="AH473" s="280">
        <f t="shared" si="211"/>
        <v>0</v>
      </c>
      <c r="AI473" s="304">
        <f t="shared" si="214"/>
        <v>0</v>
      </c>
      <c r="AJ473" s="343"/>
      <c r="AK473" s="330"/>
      <c r="AL473" s="345">
        <f>+SUM(START:END!AL473)</f>
        <v>0</v>
      </c>
      <c r="AM473" s="346"/>
      <c r="AN473" s="280">
        <f t="shared" si="212"/>
        <v>0</v>
      </c>
      <c r="AO473" s="287">
        <f t="shared" si="210"/>
        <v>0</v>
      </c>
      <c r="AP473" s="244"/>
      <c r="AQ473" s="244"/>
      <c r="AR473" s="244"/>
      <c r="AS473" s="244"/>
      <c r="AT473" s="308"/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204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+SUM(START:END!Z474)</f>
        <v>0</v>
      </c>
      <c r="AA474" s="330"/>
      <c r="AB474" s="331">
        <f t="shared" si="213"/>
        <v>0</v>
      </c>
      <c r="AC474" s="278">
        <f>+SUM(START:END!AC474)</f>
        <v>0</v>
      </c>
      <c r="AD474" s="343"/>
      <c r="AE474" s="331"/>
      <c r="AF474" s="278">
        <f>+SUM(START:END!AF474)</f>
        <v>0</v>
      </c>
      <c r="AG474" s="344"/>
      <c r="AH474" s="280">
        <f t="shared" si="211"/>
        <v>0</v>
      </c>
      <c r="AI474" s="304">
        <f t="shared" si="214"/>
        <v>0</v>
      </c>
      <c r="AJ474" s="343"/>
      <c r="AK474" s="330"/>
      <c r="AL474" s="345">
        <f>+SUM(START:END!AL474)</f>
        <v>0</v>
      </c>
      <c r="AM474" s="346"/>
      <c r="AN474" s="280">
        <f t="shared" si="212"/>
        <v>0</v>
      </c>
      <c r="AO474" s="287">
        <f t="shared" si="210"/>
        <v>0</v>
      </c>
      <c r="AP474" s="244"/>
      <c r="AQ474" s="244"/>
      <c r="AR474" s="244"/>
      <c r="AS474" s="244"/>
      <c r="AT474" s="308"/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8">
      <c r="A475" t="str">
        <f t="shared" si="204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f>+SUM(START:END!Z475)</f>
        <v>17250</v>
      </c>
      <c r="AA475" s="330"/>
      <c r="AB475" s="331">
        <f t="shared" si="213"/>
        <v>0</v>
      </c>
      <c r="AC475" s="278">
        <f>+SUM(START:END!AC475)</f>
        <v>0</v>
      </c>
      <c r="AD475" s="343"/>
      <c r="AE475" s="331"/>
      <c r="AF475" s="278">
        <f>+SUM(START:END!AF475)</f>
        <v>13600</v>
      </c>
      <c r="AG475" s="344"/>
      <c r="AH475" s="280">
        <f t="shared" si="211"/>
        <v>-3650</v>
      </c>
      <c r="AI475" s="304">
        <f t="shared" si="214"/>
        <v>-0.21159420289855072</v>
      </c>
      <c r="AJ475" s="343"/>
      <c r="AK475" s="330"/>
      <c r="AL475" s="345">
        <f>+SUM(START:END!AL475)</f>
        <v>4400</v>
      </c>
      <c r="AM475" s="346"/>
      <c r="AN475" s="280">
        <f t="shared" si="212"/>
        <v>9200</v>
      </c>
      <c r="AO475" s="287">
        <f t="shared" si="210"/>
        <v>2.0909090909090908</v>
      </c>
      <c r="AP475" s="244"/>
      <c r="AQ475" s="244"/>
      <c r="AR475" s="244"/>
      <c r="AS475" s="244"/>
      <c r="AT475" s="308"/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8">
      <c r="A476" t="str">
        <f t="shared" si="204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+SUM(START:END!Z476)</f>
        <v>0</v>
      </c>
      <c r="AA476" s="330"/>
      <c r="AB476" s="331">
        <f t="shared" si="213"/>
        <v>0</v>
      </c>
      <c r="AC476" s="278">
        <f>+SUM(START:END!AC476)</f>
        <v>0</v>
      </c>
      <c r="AD476" s="343"/>
      <c r="AE476" s="331"/>
      <c r="AF476" s="278">
        <f>+SUM(START:END!AF476)</f>
        <v>18900</v>
      </c>
      <c r="AG476" s="344"/>
      <c r="AH476" s="280">
        <f t="shared" si="211"/>
        <v>18900</v>
      </c>
      <c r="AI476" s="304" t="e">
        <f t="shared" si="214"/>
        <v>#DIV/0!</v>
      </c>
      <c r="AJ476" s="343"/>
      <c r="AK476" s="330"/>
      <c r="AL476" s="345">
        <f>+SUM(START:END!AL476)</f>
        <v>-2050</v>
      </c>
      <c r="AM476" s="346"/>
      <c r="AN476" s="280">
        <f t="shared" si="212"/>
        <v>20950</v>
      </c>
      <c r="AO476" s="287">
        <f t="shared" si="210"/>
        <v>-10.219512195121951</v>
      </c>
      <c r="AP476" s="244"/>
      <c r="AQ476" s="244"/>
      <c r="AR476" s="244"/>
      <c r="AS476" s="244"/>
      <c r="AT476" s="308"/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204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+SUM(START:END!Z477)</f>
        <v>0</v>
      </c>
      <c r="AA477" s="330"/>
      <c r="AB477" s="331">
        <f t="shared" si="213"/>
        <v>0</v>
      </c>
      <c r="AC477" s="278">
        <f>+SUM(START:END!AC477)</f>
        <v>0</v>
      </c>
      <c r="AD477" s="343"/>
      <c r="AE477" s="331"/>
      <c r="AF477" s="278">
        <f>+SUM(START:END!AF477)</f>
        <v>0</v>
      </c>
      <c r="AG477" s="344"/>
      <c r="AH477" s="280">
        <f t="shared" si="211"/>
        <v>0</v>
      </c>
      <c r="AI477" s="304">
        <f t="shared" si="214"/>
        <v>0</v>
      </c>
      <c r="AJ477" s="343"/>
      <c r="AK477" s="330"/>
      <c r="AL477" s="345">
        <f>+SUM(START:END!AL477)</f>
        <v>0</v>
      </c>
      <c r="AM477" s="346"/>
      <c r="AN477" s="280">
        <f t="shared" si="212"/>
        <v>0</v>
      </c>
      <c r="AO477" s="287">
        <f t="shared" si="210"/>
        <v>0</v>
      </c>
      <c r="AP477" s="244"/>
      <c r="AQ477" s="244"/>
      <c r="AR477" s="244"/>
      <c r="AS477" s="244"/>
      <c r="AT477" s="308"/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8">
      <c r="A478" t="str">
        <f t="shared" si="204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f>+SUM(START:END!Z478)</f>
        <v>100179.87571428571</v>
      </c>
      <c r="AA478" s="330"/>
      <c r="AB478" s="331">
        <f t="shared" si="213"/>
        <v>0</v>
      </c>
      <c r="AC478" s="278">
        <f>+SUM(START:END!AC478)</f>
        <v>0</v>
      </c>
      <c r="AD478" s="343"/>
      <c r="AE478" s="331"/>
      <c r="AF478" s="278">
        <f>+SUM(START:END!AF478)</f>
        <v>93120.94</v>
      </c>
      <c r="AG478" s="344"/>
      <c r="AH478" s="280">
        <f t="shared" si="211"/>
        <v>-7058.9357142857043</v>
      </c>
      <c r="AI478" s="304">
        <f t="shared" si="214"/>
        <v>-7.0462612016188558E-2</v>
      </c>
      <c r="AJ478" s="343"/>
      <c r="AK478" s="330"/>
      <c r="AL478" s="345">
        <f>+SUM(START:END!AL478)</f>
        <v>82528.820000000007</v>
      </c>
      <c r="AM478" s="346"/>
      <c r="AN478" s="280">
        <f t="shared" si="212"/>
        <v>10592.119999999995</v>
      </c>
      <c r="AO478" s="287">
        <f t="shared" si="210"/>
        <v>0.12834449832191946</v>
      </c>
      <c r="AP478" s="244"/>
      <c r="AQ478" s="244"/>
      <c r="AR478" s="244"/>
      <c r="AS478" s="244"/>
      <c r="AT478" s="308"/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204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+SUM(START:END!Z479)</f>
        <v>0</v>
      </c>
      <c r="AA479" s="277"/>
      <c r="AB479" s="277">
        <f>IF(AC479=0,0,AC479/(G$13+G$97))</f>
        <v>0</v>
      </c>
      <c r="AC479" s="280">
        <f>+SUM(START:END!AC479)</f>
        <v>0</v>
      </c>
      <c r="AD479" s="286"/>
      <c r="AE479" s="285"/>
      <c r="AF479" s="278">
        <f>+SUM(START:END!AF479)</f>
        <v>0</v>
      </c>
      <c r="AG479" s="279"/>
      <c r="AH479" s="280">
        <f t="shared" si="211"/>
        <v>0</v>
      </c>
      <c r="AI479" s="281">
        <f t="shared" si="214"/>
        <v>0</v>
      </c>
      <c r="AJ479" s="286"/>
      <c r="AK479" s="277"/>
      <c r="AL479" s="278">
        <f>+SUM(START:END!AL479)</f>
        <v>0</v>
      </c>
      <c r="AM479" s="346"/>
      <c r="AN479" s="280">
        <f t="shared" si="212"/>
        <v>0</v>
      </c>
      <c r="AO479" s="287">
        <f t="shared" si="210"/>
        <v>0</v>
      </c>
      <c r="AP479" s="244"/>
      <c r="AQ479" s="244"/>
      <c r="AR479" s="244"/>
      <c r="AS479" s="244"/>
      <c r="AT479" s="308"/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204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+SUM(START:END!Z480)</f>
        <v>0</v>
      </c>
      <c r="AA480" s="277"/>
      <c r="AB480" s="277">
        <f>IF(AC480=0,0,AC480/(G$13+G$97))</f>
        <v>0</v>
      </c>
      <c r="AC480" s="280">
        <f>+SUM(START:END!AC480)</f>
        <v>0</v>
      </c>
      <c r="AD480" s="286"/>
      <c r="AE480" s="285"/>
      <c r="AF480" s="278">
        <f>+SUM(START:END!AF480)</f>
        <v>0</v>
      </c>
      <c r="AG480" s="279"/>
      <c r="AH480" s="280">
        <f t="shared" si="211"/>
        <v>0</v>
      </c>
      <c r="AI480" s="281">
        <f t="shared" si="214"/>
        <v>0</v>
      </c>
      <c r="AJ480" s="286"/>
      <c r="AK480" s="277"/>
      <c r="AL480" s="278">
        <f>+SUM(START:END!AL480)</f>
        <v>0</v>
      </c>
      <c r="AM480" s="346"/>
      <c r="AN480" s="280">
        <f t="shared" si="212"/>
        <v>0</v>
      </c>
      <c r="AO480" s="287">
        <f t="shared" si="210"/>
        <v>0</v>
      </c>
      <c r="AP480" s="244"/>
      <c r="AQ480" s="244"/>
      <c r="AR480" s="244"/>
      <c r="AS480" s="244"/>
      <c r="AT480" s="308"/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8">
      <c r="A481" t="str">
        <f t="shared" si="204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+SUM(START:END!Z481)</f>
        <v>99002.050000000017</v>
      </c>
      <c r="AA481" s="330"/>
      <c r="AB481" s="331">
        <f>IF(AC481=0,0,AC481/(G$13+G$97))</f>
        <v>0</v>
      </c>
      <c r="AC481" s="278">
        <f>+SUM(START:END!AC481)</f>
        <v>0</v>
      </c>
      <c r="AD481" s="343"/>
      <c r="AE481" s="331"/>
      <c r="AF481" s="278">
        <f>+SUM(START:END!AF481)</f>
        <v>90440</v>
      </c>
      <c r="AG481" s="344"/>
      <c r="AH481" s="280">
        <f t="shared" si="211"/>
        <v>-8562.0500000000175</v>
      </c>
      <c r="AI481" s="304">
        <f t="shared" si="214"/>
        <v>-8.648356271410558E-2</v>
      </c>
      <c r="AJ481" s="343"/>
      <c r="AK481" s="330"/>
      <c r="AL481" s="345">
        <f>+SUM(START:END!AL481)</f>
        <v>90440</v>
      </c>
      <c r="AM481" s="346"/>
      <c r="AN481" s="280">
        <f t="shared" si="212"/>
        <v>0</v>
      </c>
      <c r="AO481" s="287">
        <f t="shared" si="210"/>
        <v>0</v>
      </c>
      <c r="AP481" s="244"/>
      <c r="AQ481" s="244"/>
      <c r="AR481" s="244"/>
      <c r="AS481" s="244"/>
      <c r="AT481" s="308"/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8">
      <c r="A482" t="str">
        <f t="shared" si="204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0.30218599197575052</v>
      </c>
      <c r="Y482" s="328"/>
      <c r="Z482" s="297">
        <f>SUM(Z470:Z481)</f>
        <v>548846.96785714291</v>
      </c>
      <c r="AA482" s="296" t="e">
        <f>AC482/+AC408</f>
        <v>#DIV/0!</v>
      </c>
      <c r="AB482" s="328"/>
      <c r="AC482" s="297">
        <f>SUM(AC470:AC481)</f>
        <v>0</v>
      </c>
      <c r="AD482" s="296">
        <f>AF482/+AF408</f>
        <v>0.35779102409776198</v>
      </c>
      <c r="AE482" s="328"/>
      <c r="AF482" s="297">
        <f>SUM(AF470:AF481)</f>
        <v>564831.82000000007</v>
      </c>
      <c r="AG482" s="306"/>
      <c r="AH482" s="300">
        <f t="shared" si="211"/>
        <v>15984.852142857155</v>
      </c>
      <c r="AI482" s="296">
        <f>AH482/Z482</f>
        <v>2.9124424619246116E-2</v>
      </c>
      <c r="AJ482" s="347"/>
      <c r="AK482" s="348"/>
      <c r="AL482" s="297">
        <f>SUM(AL470:AL481)</f>
        <v>485631.94</v>
      </c>
      <c r="AM482" s="349"/>
      <c r="AN482" s="300">
        <f t="shared" si="212"/>
        <v>79199.880000000063</v>
      </c>
      <c r="AO482" s="329">
        <f t="shared" si="210"/>
        <v>0.16308622534176823</v>
      </c>
      <c r="AP482" s="244"/>
      <c r="AQ482" s="244"/>
      <c r="AR482" s="244"/>
      <c r="AS482" s="308"/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.75" thickBot="1">
      <c r="A483" t="str">
        <f t="shared" si="204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212"/>
        <v>0</v>
      </c>
      <c r="AO483" s="362">
        <f t="shared" si="210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9.5" thickTop="1" thickBot="1">
      <c r="A484" t="str">
        <f t="shared" si="204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4.5939951970375988E-2</v>
      </c>
      <c r="Z484" s="367">
        <f>Z408-Z469+Z482</f>
        <v>828868.4466188387</v>
      </c>
      <c r="AA484" s="365" t="s">
        <v>180</v>
      </c>
      <c r="AB484" s="366" t="e">
        <f>AC484/AC407</f>
        <v>#DIV/0!</v>
      </c>
      <c r="AC484" s="367">
        <f>AC408-AC469+AC482</f>
        <v>0</v>
      </c>
      <c r="AD484" s="365" t="s">
        <v>180</v>
      </c>
      <c r="AE484" s="366">
        <f>AF484/AF407</f>
        <v>3.9286860195643869E-2</v>
      </c>
      <c r="AF484" s="368">
        <f>AF408-AF469+AF482</f>
        <v>759276.29</v>
      </c>
      <c r="AG484" s="369"/>
      <c r="AH484" s="368">
        <f>AF484-Z484</f>
        <v>-69592.156618838664</v>
      </c>
      <c r="AI484" s="481">
        <f>AH484/Z484</f>
        <v>-8.3960436547829087E-2</v>
      </c>
      <c r="AJ484" s="371" t="s">
        <v>180</v>
      </c>
      <c r="AK484" s="366" t="e">
        <f>IF($AL$406=0,0,AL484/$AL$406)</f>
        <v>#VALUE!</v>
      </c>
      <c r="AL484" s="368">
        <f>AL408-AL469+AL482</f>
        <v>672704.97999999812</v>
      </c>
      <c r="AM484" s="372"/>
      <c r="AN484" s="368">
        <f t="shared" si="212"/>
        <v>86571.310000001919</v>
      </c>
      <c r="AO484" s="373">
        <f t="shared" si="210"/>
        <v>0.12869134698542317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204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25">
      <c r="A486" t="str">
        <f t="shared" si="204"/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V403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  Q2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20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20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9.5" hidden="1" thickTop="1" thickBot="1">
      <c r="A489" t="str">
        <f t="shared" si="204"/>
        <v>BAIIA Corpo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5.1162967052930962E-2</v>
      </c>
      <c r="Z489" s="446">
        <f>+Z490+Z416</f>
        <v>923104.33961532579</v>
      </c>
      <c r="AA489" s="443"/>
      <c r="AB489" s="444"/>
      <c r="AC489" s="445"/>
      <c r="AD489" s="443" t="s">
        <v>180</v>
      </c>
      <c r="AE489" s="444">
        <f>AF489/AF407</f>
        <v>4.3863372826926053E-2</v>
      </c>
      <c r="AF489" s="446">
        <f>+AF490+AF416</f>
        <v>847724.12</v>
      </c>
      <c r="AG489" s="447"/>
      <c r="AH489" s="446">
        <f>AF489-Z489</f>
        <v>-75380.219615325797</v>
      </c>
      <c r="AI489" s="488">
        <f>AH489/Z489</f>
        <v>-8.1659479194668386E-2</v>
      </c>
      <c r="AJ489" s="443" t="s">
        <v>180</v>
      </c>
      <c r="AK489" s="444">
        <f>AL489/AL407</f>
        <v>5.08812201258678E-2</v>
      </c>
      <c r="AL489" s="446">
        <f>+AL490+AL416</f>
        <v>761415.18999999808</v>
      </c>
      <c r="AM489" s="448"/>
      <c r="AN489" s="446">
        <f>AF489-AL489</f>
        <v>86308.930000001914</v>
      </c>
      <c r="AO489" s="449">
        <f>IF(AL489=0,0,AN489/AL489)</f>
        <v>0.11335330728035795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9.5" thickTop="1" thickBot="1">
      <c r="A490" t="str">
        <f t="shared" si="20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4.5939951970375988E-2</v>
      </c>
      <c r="Z490" s="379">
        <f>Z484</f>
        <v>828868.4466188387</v>
      </c>
      <c r="AA490" s="377" t="s">
        <v>180</v>
      </c>
      <c r="AB490" s="378" t="e">
        <f>AC490/AC407</f>
        <v>#DIV/0!</v>
      </c>
      <c r="AC490" s="379">
        <f>AC484</f>
        <v>0</v>
      </c>
      <c r="AD490" s="377" t="s">
        <v>180</v>
      </c>
      <c r="AE490" s="378">
        <f>AF490/AF407</f>
        <v>3.9286860195643869E-2</v>
      </c>
      <c r="AF490" s="379">
        <f>AF484</f>
        <v>759276.29</v>
      </c>
      <c r="AG490" s="380"/>
      <c r="AH490" s="368">
        <f>AF490-Z490</f>
        <v>-69592.156618838664</v>
      </c>
      <c r="AI490" s="481">
        <f>AH490/Z490</f>
        <v>-8.3960436547829087E-2</v>
      </c>
      <c r="AJ490" s="377" t="s">
        <v>180</v>
      </c>
      <c r="AK490" s="378" t="e">
        <f>IF($AL$406=0,0,AL490/$AL$406)</f>
        <v>#VALUE!</v>
      </c>
      <c r="AL490" s="381">
        <f>AL484</f>
        <v>672704.97999999812</v>
      </c>
      <c r="AM490" s="382"/>
      <c r="AN490" s="383">
        <f>AF490-AL490</f>
        <v>86571.310000001919</v>
      </c>
      <c r="AO490" s="384">
        <f>IF(AL490=0,0,AN490/AL490)</f>
        <v>0.12869134698542317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5" thickTop="1">
      <c r="A491" t="str">
        <f t="shared" si="20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8">
      <c r="A492" t="str">
        <f t="shared" si="20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f>+SUM(START:END!Z492)</f>
        <v>12233.25</v>
      </c>
      <c r="AA492" s="277"/>
      <c r="AB492" s="285">
        <f t="shared" ref="AB492:AB496" si="215">IF(AC492=0,0,AC492/(G$13+G$97))</f>
        <v>0</v>
      </c>
      <c r="AC492" s="278">
        <f>+SUM(START:END!AC492)</f>
        <v>0</v>
      </c>
      <c r="AD492" s="277"/>
      <c r="AE492" s="285"/>
      <c r="AF492" s="278">
        <f>+SUM(START:END!AF492)</f>
        <v>12233.25</v>
      </c>
      <c r="AG492" s="277"/>
      <c r="AH492" s="280">
        <f t="shared" ref="AH492:AH499" si="216">AF492-Z492</f>
        <v>0</v>
      </c>
      <c r="AI492" s="304">
        <f t="shared" ref="AI492:AI498" si="217">IF(Z492=0,0,AH492/Z492)</f>
        <v>0</v>
      </c>
      <c r="AJ492" s="277"/>
      <c r="AK492" s="277"/>
      <c r="AL492" s="278">
        <f>+SUM(START:END!AL492)</f>
        <v>57900</v>
      </c>
      <c r="AM492" s="282"/>
      <c r="AN492" s="280">
        <f t="shared" ref="AN492:AN499" si="218">AF492-AL492</f>
        <v>-45666.75</v>
      </c>
      <c r="AO492" s="287">
        <f t="shared" ref="AO492:AO499" si="219">IF(AL492=0,0,AN492/AL492)</f>
        <v>-0.78871761658031092</v>
      </c>
      <c r="AP492" s="244"/>
      <c r="AQ492" s="494"/>
      <c r="AR492" s="308"/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20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f>+SUM(START:END!Z493)</f>
        <v>0</v>
      </c>
      <c r="AA493" s="10"/>
      <c r="AB493" s="10">
        <f t="shared" si="215"/>
        <v>0</v>
      </c>
      <c r="AC493" s="278">
        <f>+SUM(START:END!AC493)</f>
        <v>0</v>
      </c>
      <c r="AD493" s="10"/>
      <c r="AE493" s="13"/>
      <c r="AF493" s="278">
        <f>+SUM(START:END!AF493)</f>
        <v>0</v>
      </c>
      <c r="AG493" s="10"/>
      <c r="AH493" s="280">
        <f t="shared" si="216"/>
        <v>0</v>
      </c>
      <c r="AI493" s="304">
        <f t="shared" si="217"/>
        <v>0</v>
      </c>
      <c r="AJ493" s="10"/>
      <c r="AK493" s="10"/>
      <c r="AL493" s="278">
        <f>+SUM(START:END!AL493)</f>
        <v>0</v>
      </c>
      <c r="AM493" s="391"/>
      <c r="AN493" s="280">
        <f t="shared" si="218"/>
        <v>0</v>
      </c>
      <c r="AO493" s="287">
        <f t="shared" si="219"/>
        <v>0</v>
      </c>
      <c r="AP493" s="244"/>
      <c r="AQ493" s="244"/>
      <c r="AR493" s="308"/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20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f>+SUM(START:END!Z494)</f>
        <v>0</v>
      </c>
      <c r="AA494" s="10"/>
      <c r="AB494" s="10">
        <f t="shared" si="215"/>
        <v>0</v>
      </c>
      <c r="AC494" s="278">
        <f>+SUM(START:END!AC494)</f>
        <v>0</v>
      </c>
      <c r="AD494" s="10"/>
      <c r="AE494" s="13"/>
      <c r="AF494" s="278">
        <f>+SUM(START:END!AF494)</f>
        <v>0</v>
      </c>
      <c r="AG494" s="10"/>
      <c r="AH494" s="280">
        <f t="shared" si="216"/>
        <v>0</v>
      </c>
      <c r="AI494" s="304">
        <f t="shared" si="217"/>
        <v>0</v>
      </c>
      <c r="AJ494" s="10"/>
      <c r="AK494" s="10"/>
      <c r="AL494" s="278">
        <f>+SUM(START:END!AL494)</f>
        <v>0</v>
      </c>
      <c r="AM494" s="391"/>
      <c r="AN494" s="280">
        <f t="shared" si="218"/>
        <v>0</v>
      </c>
      <c r="AO494" s="287">
        <f t="shared" si="219"/>
        <v>0</v>
      </c>
      <c r="AP494" s="244"/>
      <c r="AQ494" s="244"/>
      <c r="AR494" s="308"/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20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f>+SUM(START:END!Z495)</f>
        <v>0</v>
      </c>
      <c r="AA495" s="10"/>
      <c r="AB495" s="10">
        <f t="shared" si="215"/>
        <v>0</v>
      </c>
      <c r="AC495" s="278">
        <f>+SUM(START:END!AC495)</f>
        <v>0</v>
      </c>
      <c r="AD495" s="10"/>
      <c r="AE495" s="13"/>
      <c r="AF495" s="278">
        <f>+SUM(START:END!AF495)</f>
        <v>0</v>
      </c>
      <c r="AG495" s="10"/>
      <c r="AH495" s="280">
        <f t="shared" si="216"/>
        <v>0</v>
      </c>
      <c r="AI495" s="304">
        <f t="shared" si="217"/>
        <v>0</v>
      </c>
      <c r="AJ495" s="10"/>
      <c r="AK495" s="10"/>
      <c r="AL495" s="278">
        <f>+SUM(START:END!AL495)</f>
        <v>0</v>
      </c>
      <c r="AM495" s="391"/>
      <c r="AN495" s="280">
        <f t="shared" si="218"/>
        <v>0</v>
      </c>
      <c r="AO495" s="287">
        <f t="shared" si="219"/>
        <v>0</v>
      </c>
      <c r="AP495" s="244"/>
      <c r="AQ495" s="244"/>
      <c r="AR495" s="308"/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20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+SUM(START:END!Z496)</f>
        <v>0</v>
      </c>
      <c r="AA496" s="277"/>
      <c r="AB496" s="277">
        <f t="shared" si="215"/>
        <v>0</v>
      </c>
      <c r="AC496" s="280">
        <f>+SUM(START:END!AC496)</f>
        <v>0</v>
      </c>
      <c r="AD496" s="286"/>
      <c r="AE496" s="285"/>
      <c r="AF496" s="278">
        <f>+SUM(START:END!AF496)</f>
        <v>0</v>
      </c>
      <c r="AG496" s="279"/>
      <c r="AH496" s="280">
        <f t="shared" si="216"/>
        <v>0</v>
      </c>
      <c r="AI496" s="281">
        <f t="shared" si="217"/>
        <v>0</v>
      </c>
      <c r="AJ496" s="286"/>
      <c r="AK496" s="277"/>
      <c r="AL496" s="278">
        <f>+SUM(START:END!AL496)</f>
        <v>0</v>
      </c>
      <c r="AM496" s="391"/>
      <c r="AN496" s="280">
        <f t="shared" si="218"/>
        <v>0</v>
      </c>
      <c r="AO496" s="287">
        <f t="shared" si="219"/>
        <v>0</v>
      </c>
      <c r="AP496" s="244"/>
      <c r="AQ496" s="244"/>
      <c r="AR496" s="308"/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20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f>+SUM(START:END!Z497)</f>
        <v>0</v>
      </c>
      <c r="AA497" s="277"/>
      <c r="AB497" s="277">
        <f>IF(AC497=0,0,AC497/(G$13+G$97))</f>
        <v>0</v>
      </c>
      <c r="AC497" s="280">
        <f>+SUM(START:END!AC497)</f>
        <v>0</v>
      </c>
      <c r="AD497" s="286"/>
      <c r="AE497" s="285"/>
      <c r="AF497" s="278">
        <f>+SUM(START:END!AF497)</f>
        <v>-11353.43</v>
      </c>
      <c r="AG497" s="279"/>
      <c r="AH497" s="280">
        <f t="shared" si="216"/>
        <v>-11353.43</v>
      </c>
      <c r="AI497" s="281">
        <f t="shared" si="217"/>
        <v>0</v>
      </c>
      <c r="AJ497" s="286"/>
      <c r="AK497" s="277"/>
      <c r="AL497" s="278">
        <f>+SUM(START:END!AL497)</f>
        <v>-7727.54</v>
      </c>
      <c r="AM497" s="391"/>
      <c r="AN497" s="280">
        <f t="shared" si="218"/>
        <v>-3625.8900000000003</v>
      </c>
      <c r="AO497" s="287">
        <f t="shared" si="219"/>
        <v>0.46921659415544925</v>
      </c>
      <c r="AP497" s="244"/>
      <c r="AQ497" s="308"/>
      <c r="AR497" s="308"/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20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+SUM(START:END!Z498)</f>
        <v>0</v>
      </c>
      <c r="AA498" s="277"/>
      <c r="AB498" s="277">
        <f t="shared" ref="AB498" si="220">IF(AC498=0,0,AC498/(G$13+G$97))</f>
        <v>0</v>
      </c>
      <c r="AC498" s="280">
        <f>+SUM(START:END!AC498)</f>
        <v>0</v>
      </c>
      <c r="AD498" s="286"/>
      <c r="AE498" s="285">
        <f>IF(AF498=0,0,AF498/(J$13+J$97))</f>
        <v>0</v>
      </c>
      <c r="AF498" s="278">
        <f>+SUM(START:END!AF498)</f>
        <v>0</v>
      </c>
      <c r="AG498" s="279"/>
      <c r="AH498" s="280">
        <f t="shared" si="216"/>
        <v>0</v>
      </c>
      <c r="AI498" s="281">
        <f t="shared" si="217"/>
        <v>0</v>
      </c>
      <c r="AJ498" s="286"/>
      <c r="AK498" s="277">
        <f>AL498/(O$13+O$97)</f>
        <v>0</v>
      </c>
      <c r="AL498" s="278">
        <f>+SUM(START:END!AL498)</f>
        <v>0</v>
      </c>
      <c r="AM498" s="391"/>
      <c r="AN498" s="280">
        <f t="shared" si="218"/>
        <v>0</v>
      </c>
      <c r="AO498" s="287">
        <f t="shared" si="219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9.5" thickTop="1" thickBot="1">
      <c r="A499" t="str">
        <f t="shared" si="20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4.5261925294690454E-2</v>
      </c>
      <c r="Z499" s="367">
        <f>Z490-Z492-Z493-Z494-Z498-Z497-Z495-Z496</f>
        <v>816635.1966188387</v>
      </c>
      <c r="AA499" s="365"/>
      <c r="AB499" s="366"/>
      <c r="AC499" s="367"/>
      <c r="AD499" s="365" t="s">
        <v>180</v>
      </c>
      <c r="AE499" s="366">
        <f>AF499/AF407</f>
        <v>3.9241336101460272E-2</v>
      </c>
      <c r="AF499" s="368">
        <f>AF490-AF492-AF493-AF494-AF498-AF497-AF495-AF496</f>
        <v>758396.47000000009</v>
      </c>
      <c r="AG499" s="369"/>
      <c r="AH499" s="368">
        <f t="shared" si="216"/>
        <v>-58238.726618838613</v>
      </c>
      <c r="AI499" s="481">
        <f>AH499/Z499</f>
        <v>-7.1315474596206158E-2</v>
      </c>
      <c r="AJ499" s="371" t="s">
        <v>180</v>
      </c>
      <c r="AK499" s="366">
        <f>IF($AL$407=0,0,AL499/$AL$407)</f>
        <v>4.1600449533494573E-2</v>
      </c>
      <c r="AL499" s="368">
        <f>AL490-AL492-AL493-AL494-AL498-AL497-AL495-AL496</f>
        <v>622532.51999999816</v>
      </c>
      <c r="AM499" s="372"/>
      <c r="AN499" s="368">
        <f t="shared" si="218"/>
        <v>135863.95000000193</v>
      </c>
      <c r="AO499" s="392">
        <f t="shared" si="219"/>
        <v>0.21824394009167961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5" thickTop="1">
      <c r="A500" t="str">
        <f t="shared" si="204"/>
        <v/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/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/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25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8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/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5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8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8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8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8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8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8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/>
      <c r="AG512" s="308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5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5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5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5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5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5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5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5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5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5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5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5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5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5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75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5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5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5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8.75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5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5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5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5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5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5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5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5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5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5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5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5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5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5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5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5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5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5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5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5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5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5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5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5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5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5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5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5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5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5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5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5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5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5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5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5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5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5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5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5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5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5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5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5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5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5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5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5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5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5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5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5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5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5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5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5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5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5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5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5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5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5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5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5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5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5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5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5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5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5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5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5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5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5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5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5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5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5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5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5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5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5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5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5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5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5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5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5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5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5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5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5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5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5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5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5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5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5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5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5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5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5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5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5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5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5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5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5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5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5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5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5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5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5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5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5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5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5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5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8.75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5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5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5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5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5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5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5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5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5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5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5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5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5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5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5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5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5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5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5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5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5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5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5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5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5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5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5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5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5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5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5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5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5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5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5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5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5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5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5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5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5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5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5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5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5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5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5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5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5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5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5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</sheetData>
  <mergeCells count="42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O171:Q171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AM405:AO405"/>
    <mergeCell ref="X405:Z405"/>
    <mergeCell ref="AA405:AC405"/>
    <mergeCell ref="AD405:AF405"/>
    <mergeCell ref="AG405:AI405"/>
    <mergeCell ref="AJ405:AL405"/>
  </mergeCells>
  <phoneticPr fontId="28" type="noConversion"/>
  <conditionalFormatting sqref="D113:D114">
    <cfRule type="expression" dxfId="769" priority="26" stopIfTrue="1">
      <formula>"esterreur(reference)"</formula>
    </cfRule>
  </conditionalFormatting>
  <conditionalFormatting sqref="E103:E105">
    <cfRule type="expression" dxfId="768" priority="2" stopIfTrue="1">
      <formula>"esterreur(reference)"</formula>
    </cfRule>
  </conditionalFormatting>
  <conditionalFormatting sqref="F5">
    <cfRule type="expression" dxfId="767" priority="69" stopIfTrue="1">
      <formula>"esterreur(reference)"</formula>
    </cfRule>
  </conditionalFormatting>
  <conditionalFormatting sqref="F185">
    <cfRule type="expression" dxfId="766" priority="78" stopIfTrue="1">
      <formula>"esterreur(reference)"</formula>
    </cfRule>
  </conditionalFormatting>
  <conditionalFormatting sqref="G31:G32">
    <cfRule type="expression" dxfId="765" priority="30" stopIfTrue="1">
      <formula>"esterreur(reference)"</formula>
    </cfRule>
  </conditionalFormatting>
  <conditionalFormatting sqref="G113:G114">
    <cfRule type="expression" dxfId="764" priority="27" stopIfTrue="1">
      <formula>"esterreur(reference)"</formula>
    </cfRule>
  </conditionalFormatting>
  <conditionalFormatting sqref="H137:H153">
    <cfRule type="expression" dxfId="763" priority="35" stopIfTrue="1">
      <formula>"esterreur(reference)"</formula>
    </cfRule>
  </conditionalFormatting>
  <conditionalFormatting sqref="H361">
    <cfRule type="expression" dxfId="762" priority="108" stopIfTrue="1">
      <formula>"esterreur(reference)"</formula>
    </cfRule>
  </conditionalFormatting>
  <conditionalFormatting sqref="H198:L198">
    <cfRule type="expression" dxfId="761" priority="110" stopIfTrue="1">
      <formula>"esterreur(reference)"</formula>
    </cfRule>
  </conditionalFormatting>
  <conditionalFormatting sqref="H397:L400">
    <cfRule type="expression" dxfId="760" priority="106" stopIfTrue="1">
      <formula>"esterreur(reference)"</formula>
    </cfRule>
  </conditionalFormatting>
  <conditionalFormatting sqref="I378:L378 H379:H396">
    <cfRule type="expression" dxfId="75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758" priority="102" stopIfTrue="1">
      <formula>"esterreur(reference)"</formula>
    </cfRule>
  </conditionalFormatting>
  <conditionalFormatting sqref="J49:L72">
    <cfRule type="expression" dxfId="757" priority="36" stopIfTrue="1">
      <formula>"esterreur(reference)"</formula>
    </cfRule>
  </conditionalFormatting>
  <conditionalFormatting sqref="J103:L105">
    <cfRule type="expression" dxfId="756" priority="99" stopIfTrue="1">
      <formula>"esterreur(reference)"</formula>
    </cfRule>
  </conditionalFormatting>
  <conditionalFormatting sqref="J150:L153">
    <cfRule type="expression" dxfId="755" priority="34" stopIfTrue="1">
      <formula>"esterreur(reference)"</formula>
    </cfRule>
  </conditionalFormatting>
  <conditionalFormatting sqref="J296:L304">
    <cfRule type="expression" dxfId="754" priority="95" stopIfTrue="1">
      <formula>"esterreur(reference)"</formula>
    </cfRule>
  </conditionalFormatting>
  <conditionalFormatting sqref="J308:L309">
    <cfRule type="expression" dxfId="753" priority="85" stopIfTrue="1">
      <formula>"esterreur(reference)"</formula>
    </cfRule>
  </conditionalFormatting>
  <conditionalFormatting sqref="J361:L361">
    <cfRule type="expression" dxfId="752" priority="77" stopIfTrue="1">
      <formula>"esterreur(reference)"</formula>
    </cfRule>
  </conditionalFormatting>
  <conditionalFormatting sqref="J366:L377">
    <cfRule type="expression" dxfId="751" priority="82" stopIfTrue="1">
      <formula>"esterreur(reference)"</formula>
    </cfRule>
  </conditionalFormatting>
  <conditionalFormatting sqref="J379:L395">
    <cfRule type="expression" dxfId="750" priority="81" stopIfTrue="1">
      <formula>"esterreur(reference)"</formula>
    </cfRule>
  </conditionalFormatting>
  <conditionalFormatting sqref="J313:M313">
    <cfRule type="expression" dxfId="749" priority="83" stopIfTrue="1">
      <formula>"esterreur(reference)"</formula>
    </cfRule>
  </conditionalFormatting>
  <conditionalFormatting sqref="J113:Q122">
    <cfRule type="expression" dxfId="748" priority="28" stopIfTrue="1">
      <formula>"esterreur(reference)"</formula>
    </cfRule>
  </conditionalFormatting>
  <conditionalFormatting sqref="J124:Q135">
    <cfRule type="expression" dxfId="747" priority="61" stopIfTrue="1">
      <formula>"esterreur(reference)"</formula>
    </cfRule>
  </conditionalFormatting>
  <conditionalFormatting sqref="K5">
    <cfRule type="expression" dxfId="746" priority="92" stopIfTrue="1">
      <formula>"esterreur(reference)"</formula>
    </cfRule>
  </conditionalFormatting>
  <conditionalFormatting sqref="K176">
    <cfRule type="expression" dxfId="745" priority="89" stopIfTrue="1">
      <formula>"esterreur(reference)"</formula>
    </cfRule>
  </conditionalFormatting>
  <conditionalFormatting sqref="K184:K185">
    <cfRule type="expression" dxfId="744" priority="91" stopIfTrue="1">
      <formula>"esterreur(reference)"</formula>
    </cfRule>
  </conditionalFormatting>
  <conditionalFormatting sqref="K288">
    <cfRule type="expression" dxfId="743" priority="75" stopIfTrue="1">
      <formula>"esterreur(reference)"</formula>
    </cfRule>
  </conditionalFormatting>
  <conditionalFormatting sqref="K396">
    <cfRule type="expression" dxfId="742" priority="109" stopIfTrue="1">
      <formula>"esterreur(reference)"</formula>
    </cfRule>
  </conditionalFormatting>
  <conditionalFormatting sqref="K93:L96">
    <cfRule type="expression" dxfId="741" priority="80" stopIfTrue="1">
      <formula>"esterreur(reference)"</formula>
    </cfRule>
  </conditionalFormatting>
  <conditionalFormatting sqref="K100:L101">
    <cfRule type="expression" dxfId="740" priority="100" stopIfTrue="1">
      <formula>"esterreur(reference)"</formula>
    </cfRule>
  </conditionalFormatting>
  <conditionalFormatting sqref="K172:L174">
    <cfRule type="expression" dxfId="739" priority="90" stopIfTrue="1">
      <formula>"esterreur(reference)"</formula>
    </cfRule>
  </conditionalFormatting>
  <conditionalFormatting sqref="K177:L183">
    <cfRule type="expression" dxfId="738" priority="88" stopIfTrue="1">
      <formula>"esterreur(reference)"</formula>
    </cfRule>
  </conditionalFormatting>
  <conditionalFormatting sqref="K186:L197">
    <cfRule type="expression" dxfId="737" priority="84" stopIfTrue="1">
      <formula>"esterreur(reference)"</formula>
    </cfRule>
  </conditionalFormatting>
  <conditionalFormatting sqref="K240:L242">
    <cfRule type="expression" dxfId="736" priority="79" stopIfTrue="1">
      <formula>"esterreur(reference)"</formula>
    </cfRule>
  </conditionalFormatting>
  <conditionalFormatting sqref="K245:L245">
    <cfRule type="expression" dxfId="735" priority="87" stopIfTrue="1">
      <formula>"esterreur(reference)"</formula>
    </cfRule>
  </conditionalFormatting>
  <conditionalFormatting sqref="K248:L248">
    <cfRule type="expression" dxfId="734" priority="86" stopIfTrue="1">
      <formula>"esterreur(reference)"</formula>
    </cfRule>
  </conditionalFormatting>
  <conditionalFormatting sqref="L16:L24 Q16:Q24 O18:O24 D31:D32 L99 O99 Q99">
    <cfRule type="expression" dxfId="733" priority="31" stopIfTrue="1">
      <formula>"esterreur(reference)"</formula>
    </cfRule>
  </conditionalFormatting>
  <conditionalFormatting sqref="L42:L48">
    <cfRule type="expression" dxfId="732" priority="101" stopIfTrue="1">
      <formula>"esterreur(reference)"</formula>
    </cfRule>
  </conditionalFormatting>
  <conditionalFormatting sqref="L75:L82">
    <cfRule type="expression" dxfId="731" priority="70" stopIfTrue="1">
      <formula>"esterreur(reference)"</formula>
    </cfRule>
  </conditionalFormatting>
  <conditionalFormatting sqref="L137:L148">
    <cfRule type="expression" dxfId="730" priority="74" stopIfTrue="1">
      <formula>"esterreur(reference)"</formula>
    </cfRule>
  </conditionalFormatting>
  <conditionalFormatting sqref="L175:L176">
    <cfRule type="expression" dxfId="729" priority="98" stopIfTrue="1">
      <formula>"esterreur(reference)"</formula>
    </cfRule>
  </conditionalFormatting>
  <conditionalFormatting sqref="L199:L210">
    <cfRule type="expression" dxfId="728" priority="97" stopIfTrue="1">
      <formula>"esterreur(reference)"</formula>
    </cfRule>
  </conditionalFormatting>
  <conditionalFormatting sqref="L212:L229">
    <cfRule type="expression" dxfId="727" priority="73" stopIfTrue="1">
      <formula>"esterreur(reference)"</formula>
    </cfRule>
  </conditionalFormatting>
  <conditionalFormatting sqref="L255:L266">
    <cfRule type="expression" dxfId="726" priority="96" stopIfTrue="1">
      <formula>"esterreur(reference)"</formula>
    </cfRule>
  </conditionalFormatting>
  <conditionalFormatting sqref="L268:L285">
    <cfRule type="expression" dxfId="725" priority="72" stopIfTrue="1">
      <formula>"esterreur(reference)"</formula>
    </cfRule>
  </conditionalFormatting>
  <conditionalFormatting sqref="L319:L330">
    <cfRule type="expression" dxfId="724" priority="94" stopIfTrue="1">
      <formula>"esterreur(reference)"</formula>
    </cfRule>
  </conditionalFormatting>
  <conditionalFormatting sqref="L332">
    <cfRule type="expression" dxfId="723" priority="71" stopIfTrue="1">
      <formula>"esterreur(reference)"</formula>
    </cfRule>
  </conditionalFormatting>
  <conditionalFormatting sqref="L335:L344 L346:L349">
    <cfRule type="expression" dxfId="722" priority="93" stopIfTrue="1">
      <formula>"esterreur(reference)"</formula>
    </cfRule>
  </conditionalFormatting>
  <conditionalFormatting sqref="L357:L358 H358:I358 K358 J358:J359 H360:L360">
    <cfRule type="expression" dxfId="721" priority="105" stopIfTrue="1">
      <formula>"esterreur(reference)"</formula>
    </cfRule>
  </conditionalFormatting>
  <conditionalFormatting sqref="L5:Q14">
    <cfRule type="expression" dxfId="720" priority="65" stopIfTrue="1">
      <formula>"esterreur(reference)"</formula>
    </cfRule>
  </conditionalFormatting>
  <conditionalFormatting sqref="L157:Q163">
    <cfRule type="expression" dxfId="719" priority="32" stopIfTrue="1">
      <formula>"esterreur(reference)"</formula>
    </cfRule>
  </conditionalFormatting>
  <conditionalFormatting sqref="M95:M97">
    <cfRule type="expression" dxfId="718" priority="103" stopIfTrue="1">
      <formula>"esterreur(reference)"</formula>
    </cfRule>
  </conditionalFormatting>
  <conditionalFormatting sqref="O13:O14 O16 O83:Q85">
    <cfRule type="expression" dxfId="717" priority="68" stopIfTrue="1">
      <formula>"esterreur(reference)"</formula>
    </cfRule>
  </conditionalFormatting>
  <conditionalFormatting sqref="O173:O197 Q184 O199:P230 O233:Q233 O234:P234">
    <cfRule type="expression" dxfId="716" priority="59" stopIfTrue="1">
      <formula>"esterreur(reference)"</formula>
    </cfRule>
  </conditionalFormatting>
  <conditionalFormatting sqref="O319:P349 O350:Q350 O353:Q353 O354:P354">
    <cfRule type="expression" dxfId="715" priority="43" stopIfTrue="1">
      <formula>"esterreur(reference)"</formula>
    </cfRule>
  </conditionalFormatting>
  <conditionalFormatting sqref="O25:Q72">
    <cfRule type="expression" dxfId="714" priority="29" stopIfTrue="1">
      <formula>"esterreur(reference)"</formula>
    </cfRule>
  </conditionalFormatting>
  <conditionalFormatting sqref="O97:Q99 O123:Q123 O157:P158 O165:Q165 O166:P166">
    <cfRule type="expression" dxfId="713" priority="64" stopIfTrue="1">
      <formula>"esterreur(reference)"</formula>
    </cfRule>
  </conditionalFormatting>
  <conditionalFormatting sqref="O102:Q112">
    <cfRule type="expression" dxfId="712" priority="1" stopIfTrue="1">
      <formula>"esterreur(reference)"</formula>
    </cfRule>
  </conditionalFormatting>
  <conditionalFormatting sqref="O136:Q154">
    <cfRule type="expression" dxfId="711" priority="33" stopIfTrue="1">
      <formula>"esterreur(reference)"</formula>
    </cfRule>
  </conditionalFormatting>
  <conditionalFormatting sqref="O198:Q198">
    <cfRule type="expression" dxfId="710" priority="60" stopIfTrue="1">
      <formula>"esterreur(reference)"</formula>
    </cfRule>
  </conditionalFormatting>
  <conditionalFormatting sqref="O244:Q244 O253:Q254 O255:P285 O286:Q286 O289:Q289 O290:P290">
    <cfRule type="expression" dxfId="709" priority="50" stopIfTrue="1">
      <formula>"esterreur(reference)"</formula>
    </cfRule>
  </conditionalFormatting>
  <conditionalFormatting sqref="O296:Q318">
    <cfRule type="expression" dxfId="708" priority="41" stopIfTrue="1">
      <formula>"esterreur(reference)"</formula>
    </cfRule>
  </conditionalFormatting>
  <conditionalFormatting sqref="O360:Q395">
    <cfRule type="expression" dxfId="707" priority="37" stopIfTrue="1">
      <formula>"esterreur(reference)"</formula>
    </cfRule>
  </conditionalFormatting>
  <conditionalFormatting sqref="O397:Q400">
    <cfRule type="expression" dxfId="706" priority="38" stopIfTrue="1">
      <formula>"esterreur(reference)"</formula>
    </cfRule>
  </conditionalFormatting>
  <conditionalFormatting sqref="P5">
    <cfRule type="expression" dxfId="705" priority="66" stopIfTrue="1">
      <formula>"esterreur(reference)"</formula>
    </cfRule>
  </conditionalFormatting>
  <conditionalFormatting sqref="P176">
    <cfRule type="expression" dxfId="704" priority="54" stopIfTrue="1">
      <formula>"esterreur(reference)"</formula>
    </cfRule>
  </conditionalFormatting>
  <conditionalFormatting sqref="P184:P185">
    <cfRule type="expression" dxfId="703" priority="56" stopIfTrue="1">
      <formula>"esterreur(reference)"</formula>
    </cfRule>
  </conditionalFormatting>
  <conditionalFormatting sqref="P288">
    <cfRule type="expression" dxfId="702" priority="45" stopIfTrue="1">
      <formula>"esterreur(reference)"</formula>
    </cfRule>
  </conditionalFormatting>
  <conditionalFormatting sqref="P396">
    <cfRule type="expression" dxfId="701" priority="39" stopIfTrue="1">
      <formula>"esterreur(reference)"</formula>
    </cfRule>
  </conditionalFormatting>
  <conditionalFormatting sqref="P93:Q96">
    <cfRule type="expression" dxfId="700" priority="62" stopIfTrue="1">
      <formula>"esterreur(reference)"</formula>
    </cfRule>
  </conditionalFormatting>
  <conditionalFormatting sqref="P100:Q101">
    <cfRule type="expression" dxfId="699" priority="63" stopIfTrue="1">
      <formula>"esterreur(reference)"</formula>
    </cfRule>
  </conditionalFormatting>
  <conditionalFormatting sqref="P173:Q174">
    <cfRule type="expression" dxfId="698" priority="55" stopIfTrue="1">
      <formula>"esterreur(reference)"</formula>
    </cfRule>
  </conditionalFormatting>
  <conditionalFormatting sqref="P177:Q183">
    <cfRule type="expression" dxfId="697" priority="53" stopIfTrue="1">
      <formula>"esterreur(reference)"</formula>
    </cfRule>
  </conditionalFormatting>
  <conditionalFormatting sqref="P186:Q197">
    <cfRule type="expression" dxfId="696" priority="52" stopIfTrue="1">
      <formula>"esterreur(reference)"</formula>
    </cfRule>
  </conditionalFormatting>
  <conditionalFormatting sqref="P242:Q242">
    <cfRule type="expression" dxfId="695" priority="46" stopIfTrue="1">
      <formula>"esterreur(reference)"</formula>
    </cfRule>
  </conditionalFormatting>
  <conditionalFormatting sqref="P245:Q245">
    <cfRule type="expression" dxfId="694" priority="48" stopIfTrue="1">
      <formula>"esterreur(reference)"</formula>
    </cfRule>
  </conditionalFormatting>
  <conditionalFormatting sqref="P248:Q248">
    <cfRule type="expression" dxfId="693" priority="47" stopIfTrue="1">
      <formula>"esterreur(reference)"</formula>
    </cfRule>
  </conditionalFormatting>
  <conditionalFormatting sqref="Q75:Q82">
    <cfRule type="expression" dxfId="692" priority="67" stopIfTrue="1">
      <formula>"esterreur(reference)"</formula>
    </cfRule>
  </conditionalFormatting>
  <conditionalFormatting sqref="Q175:Q176">
    <cfRule type="expression" dxfId="691" priority="58" stopIfTrue="1">
      <formula>"esterreur(reference)"</formula>
    </cfRule>
  </conditionalFormatting>
  <conditionalFormatting sqref="Q199:Q210">
    <cfRule type="expression" dxfId="690" priority="57" stopIfTrue="1">
      <formula>"esterreur(reference)"</formula>
    </cfRule>
  </conditionalFormatting>
  <conditionalFormatting sqref="Q212:Q229">
    <cfRule type="expression" dxfId="689" priority="51" stopIfTrue="1">
      <formula>"esterreur(reference)"</formula>
    </cfRule>
  </conditionalFormatting>
  <conditionalFormatting sqref="Q255:Q266">
    <cfRule type="expression" dxfId="688" priority="49" stopIfTrue="1">
      <formula>"esterreur(reference)"</formula>
    </cfRule>
  </conditionalFormatting>
  <conditionalFormatting sqref="Q268:Q285">
    <cfRule type="expression" dxfId="687" priority="44" stopIfTrue="1">
      <formula>"esterreur(reference)"</formula>
    </cfRule>
  </conditionalFormatting>
  <conditionalFormatting sqref="Q319:Q330">
    <cfRule type="expression" dxfId="686" priority="42" stopIfTrue="1">
      <formula>"esterreur(reference)"</formula>
    </cfRule>
  </conditionalFormatting>
  <conditionalFormatting sqref="Q332:Q349">
    <cfRule type="expression" dxfId="685" priority="40" stopIfTrue="1">
      <formula>"esterreur(reference)"</formula>
    </cfRule>
  </conditionalFormatting>
  <conditionalFormatting sqref="R313">
    <cfRule type="expression" dxfId="684" priority="104" stopIfTrue="1">
      <formula>"esterreur(reference)"</formula>
    </cfRule>
  </conditionalFormatting>
  <conditionalFormatting sqref="S187">
    <cfRule type="expression" dxfId="683" priority="76" stopIfTrue="1">
      <formula>"esterreur(reference)"</formula>
    </cfRule>
  </conditionalFormatting>
  <conditionalFormatting sqref="Z426:Z428">
    <cfRule type="cellIs" dxfId="682" priority="20" operator="greaterThan">
      <formula>0</formula>
    </cfRule>
  </conditionalFormatting>
  <conditionalFormatting sqref="Z433">
    <cfRule type="cellIs" dxfId="681" priority="17" operator="greaterThan">
      <formula>0</formula>
    </cfRule>
  </conditionalFormatting>
  <conditionalFormatting sqref="Z450:Z452">
    <cfRule type="cellIs" dxfId="680" priority="13" operator="greaterThan">
      <formula>0</formula>
    </cfRule>
  </conditionalFormatting>
  <conditionalFormatting sqref="Z464:Z466">
    <cfRule type="cellIs" dxfId="679" priority="9" operator="greaterThan">
      <formula>0</formula>
    </cfRule>
  </conditionalFormatting>
  <conditionalFormatting sqref="Z479:Z480">
    <cfRule type="cellIs" dxfId="678" priority="6" operator="greaterThan">
      <formula>0</formula>
    </cfRule>
  </conditionalFormatting>
  <conditionalFormatting sqref="Z496:Z498">
    <cfRule type="cellIs" dxfId="677" priority="3" operator="greaterThan">
      <formula>0</formula>
    </cfRule>
  </conditionalFormatting>
  <conditionalFormatting sqref="AC426:AC428">
    <cfRule type="cellIs" dxfId="676" priority="21" operator="greaterThan">
      <formula>0</formula>
    </cfRule>
  </conditionalFormatting>
  <conditionalFormatting sqref="AC433">
    <cfRule type="cellIs" dxfId="675" priority="18" operator="greaterThan">
      <formula>0</formula>
    </cfRule>
  </conditionalFormatting>
  <conditionalFormatting sqref="AC450:AC452">
    <cfRule type="cellIs" dxfId="674" priority="14" operator="greaterThan">
      <formula>0</formula>
    </cfRule>
  </conditionalFormatting>
  <conditionalFormatting sqref="AC464:AC466">
    <cfRule type="cellIs" dxfId="673" priority="10" operator="greaterThan">
      <formula>0</formula>
    </cfRule>
  </conditionalFormatting>
  <conditionalFormatting sqref="AC479:AC480">
    <cfRule type="cellIs" dxfId="672" priority="7" operator="greaterThan">
      <formula>0</formula>
    </cfRule>
  </conditionalFormatting>
  <conditionalFormatting sqref="AC496:AC498">
    <cfRule type="cellIs" dxfId="671" priority="4" operator="greaterThan">
      <formula>0</formula>
    </cfRule>
  </conditionalFormatting>
  <conditionalFormatting sqref="AG410:AI419">
    <cfRule type="cellIs" dxfId="670" priority="23" operator="greaterThan">
      <formula>0</formula>
    </cfRule>
  </conditionalFormatting>
  <conditionalFormatting sqref="AH450:AH453">
    <cfRule type="cellIs" dxfId="669" priority="15" operator="greaterThan">
      <formula>0</formula>
    </cfRule>
  </conditionalFormatting>
  <conditionalFormatting sqref="AH462:AH467">
    <cfRule type="cellIs" dxfId="668" priority="11" operator="greaterThan">
      <formula>0</formula>
    </cfRule>
  </conditionalFormatting>
  <conditionalFormatting sqref="AH421:AI449">
    <cfRule type="cellIs" dxfId="667" priority="19" operator="greaterThan">
      <formula>0</formula>
    </cfRule>
  </conditionalFormatting>
  <conditionalFormatting sqref="AH454:AI461 AH468:AI469">
    <cfRule type="cellIs" dxfId="666" priority="24" operator="greaterThan">
      <formula>0</formula>
    </cfRule>
  </conditionalFormatting>
  <conditionalFormatting sqref="AH470:AI478 AH481:AI481">
    <cfRule type="cellIs" dxfId="665" priority="25" operator="lessThan">
      <formula>0</formula>
    </cfRule>
  </conditionalFormatting>
  <conditionalFormatting sqref="AH479:AI480">
    <cfRule type="cellIs" dxfId="664" priority="8" operator="greaterThan">
      <formula>0</formula>
    </cfRule>
  </conditionalFormatting>
  <conditionalFormatting sqref="AH492:AI498">
    <cfRule type="cellIs" dxfId="663" priority="5" operator="greaterThan">
      <formula>0</formula>
    </cfRule>
  </conditionalFormatting>
  <conditionalFormatting sqref="AI450:AI452">
    <cfRule type="cellIs" dxfId="662" priority="16" operator="greaterThan">
      <formula>0</formula>
    </cfRule>
  </conditionalFormatting>
  <conditionalFormatting sqref="AI464:AI466">
    <cfRule type="cellIs" dxfId="661" priority="12" operator="greaterThan">
      <formula>0</formula>
    </cfRule>
  </conditionalFormatting>
  <conditionalFormatting sqref="AO410:AO419">
    <cfRule type="cellIs" dxfId="660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5"/>
  <sheetViews>
    <sheetView zoomScale="60" zoomScaleNormal="60" workbookViewId="0">
      <selection activeCell="J13" sqref="J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48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264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" thickTop="1">
      <c r="B3" s="11"/>
      <c r="C3" s="12"/>
      <c r="D3" s="510" t="s">
        <v>5</v>
      </c>
      <c r="E3" s="511"/>
      <c r="F3" s="512"/>
      <c r="G3" s="513"/>
      <c r="H3" s="511"/>
      <c r="I3" s="512"/>
      <c r="J3" s="513" t="s">
        <v>7</v>
      </c>
      <c r="K3" s="511"/>
      <c r="L3" s="512"/>
      <c r="M3" s="513" t="s">
        <v>212</v>
      </c>
      <c r="N3" s="512"/>
      <c r="O3" s="510" t="s">
        <v>8</v>
      </c>
      <c r="P3" s="511"/>
      <c r="Q3" s="512"/>
      <c r="R3" s="508" t="s">
        <v>213</v>
      </c>
      <c r="S3" s="509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3149139.2156862747</v>
      </c>
      <c r="G5" s="23"/>
      <c r="H5" s="21"/>
      <c r="I5" s="24"/>
      <c r="J5" s="23"/>
      <c r="K5" s="25"/>
      <c r="L5" s="22">
        <v>2930239.2400000007</v>
      </c>
      <c r="M5" s="26"/>
      <c r="N5" s="27"/>
      <c r="O5" s="23"/>
      <c r="P5" s="25"/>
      <c r="Q5" s="22">
        <v>2822748.81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10</v>
      </c>
      <c r="E6" s="30">
        <f>IF(D6=0,0,F6/D6)</f>
        <v>4701.1764705882351</v>
      </c>
      <c r="F6" s="30">
        <v>47011.76470588235</v>
      </c>
      <c r="G6" s="31"/>
      <c r="H6" s="30"/>
      <c r="I6" s="30"/>
      <c r="J6" s="31">
        <v>10</v>
      </c>
      <c r="K6" s="30">
        <f>IF(J6=0,0,L6/J6)</f>
        <v>4249.8739999999989</v>
      </c>
      <c r="L6" s="32">
        <v>42498.739999999991</v>
      </c>
      <c r="M6" s="31">
        <f t="shared" ref="M6:M12" si="2">J6-D6</f>
        <v>0</v>
      </c>
      <c r="N6" s="33">
        <f t="shared" ref="N6:N12" si="3">L6-F6</f>
        <v>-4513.0247058823588</v>
      </c>
      <c r="O6" s="31">
        <v>6</v>
      </c>
      <c r="P6" s="30">
        <f t="shared" ref="P6:P12" si="4">IF(O6=0,0,Q6/O6)</f>
        <v>6338.2116666666507</v>
      </c>
      <c r="Q6" s="32">
        <v>38029.269999999902</v>
      </c>
      <c r="R6" s="31">
        <f>J6-O6</f>
        <v>4</v>
      </c>
      <c r="S6" s="34">
        <f>L6-Q6</f>
        <v>4469.4700000000885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20</v>
      </c>
      <c r="E7" s="30">
        <f t="shared" ref="E7:E12" si="5">IF(D7=0,0,F7/D7)</f>
        <v>3928.5</v>
      </c>
      <c r="F7" s="30">
        <v>78570</v>
      </c>
      <c r="G7" s="31"/>
      <c r="H7" s="30"/>
      <c r="I7" s="30"/>
      <c r="J7" s="31">
        <v>15</v>
      </c>
      <c r="K7" s="30">
        <f t="shared" ref="K7:K12" si="6">IF(J7=0,0,L7/J7)</f>
        <v>3894.7053333333461</v>
      </c>
      <c r="L7" s="32">
        <v>58420.580000000191</v>
      </c>
      <c r="M7" s="31">
        <f t="shared" si="2"/>
        <v>-5</v>
      </c>
      <c r="N7" s="33">
        <f t="shared" si="3"/>
        <v>-20149.419999999809</v>
      </c>
      <c r="O7" s="31">
        <v>15</v>
      </c>
      <c r="P7" s="30">
        <f t="shared" si="4"/>
        <v>4719.5126666666665</v>
      </c>
      <c r="Q7" s="32">
        <v>70792.69</v>
      </c>
      <c r="R7" s="31">
        <f t="shared" ref="R7:R12" si="7">J7-O7</f>
        <v>0</v>
      </c>
      <c r="S7" s="34">
        <f t="shared" ref="S7:S12" si="8">L7-Q7</f>
        <v>-12372.109999999811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30</v>
      </c>
      <c r="E13" s="36">
        <f>IF(D13&lt;=0,0,F13/D13)</f>
        <v>4186.0588235294117</v>
      </c>
      <c r="F13" s="37">
        <f>+SUM(F6:F12)</f>
        <v>125581.76470588235</v>
      </c>
      <c r="G13" s="38"/>
      <c r="H13" s="36"/>
      <c r="I13" s="37"/>
      <c r="J13" s="38">
        <f>+SUM(J6:J12)</f>
        <v>25</v>
      </c>
      <c r="K13" s="36">
        <f>IF(J13&lt;=0,0,L13/J13)</f>
        <v>4036.7728000000075</v>
      </c>
      <c r="L13" s="37">
        <f>+SUM(L6:L12)</f>
        <v>100919.32000000018</v>
      </c>
      <c r="M13" s="38">
        <f>+SUM(M6:M12)</f>
        <v>-5</v>
      </c>
      <c r="N13" s="37">
        <f>+SUM(N6:N12)</f>
        <v>-24662.444705882168</v>
      </c>
      <c r="O13" s="38">
        <f>+SUM(O6:O12)</f>
        <v>21</v>
      </c>
      <c r="P13" s="36">
        <f>IF(O13&lt;=0,0,Q13/O13)</f>
        <v>5181.9980952380911</v>
      </c>
      <c r="Q13" s="37">
        <f>+SUM(Q6:Q12)</f>
        <v>108821.9599999999</v>
      </c>
      <c r="R13" s="38">
        <f>+SUM(R6:R12)</f>
        <v>4</v>
      </c>
      <c r="S13" s="39">
        <f>+SUM(S6:S12)</f>
        <v>-7902.6399999997229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-0.16666666666666666</v>
      </c>
      <c r="N14" s="43">
        <f>IF(F13=0,0,N13/F13)</f>
        <v>-0.19638555616448475</v>
      </c>
      <c r="O14" s="41"/>
      <c r="P14" s="30"/>
      <c r="Q14" s="40"/>
      <c r="R14" s="42">
        <f>R13/O13</f>
        <v>0.19047619047619047</v>
      </c>
      <c r="S14" s="44">
        <f>IF(Q13=0,0,(S13/Q13))</f>
        <v>-7.261990135079105E-2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4</v>
      </c>
      <c r="E15" s="25">
        <f>IF(D15=0,0,F15/D15)</f>
        <v>1200</v>
      </c>
      <c r="F15" s="22">
        <v>4800</v>
      </c>
      <c r="G15" s="46"/>
      <c r="H15" s="47"/>
      <c r="I15" s="48"/>
      <c r="J15" s="49">
        <v>1</v>
      </c>
      <c r="K15" s="50">
        <f>IF(J15=0,0,L15/J15)</f>
        <v>1824.9100000000035</v>
      </c>
      <c r="L15" s="50">
        <v>1824.9100000000035</v>
      </c>
      <c r="M15" s="51">
        <f>J15-D15</f>
        <v>-3</v>
      </c>
      <c r="N15" s="48">
        <f>L15-F15</f>
        <v>-2975.0899999999965</v>
      </c>
      <c r="O15" s="49">
        <v>8</v>
      </c>
      <c r="P15" s="50">
        <f>IF(O15=0,0,Q15/O15)</f>
        <v>2225.1799999999876</v>
      </c>
      <c r="Q15" s="50">
        <v>17801.4399999999</v>
      </c>
      <c r="R15" s="51">
        <f>J15-O15</f>
        <v>-7</v>
      </c>
      <c r="S15" s="52">
        <f>L15-Q15</f>
        <v>-15976.529999999897</v>
      </c>
      <c r="T15" s="13"/>
      <c r="U15" s="13"/>
      <c r="W15" s="453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2</v>
      </c>
      <c r="E17" s="30">
        <f>IF(D17=0,0,F17/D17)</f>
        <v>750</v>
      </c>
      <c r="F17" s="30">
        <v>1500</v>
      </c>
      <c r="G17" s="31"/>
      <c r="H17" s="30"/>
      <c r="I17" s="30"/>
      <c r="J17" s="51">
        <v>5</v>
      </c>
      <c r="K17" s="30">
        <f>IF(J17=0,0,L17/J17)</f>
        <v>1065.8939999999943</v>
      </c>
      <c r="L17" s="33">
        <v>5329.4699999999721</v>
      </c>
      <c r="M17" s="51">
        <f>J17-D17</f>
        <v>3</v>
      </c>
      <c r="N17" s="33">
        <f>L17-F17</f>
        <v>3829.4699999999721</v>
      </c>
      <c r="O17" s="51">
        <v>0</v>
      </c>
      <c r="P17" s="30">
        <f>IF(O17=0,0,Q17/O17)</f>
        <v>0</v>
      </c>
      <c r="Q17" s="33">
        <v>0</v>
      </c>
      <c r="R17" s="31">
        <f>J17-O17</f>
        <v>5</v>
      </c>
      <c r="S17" s="34">
        <f>L17-Q17</f>
        <v>5329.4699999999721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B19" s="11" t="str">
        <f t="shared" si="0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>
        <f>IF(D13=0,0,F21/(D13+D15))</f>
        <v>7</v>
      </c>
      <c r="F21" s="30">
        <v>238</v>
      </c>
      <c r="G21" s="41"/>
      <c r="H21" s="30"/>
      <c r="I21" s="30"/>
      <c r="J21" s="31"/>
      <c r="K21" s="30">
        <f>IF(J13=0,0,L21/(J13+J15))</f>
        <v>51.150384615384617</v>
      </c>
      <c r="L21" s="33">
        <v>1329.91</v>
      </c>
      <c r="M21" s="31"/>
      <c r="N21" s="33">
        <f>L21-F21</f>
        <v>1091.9100000000001</v>
      </c>
      <c r="O21" s="31"/>
      <c r="P21" s="30">
        <f>IF(O13=0,0,Q21/(O13+O15))</f>
        <v>16.962413793103448</v>
      </c>
      <c r="Q21" s="33">
        <v>491.91</v>
      </c>
      <c r="R21" s="31">
        <f>O21-K21</f>
        <v>-51.150384615384617</v>
      </c>
      <c r="S21" s="34">
        <f>L21-Q21</f>
        <v>838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>
        <f>IF(D13=0,0,F22/(D13+D15))</f>
        <v>1150</v>
      </c>
      <c r="F22" s="30">
        <v>39100</v>
      </c>
      <c r="G22" s="41"/>
      <c r="H22" s="30"/>
      <c r="I22" s="30"/>
      <c r="J22" s="31"/>
      <c r="K22" s="30">
        <f>IF(J13=0,0,L22/(J13+J15))</f>
        <v>685.80769230769226</v>
      </c>
      <c r="L22" s="33">
        <v>17831</v>
      </c>
      <c r="M22" s="31"/>
      <c r="N22" s="33">
        <f>L22-F22</f>
        <v>-21269</v>
      </c>
      <c r="O22" s="31"/>
      <c r="P22" s="30">
        <f>IF(O13=0,0,Q22/(O13+O15))</f>
        <v>1674.7851724137929</v>
      </c>
      <c r="Q22" s="33">
        <v>48568.77</v>
      </c>
      <c r="R22" s="31">
        <f>O22-K22</f>
        <v>-685.80769230769226</v>
      </c>
      <c r="S22" s="34">
        <f>L22-Q22</f>
        <v>-30737.769999999997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>
        <f>IF(D13=0,0,F23/(D13+D15))</f>
        <v>443</v>
      </c>
      <c r="F23" s="30">
        <v>15062</v>
      </c>
      <c r="G23" s="41"/>
      <c r="H23" s="30"/>
      <c r="I23" s="30"/>
      <c r="J23" s="31"/>
      <c r="K23" s="30">
        <f>IF(J13=0,0,L23/(J13+J15))</f>
        <v>451.71307692307698</v>
      </c>
      <c r="L23" s="33">
        <v>11744.54</v>
      </c>
      <c r="M23" s="51"/>
      <c r="N23" s="33">
        <f>L23-F23</f>
        <v>-3317.4599999999991</v>
      </c>
      <c r="O23" s="31"/>
      <c r="P23" s="30">
        <f>IF(O13=0,0,Q23/(O13+O15))</f>
        <v>843.75827586206901</v>
      </c>
      <c r="Q23" s="33">
        <v>24468.99</v>
      </c>
      <c r="R23" s="31">
        <f>O23-K23</f>
        <v>-451.71307692307698</v>
      </c>
      <c r="S23" s="34">
        <f>L23-Q23</f>
        <v>-12724.45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34</v>
      </c>
      <c r="E24" s="36">
        <f>IF(D24&lt;=0,0,F24/D24)</f>
        <v>1600</v>
      </c>
      <c r="F24" s="37">
        <f>F21+F22+F23</f>
        <v>54400</v>
      </c>
      <c r="G24" s="38"/>
      <c r="H24" s="36"/>
      <c r="I24" s="37"/>
      <c r="J24" s="38">
        <f>+J15+J13</f>
        <v>26</v>
      </c>
      <c r="K24" s="36">
        <f>IF(J24&lt;=0,0,L24/J24)</f>
        <v>1188.6711538461539</v>
      </c>
      <c r="L24" s="37">
        <f>L21+L22+L23</f>
        <v>30905.45</v>
      </c>
      <c r="M24" s="58">
        <f>J24-D24</f>
        <v>-8</v>
      </c>
      <c r="N24" s="37">
        <f>L24-F24</f>
        <v>-23494.55</v>
      </c>
      <c r="O24" s="38">
        <f>+O15+O13</f>
        <v>29</v>
      </c>
      <c r="P24" s="36">
        <f>IF(O24&lt;=0,0,Q24/O24)</f>
        <v>2535.5058620689656</v>
      </c>
      <c r="Q24" s="37">
        <f>Q21+Q22+Q23</f>
        <v>73529.67</v>
      </c>
      <c r="R24" s="56"/>
      <c r="S24" s="39">
        <f>L24-Q24</f>
        <v>-42624.22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-0.43188511029411764</v>
      </c>
      <c r="O25" s="41"/>
      <c r="P25" s="13"/>
      <c r="Q25" s="59"/>
      <c r="R25" s="60"/>
      <c r="S25" s="44">
        <f>IF(Q24=0,0,(S24/Q24))</f>
        <v>-0.57968735613800526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36</v>
      </c>
      <c r="E27" s="64">
        <f>IF(D27&lt;=0,0,F27/D27)</f>
        <v>5174.4934640522879</v>
      </c>
      <c r="F27" s="65">
        <f>F13+F17+F24+F15</f>
        <v>186281.76470588235</v>
      </c>
      <c r="G27" s="66"/>
      <c r="H27" s="67"/>
      <c r="I27" s="65"/>
      <c r="J27" s="66">
        <f>+J13+J15+J17</f>
        <v>31</v>
      </c>
      <c r="K27" s="67">
        <f>IF(J27&lt;=0,0,L27/J27)</f>
        <v>4483.1983870967797</v>
      </c>
      <c r="L27" s="65">
        <f>L13+L17+L24+L15</f>
        <v>138979.15000000017</v>
      </c>
      <c r="M27" s="66">
        <f>J27-D27</f>
        <v>-5</v>
      </c>
      <c r="N27" s="65">
        <f>L27-F27</f>
        <v>-47302.614705882181</v>
      </c>
      <c r="O27" s="66">
        <f>+O13+O15+O17</f>
        <v>29</v>
      </c>
      <c r="P27" s="67">
        <f>IF(O27&lt;=0,0,Q27/O27)</f>
        <v>6901.8299999999927</v>
      </c>
      <c r="Q27" s="65">
        <f>Q13+Q17+Q24+Q15</f>
        <v>200153.06999999977</v>
      </c>
      <c r="R27" s="66">
        <f>J27-O27</f>
        <v>2</v>
      </c>
      <c r="S27" s="68">
        <f>L27-Q27</f>
        <v>-61173.919999999605</v>
      </c>
      <c r="T27" s="13"/>
      <c r="U27" s="13"/>
      <c r="W27" s="11"/>
      <c r="X27" s="484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-0.1388888888888889</v>
      </c>
      <c r="N28" s="74">
        <f>N27/F27</f>
        <v>-0.25393046270829361</v>
      </c>
      <c r="O28" s="72"/>
      <c r="P28" s="70"/>
      <c r="Q28" s="71"/>
      <c r="R28" s="73">
        <f>R27/O27</f>
        <v>6.8965517241379309E-2</v>
      </c>
      <c r="S28" s="75">
        <f>IF(Q27=0,0,S27/Q27)</f>
        <v>-0.30563568173098554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0.27513306876812876</v>
      </c>
      <c r="E31" s="82">
        <f t="shared" ref="E31:E40" si="10">F31/D$24</f>
        <v>1055.0686774980443</v>
      </c>
      <c r="F31" s="30">
        <v>35872.335034933509</v>
      </c>
      <c r="G31" s="156"/>
      <c r="H31" s="82"/>
      <c r="I31" s="30"/>
      <c r="J31" s="156">
        <f>L31/(L13+L15)</f>
        <v>0.21791316164421068</v>
      </c>
      <c r="K31" s="82">
        <f t="shared" ref="K31:K40" si="11">IF(L31=0,0,L31/J$24)</f>
        <v>861.12769230769231</v>
      </c>
      <c r="L31" s="30">
        <v>22389.32</v>
      </c>
      <c r="M31" s="41"/>
      <c r="N31" s="59">
        <f t="shared" ref="N31:N53" si="12">L31-F31</f>
        <v>-13483.015034933509</v>
      </c>
      <c r="O31" s="156">
        <f>Q31/(Q13+Q15+Q17)</f>
        <v>0.24913104528862792</v>
      </c>
      <c r="P31" s="82">
        <f t="shared" ref="P31:P40" si="13">Q31/O$24</f>
        <v>1087.7868965517241</v>
      </c>
      <c r="Q31" s="33">
        <v>31545.82</v>
      </c>
      <c r="R31" s="41"/>
      <c r="S31" s="85">
        <f t="shared" ref="S31:S36" si="14">L31-Q31</f>
        <v>-9156.5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v>16592</v>
      </c>
      <c r="G32" s="161"/>
      <c r="H32" s="90"/>
      <c r="I32" s="22"/>
      <c r="J32" s="161">
        <f>L32/L24</f>
        <v>0.2639893610997413</v>
      </c>
      <c r="K32" s="88">
        <f t="shared" si="11"/>
        <v>313.79653846153849</v>
      </c>
      <c r="L32" s="22">
        <v>8158.71</v>
      </c>
      <c r="M32" s="23"/>
      <c r="N32" s="91">
        <f t="shared" si="12"/>
        <v>-8433.2900000000009</v>
      </c>
      <c r="O32" s="161">
        <f>Q32/Q24</f>
        <v>0.3456499940772208</v>
      </c>
      <c r="P32" s="88">
        <f t="shared" si="13"/>
        <v>876.39758620689656</v>
      </c>
      <c r="Q32" s="22">
        <v>25415.53</v>
      </c>
      <c r="R32" s="23"/>
      <c r="S32" s="92">
        <f t="shared" si="14"/>
        <v>-17256.82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v>4080</v>
      </c>
      <c r="G33" s="83"/>
      <c r="H33" s="82"/>
      <c r="I33" s="30"/>
      <c r="J33" s="41"/>
      <c r="K33" s="82">
        <f t="shared" si="11"/>
        <v>188.28269230769232</v>
      </c>
      <c r="L33" s="30">
        <v>4895.3500000000004</v>
      </c>
      <c r="M33" s="41"/>
      <c r="N33" s="59">
        <f t="shared" si="12"/>
        <v>815.35000000000036</v>
      </c>
      <c r="O33" s="41"/>
      <c r="P33" s="82">
        <f t="shared" si="13"/>
        <v>132.3648275862069</v>
      </c>
      <c r="Q33" s="33">
        <v>3838.58</v>
      </c>
      <c r="R33" s="41"/>
      <c r="S33" s="85">
        <f t="shared" si="14"/>
        <v>1056.7700000000004</v>
      </c>
      <c r="T33" s="13"/>
      <c r="U33" s="13"/>
      <c r="V33" s="489" t="s">
        <v>244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v>1190</v>
      </c>
      <c r="G34" s="83"/>
      <c r="H34" s="82"/>
      <c r="I34" s="30"/>
      <c r="J34" s="41"/>
      <c r="K34" s="82">
        <f t="shared" si="11"/>
        <v>40.125</v>
      </c>
      <c r="L34" s="30">
        <v>1043.25</v>
      </c>
      <c r="M34" s="41"/>
      <c r="N34" s="59">
        <f t="shared" si="12"/>
        <v>-146.75</v>
      </c>
      <c r="O34" s="41"/>
      <c r="P34" s="82">
        <f t="shared" si="13"/>
        <v>62.72034482758621</v>
      </c>
      <c r="Q34" s="33">
        <v>1818.89</v>
      </c>
      <c r="R34" s="41"/>
      <c r="S34" s="85">
        <f t="shared" si="14"/>
        <v>-775.6400000000001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95.794117647058826</v>
      </c>
      <c r="F35" s="22">
        <v>3257</v>
      </c>
      <c r="G35" s="89"/>
      <c r="H35" s="90"/>
      <c r="I35" s="22"/>
      <c r="J35" s="23"/>
      <c r="K35" s="88">
        <f t="shared" si="11"/>
        <v>64.176923076923075</v>
      </c>
      <c r="L35" s="22">
        <v>1668.6</v>
      </c>
      <c r="M35" s="23"/>
      <c r="N35" s="91">
        <f t="shared" si="12"/>
        <v>-1588.4</v>
      </c>
      <c r="O35" s="23"/>
      <c r="P35" s="88">
        <f t="shared" si="13"/>
        <v>37.223793103448273</v>
      </c>
      <c r="Q35" s="33">
        <v>1079.49</v>
      </c>
      <c r="R35" s="23"/>
      <c r="S35" s="92">
        <f t="shared" si="14"/>
        <v>589.1099999999999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234.88787878787869</v>
      </c>
      <c r="F36" s="30">
        <v>7986.1878787878759</v>
      </c>
      <c r="G36" s="83"/>
      <c r="H36" s="82"/>
      <c r="I36" s="30"/>
      <c r="J36" s="41"/>
      <c r="K36" s="82">
        <f t="shared" si="11"/>
        <v>187.42346153846154</v>
      </c>
      <c r="L36" s="454">
        <v>4873.01</v>
      </c>
      <c r="M36" s="13"/>
      <c r="N36" s="59">
        <f t="shared" si="12"/>
        <v>-3113.1778787878757</v>
      </c>
      <c r="O36" s="41"/>
      <c r="P36" s="82">
        <f t="shared" si="13"/>
        <v>595.14137931034475</v>
      </c>
      <c r="Q36" s="55">
        <v>17259.099999999999</v>
      </c>
      <c r="R36" s="41"/>
      <c r="S36" s="85">
        <f t="shared" si="14"/>
        <v>-12386.089999999998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733.27476959636317</v>
      </c>
      <c r="F37" s="30">
        <v>24931.342166276347</v>
      </c>
      <c r="G37" s="83"/>
      <c r="H37" s="82"/>
      <c r="I37" s="30"/>
      <c r="J37" s="41"/>
      <c r="K37" s="82">
        <f t="shared" si="11"/>
        <v>774.34884615384613</v>
      </c>
      <c r="L37" s="455">
        <v>20133.07</v>
      </c>
      <c r="M37" s="13"/>
      <c r="N37" s="59">
        <f t="shared" si="12"/>
        <v>-4798.272166276347</v>
      </c>
      <c r="O37" s="41"/>
      <c r="P37" s="82">
        <f t="shared" si="13"/>
        <v>853.67172413793105</v>
      </c>
      <c r="Q37" s="33">
        <v>24756.48</v>
      </c>
      <c r="R37" s="41"/>
      <c r="S37" s="85">
        <f>L37-Q37</f>
        <v>-4623.41</v>
      </c>
      <c r="T37" s="13"/>
      <c r="U37" s="13"/>
      <c r="V37" s="489">
        <v>20133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v>0</v>
      </c>
      <c r="G38" s="83"/>
      <c r="H38" s="82"/>
      <c r="I38" s="30"/>
      <c r="J38" s="41"/>
      <c r="K38" s="82">
        <f t="shared" si="11"/>
        <v>0</v>
      </c>
      <c r="L38" s="455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v>0</v>
      </c>
      <c r="G39" s="83"/>
      <c r="H39" s="82"/>
      <c r="I39" s="30"/>
      <c r="J39" s="41"/>
      <c r="K39" s="82">
        <f t="shared" si="11"/>
        <v>0</v>
      </c>
      <c r="L39" s="455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v>0</v>
      </c>
      <c r="G40" s="83"/>
      <c r="H40" s="82"/>
      <c r="I40" s="30"/>
      <c r="J40" s="41"/>
      <c r="K40" s="82">
        <f t="shared" si="11"/>
        <v>0</v>
      </c>
      <c r="L40" s="456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0.50412269407190291</v>
      </c>
      <c r="F41" s="96">
        <f>SUM(F31:F40)</f>
        <v>93908.865079997733</v>
      </c>
      <c r="G41" s="97"/>
      <c r="H41" s="95"/>
      <c r="I41" s="96"/>
      <c r="J41" s="97" t="s">
        <v>38</v>
      </c>
      <c r="K41" s="95">
        <f>L41/L$27</f>
        <v>0.4544660835816014</v>
      </c>
      <c r="L41" s="96">
        <f>SUM(L31:L40)</f>
        <v>63161.31</v>
      </c>
      <c r="M41" s="98"/>
      <c r="N41" s="96">
        <f t="shared" si="12"/>
        <v>-30747.555079997735</v>
      </c>
      <c r="O41" s="97" t="s">
        <v>38</v>
      </c>
      <c r="P41" s="95">
        <f>Q41/Q$27</f>
        <v>0.52816521874983036</v>
      </c>
      <c r="Q41" s="99">
        <f>SUM(Q31:Q40)</f>
        <v>105713.89</v>
      </c>
      <c r="R41" s="100"/>
      <c r="S41" s="101">
        <f t="shared" ref="S41:S45" si="16">L41-Q41</f>
        <v>-42552.58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13260.139288451013</v>
      </c>
      <c r="G42" s="41"/>
      <c r="H42" s="13"/>
      <c r="I42" s="30"/>
      <c r="J42" s="41"/>
      <c r="K42" s="13"/>
      <c r="L42" s="33">
        <v>7262.3</v>
      </c>
      <c r="M42" s="41"/>
      <c r="N42" s="59">
        <f t="shared" si="12"/>
        <v>-5997.8392884510131</v>
      </c>
      <c r="O42" s="41"/>
      <c r="P42" s="13"/>
      <c r="Q42" s="33">
        <v>13325.86</v>
      </c>
      <c r="R42" s="41"/>
      <c r="S42" s="85">
        <f t="shared" si="16"/>
        <v>-6063.56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5131.0854559386971</v>
      </c>
      <c r="G43" s="83"/>
      <c r="H43" s="13"/>
      <c r="I43" s="22"/>
      <c r="J43" s="41"/>
      <c r="K43" s="13"/>
      <c r="L43" s="33">
        <v>3761.82</v>
      </c>
      <c r="M43" s="41"/>
      <c r="N43" s="59">
        <f t="shared" si="12"/>
        <v>-1369.265455938697</v>
      </c>
      <c r="O43" s="41"/>
      <c r="P43" s="13"/>
      <c r="Q43" s="33">
        <v>8772.33</v>
      </c>
      <c r="R43" s="41"/>
      <c r="S43" s="85">
        <f t="shared" si="16"/>
        <v>-5010.51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0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-342</v>
      </c>
      <c r="T44" s="13"/>
      <c r="U44" s="13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9867.3593900119758</v>
      </c>
      <c r="G49" s="83"/>
      <c r="H49" s="13"/>
      <c r="I49" s="22"/>
      <c r="J49" s="41"/>
      <c r="K49" s="13"/>
      <c r="L49" s="22">
        <v>6551.83</v>
      </c>
      <c r="M49" s="41"/>
      <c r="N49" s="59">
        <f t="shared" si="12"/>
        <v>-3315.5293900119759</v>
      </c>
      <c r="O49" s="41"/>
      <c r="P49" s="13"/>
      <c r="Q49" s="22">
        <v>9449.4599999999991</v>
      </c>
      <c r="R49" s="41"/>
      <c r="S49" s="85">
        <f t="shared" ref="S49:S53" si="18">L49-Q49</f>
        <v>-2897.6299999999992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10479.052294346566</v>
      </c>
      <c r="G50" s="106"/>
      <c r="H50" s="105"/>
      <c r="I50" s="30"/>
      <c r="J50" s="107"/>
      <c r="K50" s="105"/>
      <c r="L50" s="33">
        <v>8051.55</v>
      </c>
      <c r="M50" s="107"/>
      <c r="N50" s="109">
        <f t="shared" si="12"/>
        <v>-2427.5022943465656</v>
      </c>
      <c r="O50" s="107"/>
      <c r="P50" s="105"/>
      <c r="Q50" s="33">
        <v>11008.13</v>
      </c>
      <c r="R50" s="107"/>
      <c r="S50" s="110">
        <f t="shared" si="18"/>
        <v>-2956.579999999999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6791.9783389283284</v>
      </c>
      <c r="G51" s="83"/>
      <c r="H51" s="13"/>
      <c r="I51" s="30"/>
      <c r="J51" s="41"/>
      <c r="K51" s="13"/>
      <c r="L51" s="33">
        <v>3512.4</v>
      </c>
      <c r="M51" s="41"/>
      <c r="N51" s="59">
        <f t="shared" si="12"/>
        <v>-3279.5783389283283</v>
      </c>
      <c r="O51" s="41"/>
      <c r="P51" s="13"/>
      <c r="Q51" s="33">
        <v>4701.09</v>
      </c>
      <c r="R51" s="41"/>
      <c r="S51" s="85">
        <f t="shared" si="18"/>
        <v>-1188.69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1901.7539348999321</v>
      </c>
      <c r="G52" s="83"/>
      <c r="H52" s="13"/>
      <c r="I52" s="30"/>
      <c r="J52" s="41"/>
      <c r="K52" s="13"/>
      <c r="L52" s="33">
        <v>1021.61</v>
      </c>
      <c r="M52" s="41"/>
      <c r="N52" s="59">
        <f t="shared" si="12"/>
        <v>-880.14393489993211</v>
      </c>
      <c r="O52" s="41"/>
      <c r="P52" s="13"/>
      <c r="Q52" s="33">
        <v>1835.54</v>
      </c>
      <c r="R52" s="41"/>
      <c r="S52" s="85">
        <f t="shared" si="18"/>
        <v>-813.93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0.25462164145516464</v>
      </c>
      <c r="F54" s="96">
        <f>+SUM(F42:F53)</f>
        <v>47431.368702576518</v>
      </c>
      <c r="G54" s="97"/>
      <c r="H54" s="95"/>
      <c r="I54" s="96"/>
      <c r="J54" s="97" t="s">
        <v>38</v>
      </c>
      <c r="K54" s="95">
        <f>L54/L$27</f>
        <v>0.21702183385061691</v>
      </c>
      <c r="L54" s="96">
        <f>+SUM(L42:L53)</f>
        <v>30161.510000000002</v>
      </c>
      <c r="M54" s="100"/>
      <c r="N54" s="96">
        <f>+SUM(N42:N53)</f>
        <v>-17269.858702576512</v>
      </c>
      <c r="O54" s="97" t="s">
        <v>38</v>
      </c>
      <c r="P54" s="95">
        <f>Q54/Q$27</f>
        <v>0.2469830215444612</v>
      </c>
      <c r="Q54" s="96">
        <f>+SUM(Q42:Q53)</f>
        <v>49434.409999999996</v>
      </c>
      <c r="R54" s="100"/>
      <c r="S54" s="101">
        <f>+SUM(S42:S53)</f>
        <v>-19272.899999999998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1002.45</v>
      </c>
      <c r="M57" s="23"/>
      <c r="N57" s="91">
        <f t="shared" si="19"/>
        <v>-1034.05</v>
      </c>
      <c r="O57" s="23"/>
      <c r="P57" s="111"/>
      <c r="Q57" s="22">
        <v>8435.32</v>
      </c>
      <c r="R57" s="23"/>
      <c r="S57" s="92">
        <f t="shared" si="20"/>
        <v>-7432.87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9336.17</v>
      </c>
      <c r="M58" s="41"/>
      <c r="N58" s="59">
        <f t="shared" si="19"/>
        <v>140.8178333333326</v>
      </c>
      <c r="O58" s="41"/>
      <c r="P58" s="13"/>
      <c r="Q58" s="33">
        <v>4823.25</v>
      </c>
      <c r="R58" s="41"/>
      <c r="S58" s="85">
        <f t="shared" si="20"/>
        <v>4512.92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1863.28</v>
      </c>
      <c r="M59" s="41"/>
      <c r="N59" s="59">
        <f t="shared" si="19"/>
        <v>533.28</v>
      </c>
      <c r="O59" s="41"/>
      <c r="P59" s="13"/>
      <c r="Q59" s="33">
        <v>1180.26</v>
      </c>
      <c r="R59" s="41"/>
      <c r="S59" s="85">
        <f t="shared" si="20"/>
        <v>683.02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3191.92</v>
      </c>
      <c r="M60" s="23"/>
      <c r="N60" s="91">
        <f t="shared" si="19"/>
        <v>519.55966666666654</v>
      </c>
      <c r="O60" s="23"/>
      <c r="P60" s="111"/>
      <c r="Q60" s="22">
        <v>4615.6000000000004</v>
      </c>
      <c r="R60" s="23"/>
      <c r="S60" s="92">
        <f t="shared" si="20"/>
        <v>-1423.6800000000003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387.51</v>
      </c>
      <c r="M61" s="41"/>
      <c r="N61" s="59">
        <f t="shared" si="19"/>
        <v>312.51</v>
      </c>
      <c r="O61" s="41"/>
      <c r="P61" s="13"/>
      <c r="Q61" s="33">
        <v>0</v>
      </c>
      <c r="R61" s="41"/>
      <c r="S61" s="85">
        <f t="shared" si="20"/>
        <v>387.51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297</v>
      </c>
      <c r="R62" s="41"/>
      <c r="S62" s="85">
        <f t="shared" si="20"/>
        <v>-297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912.46</v>
      </c>
      <c r="M63" s="41"/>
      <c r="N63" s="59">
        <f t="shared" si="19"/>
        <v>332.46000000000004</v>
      </c>
      <c r="O63" s="41"/>
      <c r="P63" s="13"/>
      <c r="Q63" s="32">
        <v>527.44000000000005</v>
      </c>
      <c r="R63" s="41"/>
      <c r="S63" s="85">
        <f t="shared" si="20"/>
        <v>385.02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532.41</v>
      </c>
      <c r="M64" s="41"/>
      <c r="N64" s="59">
        <f t="shared" si="19"/>
        <v>374.80999999999995</v>
      </c>
      <c r="O64" s="41"/>
      <c r="P64" s="13"/>
      <c r="Q64" s="33">
        <v>183.22</v>
      </c>
      <c r="R64" s="41"/>
      <c r="S64" s="85">
        <f t="shared" si="20"/>
        <v>349.18999999999994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310.02</v>
      </c>
      <c r="M65" s="41"/>
      <c r="N65" s="59">
        <f t="shared" si="19"/>
        <v>83.353333333333325</v>
      </c>
      <c r="O65" s="41"/>
      <c r="P65" s="13"/>
      <c r="Q65" s="33">
        <v>222.71</v>
      </c>
      <c r="R65" s="41"/>
      <c r="S65" s="85">
        <f t="shared" si="20"/>
        <v>87.309999999999974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845.12</v>
      </c>
      <c r="M66" s="41"/>
      <c r="N66" s="59">
        <f t="shared" si="19"/>
        <v>216.03666666666675</v>
      </c>
      <c r="O66" s="41"/>
      <c r="P66" s="13"/>
      <c r="Q66" s="33">
        <v>682.2</v>
      </c>
      <c r="R66" s="41"/>
      <c r="S66" s="85">
        <f t="shared" si="20"/>
        <v>162.91999999999996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-90.33</v>
      </c>
      <c r="M67" s="41"/>
      <c r="N67" s="59">
        <f t="shared" si="19"/>
        <v>-411.92466666666678</v>
      </c>
      <c r="O67" s="41"/>
      <c r="P67" s="13"/>
      <c r="Q67" s="33">
        <v>548.25</v>
      </c>
      <c r="R67" s="41"/>
      <c r="S67" s="85">
        <f>L67-Q67</f>
        <v>-638.58000000000004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4294.6545778774707</v>
      </c>
      <c r="G68" s="83"/>
      <c r="H68" s="13"/>
      <c r="I68" s="30"/>
      <c r="J68" s="41"/>
      <c r="K68" s="13"/>
      <c r="L68" s="32">
        <v>3700.4</v>
      </c>
      <c r="M68" s="41"/>
      <c r="N68" s="59">
        <f t="shared" si="19"/>
        <v>-594.25457787747064</v>
      </c>
      <c r="O68" s="41"/>
      <c r="P68" s="13"/>
      <c r="Q68" s="33">
        <v>4475.8900000000003</v>
      </c>
      <c r="R68" s="41"/>
      <c r="S68" s="85">
        <f>L68-Q68</f>
        <v>-775.49000000000024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0.11567858925197136</v>
      </c>
      <c r="F72" s="96">
        <f>+SUM(F55:F71)</f>
        <v>21548.811744544138</v>
      </c>
      <c r="G72" s="97"/>
      <c r="H72" s="95"/>
      <c r="I72" s="96"/>
      <c r="J72" s="97" t="s">
        <v>38</v>
      </c>
      <c r="K72" s="95">
        <f>L72/L$27</f>
        <v>0.1582353180315175</v>
      </c>
      <c r="L72" s="96">
        <f>+SUM(L55:L71)</f>
        <v>21991.41</v>
      </c>
      <c r="M72" s="100"/>
      <c r="N72" s="96">
        <f>+SUM(N55:N71)</f>
        <v>442.59825545586182</v>
      </c>
      <c r="O72" s="97" t="s">
        <v>38</v>
      </c>
      <c r="P72" s="95">
        <f>Q72/Q$27</f>
        <v>0.12985631446972073</v>
      </c>
      <c r="Q72" s="96">
        <f>+SUM(Q55:Q71)</f>
        <v>25991.14</v>
      </c>
      <c r="R72" s="100"/>
      <c r="S72" s="101">
        <f>+SUM(S55:S71)</f>
        <v>-3999.7300000000005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0.87442292477903882</v>
      </c>
      <c r="F74" s="96">
        <f>F41+F54+F72</f>
        <v>162889.04552711837</v>
      </c>
      <c r="G74" s="97"/>
      <c r="H74" s="95"/>
      <c r="I74" s="96"/>
      <c r="J74" s="97" t="s">
        <v>38</v>
      </c>
      <c r="K74" s="95">
        <f>L74/L$27</f>
        <v>0.82972323546373594</v>
      </c>
      <c r="L74" s="96">
        <f>L41+L54+L72</f>
        <v>115314.23000000001</v>
      </c>
      <c r="M74" s="100"/>
      <c r="N74" s="113">
        <f t="shared" ref="N74:N82" si="23">L74-F74</f>
        <v>-47574.815527118364</v>
      </c>
      <c r="O74" s="97" t="s">
        <v>38</v>
      </c>
      <c r="P74" s="95">
        <f>Q74/Q$27</f>
        <v>0.90500455476401243</v>
      </c>
      <c r="Q74" s="96">
        <f>Q41+Q54+Q72</f>
        <v>181139.44</v>
      </c>
      <c r="R74" s="100"/>
      <c r="S74" s="114">
        <f>L74-Q74</f>
        <v>-65825.209999999992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v>49630.397142857146</v>
      </c>
      <c r="G75" s="83"/>
      <c r="H75" s="13"/>
      <c r="I75" s="30"/>
      <c r="J75" s="41"/>
      <c r="K75" s="13"/>
      <c r="L75" s="32">
        <v>41431.620000000003</v>
      </c>
      <c r="M75" s="41"/>
      <c r="N75" s="59">
        <f t="shared" si="23"/>
        <v>-8198.7771428571432</v>
      </c>
      <c r="O75" s="41"/>
      <c r="P75" s="13"/>
      <c r="Q75" s="32">
        <v>43701.85</v>
      </c>
      <c r="R75" s="41"/>
      <c r="S75" s="85">
        <f>L75-Q75</f>
        <v>-2270.2299999999959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60158.057142857149</v>
      </c>
      <c r="G78" s="83"/>
      <c r="H78" s="13"/>
      <c r="I78" s="30"/>
      <c r="J78" s="41"/>
      <c r="K78" s="13"/>
      <c r="L78" s="33">
        <v>53782</v>
      </c>
      <c r="M78" s="41"/>
      <c r="N78" s="59">
        <f t="shared" si="23"/>
        <v>-6376.0571428571493</v>
      </c>
      <c r="O78" s="41"/>
      <c r="P78" s="13"/>
      <c r="Q78" s="32">
        <v>52973</v>
      </c>
      <c r="R78" s="41"/>
      <c r="S78" s="85">
        <f t="shared" si="24"/>
        <v>809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19825.400000000001</v>
      </c>
      <c r="G82" s="83"/>
      <c r="H82" s="13"/>
      <c r="I82" s="30"/>
      <c r="J82" s="41"/>
      <c r="K82" s="13"/>
      <c r="L82" s="32">
        <v>14280</v>
      </c>
      <c r="M82" s="41"/>
      <c r="N82" s="59">
        <f t="shared" si="23"/>
        <v>-5545.4000000000015</v>
      </c>
      <c r="O82" s="41"/>
      <c r="P82" s="13"/>
      <c r="Q82" s="32">
        <v>17255</v>
      </c>
      <c r="R82" s="41"/>
      <c r="S82" s="85">
        <f t="shared" ref="S82" si="26">L82-Q82</f>
        <v>-2975</v>
      </c>
      <c r="T82" s="13"/>
      <c r="U82" s="13"/>
      <c r="V82" s="489">
        <f>L82/595</f>
        <v>24</v>
      </c>
      <c r="W82" s="483">
        <f>V82/J27</f>
        <v>0.77419354838709675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129613.8542857143</v>
      </c>
      <c r="G83" s="97"/>
      <c r="H83" s="95"/>
      <c r="I83" s="96"/>
      <c r="J83" s="97"/>
      <c r="K83" s="95"/>
      <c r="L83" s="96">
        <f>+SUM(L75:L82)</f>
        <v>109493.62</v>
      </c>
      <c r="M83" s="100"/>
      <c r="N83" s="96">
        <f>+SUM(N75:N82)</f>
        <v>-20120.234285714294</v>
      </c>
      <c r="O83" s="97"/>
      <c r="P83" s="95"/>
      <c r="Q83" s="96">
        <f>+SUM(Q75:Q82)</f>
        <v>113929.85</v>
      </c>
      <c r="R83" s="100"/>
      <c r="S83" s="101">
        <f>+SUM(S75:S82)</f>
        <v>-4436.2299999999959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153006.57346447828</v>
      </c>
      <c r="G85" s="128"/>
      <c r="H85" s="126"/>
      <c r="I85" s="127"/>
      <c r="J85" s="128"/>
      <c r="K85" s="125"/>
      <c r="L85" s="127">
        <f>L27-L74+L83</f>
        <v>133158.54000000015</v>
      </c>
      <c r="M85" s="128"/>
      <c r="N85" s="127">
        <f>N27-N41-N54-N72+N83</f>
        <v>-19848.033464478089</v>
      </c>
      <c r="O85" s="128"/>
      <c r="P85" s="125"/>
      <c r="Q85" s="127">
        <f>Q27-Q74+Q83</f>
        <v>132943.47999999978</v>
      </c>
      <c r="R85" s="128"/>
      <c r="S85" s="129">
        <f>S27-S41-S54-S72+S83</f>
        <v>215.06000000039876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Avril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0" t="s">
        <v>5</v>
      </c>
      <c r="E91" s="511"/>
      <c r="F91" s="512"/>
      <c r="G91" s="513"/>
      <c r="H91" s="511"/>
      <c r="I91" s="512"/>
      <c r="J91" s="513" t="s">
        <v>7</v>
      </c>
      <c r="K91" s="511"/>
      <c r="L91" s="512"/>
      <c r="M91" s="513" t="s">
        <v>212</v>
      </c>
      <c r="N91" s="512"/>
      <c r="O91" s="510" t="s">
        <v>8</v>
      </c>
      <c r="P91" s="511"/>
      <c r="Q91" s="512"/>
      <c r="R91" s="508" t="s">
        <v>213</v>
      </c>
      <c r="S91" s="509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9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2102808.6916268026</v>
      </c>
      <c r="G93" s="46"/>
      <c r="H93" s="25"/>
      <c r="I93" s="22"/>
      <c r="J93" s="23"/>
      <c r="K93" s="25"/>
      <c r="L93" s="22">
        <v>2562554.46</v>
      </c>
      <c r="M93" s="137"/>
      <c r="N93" s="138"/>
      <c r="O93" s="23"/>
      <c r="P93" s="25"/>
      <c r="Q93" s="22">
        <v>1384484.48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15</v>
      </c>
      <c r="E94" s="30">
        <f>IF(D94=0,0,F94/D94)</f>
        <v>2400</v>
      </c>
      <c r="F94" s="30">
        <v>36000</v>
      </c>
      <c r="G94" s="31"/>
      <c r="H94" s="30"/>
      <c r="I94" s="30"/>
      <c r="J94" s="31">
        <v>7</v>
      </c>
      <c r="K94" s="30">
        <f>IF(J94=0,0,L94/J94)</f>
        <v>2530.8914285714395</v>
      </c>
      <c r="L94" s="33">
        <v>17716.240000000078</v>
      </c>
      <c r="M94" s="31">
        <f>J94-D94</f>
        <v>-8</v>
      </c>
      <c r="N94" s="33">
        <f>L94-F94</f>
        <v>-18283.759999999922</v>
      </c>
      <c r="O94" s="31">
        <v>5</v>
      </c>
      <c r="P94" s="30">
        <f t="shared" ref="P94:P96" si="28">IF(O94=0,0,Q94/O94)</f>
        <v>3241.2919999999999</v>
      </c>
      <c r="Q94" s="33">
        <v>16206.46</v>
      </c>
      <c r="R94" s="31">
        <f>J94-O94</f>
        <v>2</v>
      </c>
      <c r="S94" s="34">
        <f>L94-Q94</f>
        <v>1509.7800000000789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97" si="29">IF(D95=0,0,F95/D95)</f>
        <v>1400</v>
      </c>
      <c r="F95" s="30">
        <v>5600</v>
      </c>
      <c r="G95" s="31"/>
      <c r="H95" s="30"/>
      <c r="I95" s="30"/>
      <c r="J95" s="31">
        <v>0</v>
      </c>
      <c r="K95" s="30">
        <f>IF(J95=0,0,L95/J95)</f>
        <v>0</v>
      </c>
      <c r="L95" s="32">
        <v>0</v>
      </c>
      <c r="M95" s="31">
        <f>J95-D95</f>
        <v>-4</v>
      </c>
      <c r="N95" s="33">
        <f>L95-F95</f>
        <v>-5600</v>
      </c>
      <c r="O95" s="31">
        <v>12</v>
      </c>
      <c r="P95" s="30">
        <f t="shared" si="28"/>
        <v>1852.4199999999917</v>
      </c>
      <c r="Q95" s="32">
        <v>22229.039999999899</v>
      </c>
      <c r="R95" s="31">
        <f>J95-O95</f>
        <v>-12</v>
      </c>
      <c r="S95" s="34">
        <f>L95-Q95</f>
        <v>-22229.039999999899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 t="shared" si="27"/>
        <v>Véhicules usagésAutres marques</v>
      </c>
      <c r="B96" s="11" t="s">
        <v>70</v>
      </c>
      <c r="C96" s="29" t="s">
        <v>206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3</v>
      </c>
      <c r="K96" s="30">
        <f>IF(J96=0,0,L96/J96)</f>
        <v>2969.6433333333357</v>
      </c>
      <c r="L96" s="32">
        <v>8908.9300000000076</v>
      </c>
      <c r="M96" s="31">
        <f>J96-D96</f>
        <v>-3</v>
      </c>
      <c r="N96" s="33">
        <f>L96-F96</f>
        <v>-91.069999999992433</v>
      </c>
      <c r="O96" s="31">
        <v>5</v>
      </c>
      <c r="P96" s="30">
        <f t="shared" si="28"/>
        <v>1888.0919999999958</v>
      </c>
      <c r="Q96" s="32">
        <v>9440.4599999999791</v>
      </c>
      <c r="R96" s="31">
        <f>J96-O96</f>
        <v>-2</v>
      </c>
      <c r="S96" s="34">
        <f>L96-Q96</f>
        <v>-531.52999999997155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25</v>
      </c>
      <c r="E97" s="30">
        <f t="shared" si="29"/>
        <v>2024</v>
      </c>
      <c r="F97" s="37">
        <f>+F94+F95+F96</f>
        <v>50600</v>
      </c>
      <c r="G97" s="38"/>
      <c r="H97" s="36"/>
      <c r="I97" s="37"/>
      <c r="J97" s="38">
        <f>+J94+J95+J96</f>
        <v>10</v>
      </c>
      <c r="K97" s="36">
        <f>IF(J97&lt;=0,0,L97/J97)</f>
        <v>2662.5170000000085</v>
      </c>
      <c r="L97" s="37">
        <f>+L94+L95+L96</f>
        <v>26625.170000000086</v>
      </c>
      <c r="M97" s="38">
        <f>J97-D97</f>
        <v>-15</v>
      </c>
      <c r="N97" s="37">
        <f>L97-F97</f>
        <v>-23974.829999999914</v>
      </c>
      <c r="O97" s="38">
        <f>+O95+O94+O96</f>
        <v>22</v>
      </c>
      <c r="P97" s="36">
        <f>IF(O97=0,0,Q97/O97)</f>
        <v>2176.1799999999944</v>
      </c>
      <c r="Q97" s="37">
        <f>+Q94+Q95+Q96</f>
        <v>47875.959999999875</v>
      </c>
      <c r="R97" s="38">
        <f>J97-O97</f>
        <v>-12</v>
      </c>
      <c r="S97" s="39">
        <f>L97-Q97</f>
        <v>-21250.78999999979</v>
      </c>
      <c r="T97" s="13"/>
      <c r="U97" s="13"/>
      <c r="W97" s="457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-0.6</v>
      </c>
      <c r="N98" s="43">
        <f>N97/F97</f>
        <v>-0.47381086956521568</v>
      </c>
      <c r="O98" s="41"/>
      <c r="P98" s="13"/>
      <c r="Q98" s="40"/>
      <c r="R98" s="42">
        <f>R97/O97</f>
        <v>-0.54545454545454541</v>
      </c>
      <c r="S98" s="44">
        <f>IF(Q97=0,0,(S97/Q97))</f>
        <v>-0.44387183045519807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>+B99&amp;C99</f>
        <v>Véhicules neufsRachat bail</v>
      </c>
      <c r="B99" s="11" t="str">
        <f t="shared" ref="B99" si="30"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2188.3231982991279</v>
      </c>
      <c r="G99" s="31"/>
      <c r="H99" s="30"/>
      <c r="I99" s="30"/>
      <c r="J99" s="31"/>
      <c r="K99" s="30"/>
      <c r="L99" s="33">
        <v>999</v>
      </c>
      <c r="M99" s="31"/>
      <c r="N99" s="33">
        <f>L99-F99</f>
        <v>-1189.3231982991279</v>
      </c>
      <c r="O99" s="31"/>
      <c r="P99" s="30"/>
      <c r="Q99" s="33">
        <v>3995.3899999999799</v>
      </c>
      <c r="R99" s="31">
        <f>O99-K99</f>
        <v>0</v>
      </c>
      <c r="S99" s="34">
        <f>L99-Q99</f>
        <v>-2996.3899999999799</v>
      </c>
      <c r="T99" s="13"/>
      <c r="U99" s="13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25">
      <c r="A100" t="str">
        <f t="shared" ref="A100:A118" si="31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31"/>
        <v>Véhicules usagésVentes au Gros</v>
      </c>
      <c r="B101" s="11" t="s">
        <v>70</v>
      </c>
      <c r="C101" s="29" t="s">
        <v>75</v>
      </c>
      <c r="D101" s="30">
        <v>25</v>
      </c>
      <c r="E101" s="30">
        <f t="shared" ref="E101" si="32">IF(D101=0,0,F101/D101)</f>
        <v>500</v>
      </c>
      <c r="F101" s="30">
        <v>12500</v>
      </c>
      <c r="G101" s="31"/>
      <c r="H101" s="30"/>
      <c r="I101" s="30"/>
      <c r="J101" s="31">
        <v>49</v>
      </c>
      <c r="K101" s="30">
        <f>IF(J101=0,0,L101/J101)</f>
        <v>304.7771428571491</v>
      </c>
      <c r="L101" s="33">
        <v>14934.080000000307</v>
      </c>
      <c r="M101" s="31">
        <f>J101-D101</f>
        <v>24</v>
      </c>
      <c r="N101" s="33">
        <f>L101-F101</f>
        <v>2434.0800000003073</v>
      </c>
      <c r="O101" s="31">
        <v>15</v>
      </c>
      <c r="P101" s="30">
        <f>IF(O101=0,0,Q101/O101)</f>
        <v>613.86400000000128</v>
      </c>
      <c r="Q101" s="33">
        <v>9207.9600000000191</v>
      </c>
      <c r="R101" s="31">
        <f>J101-O101</f>
        <v>34</v>
      </c>
      <c r="S101" s="34">
        <f>L101-Q101</f>
        <v>5726.1200000002882</v>
      </c>
      <c r="T101" s="13"/>
      <c r="U101" s="13"/>
      <c r="W101" s="457"/>
      <c r="X101" s="13"/>
      <c r="Y101" s="13"/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31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31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8750</v>
      </c>
      <c r="G103" s="31"/>
      <c r="H103" s="30"/>
      <c r="I103" s="30"/>
      <c r="J103" s="31"/>
      <c r="K103" s="30">
        <f>IF(J97=0,0,L103/J97)</f>
        <v>253.28100000000001</v>
      </c>
      <c r="L103" s="33">
        <v>2532.81</v>
      </c>
      <c r="M103" s="31"/>
      <c r="N103" s="33">
        <f>L103-F103</f>
        <v>-6217.1900000000005</v>
      </c>
      <c r="O103" s="31"/>
      <c r="P103" s="30">
        <f>IF(O97=0,0,Q103/O97)</f>
        <v>605.96318181818185</v>
      </c>
      <c r="Q103" s="33">
        <v>13331.19</v>
      </c>
      <c r="R103" s="31">
        <f>O103-K103</f>
        <v>-253.28100000000001</v>
      </c>
      <c r="S103" s="34">
        <f>L103-Q103</f>
        <v>-10798.380000000001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31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23750</v>
      </c>
      <c r="G104" s="31"/>
      <c r="H104" s="30"/>
      <c r="I104" s="30"/>
      <c r="J104" s="31"/>
      <c r="K104" s="30">
        <f>IF(J97=0,0,L104/J97)</f>
        <v>670.77600000000018</v>
      </c>
      <c r="L104" s="33">
        <v>6707.760000000002</v>
      </c>
      <c r="M104" s="31"/>
      <c r="N104" s="33">
        <f>L104-F104</f>
        <v>-17042.239999999998</v>
      </c>
      <c r="O104" s="31"/>
      <c r="P104" s="30">
        <f>IF(O97=0,0,Q104/O97)</f>
        <v>1538.4390909090864</v>
      </c>
      <c r="Q104" s="33">
        <v>33845.659999999902</v>
      </c>
      <c r="R104" s="31">
        <f>O104-K104</f>
        <v>-670.77600000000018</v>
      </c>
      <c r="S104" s="34">
        <f>L104-Q104</f>
        <v>-27137.8999999999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31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5000</v>
      </c>
      <c r="G105" s="31"/>
      <c r="H105" s="47"/>
      <c r="I105" s="30"/>
      <c r="J105" s="31"/>
      <c r="K105" s="47">
        <f>IF(J97=0,0,L105/J97)</f>
        <v>28.5</v>
      </c>
      <c r="L105" s="33">
        <v>285</v>
      </c>
      <c r="M105" s="51"/>
      <c r="N105" s="33">
        <f>L105-F105</f>
        <v>-4715</v>
      </c>
      <c r="O105" s="31"/>
      <c r="P105" s="47">
        <f>IF(O97=0,0,Q105/O97)</f>
        <v>191.39772727272728</v>
      </c>
      <c r="Q105" s="33">
        <v>4210.75</v>
      </c>
      <c r="R105" s="31">
        <f>O105-K105</f>
        <v>-28.5</v>
      </c>
      <c r="S105" s="34">
        <f>L105-Q105</f>
        <v>-3925.75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31"/>
        <v>Véhicules usagésTotal F&amp;I</v>
      </c>
      <c r="B106" s="11" t="s">
        <v>70</v>
      </c>
      <c r="C106" s="35" t="s">
        <v>27</v>
      </c>
      <c r="D106" s="36">
        <f>D97</f>
        <v>25</v>
      </c>
      <c r="E106" s="30">
        <f t="shared" ref="E106" si="33">IF(D106=0,0,F106/D106)</f>
        <v>1500</v>
      </c>
      <c r="F106" s="37">
        <f>F103+F104+F105</f>
        <v>37500</v>
      </c>
      <c r="G106" s="38"/>
      <c r="H106" s="36"/>
      <c r="I106" s="37"/>
      <c r="J106" s="38">
        <f>J97</f>
        <v>10</v>
      </c>
      <c r="K106" s="36">
        <f>IF(J106&lt;=0,0,L106/J106)</f>
        <v>952.55700000000013</v>
      </c>
      <c r="L106" s="37">
        <f>L103+L104+L105</f>
        <v>9525.5700000000015</v>
      </c>
      <c r="M106" s="31">
        <f>J106-D106</f>
        <v>-15</v>
      </c>
      <c r="N106" s="37">
        <f>L106-F106</f>
        <v>-27974.43</v>
      </c>
      <c r="O106" s="38">
        <f>O97</f>
        <v>22</v>
      </c>
      <c r="P106" s="36">
        <f t="shared" ref="P106" si="34">IF(O106=0,0,Q106/O106)</f>
        <v>2335.7999999999956</v>
      </c>
      <c r="Q106" s="37">
        <f>Q103+Q104+Q105</f>
        <v>51387.599999999904</v>
      </c>
      <c r="R106" s="56"/>
      <c r="S106" s="39">
        <f>L106-Q106</f>
        <v>-41862.029999999904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0.25">
      <c r="A107" t="str">
        <f t="shared" si="31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-0.7459848</v>
      </c>
      <c r="O107" s="41"/>
      <c r="P107" s="13"/>
      <c r="Q107" s="59"/>
      <c r="R107" s="60"/>
      <c r="S107" s="44">
        <f>IF(Q106=0,0,(S106/Q106))</f>
        <v>-0.81463290754968087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Bot="1">
      <c r="A108" t="str">
        <f t="shared" si="31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50</v>
      </c>
      <c r="E109" s="67">
        <f>IF(D109&lt;=0,0,F109/D109)</f>
        <v>2055.7664639659824</v>
      </c>
      <c r="F109" s="65">
        <f>F97+F106+F101+F99</f>
        <v>102788.32319829913</v>
      </c>
      <c r="G109" s="66"/>
      <c r="H109" s="67"/>
      <c r="I109" s="65"/>
      <c r="J109" s="66">
        <f>J97+J101</f>
        <v>59</v>
      </c>
      <c r="K109" s="67">
        <f>IF(J109&lt;=0,0,L109/J109)</f>
        <v>882.77661016949821</v>
      </c>
      <c r="L109" s="65">
        <f>L97+L106+L101+L99</f>
        <v>52083.820000000393</v>
      </c>
      <c r="M109" s="66">
        <f>J109-D109</f>
        <v>9</v>
      </c>
      <c r="N109" s="65">
        <f>L109-F109</f>
        <v>-50704.503198298735</v>
      </c>
      <c r="O109" s="66">
        <f>O97+O101</f>
        <v>37</v>
      </c>
      <c r="P109" s="67">
        <f>IF(O109&lt;=0,0,Q109/O109)</f>
        <v>3039.6462162162106</v>
      </c>
      <c r="Q109" s="65">
        <f>Q97+Q106+Q101+Q99</f>
        <v>112466.90999999979</v>
      </c>
      <c r="R109" s="66">
        <f>J109-O109</f>
        <v>22</v>
      </c>
      <c r="S109" s="68">
        <f>L109-Q109</f>
        <v>-60383.089999999393</v>
      </c>
      <c r="T109" s="13"/>
      <c r="U109" s="13"/>
      <c r="W109" s="11"/>
      <c r="X109" s="48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0.18</v>
      </c>
      <c r="N110" s="74">
        <f>N109/F109</f>
        <v>-0.49329049857618223</v>
      </c>
      <c r="O110" s="72"/>
      <c r="P110" s="70"/>
      <c r="Q110" s="71"/>
      <c r="R110" s="73">
        <f>O109/R109</f>
        <v>1.6818181818181819</v>
      </c>
      <c r="S110" s="144">
        <f>IF(Q109=0,0,(S109/Q109))</f>
        <v>-0.5368964969340716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 thickTop="1">
      <c r="A111" t="str">
        <f t="shared" si="31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31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31"/>
        <v>Véhicules usagésComm. vendeurs</v>
      </c>
      <c r="B113" s="11" t="s">
        <v>70</v>
      </c>
      <c r="C113" s="29" t="s">
        <v>30</v>
      </c>
      <c r="D113" s="147">
        <f>F113/(F97+F106)</f>
        <v>0.19453695029111895</v>
      </c>
      <c r="E113" s="82">
        <f t="shared" ref="E113:E122" si="35">F113/D$97</f>
        <v>685.54821282590319</v>
      </c>
      <c r="F113" s="30">
        <v>17138.705320647579</v>
      </c>
      <c r="G113" s="156"/>
      <c r="H113" s="82"/>
      <c r="I113" s="30"/>
      <c r="J113" s="156">
        <f>L113/L97</f>
        <v>0.39336950712427254</v>
      </c>
      <c r="K113" s="82">
        <f>IF($J$97=0,0,L113/(J$94+J$95+J96))</f>
        <v>1047.3530000000001</v>
      </c>
      <c r="L113" s="33">
        <v>10473.530000000001</v>
      </c>
      <c r="M113" s="41"/>
      <c r="N113" s="59">
        <f t="shared" ref="N113:N154" si="36">L113-F113</f>
        <v>-6665.1753206475787</v>
      </c>
      <c r="O113" s="156">
        <f>Q113/Q97</f>
        <v>0.30682392582832885</v>
      </c>
      <c r="P113" s="82">
        <f t="shared" ref="P113:P122" si="37">Q113/O$97</f>
        <v>667.70409090909095</v>
      </c>
      <c r="Q113" s="33">
        <v>14689.49</v>
      </c>
      <c r="R113" s="41"/>
      <c r="S113" s="85">
        <f t="shared" ref="S113:S118" si="38">L113-Q113</f>
        <v>-4215.9599999999991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31"/>
        <v>Véhicules usagésComm. F&amp;I</v>
      </c>
      <c r="B114" s="11" t="s">
        <v>70</v>
      </c>
      <c r="C114" s="86" t="s">
        <v>31</v>
      </c>
      <c r="D114" s="217">
        <f>F114/(F106+F99)</f>
        <v>0.25511281868501601</v>
      </c>
      <c r="E114" s="88">
        <f t="shared" si="35"/>
        <v>405</v>
      </c>
      <c r="F114" s="22">
        <v>10125</v>
      </c>
      <c r="G114" s="161"/>
      <c r="H114" s="88"/>
      <c r="I114" s="22"/>
      <c r="J114" s="161">
        <f>L114/L106</f>
        <v>0.18767800772027288</v>
      </c>
      <c r="K114" s="88">
        <f>IF($J$97=0,0,L114/(J$94+J$95+J96))</f>
        <v>178.774</v>
      </c>
      <c r="L114" s="33">
        <v>1787.74</v>
      </c>
      <c r="M114" s="23"/>
      <c r="N114" s="91">
        <f t="shared" si="36"/>
        <v>-8337.26</v>
      </c>
      <c r="O114" s="161">
        <f>Q114/(Q106+Q99)</f>
        <v>0.24241107242494545</v>
      </c>
      <c r="P114" s="88">
        <f t="shared" si="37"/>
        <v>610.24772727272727</v>
      </c>
      <c r="Q114" s="33">
        <v>13425.45</v>
      </c>
      <c r="R114" s="23"/>
      <c r="S114" s="92">
        <f t="shared" si="38"/>
        <v>-11637.710000000001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31"/>
        <v>Véhicules usagésFrais de livraison</v>
      </c>
      <c r="B115" s="11" t="s">
        <v>70</v>
      </c>
      <c r="C115" s="29" t="s">
        <v>32</v>
      </c>
      <c r="D115" s="81"/>
      <c r="E115" s="82">
        <f t="shared" si="35"/>
        <v>85</v>
      </c>
      <c r="F115" s="30">
        <v>2125</v>
      </c>
      <c r="G115" s="83"/>
      <c r="H115" s="82"/>
      <c r="I115" s="30"/>
      <c r="J115" s="41"/>
      <c r="K115" s="82">
        <f>IF($J$97=0,0,L115/(J$94+J$95+J96))</f>
        <v>180.673</v>
      </c>
      <c r="L115" s="108">
        <v>1806.73</v>
      </c>
      <c r="M115" s="41"/>
      <c r="N115" s="59">
        <f t="shared" si="36"/>
        <v>-318.27</v>
      </c>
      <c r="O115" s="41"/>
      <c r="P115" s="82">
        <f t="shared" si="37"/>
        <v>80.948181818181808</v>
      </c>
      <c r="Q115" s="108">
        <v>1780.86</v>
      </c>
      <c r="R115" s="41"/>
      <c r="S115" s="85">
        <f t="shared" si="38"/>
        <v>25.870000000000118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31"/>
        <v>Véhicules usagésService gratuit 1</v>
      </c>
      <c r="B116" s="11" t="s">
        <v>70</v>
      </c>
      <c r="C116" s="29" t="s">
        <v>33</v>
      </c>
      <c r="D116" s="81"/>
      <c r="E116" s="82">
        <f t="shared" si="35"/>
        <v>80</v>
      </c>
      <c r="F116" s="30">
        <v>2000</v>
      </c>
      <c r="G116" s="83"/>
      <c r="H116" s="82"/>
      <c r="I116" s="30"/>
      <c r="J116" s="41"/>
      <c r="K116" s="82">
        <f>IF($J$97=0,0,L116/(J$94+J$95+J96))</f>
        <v>187.90699999999998</v>
      </c>
      <c r="L116" s="33">
        <v>1879.07</v>
      </c>
      <c r="M116" s="41"/>
      <c r="N116" s="59">
        <f t="shared" si="36"/>
        <v>-120.93000000000006</v>
      </c>
      <c r="O116" s="41"/>
      <c r="P116" s="82">
        <f t="shared" si="37"/>
        <v>37.948181818181816</v>
      </c>
      <c r="Q116" s="33">
        <v>834.86</v>
      </c>
      <c r="R116" s="41"/>
      <c r="S116" s="85">
        <f t="shared" si="38"/>
        <v>1044.21</v>
      </c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31"/>
        <v>Véhicules usagésEntretien stock</v>
      </c>
      <c r="B117" s="11" t="s">
        <v>70</v>
      </c>
      <c r="C117" s="86" t="s">
        <v>34</v>
      </c>
      <c r="D117" s="87"/>
      <c r="E117" s="88">
        <f t="shared" si="35"/>
        <v>47</v>
      </c>
      <c r="F117" s="22">
        <v>1175</v>
      </c>
      <c r="G117" s="89"/>
      <c r="H117" s="88"/>
      <c r="I117" s="22"/>
      <c r="J117" s="23"/>
      <c r="K117" s="88">
        <f>IF($J$97=0,0,L117/(J$94+J$95+J96))</f>
        <v>130.68900000000002</v>
      </c>
      <c r="L117" s="48">
        <v>1306.8900000000001</v>
      </c>
      <c r="M117" s="23"/>
      <c r="N117" s="91">
        <f t="shared" si="36"/>
        <v>131.8900000000001</v>
      </c>
      <c r="O117" s="23"/>
      <c r="P117" s="88">
        <f t="shared" si="37"/>
        <v>112.5059090909091</v>
      </c>
      <c r="Q117" s="48">
        <v>2475.13</v>
      </c>
      <c r="R117" s="23"/>
      <c r="S117" s="92">
        <f t="shared" si="38"/>
        <v>-1168.24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31"/>
        <v>Véhicules usagésPublicité 1</v>
      </c>
      <c r="B118" s="11" t="s">
        <v>70</v>
      </c>
      <c r="C118" s="29" t="s">
        <v>35</v>
      </c>
      <c r="D118" s="81"/>
      <c r="E118" s="82">
        <f t="shared" si="35"/>
        <v>26.7</v>
      </c>
      <c r="F118" s="30">
        <v>667.5</v>
      </c>
      <c r="G118" s="83"/>
      <c r="H118" s="82"/>
      <c r="I118" s="30"/>
      <c r="J118" s="41"/>
      <c r="K118" s="82">
        <f>IF($J$97=0,0,L118/(J$94+J$95+J96))</f>
        <v>227.43600000000001</v>
      </c>
      <c r="L118" s="33">
        <v>2274.36</v>
      </c>
      <c r="M118" s="41"/>
      <c r="N118" s="59">
        <f t="shared" si="36"/>
        <v>1606.8600000000001</v>
      </c>
      <c r="O118" s="41"/>
      <c r="P118" s="82">
        <f t="shared" si="37"/>
        <v>225.72954545454547</v>
      </c>
      <c r="Q118" s="33">
        <v>4966.05</v>
      </c>
      <c r="R118" s="41"/>
      <c r="S118" s="85">
        <f t="shared" si="38"/>
        <v>-2691.69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>
      <c r="A119" t="str">
        <f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35"/>
        <v>293.1796052459016</v>
      </c>
      <c r="F119" s="30">
        <v>7329.4901311475405</v>
      </c>
      <c r="G119" s="83"/>
      <c r="H119" s="82"/>
      <c r="I119" s="30"/>
      <c r="J119" s="41"/>
      <c r="K119" s="82">
        <f>IF($J$97=0,0,L119/(J$94+J$95+J96))</f>
        <v>895.99099999999999</v>
      </c>
      <c r="L119" s="33">
        <v>8959.91</v>
      </c>
      <c r="M119" s="41"/>
      <c r="N119" s="59">
        <f t="shared" si="36"/>
        <v>1630.4198688524593</v>
      </c>
      <c r="O119" s="41"/>
      <c r="P119" s="82">
        <f t="shared" si="37"/>
        <v>191.83909090909091</v>
      </c>
      <c r="Q119" s="33">
        <v>4220.46</v>
      </c>
      <c r="R119" s="41"/>
      <c r="S119" s="85">
        <f>L119-Q119</f>
        <v>4739.45</v>
      </c>
      <c r="T119" s="13"/>
      <c r="U119" s="13"/>
      <c r="V119" s="489">
        <v>8960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5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36"/>
        <v>0</v>
      </c>
      <c r="O120" s="41"/>
      <c r="P120" s="82">
        <f t="shared" si="37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5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36"/>
        <v>0</v>
      </c>
      <c r="O121" s="41"/>
      <c r="P121" s="82">
        <f t="shared" si="37"/>
        <v>0</v>
      </c>
      <c r="Q121" s="33"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 hidden="1">
      <c r="A122" t="str">
        <f>+B122&amp;C122</f>
        <v>Véhicules usagés[...]</v>
      </c>
      <c r="B122" s="11" t="s">
        <v>70</v>
      </c>
      <c r="C122" s="29" t="s">
        <v>19</v>
      </c>
      <c r="D122" s="81"/>
      <c r="E122" s="82">
        <f t="shared" si="35"/>
        <v>0</v>
      </c>
      <c r="F122" s="30">
        <v>0</v>
      </c>
      <c r="G122" s="83"/>
      <c r="H122" s="82"/>
      <c r="I122" s="30"/>
      <c r="J122" s="41"/>
      <c r="K122" s="82">
        <f>IF($J$97=0,0,L122/(J$94+J$95))</f>
        <v>0</v>
      </c>
      <c r="L122" s="33">
        <v>0</v>
      </c>
      <c r="M122" s="41"/>
      <c r="N122" s="59">
        <f t="shared" si="36"/>
        <v>0</v>
      </c>
      <c r="O122" s="41"/>
      <c r="P122" s="82">
        <f t="shared" si="37"/>
        <v>0</v>
      </c>
      <c r="Q122" s="33">
        <v>0</v>
      </c>
      <c r="R122" s="41"/>
      <c r="S122" s="85">
        <f t="shared" ref="S122:S127" si="39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ref="A123:A127" si="40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0.39460411639895587</v>
      </c>
      <c r="F123" s="96">
        <f>SUM(F113:F122)</f>
        <v>40560.695451795124</v>
      </c>
      <c r="G123" s="97"/>
      <c r="H123" s="95"/>
      <c r="I123" s="96"/>
      <c r="J123" s="97" t="s">
        <v>38</v>
      </c>
      <c r="K123" s="95">
        <f>L123/L$109</f>
        <v>0.54696890512254637</v>
      </c>
      <c r="L123" s="96">
        <f>SUM(L113:L122)</f>
        <v>28488.23</v>
      </c>
      <c r="M123" s="100"/>
      <c r="N123" s="96">
        <f t="shared" si="36"/>
        <v>-12072.465451795124</v>
      </c>
      <c r="O123" s="97" t="s">
        <v>38</v>
      </c>
      <c r="P123" s="95">
        <f>Q123/Q$109</f>
        <v>0.37693131250783085</v>
      </c>
      <c r="Q123" s="96">
        <f>SUM(Q113:Q122)</f>
        <v>42392.3</v>
      </c>
      <c r="R123" s="100"/>
      <c r="S123" s="101">
        <f t="shared" si="39"/>
        <v>-13904.070000000003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cadres</v>
      </c>
      <c r="B124" s="11" t="s">
        <v>70</v>
      </c>
      <c r="C124" s="102" t="s">
        <v>40</v>
      </c>
      <c r="D124" s="13"/>
      <c r="E124" s="13"/>
      <c r="F124" s="30">
        <v>6860.9837164750952</v>
      </c>
      <c r="G124" s="41"/>
      <c r="H124" s="13"/>
      <c r="I124" s="30"/>
      <c r="J124" s="41"/>
      <c r="K124" s="13"/>
      <c r="L124" s="33">
        <v>3522.69</v>
      </c>
      <c r="M124" s="41"/>
      <c r="N124" s="59">
        <f t="shared" si="36"/>
        <v>-3338.2937164750952</v>
      </c>
      <c r="O124" s="41"/>
      <c r="P124" s="13"/>
      <c r="Q124" s="33">
        <v>4324.1899999999996</v>
      </c>
      <c r="R124" s="41"/>
      <c r="S124" s="85">
        <f t="shared" si="39"/>
        <v>-801.49999999999955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commis</v>
      </c>
      <c r="B125" s="11" t="s">
        <v>70</v>
      </c>
      <c r="C125" s="103" t="s">
        <v>41</v>
      </c>
      <c r="D125" s="81"/>
      <c r="E125" s="13"/>
      <c r="F125" s="22">
        <v>1970.7279272030648</v>
      </c>
      <c r="G125" s="83"/>
      <c r="H125" s="13"/>
      <c r="I125" s="22"/>
      <c r="J125" s="41"/>
      <c r="K125" s="13"/>
      <c r="L125" s="22">
        <v>1457.44</v>
      </c>
      <c r="M125" s="41"/>
      <c r="N125" s="59">
        <f t="shared" si="36"/>
        <v>-513.28792720306478</v>
      </c>
      <c r="O125" s="41"/>
      <c r="P125" s="13"/>
      <c r="Q125" s="22">
        <v>2814.78</v>
      </c>
      <c r="R125" s="41"/>
      <c r="S125" s="85">
        <f t="shared" si="39"/>
        <v>-1357.3400000000001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6"/>
        <v>0</v>
      </c>
      <c r="O126" s="107"/>
      <c r="P126" s="105"/>
      <c r="Q126" s="33">
        <v>2809</v>
      </c>
      <c r="R126" s="107"/>
      <c r="S126" s="110">
        <f t="shared" si="39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40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6"/>
        <v>0</v>
      </c>
      <c r="O127" s="41"/>
      <c r="P127" s="13"/>
      <c r="Q127" s="33">
        <v>0</v>
      </c>
      <c r="R127" s="41"/>
      <c r="S127" s="85">
        <f t="shared" si="39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6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6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 hidden="1">
      <c r="A130" t="str">
        <f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6"/>
        <v>0</v>
      </c>
      <c r="O130" s="41"/>
      <c r="P130" s="13"/>
      <c r="Q130" s="33"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ref="A131:A149" si="41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4931.8961308628732</v>
      </c>
      <c r="G131" s="83"/>
      <c r="H131" s="13"/>
      <c r="I131" s="30"/>
      <c r="J131" s="41"/>
      <c r="K131" s="13"/>
      <c r="L131" s="33">
        <v>3370.7</v>
      </c>
      <c r="M131" s="41"/>
      <c r="N131" s="59">
        <f t="shared" si="36"/>
        <v>-1561.1961308628734</v>
      </c>
      <c r="O131" s="41"/>
      <c r="P131" s="13"/>
      <c r="Q131" s="33">
        <v>4280.1400000000003</v>
      </c>
      <c r="R131" s="41"/>
      <c r="S131" s="85">
        <f>L131-Q131</f>
        <v>-909.44000000000051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5215.4631867357002</v>
      </c>
      <c r="G132" s="106"/>
      <c r="H132" s="105"/>
      <c r="I132" s="54"/>
      <c r="J132" s="107"/>
      <c r="K132" s="105"/>
      <c r="L132" s="55">
        <v>4149.0600000000004</v>
      </c>
      <c r="M132" s="107"/>
      <c r="N132" s="109">
        <f t="shared" si="36"/>
        <v>-1066.4031867356998</v>
      </c>
      <c r="O132" s="107"/>
      <c r="P132" s="105"/>
      <c r="Q132" s="55">
        <v>4660.29</v>
      </c>
      <c r="R132" s="107"/>
      <c r="S132" s="110">
        <f t="shared" ref="S132:S149" si="42">L132-Q132</f>
        <v>-511.22999999999956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3380.3928062175828</v>
      </c>
      <c r="G133" s="83"/>
      <c r="H133" s="13"/>
      <c r="I133" s="30"/>
      <c r="J133" s="41"/>
      <c r="K133" s="13"/>
      <c r="L133" s="33">
        <v>1708.09</v>
      </c>
      <c r="M133" s="41"/>
      <c r="N133" s="59">
        <f t="shared" si="36"/>
        <v>-1672.3028062175829</v>
      </c>
      <c r="O133" s="41"/>
      <c r="P133" s="13"/>
      <c r="Q133" s="33">
        <v>2248.29</v>
      </c>
      <c r="R133" s="41"/>
      <c r="S133" s="85">
        <f t="shared" si="42"/>
        <v>-540.20000000000005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>
      <c r="A134" t="str">
        <f t="shared" si="41"/>
        <v>Véhicules usagésCsst</v>
      </c>
      <c r="B134" s="11" t="s">
        <v>70</v>
      </c>
      <c r="C134" s="102" t="s">
        <v>47</v>
      </c>
      <c r="D134" s="81"/>
      <c r="E134" s="13"/>
      <c r="F134" s="30">
        <v>946.5099857409233</v>
      </c>
      <c r="G134" s="83"/>
      <c r="H134" s="13"/>
      <c r="I134" s="30"/>
      <c r="J134" s="41"/>
      <c r="K134" s="13"/>
      <c r="L134" s="33">
        <v>513.88</v>
      </c>
      <c r="M134" s="41"/>
      <c r="N134" s="59">
        <f t="shared" si="36"/>
        <v>-432.6299857409233</v>
      </c>
      <c r="O134" s="41"/>
      <c r="P134" s="13"/>
      <c r="Q134" s="33">
        <v>798.12</v>
      </c>
      <c r="R134" s="41"/>
      <c r="S134" s="85">
        <f t="shared" si="42"/>
        <v>-284.24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 hidden="1">
      <c r="A135" t="str">
        <f t="shared" si="41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6"/>
        <v>0</v>
      </c>
      <c r="O135" s="23"/>
      <c r="P135" s="111"/>
      <c r="Q135" s="33">
        <v>0</v>
      </c>
      <c r="R135" s="23"/>
      <c r="S135" s="92">
        <f t="shared" si="4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0.22673756150563307</v>
      </c>
      <c r="F136" s="96">
        <f>+SUM(F124:F135)</f>
        <v>23305.973753235237</v>
      </c>
      <c r="G136" s="97"/>
      <c r="H136" s="95"/>
      <c r="I136" s="96"/>
      <c r="J136" s="97" t="s">
        <v>38</v>
      </c>
      <c r="K136" s="95">
        <f>L136/L$109</f>
        <v>0.28265707085232777</v>
      </c>
      <c r="L136" s="96">
        <f>SUM(L124:L135)</f>
        <v>14721.859999999999</v>
      </c>
      <c r="M136" s="458"/>
      <c r="N136" s="459">
        <f t="shared" si="36"/>
        <v>-8584.1137532352386</v>
      </c>
      <c r="O136" s="97" t="s">
        <v>38</v>
      </c>
      <c r="P136" s="95">
        <f>Q136/Q$109</f>
        <v>0.19503345472904024</v>
      </c>
      <c r="Q136" s="96">
        <f>+SUM(Q124:Q135)</f>
        <v>21934.81</v>
      </c>
      <c r="R136" s="146"/>
      <c r="S136" s="114">
        <f t="shared" si="42"/>
        <v>-7212.9500000000025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6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 hidden="1">
      <c r="A138" t="str">
        <f t="shared" si="41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6"/>
        <v>0</v>
      </c>
      <c r="O138" s="41"/>
      <c r="P138" s="13"/>
      <c r="Q138" s="33">
        <v>0</v>
      </c>
      <c r="R138" s="41"/>
      <c r="S138" s="85">
        <f t="shared" si="4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433.49</v>
      </c>
      <c r="M139" s="23"/>
      <c r="N139" s="91">
        <f t="shared" si="36"/>
        <v>-330.09333333333336</v>
      </c>
      <c r="O139" s="23"/>
      <c r="P139" s="111"/>
      <c r="Q139" s="22">
        <v>667.7</v>
      </c>
      <c r="R139" s="23"/>
      <c r="S139" s="92">
        <f t="shared" si="42"/>
        <v>-234.21000000000004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4036.72</v>
      </c>
      <c r="M140" s="41"/>
      <c r="N140" s="59">
        <f t="shared" si="36"/>
        <v>-47.795000000000073</v>
      </c>
      <c r="O140" s="41"/>
      <c r="P140" s="13"/>
      <c r="Q140" s="33">
        <v>1412</v>
      </c>
      <c r="R140" s="41"/>
      <c r="S140" s="85">
        <f t="shared" si="42"/>
        <v>2624.72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698.73</v>
      </c>
      <c r="M141" s="41"/>
      <c r="N141" s="59">
        <f t="shared" si="36"/>
        <v>199.98000000000002</v>
      </c>
      <c r="O141" s="41"/>
      <c r="P141" s="13"/>
      <c r="Q141" s="33">
        <v>247</v>
      </c>
      <c r="R141" s="41"/>
      <c r="S141" s="85">
        <f t="shared" si="42"/>
        <v>451.73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3276.52</v>
      </c>
      <c r="M142" s="23"/>
      <c r="N142" s="91">
        <f t="shared" si="36"/>
        <v>378.62966666666671</v>
      </c>
      <c r="O142" s="23"/>
      <c r="P142" s="111"/>
      <c r="Q142" s="22">
        <v>1032.31</v>
      </c>
      <c r="R142" s="23"/>
      <c r="S142" s="92">
        <f t="shared" si="42"/>
        <v>2244.21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149.46</v>
      </c>
      <c r="M143" s="41"/>
      <c r="N143" s="59">
        <f t="shared" si="36"/>
        <v>135.71</v>
      </c>
      <c r="O143" s="41"/>
      <c r="P143" s="13"/>
      <c r="Q143" s="33">
        <v>0</v>
      </c>
      <c r="R143" s="41"/>
      <c r="S143" s="85">
        <f t="shared" si="42"/>
        <v>149.46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0</v>
      </c>
      <c r="M144" s="41"/>
      <c r="N144" s="59">
        <f t="shared" si="36"/>
        <v>-7.5</v>
      </c>
      <c r="O144" s="41"/>
      <c r="P144" s="13"/>
      <c r="Q144" s="33">
        <v>66</v>
      </c>
      <c r="R144" s="41"/>
      <c r="S144" s="85">
        <f t="shared" si="42"/>
        <v>-66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438.13</v>
      </c>
      <c r="M145" s="41"/>
      <c r="N145" s="59">
        <f t="shared" si="36"/>
        <v>220.63</v>
      </c>
      <c r="O145" s="41"/>
      <c r="P145" s="13"/>
      <c r="Q145" s="32">
        <v>159.87</v>
      </c>
      <c r="R145" s="41"/>
      <c r="S145" s="85">
        <f t="shared" si="42"/>
        <v>278.26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204.53</v>
      </c>
      <c r="M146" s="41"/>
      <c r="N146" s="59">
        <f t="shared" si="36"/>
        <v>141.18</v>
      </c>
      <c r="O146" s="41"/>
      <c r="P146" s="13"/>
      <c r="Q146" s="33">
        <v>60.38</v>
      </c>
      <c r="R146" s="41"/>
      <c r="S146" s="85">
        <f t="shared" si="42"/>
        <v>144.15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127.52</v>
      </c>
      <c r="M147" s="41"/>
      <c r="N147" s="59">
        <f t="shared" si="36"/>
        <v>42.52000000000001</v>
      </c>
      <c r="O147" s="41"/>
      <c r="P147" s="13"/>
      <c r="Q147" s="33">
        <v>49.5</v>
      </c>
      <c r="R147" s="41"/>
      <c r="S147" s="85">
        <f t="shared" si="42"/>
        <v>78.02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352.41</v>
      </c>
      <c r="M148" s="41"/>
      <c r="N148" s="59">
        <f t="shared" si="36"/>
        <v>113.4933333333334</v>
      </c>
      <c r="O148" s="41"/>
      <c r="P148" s="13"/>
      <c r="Q148" s="33">
        <v>151.6</v>
      </c>
      <c r="R148" s="41"/>
      <c r="S148" s="85">
        <f t="shared" si="42"/>
        <v>200.81000000000003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41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-33.880000000000003</v>
      </c>
      <c r="M149" s="41"/>
      <c r="N149" s="59">
        <f t="shared" si="36"/>
        <v>-148.22800000000004</v>
      </c>
      <c r="O149" s="41"/>
      <c r="P149" s="13"/>
      <c r="Q149" s="33">
        <v>121.83</v>
      </c>
      <c r="R149" s="41"/>
      <c r="S149" s="85">
        <f t="shared" si="42"/>
        <v>-155.71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>
      <c r="A150" t="str">
        <f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v>1610.4954667040513</v>
      </c>
      <c r="G150" s="83"/>
      <c r="H150" s="13"/>
      <c r="I150" s="30"/>
      <c r="J150" s="41"/>
      <c r="K150" s="13"/>
      <c r="L150" s="33">
        <v>1382.11</v>
      </c>
      <c r="M150" s="41"/>
      <c r="N150" s="59">
        <f t="shared" si="36"/>
        <v>-228.3854667040514</v>
      </c>
      <c r="O150" s="41"/>
      <c r="P150" s="13"/>
      <c r="Q150" s="33">
        <v>994.64</v>
      </c>
      <c r="R150" s="41"/>
      <c r="S150" s="85">
        <f>L150-Q150</f>
        <v>387.46999999999991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6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6"/>
        <v>0</v>
      </c>
      <c r="O152" s="41"/>
      <c r="P152" s="13"/>
      <c r="Q152" s="33"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 hidden="1">
      <c r="A153" t="str">
        <f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6"/>
        <v>0</v>
      </c>
      <c r="O153" s="41"/>
      <c r="P153" s="13"/>
      <c r="Q153" s="33"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ref="A154:A159" si="43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0.10308173604112955</v>
      </c>
      <c r="F154" s="96">
        <f>+SUM(F137:F153)</f>
        <v>10595.598800037384</v>
      </c>
      <c r="G154" s="97"/>
      <c r="H154" s="95"/>
      <c r="I154" s="96"/>
      <c r="J154" s="97" t="s">
        <v>38</v>
      </c>
      <c r="K154" s="95">
        <f>L154/L$109</f>
        <v>0.21246022277167684</v>
      </c>
      <c r="L154" s="96">
        <f>+SUM(L137:L153)</f>
        <v>11065.740000000002</v>
      </c>
      <c r="M154" s="100"/>
      <c r="N154" s="96">
        <f t="shared" si="36"/>
        <v>470.14119996261797</v>
      </c>
      <c r="O154" s="97" t="s">
        <v>38</v>
      </c>
      <c r="P154" s="95">
        <f>Q154/Q$109</f>
        <v>4.4127023673007547E-2</v>
      </c>
      <c r="Q154" s="96">
        <f>+SUM(Q137:Q153)</f>
        <v>4962.83</v>
      </c>
      <c r="R154" s="100"/>
      <c r="S154" s="101">
        <f>L154-Q154</f>
        <v>6102.9100000000017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0.72442341394571841</v>
      </c>
      <c r="F156" s="96">
        <f>F123+F136+F154</f>
        <v>74462.268005067745</v>
      </c>
      <c r="G156" s="97"/>
      <c r="H156" s="95"/>
      <c r="I156" s="96"/>
      <c r="J156" s="97" t="s">
        <v>38</v>
      </c>
      <c r="K156" s="95">
        <f>L156/L$109</f>
        <v>1.0420861987465511</v>
      </c>
      <c r="L156" s="96">
        <f>L123+L136+L154</f>
        <v>54275.83</v>
      </c>
      <c r="M156" s="100"/>
      <c r="N156" s="113">
        <f t="shared" ref="N156:N163" si="44">L156-F156</f>
        <v>-20186.438005067743</v>
      </c>
      <c r="O156" s="97" t="s">
        <v>38</v>
      </c>
      <c r="P156" s="95">
        <f>Q156/Q$109</f>
        <v>0.61609179090987864</v>
      </c>
      <c r="Q156" s="96">
        <f>Q123+Q136+Q154</f>
        <v>69289.94</v>
      </c>
      <c r="R156" s="100"/>
      <c r="S156" s="114">
        <f t="shared" ref="S156:S163" si="45">L156-Q156</f>
        <v>-15014.11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usagésRBSC used</v>
      </c>
      <c r="B157" s="11" t="s">
        <v>70</v>
      </c>
      <c r="C157" s="29" t="s">
        <v>217</v>
      </c>
      <c r="D157" s="148"/>
      <c r="E157" s="149"/>
      <c r="F157" s="30">
        <v>5625</v>
      </c>
      <c r="G157" s="150"/>
      <c r="H157" s="149"/>
      <c r="I157" s="30"/>
      <c r="J157" s="150"/>
      <c r="K157" s="149"/>
      <c r="L157" s="32">
        <v>0</v>
      </c>
      <c r="M157" s="41"/>
      <c r="N157" s="59">
        <f t="shared" si="44"/>
        <v>-5625</v>
      </c>
      <c r="O157" s="150"/>
      <c r="P157" s="149"/>
      <c r="Q157" s="33">
        <v>3000</v>
      </c>
      <c r="R157" s="41"/>
      <c r="S157" s="85">
        <f t="shared" si="45"/>
        <v>-3000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13900</v>
      </c>
      <c r="M158" s="41"/>
      <c r="N158" s="59">
        <f t="shared" si="44"/>
        <v>13900</v>
      </c>
      <c r="O158" s="150"/>
      <c r="P158" s="149"/>
      <c r="Q158" s="33">
        <v>-2050</v>
      </c>
      <c r="R158" s="41"/>
      <c r="S158" s="85">
        <f t="shared" si="45"/>
        <v>15950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 hidden="1">
      <c r="A159" t="str">
        <f t="shared" si="43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4"/>
        <v>0</v>
      </c>
      <c r="O159" s="41"/>
      <c r="P159" s="13"/>
      <c r="Q159" s="33">
        <v>0</v>
      </c>
      <c r="R159" s="41"/>
      <c r="S159" s="85">
        <f t="shared" si="45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A163" t="str">
        <f>+B163&amp;C163</f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12643.75</v>
      </c>
      <c r="G163" s="83"/>
      <c r="H163" s="13"/>
      <c r="I163" s="30"/>
      <c r="J163" s="41"/>
      <c r="K163" s="13"/>
      <c r="L163" s="32">
        <v>5355</v>
      </c>
      <c r="M163" s="41"/>
      <c r="N163" s="59">
        <f t="shared" si="44"/>
        <v>-7288.75</v>
      </c>
      <c r="O163" s="41"/>
      <c r="P163" s="13"/>
      <c r="Q163" s="33">
        <v>12495</v>
      </c>
      <c r="R163" s="41"/>
      <c r="S163" s="85">
        <f t="shared" si="45"/>
        <v>-7140</v>
      </c>
      <c r="T163" s="112"/>
      <c r="U163" s="13"/>
      <c r="V163" s="489">
        <f>L163/595</f>
        <v>9</v>
      </c>
      <c r="W163" s="483">
        <f>V163/J97</f>
        <v>0.9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93" t="s">
        <v>68</v>
      </c>
      <c r="D164" s="94"/>
      <c r="E164" s="95"/>
      <c r="F164" s="96">
        <f>+SUM(F157:F163)</f>
        <v>18268.75</v>
      </c>
      <c r="G164" s="97"/>
      <c r="H164" s="95"/>
      <c r="I164" s="96"/>
      <c r="J164" s="97"/>
      <c r="K164" s="95"/>
      <c r="L164" s="96">
        <f>+SUM(L157:L163)</f>
        <v>19255</v>
      </c>
      <c r="M164" s="100"/>
      <c r="N164" s="96">
        <f>SUM(N157:N160)</f>
        <v>8275</v>
      </c>
      <c r="O164" s="97"/>
      <c r="P164" s="95"/>
      <c r="Q164" s="96">
        <f>+SUM(Q157:Q163)</f>
        <v>13445</v>
      </c>
      <c r="R164" s="100"/>
      <c r="S164" s="101">
        <f>+SUM(S157:S163)</f>
        <v>5810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0.25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Bot="1">
      <c r="B166" s="11"/>
      <c r="C166" s="124" t="s">
        <v>69</v>
      </c>
      <c r="D166" s="151"/>
      <c r="E166" s="125"/>
      <c r="F166" s="127">
        <f>F109-F156+F164</f>
        <v>46594.805193231383</v>
      </c>
      <c r="G166" s="152"/>
      <c r="H166" s="125"/>
      <c r="I166" s="127"/>
      <c r="J166" s="153"/>
      <c r="K166" s="126"/>
      <c r="L166" s="127">
        <f>L109-L156+L164</f>
        <v>17062.990000000391</v>
      </c>
      <c r="M166" s="153"/>
      <c r="N166" s="127">
        <f>L166-F166</f>
        <v>-29531.815193230992</v>
      </c>
      <c r="O166" s="153"/>
      <c r="P166" s="126"/>
      <c r="Q166" s="127">
        <f>Q109-Q156+Q164</f>
        <v>56621.969999999783</v>
      </c>
      <c r="R166" s="153"/>
      <c r="S166" s="129">
        <f>L166-Q166</f>
        <v>-39558.979999999392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25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25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Avril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" thickTop="1">
      <c r="B171" s="11"/>
      <c r="C171" s="12"/>
      <c r="D171" s="510" t="s">
        <v>5</v>
      </c>
      <c r="E171" s="511"/>
      <c r="F171" s="512"/>
      <c r="G171" s="513"/>
      <c r="H171" s="511"/>
      <c r="I171" s="512"/>
      <c r="J171" s="513" t="s">
        <v>7</v>
      </c>
      <c r="K171" s="511"/>
      <c r="L171" s="512"/>
      <c r="M171" s="513" t="s">
        <v>212</v>
      </c>
      <c r="N171" s="512"/>
      <c r="O171" s="510" t="s">
        <v>8</v>
      </c>
      <c r="P171" s="511"/>
      <c r="Q171" s="512"/>
      <c r="R171" s="508" t="s">
        <v>213</v>
      </c>
      <c r="S171" s="509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25">
      <c r="A172" t="str">
        <f t="shared" ref="A172:A217" si="46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ServiceM/O Client</v>
      </c>
      <c r="B173" s="11" t="s">
        <v>78</v>
      </c>
      <c r="C173" s="29" t="s">
        <v>81</v>
      </c>
      <c r="D173" s="485">
        <v>341.19231900854373</v>
      </c>
      <c r="E173" s="82">
        <v>121123.27324803303</v>
      </c>
      <c r="F173" s="82">
        <v>95687.385865946097</v>
      </c>
      <c r="G173" s="155"/>
      <c r="H173" s="82"/>
      <c r="I173" s="82"/>
      <c r="J173" s="60">
        <v>446</v>
      </c>
      <c r="K173" s="30">
        <v>126928.14</v>
      </c>
      <c r="L173" s="33">
        <v>99738.8</v>
      </c>
      <c r="M173" s="156">
        <f>(K173-E173)/E173</f>
        <v>4.7925279727867962E-2</v>
      </c>
      <c r="N173" s="59">
        <f>L173-F173</f>
        <v>4051.4141340539063</v>
      </c>
      <c r="O173" s="60">
        <v>399</v>
      </c>
      <c r="P173" s="30">
        <v>116282.79</v>
      </c>
      <c r="Q173" s="33">
        <v>92508.09</v>
      </c>
      <c r="R173" s="156">
        <f>IF(O173=0,0,J173/O173)</f>
        <v>1.1177944862155389</v>
      </c>
      <c r="S173" s="85">
        <f>L173-Q173</f>
        <v>7230.7100000000064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0.78578950262723457</v>
      </c>
      <c r="M174" s="156"/>
      <c r="N174" s="59"/>
      <c r="O174" s="60"/>
      <c r="P174" s="13"/>
      <c r="Q174" s="157">
        <f>Q173/P173</f>
        <v>0.7955441213613812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</v>
      </c>
      <c r="B175" s="11" t="s">
        <v>78</v>
      </c>
      <c r="C175" s="86"/>
      <c r="D175" s="486"/>
      <c r="E175" s="158">
        <f>IFERROR(E173/D173,0)</f>
        <v>355</v>
      </c>
      <c r="F175" s="159"/>
      <c r="G175" s="23"/>
      <c r="H175" s="158"/>
      <c r="I175" s="159"/>
      <c r="J175" s="160"/>
      <c r="K175" s="460">
        <f>IFERROR(K173/J173,0)</f>
        <v>284.59224215246638</v>
      </c>
      <c r="L175" s="159"/>
      <c r="M175" s="161"/>
      <c r="N175" s="91"/>
      <c r="O175" s="160"/>
      <c r="P175" s="460">
        <f>IFERROR(P173/O173,0)</f>
        <v>291.43556390977443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ServiceM/O Garantie</v>
      </c>
      <c r="B176" s="11" t="s">
        <v>78</v>
      </c>
      <c r="C176" s="14" t="s">
        <v>83</v>
      </c>
      <c r="D176" s="487">
        <v>132.18758015874224</v>
      </c>
      <c r="E176" s="82">
        <v>25115.640230161021</v>
      </c>
      <c r="F176" s="82">
        <v>16676.785112826918</v>
      </c>
      <c r="G176" s="163"/>
      <c r="H176" s="82"/>
      <c r="I176" s="82"/>
      <c r="J176" s="163">
        <v>215</v>
      </c>
      <c r="K176" s="164">
        <v>33029.620000000003</v>
      </c>
      <c r="L176" s="33">
        <v>20134.96</v>
      </c>
      <c r="M176" s="156">
        <f>(K176-E176)/E176</f>
        <v>0.31510165368331694</v>
      </c>
      <c r="N176" s="109">
        <f>L176-F176</f>
        <v>3458.1748871730815</v>
      </c>
      <c r="O176" s="163">
        <v>134</v>
      </c>
      <c r="P176" s="164">
        <v>22562.369999999901</v>
      </c>
      <c r="Q176" s="33">
        <v>15261.7699999999</v>
      </c>
      <c r="R176" s="156">
        <f>IF(O176=0,0,J176/O176)</f>
        <v>1.6044776119402986</v>
      </c>
      <c r="S176" s="85">
        <f>L176-Q176</f>
        <v>4873.1900000000987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0.66399999999999992</v>
      </c>
      <c r="G177" s="41"/>
      <c r="H177" s="13"/>
      <c r="I177" s="157"/>
      <c r="J177" s="41"/>
      <c r="K177" s="13"/>
      <c r="L177" s="157">
        <f>IF(L176=0,0,L176/K176)</f>
        <v>0.6096031380318635</v>
      </c>
      <c r="M177" s="42"/>
      <c r="N177" s="43"/>
      <c r="O177" s="41"/>
      <c r="P177" s="13"/>
      <c r="Q177" s="157">
        <f>Q176/P176</f>
        <v>0.67642583647019205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168.37589552238731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ServiceM/O Interne</v>
      </c>
      <c r="B179" s="11" t="s">
        <v>78</v>
      </c>
      <c r="C179" s="29" t="s">
        <v>84</v>
      </c>
      <c r="D179" s="485">
        <v>228.75</v>
      </c>
      <c r="E179" s="82">
        <v>91500</v>
      </c>
      <c r="F179" s="82">
        <v>68899.5</v>
      </c>
      <c r="G179" s="41"/>
      <c r="H179" s="82"/>
      <c r="I179" s="82"/>
      <c r="J179" s="60">
        <v>111</v>
      </c>
      <c r="K179" s="164">
        <v>41625.480000000003</v>
      </c>
      <c r="L179" s="33">
        <v>31543.460000000003</v>
      </c>
      <c r="M179" s="156">
        <f>(K179-E179)/E179</f>
        <v>-0.54507672131147533</v>
      </c>
      <c r="N179" s="59">
        <f>L179-F179</f>
        <v>-37356.039999999994</v>
      </c>
      <c r="O179" s="60">
        <v>115</v>
      </c>
      <c r="P179" s="164">
        <v>42655.229999999901</v>
      </c>
      <c r="Q179" s="33">
        <v>32705.46</v>
      </c>
      <c r="R179" s="156">
        <f>IF(O179=0,0,J179/O179)</f>
        <v>0.9652173913043478</v>
      </c>
      <c r="S179" s="85">
        <f>L179-Q179</f>
        <v>-1161.9999999999964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0.75779210233731842</v>
      </c>
      <c r="M180" s="156"/>
      <c r="N180" s="59">
        <f>L180-F180</f>
        <v>4.7921023373184157E-3</v>
      </c>
      <c r="O180" s="60"/>
      <c r="P180" s="143"/>
      <c r="Q180" s="157">
        <f>Q179/P179</f>
        <v>0.76673974094149944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370.91504347826003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ServiceM/O Esthétique</v>
      </c>
      <c r="B182" s="11" t="s">
        <v>78</v>
      </c>
      <c r="C182" s="14" t="s">
        <v>85</v>
      </c>
      <c r="D182" s="487">
        <v>142.88902874757514</v>
      </c>
      <c r="E182" s="82">
        <v>39294.482905583158</v>
      </c>
      <c r="F182" s="82">
        <v>28134.849760397541</v>
      </c>
      <c r="G182" s="107"/>
      <c r="H182" s="82"/>
      <c r="I182" s="82"/>
      <c r="J182" s="163">
        <v>116</v>
      </c>
      <c r="K182" s="164">
        <v>27371.16</v>
      </c>
      <c r="L182" s="108">
        <v>19373.93</v>
      </c>
      <c r="M182" s="172">
        <f>IF(E182=0,0,(K182-E182)/E182)</f>
        <v>-0.30343503779481046</v>
      </c>
      <c r="N182" s="109">
        <f>L182-F182</f>
        <v>-8760.9197603975408</v>
      </c>
      <c r="O182" s="163">
        <v>101</v>
      </c>
      <c r="P182" s="164">
        <v>20603.629999999899</v>
      </c>
      <c r="Q182" s="108">
        <v>14990.73</v>
      </c>
      <c r="R182" s="156">
        <f>IF(O182=0,0,J182/O182)</f>
        <v>1.1485148514851484</v>
      </c>
      <c r="S182" s="110">
        <f>L182-Q182</f>
        <v>4383.2000000000007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/>
      <c r="J183" s="174"/>
      <c r="K183" s="173"/>
      <c r="L183" s="157">
        <f>IF(L182=0,0,L182/K182)</f>
        <v>0.70782275942999862</v>
      </c>
      <c r="M183" s="60">
        <f>J183-D183</f>
        <v>0</v>
      </c>
      <c r="N183" s="175"/>
      <c r="O183" s="174"/>
      <c r="P183" s="173"/>
      <c r="Q183" s="157">
        <f>IFERROR(Q182/P182,0)</f>
        <v>0.7275771308259793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0.25">
      <c r="A184" t="str">
        <f t="shared" si="46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203.99633663366237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Bot="1">
      <c r="A185" t="str">
        <f t="shared" si="46"/>
        <v>ServiceAjustement M/O</v>
      </c>
      <c r="B185" s="11" t="s">
        <v>78</v>
      </c>
      <c r="C185" s="29" t="s">
        <v>86</v>
      </c>
      <c r="D185" s="13"/>
      <c r="E185" s="13"/>
      <c r="F185" s="59">
        <v>-3832.736398958009</v>
      </c>
      <c r="G185" s="41"/>
      <c r="H185" s="82"/>
      <c r="I185" s="82"/>
      <c r="J185" s="60"/>
      <c r="K185" s="82"/>
      <c r="L185" s="82">
        <v>-808.08</v>
      </c>
      <c r="M185" s="174"/>
      <c r="N185" s="59">
        <f>L185-F185</f>
        <v>3024.656398958009</v>
      </c>
      <c r="O185" s="60"/>
      <c r="P185" s="82"/>
      <c r="Q185" s="82">
        <v>-2018.56</v>
      </c>
      <c r="R185" s="183"/>
      <c r="S185" s="85">
        <f>L185-Q185</f>
        <v>1210.48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 thickTop="1">
      <c r="A186" t="str">
        <f t="shared" si="46"/>
        <v>ServiceSous-total M/O</v>
      </c>
      <c r="B186" s="11" t="s">
        <v>78</v>
      </c>
      <c r="C186" s="184" t="s">
        <v>87</v>
      </c>
      <c r="D186" s="185">
        <f>D173+D176+D179+D182+D185</f>
        <v>845.01892791486114</v>
      </c>
      <c r="E186" s="185">
        <f>E173+E176+E179+E182+E185</f>
        <v>277033.3963837772</v>
      </c>
      <c r="F186" s="186">
        <f>F173+F176+F179+F182+F185</f>
        <v>205565.78434021253</v>
      </c>
      <c r="G186" s="187"/>
      <c r="H186" s="185"/>
      <c r="I186" s="186"/>
      <c r="J186" s="187">
        <f>J173+J176+J179+J182+J185</f>
        <v>888</v>
      </c>
      <c r="K186" s="185">
        <f>K173+K176+K179+K182+K185</f>
        <v>228954.40000000002</v>
      </c>
      <c r="L186" s="186">
        <f>L173+L176+L179+L182+L185</f>
        <v>169983.07</v>
      </c>
      <c r="M186" s="188">
        <f>(K186-E186)/E186</f>
        <v>-0.17354946014224529</v>
      </c>
      <c r="N186" s="186">
        <f>L186-F186</f>
        <v>-35582.714340212522</v>
      </c>
      <c r="O186" s="187">
        <f t="shared" ref="O186:Q186" si="47">O173+O176+O179+O182+O185</f>
        <v>749</v>
      </c>
      <c r="P186" s="185">
        <f t="shared" si="47"/>
        <v>202104.01999999967</v>
      </c>
      <c r="Q186" s="186">
        <f t="shared" si="47"/>
        <v>153447.4899999999</v>
      </c>
      <c r="R186" s="42">
        <f>IF(O186=0,0,J186/O186)</f>
        <v>1.1855807743658211</v>
      </c>
      <c r="S186" s="189">
        <f>L186-Q186</f>
        <v>16535.580000000104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0.74202528295700543</v>
      </c>
      <c r="G187" s="193"/>
      <c r="H187" s="191"/>
      <c r="I187" s="43"/>
      <c r="J187" s="193"/>
      <c r="K187" s="440">
        <f>IF(J186=0,0,K186/J186)</f>
        <v>257.83153153153154</v>
      </c>
      <c r="L187" s="43">
        <f>IF(L186=0,0,L186/K186)</f>
        <v>0.74243198645669173</v>
      </c>
      <c r="M187" s="193"/>
      <c r="N187" s="192">
        <f>N186/F186</f>
        <v>-0.173096483222728</v>
      </c>
      <c r="O187" s="193"/>
      <c r="P187" s="440">
        <f>IF(O186=0,0,P186/O186)</f>
        <v>269.83180240320382</v>
      </c>
      <c r="Q187" s="43">
        <f>Q186/P186</f>
        <v>0.75925006340794288</v>
      </c>
      <c r="R187" s="193"/>
      <c r="S187" s="44">
        <f>IF(R186=0,0,S186/R186)</f>
        <v>13947.240337837926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ServiceSous-traitement</v>
      </c>
      <c r="B189" s="11" t="s">
        <v>78</v>
      </c>
      <c r="C189" s="29" t="s">
        <v>89</v>
      </c>
      <c r="D189" s="82"/>
      <c r="E189" s="82">
        <v>5332.2379904633999</v>
      </c>
      <c r="F189" s="82">
        <v>799.83569856950999</v>
      </c>
      <c r="G189" s="60"/>
      <c r="H189" s="82"/>
      <c r="I189" s="82"/>
      <c r="J189" s="60"/>
      <c r="K189" s="30">
        <v>10086.720000000001</v>
      </c>
      <c r="L189" s="33">
        <v>585.51000000000022</v>
      </c>
      <c r="M189" s="84">
        <f>IF(E189=0,0,(K189-E189)/E189)</f>
        <v>0.89164850069331048</v>
      </c>
      <c r="N189" s="59">
        <f>L189-F189</f>
        <v>-214.32569856950977</v>
      </c>
      <c r="O189" s="60"/>
      <c r="P189" s="30">
        <v>7292.78</v>
      </c>
      <c r="Q189" s="33">
        <v>1083.05</v>
      </c>
      <c r="R189" s="156">
        <f>IF(O189=0,0,J189/O189)</f>
        <v>0</v>
      </c>
      <c r="S189" s="85">
        <f>L189-Q189</f>
        <v>-497.53999999999974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5.8047611116398605E-2</v>
      </c>
      <c r="M190" s="174"/>
      <c r="N190" s="175"/>
      <c r="O190" s="174"/>
      <c r="P190" s="173"/>
      <c r="Q190" s="157">
        <f>IFERROR(Q189/P189,0)</f>
        <v>0.14850989608900858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0.25" hidden="1">
      <c r="A193" t="str">
        <f t="shared" si="46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Bot="1">
      <c r="A194" t="str">
        <f t="shared" si="46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Top="1">
      <c r="A195" t="str">
        <f t="shared" si="46"/>
        <v>ServiceTotal Mécanique</v>
      </c>
      <c r="B195" s="11" t="s">
        <v>78</v>
      </c>
      <c r="C195" s="62" t="s">
        <v>91</v>
      </c>
      <c r="D195" s="63"/>
      <c r="E195" s="63">
        <f>E186+E189+E192</f>
        <v>282365.63437424059</v>
      </c>
      <c r="F195" s="65">
        <f>F186+F189+F192</f>
        <v>206365.62003878204</v>
      </c>
      <c r="G195" s="66"/>
      <c r="H195" s="63"/>
      <c r="I195" s="65"/>
      <c r="J195" s="66"/>
      <c r="K195" s="63">
        <f>K186+K189+K192</f>
        <v>239041.12000000002</v>
      </c>
      <c r="L195" s="65">
        <f>L186+L189+L192</f>
        <v>170568.58000000002</v>
      </c>
      <c r="M195" s="205">
        <f>L196-F196</f>
        <v>-1.7292082476983217E-2</v>
      </c>
      <c r="N195" s="65">
        <f>L195-F195</f>
        <v>-35797.040038782026</v>
      </c>
      <c r="O195" s="66"/>
      <c r="P195" s="63">
        <f t="shared" ref="P195:Q195" si="48">P186+P189+P192</f>
        <v>209396.79999999967</v>
      </c>
      <c r="Q195" s="65">
        <f t="shared" si="48"/>
        <v>154530.53999999989</v>
      </c>
      <c r="R195" s="205">
        <f>L196-Q196</f>
        <v>-2.4426172514602329E-2</v>
      </c>
      <c r="S195" s="68">
        <f>L195-Q195</f>
        <v>16038.040000000125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Bot="1">
      <c r="A196" t="str">
        <f t="shared" si="46"/>
        <v>Service</v>
      </c>
      <c r="B196" s="11" t="s">
        <v>78</v>
      </c>
      <c r="C196" s="69"/>
      <c r="D196" s="70"/>
      <c r="E196" s="70"/>
      <c r="F196" s="74">
        <f>F195/E195</f>
        <v>0.73084538242805441</v>
      </c>
      <c r="G196" s="72"/>
      <c r="H196" s="70"/>
      <c r="I196" s="74"/>
      <c r="J196" s="72"/>
      <c r="K196" s="70"/>
      <c r="L196" s="74">
        <f>L195/K195</f>
        <v>0.7135532999510712</v>
      </c>
      <c r="M196" s="73"/>
      <c r="N196" s="74">
        <f>N195/F195</f>
        <v>-0.1734641653588167</v>
      </c>
      <c r="O196" s="72"/>
      <c r="P196" s="70"/>
      <c r="Q196" s="74">
        <f>Q195/P195</f>
        <v>0.73797947246567352</v>
      </c>
      <c r="R196" s="73"/>
      <c r="S196" s="75">
        <f>L195/S195</f>
        <v>10.635250940887957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 thickTop="1">
      <c r="A197" t="str">
        <f t="shared" si="46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cadres</v>
      </c>
      <c r="B199" s="11" t="s">
        <v>78</v>
      </c>
      <c r="C199" s="102" t="s">
        <v>40</v>
      </c>
      <c r="D199" s="13"/>
      <c r="E199" s="13"/>
      <c r="F199" s="30">
        <v>11788.975925353192</v>
      </c>
      <c r="G199" s="41"/>
      <c r="H199" s="13"/>
      <c r="I199" s="30"/>
      <c r="J199" s="41"/>
      <c r="K199" s="13"/>
      <c r="L199" s="33">
        <v>9478.8799999999992</v>
      </c>
      <c r="M199" s="41"/>
      <c r="N199" s="59">
        <f t="shared" ref="N199:N230" si="49">L199-F199</f>
        <v>-2310.0959253531928</v>
      </c>
      <c r="O199" s="41"/>
      <c r="P199" s="13"/>
      <c r="Q199" s="33">
        <v>13099.41</v>
      </c>
      <c r="R199" s="41"/>
      <c r="S199" s="85">
        <f t="shared" ref="S199:S204" si="50">L199-Q199</f>
        <v>-3620.5300000000007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commis</v>
      </c>
      <c r="B200" s="11" t="s">
        <v>78</v>
      </c>
      <c r="C200" s="103" t="s">
        <v>41</v>
      </c>
      <c r="D200" s="81"/>
      <c r="E200" s="13"/>
      <c r="F200" s="22">
        <v>5290.2845956590227</v>
      </c>
      <c r="G200" s="83"/>
      <c r="H200" s="13"/>
      <c r="I200" s="22"/>
      <c r="J200" s="41"/>
      <c r="K200" s="13"/>
      <c r="L200" s="33">
        <v>3859.68</v>
      </c>
      <c r="M200" s="41"/>
      <c r="N200" s="59">
        <f t="shared" si="49"/>
        <v>-1430.6045956590228</v>
      </c>
      <c r="O200" s="41"/>
      <c r="P200" s="13"/>
      <c r="Q200" s="33">
        <v>4760.12</v>
      </c>
      <c r="R200" s="41"/>
      <c r="S200" s="85">
        <f t="shared" si="50"/>
        <v>-900.44</v>
      </c>
      <c r="T200" s="13"/>
      <c r="U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autres</v>
      </c>
      <c r="B201" s="11" t="s">
        <v>78</v>
      </c>
      <c r="C201" s="102" t="s">
        <v>42</v>
      </c>
      <c r="D201" s="104"/>
      <c r="E201" s="105"/>
      <c r="F201" s="30">
        <v>17385.562322153994</v>
      </c>
      <c r="G201" s="106"/>
      <c r="H201" s="105"/>
      <c r="I201" s="30"/>
      <c r="J201" s="107"/>
      <c r="K201" s="105"/>
      <c r="L201" s="108">
        <v>15019.58</v>
      </c>
      <c r="M201" s="107"/>
      <c r="N201" s="109">
        <f t="shared" si="49"/>
        <v>-2365.9823221539937</v>
      </c>
      <c r="O201" s="107"/>
      <c r="P201" s="105"/>
      <c r="Q201" s="108">
        <v>11398.89</v>
      </c>
      <c r="R201" s="107"/>
      <c r="S201" s="110">
        <f t="shared" si="50"/>
        <v>3620.6900000000005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>
      <c r="A202" t="str">
        <f t="shared" si="46"/>
        <v>ServiceSalaires spécialistes</v>
      </c>
      <c r="B202" s="11" t="s">
        <v>78</v>
      </c>
      <c r="C202" s="102" t="s">
        <v>43</v>
      </c>
      <c r="D202" s="81"/>
      <c r="E202" s="13"/>
      <c r="F202" s="30">
        <v>15342.486590038312</v>
      </c>
      <c r="G202" s="83"/>
      <c r="H202" s="13"/>
      <c r="I202" s="30"/>
      <c r="J202" s="41"/>
      <c r="K202" s="13"/>
      <c r="L202" s="33">
        <v>18988.27</v>
      </c>
      <c r="M202" s="41"/>
      <c r="N202" s="59">
        <f t="shared" si="49"/>
        <v>3645.7834099616884</v>
      </c>
      <c r="O202" s="41"/>
      <c r="P202" s="13"/>
      <c r="Q202" s="33">
        <v>16301.36</v>
      </c>
      <c r="R202" s="41"/>
      <c r="S202" s="85">
        <f t="shared" si="50"/>
        <v>2686.91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 t="shared" si="50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 hidden="1">
      <c r="A205" t="str">
        <f t="shared" si="46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49"/>
        <v>0</v>
      </c>
      <c r="O205" s="41"/>
      <c r="P205" s="13"/>
      <c r="Q205" s="33"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ServiceSalaires en absences</v>
      </c>
      <c r="B206" s="11" t="s">
        <v>78</v>
      </c>
      <c r="C206" s="103" t="s">
        <v>44</v>
      </c>
      <c r="D206" s="81"/>
      <c r="E206" s="13"/>
      <c r="F206" s="30">
        <v>16932.502036115187</v>
      </c>
      <c r="G206" s="83"/>
      <c r="H206" s="13"/>
      <c r="I206" s="30"/>
      <c r="J206" s="41"/>
      <c r="K206" s="13"/>
      <c r="L206" s="33">
        <v>12722.22</v>
      </c>
      <c r="M206" s="41"/>
      <c r="N206" s="59">
        <f t="shared" si="49"/>
        <v>-4210.282036115188</v>
      </c>
      <c r="O206" s="41"/>
      <c r="P206" s="13"/>
      <c r="Q206" s="33">
        <v>10475.219999999999</v>
      </c>
      <c r="R206" s="41"/>
      <c r="S206" s="85">
        <f>L206-Q206</f>
        <v>2247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ServiceDéduction à la source</v>
      </c>
      <c r="B207" s="11" t="s">
        <v>78</v>
      </c>
      <c r="C207" s="102" t="s">
        <v>45</v>
      </c>
      <c r="D207" s="104"/>
      <c r="E207" s="105"/>
      <c r="F207" s="55">
        <v>18146.230951068817</v>
      </c>
      <c r="G207" s="106"/>
      <c r="H207" s="105"/>
      <c r="I207" s="55"/>
      <c r="J207" s="107"/>
      <c r="K207" s="105"/>
      <c r="L207" s="108">
        <v>15046.46</v>
      </c>
      <c r="M207" s="107"/>
      <c r="N207" s="109">
        <f t="shared" si="49"/>
        <v>-3099.7709510688182</v>
      </c>
      <c r="O207" s="107"/>
      <c r="P207" s="105"/>
      <c r="Q207" s="108">
        <v>15236.5</v>
      </c>
      <c r="R207" s="107"/>
      <c r="S207" s="110">
        <f t="shared" ref="S207:S217" si="51">L207-Q207</f>
        <v>-190.04000000000087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ServiceBénéfices marginaux</v>
      </c>
      <c r="B208" s="11" t="s">
        <v>78</v>
      </c>
      <c r="C208" s="102" t="s">
        <v>46</v>
      </c>
      <c r="D208" s="81"/>
      <c r="E208" s="13"/>
      <c r="F208" s="30">
        <v>12406.645309508531</v>
      </c>
      <c r="G208" s="83"/>
      <c r="H208" s="13"/>
      <c r="I208" s="30"/>
      <c r="J208" s="41"/>
      <c r="K208" s="13"/>
      <c r="L208" s="33">
        <v>6588.77</v>
      </c>
      <c r="M208" s="41"/>
      <c r="N208" s="59">
        <f t="shared" si="49"/>
        <v>-5817.8753095085303</v>
      </c>
      <c r="O208" s="41"/>
      <c r="P208" s="13"/>
      <c r="Q208" s="33">
        <v>6154.09</v>
      </c>
      <c r="R208" s="41"/>
      <c r="S208" s="85">
        <f t="shared" si="51"/>
        <v>434.68000000000029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>
      <c r="A209" t="str">
        <f t="shared" si="46"/>
        <v>ServiceCsst</v>
      </c>
      <c r="B209" s="11" t="s">
        <v>78</v>
      </c>
      <c r="C209" s="102" t="s">
        <v>47</v>
      </c>
      <c r="D209" s="81"/>
      <c r="E209" s="13"/>
      <c r="F209" s="30">
        <v>3293.2048763050816</v>
      </c>
      <c r="G209" s="83"/>
      <c r="H209" s="13"/>
      <c r="I209" s="30"/>
      <c r="J209" s="41"/>
      <c r="K209" s="13"/>
      <c r="L209" s="33">
        <v>1769.78</v>
      </c>
      <c r="M209" s="462"/>
      <c r="N209" s="145">
        <f t="shared" si="49"/>
        <v>-1523.4248763050816</v>
      </c>
      <c r="O209" s="462"/>
      <c r="P209" s="463"/>
      <c r="Q209" s="22">
        <v>2555.58</v>
      </c>
      <c r="R209" s="462"/>
      <c r="S209" s="464">
        <f t="shared" si="51"/>
        <v>-785.8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 hidden="1">
      <c r="A210" t="str">
        <f t="shared" si="46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49"/>
        <v>0</v>
      </c>
      <c r="O210" s="23"/>
      <c r="P210" s="111"/>
      <c r="Q210" s="33">
        <v>0</v>
      </c>
      <c r="R210" s="23"/>
      <c r="S210" s="92">
        <f t="shared" si="51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0.48741593966717495</v>
      </c>
      <c r="F211" s="96">
        <f>+SUM(F199:F210)</f>
        <v>100585.89260620213</v>
      </c>
      <c r="G211" s="97"/>
      <c r="H211" s="95"/>
      <c r="I211" s="96"/>
      <c r="J211" s="97" t="s">
        <v>92</v>
      </c>
      <c r="K211" s="95">
        <f>L211/L$195</f>
        <v>0.48938462171637936</v>
      </c>
      <c r="L211" s="96">
        <f>+SUM(L199:L210)</f>
        <v>83473.64</v>
      </c>
      <c r="M211" s="146"/>
      <c r="N211" s="113">
        <f t="shared" si="49"/>
        <v>-17112.252606202135</v>
      </c>
      <c r="O211" s="97" t="s">
        <v>92</v>
      </c>
      <c r="P211" s="95">
        <f>Q211/Q$195</f>
        <v>0.51757516669520509</v>
      </c>
      <c r="Q211" s="96">
        <f>+SUM(Q199:Q210)</f>
        <v>79981.17</v>
      </c>
      <c r="R211" s="146"/>
      <c r="S211" s="114">
        <f t="shared" si="51"/>
        <v>3492.4700000000012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ServicePublicité 2</v>
      </c>
      <c r="B212" s="11" t="s">
        <v>78</v>
      </c>
      <c r="C212" s="29" t="s">
        <v>49</v>
      </c>
      <c r="D212" s="81"/>
      <c r="E212" s="13"/>
      <c r="F212" s="30">
        <v>3034.5228924559869</v>
      </c>
      <c r="G212" s="83"/>
      <c r="H212" s="13"/>
      <c r="I212" s="30"/>
      <c r="J212" s="41"/>
      <c r="K212" s="13"/>
      <c r="L212" s="33">
        <v>4413.55</v>
      </c>
      <c r="M212" s="41"/>
      <c r="N212" s="59">
        <f t="shared" si="49"/>
        <v>1379.0271075440132</v>
      </c>
      <c r="O212" s="41"/>
      <c r="P212" s="13"/>
      <c r="Q212" s="33">
        <v>9394.91</v>
      </c>
      <c r="R212" s="41"/>
      <c r="S212" s="85">
        <f t="shared" si="51"/>
        <v>-4981.3599999999997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2784.25</v>
      </c>
      <c r="M213" s="41"/>
      <c r="N213" s="59">
        <f t="shared" si="49"/>
        <v>-965.75</v>
      </c>
      <c r="O213" s="41"/>
      <c r="P213" s="13"/>
      <c r="Q213" s="33">
        <v>3250.11</v>
      </c>
      <c r="R213" s="41"/>
      <c r="S213" s="85">
        <f t="shared" si="51"/>
        <v>-465.86000000000013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6665.5199999999995</v>
      </c>
      <c r="M214" s="23"/>
      <c r="N214" s="91">
        <f t="shared" si="49"/>
        <v>-787.73000000000138</v>
      </c>
      <c r="O214" s="23"/>
      <c r="P214" s="111"/>
      <c r="Q214" s="33">
        <v>6132.15</v>
      </c>
      <c r="R214" s="23"/>
      <c r="S214" s="92">
        <f t="shared" si="51"/>
        <v>533.36999999999989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6688.65</v>
      </c>
      <c r="M215" s="41"/>
      <c r="N215" s="59">
        <f t="shared" si="49"/>
        <v>52.239166666666279</v>
      </c>
      <c r="O215" s="41"/>
      <c r="P215" s="13"/>
      <c r="Q215" s="108">
        <v>5978.7</v>
      </c>
      <c r="R215" s="41"/>
      <c r="S215" s="85">
        <f t="shared" si="51"/>
        <v>709.94999999999982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1393</v>
      </c>
      <c r="M216" s="41"/>
      <c r="N216" s="59">
        <f t="shared" si="49"/>
        <v>61.75</v>
      </c>
      <c r="O216" s="41"/>
      <c r="P216" s="13"/>
      <c r="Q216" s="33">
        <v>846.92</v>
      </c>
      <c r="R216" s="41"/>
      <c r="S216" s="85">
        <f t="shared" si="51"/>
        <v>546.08000000000004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46"/>
        <v>ServiceServices extérieurs</v>
      </c>
      <c r="B217" s="11" t="s">
        <v>78</v>
      </c>
      <c r="C217" s="86" t="s">
        <v>54</v>
      </c>
      <c r="D217" s="87"/>
      <c r="E217" s="111"/>
      <c r="F217" s="22">
        <v>5550.8366666666661</v>
      </c>
      <c r="G217" s="89"/>
      <c r="H217" s="111"/>
      <c r="I217" s="22"/>
      <c r="J217" s="23"/>
      <c r="K217" s="111"/>
      <c r="L217" s="22">
        <v>5621.28</v>
      </c>
      <c r="M217" s="462"/>
      <c r="N217" s="145">
        <f t="shared" si="49"/>
        <v>70.443333333333612</v>
      </c>
      <c r="O217" s="462"/>
      <c r="P217" s="463"/>
      <c r="Q217" s="22">
        <v>2555.9899999999998</v>
      </c>
      <c r="R217" s="23"/>
      <c r="S217" s="92">
        <f t="shared" si="51"/>
        <v>3065.29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 hidden="1">
      <c r="A218" t="str">
        <f>+B218&amp;C218</f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49"/>
        <v>0</v>
      </c>
      <c r="O218" s="41"/>
      <c r="P218" s="13"/>
      <c r="Q218" s="33"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ref="A219:A227" si="52">+B219&amp;C219</f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3085.22</v>
      </c>
      <c r="M219" s="41"/>
      <c r="N219" s="59">
        <f t="shared" si="49"/>
        <v>-164.7800000000002</v>
      </c>
      <c r="O219" s="41"/>
      <c r="P219" s="13"/>
      <c r="Q219" s="33">
        <v>2310.04</v>
      </c>
      <c r="R219" s="41"/>
      <c r="S219" s="85">
        <f t="shared" ref="S219:S227" si="53">L219-Q219</f>
        <v>775.17999999999984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1427.33</v>
      </c>
      <c r="M220" s="41"/>
      <c r="N220" s="59">
        <f t="shared" si="49"/>
        <v>102.32999999999993</v>
      </c>
      <c r="O220" s="41"/>
      <c r="P220" s="13"/>
      <c r="Q220" s="33">
        <v>1706.96</v>
      </c>
      <c r="R220" s="41"/>
      <c r="S220" s="85">
        <f t="shared" si="53"/>
        <v>-279.63000000000011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369.88</v>
      </c>
      <c r="M221" s="41"/>
      <c r="N221" s="59">
        <f t="shared" si="49"/>
        <v>7.3799999999999955</v>
      </c>
      <c r="O221" s="41"/>
      <c r="P221" s="13"/>
      <c r="Q221" s="32">
        <v>548.49</v>
      </c>
      <c r="R221" s="41"/>
      <c r="S221" s="85">
        <f t="shared" si="53"/>
        <v>-178.61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350.88</v>
      </c>
      <c r="M222" s="41"/>
      <c r="N222" s="59">
        <f t="shared" si="49"/>
        <v>236.63</v>
      </c>
      <c r="O222" s="41"/>
      <c r="P222" s="13"/>
      <c r="Q222" s="33">
        <v>114.1</v>
      </c>
      <c r="R222" s="41"/>
      <c r="S222" s="85">
        <f t="shared" si="53"/>
        <v>236.78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596.66</v>
      </c>
      <c r="M223" s="41"/>
      <c r="N223" s="59">
        <f t="shared" si="49"/>
        <v>454.99333333333334</v>
      </c>
      <c r="O223" s="41"/>
      <c r="P223" s="13"/>
      <c r="Q223" s="33">
        <v>170.36</v>
      </c>
      <c r="R223" s="41"/>
      <c r="S223" s="85">
        <f t="shared" si="53"/>
        <v>426.29999999999995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1035.78</v>
      </c>
      <c r="M224" s="41"/>
      <c r="N224" s="59">
        <f t="shared" si="49"/>
        <v>654.11333333333334</v>
      </c>
      <c r="O224" s="41"/>
      <c r="P224" s="13"/>
      <c r="Q224" s="33">
        <v>379</v>
      </c>
      <c r="R224" s="41"/>
      <c r="S224" s="85">
        <f t="shared" si="53"/>
        <v>656.78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2839.33</v>
      </c>
      <c r="M225" s="41"/>
      <c r="N225" s="59">
        <f t="shared" si="49"/>
        <v>1057.083333333333</v>
      </c>
      <c r="O225" s="41"/>
      <c r="P225" s="13"/>
      <c r="Q225" s="33">
        <v>1632.11</v>
      </c>
      <c r="R225" s="41"/>
      <c r="S225" s="85">
        <f t="shared" si="53"/>
        <v>1207.22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>
      <c r="A226" t="str">
        <f t="shared" si="52"/>
        <v>ServiceFrais bancaires</v>
      </c>
      <c r="B226" s="11" t="s">
        <v>78</v>
      </c>
      <c r="C226" s="29" t="s">
        <v>62</v>
      </c>
      <c r="D226" s="81"/>
      <c r="E226" s="13"/>
      <c r="F226" s="30">
        <v>2684.1591111734192</v>
      </c>
      <c r="G226" s="83"/>
      <c r="H226" s="13"/>
      <c r="I226" s="30"/>
      <c r="J226" s="41"/>
      <c r="K226" s="13"/>
      <c r="L226" s="33">
        <v>2303.5</v>
      </c>
      <c r="M226" s="41"/>
      <c r="N226" s="59">
        <f t="shared" si="49"/>
        <v>-380.65911117341921</v>
      </c>
      <c r="O226" s="41"/>
      <c r="P226" s="13"/>
      <c r="Q226" s="33">
        <v>2486.62</v>
      </c>
      <c r="R226" s="41"/>
      <c r="S226" s="85">
        <f t="shared" si="53"/>
        <v>-183.11999999999989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52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 t="shared" si="53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 hidden="1">
      <c r="A229" t="str">
        <f t="shared" ref="A229" si="54">+B229&amp;C229</f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49"/>
        <v>0</v>
      </c>
      <c r="O229" s="41"/>
      <c r="P229" s="13"/>
      <c r="Q229" s="33">
        <v>0</v>
      </c>
      <c r="R229" s="41"/>
      <c r="S229" s="85">
        <f t="shared" ref="S229" si="5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93" t="s">
        <v>63</v>
      </c>
      <c r="D230" s="94" t="s">
        <v>92</v>
      </c>
      <c r="E230" s="95">
        <f>F230/F$195</f>
        <v>0.18315918851466689</v>
      </c>
      <c r="F230" s="96">
        <f>+SUM(F212:F229)</f>
        <v>37797.759503629401</v>
      </c>
      <c r="G230" s="97"/>
      <c r="H230" s="95"/>
      <c r="I230" s="96"/>
      <c r="J230" s="97" t="s">
        <v>92</v>
      </c>
      <c r="K230" s="95">
        <f>L230/L$195</f>
        <v>0.23201711593073007</v>
      </c>
      <c r="L230" s="96">
        <f>+SUM(L212:L229)</f>
        <v>39574.830000000009</v>
      </c>
      <c r="M230" s="100"/>
      <c r="N230" s="96">
        <f t="shared" si="49"/>
        <v>1777.0704963706085</v>
      </c>
      <c r="O230" s="97" t="s">
        <v>92</v>
      </c>
      <c r="P230" s="95">
        <f>Q230/Q$195</f>
        <v>0.24271228198646061</v>
      </c>
      <c r="Q230" s="96">
        <f>+SUM(Q212:Q229)</f>
        <v>37506.460000000006</v>
      </c>
      <c r="R230" s="100"/>
      <c r="S230" s="101">
        <f>L230-Q230</f>
        <v>2068.3700000000026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93" t="s">
        <v>64</v>
      </c>
      <c r="D232" s="94" t="s">
        <v>38</v>
      </c>
      <c r="E232" s="95">
        <f>F232/F$195</f>
        <v>0.67057512818184184</v>
      </c>
      <c r="F232" s="96">
        <f>F211+F230</f>
        <v>138383.65210983154</v>
      </c>
      <c r="G232" s="97"/>
      <c r="H232" s="95"/>
      <c r="I232" s="96"/>
      <c r="J232" s="97" t="s">
        <v>38</v>
      </c>
      <c r="K232" s="95">
        <f>L232/L$195</f>
        <v>0.72140173764710935</v>
      </c>
      <c r="L232" s="96">
        <f>L211+L230</f>
        <v>123048.47</v>
      </c>
      <c r="M232" s="100"/>
      <c r="N232" s="113">
        <f>L232-F232</f>
        <v>-15335.182109831541</v>
      </c>
      <c r="O232" s="97" t="s">
        <v>38</v>
      </c>
      <c r="P232" s="95">
        <f>Q232/Q$195</f>
        <v>0.76028744868166565</v>
      </c>
      <c r="Q232" s="96">
        <f>Q211+Q230</f>
        <v>117487.63</v>
      </c>
      <c r="R232" s="100"/>
      <c r="S232" s="114">
        <f>L232-Q232</f>
        <v>5560.8399999999965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25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Bot="1">
      <c r="B234" s="11"/>
      <c r="C234" s="124" t="s">
        <v>69</v>
      </c>
      <c r="D234" s="151"/>
      <c r="E234" s="125"/>
      <c r="F234" s="127">
        <f>F195-F232</f>
        <v>67981.9679289505</v>
      </c>
      <c r="G234" s="152"/>
      <c r="H234" s="125"/>
      <c r="I234" s="127"/>
      <c r="J234" s="153"/>
      <c r="K234" s="126"/>
      <c r="L234" s="127">
        <f>L195-L232</f>
        <v>47520.110000000015</v>
      </c>
      <c r="M234" s="153"/>
      <c r="N234" s="127">
        <f>L234-F234</f>
        <v>-20461.857928950485</v>
      </c>
      <c r="O234" s="153"/>
      <c r="P234" s="126"/>
      <c r="Q234" s="127">
        <f>Q195-Q232</f>
        <v>37042.909999999887</v>
      </c>
      <c r="R234" s="153"/>
      <c r="S234" s="129">
        <f>L234-Q234</f>
        <v>10477.200000000128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25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25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Avril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25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" hidden="1" thickTop="1">
      <c r="B239" s="11"/>
      <c r="C239" s="12"/>
      <c r="D239" s="510" t="s">
        <v>5</v>
      </c>
      <c r="E239" s="511"/>
      <c r="F239" s="512"/>
      <c r="G239" s="513"/>
      <c r="H239" s="511"/>
      <c r="I239" s="512"/>
      <c r="J239" s="513" t="s">
        <v>7</v>
      </c>
      <c r="K239" s="511"/>
      <c r="L239" s="512"/>
      <c r="M239" s="513" t="s">
        <v>212</v>
      </c>
      <c r="N239" s="512"/>
      <c r="O239" s="510" t="s">
        <v>8</v>
      </c>
      <c r="P239" s="511"/>
      <c r="Q239" s="512"/>
      <c r="R239" s="508" t="s">
        <v>213</v>
      </c>
      <c r="S239" s="509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25" hidden="1">
      <c r="A240" t="str">
        <f t="shared" ref="A240:A273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0</v>
      </c>
      <c r="P242" s="30">
        <v>0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0.25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0.25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/>
      <c r="I251" s="65"/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7">P245+P248+P242</f>
        <v>0</v>
      </c>
      <c r="Q251" s="65">
        <f t="shared" si="57"/>
        <v>0</v>
      </c>
      <c r="R251" s="205" t="e">
        <f>L252-Q252</f>
        <v>#DIV/0!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 t="e">
        <f>Q251/P251</f>
        <v>#DIV/0!</v>
      </c>
      <c r="R252" s="73"/>
      <c r="S252" s="75" t="e">
        <f>IF(R251=0,0,S251/R251)</f>
        <v>#DIV/0!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58">L255-F255</f>
        <v>0</v>
      </c>
      <c r="O255" s="41"/>
      <c r="P255" s="13"/>
      <c r="Q255" s="33">
        <v>0</v>
      </c>
      <c r="R255" s="41"/>
      <c r="S255" s="85">
        <f t="shared" ref="S255" si="5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58"/>
        <v>0</v>
      </c>
      <c r="O256" s="41"/>
      <c r="P256" s="13"/>
      <c r="Q256" s="33"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58"/>
        <v>0</v>
      </c>
      <c r="O257" s="107"/>
      <c r="P257" s="105"/>
      <c r="Q257" s="108">
        <v>0</v>
      </c>
      <c r="R257" s="107"/>
      <c r="S257" s="110">
        <f t="shared" ref="S257:S273" si="6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0</v>
      </c>
      <c r="R261" s="41"/>
      <c r="S261" s="85">
        <f t="shared" si="6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58"/>
        <v>0</v>
      </c>
      <c r="O262" s="41"/>
      <c r="P262" s="13"/>
      <c r="Q262" s="33">
        <v>0</v>
      </c>
      <c r="R262" s="41"/>
      <c r="S262" s="85">
        <f t="shared" si="6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0</v>
      </c>
      <c r="M263" s="107"/>
      <c r="N263" s="109">
        <f t="shared" si="58"/>
        <v>0</v>
      </c>
      <c r="O263" s="107"/>
      <c r="P263" s="105"/>
      <c r="Q263" s="108">
        <v>0</v>
      </c>
      <c r="R263" s="107"/>
      <c r="S263" s="110">
        <f t="shared" si="60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58"/>
        <v>0</v>
      </c>
      <c r="O264" s="41"/>
      <c r="P264" s="13"/>
      <c r="Q264" s="33">
        <v>0</v>
      </c>
      <c r="R264" s="41"/>
      <c r="S264" s="85">
        <f t="shared" si="6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58"/>
        <v>0</v>
      </c>
      <c r="O265" s="41"/>
      <c r="P265" s="13"/>
      <c r="Q265" s="33">
        <v>0</v>
      </c>
      <c r="R265" s="41"/>
      <c r="S265" s="85">
        <f t="shared" si="6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58"/>
        <v>0</v>
      </c>
      <c r="O266" s="23"/>
      <c r="P266" s="111"/>
      <c r="Q266" s="33">
        <v>0</v>
      </c>
      <c r="R266" s="23"/>
      <c r="S266" s="92">
        <f t="shared" si="60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0</v>
      </c>
      <c r="M267" s="146"/>
      <c r="N267" s="113">
        <f t="shared" si="58"/>
        <v>0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0"/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58"/>
        <v>0</v>
      </c>
      <c r="O269" s="41"/>
      <c r="P269" s="13"/>
      <c r="Q269" s="33">
        <v>0</v>
      </c>
      <c r="R269" s="41"/>
      <c r="S269" s="85">
        <f t="shared" si="60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58"/>
        <v>0</v>
      </c>
      <c r="O270" s="23"/>
      <c r="P270" s="111"/>
      <c r="Q270" s="33">
        <v>0</v>
      </c>
      <c r="R270" s="23"/>
      <c r="S270" s="92">
        <f t="shared" si="60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58"/>
        <v>0</v>
      </c>
      <c r="O271" s="41"/>
      <c r="P271" s="13"/>
      <c r="Q271" s="108">
        <v>0</v>
      </c>
      <c r="R271" s="41"/>
      <c r="S271" s="85">
        <f t="shared" si="60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58"/>
        <v>0</v>
      </c>
      <c r="O272" s="41"/>
      <c r="P272" s="13"/>
      <c r="Q272" s="33">
        <v>0</v>
      </c>
      <c r="R272" s="41"/>
      <c r="S272" s="85">
        <f t="shared" si="60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58"/>
        <v>0</v>
      </c>
      <c r="O273" s="23"/>
      <c r="P273" s="111"/>
      <c r="Q273" s="22">
        <v>0</v>
      </c>
      <c r="R273" s="23"/>
      <c r="S273" s="92">
        <f t="shared" si="60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 hidden="1">
      <c r="A274" t="str">
        <f>+B274&amp;C274</f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 hidden="1">
      <c r="A275" t="str">
        <f t="shared" ref="A275:A283" si="61">+B275&amp;C275</f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ref="S275:S283" si="62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 hidden="1">
      <c r="A276" t="str">
        <f t="shared" si="61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58"/>
        <v>0</v>
      </c>
      <c r="O276" s="41"/>
      <c r="P276" s="13"/>
      <c r="Q276" s="33">
        <v>0</v>
      </c>
      <c r="R276" s="41"/>
      <c r="S276" s="85">
        <f t="shared" si="62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 hidden="1">
      <c r="A277" t="str">
        <f t="shared" si="61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58"/>
        <v>0</v>
      </c>
      <c r="O277" s="41"/>
      <c r="P277" s="13"/>
      <c r="Q277" s="32">
        <v>0</v>
      </c>
      <c r="R277" s="41"/>
      <c r="S277" s="85">
        <f t="shared" si="62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 hidden="1">
      <c r="A278" t="str">
        <f t="shared" si="61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0</v>
      </c>
      <c r="R278" s="41"/>
      <c r="S278" s="85">
        <f t="shared" si="62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 hidden="1">
      <c r="A279" t="str">
        <f t="shared" si="61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0</v>
      </c>
      <c r="R279" s="41"/>
      <c r="S279" s="85">
        <f t="shared" si="62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 hidden="1">
      <c r="A280" t="str">
        <f t="shared" si="61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0</v>
      </c>
      <c r="R280" s="41"/>
      <c r="S280" s="85">
        <f t="shared" si="62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 hidden="1">
      <c r="A281" t="str">
        <f t="shared" si="61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0</v>
      </c>
      <c r="R281" s="41"/>
      <c r="S281" s="85">
        <f t="shared" si="62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61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 t="shared" si="62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 hidden="1">
      <c r="A285" t="str">
        <f t="shared" ref="A285" si="63">+B285&amp;C285</f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58"/>
        <v>0</v>
      </c>
      <c r="O285" s="41"/>
      <c r="P285" s="13"/>
      <c r="Q285" s="33">
        <v>0</v>
      </c>
      <c r="R285" s="41"/>
      <c r="S285" s="85">
        <f t="shared" ref="S285" si="64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>
        <f>IF(L263=0,0,L286/L$245)</f>
        <v>0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25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25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25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Avril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" thickTop="1">
      <c r="B294" s="11"/>
      <c r="C294" s="12"/>
      <c r="D294" s="510" t="s">
        <v>5</v>
      </c>
      <c r="E294" s="511"/>
      <c r="F294" s="512"/>
      <c r="G294" s="513"/>
      <c r="H294" s="511"/>
      <c r="I294" s="512"/>
      <c r="J294" s="513" t="s">
        <v>7</v>
      </c>
      <c r="K294" s="511"/>
      <c r="L294" s="512"/>
      <c r="M294" s="513" t="s">
        <v>212</v>
      </c>
      <c r="N294" s="512"/>
      <c r="O294" s="510" t="s">
        <v>8</v>
      </c>
      <c r="P294" s="511"/>
      <c r="Q294" s="512"/>
      <c r="R294" s="508" t="s">
        <v>213</v>
      </c>
      <c r="S294" s="509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ref="A295:A300" si="65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Clients</v>
      </c>
      <c r="B296" s="11" t="s">
        <v>98</v>
      </c>
      <c r="C296" s="29" t="s">
        <v>100</v>
      </c>
      <c r="D296" s="82">
        <v>58760.260180270561</v>
      </c>
      <c r="E296" s="147">
        <f>IF(D296=0,0,F296/D296)</f>
        <v>0.40200000000000002</v>
      </c>
      <c r="F296" s="85">
        <v>23621.624592468768</v>
      </c>
      <c r="G296" s="82"/>
      <c r="H296" s="147"/>
      <c r="I296" s="85"/>
      <c r="J296" s="30">
        <v>101195.47</v>
      </c>
      <c r="K296" s="147">
        <f t="shared" ref="K296:K301" si="66">IF(J296&lt;=0,0,L296/J296)</f>
        <v>0.37730186934257026</v>
      </c>
      <c r="L296" s="33">
        <v>38181.239999999991</v>
      </c>
      <c r="M296" s="156">
        <f t="shared" ref="M296:M302" si="67">(+J296-D296)/D296</f>
        <v>0.72217532205511836</v>
      </c>
      <c r="N296" s="59">
        <f t="shared" ref="N296:N305" si="68">L296-F296</f>
        <v>14559.615407531222</v>
      </c>
      <c r="O296" s="30">
        <v>64717.729999999901</v>
      </c>
      <c r="P296" s="147">
        <f t="shared" ref="P296:P304" si="69">IF(O296=0,0,Q296/O296)</f>
        <v>0.37632114105361758</v>
      </c>
      <c r="Q296" s="33">
        <v>24354.6499999999</v>
      </c>
      <c r="R296" s="156">
        <f>IF(O296=0,0,(J296-O296)/O296)</f>
        <v>0.56364368774986628</v>
      </c>
      <c r="S296" s="85">
        <f t="shared" ref="S296:S301" si="70">L296-Q296</f>
        <v>13826.590000000091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ref="E297:E301" si="71">IF(D297=0,0,F297/D297)</f>
        <v>0</v>
      </c>
      <c r="F297" s="85">
        <v>0</v>
      </c>
      <c r="G297" s="82"/>
      <c r="H297" s="147"/>
      <c r="I297" s="85"/>
      <c r="J297" s="30">
        <v>0</v>
      </c>
      <c r="K297" s="147">
        <f t="shared" si="66"/>
        <v>0</v>
      </c>
      <c r="L297" s="33">
        <v>0</v>
      </c>
      <c r="M297" s="156" t="e">
        <f t="shared" si="67"/>
        <v>#DIV/0!</v>
      </c>
      <c r="N297" s="59">
        <f t="shared" si="68"/>
        <v>0</v>
      </c>
      <c r="O297" s="30">
        <v>0</v>
      </c>
      <c r="P297" s="147">
        <f t="shared" si="69"/>
        <v>0</v>
      </c>
      <c r="Q297" s="33">
        <v>0</v>
      </c>
      <c r="R297" s="156">
        <f t="shared" ref="R297:R301" si="72">IF(O297=0,0,(J297-O297)/O297)</f>
        <v>0</v>
      </c>
      <c r="S297" s="85">
        <f t="shared" si="70"/>
        <v>0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PiècesP/A Garantie</v>
      </c>
      <c r="B298" s="11" t="s">
        <v>98</v>
      </c>
      <c r="C298" s="29" t="s">
        <v>102</v>
      </c>
      <c r="D298" s="82">
        <v>46988.562159678091</v>
      </c>
      <c r="E298" s="147">
        <f t="shared" si="71"/>
        <v>0.27700000000000002</v>
      </c>
      <c r="F298" s="85">
        <v>13015.831718230833</v>
      </c>
      <c r="G298" s="82"/>
      <c r="H298" s="147"/>
      <c r="I298" s="85"/>
      <c r="J298" s="30">
        <v>83664.17</v>
      </c>
      <c r="K298" s="147">
        <f t="shared" si="66"/>
        <v>0.2885302035506957</v>
      </c>
      <c r="L298" s="33">
        <v>24139.640000000007</v>
      </c>
      <c r="M298" s="156">
        <f t="shared" si="67"/>
        <v>0.78052202822656369</v>
      </c>
      <c r="N298" s="59">
        <f t="shared" si="68"/>
        <v>11123.808281769174</v>
      </c>
      <c r="O298" s="30">
        <v>56399.72</v>
      </c>
      <c r="P298" s="147">
        <f t="shared" si="69"/>
        <v>0.27891503716685118</v>
      </c>
      <c r="Q298" s="33">
        <v>15730.73</v>
      </c>
      <c r="R298" s="156">
        <f t="shared" si="72"/>
        <v>0.4834146339733601</v>
      </c>
      <c r="S298" s="85">
        <f t="shared" si="70"/>
        <v>8408.9100000000071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Internes</v>
      </c>
      <c r="B299" s="11" t="s">
        <v>98</v>
      </c>
      <c r="C299" s="29" t="s">
        <v>103</v>
      </c>
      <c r="D299" s="82">
        <v>36600</v>
      </c>
      <c r="E299" s="147">
        <f t="shared" si="71"/>
        <v>0.33800000000000002</v>
      </c>
      <c r="F299" s="85">
        <v>12370.800000000001</v>
      </c>
      <c r="G299" s="82"/>
      <c r="H299" s="147"/>
      <c r="I299" s="85"/>
      <c r="J299" s="30">
        <v>15930.279999999999</v>
      </c>
      <c r="K299" s="147">
        <f t="shared" si="66"/>
        <v>0.25862445606731327</v>
      </c>
      <c r="L299" s="33">
        <v>4119.9599999999991</v>
      </c>
      <c r="M299" s="156">
        <f t="shared" si="67"/>
        <v>-0.56474644808743169</v>
      </c>
      <c r="N299" s="59">
        <f t="shared" si="68"/>
        <v>-8250.840000000002</v>
      </c>
      <c r="O299" s="30">
        <v>20132.62</v>
      </c>
      <c r="P299" s="147">
        <f t="shared" si="69"/>
        <v>0.35222986377331866</v>
      </c>
      <c r="Q299" s="33">
        <v>7091.3099999999904</v>
      </c>
      <c r="R299" s="156">
        <f t="shared" si="72"/>
        <v>-0.20873289219187569</v>
      </c>
      <c r="S299" s="85">
        <f t="shared" si="70"/>
        <v>-2971.3499999999913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65"/>
        <v>PiècesVentes Détails</v>
      </c>
      <c r="B300" s="11" t="s">
        <v>98</v>
      </c>
      <c r="C300" s="29" t="s">
        <v>104</v>
      </c>
      <c r="D300" s="82">
        <v>18560.340886653052</v>
      </c>
      <c r="E300" s="147">
        <f t="shared" si="71"/>
        <v>0.33100000000000002</v>
      </c>
      <c r="F300" s="85">
        <v>6143.4728334821602</v>
      </c>
      <c r="G300" s="82"/>
      <c r="H300" s="147"/>
      <c r="I300" s="85"/>
      <c r="J300" s="30">
        <v>18575.759999999998</v>
      </c>
      <c r="K300" s="147">
        <f t="shared" si="66"/>
        <v>0.42324028734221375</v>
      </c>
      <c r="L300" s="33">
        <v>7862.01</v>
      </c>
      <c r="M300" s="156">
        <f t="shared" si="67"/>
        <v>8.3075593498580316E-4</v>
      </c>
      <c r="N300" s="59">
        <f t="shared" si="68"/>
        <v>1718.53716651784</v>
      </c>
      <c r="O300" s="30">
        <v>17037.740000000002</v>
      </c>
      <c r="P300" s="147">
        <f t="shared" si="69"/>
        <v>0.28554139222690328</v>
      </c>
      <c r="Q300" s="33">
        <v>4864.9799999999996</v>
      </c>
      <c r="R300" s="156">
        <f t="shared" si="72"/>
        <v>9.027136228161696E-2</v>
      </c>
      <c r="S300" s="85">
        <f t="shared" si="70"/>
        <v>2997.0300000000007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>
      <c r="A301" t="str">
        <f>+B301&amp;C301</f>
        <v>PiècesVentes de Gros</v>
      </c>
      <c r="B301" s="11" t="s">
        <v>98</v>
      </c>
      <c r="C301" s="29" t="s">
        <v>105</v>
      </c>
      <c r="D301" s="82">
        <v>87000</v>
      </c>
      <c r="E301" s="147">
        <f t="shared" si="71"/>
        <v>0.2</v>
      </c>
      <c r="F301" s="85">
        <v>17400</v>
      </c>
      <c r="G301" s="82"/>
      <c r="H301" s="147"/>
      <c r="I301" s="85"/>
      <c r="J301" s="30">
        <v>78722.75</v>
      </c>
      <c r="K301" s="147">
        <f t="shared" si="66"/>
        <v>0.15853447700950493</v>
      </c>
      <c r="L301" s="33">
        <v>12480.270000000004</v>
      </c>
      <c r="M301" s="156">
        <f t="shared" si="67"/>
        <v>-9.5140804597701148E-2</v>
      </c>
      <c r="N301" s="59">
        <f t="shared" si="68"/>
        <v>-4919.7299999999959</v>
      </c>
      <c r="O301" s="30">
        <v>72740.67</v>
      </c>
      <c r="P301" s="147">
        <f t="shared" si="69"/>
        <v>0.19281758059143395</v>
      </c>
      <c r="Q301" s="33">
        <v>14025.6799999999</v>
      </c>
      <c r="R301" s="156">
        <f t="shared" si="72"/>
        <v>8.2238450649409767E-2</v>
      </c>
      <c r="S301" s="85">
        <f t="shared" si="70"/>
        <v>-1545.4099999998962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 hidden="1">
      <c r="A302" t="str">
        <f>+B302&amp;C302</f>
        <v>Pièces[...]</v>
      </c>
      <c r="B302" s="11" t="s">
        <v>98</v>
      </c>
      <c r="C302" s="29" t="s">
        <v>19</v>
      </c>
      <c r="D302" s="82">
        <v>0</v>
      </c>
      <c r="E302" s="147">
        <f>IF(D302=0,0,F302/D302)</f>
        <v>0</v>
      </c>
      <c r="F302" s="85">
        <v>0</v>
      </c>
      <c r="G302" s="82"/>
      <c r="H302" s="147"/>
      <c r="I302" s="85"/>
      <c r="J302" s="30">
        <v>0</v>
      </c>
      <c r="K302" s="147">
        <f>IF(J302&lt;=0,0,L302/J302)</f>
        <v>0</v>
      </c>
      <c r="L302" s="33">
        <v>0</v>
      </c>
      <c r="M302" s="156" t="e">
        <f t="shared" si="67"/>
        <v>#DIV/0!</v>
      </c>
      <c r="N302" s="59">
        <f t="shared" si="68"/>
        <v>0</v>
      </c>
      <c r="O302" s="30">
        <v>0</v>
      </c>
      <c r="P302" s="147">
        <f t="shared" si="69"/>
        <v>0</v>
      </c>
      <c r="Q302" s="33"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ref="A303:A322" si="73">+B303&amp;C303</f>
        <v>PiècesEscomptes</v>
      </c>
      <c r="B303" s="11" t="s">
        <v>98</v>
      </c>
      <c r="C303" s="29" t="s">
        <v>106</v>
      </c>
      <c r="D303" s="82">
        <v>0</v>
      </c>
      <c r="E303" s="147">
        <f t="shared" ref="E303:E304" si="74">IF(D303=0,0,F303/D303)</f>
        <v>0</v>
      </c>
      <c r="F303" s="85">
        <v>9181.8208602445065</v>
      </c>
      <c r="G303" s="82"/>
      <c r="H303" s="147"/>
      <c r="I303" s="85"/>
      <c r="J303" s="30">
        <v>0</v>
      </c>
      <c r="K303" s="147">
        <f>IF(J303&lt;=0,0,L303/J303)</f>
        <v>0</v>
      </c>
      <c r="L303" s="33">
        <v>11447.36</v>
      </c>
      <c r="M303" s="156"/>
      <c r="N303" s="59">
        <f t="shared" si="68"/>
        <v>2265.539139755494</v>
      </c>
      <c r="O303" s="30">
        <v>0</v>
      </c>
      <c r="P303" s="147">
        <f t="shared" si="69"/>
        <v>0</v>
      </c>
      <c r="Q303" s="33">
        <v>20142.95</v>
      </c>
      <c r="R303" s="156">
        <f t="shared" ref="R303:R304" si="75">IF(O303=0,0,(J303-O303)/O303)</f>
        <v>0</v>
      </c>
      <c r="S303" s="85">
        <f>L303-Q303</f>
        <v>-8695.59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74"/>
        <v>0</v>
      </c>
      <c r="F304" s="85">
        <v>0</v>
      </c>
      <c r="G304" s="82"/>
      <c r="H304" s="147"/>
      <c r="I304" s="85"/>
      <c r="J304" s="30">
        <v>0</v>
      </c>
      <c r="K304" s="147">
        <f>IF(J304&lt;=0,0,L304/J304)</f>
        <v>0</v>
      </c>
      <c r="L304" s="33">
        <v>0</v>
      </c>
      <c r="M304" s="156"/>
      <c r="N304" s="59">
        <f t="shared" si="68"/>
        <v>0</v>
      </c>
      <c r="O304" s="30">
        <v>0</v>
      </c>
      <c r="P304" s="147">
        <f t="shared" si="69"/>
        <v>0</v>
      </c>
      <c r="Q304" s="33">
        <v>0</v>
      </c>
      <c r="R304" s="156">
        <f t="shared" si="75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PiècesSous-total Pièces</v>
      </c>
      <c r="B305" s="11" t="s">
        <v>98</v>
      </c>
      <c r="C305" s="53" t="s">
        <v>108</v>
      </c>
      <c r="D305" s="194">
        <f>SUM(D296:D304)</f>
        <v>247909.1632266017</v>
      </c>
      <c r="E305" s="212">
        <f>IF(D305&lt;=0,0,F305/D305)</f>
        <v>0.32969152467235596</v>
      </c>
      <c r="F305" s="198">
        <f>SUM(F296:F304)</f>
        <v>81733.550004426274</v>
      </c>
      <c r="G305" s="194"/>
      <c r="H305" s="212"/>
      <c r="I305" s="198"/>
      <c r="J305" s="194">
        <f>SUM(J296:J304)</f>
        <v>298088.43000000005</v>
      </c>
      <c r="K305" s="212">
        <f>IF(J305&lt;=0,0,L305/J305)</f>
        <v>0.32953469545933056</v>
      </c>
      <c r="L305" s="196">
        <f>SUM(L296:L304)</f>
        <v>98230.48</v>
      </c>
      <c r="M305" s="213">
        <f>(+J305-D305)/D305</f>
        <v>0.20240989126945635</v>
      </c>
      <c r="N305" s="196">
        <f t="shared" si="68"/>
        <v>16496.929995573722</v>
      </c>
      <c r="O305" s="194">
        <f>SUM(O296:O304)</f>
        <v>231028.47999999986</v>
      </c>
      <c r="P305" s="212">
        <f>IF(O305&lt;=0,0,Q305/O305)</f>
        <v>0.37315875514568531</v>
      </c>
      <c r="Q305" s="196">
        <f t="shared" ref="Q305" si="76">SUM(Q296:Q304)</f>
        <v>86210.299999999799</v>
      </c>
      <c r="R305" s="213">
        <f>IF(O305=0,0,(J305-O305)/O305)</f>
        <v>0.29026702681851269</v>
      </c>
      <c r="S305" s="198">
        <f>L305-Q305</f>
        <v>12020.180000000197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0.20183792328462832</v>
      </c>
      <c r="O306" s="41"/>
      <c r="P306" s="13"/>
      <c r="Q306" s="40"/>
      <c r="R306" s="41"/>
      <c r="S306" s="44">
        <f>IF(Q305=0,0,S305/Q305)</f>
        <v>0.13942858335953157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PiècesVentes Pneus</v>
      </c>
      <c r="B308" s="11" t="s">
        <v>98</v>
      </c>
      <c r="C308" s="29" t="s">
        <v>109</v>
      </c>
      <c r="D308" s="82">
        <v>136970.64724717833</v>
      </c>
      <c r="E308" s="147">
        <f>IF(D308=0,0,F308/D308)</f>
        <v>0.25</v>
      </c>
      <c r="F308" s="110">
        <v>34242.661811794584</v>
      </c>
      <c r="G308" s="82"/>
      <c r="H308" s="147"/>
      <c r="I308" s="110"/>
      <c r="J308" s="30">
        <v>111353.87</v>
      </c>
      <c r="K308" s="147">
        <f>IF(J308&lt;=0,0,L308/J308)</f>
        <v>0.23339404369152147</v>
      </c>
      <c r="L308" s="33">
        <v>25989.33</v>
      </c>
      <c r="M308" s="156">
        <f>(+J308-D308)/D308</f>
        <v>-0.18702384607229092</v>
      </c>
      <c r="N308" s="59">
        <f>L308-F308</f>
        <v>-8253.3318117945819</v>
      </c>
      <c r="O308" s="30">
        <v>123870.27</v>
      </c>
      <c r="P308" s="147">
        <f t="shared" ref="P308:P309" si="77">IF(O308=0,0,Q308/O308)</f>
        <v>0.23530569522452804</v>
      </c>
      <c r="Q308" s="33">
        <v>29147.38</v>
      </c>
      <c r="R308" s="156">
        <f>IF(O308=0,0,(J308-O308)/O308)</f>
        <v>-0.10104442333095753</v>
      </c>
      <c r="S308" s="85">
        <f>L308-Q308</f>
        <v>-3158.0499999999993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PiècesHuiles et Graisse</v>
      </c>
      <c r="B309" s="11" t="s">
        <v>98</v>
      </c>
      <c r="C309" s="86" t="s">
        <v>110</v>
      </c>
      <c r="D309" s="82">
        <v>13197.26526131521</v>
      </c>
      <c r="E309" s="147">
        <f>IF(D309=0,0,F309/D309)</f>
        <v>0.35499999999999998</v>
      </c>
      <c r="F309" s="92">
        <v>4685.0291677668993</v>
      </c>
      <c r="G309" s="82"/>
      <c r="H309" s="147"/>
      <c r="I309" s="92"/>
      <c r="J309" s="30">
        <v>14482.34</v>
      </c>
      <c r="K309" s="147">
        <f>IF(J309&lt;=0,0,L309/J309)</f>
        <v>0.32970845871592575</v>
      </c>
      <c r="L309" s="33">
        <v>4774.95</v>
      </c>
      <c r="M309" s="156">
        <f>(+J309-D309)/D309</f>
        <v>9.7374320606534739E-2</v>
      </c>
      <c r="N309" s="59">
        <f>L309-F309</f>
        <v>89.920832233100555</v>
      </c>
      <c r="O309" s="30">
        <v>12727.68</v>
      </c>
      <c r="P309" s="147">
        <f t="shared" si="77"/>
        <v>0.37178338864584903</v>
      </c>
      <c r="Q309" s="33">
        <v>4731.9399999999996</v>
      </c>
      <c r="R309" s="156">
        <f>IF(O309=0,0,(J309-O309)/O309)</f>
        <v>0.13786173128174184</v>
      </c>
      <c r="S309" s="85">
        <f>L309-Q309</f>
        <v>43.010000000000218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PiècesSous-total Pièces et Acc.</v>
      </c>
      <c r="B310" s="11" t="s">
        <v>98</v>
      </c>
      <c r="C310" s="53" t="s">
        <v>111</v>
      </c>
      <c r="D310" s="194">
        <f>D305+D308+D309</f>
        <v>398077.07573509525</v>
      </c>
      <c r="E310" s="212">
        <f>IF(D310&lt;=0,0,F310/D310)</f>
        <v>0.30311024758502575</v>
      </c>
      <c r="F310" s="196">
        <f>F305+F308+F309</f>
        <v>120661.24098398777</v>
      </c>
      <c r="G310" s="197"/>
      <c r="H310" s="212"/>
      <c r="I310" s="196"/>
      <c r="J310" s="197">
        <f>J305+J308+J309</f>
        <v>423924.64000000007</v>
      </c>
      <c r="K310" s="212">
        <f>IF(J310&lt;=0,0,L310/J310)</f>
        <v>0.30428700723789015</v>
      </c>
      <c r="L310" s="196">
        <f>L305+L308+L309</f>
        <v>128994.76</v>
      </c>
      <c r="M310" s="213">
        <f>(+J310-D310)/D310</f>
        <v>6.4931054412450936E-2</v>
      </c>
      <c r="N310" s="196">
        <f>L310-F310</f>
        <v>8333.5190160122293</v>
      </c>
      <c r="O310" s="197">
        <f>O305+O308+O309</f>
        <v>367626.42999999988</v>
      </c>
      <c r="P310" s="212">
        <f>IF(O310&lt;=0,0,Q310/O310)</f>
        <v>0.32666209554084524</v>
      </c>
      <c r="Q310" s="196">
        <f t="shared" ref="Q310" si="78">Q305+Q308+Q309</f>
        <v>120089.61999999981</v>
      </c>
      <c r="R310" s="213">
        <f>IF(O310=0,0,(J310-O310)/O310)</f>
        <v>0.15313972393116626</v>
      </c>
      <c r="S310" s="198">
        <f>L310-Q310</f>
        <v>8905.1400000001886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6.9065417760108411E-2</v>
      </c>
      <c r="O311" s="41"/>
      <c r="P311" s="13"/>
      <c r="Q311" s="40"/>
      <c r="R311" s="41"/>
      <c r="S311" s="44">
        <f>IF(Q310=0,0,S310/Q310)</f>
        <v>7.4154119231955293E-2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25">
      <c r="A313" t="str">
        <f t="shared" si="73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73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Top="1">
      <c r="A315" t="str">
        <f t="shared" si="73"/>
        <v>PiècesTotal Dépt. Pièces</v>
      </c>
      <c r="B315" s="11" t="s">
        <v>98</v>
      </c>
      <c r="C315" s="62" t="s">
        <v>113</v>
      </c>
      <c r="D315" s="63">
        <f>D310+D313</f>
        <v>398077.07573509525</v>
      </c>
      <c r="E315" s="218">
        <f>IF(D315&lt;=0,0,F315/D315)</f>
        <v>0.30311024758502575</v>
      </c>
      <c r="F315" s="65">
        <f>F310+F313</f>
        <v>120661.24098398777</v>
      </c>
      <c r="G315" s="66"/>
      <c r="H315" s="218"/>
      <c r="I315" s="65"/>
      <c r="J315" s="66">
        <f>J310+J313</f>
        <v>423924.64000000007</v>
      </c>
      <c r="K315" s="218">
        <f>IF(J315&lt;=0,0,L315/J315)</f>
        <v>0.30428700723789015</v>
      </c>
      <c r="L315" s="65">
        <f>L310+L313</f>
        <v>128994.76</v>
      </c>
      <c r="M315" s="219">
        <f>(+J315-D315)/D315</f>
        <v>6.4931054412450936E-2</v>
      </c>
      <c r="N315" s="220">
        <f>L315-F315</f>
        <v>8333.5190160122293</v>
      </c>
      <c r="O315" s="66">
        <f>O310+O313</f>
        <v>367626.42999999988</v>
      </c>
      <c r="P315" s="218">
        <f>IF(O315&lt;=0,0,Q315/O315)</f>
        <v>0.32666209554084524</v>
      </c>
      <c r="Q315" s="65">
        <f t="shared" ref="Q315" si="79">Q310+Q313</f>
        <v>120089.61999999981</v>
      </c>
      <c r="R315" s="219">
        <f>IF(O315=0,0,(J315-O315)/O315)</f>
        <v>0.15313972393116626</v>
      </c>
      <c r="S315" s="221">
        <f>L315-Q315</f>
        <v>8905.1400000001886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Bot="1">
      <c r="A316" t="str">
        <f t="shared" si="73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6.9065417760108411E-2</v>
      </c>
      <c r="O316" s="226"/>
      <c r="P316" s="224"/>
      <c r="Q316" s="225"/>
      <c r="R316" s="227"/>
      <c r="S316" s="75">
        <f>IF(Q315=0,0,S315/Q315)</f>
        <v>7.4154119231955293E-2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 thickTop="1">
      <c r="A317" t="str">
        <f t="shared" si="73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cadres</v>
      </c>
      <c r="B319" s="11" t="s">
        <v>98</v>
      </c>
      <c r="C319" s="102" t="s">
        <v>40</v>
      </c>
      <c r="D319" s="13"/>
      <c r="E319" s="13"/>
      <c r="F319" s="30">
        <v>4527.3187739463601</v>
      </c>
      <c r="G319" s="41"/>
      <c r="H319" s="13"/>
      <c r="I319" s="30"/>
      <c r="J319" s="41"/>
      <c r="K319" s="13"/>
      <c r="L319" s="33">
        <v>3351.88</v>
      </c>
      <c r="M319" s="41"/>
      <c r="N319" s="59">
        <f t="shared" ref="N319:N349" si="80">L319-F319</f>
        <v>-1175.43877394636</v>
      </c>
      <c r="O319" s="41"/>
      <c r="P319" s="13"/>
      <c r="Q319" s="33">
        <v>3271.86</v>
      </c>
      <c r="R319" s="41"/>
      <c r="S319" s="85">
        <f t="shared" ref="S319:S322" si="81">L319-Q319</f>
        <v>80.019999999999982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commis</v>
      </c>
      <c r="B320" s="11" t="s">
        <v>98</v>
      </c>
      <c r="C320" s="103" t="s">
        <v>41</v>
      </c>
      <c r="D320" s="81"/>
      <c r="E320" s="13"/>
      <c r="F320" s="22">
        <v>2423.0906206896552</v>
      </c>
      <c r="G320" s="83"/>
      <c r="H320" s="13"/>
      <c r="I320" s="22"/>
      <c r="J320" s="41"/>
      <c r="K320" s="13"/>
      <c r="L320" s="33">
        <v>1737.88</v>
      </c>
      <c r="M320" s="41"/>
      <c r="N320" s="59">
        <f t="shared" si="80"/>
        <v>-685.21062068965512</v>
      </c>
      <c r="O320" s="41"/>
      <c r="P320" s="13"/>
      <c r="Q320" s="33">
        <v>2682.61</v>
      </c>
      <c r="R320" s="41"/>
      <c r="S320" s="85">
        <f t="shared" si="81"/>
        <v>-944.73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autres</v>
      </c>
      <c r="B321" s="11" t="s">
        <v>98</v>
      </c>
      <c r="C321" s="102" t="s">
        <v>42</v>
      </c>
      <c r="D321" s="104"/>
      <c r="E321" s="105"/>
      <c r="F321" s="30">
        <v>19050.673763484407</v>
      </c>
      <c r="G321" s="106"/>
      <c r="H321" s="105"/>
      <c r="I321" s="30"/>
      <c r="J321" s="107"/>
      <c r="K321" s="105"/>
      <c r="L321" s="108">
        <v>16062.58</v>
      </c>
      <c r="M321" s="107"/>
      <c r="N321" s="109">
        <f t="shared" si="80"/>
        <v>-2988.0937634844067</v>
      </c>
      <c r="O321" s="107"/>
      <c r="P321" s="105"/>
      <c r="Q321" s="108">
        <v>14705.29</v>
      </c>
      <c r="R321" s="107"/>
      <c r="S321" s="110">
        <f t="shared" si="81"/>
        <v>1357.2899999999991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73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 t="shared" si="81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 hidden="1">
      <c r="A325" t="str">
        <f>+B325&amp;C325</f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80"/>
        <v>0</v>
      </c>
      <c r="O325" s="41"/>
      <c r="P325" s="13"/>
      <c r="Q325" s="33"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37" si="82">+B326&amp;C326</f>
        <v>PiècesSalaires en absences</v>
      </c>
      <c r="B326" s="11" t="s">
        <v>98</v>
      </c>
      <c r="C326" s="103" t="s">
        <v>44</v>
      </c>
      <c r="D326" s="81"/>
      <c r="E326" s="13"/>
      <c r="F326" s="22">
        <v>3886.381257879827</v>
      </c>
      <c r="G326" s="83"/>
      <c r="H326" s="13"/>
      <c r="I326" s="22"/>
      <c r="J326" s="41"/>
      <c r="K326" s="13"/>
      <c r="L326" s="33">
        <v>2986.88</v>
      </c>
      <c r="M326" s="41"/>
      <c r="N326" s="59">
        <f t="shared" si="80"/>
        <v>-899.50125787982688</v>
      </c>
      <c r="O326" s="41"/>
      <c r="P326" s="13"/>
      <c r="Q326" s="33">
        <v>2762.84</v>
      </c>
      <c r="R326" s="41"/>
      <c r="S326" s="85">
        <f t="shared" ref="S326:S337" si="83">L326-Q326</f>
        <v>224.03999999999996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PiècesDéduction à la source</v>
      </c>
      <c r="B327" s="11" t="s">
        <v>98</v>
      </c>
      <c r="C327" s="102" t="s">
        <v>45</v>
      </c>
      <c r="D327" s="104"/>
      <c r="E327" s="105"/>
      <c r="F327" s="30">
        <v>3966.9220884152228</v>
      </c>
      <c r="G327" s="106"/>
      <c r="H327" s="105"/>
      <c r="I327" s="30"/>
      <c r="J327" s="107"/>
      <c r="K327" s="105"/>
      <c r="L327" s="108">
        <v>3502.66</v>
      </c>
      <c r="M327" s="107"/>
      <c r="N327" s="109">
        <f t="shared" si="80"/>
        <v>-464.26208841522293</v>
      </c>
      <c r="O327" s="107"/>
      <c r="P327" s="105"/>
      <c r="Q327" s="108">
        <v>3493.23</v>
      </c>
      <c r="R327" s="107"/>
      <c r="S327" s="110">
        <f t="shared" si="83"/>
        <v>9.4299999999998363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PiècesBénéfices marginaux</v>
      </c>
      <c r="B328" s="11" t="s">
        <v>98</v>
      </c>
      <c r="C328" s="102" t="s">
        <v>46</v>
      </c>
      <c r="D328" s="81"/>
      <c r="E328" s="13"/>
      <c r="F328" s="30">
        <v>2879.6915901088282</v>
      </c>
      <c r="G328" s="83"/>
      <c r="H328" s="13"/>
      <c r="I328" s="30"/>
      <c r="J328" s="41"/>
      <c r="K328" s="13"/>
      <c r="L328" s="33">
        <v>2633.34</v>
      </c>
      <c r="M328" s="41"/>
      <c r="N328" s="59">
        <f t="shared" si="80"/>
        <v>-246.35159010882808</v>
      </c>
      <c r="O328" s="41"/>
      <c r="P328" s="13"/>
      <c r="Q328" s="33">
        <v>1800.74</v>
      </c>
      <c r="R328" s="41"/>
      <c r="S328" s="85">
        <f t="shared" si="83"/>
        <v>832.60000000000014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>
      <c r="A329" t="str">
        <f t="shared" si="82"/>
        <v>PiècesCsst</v>
      </c>
      <c r="B329" s="11" t="s">
        <v>98</v>
      </c>
      <c r="C329" s="102" t="s">
        <v>47</v>
      </c>
      <c r="D329" s="81"/>
      <c r="E329" s="13"/>
      <c r="F329" s="30">
        <v>719.92289752720706</v>
      </c>
      <c r="G329" s="83"/>
      <c r="H329" s="13"/>
      <c r="I329" s="30"/>
      <c r="J329" s="41"/>
      <c r="K329" s="13"/>
      <c r="L329" s="33">
        <v>441.52</v>
      </c>
      <c r="M329" s="462"/>
      <c r="N329" s="145">
        <f t="shared" si="80"/>
        <v>-278.40289752720707</v>
      </c>
      <c r="O329" s="41"/>
      <c r="P329" s="13"/>
      <c r="Q329" s="33">
        <v>567.48</v>
      </c>
      <c r="R329" s="41"/>
      <c r="S329" s="85">
        <f t="shared" si="83"/>
        <v>-125.96000000000004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 hidden="1">
      <c r="A330" t="str">
        <f t="shared" si="8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80"/>
        <v>0</v>
      </c>
      <c r="O330" s="23"/>
      <c r="P330" s="111"/>
      <c r="Q330" s="33">
        <v>0</v>
      </c>
      <c r="R330" s="23"/>
      <c r="S330" s="92">
        <f t="shared" si="83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0.31040623058917327</v>
      </c>
      <c r="F331" s="96">
        <f>+SUM(F319:F330)</f>
        <v>37454.000992051508</v>
      </c>
      <c r="G331" s="97"/>
      <c r="H331" s="95"/>
      <c r="I331" s="96"/>
      <c r="J331" s="97" t="s">
        <v>38</v>
      </c>
      <c r="K331" s="95">
        <f>L331/L$315</f>
        <v>0.23812393619709826</v>
      </c>
      <c r="L331" s="96">
        <f>+SUM(L319:L330)</f>
        <v>30716.74</v>
      </c>
      <c r="M331" s="146"/>
      <c r="N331" s="113">
        <f t="shared" si="80"/>
        <v>-6737.260992051506</v>
      </c>
      <c r="O331" s="97" t="s">
        <v>38</v>
      </c>
      <c r="P331" s="95">
        <f>Q331/Q$315</f>
        <v>0.24385163347173594</v>
      </c>
      <c r="Q331" s="96">
        <f>+SUM(Q319:Q330)</f>
        <v>29284.050000000003</v>
      </c>
      <c r="R331" s="146"/>
      <c r="S331" s="114">
        <f t="shared" si="83"/>
        <v>1432.6899999999987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PiècesPublicité 2</v>
      </c>
      <c r="B332" s="11" t="s">
        <v>98</v>
      </c>
      <c r="C332" s="210" t="s">
        <v>49</v>
      </c>
      <c r="D332" s="81"/>
      <c r="E332" s="13"/>
      <c r="F332" s="30">
        <v>1680.4482241429673</v>
      </c>
      <c r="G332" s="83"/>
      <c r="H332" s="13"/>
      <c r="I332" s="30"/>
      <c r="J332" s="41"/>
      <c r="K332" s="13"/>
      <c r="L332" s="33">
        <v>3162.33</v>
      </c>
      <c r="M332" s="41"/>
      <c r="N332" s="59">
        <f t="shared" si="80"/>
        <v>1481.8817758570326</v>
      </c>
      <c r="O332" s="41"/>
      <c r="P332" s="13"/>
      <c r="Q332" s="33">
        <v>4993</v>
      </c>
      <c r="R332" s="41"/>
      <c r="S332" s="85">
        <f t="shared" si="83"/>
        <v>-1830.67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0</v>
      </c>
      <c r="M333" s="41"/>
      <c r="N333" s="59">
        <f t="shared" si="80"/>
        <v>-625</v>
      </c>
      <c r="O333" s="41"/>
      <c r="P333" s="13"/>
      <c r="Q333" s="33">
        <v>260.11</v>
      </c>
      <c r="R333" s="41"/>
      <c r="S333" s="85">
        <f t="shared" si="83"/>
        <v>-260.11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5073.38</v>
      </c>
      <c r="M334" s="23"/>
      <c r="N334" s="91">
        <f t="shared" si="80"/>
        <v>249.71333333333314</v>
      </c>
      <c r="O334" s="23"/>
      <c r="P334" s="111"/>
      <c r="Q334" s="33">
        <v>5490.18</v>
      </c>
      <c r="R334" s="23"/>
      <c r="S334" s="92">
        <f t="shared" si="83"/>
        <v>-416.80000000000018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3076.85</v>
      </c>
      <c r="M335" s="41"/>
      <c r="N335" s="59">
        <f t="shared" si="80"/>
        <v>425.37466666666614</v>
      </c>
      <c r="O335" s="41"/>
      <c r="P335" s="13"/>
      <c r="Q335" s="108">
        <v>1828.98</v>
      </c>
      <c r="R335" s="41"/>
      <c r="S335" s="85">
        <f t="shared" si="83"/>
        <v>1247.8699999999999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1051.6199999999999</v>
      </c>
      <c r="M336" s="41"/>
      <c r="N336" s="59">
        <f t="shared" si="80"/>
        <v>53.286666666666633</v>
      </c>
      <c r="O336" s="41"/>
      <c r="P336" s="13"/>
      <c r="Q336" s="33">
        <v>494</v>
      </c>
      <c r="R336" s="41"/>
      <c r="S336" s="85">
        <f t="shared" si="83"/>
        <v>557.61999999999989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8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1521.07</v>
      </c>
      <c r="M337" s="23"/>
      <c r="N337" s="91">
        <f t="shared" si="80"/>
        <v>202.49399999999991</v>
      </c>
      <c r="O337" s="23"/>
      <c r="P337" s="111"/>
      <c r="Q337" s="48">
        <v>2944.8199999999902</v>
      </c>
      <c r="R337" s="23"/>
      <c r="S337" s="92">
        <f t="shared" si="83"/>
        <v>-1423.7499999999902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 hidden="1">
      <c r="A338" t="str">
        <f>+B338&amp;C338</f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0</v>
      </c>
      <c r="O338" s="41"/>
      <c r="P338" s="13"/>
      <c r="Q338" s="33"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ref="A339:A344" si="84">+B339&amp;C339</f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181.07</v>
      </c>
      <c r="M339" s="41"/>
      <c r="N339" s="59">
        <f t="shared" si="80"/>
        <v>166.07</v>
      </c>
      <c r="O339" s="41"/>
      <c r="P339" s="13"/>
      <c r="Q339" s="33">
        <v>0</v>
      </c>
      <c r="R339" s="41"/>
      <c r="S339" s="85">
        <f t="shared" ref="S339:S344" si="85">L339-Q339</f>
        <v>181.07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147.88</v>
      </c>
      <c r="M340" s="41"/>
      <c r="N340" s="59">
        <f t="shared" si="80"/>
        <v>110.38</v>
      </c>
      <c r="O340" s="41"/>
      <c r="P340" s="13"/>
      <c r="Q340" s="33">
        <v>132</v>
      </c>
      <c r="R340" s="41"/>
      <c r="S340" s="85">
        <f t="shared" si="85"/>
        <v>15.879999999999995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202.16</v>
      </c>
      <c r="M341" s="41"/>
      <c r="N341" s="59">
        <f t="shared" si="80"/>
        <v>-87.84</v>
      </c>
      <c r="O341" s="41"/>
      <c r="P341" s="13"/>
      <c r="Q341" s="32">
        <v>191.75</v>
      </c>
      <c r="R341" s="41"/>
      <c r="S341" s="85">
        <f t="shared" si="85"/>
        <v>10.409999999999997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306.58999999999997</v>
      </c>
      <c r="M342" s="41"/>
      <c r="N342" s="59">
        <f t="shared" si="80"/>
        <v>192.78999999999996</v>
      </c>
      <c r="O342" s="41"/>
      <c r="P342" s="13"/>
      <c r="Q342" s="33">
        <v>98.66</v>
      </c>
      <c r="R342" s="41"/>
      <c r="S342" s="85">
        <f t="shared" si="85"/>
        <v>207.92999999999998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1929.02</v>
      </c>
      <c r="M343" s="41"/>
      <c r="N343" s="59">
        <f t="shared" si="80"/>
        <v>-442.64666666666699</v>
      </c>
      <c r="O343" s="41"/>
      <c r="P343" s="13"/>
      <c r="Q343" s="33">
        <v>966.51</v>
      </c>
      <c r="R343" s="41"/>
      <c r="S343" s="85">
        <f t="shared" si="85"/>
        <v>962.51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84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314</v>
      </c>
      <c r="M344" s="41"/>
      <c r="N344" s="59">
        <f t="shared" si="80"/>
        <v>8.6666666666666856</v>
      </c>
      <c r="O344" s="41"/>
      <c r="P344" s="13"/>
      <c r="Q344" s="33">
        <v>303.2</v>
      </c>
      <c r="R344" s="41"/>
      <c r="S344" s="85">
        <f t="shared" si="85"/>
        <v>10.800000000000011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-45.16</v>
      </c>
      <c r="M345" s="41"/>
      <c r="N345" s="59">
        <f t="shared" si="80"/>
        <v>-197.62400000000005</v>
      </c>
      <c r="O345" s="41"/>
      <c r="P345" s="13"/>
      <c r="Q345" s="33">
        <v>243.68</v>
      </c>
      <c r="R345" s="41"/>
      <c r="S345" s="85">
        <f>L345-Q345</f>
        <v>-288.84000000000003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>
      <c r="A346" t="str">
        <f>+B346&amp;C346</f>
        <v>PiècesFrais bancaires</v>
      </c>
      <c r="B346" s="11" t="s">
        <v>98</v>
      </c>
      <c r="C346" s="102" t="s">
        <v>62</v>
      </c>
      <c r="D346" s="81"/>
      <c r="E346" s="13"/>
      <c r="F346" s="30">
        <v>2147.3272889387354</v>
      </c>
      <c r="G346" s="83"/>
      <c r="H346" s="13"/>
      <c r="I346" s="30"/>
      <c r="J346" s="41"/>
      <c r="K346" s="13"/>
      <c r="L346" s="32">
        <v>1842.79</v>
      </c>
      <c r="M346" s="41"/>
      <c r="N346" s="59">
        <f t="shared" si="80"/>
        <v>-304.5372889387354</v>
      </c>
      <c r="O346" s="41"/>
      <c r="P346" s="13"/>
      <c r="Q346" s="33">
        <v>1989.28</v>
      </c>
      <c r="R346" s="41"/>
      <c r="S346" s="85">
        <f>L346-Q346</f>
        <v>-146.49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 hidden="1">
      <c r="A349" t="str">
        <f>+B349&amp;C349</f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80"/>
        <v>0</v>
      </c>
      <c r="O349" s="41"/>
      <c r="P349" s="13"/>
      <c r="Q349" s="33"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93" t="s">
        <v>63</v>
      </c>
      <c r="D350" s="94" t="s">
        <v>38</v>
      </c>
      <c r="E350" s="95">
        <f>F350/F$315</f>
        <v>0.14528767235819676</v>
      </c>
      <c r="F350" s="96">
        <f>+SUM(F332:F349)</f>
        <v>17530.590846415038</v>
      </c>
      <c r="G350" s="97"/>
      <c r="H350" s="95"/>
      <c r="I350" s="96"/>
      <c r="J350" s="97" t="s">
        <v>38</v>
      </c>
      <c r="K350" s="95">
        <f>L350/L$315</f>
        <v>0.14546017218063742</v>
      </c>
      <c r="L350" s="96">
        <f>+SUM(L332:L349)</f>
        <v>18763.599999999999</v>
      </c>
      <c r="M350" s="100"/>
      <c r="N350" s="96">
        <f>+SUM(N332:N349)</f>
        <v>1233.0091535849624</v>
      </c>
      <c r="O350" s="97" t="s">
        <v>38</v>
      </c>
      <c r="P350" s="95">
        <f>Q350/Q$315</f>
        <v>0.16601076762504555</v>
      </c>
      <c r="Q350" s="96">
        <f>+SUM(Q332:Q349)</f>
        <v>19936.169999999991</v>
      </c>
      <c r="R350" s="100"/>
      <c r="S350" s="101">
        <f>+SUM(S332:S349)</f>
        <v>-1172.5699999999913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93" t="s">
        <v>64</v>
      </c>
      <c r="D352" s="94" t="s">
        <v>38</v>
      </c>
      <c r="E352" s="95">
        <f>F352/F$315</f>
        <v>0.45569390294737</v>
      </c>
      <c r="F352" s="96">
        <f>F331+F350</f>
        <v>54984.591838466542</v>
      </c>
      <c r="G352" s="97"/>
      <c r="H352" s="95"/>
      <c r="I352" s="96"/>
      <c r="J352" s="97" t="s">
        <v>38</v>
      </c>
      <c r="K352" s="95">
        <f>L352/L$315</f>
        <v>0.38358410837773566</v>
      </c>
      <c r="L352" s="96">
        <f>L331+L350</f>
        <v>49480.34</v>
      </c>
      <c r="M352" s="100"/>
      <c r="N352" s="113">
        <f>L352-F352</f>
        <v>-5504.2518384665455</v>
      </c>
      <c r="O352" s="97" t="s">
        <v>38</v>
      </c>
      <c r="P352" s="95">
        <f>Q352/Q$315</f>
        <v>0.40986240109678151</v>
      </c>
      <c r="Q352" s="96">
        <f>Q331+Q350</f>
        <v>49220.219999999994</v>
      </c>
      <c r="R352" s="100"/>
      <c r="S352" s="114">
        <f>L352-Q352</f>
        <v>260.12000000000262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25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Bot="1">
      <c r="B354" s="7"/>
      <c r="C354" s="124" t="s">
        <v>69</v>
      </c>
      <c r="D354" s="151"/>
      <c r="E354" s="125"/>
      <c r="F354" s="127">
        <f>F315-F352</f>
        <v>65676.649145521224</v>
      </c>
      <c r="G354" s="152"/>
      <c r="H354" s="125"/>
      <c r="I354" s="127"/>
      <c r="J354" s="153"/>
      <c r="K354" s="126"/>
      <c r="L354" s="127">
        <f>L315-L352</f>
        <v>79514.42</v>
      </c>
      <c r="M354" s="153"/>
      <c r="N354" s="127">
        <f>L354-F354</f>
        <v>13837.770854478775</v>
      </c>
      <c r="O354" s="153"/>
      <c r="P354" s="126"/>
      <c r="Q354" s="127">
        <f>Q315-Q352</f>
        <v>70869.39999999982</v>
      </c>
      <c r="R354" s="153"/>
      <c r="S354" s="129">
        <f>L354-Q354</f>
        <v>8645.0200000001787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0.25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25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Avril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5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Top="1">
      <c r="B359" s="7"/>
      <c r="C359" s="12"/>
      <c r="D359" s="510" t="s">
        <v>5</v>
      </c>
      <c r="E359" s="511"/>
      <c r="F359" s="512"/>
      <c r="G359" s="513"/>
      <c r="H359" s="511"/>
      <c r="I359" s="512"/>
      <c r="J359" s="513" t="s">
        <v>7</v>
      </c>
      <c r="K359" s="511"/>
      <c r="L359" s="512"/>
      <c r="M359" s="513"/>
      <c r="N359" s="512"/>
      <c r="O359" s="510" t="s">
        <v>8</v>
      </c>
      <c r="P359" s="511"/>
      <c r="Q359" s="512"/>
      <c r="R359" s="513" t="s">
        <v>9</v>
      </c>
      <c r="S359" s="514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86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Top="1">
      <c r="A361" t="str">
        <f t="shared" si="86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Bot="1">
      <c r="A362" t="str">
        <f t="shared" si="86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 thickTop="1">
      <c r="A363" t="str">
        <f t="shared" si="86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 t="shared" ref="Q363" si="87"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ref="S367:S395" si="88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8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8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8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8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8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8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8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8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8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8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8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8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A395" t="str">
        <f t="shared" si="86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8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0.25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.75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0.25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25">
      <c r="B402" s="7"/>
      <c r="C402" s="13"/>
      <c r="D402" s="13"/>
      <c r="E402" s="13"/>
      <c r="F402" s="82">
        <f>F354+F290+F234</f>
        <v>133658.61707447172</v>
      </c>
      <c r="G402" s="13"/>
      <c r="H402" s="13"/>
      <c r="I402" s="13"/>
      <c r="J402" s="13"/>
      <c r="K402" s="13"/>
      <c r="L402" s="82">
        <f>L354+L290+L234</f>
        <v>127034.53000000001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25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0.95044025428767598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Avril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.75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1.75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06" t="s">
        <v>117</v>
      </c>
      <c r="Y405" s="504"/>
      <c r="Z405" s="507"/>
      <c r="AA405" s="503"/>
      <c r="AB405" s="504"/>
      <c r="AC405" s="507"/>
      <c r="AD405" s="503" t="s">
        <v>7</v>
      </c>
      <c r="AE405" s="504"/>
      <c r="AF405" s="507"/>
      <c r="AG405" s="503" t="s">
        <v>212</v>
      </c>
      <c r="AH405" s="504"/>
      <c r="AI405" s="507"/>
      <c r="AJ405" s="503" t="s">
        <v>118</v>
      </c>
      <c r="AK405" s="504"/>
      <c r="AL405" s="504"/>
      <c r="AM405" s="503" t="s">
        <v>119</v>
      </c>
      <c r="AN405" s="504"/>
      <c r="AO405" s="505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25">
      <c r="A406" t="str">
        <f t="shared" ref="A406:A485" si="89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8">
      <c r="A407" t="str">
        <f t="shared" si="89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5932390.6174224121</v>
      </c>
      <c r="AA407" s="261"/>
      <c r="AB407" s="261"/>
      <c r="AC407" s="262"/>
      <c r="AD407" s="263"/>
      <c r="AE407" s="264"/>
      <c r="AF407" s="264">
        <f>L5+L93+K195+K251+J315+J363</f>
        <v>6155759.4600000009</v>
      </c>
      <c r="AG407" s="263"/>
      <c r="AH407" s="264"/>
      <c r="AI407" s="265"/>
      <c r="AJ407" s="263"/>
      <c r="AK407" s="264"/>
      <c r="AL407" s="264">
        <f>Q5+Q93+P195+P251+O315+O363</f>
        <v>4784256.5199999996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8">
      <c r="A408" t="str">
        <f t="shared" si="89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616096.94892695127</v>
      </c>
      <c r="AA408" s="269"/>
      <c r="AB408" s="269"/>
      <c r="AC408" s="270"/>
      <c r="AD408" s="271"/>
      <c r="AE408" s="272"/>
      <c r="AF408" s="272">
        <f>L27+L109+L195+L251+L315+L363</f>
        <v>490626.31000000058</v>
      </c>
      <c r="AG408" s="271"/>
      <c r="AH408" s="272">
        <f>AF408-Z408</f>
        <v>-125470.63892695069</v>
      </c>
      <c r="AI408" s="273">
        <f>AH408/Z408</f>
        <v>-0.20365405013850726</v>
      </c>
      <c r="AJ408" s="271">
        <f>+AL408/AL407</f>
        <v>0.12274428378685666</v>
      </c>
      <c r="AK408" s="272"/>
      <c r="AL408" s="272">
        <f>Q27+Q109+Q195+Q251+Q315+Q363</f>
        <v>587240.1399999992</v>
      </c>
      <c r="AM408" s="274"/>
      <c r="AN408" s="272">
        <f>AF408-AL408</f>
        <v>-96613.829999998619</v>
      </c>
      <c r="AO408" s="275">
        <f>IF(AL408=0,0,AN408/AL408)</f>
        <v>-0.16452184280181997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8">
      <c r="A409" t="str">
        <f t="shared" si="89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8">
      <c r="A410" t="str">
        <f t="shared" si="89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90">Z410/(D$13+D$97)</f>
        <v>963.83709737420168</v>
      </c>
      <c r="Z410" s="278">
        <f t="shared" ref="Z410:Z416" si="91">+SUMIF($C:$C,$V410,F:F)</f>
        <v>53011.040355581092</v>
      </c>
      <c r="AA410" s="277"/>
      <c r="AB410" s="285"/>
      <c r="AC410" s="278"/>
      <c r="AD410" s="286"/>
      <c r="AE410" s="285">
        <f t="shared" ref="AE410:AE415" si="92">IF(AF410=0,0,AF410/(J$13+J$97))</f>
        <v>938.93857142857144</v>
      </c>
      <c r="AF410" s="278">
        <f t="shared" ref="AF410:AF416" si="93">+SUMIF($C:$C,$V410,L:L)</f>
        <v>32862.85</v>
      </c>
      <c r="AG410" s="279">
        <f t="shared" ref="AG410:AH425" si="94">AE410-Y410</f>
        <v>-24.89852594563024</v>
      </c>
      <c r="AH410" s="280">
        <f t="shared" si="94"/>
        <v>-20148.190355581093</v>
      </c>
      <c r="AI410" s="281">
        <f t="shared" ref="AI410:AI419" si="95">IF(Z410=0,0,AH410/Z410)</f>
        <v>-0.38007536204597159</v>
      </c>
      <c r="AJ410" s="286"/>
      <c r="AK410" s="280">
        <f t="shared" ref="AK410:AK419" si="96">AL410/(O$13+O$97)</f>
        <v>1075.2397674418605</v>
      </c>
      <c r="AL410" s="278">
        <f t="shared" ref="AL410:AL415" si="97">+SUMIF($C:$C,$V410,Q:Q)</f>
        <v>46235.31</v>
      </c>
      <c r="AM410" s="282">
        <f t="shared" ref="AM410:AM415" si="98">AE410-Y410</f>
        <v>-24.89852594563024</v>
      </c>
      <c r="AN410" s="280">
        <f t="shared" ref="AN410:AN415" si="99">AF410-AL410</f>
        <v>-13372.46</v>
      </c>
      <c r="AO410" s="287">
        <f t="shared" ref="AO410:AO432" si="100">IF(AL410=0,0,AN410/AL410)</f>
        <v>-0.28922613474420306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8">
      <c r="A411" t="str">
        <f t="shared" si="89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90"/>
        <v>485.76363636363635</v>
      </c>
      <c r="Z411" s="262">
        <f t="shared" si="91"/>
        <v>26717</v>
      </c>
      <c r="AA411" s="261"/>
      <c r="AB411" s="289"/>
      <c r="AC411" s="262"/>
      <c r="AD411" s="290"/>
      <c r="AE411" s="289">
        <f t="shared" si="92"/>
        <v>284.18428571428575</v>
      </c>
      <c r="AF411" s="262">
        <f t="shared" si="93"/>
        <v>9946.4500000000007</v>
      </c>
      <c r="AG411" s="263">
        <f t="shared" si="94"/>
        <v>-201.5793506493506</v>
      </c>
      <c r="AH411" s="264">
        <f t="shared" si="94"/>
        <v>-16770.55</v>
      </c>
      <c r="AI411" s="291">
        <f t="shared" si="95"/>
        <v>-0.62771082082569152</v>
      </c>
      <c r="AJ411" s="290"/>
      <c r="AK411" s="264">
        <f t="shared" si="96"/>
        <v>903.27860465116271</v>
      </c>
      <c r="AL411" s="262">
        <f t="shared" si="97"/>
        <v>38840.979999999996</v>
      </c>
      <c r="AM411" s="266">
        <f t="shared" si="98"/>
        <v>-201.5793506493506</v>
      </c>
      <c r="AN411" s="264">
        <f t="shared" si="99"/>
        <v>-28894.529999999995</v>
      </c>
      <c r="AO411" s="292">
        <f t="shared" si="100"/>
        <v>-0.74391866528599426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8">
      <c r="A412" t="str">
        <f t="shared" si="89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90"/>
        <v>112.81818181818181</v>
      </c>
      <c r="Z412" s="278">
        <f t="shared" si="91"/>
        <v>6205</v>
      </c>
      <c r="AA412" s="277"/>
      <c r="AB412" s="285"/>
      <c r="AC412" s="278"/>
      <c r="AD412" s="286"/>
      <c r="AE412" s="285">
        <f t="shared" si="92"/>
        <v>191.488</v>
      </c>
      <c r="AF412" s="278">
        <f t="shared" si="93"/>
        <v>6702.08</v>
      </c>
      <c r="AG412" s="279">
        <f t="shared" si="94"/>
        <v>78.669818181818187</v>
      </c>
      <c r="AH412" s="280">
        <f t="shared" si="94"/>
        <v>497.07999999999993</v>
      </c>
      <c r="AI412" s="281">
        <f t="shared" si="95"/>
        <v>8.0109589041095886E-2</v>
      </c>
      <c r="AJ412" s="286"/>
      <c r="AK412" s="280">
        <f t="shared" si="96"/>
        <v>130.68465116279069</v>
      </c>
      <c r="AL412" s="278">
        <f t="shared" si="97"/>
        <v>5619.44</v>
      </c>
      <c r="AM412" s="282">
        <f t="shared" si="98"/>
        <v>78.669818181818187</v>
      </c>
      <c r="AN412" s="280">
        <f t="shared" si="99"/>
        <v>1082.6400000000003</v>
      </c>
      <c r="AO412" s="287">
        <f t="shared" si="100"/>
        <v>0.19265976680950422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8">
      <c r="A413" t="str">
        <f t="shared" si="89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90"/>
        <v>58</v>
      </c>
      <c r="Z413" s="278">
        <f t="shared" si="91"/>
        <v>3190</v>
      </c>
      <c r="AA413" s="277"/>
      <c r="AB413" s="285"/>
      <c r="AC413" s="278"/>
      <c r="AD413" s="286"/>
      <c r="AE413" s="285">
        <f t="shared" si="92"/>
        <v>83.494857142857128</v>
      </c>
      <c r="AF413" s="278">
        <f t="shared" si="93"/>
        <v>2922.3199999999997</v>
      </c>
      <c r="AG413" s="279">
        <f t="shared" si="94"/>
        <v>25.494857142857128</v>
      </c>
      <c r="AH413" s="280">
        <f t="shared" si="94"/>
        <v>-267.68000000000029</v>
      </c>
      <c r="AI413" s="281">
        <f t="shared" si="95"/>
        <v>-8.3912225705329246E-2</v>
      </c>
      <c r="AJ413" s="286"/>
      <c r="AK413" s="280">
        <f t="shared" si="96"/>
        <v>61.715116279069768</v>
      </c>
      <c r="AL413" s="278">
        <f t="shared" si="97"/>
        <v>2653.75</v>
      </c>
      <c r="AM413" s="282">
        <f t="shared" si="98"/>
        <v>25.494857142857128</v>
      </c>
      <c r="AN413" s="280">
        <f t="shared" si="99"/>
        <v>268.56999999999971</v>
      </c>
      <c r="AO413" s="293">
        <f t="shared" si="100"/>
        <v>0.10120395666509645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8">
      <c r="A414" t="str">
        <f t="shared" si="89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90"/>
        <v>80.581818181818178</v>
      </c>
      <c r="Z414" s="262">
        <f t="shared" si="91"/>
        <v>4432</v>
      </c>
      <c r="AA414" s="261"/>
      <c r="AB414" s="289"/>
      <c r="AC414" s="262"/>
      <c r="AD414" s="290"/>
      <c r="AE414" s="289">
        <f t="shared" si="92"/>
        <v>85.013999999999996</v>
      </c>
      <c r="AF414" s="262">
        <f t="shared" si="93"/>
        <v>2975.49</v>
      </c>
      <c r="AG414" s="263">
        <f t="shared" si="94"/>
        <v>4.4321818181818173</v>
      </c>
      <c r="AH414" s="264">
        <f t="shared" si="94"/>
        <v>-1456.5100000000002</v>
      </c>
      <c r="AI414" s="291">
        <f t="shared" si="95"/>
        <v>-0.32863492779783399</v>
      </c>
      <c r="AJ414" s="290"/>
      <c r="AK414" s="264">
        <f t="shared" si="96"/>
        <v>82.665581395348838</v>
      </c>
      <c r="AL414" s="262">
        <f t="shared" si="97"/>
        <v>3554.62</v>
      </c>
      <c r="AM414" s="266">
        <f t="shared" si="98"/>
        <v>4.4321818181818173</v>
      </c>
      <c r="AN414" s="264">
        <f t="shared" si="99"/>
        <v>-579.13000000000011</v>
      </c>
      <c r="AO414" s="292">
        <f t="shared" si="100"/>
        <v>-0.1629231816621749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8">
      <c r="A415" t="str">
        <f t="shared" si="89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90"/>
        <v>157.33977961432501</v>
      </c>
      <c r="Z415" s="278">
        <f t="shared" si="91"/>
        <v>8653.6878787878759</v>
      </c>
      <c r="AA415" s="281"/>
      <c r="AB415" s="285"/>
      <c r="AC415" s="278"/>
      <c r="AD415" s="286"/>
      <c r="AE415" s="285">
        <f t="shared" si="92"/>
        <v>204.21057142857146</v>
      </c>
      <c r="AF415" s="278">
        <f t="shared" si="93"/>
        <v>7147.3700000000008</v>
      </c>
      <c r="AG415" s="279">
        <f t="shared" si="94"/>
        <v>46.870791814246445</v>
      </c>
      <c r="AH415" s="280">
        <f t="shared" si="94"/>
        <v>-1506.3178787878751</v>
      </c>
      <c r="AI415" s="281">
        <f t="shared" si="95"/>
        <v>-0.17406658292820995</v>
      </c>
      <c r="AJ415" s="286"/>
      <c r="AK415" s="280">
        <f t="shared" si="96"/>
        <v>516.86395348837209</v>
      </c>
      <c r="AL415" s="278">
        <f t="shared" si="97"/>
        <v>22225.149999999998</v>
      </c>
      <c r="AM415" s="282">
        <f t="shared" si="98"/>
        <v>46.870791814246445</v>
      </c>
      <c r="AN415" s="280">
        <f t="shared" si="99"/>
        <v>-15077.779999999997</v>
      </c>
      <c r="AO415" s="287">
        <f t="shared" si="100"/>
        <v>-0.67841071938772057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25">
      <c r="A416" t="str">
        <f t="shared" si="89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90"/>
        <v>586.56058722588887</v>
      </c>
      <c r="Z416" s="278">
        <f t="shared" si="91"/>
        <v>32260.832297423887</v>
      </c>
      <c r="AA416" s="277"/>
      <c r="AB416" s="285"/>
      <c r="AC416" s="278"/>
      <c r="AD416" s="286"/>
      <c r="AE416" s="285">
        <f>IF(AF416=0,0,AF416/(J$13+J$13))</f>
        <v>581.8596</v>
      </c>
      <c r="AF416" s="278">
        <f t="shared" si="93"/>
        <v>29092.98</v>
      </c>
      <c r="AG416" s="279">
        <f t="shared" si="94"/>
        <v>-4.7009872258888663</v>
      </c>
      <c r="AH416" s="280">
        <f t="shared" si="94"/>
        <v>-3167.8522974238876</v>
      </c>
      <c r="AI416" s="281">
        <f t="shared" si="95"/>
        <v>-9.8194995969674626E-2</v>
      </c>
      <c r="AJ416" s="286"/>
      <c r="AK416" s="280">
        <f t="shared" si="96"/>
        <v>673.88232558139532</v>
      </c>
      <c r="AL416" s="278">
        <f>IFERROR(SUMIF($C:$C,$V416,Q:Q),0)</f>
        <v>28976.94</v>
      </c>
      <c r="AM416" s="282">
        <f>AE416-Y416</f>
        <v>-4.7009872258888663</v>
      </c>
      <c r="AN416" s="280">
        <f>AF416-AL416</f>
        <v>116.04000000000087</v>
      </c>
      <c r="AO416" s="292">
        <f t="shared" si="100"/>
        <v>4.0045636288718158E-3</v>
      </c>
      <c r="AP416" s="244"/>
      <c r="AQ416" s="470">
        <v>29093</v>
      </c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90"/>
        <v>0</v>
      </c>
      <c r="Z417" s="278">
        <f>IFERROR(SUMIF($C:$C,$V417,F:F),0)</f>
        <v>0</v>
      </c>
      <c r="AA417" s="277"/>
      <c r="AB417" s="285"/>
      <c r="AC417" s="278"/>
      <c r="AD417" s="286"/>
      <c r="AE417" s="285">
        <f>IF(AF417=0,0,AF417/(J$13+J$13))</f>
        <v>0</v>
      </c>
      <c r="AF417" s="278">
        <f>IFERROR(SUMIF($C:$C,$V417,L:L),0)</f>
        <v>0</v>
      </c>
      <c r="AG417" s="279">
        <f t="shared" si="94"/>
        <v>0</v>
      </c>
      <c r="AH417" s="280">
        <f t="shared" si="94"/>
        <v>0</v>
      </c>
      <c r="AI417" s="281">
        <f t="shared" si="95"/>
        <v>0</v>
      </c>
      <c r="AJ417" s="286"/>
      <c r="AK417" s="280">
        <f t="shared" si="96"/>
        <v>0</v>
      </c>
      <c r="AL417" s="278">
        <f>IFERROR(SUMIF($C:$C,$V417,Q:Q),0)</f>
        <v>0</v>
      </c>
      <c r="AM417" s="282">
        <f>AE417-Y417</f>
        <v>0</v>
      </c>
      <c r="AN417" s="280">
        <f>AF417-AL417</f>
        <v>0</v>
      </c>
      <c r="AO417" s="287">
        <f t="shared" si="100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90"/>
        <v>0</v>
      </c>
      <c r="Z418" s="278">
        <f>IFERROR(SUMIF($C:$C,$V418,F:F),0)</f>
        <v>0</v>
      </c>
      <c r="AA418" s="277"/>
      <c r="AB418" s="285"/>
      <c r="AC418" s="278"/>
      <c r="AD418" s="286"/>
      <c r="AE418" s="285">
        <f>IF(AF418=0,0,AF418/(J$13+J$13))</f>
        <v>0</v>
      </c>
      <c r="AF418" s="278">
        <f>IFERROR(SUMIF($C:$C,$V418,L:L),0)</f>
        <v>0</v>
      </c>
      <c r="AG418" s="279">
        <f t="shared" si="94"/>
        <v>0</v>
      </c>
      <c r="AH418" s="280">
        <f t="shared" si="94"/>
        <v>0</v>
      </c>
      <c r="AI418" s="281">
        <f t="shared" si="95"/>
        <v>0</v>
      </c>
      <c r="AJ418" s="286"/>
      <c r="AK418" s="280">
        <f t="shared" si="96"/>
        <v>0</v>
      </c>
      <c r="AL418" s="278">
        <f>IFERROR(SUMIF($C:$C,$V418,Q:Q),0)</f>
        <v>0</v>
      </c>
      <c r="AM418" s="282">
        <f>AE418-Y418</f>
        <v>0</v>
      </c>
      <c r="AN418" s="280">
        <f>AF418-AL418</f>
        <v>0</v>
      </c>
      <c r="AO418" s="287">
        <f t="shared" si="100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9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90"/>
        <v>0</v>
      </c>
      <c r="Z419" s="278">
        <f>IFERROR(SUMIF($C:$C,$V419,F:F),0)</f>
        <v>0</v>
      </c>
      <c r="AA419" s="277"/>
      <c r="AB419" s="285"/>
      <c r="AC419" s="278"/>
      <c r="AD419" s="286"/>
      <c r="AE419" s="285">
        <f>IF(AF419=0,0,AF419/(J$13+J$13))</f>
        <v>0</v>
      </c>
      <c r="AF419" s="278">
        <f>IFERROR(SUMIF($C:$C,$V419,L:L),0)</f>
        <v>0</v>
      </c>
      <c r="AG419" s="279">
        <f t="shared" si="94"/>
        <v>0</v>
      </c>
      <c r="AH419" s="280">
        <f t="shared" si="94"/>
        <v>0</v>
      </c>
      <c r="AI419" s="281">
        <f t="shared" si="95"/>
        <v>0</v>
      </c>
      <c r="AJ419" s="286"/>
      <c r="AK419" s="280">
        <f t="shared" si="96"/>
        <v>0</v>
      </c>
      <c r="AL419" s="278">
        <f>IFERROR(SUMIF($C:$C,$V419,Q:Q),0)</f>
        <v>0</v>
      </c>
      <c r="AM419" s="282">
        <f>AE419-Y419</f>
        <v>0</v>
      </c>
      <c r="AN419" s="280">
        <f>AF419-AL419</f>
        <v>0</v>
      </c>
      <c r="AO419" s="287">
        <f t="shared" si="100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25">
      <c r="A420" t="str">
        <f t="shared" si="89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0.2182603902940875</v>
      </c>
      <c r="Y420" s="295"/>
      <c r="Z420" s="297">
        <f>SUM(Z410:Z419)</f>
        <v>134469.56053179287</v>
      </c>
      <c r="AA420" s="296"/>
      <c r="AB420" s="295"/>
      <c r="AC420" s="297"/>
      <c r="AD420" s="298">
        <f>AF420/AF408</f>
        <v>0.18680111142021694</v>
      </c>
      <c r="AE420" s="295"/>
      <c r="AF420" s="297">
        <f>SUM(AF410:AF419)</f>
        <v>91649.540000000008</v>
      </c>
      <c r="AG420" s="299"/>
      <c r="AH420" s="300">
        <f t="shared" si="94"/>
        <v>-42820.020531792863</v>
      </c>
      <c r="AI420" s="296">
        <f>AH420/Z420</f>
        <v>-0.31843653212259032</v>
      </c>
      <c r="AJ420" s="298">
        <f>IF($AL$408=0,0,AL420/$AL$408)</f>
        <v>0.25220719755294685</v>
      </c>
      <c r="AK420" s="295"/>
      <c r="AL420" s="297">
        <f>SUM(AL410:AL419)</f>
        <v>148106.18999999997</v>
      </c>
      <c r="AM420" s="301"/>
      <c r="AN420" s="300">
        <f t="shared" ref="AN420:AN432" si="101">AF420-AL420</f>
        <v>-56456.649999999965</v>
      </c>
      <c r="AO420" s="275">
        <f t="shared" si="100"/>
        <v>-0.38119034727717982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8">
      <c r="A421" t="str">
        <f t="shared" si="89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16917.624521072798</v>
      </c>
      <c r="AA421" s="277"/>
      <c r="AB421" s="277"/>
      <c r="AC421" s="278"/>
      <c r="AD421" s="286"/>
      <c r="AE421" s="285"/>
      <c r="AF421" s="278">
        <v>17007.71</v>
      </c>
      <c r="AG421" s="279"/>
      <c r="AH421" s="280">
        <f t="shared" si="94"/>
        <v>90.085478927201621</v>
      </c>
      <c r="AI421" s="281">
        <f t="shared" ref="AI421:AI433" si="102">IF(Z421=0,0,AH421/Z421)</f>
        <v>5.3249484769560913E-3</v>
      </c>
      <c r="AJ421" s="286"/>
      <c r="AK421" s="277"/>
      <c r="AL421" s="278">
        <v>15867.17</v>
      </c>
      <c r="AM421" s="282"/>
      <c r="AN421" s="280">
        <f t="shared" si="101"/>
        <v>1140.5399999999991</v>
      </c>
      <c r="AO421" s="287">
        <f t="shared" si="100"/>
        <v>7.1880492866717827E-2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8">
      <c r="A422" t="str">
        <f t="shared" si="89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103">+SUMIF($C:$C,$V422,F:F)</f>
        <v>36437.417704225656</v>
      </c>
      <c r="AA422" s="277"/>
      <c r="AB422" s="277"/>
      <c r="AC422" s="278"/>
      <c r="AD422" s="286"/>
      <c r="AE422" s="285"/>
      <c r="AF422" s="278">
        <f t="shared" ref="AF422:AF433" si="104">+SUMIF($C:$C,$V422,L:L)</f>
        <v>23615.75</v>
      </c>
      <c r="AG422" s="279"/>
      <c r="AH422" s="280">
        <f t="shared" si="94"/>
        <v>-12821.667704225656</v>
      </c>
      <c r="AI422" s="281">
        <f t="shared" si="102"/>
        <v>-0.35188189811647175</v>
      </c>
      <c r="AJ422" s="286"/>
      <c r="AK422" s="277"/>
      <c r="AL422" s="278">
        <f t="shared" ref="AL422:AL430" si="105">+SUMIF($C:$C,$V422,Q:Q)</f>
        <v>34021.32</v>
      </c>
      <c r="AM422" s="282"/>
      <c r="AN422" s="280">
        <f t="shared" si="101"/>
        <v>-10405.57</v>
      </c>
      <c r="AO422" s="287">
        <f t="shared" si="100"/>
        <v>-0.30585438777801682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8">
      <c r="A423" t="str">
        <f t="shared" si="89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103"/>
        <v>14815.188599490441</v>
      </c>
      <c r="AA423" s="261"/>
      <c r="AB423" s="261"/>
      <c r="AC423" s="262"/>
      <c r="AD423" s="290"/>
      <c r="AE423" s="289"/>
      <c r="AF423" s="262">
        <f t="shared" si="104"/>
        <v>10816.82</v>
      </c>
      <c r="AG423" s="263"/>
      <c r="AH423" s="264">
        <f t="shared" si="94"/>
        <v>-3998.3685994904408</v>
      </c>
      <c r="AI423" s="291">
        <f t="shared" si="102"/>
        <v>-0.26988307119005978</v>
      </c>
      <c r="AJ423" s="290"/>
      <c r="AK423" s="261"/>
      <c r="AL423" s="262">
        <f t="shared" si="105"/>
        <v>19029.84</v>
      </c>
      <c r="AM423" s="266"/>
      <c r="AN423" s="264">
        <f t="shared" si="101"/>
        <v>-8213.02</v>
      </c>
      <c r="AO423" s="267">
        <f t="shared" si="100"/>
        <v>-0.43158639273898258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8">
      <c r="A424" t="str">
        <f t="shared" si="89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103"/>
        <v>36436.236085638404</v>
      </c>
      <c r="AA424" s="277"/>
      <c r="AB424" s="277"/>
      <c r="AC424" s="278"/>
      <c r="AD424" s="286"/>
      <c r="AE424" s="285"/>
      <c r="AF424" s="278">
        <f t="shared" si="104"/>
        <v>31082.16</v>
      </c>
      <c r="AG424" s="279"/>
      <c r="AH424" s="280">
        <f t="shared" si="94"/>
        <v>-5354.076085638404</v>
      </c>
      <c r="AI424" s="281">
        <f t="shared" si="102"/>
        <v>-0.14694372034077224</v>
      </c>
      <c r="AJ424" s="286"/>
      <c r="AK424" s="277"/>
      <c r="AL424" s="278">
        <f t="shared" si="105"/>
        <v>29255.18</v>
      </c>
      <c r="AM424" s="282"/>
      <c r="AN424" s="280">
        <f t="shared" si="101"/>
        <v>1826.9799999999996</v>
      </c>
      <c r="AO424" s="287">
        <f t="shared" si="100"/>
        <v>6.244979521575323E-2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8">
      <c r="A425" t="str">
        <f t="shared" si="89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103"/>
        <v>15342.486590038312</v>
      </c>
      <c r="AA425" s="277"/>
      <c r="AB425" s="277"/>
      <c r="AC425" s="278"/>
      <c r="AD425" s="286"/>
      <c r="AE425" s="285"/>
      <c r="AF425" s="278">
        <f t="shared" si="104"/>
        <v>18988.27</v>
      </c>
      <c r="AG425" s="279"/>
      <c r="AH425" s="280">
        <f t="shared" si="94"/>
        <v>3645.7834099616884</v>
      </c>
      <c r="AI425" s="281">
        <f t="shared" si="102"/>
        <v>0.2376266316783911</v>
      </c>
      <c r="AJ425" s="286"/>
      <c r="AK425" s="277"/>
      <c r="AL425" s="278">
        <f t="shared" si="105"/>
        <v>16301.36</v>
      </c>
      <c r="AM425" s="282"/>
      <c r="AN425" s="280">
        <f t="shared" si="101"/>
        <v>2686.91</v>
      </c>
      <c r="AO425" s="287">
        <f t="shared" si="100"/>
        <v>0.16482735182831371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9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103"/>
        <v>0</v>
      </c>
      <c r="AA426" s="277"/>
      <c r="AB426" s="277"/>
      <c r="AC426" s="280"/>
      <c r="AD426" s="286"/>
      <c r="AE426" s="285"/>
      <c r="AF426" s="278">
        <f t="shared" si="104"/>
        <v>0</v>
      </c>
      <c r="AG426" s="279"/>
      <c r="AH426" s="280">
        <f t="shared" ref="AH426:AH452" si="106">AF426-Z426</f>
        <v>0</v>
      </c>
      <c r="AI426" s="281">
        <f t="shared" si="102"/>
        <v>0</v>
      </c>
      <c r="AJ426" s="286"/>
      <c r="AK426" s="277"/>
      <c r="AL426" s="278">
        <f t="shared" si="105"/>
        <v>0</v>
      </c>
      <c r="AM426" s="282"/>
      <c r="AN426" s="280">
        <f t="shared" si="101"/>
        <v>0</v>
      </c>
      <c r="AO426" s="287">
        <f t="shared" si="100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9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103"/>
        <v>0</v>
      </c>
      <c r="AA427" s="277"/>
      <c r="AB427" s="277"/>
      <c r="AC427" s="280"/>
      <c r="AD427" s="286"/>
      <c r="AE427" s="285"/>
      <c r="AF427" s="278">
        <f t="shared" si="104"/>
        <v>0</v>
      </c>
      <c r="AG427" s="279"/>
      <c r="AH427" s="280">
        <f t="shared" si="106"/>
        <v>0</v>
      </c>
      <c r="AI427" s="281">
        <f t="shared" si="102"/>
        <v>0</v>
      </c>
      <c r="AJ427" s="286"/>
      <c r="AK427" s="277"/>
      <c r="AL427" s="278">
        <f t="shared" si="105"/>
        <v>0</v>
      </c>
      <c r="AM427" s="282"/>
      <c r="AN427" s="280">
        <f t="shared" si="101"/>
        <v>0</v>
      </c>
      <c r="AO427" s="287">
        <f t="shared" si="100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9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103"/>
        <v>0</v>
      </c>
      <c r="AA428" s="277"/>
      <c r="AB428" s="277"/>
      <c r="AC428" s="280"/>
      <c r="AD428" s="286"/>
      <c r="AE428" s="285"/>
      <c r="AF428" s="278">
        <f t="shared" si="104"/>
        <v>0</v>
      </c>
      <c r="AG428" s="279"/>
      <c r="AH428" s="280">
        <f t="shared" si="106"/>
        <v>0</v>
      </c>
      <c r="AI428" s="281">
        <f t="shared" si="102"/>
        <v>0</v>
      </c>
      <c r="AJ428" s="286"/>
      <c r="AK428" s="277"/>
      <c r="AL428" s="278">
        <f t="shared" si="105"/>
        <v>0</v>
      </c>
      <c r="AM428" s="282"/>
      <c r="AN428" s="280">
        <f t="shared" si="101"/>
        <v>0</v>
      </c>
      <c r="AO428" s="287">
        <f t="shared" si="100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8">
      <c r="A429" t="str">
        <f t="shared" si="89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103"/>
        <v>35618.138814869861</v>
      </c>
      <c r="AA429" s="261"/>
      <c r="AB429" s="261"/>
      <c r="AC429" s="262"/>
      <c r="AD429" s="290"/>
      <c r="AE429" s="289"/>
      <c r="AF429" s="262">
        <f t="shared" si="104"/>
        <v>25631.63</v>
      </c>
      <c r="AG429" s="263"/>
      <c r="AH429" s="264">
        <f t="shared" si="106"/>
        <v>-9986.5088148698596</v>
      </c>
      <c r="AI429" s="291">
        <f t="shared" si="102"/>
        <v>-0.28037705357868647</v>
      </c>
      <c r="AJ429" s="290"/>
      <c r="AK429" s="261"/>
      <c r="AL429" s="262">
        <f t="shared" si="105"/>
        <v>26967.66</v>
      </c>
      <c r="AM429" s="266"/>
      <c r="AN429" s="264">
        <f t="shared" si="101"/>
        <v>-1336.0299999999988</v>
      </c>
      <c r="AO429" s="292">
        <f t="shared" si="100"/>
        <v>-4.954193281879106E-2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8">
      <c r="A430" t="str">
        <f t="shared" si="89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103"/>
        <v>37807.668520566309</v>
      </c>
      <c r="AA430" s="277"/>
      <c r="AB430" s="277"/>
      <c r="AC430" s="278"/>
      <c r="AD430" s="286"/>
      <c r="AE430" s="285"/>
      <c r="AF430" s="278">
        <f t="shared" si="104"/>
        <v>30749.73</v>
      </c>
      <c r="AG430" s="279"/>
      <c r="AH430" s="280">
        <f t="shared" si="106"/>
        <v>-7057.9385205663093</v>
      </c>
      <c r="AI430" s="281">
        <f>IF(Z430=0,0,AH430/Z430)</f>
        <v>-0.18668007832133285</v>
      </c>
      <c r="AJ430" s="286"/>
      <c r="AK430" s="277"/>
      <c r="AL430" s="278">
        <f t="shared" si="105"/>
        <v>34398.15</v>
      </c>
      <c r="AM430" s="282"/>
      <c r="AN430" s="280">
        <f t="shared" si="101"/>
        <v>-3648.4200000000019</v>
      </c>
      <c r="AO430" s="287">
        <f t="shared" si="100"/>
        <v>-0.10606442497634326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8">
      <c r="A431" t="str">
        <f t="shared" si="89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103"/>
        <v>25458.708044763269</v>
      </c>
      <c r="AA431" s="277"/>
      <c r="AB431" s="277"/>
      <c r="AC431" s="278"/>
      <c r="AD431" s="286"/>
      <c r="AE431" s="285"/>
      <c r="AF431" s="278">
        <f t="shared" si="104"/>
        <v>14442.6</v>
      </c>
      <c r="AG431" s="279"/>
      <c r="AH431" s="280">
        <f t="shared" si="106"/>
        <v>-11016.108044763268</v>
      </c>
      <c r="AI431" s="281">
        <f t="shared" si="102"/>
        <v>-0.43270491280995022</v>
      </c>
      <c r="AJ431" s="286"/>
      <c r="AK431" s="277"/>
      <c r="AL431" s="278">
        <f>IFERROR(SUMIF($C:$C,$V431,Q:Q),0)</f>
        <v>14904.210000000001</v>
      </c>
      <c r="AM431" s="282"/>
      <c r="AN431" s="280">
        <f t="shared" si="101"/>
        <v>-461.61000000000058</v>
      </c>
      <c r="AO431" s="287">
        <f t="shared" si="100"/>
        <v>-3.0971785824273849E-2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8">
      <c r="A432" t="str">
        <f t="shared" si="89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103"/>
        <v>6861.3916944731445</v>
      </c>
      <c r="AA432" s="277"/>
      <c r="AB432" s="277"/>
      <c r="AC432" s="278"/>
      <c r="AD432" s="286"/>
      <c r="AE432" s="285"/>
      <c r="AF432" s="278">
        <f t="shared" si="104"/>
        <v>3746.79</v>
      </c>
      <c r="AG432" s="279"/>
      <c r="AH432" s="280">
        <f t="shared" si="106"/>
        <v>-3114.6016944731446</v>
      </c>
      <c r="AI432" s="304">
        <f t="shared" si="102"/>
        <v>-0.45393148112823206</v>
      </c>
      <c r="AJ432" s="286"/>
      <c r="AK432" s="277"/>
      <c r="AL432" s="278">
        <f>IFERROR(SUMIF($C:$C,$V432,Q:Q),0)</f>
        <v>5756.7199999999993</v>
      </c>
      <c r="AM432" s="282"/>
      <c r="AN432" s="280">
        <f t="shared" si="101"/>
        <v>-2009.9299999999994</v>
      </c>
      <c r="AO432" s="292">
        <f t="shared" si="100"/>
        <v>-0.34914499923567582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9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104"/>
        <v>0</v>
      </c>
      <c r="AG433" s="279"/>
      <c r="AH433" s="280">
        <f t="shared" si="106"/>
        <v>0</v>
      </c>
      <c r="AI433" s="281">
        <f t="shared" si="102"/>
        <v>0</v>
      </c>
      <c r="AJ433" s="286"/>
      <c r="AK433" s="277"/>
      <c r="AL433" s="278">
        <f>IFERROR(SUMIF($C:$C,$V433,Q:Q),0)</f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8">
      <c r="A434" t="str">
        <f t="shared" si="89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0.36633010594879301</v>
      </c>
      <c r="Y434" s="295"/>
      <c r="Z434" s="297">
        <f>SUM(Z421:Z433)</f>
        <v>225694.86057513818</v>
      </c>
      <c r="AA434" s="296"/>
      <c r="AB434" s="295"/>
      <c r="AC434" s="297"/>
      <c r="AD434" s="298">
        <f>AF434/AF408</f>
        <v>0.35889118950836496</v>
      </c>
      <c r="AE434" s="305"/>
      <c r="AF434" s="297">
        <f>SUM(AF421:AF433)</f>
        <v>176081.46000000002</v>
      </c>
      <c r="AG434" s="306"/>
      <c r="AH434" s="300">
        <f t="shared" si="106"/>
        <v>-49613.400575138163</v>
      </c>
      <c r="AI434" s="296">
        <f>AH434/Z434</f>
        <v>-0.21982512339318822</v>
      </c>
      <c r="AJ434" s="298">
        <f>IF($AL$408=0,0,AL434/$AL$408)</f>
        <v>0.3346188324251817</v>
      </c>
      <c r="AK434" s="295"/>
      <c r="AL434" s="297">
        <f>SUM(AL421:AL433)</f>
        <v>196501.61</v>
      </c>
      <c r="AM434" s="307"/>
      <c r="AN434" s="300">
        <f t="shared" ref="AN434:AN448" si="107">AF434-AL434</f>
        <v>-20420.149999999965</v>
      </c>
      <c r="AO434" s="275">
        <f>IF(AL434=0,0,AN434/AL434)</f>
        <v>-0.1039184869782999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8">
      <c r="A435" t="str">
        <f t="shared" si="89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8">+SUMIF($C:$C,$V435,F:F)</f>
        <v>4714.9711165989538</v>
      </c>
      <c r="AA435" s="310"/>
      <c r="AB435" s="310"/>
      <c r="AC435" s="311"/>
      <c r="AD435" s="312"/>
      <c r="AE435" s="313"/>
      <c r="AF435" s="311">
        <f t="shared" ref="AF435:AF452" si="109">+SUMIF($C:$C,$V435,L:L)</f>
        <v>7575.88</v>
      </c>
      <c r="AG435" s="312"/>
      <c r="AH435" s="314">
        <f t="shared" si="106"/>
        <v>2860.9088834010463</v>
      </c>
      <c r="AI435" s="315">
        <f t="shared" ref="AI435:AI452" si="110">IF(Z435=0,0,AH435/Z435)</f>
        <v>0.60677124263376259</v>
      </c>
      <c r="AJ435" s="312"/>
      <c r="AK435" s="310"/>
      <c r="AL435" s="311">
        <f t="shared" ref="AL435:AL449" si="111">+SUMIF($C:$C,$V435,Q:Q)</f>
        <v>14387.91</v>
      </c>
      <c r="AM435" s="316"/>
      <c r="AN435" s="314">
        <f t="shared" si="107"/>
        <v>-6812.03</v>
      </c>
      <c r="AO435" s="283">
        <f t="shared" ref="AO435:AO448" si="112">IF(AL435=0,0,AN435/AL435)</f>
        <v>-0.47345514393681915</v>
      </c>
      <c r="AP435" s="244"/>
      <c r="AQ435" s="244">
        <f>29064-20845-334-309</f>
        <v>7576</v>
      </c>
      <c r="AR435" s="244" t="s">
        <v>245</v>
      </c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8">
      <c r="A436" t="str">
        <f t="shared" si="89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8"/>
        <v>4375</v>
      </c>
      <c r="AA436" s="277"/>
      <c r="AB436" s="277"/>
      <c r="AC436" s="278"/>
      <c r="AD436" s="286"/>
      <c r="AE436" s="285"/>
      <c r="AF436" s="278">
        <f t="shared" si="109"/>
        <v>2784.25</v>
      </c>
      <c r="AG436" s="279"/>
      <c r="AH436" s="280">
        <f t="shared" si="106"/>
        <v>-1590.75</v>
      </c>
      <c r="AI436" s="281">
        <f t="shared" si="110"/>
        <v>-0.36359999999999998</v>
      </c>
      <c r="AJ436" s="286"/>
      <c r="AK436" s="277"/>
      <c r="AL436" s="278">
        <f t="shared" si="111"/>
        <v>3510.2200000000003</v>
      </c>
      <c r="AM436" s="282"/>
      <c r="AN436" s="280">
        <f t="shared" si="107"/>
        <v>-725.97000000000025</v>
      </c>
      <c r="AO436" s="287">
        <f t="shared" si="112"/>
        <v>-0.20681609699676948</v>
      </c>
      <c r="AP436" s="244"/>
      <c r="AQ436" s="244">
        <v>2784</v>
      </c>
      <c r="AR436" s="244" t="s">
        <v>246</v>
      </c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8">
      <c r="A437" t="str">
        <f t="shared" si="89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8"/>
        <v>15077</v>
      </c>
      <c r="AA437" s="261"/>
      <c r="AB437" s="261"/>
      <c r="AC437" s="262"/>
      <c r="AD437" s="290"/>
      <c r="AE437" s="289"/>
      <c r="AF437" s="262">
        <f t="shared" si="109"/>
        <v>13174.84</v>
      </c>
      <c r="AG437" s="263"/>
      <c r="AH437" s="264">
        <f t="shared" si="106"/>
        <v>-1902.1599999999999</v>
      </c>
      <c r="AI437" s="291">
        <f t="shared" si="110"/>
        <v>-0.12616302978046029</v>
      </c>
      <c r="AJ437" s="290"/>
      <c r="AK437" s="261"/>
      <c r="AL437" s="262">
        <f t="shared" si="111"/>
        <v>20725.349999999999</v>
      </c>
      <c r="AM437" s="266"/>
      <c r="AN437" s="264">
        <f t="shared" si="107"/>
        <v>-7550.5099999999984</v>
      </c>
      <c r="AO437" s="267">
        <f t="shared" si="112"/>
        <v>-0.36431278603256395</v>
      </c>
      <c r="AP437" s="244"/>
      <c r="AQ437" s="480">
        <v>13175</v>
      </c>
      <c r="AR437" s="480" t="s">
        <v>247</v>
      </c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8">
      <c r="A438" t="str">
        <f t="shared" si="89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8"/>
        <v>22567.753333333334</v>
      </c>
      <c r="AA438" s="277"/>
      <c r="AB438" s="277"/>
      <c r="AC438" s="278"/>
      <c r="AD438" s="286"/>
      <c r="AE438" s="285"/>
      <c r="AF438" s="278">
        <f t="shared" si="109"/>
        <v>23138.39</v>
      </c>
      <c r="AG438" s="279"/>
      <c r="AH438" s="280">
        <f>AF438-Z438</f>
        <v>570.63666666666541</v>
      </c>
      <c r="AI438" s="281">
        <f t="shared" si="110"/>
        <v>2.5285488468354347E-2</v>
      </c>
      <c r="AJ438" s="286"/>
      <c r="AK438" s="277"/>
      <c r="AL438" s="278">
        <f t="shared" si="111"/>
        <v>14042.93</v>
      </c>
      <c r="AM438" s="282"/>
      <c r="AN438" s="280">
        <f t="shared" si="107"/>
        <v>9095.4599999999991</v>
      </c>
      <c r="AO438" s="287">
        <f t="shared" si="112"/>
        <v>0.64768962032852107</v>
      </c>
      <c r="AP438" s="480"/>
      <c r="AQ438" s="244">
        <f>13788+2405+5825+370+750</f>
        <v>23138</v>
      </c>
      <c r="AR438" s="480" t="s">
        <v>248</v>
      </c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8">
      <c r="A439" t="str">
        <f t="shared" si="89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8"/>
        <v>4158.333333333333</v>
      </c>
      <c r="AA439" s="277"/>
      <c r="AB439" s="277"/>
      <c r="AC439" s="278"/>
      <c r="AD439" s="286"/>
      <c r="AE439" s="285"/>
      <c r="AF439" s="278">
        <f t="shared" si="109"/>
        <v>5006.63</v>
      </c>
      <c r="AG439" s="279"/>
      <c r="AH439" s="280">
        <f t="shared" si="106"/>
        <v>848.29666666666708</v>
      </c>
      <c r="AI439" s="281">
        <f t="shared" si="110"/>
        <v>0.2039991983967937</v>
      </c>
      <c r="AJ439" s="286"/>
      <c r="AK439" s="277"/>
      <c r="AL439" s="278">
        <f t="shared" si="111"/>
        <v>2768.18</v>
      </c>
      <c r="AM439" s="282"/>
      <c r="AN439" s="280">
        <f t="shared" si="107"/>
        <v>2238.4500000000003</v>
      </c>
      <c r="AO439" s="287">
        <f t="shared" si="112"/>
        <v>0.80863599910410466</v>
      </c>
      <c r="AP439" s="480"/>
      <c r="AQ439" s="244">
        <f>6304-1297</f>
        <v>5007</v>
      </c>
      <c r="AR439" s="244" t="s">
        <v>249</v>
      </c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8">
      <c r="A440" t="str">
        <f t="shared" si="89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8"/>
        <v>12439.663333333334</v>
      </c>
      <c r="AA440" s="277"/>
      <c r="AB440" s="277"/>
      <c r="AC440" s="278"/>
      <c r="AD440" s="286"/>
      <c r="AE440" s="285"/>
      <c r="AF440" s="278">
        <f t="shared" si="109"/>
        <v>13610.79</v>
      </c>
      <c r="AG440" s="279"/>
      <c r="AH440" s="280">
        <f t="shared" si="106"/>
        <v>1171.126666666667</v>
      </c>
      <c r="AI440" s="281">
        <f t="shared" si="110"/>
        <v>9.4144562861963862E-2</v>
      </c>
      <c r="AJ440" s="286"/>
      <c r="AK440" s="277"/>
      <c r="AL440" s="278">
        <f t="shared" si="111"/>
        <v>11148.71999999999</v>
      </c>
      <c r="AM440" s="282"/>
      <c r="AN440" s="280">
        <f t="shared" si="107"/>
        <v>2462.0700000000106</v>
      </c>
      <c r="AO440" s="287">
        <f t="shared" si="112"/>
        <v>0.22083880481346851</v>
      </c>
      <c r="AP440" s="244"/>
      <c r="AQ440" s="480">
        <f>10260+3351</f>
        <v>13611</v>
      </c>
      <c r="AR440" s="480" t="s">
        <v>250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8"/>
        <v>0</v>
      </c>
      <c r="AA441" s="318"/>
      <c r="AB441" s="318"/>
      <c r="AC441" s="319"/>
      <c r="AD441" s="320"/>
      <c r="AE441" s="321"/>
      <c r="AF441" s="319">
        <f t="shared" si="109"/>
        <v>0</v>
      </c>
      <c r="AG441" s="322"/>
      <c r="AH441" s="323">
        <f t="shared" si="106"/>
        <v>0</v>
      </c>
      <c r="AI441" s="324">
        <f t="shared" si="110"/>
        <v>0</v>
      </c>
      <c r="AJ441" s="320"/>
      <c r="AK441" s="318"/>
      <c r="AL441" s="319">
        <f t="shared" si="111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8">
      <c r="A442" t="str">
        <f t="shared" si="89"/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8"/>
        <v>3353.75</v>
      </c>
      <c r="AA442" s="277"/>
      <c r="AB442" s="285"/>
      <c r="AC442" s="278"/>
      <c r="AD442" s="286"/>
      <c r="AE442" s="285"/>
      <c r="AF442" s="278">
        <f t="shared" si="109"/>
        <v>3803.2599999999998</v>
      </c>
      <c r="AG442" s="279"/>
      <c r="AH442" s="280">
        <f t="shared" si="106"/>
        <v>449.50999999999976</v>
      </c>
      <c r="AI442" s="281">
        <f t="shared" si="110"/>
        <v>0.13403205367126345</v>
      </c>
      <c r="AJ442" s="286"/>
      <c r="AK442" s="277"/>
      <c r="AL442" s="278">
        <f t="shared" si="111"/>
        <v>2310.04</v>
      </c>
      <c r="AM442" s="282"/>
      <c r="AN442" s="280">
        <f t="shared" si="107"/>
        <v>1493.2199999999998</v>
      </c>
      <c r="AO442" s="287">
        <f t="shared" si="112"/>
        <v>0.64640439126595206</v>
      </c>
      <c r="AP442" s="244"/>
      <c r="AQ442" s="244">
        <v>3803</v>
      </c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8">
      <c r="A443" t="str">
        <f t="shared" si="8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8"/>
        <v>1400</v>
      </c>
      <c r="AA443" s="277"/>
      <c r="AB443" s="277"/>
      <c r="AC443" s="278"/>
      <c r="AD443" s="286"/>
      <c r="AE443" s="285"/>
      <c r="AF443" s="278">
        <f t="shared" si="109"/>
        <v>1575.21</v>
      </c>
      <c r="AG443" s="279"/>
      <c r="AH443" s="280">
        <f t="shared" si="106"/>
        <v>175.21000000000004</v>
      </c>
      <c r="AI443" s="304">
        <f t="shared" si="110"/>
        <v>0.12515000000000004</v>
      </c>
      <c r="AJ443" s="286"/>
      <c r="AK443" s="277"/>
      <c r="AL443" s="278">
        <f t="shared" si="111"/>
        <v>2201.96</v>
      </c>
      <c r="AM443" s="282"/>
      <c r="AN443" s="280">
        <f t="shared" si="107"/>
        <v>-626.75</v>
      </c>
      <c r="AO443" s="287">
        <f t="shared" si="112"/>
        <v>-0.2846327817035732</v>
      </c>
      <c r="AP443" s="244"/>
      <c r="AQ443" s="244">
        <f>2325-750</f>
        <v>1575</v>
      </c>
      <c r="AR443" s="244" t="s">
        <v>251</v>
      </c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8">
      <c r="A444" t="str">
        <f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8"/>
        <v>1450</v>
      </c>
      <c r="AA444" s="277"/>
      <c r="AB444" s="277"/>
      <c r="AC444" s="278"/>
      <c r="AD444" s="286"/>
      <c r="AE444" s="285"/>
      <c r="AF444" s="278">
        <f t="shared" si="109"/>
        <v>1922.6300000000003</v>
      </c>
      <c r="AG444" s="279"/>
      <c r="AH444" s="280">
        <f t="shared" si="106"/>
        <v>472.63000000000034</v>
      </c>
      <c r="AI444" s="281">
        <f t="shared" si="110"/>
        <v>0.32595172413793128</v>
      </c>
      <c r="AJ444" s="286"/>
      <c r="AK444" s="277"/>
      <c r="AL444" s="278">
        <f t="shared" si="111"/>
        <v>1427.5500000000002</v>
      </c>
      <c r="AM444" s="282"/>
      <c r="AN444" s="280">
        <f t="shared" si="107"/>
        <v>495.08000000000015</v>
      </c>
      <c r="AO444" s="287">
        <f t="shared" si="112"/>
        <v>0.34680396483485698</v>
      </c>
      <c r="AP444" s="244"/>
      <c r="AQ444" s="244">
        <v>1923</v>
      </c>
      <c r="AR444" s="244" t="s">
        <v>252</v>
      </c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8">
      <c r="A445" t="str">
        <f t="shared" si="8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8"/>
        <v>449</v>
      </c>
      <c r="AA445" s="277"/>
      <c r="AB445" s="277"/>
      <c r="AC445" s="278"/>
      <c r="AD445" s="286"/>
      <c r="AE445" s="285"/>
      <c r="AF445" s="278">
        <f t="shared" si="109"/>
        <v>1394.4099999999999</v>
      </c>
      <c r="AG445" s="279"/>
      <c r="AH445" s="280">
        <f t="shared" si="106"/>
        <v>945.40999999999985</v>
      </c>
      <c r="AI445" s="304">
        <f t="shared" si="110"/>
        <v>2.1055902004454339</v>
      </c>
      <c r="AJ445" s="286"/>
      <c r="AK445" s="277"/>
      <c r="AL445" s="278">
        <f t="shared" si="111"/>
        <v>456.36</v>
      </c>
      <c r="AM445" s="282"/>
      <c r="AN445" s="280">
        <f t="shared" si="107"/>
        <v>938.04999999999984</v>
      </c>
      <c r="AO445" s="287">
        <f t="shared" si="112"/>
        <v>2.0555044263300899</v>
      </c>
      <c r="AP445" s="244"/>
      <c r="AQ445" s="244">
        <v>1394</v>
      </c>
      <c r="AR445" s="480" t="s">
        <v>253</v>
      </c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8">
      <c r="A446" t="str">
        <f t="shared" si="8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8"/>
        <v>2825</v>
      </c>
      <c r="AA446" s="277"/>
      <c r="AB446" s="277"/>
      <c r="AC446" s="278"/>
      <c r="AD446" s="286"/>
      <c r="AE446" s="285"/>
      <c r="AF446" s="278">
        <f t="shared" si="109"/>
        <v>2963.22</v>
      </c>
      <c r="AG446" s="279"/>
      <c r="AH446" s="280">
        <f t="shared" si="106"/>
        <v>138.2199999999998</v>
      </c>
      <c r="AI446" s="281">
        <f t="shared" si="110"/>
        <v>4.8927433628318515E-2</v>
      </c>
      <c r="AJ446" s="286"/>
      <c r="AK446" s="277"/>
      <c r="AL446" s="278">
        <f t="shared" si="111"/>
        <v>1409.08</v>
      </c>
      <c r="AM446" s="282"/>
      <c r="AN446" s="280">
        <f t="shared" si="107"/>
        <v>1554.1399999999999</v>
      </c>
      <c r="AO446" s="287">
        <f t="shared" si="112"/>
        <v>1.1029466034575752</v>
      </c>
      <c r="AP446" s="244"/>
      <c r="AQ446" s="244">
        <f>2213+750</f>
        <v>2963</v>
      </c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8">
      <c r="A447" t="str">
        <f t="shared" si="8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8"/>
        <v>1554.9999999999998</v>
      </c>
      <c r="AA447" s="277"/>
      <c r="AB447" s="285"/>
      <c r="AC447" s="278"/>
      <c r="AD447" s="286"/>
      <c r="AE447" s="285"/>
      <c r="AF447" s="278">
        <f t="shared" si="109"/>
        <v>2547.31</v>
      </c>
      <c r="AG447" s="279"/>
      <c r="AH447" s="280">
        <f t="shared" si="106"/>
        <v>992.31000000000017</v>
      </c>
      <c r="AI447" s="304">
        <f t="shared" si="110"/>
        <v>0.63814147909967867</v>
      </c>
      <c r="AJ447" s="286"/>
      <c r="AK447" s="277"/>
      <c r="AL447" s="278">
        <f t="shared" si="111"/>
        <v>1516.0000000000002</v>
      </c>
      <c r="AM447" s="282"/>
      <c r="AN447" s="280">
        <f t="shared" si="107"/>
        <v>1031.3099999999997</v>
      </c>
      <c r="AO447" s="287">
        <f t="shared" si="112"/>
        <v>0.68028364116094953</v>
      </c>
      <c r="AP447" s="244"/>
      <c r="AQ447" s="244">
        <f>1570+334+334+309</f>
        <v>2547</v>
      </c>
      <c r="AR447" s="480" t="s">
        <v>254</v>
      </c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8">
      <c r="A448" t="str">
        <f t="shared" si="8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8"/>
        <v>2370.6533333333336</v>
      </c>
      <c r="AA448" s="277"/>
      <c r="AB448" s="285"/>
      <c r="AC448" s="278"/>
      <c r="AD448" s="286"/>
      <c r="AE448" s="285"/>
      <c r="AF448" s="278">
        <f t="shared" si="109"/>
        <v>2669.96</v>
      </c>
      <c r="AG448" s="279"/>
      <c r="AH448" s="280">
        <f t="shared" si="106"/>
        <v>299.30666666666639</v>
      </c>
      <c r="AI448" s="281">
        <f t="shared" si="110"/>
        <v>0.12625492831793192</v>
      </c>
      <c r="AJ448" s="286"/>
      <c r="AK448" s="277"/>
      <c r="AL448" s="278">
        <f t="shared" si="111"/>
        <v>2545.87</v>
      </c>
      <c r="AM448" s="282"/>
      <c r="AN448" s="280">
        <f t="shared" si="107"/>
        <v>124.09000000000015</v>
      </c>
      <c r="AO448" s="287">
        <f t="shared" si="112"/>
        <v>4.874168751743025E-2</v>
      </c>
      <c r="AP448" s="244"/>
      <c r="AQ448" s="244">
        <f>2387+284</f>
        <v>2671</v>
      </c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8">
      <c r="A449" t="str">
        <f t="shared" si="8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1.8098330229911058E-3</v>
      </c>
      <c r="Z449" s="278">
        <f t="shared" si="108"/>
        <v>10736.636444693677</v>
      </c>
      <c r="AA449" s="277"/>
      <c r="AB449" s="285"/>
      <c r="AC449" s="278"/>
      <c r="AD449" s="286"/>
      <c r="AE449" s="285"/>
      <c r="AF449" s="278">
        <f t="shared" si="109"/>
        <v>9228.7999999999993</v>
      </c>
      <c r="AG449" s="279"/>
      <c r="AH449" s="280">
        <f t="shared" si="106"/>
        <v>-1507.8364446936775</v>
      </c>
      <c r="AI449" s="281">
        <f t="shared" si="110"/>
        <v>-0.14043843735054373</v>
      </c>
      <c r="AJ449" s="286"/>
      <c r="AK449" s="277"/>
      <c r="AL449" s="278">
        <f t="shared" si="111"/>
        <v>9946.43</v>
      </c>
      <c r="AM449" s="282"/>
      <c r="AN449" s="280">
        <f>AF449-AL449</f>
        <v>-717.63000000000102</v>
      </c>
      <c r="AO449" s="287">
        <f>IF(AL449=0,0,AN449/AL449)</f>
        <v>-7.2149504897737277E-2</v>
      </c>
      <c r="AP449" s="244"/>
      <c r="AQ449" s="244">
        <v>9229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8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>IFERROR(SUMIF($C:$C,$V450,F:F),0)</f>
        <v>0</v>
      </c>
      <c r="AA450" s="277"/>
      <c r="AB450" s="277"/>
      <c r="AC450" s="280"/>
      <c r="AD450" s="286"/>
      <c r="AE450" s="285"/>
      <c r="AF450" s="278">
        <f t="shared" si="109"/>
        <v>0</v>
      </c>
      <c r="AG450" s="279"/>
      <c r="AH450" s="280">
        <f t="shared" si="106"/>
        <v>0</v>
      </c>
      <c r="AI450" s="281">
        <f t="shared" si="110"/>
        <v>0</v>
      </c>
      <c r="AJ450" s="286"/>
      <c r="AK450" s="277"/>
      <c r="AL450" s="278">
        <f>IFERROR(SUMIF($C:$C,$V450,Q:Q),0)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8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IFERROR(SUMIF($C:$C,$V451,F:F),0)</f>
        <v>0</v>
      </c>
      <c r="AA451" s="277"/>
      <c r="AB451" s="277"/>
      <c r="AC451" s="280"/>
      <c r="AD451" s="286"/>
      <c r="AE451" s="285"/>
      <c r="AF451" s="278">
        <f t="shared" si="109"/>
        <v>0</v>
      </c>
      <c r="AG451" s="279"/>
      <c r="AH451" s="280">
        <f t="shared" si="106"/>
        <v>0</v>
      </c>
      <c r="AI451" s="281">
        <f t="shared" si="110"/>
        <v>0</v>
      </c>
      <c r="AJ451" s="286"/>
      <c r="AK451" s="277"/>
      <c r="AL451" s="278">
        <f>IFERROR(SUMIF($C:$C,$V451,Q:Q),0)</f>
        <v>0</v>
      </c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8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IFERROR(SUMIF($C:$C,$V452,F:F),0)</f>
        <v>0</v>
      </c>
      <c r="AA452" s="277"/>
      <c r="AB452" s="277"/>
      <c r="AC452" s="280"/>
      <c r="AD452" s="286"/>
      <c r="AE452" s="285"/>
      <c r="AF452" s="278">
        <f t="shared" si="109"/>
        <v>0</v>
      </c>
      <c r="AG452" s="279"/>
      <c r="AH452" s="280">
        <f t="shared" si="106"/>
        <v>0</v>
      </c>
      <c r="AI452" s="281">
        <f t="shared" si="110"/>
        <v>0</v>
      </c>
      <c r="AJ452" s="286"/>
      <c r="AK452" s="277"/>
      <c r="AL452" s="278">
        <f>IFERROR(SUMIF($C:$C,$V452,Q:Q),0)</f>
        <v>0</v>
      </c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8">
      <c r="A453" t="str">
        <f t="shared" si="8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0.14197888992467214</v>
      </c>
      <c r="Y453" s="295"/>
      <c r="Z453" s="297">
        <f>+SUM(Z435:Z452)</f>
        <v>87472.760894625972</v>
      </c>
      <c r="AA453" s="296"/>
      <c r="AB453" s="295"/>
      <c r="AC453" s="297"/>
      <c r="AD453" s="298">
        <f>AF453/AF408</f>
        <v>0.18628348732459926</v>
      </c>
      <c r="AE453" s="295"/>
      <c r="AF453" s="297">
        <f>+SUM(AF435:AF452)</f>
        <v>91395.580000000016</v>
      </c>
      <c r="AG453" s="306"/>
      <c r="AH453" s="300">
        <f>+SUM(AH435:AH452)</f>
        <v>3922.8191053740356</v>
      </c>
      <c r="AI453" s="296">
        <f>AH453/Z453</f>
        <v>4.4846179144838683E-2</v>
      </c>
      <c r="AJ453" s="298">
        <f>IF($AL$408=0,0,AL453/$AL$408)</f>
        <v>0.15052887903745835</v>
      </c>
      <c r="AK453" s="296"/>
      <c r="AL453" s="297">
        <f>+SUM(AL435:AL452)</f>
        <v>88396.599999999977</v>
      </c>
      <c r="AM453" s="307"/>
      <c r="AN453" s="300">
        <f>+SUM(AN435:AN452)</f>
        <v>2998.9800000000105</v>
      </c>
      <c r="AO453" s="329">
        <f>IF(AL453=0,0,AN453/AL453)</f>
        <v>3.3926417984402241E-2</v>
      </c>
      <c r="AP453" s="244"/>
      <c r="AQ453" s="308">
        <f>SUM(AQ435:AQ449)-AF453</f>
        <v>0.41999999998370185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8">
      <c r="A454" t="str">
        <f t="shared" si="8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3">AF454-Z454</f>
        <v>0</v>
      </c>
      <c r="AI454" s="281">
        <f t="shared" ref="AI454:AI462" si="114">IF(Z454=0,0,AH454/Z454)</f>
        <v>0</v>
      </c>
      <c r="AJ454" s="286"/>
      <c r="AK454" s="277"/>
      <c r="AL454" s="278">
        <v>50000</v>
      </c>
      <c r="AM454" s="282"/>
      <c r="AN454" s="280">
        <f>AF454-AL454</f>
        <v>0</v>
      </c>
      <c r="AO454" s="287">
        <f t="shared" ref="AO454:AO462" si="115">IF(AL454=0,0,AN454/AL454)</f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8">
      <c r="A455" t="str">
        <f t="shared" si="8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6346.6299999999992</v>
      </c>
      <c r="AG455" s="279"/>
      <c r="AH455" s="280">
        <f t="shared" si="113"/>
        <v>9.9999999998544808E-2</v>
      </c>
      <c r="AI455" s="281">
        <f t="shared" si="114"/>
        <v>1.5756641818213227E-5</v>
      </c>
      <c r="AJ455" s="286"/>
      <c r="AK455" s="277"/>
      <c r="AL455" s="278">
        <v>6163.5</v>
      </c>
      <c r="AM455" s="282"/>
      <c r="AN455" s="280">
        <f t="shared" ref="AN455:AN462" si="116">AF455-AL455</f>
        <v>183.1299999999992</v>
      </c>
      <c r="AO455" s="287">
        <f t="shared" si="115"/>
        <v>2.9712014277601881E-2</v>
      </c>
      <c r="AP455" s="244"/>
      <c r="AQ455" s="494">
        <v>6347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8">
      <c r="A456" t="str">
        <f t="shared" si="8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2719.99</v>
      </c>
      <c r="AG456" s="263"/>
      <c r="AH456" s="264">
        <f t="shared" si="113"/>
        <v>4.9999999999272404E-2</v>
      </c>
      <c r="AI456" s="291">
        <f t="shared" si="114"/>
        <v>1.8382758442933445E-5</v>
      </c>
      <c r="AJ456" s="290"/>
      <c r="AK456" s="261"/>
      <c r="AL456" s="262">
        <v>2641.5</v>
      </c>
      <c r="AM456" s="266"/>
      <c r="AN456" s="264">
        <f t="shared" si="116"/>
        <v>78.489999999999782</v>
      </c>
      <c r="AO456" s="267">
        <f t="shared" si="115"/>
        <v>2.9714177550634026E-2</v>
      </c>
      <c r="AP456" s="244"/>
      <c r="AQ456" s="494">
        <v>2720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8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3"/>
        <v>0</v>
      </c>
      <c r="AI457" s="281">
        <f t="shared" si="114"/>
        <v>0</v>
      </c>
      <c r="AJ457" s="286"/>
      <c r="AK457" s="277"/>
      <c r="AL457" s="278">
        <v>0</v>
      </c>
      <c r="AM457" s="282"/>
      <c r="AN457" s="280">
        <f t="shared" si="116"/>
        <v>0</v>
      </c>
      <c r="AO457" s="287">
        <f t="shared" si="115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8">
      <c r="A458" t="str">
        <f t="shared" si="8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3"/>
        <v>-6.6666666671153507E-3</v>
      </c>
      <c r="AI458" s="291">
        <f t="shared" si="114"/>
        <v>-1.8668035657204508E-6</v>
      </c>
      <c r="AJ458" s="290"/>
      <c r="AK458" s="261"/>
      <c r="AL458" s="262">
        <v>4853.83</v>
      </c>
      <c r="AM458" s="266"/>
      <c r="AN458" s="264">
        <f t="shared" si="116"/>
        <v>-1282.67</v>
      </c>
      <c r="AO458" s="267">
        <f t="shared" si="115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8">
      <c r="A459" t="str">
        <f t="shared" si="8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6787.3799999999992</v>
      </c>
      <c r="AG459" s="279"/>
      <c r="AH459" s="280">
        <f t="shared" si="113"/>
        <v>112.3799999999992</v>
      </c>
      <c r="AI459" s="281">
        <f t="shared" si="114"/>
        <v>1.6835955056179654E-2</v>
      </c>
      <c r="AJ459" s="286"/>
      <c r="AK459" s="277"/>
      <c r="AL459" s="278">
        <v>6454.11</v>
      </c>
      <c r="AM459" s="282"/>
      <c r="AN459" s="280">
        <f t="shared" si="116"/>
        <v>333.26999999999953</v>
      </c>
      <c r="AO459" s="287">
        <f t="shared" si="115"/>
        <v>5.1636863951807381E-2</v>
      </c>
      <c r="AP459" s="244"/>
      <c r="AQ459" s="244">
        <v>6787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8">
      <c r="A460" t="str">
        <f t="shared" si="8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1500</v>
      </c>
      <c r="AG460" s="279"/>
      <c r="AH460" s="280">
        <f t="shared" si="113"/>
        <v>-250</v>
      </c>
      <c r="AI460" s="281">
        <f t="shared" si="114"/>
        <v>-0.14285714285714285</v>
      </c>
      <c r="AJ460" s="286"/>
      <c r="AK460" s="277"/>
      <c r="AL460" s="278">
        <v>6307.33</v>
      </c>
      <c r="AM460" s="282"/>
      <c r="AN460" s="280">
        <f t="shared" si="116"/>
        <v>-4807.33</v>
      </c>
      <c r="AO460" s="287">
        <f t="shared" si="115"/>
        <v>-0.76218146188640834</v>
      </c>
      <c r="AP460" s="244"/>
      <c r="AQ460" s="494">
        <v>1500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8">
      <c r="A461" t="str">
        <f t="shared" si="8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450</v>
      </c>
      <c r="AG461" s="263"/>
      <c r="AH461" s="264">
        <f t="shared" si="113"/>
        <v>0</v>
      </c>
      <c r="AI461" s="291">
        <f t="shared" si="114"/>
        <v>0</v>
      </c>
      <c r="AJ461" s="290"/>
      <c r="AK461" s="261"/>
      <c r="AL461" s="262">
        <v>2791.9</v>
      </c>
      <c r="AM461" s="266"/>
      <c r="AN461" s="264">
        <f t="shared" si="116"/>
        <v>-2341.9</v>
      </c>
      <c r="AO461" s="267">
        <f t="shared" si="115"/>
        <v>-0.83881944195709013</v>
      </c>
      <c r="AP461" s="244"/>
      <c r="AQ461" s="244">
        <v>450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8">
      <c r="A462" t="str">
        <f t="shared" si="8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264</v>
      </c>
      <c r="AG462" s="279"/>
      <c r="AH462" s="280">
        <f t="shared" si="113"/>
        <v>-15</v>
      </c>
      <c r="AI462" s="333">
        <f t="shared" si="114"/>
        <v>-5.3763440860215055E-2</v>
      </c>
      <c r="AJ462" s="277"/>
      <c r="AK462" s="277"/>
      <c r="AL462" s="278">
        <v>173.96</v>
      </c>
      <c r="AM462" s="282"/>
      <c r="AN462" s="280">
        <f t="shared" si="116"/>
        <v>90.039999999999992</v>
      </c>
      <c r="AO462" s="287">
        <f t="shared" si="115"/>
        <v>0.51759025063232922</v>
      </c>
      <c r="AP462" s="244"/>
      <c r="AQ462" s="244">
        <f>164+100</f>
        <v>264</v>
      </c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8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8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IFERROR(SUMIF($C:$C,$V464,F:F),0)</f>
        <v>0</v>
      </c>
      <c r="AA464" s="277"/>
      <c r="AB464" s="277"/>
      <c r="AC464" s="280"/>
      <c r="AD464" s="286"/>
      <c r="AE464" s="285"/>
      <c r="AF464" s="278">
        <f>+SUMIF($C:$C,$V464,L:L)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8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IFERROR(SUMIF($C:$C,$V465,F:F),0)</f>
        <v>0</v>
      </c>
      <c r="AA465" s="277"/>
      <c r="AB465" s="277"/>
      <c r="AC465" s="280"/>
      <c r="AD465" s="286"/>
      <c r="AE465" s="285"/>
      <c r="AF465" s="278">
        <f>+SUMIF($C:$C,$V465,L:L)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IFERROR(SUMIF($C:$C,$V465,Q:Q),0)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8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IFERROR(SUMIF($C:$C,$V466,F:F),0)</f>
        <v>0</v>
      </c>
      <c r="AA466" s="277"/>
      <c r="AB466" s="277"/>
      <c r="AC466" s="280"/>
      <c r="AD466" s="286"/>
      <c r="AE466" s="285"/>
      <c r="AF466" s="278">
        <f>+SUMIF($C:$C,$V466,L:L)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IFERROR(SUMIF($C:$C,$V466,Q:Q),0)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8">
      <c r="A467" t="str">
        <f t="shared" si="8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0.11652652523552551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0.14601573242168753</v>
      </c>
      <c r="AE467" s="295"/>
      <c r="AF467" s="297">
        <f>SUM(AF454:AF466)</f>
        <v>71639.16</v>
      </c>
      <c r="AG467" s="306"/>
      <c r="AH467" s="300">
        <f>SUM(AH454:AH466)</f>
        <v>-152.4766666666701</v>
      </c>
      <c r="AI467" s="296">
        <f>IF(Z467=0,0,AH467/Z467)</f>
        <v>-2.1238778463100014E-3</v>
      </c>
      <c r="AJ467" s="298">
        <f>IF($AL$408=0,0,AL467/$AL$408)</f>
        <v>0.13518512205245389</v>
      </c>
      <c r="AK467" s="296"/>
      <c r="AL467" s="297">
        <f>SUM(AL454:AL466)</f>
        <v>79386.13</v>
      </c>
      <c r="AM467" s="307"/>
      <c r="AN467" s="300">
        <f>SUM(AN454:AN466)</f>
        <v>-7746.9700000000021</v>
      </c>
      <c r="AO467" s="329">
        <f t="shared" ref="AO467:AO484" si="117">IF(AL467=0,0,AN467/AL467)</f>
        <v>-9.7585938500843933E-2</v>
      </c>
      <c r="AP467" s="244"/>
      <c r="AQ467" s="308">
        <f>SUM(AQ454:AQ462)-AF467</f>
        <v>-0.16000000000349246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8">
      <c r="A468" t="str">
        <f t="shared" si="8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18">AF468-Z468</f>
        <v>0</v>
      </c>
      <c r="AI468" s="281"/>
      <c r="AJ468" s="286"/>
      <c r="AK468" s="277"/>
      <c r="AL468" s="334"/>
      <c r="AM468" s="335"/>
      <c r="AN468" s="280">
        <f t="shared" ref="AN468:AN484" si="119">AF468-AL468</f>
        <v>0</v>
      </c>
      <c r="AO468" s="336">
        <f t="shared" si="117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8">
      <c r="A469" t="str">
        <f t="shared" si="8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0.84309591140307816</v>
      </c>
      <c r="Y469" s="295"/>
      <c r="Z469" s="297">
        <f>Z420+Z434+Z453+Z467</f>
        <v>519428.81866822368</v>
      </c>
      <c r="AA469" s="296"/>
      <c r="AB469" s="295"/>
      <c r="AC469" s="297"/>
      <c r="AD469" s="298">
        <f>AF469/AF408</f>
        <v>0.87799152067486863</v>
      </c>
      <c r="AE469" s="295"/>
      <c r="AF469" s="297">
        <f>AF420+AF434+AF453+AF467</f>
        <v>430765.74</v>
      </c>
      <c r="AG469" s="306"/>
      <c r="AH469" s="300">
        <f t="shared" si="118"/>
        <v>-88663.078668223694</v>
      </c>
      <c r="AI469" s="296">
        <f>AH469/Z469</f>
        <v>-0.17069341453858711</v>
      </c>
      <c r="AJ469" s="298">
        <f>IF($AL$408=0,0,AL469/$AL$408)</f>
        <v>0.87254003106804079</v>
      </c>
      <c r="AK469" s="296"/>
      <c r="AL469" s="297">
        <f>AL420+AL434+AL453+AL467</f>
        <v>512390.52999999991</v>
      </c>
      <c r="AM469" s="307"/>
      <c r="AN469" s="300">
        <f t="shared" si="119"/>
        <v>-81624.789999999921</v>
      </c>
      <c r="AO469" s="275">
        <f t="shared" si="117"/>
        <v>-0.15930190981476558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8">
      <c r="A470" t="str">
        <f t="shared" si="8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42439.54</v>
      </c>
      <c r="AG470" s="340"/>
      <c r="AH470" s="280">
        <f t="shared" si="118"/>
        <v>42439.54</v>
      </c>
      <c r="AI470" s="333" t="e">
        <f>IF(AH470=0,0,AH470/Z470)</f>
        <v>#DIV/0!</v>
      </c>
      <c r="AJ470" s="339"/>
      <c r="AK470" s="337"/>
      <c r="AL470" s="341">
        <v>-3.14</v>
      </c>
      <c r="AM470" s="342"/>
      <c r="AN470" s="280">
        <f t="shared" si="119"/>
        <v>42442.68</v>
      </c>
      <c r="AO470" s="287">
        <f t="shared" si="117"/>
        <v>-13516.777070063694</v>
      </c>
      <c r="AP470" s="244"/>
      <c r="AQ470" s="244">
        <v>-34</v>
      </c>
      <c r="AR470" s="244">
        <v>42474</v>
      </c>
      <c r="AS470" s="244">
        <f>AQ470+AR470</f>
        <v>42440</v>
      </c>
      <c r="AT470" s="308">
        <f>AS470-AF470</f>
        <v>0.45999999999912689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8">
      <c r="A471" t="str">
        <f t="shared" si="8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60158.057142857149</v>
      </c>
      <c r="AA471" s="330"/>
      <c r="AB471" s="331"/>
      <c r="AC471" s="278"/>
      <c r="AD471" s="343"/>
      <c r="AE471" s="331"/>
      <c r="AF471" s="278">
        <f t="shared" ref="AF471:AF477" si="120">+SUMIF($C:$C,$V471,L:L)</f>
        <v>53782</v>
      </c>
      <c r="AG471" s="344"/>
      <c r="AH471" s="280">
        <f t="shared" si="118"/>
        <v>-6376.0571428571493</v>
      </c>
      <c r="AI471" s="304">
        <f>IF(Z471=0,0,AH471/Z471)</f>
        <v>-0.10598841527936892</v>
      </c>
      <c r="AJ471" s="343"/>
      <c r="AK471" s="330"/>
      <c r="AL471" s="345">
        <f>+SUMIF($C:$C,$V471,Q:Q)</f>
        <v>52973</v>
      </c>
      <c r="AM471" s="346"/>
      <c r="AN471" s="280">
        <f t="shared" si="119"/>
        <v>809</v>
      </c>
      <c r="AO471" s="287">
        <f t="shared" si="117"/>
        <v>1.5271930983708682E-2</v>
      </c>
      <c r="AP471" s="244"/>
      <c r="AQ471" s="244">
        <v>57558</v>
      </c>
      <c r="AR471" s="244">
        <v>-3776</v>
      </c>
      <c r="AS471" s="244">
        <f>AQ471+AR471</f>
        <v>53782</v>
      </c>
      <c r="AT471" s="308">
        <f t="shared" ref="AT471:AT481" si="121">AS471-AF471</f>
        <v>0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8">
      <c r="A472" t="str">
        <f t="shared" si="8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49630.397142857146</v>
      </c>
      <c r="AA472" s="330"/>
      <c r="AB472" s="331"/>
      <c r="AC472" s="278"/>
      <c r="AD472" s="343"/>
      <c r="AE472" s="331"/>
      <c r="AF472" s="278">
        <f t="shared" si="120"/>
        <v>41431.620000000003</v>
      </c>
      <c r="AG472" s="344"/>
      <c r="AH472" s="280">
        <f t="shared" si="118"/>
        <v>-8198.7771428571432</v>
      </c>
      <c r="AI472" s="304">
        <f t="shared" ref="AI472:AI481" si="122">IF(AH472=0,0,AH472/Z472)</f>
        <v>-0.16519668620135392</v>
      </c>
      <c r="AJ472" s="343"/>
      <c r="AK472" s="330"/>
      <c r="AL472" s="345">
        <v>43701.85</v>
      </c>
      <c r="AM472" s="346"/>
      <c r="AN472" s="280">
        <f t="shared" si="119"/>
        <v>-2270.2299999999959</v>
      </c>
      <c r="AO472" s="287">
        <f t="shared" si="117"/>
        <v>-5.1948144071703964E-2</v>
      </c>
      <c r="AP472" s="244"/>
      <c r="AQ472" s="244">
        <v>45939</v>
      </c>
      <c r="AR472" s="244">
        <f>1554-3134.88-2926.4</f>
        <v>-4507.2800000000007</v>
      </c>
      <c r="AS472" s="244">
        <f>AQ472+AR472</f>
        <v>41431.72</v>
      </c>
      <c r="AT472" s="308">
        <f t="shared" si="121"/>
        <v>9.9999999998544808E-2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8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+SUMIF($C:$C,$V473,F:F)</f>
        <v>0</v>
      </c>
      <c r="AA473" s="330"/>
      <c r="AB473" s="331"/>
      <c r="AC473" s="278"/>
      <c r="AD473" s="343"/>
      <c r="AE473" s="331"/>
      <c r="AF473" s="278">
        <f t="shared" si="120"/>
        <v>0</v>
      </c>
      <c r="AG473" s="344"/>
      <c r="AH473" s="280">
        <f t="shared" si="118"/>
        <v>0</v>
      </c>
      <c r="AI473" s="304">
        <f t="shared" si="122"/>
        <v>0</v>
      </c>
      <c r="AJ473" s="343"/>
      <c r="AK473" s="330"/>
      <c r="AL473" s="345">
        <f>+SUMIF($C:$C,$V473,Q:Q)</f>
        <v>0</v>
      </c>
      <c r="AM473" s="346"/>
      <c r="AN473" s="280">
        <f t="shared" si="119"/>
        <v>0</v>
      </c>
      <c r="AO473" s="287">
        <f t="shared" si="117"/>
        <v>0</v>
      </c>
      <c r="AP473" s="244"/>
      <c r="AQ473" s="244"/>
      <c r="AR473" s="244"/>
      <c r="AS473" s="244">
        <f t="shared" ref="AS473:AS481" si="123">AQ473+AR473</f>
        <v>0</v>
      </c>
      <c r="AT473" s="308">
        <f t="shared" si="121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8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+SUMIF($C:$C,$V474,F:F)</f>
        <v>0</v>
      </c>
      <c r="AA474" s="330"/>
      <c r="AB474" s="331"/>
      <c r="AC474" s="278"/>
      <c r="AD474" s="343"/>
      <c r="AE474" s="331"/>
      <c r="AF474" s="278">
        <f t="shared" si="120"/>
        <v>0</v>
      </c>
      <c r="AG474" s="344"/>
      <c r="AH474" s="280">
        <f t="shared" si="118"/>
        <v>0</v>
      </c>
      <c r="AI474" s="304">
        <f t="shared" si="122"/>
        <v>0</v>
      </c>
      <c r="AJ474" s="343"/>
      <c r="AK474" s="330"/>
      <c r="AL474" s="345">
        <f>+SUMIF($C:$C,$V474,Q:Q)</f>
        <v>0</v>
      </c>
      <c r="AM474" s="346"/>
      <c r="AN474" s="280">
        <f t="shared" si="119"/>
        <v>0</v>
      </c>
      <c r="AO474" s="287">
        <f t="shared" si="117"/>
        <v>0</v>
      </c>
      <c r="AP474" s="244"/>
      <c r="AQ474" s="244"/>
      <c r="AR474" s="244"/>
      <c r="AS474" s="244">
        <f t="shared" si="123"/>
        <v>0</v>
      </c>
      <c r="AT474" s="308">
        <f t="shared" si="121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8">
      <c r="A475" t="str">
        <f t="shared" si="8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5625</v>
      </c>
      <c r="AA475" s="330"/>
      <c r="AB475" s="331"/>
      <c r="AC475" s="278"/>
      <c r="AD475" s="343"/>
      <c r="AE475" s="331"/>
      <c r="AF475" s="278">
        <f t="shared" si="120"/>
        <v>0</v>
      </c>
      <c r="AG475" s="344"/>
      <c r="AH475" s="280">
        <f t="shared" si="118"/>
        <v>-5625</v>
      </c>
      <c r="AI475" s="304">
        <f t="shared" si="122"/>
        <v>-1</v>
      </c>
      <c r="AJ475" s="343"/>
      <c r="AK475" s="330"/>
      <c r="AL475" s="345">
        <v>3000</v>
      </c>
      <c r="AM475" s="346"/>
      <c r="AN475" s="280">
        <f t="shared" si="119"/>
        <v>-3000</v>
      </c>
      <c r="AO475" s="287">
        <f t="shared" si="117"/>
        <v>-1</v>
      </c>
      <c r="AP475" s="244"/>
      <c r="AQ475" s="244">
        <v>0</v>
      </c>
      <c r="AR475" s="244"/>
      <c r="AS475" s="244">
        <f t="shared" si="123"/>
        <v>0</v>
      </c>
      <c r="AT475" s="308">
        <f t="shared" si="121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8">
      <c r="A476" t="str">
        <f t="shared" si="8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+SUMIF($C:$C,$V476,F:F)</f>
        <v>0</v>
      </c>
      <c r="AA476" s="330"/>
      <c r="AB476" s="331"/>
      <c r="AC476" s="278"/>
      <c r="AD476" s="343"/>
      <c r="AE476" s="331"/>
      <c r="AF476" s="278">
        <f t="shared" si="120"/>
        <v>13900</v>
      </c>
      <c r="AG476" s="344"/>
      <c r="AH476" s="280">
        <f t="shared" si="118"/>
        <v>13900</v>
      </c>
      <c r="AI476" s="304" t="e">
        <f t="shared" si="122"/>
        <v>#DIV/0!</v>
      </c>
      <c r="AJ476" s="343"/>
      <c r="AK476" s="330"/>
      <c r="AL476" s="345">
        <f>+SUMIF($C:$C,$V476,Q:Q)</f>
        <v>-2050</v>
      </c>
      <c r="AM476" s="346"/>
      <c r="AN476" s="280">
        <f t="shared" si="119"/>
        <v>15950</v>
      </c>
      <c r="AO476" s="287">
        <f t="shared" si="117"/>
        <v>-7.7804878048780486</v>
      </c>
      <c r="AP476" s="244"/>
      <c r="AQ476" s="244">
        <v>13900</v>
      </c>
      <c r="AR476" s="244"/>
      <c r="AS476" s="244">
        <f t="shared" si="123"/>
        <v>13900</v>
      </c>
      <c r="AT476" s="308">
        <f t="shared" si="121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8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+SUMIF($C:$C,$V477,F:F)</f>
        <v>0</v>
      </c>
      <c r="AA477" s="330"/>
      <c r="AB477" s="331"/>
      <c r="AC477" s="278"/>
      <c r="AD477" s="343"/>
      <c r="AE477" s="331"/>
      <c r="AF477" s="278">
        <f t="shared" si="120"/>
        <v>0</v>
      </c>
      <c r="AG477" s="344"/>
      <c r="AH477" s="280">
        <f t="shared" si="118"/>
        <v>0</v>
      </c>
      <c r="AI477" s="304">
        <f t="shared" si="122"/>
        <v>0</v>
      </c>
      <c r="AJ477" s="343"/>
      <c r="AK477" s="330"/>
      <c r="AL477" s="345">
        <f>+SUMIF($C:$C,$V477,Q:Q)</f>
        <v>0</v>
      </c>
      <c r="AM477" s="346"/>
      <c r="AN477" s="280">
        <f t="shared" si="119"/>
        <v>0</v>
      </c>
      <c r="AO477" s="287">
        <f t="shared" si="117"/>
        <v>0</v>
      </c>
      <c r="AP477" s="244"/>
      <c r="AQ477" s="244"/>
      <c r="AR477" s="244"/>
      <c r="AS477" s="244">
        <f t="shared" si="123"/>
        <v>0</v>
      </c>
      <c r="AT477" s="308">
        <f t="shared" si="121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8">
      <c r="A478" t="str">
        <f t="shared" si="8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33086.931428571428</v>
      </c>
      <c r="AA478" s="330"/>
      <c r="AB478" s="331"/>
      <c r="AC478" s="278"/>
      <c r="AD478" s="343"/>
      <c r="AE478" s="331"/>
      <c r="AF478" s="278">
        <v>29154.95</v>
      </c>
      <c r="AG478" s="344"/>
      <c r="AH478" s="280">
        <f t="shared" si="118"/>
        <v>-3931.9814285714274</v>
      </c>
      <c r="AI478" s="304">
        <f t="shared" si="122"/>
        <v>-0.11883789940024655</v>
      </c>
      <c r="AJ478" s="343"/>
      <c r="AK478" s="330"/>
      <c r="AL478" s="345">
        <v>25984.97</v>
      </c>
      <c r="AM478" s="346"/>
      <c r="AN478" s="280">
        <f t="shared" si="119"/>
        <v>3169.9799999999996</v>
      </c>
      <c r="AO478" s="287">
        <f t="shared" si="117"/>
        <v>0.12199282893149384</v>
      </c>
      <c r="AP478" s="244"/>
      <c r="AQ478" s="244">
        <v>32602</v>
      </c>
      <c r="AR478" s="244">
        <f>854.7-2224.75-2076.8</f>
        <v>-3446.8500000000004</v>
      </c>
      <c r="AS478" s="244">
        <f t="shared" si="123"/>
        <v>29155.15</v>
      </c>
      <c r="AT478" s="308">
        <f t="shared" si="121"/>
        <v>0.2000000000007276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8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IFERROR(SUMIF($C:$C,$V479,F:F),0)</f>
        <v>0</v>
      </c>
      <c r="AA479" s="277"/>
      <c r="AB479" s="277"/>
      <c r="AC479" s="280"/>
      <c r="AD479" s="286"/>
      <c r="AE479" s="285"/>
      <c r="AF479" s="278">
        <f>+SUMIF($C:$C,$V479,L:L)</f>
        <v>0</v>
      </c>
      <c r="AG479" s="279"/>
      <c r="AH479" s="280">
        <f t="shared" si="118"/>
        <v>0</v>
      </c>
      <c r="AI479" s="281">
        <f t="shared" si="122"/>
        <v>0</v>
      </c>
      <c r="AJ479" s="286"/>
      <c r="AK479" s="277"/>
      <c r="AL479" s="278">
        <f>+SUMIF($C:$C,$V479,Q:Q)</f>
        <v>0</v>
      </c>
      <c r="AM479" s="346"/>
      <c r="AN479" s="280">
        <f t="shared" si="119"/>
        <v>0</v>
      </c>
      <c r="AO479" s="287">
        <f t="shared" si="117"/>
        <v>0</v>
      </c>
      <c r="AP479" s="244"/>
      <c r="AQ479" s="244"/>
      <c r="AR479" s="244"/>
      <c r="AS479" s="244">
        <f t="shared" si="123"/>
        <v>0</v>
      </c>
      <c r="AT479" s="308">
        <f t="shared" si="121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8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IFERROR(SUMIF($C:$C,$V480,F:F),0)</f>
        <v>0</v>
      </c>
      <c r="AA480" s="277"/>
      <c r="AB480" s="277"/>
      <c r="AC480" s="280"/>
      <c r="AD480" s="286"/>
      <c r="AE480" s="285"/>
      <c r="AF480" s="278">
        <f>+SUMIF($C:$C,$V480,L:L)</f>
        <v>0</v>
      </c>
      <c r="AG480" s="279"/>
      <c r="AH480" s="280">
        <f t="shared" si="118"/>
        <v>0</v>
      </c>
      <c r="AI480" s="281">
        <f t="shared" si="122"/>
        <v>0</v>
      </c>
      <c r="AJ480" s="286"/>
      <c r="AK480" s="277"/>
      <c r="AL480" s="278">
        <f>+SUMIF($C:$C,$V480,Q:Q)</f>
        <v>0</v>
      </c>
      <c r="AM480" s="346"/>
      <c r="AN480" s="280">
        <f t="shared" si="119"/>
        <v>0</v>
      </c>
      <c r="AO480" s="287">
        <f t="shared" si="117"/>
        <v>0</v>
      </c>
      <c r="AP480" s="244"/>
      <c r="AQ480" s="244"/>
      <c r="AR480" s="244"/>
      <c r="AS480" s="244">
        <f t="shared" si="123"/>
        <v>0</v>
      </c>
      <c r="AT480" s="308">
        <f t="shared" si="121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8">
      <c r="A481" t="str">
        <f t="shared" si="8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32469.15</v>
      </c>
      <c r="AA481" s="330"/>
      <c r="AB481" s="331"/>
      <c r="AC481" s="278"/>
      <c r="AD481" s="343"/>
      <c r="AE481" s="331"/>
      <c r="AF481" s="278">
        <f>+SUMIF($C:$C,$V481,L:L)</f>
        <v>19635</v>
      </c>
      <c r="AG481" s="344"/>
      <c r="AH481" s="280">
        <f t="shared" si="118"/>
        <v>-12834.150000000001</v>
      </c>
      <c r="AI481" s="304">
        <f t="shared" si="122"/>
        <v>-0.39527212754260588</v>
      </c>
      <c r="AJ481" s="343"/>
      <c r="AK481" s="330"/>
      <c r="AL481" s="345">
        <v>29750</v>
      </c>
      <c r="AM481" s="346"/>
      <c r="AN481" s="280">
        <f t="shared" si="119"/>
        <v>-10115</v>
      </c>
      <c r="AO481" s="287">
        <f t="shared" si="117"/>
        <v>-0.34</v>
      </c>
      <c r="AP481" s="244"/>
      <c r="AQ481" s="244">
        <v>19635</v>
      </c>
      <c r="AR481" s="244"/>
      <c r="AS481" s="244">
        <f t="shared" si="123"/>
        <v>19635</v>
      </c>
      <c r="AT481" s="308">
        <f t="shared" si="121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8">
      <c r="A482" t="str">
        <f t="shared" si="8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0.29373548437381192</v>
      </c>
      <c r="Y482" s="328"/>
      <c r="Z482" s="297">
        <f>SUM(Z470:Z481)</f>
        <v>180969.53571428571</v>
      </c>
      <c r="AA482" s="296"/>
      <c r="AB482" s="328"/>
      <c r="AC482" s="297"/>
      <c r="AD482" s="296">
        <f>AF482/+AF408</f>
        <v>0.40834155428802782</v>
      </c>
      <c r="AE482" s="328"/>
      <c r="AF482" s="297">
        <f>SUM(AF470:AF481)</f>
        <v>200343.11000000002</v>
      </c>
      <c r="AG482" s="306"/>
      <c r="AH482" s="300">
        <f t="shared" si="118"/>
        <v>19373.574285714305</v>
      </c>
      <c r="AI482" s="296">
        <f>AH482/Z482</f>
        <v>0.10705434044048862</v>
      </c>
      <c r="AJ482" s="347"/>
      <c r="AK482" s="348"/>
      <c r="AL482" s="297">
        <f>SUM(AL470:AL481)</f>
        <v>153356.68</v>
      </c>
      <c r="AM482" s="349"/>
      <c r="AN482" s="300">
        <f t="shared" si="119"/>
        <v>46986.430000000022</v>
      </c>
      <c r="AO482" s="329">
        <f t="shared" si="117"/>
        <v>0.30638658844205563</v>
      </c>
      <c r="AP482" s="244"/>
      <c r="AQ482" s="244"/>
      <c r="AR482" s="244"/>
      <c r="AS482" s="308">
        <f>SUM(AS470:AS481)-AF482</f>
        <v>0.7599999999802094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.75" thickBot="1">
      <c r="A483" t="str">
        <f t="shared" si="8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19"/>
        <v>0</v>
      </c>
      <c r="AO483" s="362">
        <f t="shared" si="117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9.5" thickTop="1" thickBot="1">
      <c r="A484" t="str">
        <f t="shared" si="8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4.6800300903591739E-2</v>
      </c>
      <c r="Z484" s="367">
        <f>Z408-Z469+Z482</f>
        <v>277637.66597301327</v>
      </c>
      <c r="AA484" s="365"/>
      <c r="AB484" s="366"/>
      <c r="AC484" s="367"/>
      <c r="AD484" s="365" t="s">
        <v>180</v>
      </c>
      <c r="AE484" s="366">
        <f>AF484/AF407</f>
        <v>4.2269955752949541E-2</v>
      </c>
      <c r="AF484" s="368">
        <f>AF408-AF469+AF482</f>
        <v>260203.6800000006</v>
      </c>
      <c r="AG484" s="369"/>
      <c r="AH484" s="368">
        <f>AF484-Z484</f>
        <v>-17433.985973012663</v>
      </c>
      <c r="AI484" s="481">
        <f>AH484/Z484</f>
        <v>-6.2794022964835286E-2</v>
      </c>
      <c r="AJ484" s="371" t="s">
        <v>180</v>
      </c>
      <c r="AK484" s="366">
        <f>IF($AL$407=0,0,AL484/$AL$407)</f>
        <v>4.7699426033284538E-2</v>
      </c>
      <c r="AL484" s="368">
        <f>AL408-AL469+AL482</f>
        <v>228206.28999999928</v>
      </c>
      <c r="AM484" s="372"/>
      <c r="AN484" s="368">
        <f t="shared" si="119"/>
        <v>31997.390000001324</v>
      </c>
      <c r="AO484" s="373">
        <f t="shared" si="117"/>
        <v>0.14021256819871802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8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25">
      <c r="A486" t="str">
        <f t="shared" ref="A486:A499" si="124">+U486&amp;V486</f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Avril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2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2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9.5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5.2238383858324924E-2</v>
      </c>
      <c r="Z489" s="446">
        <f>Z490+Z416</f>
        <v>309898.49827043718</v>
      </c>
      <c r="AA489" s="443"/>
      <c r="AB489" s="444"/>
      <c r="AC489" s="445"/>
      <c r="AD489" s="443" t="s">
        <v>180</v>
      </c>
      <c r="AE489" s="444">
        <f>AF489/AF407</f>
        <v>4.6996095588179555E-2</v>
      </c>
      <c r="AF489" s="446">
        <f>AF490+AF416</f>
        <v>289296.66000000061</v>
      </c>
      <c r="AG489" s="447"/>
      <c r="AH489" s="446">
        <f t="shared" ref="AH489" si="125">AF489-Z489</f>
        <v>-20601.838270436565</v>
      </c>
      <c r="AI489" s="488">
        <f>AH489/Z489</f>
        <v>-6.6479309791485627E-2</v>
      </c>
      <c r="AJ489" s="443" t="s">
        <v>180</v>
      </c>
      <c r="AK489" s="444">
        <f>IF($AL$407=0,0,AL489/$AL$407)</f>
        <v>5.3756153944688426E-2</v>
      </c>
      <c r="AL489" s="446">
        <f>AL490+AL416</f>
        <v>257183.22999999928</v>
      </c>
      <c r="AM489" s="448"/>
      <c r="AN489" s="446">
        <f t="shared" ref="AN489" si="126">AF489-AL489</f>
        <v>32113.430000001332</v>
      </c>
      <c r="AO489" s="449">
        <f t="shared" ref="AO489" si="127">IF(AL489=0,0,AN489/AL489)</f>
        <v>0.12486595646225231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9.5" thickTop="1" thickBot="1">
      <c r="A490" t="str">
        <f t="shared" si="12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4.6800300903591739E-2</v>
      </c>
      <c r="Z490" s="379">
        <f>Z484</f>
        <v>277637.66597301327</v>
      </c>
      <c r="AA490" s="377"/>
      <c r="AB490" s="378"/>
      <c r="AC490" s="379"/>
      <c r="AD490" s="377" t="s">
        <v>180</v>
      </c>
      <c r="AE490" s="378">
        <f>AF490/AF407</f>
        <v>4.2269955752949541E-2</v>
      </c>
      <c r="AF490" s="379">
        <f>AF484</f>
        <v>260203.6800000006</v>
      </c>
      <c r="AG490" s="380"/>
      <c r="AH490" s="368">
        <f>AF490-Z490</f>
        <v>-17433.985973012663</v>
      </c>
      <c r="AI490" s="481">
        <f>AH490/Z490</f>
        <v>-6.2794022964835286E-2</v>
      </c>
      <c r="AJ490" s="377" t="s">
        <v>180</v>
      </c>
      <c r="AK490" s="378">
        <f>IF($AL$407=0,0,AL490/$AL$407)</f>
        <v>4.7699426033284538E-2</v>
      </c>
      <c r="AL490" s="381">
        <f>AL484</f>
        <v>228206.28999999928</v>
      </c>
      <c r="AM490" s="382"/>
      <c r="AN490" s="383">
        <f>AF490-AL490</f>
        <v>31997.390000001324</v>
      </c>
      <c r="AO490" s="384">
        <f>IF(AL490=0,0,AN490/AL490)</f>
        <v>0.14021256819871802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5" thickTop="1">
      <c r="A491" t="str">
        <f t="shared" si="12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8">
      <c r="A492" t="str">
        <f t="shared" si="12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28">AF492-Z492</f>
        <v>0</v>
      </c>
      <c r="AI492" s="304">
        <f t="shared" ref="AI492:AI498" si="129">IF(Z492=0,0,AH492/Z492)</f>
        <v>0</v>
      </c>
      <c r="AJ492" s="277"/>
      <c r="AK492" s="277"/>
      <c r="AL492" s="278">
        <v>19300</v>
      </c>
      <c r="AM492" s="282"/>
      <c r="AN492" s="280">
        <f t="shared" ref="AN492:AN499" si="130">AF492-AL492</f>
        <v>-15222.25</v>
      </c>
      <c r="AO492" s="287">
        <f t="shared" ref="AO492:AO499" si="131">IF(AL492=0,0,AN492/AL492)</f>
        <v>-0.78871761658031092</v>
      </c>
      <c r="AP492" s="244"/>
      <c r="AQ492" s="494">
        <v>4078</v>
      </c>
      <c r="AR492" s="308">
        <f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2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28"/>
        <v>0</v>
      </c>
      <c r="AI493" s="304">
        <f t="shared" si="129"/>
        <v>0</v>
      </c>
      <c r="AJ493" s="10"/>
      <c r="AK493" s="10"/>
      <c r="AL493" s="278">
        <v>0</v>
      </c>
      <c r="AM493" s="391"/>
      <c r="AN493" s="280">
        <f t="shared" si="130"/>
        <v>0</v>
      </c>
      <c r="AO493" s="287">
        <f t="shared" si="131"/>
        <v>0</v>
      </c>
      <c r="AP493" s="244"/>
      <c r="AQ493" s="244"/>
      <c r="AR493" s="308">
        <f t="shared" ref="AR493:AR497" si="132">AQ493-AF493</f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2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28"/>
        <v>0</v>
      </c>
      <c r="AI494" s="304">
        <f t="shared" si="129"/>
        <v>0</v>
      </c>
      <c r="AJ494" s="10"/>
      <c r="AK494" s="10"/>
      <c r="AL494" s="278">
        <v>0</v>
      </c>
      <c r="AM494" s="391"/>
      <c r="AN494" s="280">
        <f t="shared" si="130"/>
        <v>0</v>
      </c>
      <c r="AO494" s="287">
        <f t="shared" si="131"/>
        <v>0</v>
      </c>
      <c r="AP494" s="244"/>
      <c r="AQ494" s="244"/>
      <c r="AR494" s="308">
        <f t="shared" si="132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2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28"/>
        <v>0</v>
      </c>
      <c r="AI495" s="304">
        <f t="shared" si="129"/>
        <v>0</v>
      </c>
      <c r="AJ495" s="10"/>
      <c r="AK495" s="10"/>
      <c r="AL495" s="278">
        <v>0</v>
      </c>
      <c r="AM495" s="391"/>
      <c r="AN495" s="280">
        <f t="shared" si="130"/>
        <v>0</v>
      </c>
      <c r="AO495" s="287">
        <f t="shared" si="131"/>
        <v>0</v>
      </c>
      <c r="AP495" s="244"/>
      <c r="AQ495" s="244"/>
      <c r="AR495" s="308">
        <f t="shared" si="132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2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28"/>
        <v>0</v>
      </c>
      <c r="AI496" s="281">
        <f t="shared" si="129"/>
        <v>0</v>
      </c>
      <c r="AJ496" s="286"/>
      <c r="AK496" s="277"/>
      <c r="AL496" s="278"/>
      <c r="AM496" s="391"/>
      <c r="AN496" s="280">
        <f t="shared" si="130"/>
        <v>0</v>
      </c>
      <c r="AO496" s="287">
        <f t="shared" si="131"/>
        <v>0</v>
      </c>
      <c r="AP496" s="244"/>
      <c r="AQ496" s="244"/>
      <c r="AR496" s="308">
        <f t="shared" si="132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2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-3953.42</v>
      </c>
      <c r="AG497" s="279"/>
      <c r="AH497" s="280">
        <f t="shared" si="128"/>
        <v>-3953.42</v>
      </c>
      <c r="AI497" s="281">
        <f t="shared" si="129"/>
        <v>0</v>
      </c>
      <c r="AJ497" s="286"/>
      <c r="AK497" s="277"/>
      <c r="AL497" s="278">
        <v>-2547.54</v>
      </c>
      <c r="AM497" s="391"/>
      <c r="AN497" s="280">
        <f t="shared" si="130"/>
        <v>-1405.88</v>
      </c>
      <c r="AO497" s="287">
        <f t="shared" si="131"/>
        <v>0.55185787073019466</v>
      </c>
      <c r="AP497" s="244"/>
      <c r="AQ497" s="308">
        <v>-3953.42</v>
      </c>
      <c r="AR497" s="308">
        <f t="shared" si="132"/>
        <v>0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2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28"/>
        <v>0</v>
      </c>
      <c r="AI498" s="281">
        <f t="shared" si="129"/>
        <v>0</v>
      </c>
      <c r="AJ498" s="286"/>
      <c r="AK498" s="277"/>
      <c r="AL498" s="278"/>
      <c r="AM498" s="391"/>
      <c r="AN498" s="280">
        <f t="shared" si="130"/>
        <v>0</v>
      </c>
      <c r="AO498" s="287">
        <f t="shared" si="131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9.5" thickTop="1" thickBot="1">
      <c r="A499" t="str">
        <f t="shared" si="12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4.6112930454986358E-2</v>
      </c>
      <c r="Z499" s="367">
        <f>Z490-Z492-Z493-Z494-Z498-Z497-Z495-Z496</f>
        <v>273559.91597301327</v>
      </c>
      <c r="AA499" s="365"/>
      <c r="AB499" s="366"/>
      <c r="AC499" s="367"/>
      <c r="AD499" s="365" t="s">
        <v>180</v>
      </c>
      <c r="AE499" s="366">
        <f>AF499/AF407</f>
        <v>4.2249758407551644E-2</v>
      </c>
      <c r="AF499" s="368">
        <f>AF490-AF492-AF493-AF494-AF498-AF497-AF495-AF496</f>
        <v>260079.35000000062</v>
      </c>
      <c r="AG499" s="369"/>
      <c r="AH499" s="368">
        <f t="shared" si="128"/>
        <v>-13480.56597301265</v>
      </c>
      <c r="AI499" s="481">
        <f>AH499/Z499</f>
        <v>-4.9278294025878085E-2</v>
      </c>
      <c r="AJ499" s="371" t="s">
        <v>180</v>
      </c>
      <c r="AK499" s="366">
        <f>IF($AL$407=0,0,AL499/$AL$407)</f>
        <v>4.4197845394794863E-2</v>
      </c>
      <c r="AL499" s="368">
        <f>AL490-AL492-AL493-AL494-AL498-AL497-AL495-AL496</f>
        <v>211453.82999999929</v>
      </c>
      <c r="AM499" s="372"/>
      <c r="AN499" s="368">
        <f t="shared" si="130"/>
        <v>48625.520000001328</v>
      </c>
      <c r="AO499" s="392">
        <f t="shared" si="131"/>
        <v>0.22995809534403558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5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260079.35000000062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>
        <f>AR408-AR469+AR482-AR499</f>
        <v>0</v>
      </c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25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8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5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8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8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8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8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8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242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8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260079.35000000062</v>
      </c>
      <c r="AG512" s="308">
        <f>AF512-AF506</f>
        <v>260079.35000000062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5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5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5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5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5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5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5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5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5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5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5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5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5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5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75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5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5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5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8.75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5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5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5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5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5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5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5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5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5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5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5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5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5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5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5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5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5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5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5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5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5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5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5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5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5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5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5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5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5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5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5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5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5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5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5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5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5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5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5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5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5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5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5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5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5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5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5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5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5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5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5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5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5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5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5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5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5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5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5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5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5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5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5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5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5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5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5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5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5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5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5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5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5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5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5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5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5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5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5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5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5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5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5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5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5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5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5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5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5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5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5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5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5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5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5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5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5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5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5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5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5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5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5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5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5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5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5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5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5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5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5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5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5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5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5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5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5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5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5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8.75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5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5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5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5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5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5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5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5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5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5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5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5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5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5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5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5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5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5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5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5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5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5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5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5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5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5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5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5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5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5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5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5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5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5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5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5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5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5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5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5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5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5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5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5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5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5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5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5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5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5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5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  <row r="704" spans="2:62" ht="16.5"/>
    <row r="705" ht="16.5"/>
  </sheetData>
  <mergeCells count="42">
    <mergeCell ref="AM405:AO405"/>
    <mergeCell ref="X405:Z405"/>
    <mergeCell ref="AA405:AC405"/>
    <mergeCell ref="AD405:AF405"/>
    <mergeCell ref="AG405:AI405"/>
    <mergeCell ref="AJ405:AL405"/>
    <mergeCell ref="O294:Q294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171:Q17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113:D114">
    <cfRule type="expression" dxfId="659" priority="26" stopIfTrue="1">
      <formula>"esterreur(reference)"</formula>
    </cfRule>
  </conditionalFormatting>
  <conditionalFormatting sqref="E103:E105">
    <cfRule type="expression" dxfId="658" priority="2" stopIfTrue="1">
      <formula>"esterreur(reference)"</formula>
    </cfRule>
  </conditionalFormatting>
  <conditionalFormatting sqref="F5">
    <cfRule type="expression" dxfId="657" priority="69" stopIfTrue="1">
      <formula>"esterreur(reference)"</formula>
    </cfRule>
  </conditionalFormatting>
  <conditionalFormatting sqref="F185">
    <cfRule type="expression" dxfId="656" priority="78" stopIfTrue="1">
      <formula>"esterreur(reference)"</formula>
    </cfRule>
  </conditionalFormatting>
  <conditionalFormatting sqref="G31:G32">
    <cfRule type="expression" dxfId="655" priority="30" stopIfTrue="1">
      <formula>"esterreur(reference)"</formula>
    </cfRule>
  </conditionalFormatting>
  <conditionalFormatting sqref="G113:G114">
    <cfRule type="expression" dxfId="654" priority="27" stopIfTrue="1">
      <formula>"esterreur(reference)"</formula>
    </cfRule>
  </conditionalFormatting>
  <conditionalFormatting sqref="H137:H153">
    <cfRule type="expression" dxfId="653" priority="35" stopIfTrue="1">
      <formula>"esterreur(reference)"</formula>
    </cfRule>
  </conditionalFormatting>
  <conditionalFormatting sqref="H361">
    <cfRule type="expression" dxfId="652" priority="108" stopIfTrue="1">
      <formula>"esterreur(reference)"</formula>
    </cfRule>
  </conditionalFormatting>
  <conditionalFormatting sqref="H198:L198">
    <cfRule type="expression" dxfId="651" priority="110" stopIfTrue="1">
      <formula>"esterreur(reference)"</formula>
    </cfRule>
  </conditionalFormatting>
  <conditionalFormatting sqref="H397:L400">
    <cfRule type="expression" dxfId="650" priority="106" stopIfTrue="1">
      <formula>"esterreur(reference)"</formula>
    </cfRule>
  </conditionalFormatting>
  <conditionalFormatting sqref="I378:L378 H379:H396">
    <cfRule type="expression" dxfId="64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648" priority="102" stopIfTrue="1">
      <formula>"esterreur(reference)"</formula>
    </cfRule>
  </conditionalFormatting>
  <conditionalFormatting sqref="J49:L72">
    <cfRule type="expression" dxfId="647" priority="36" stopIfTrue="1">
      <formula>"esterreur(reference)"</formula>
    </cfRule>
  </conditionalFormatting>
  <conditionalFormatting sqref="J103:L105">
    <cfRule type="expression" dxfId="646" priority="99" stopIfTrue="1">
      <formula>"esterreur(reference)"</formula>
    </cfRule>
  </conditionalFormatting>
  <conditionalFormatting sqref="J150:L153">
    <cfRule type="expression" dxfId="645" priority="34" stopIfTrue="1">
      <formula>"esterreur(reference)"</formula>
    </cfRule>
  </conditionalFormatting>
  <conditionalFormatting sqref="J296:L304">
    <cfRule type="expression" dxfId="644" priority="95" stopIfTrue="1">
      <formula>"esterreur(reference)"</formula>
    </cfRule>
  </conditionalFormatting>
  <conditionalFormatting sqref="J308:L309">
    <cfRule type="expression" dxfId="643" priority="85" stopIfTrue="1">
      <formula>"esterreur(reference)"</formula>
    </cfRule>
  </conditionalFormatting>
  <conditionalFormatting sqref="J361:L361">
    <cfRule type="expression" dxfId="642" priority="77" stopIfTrue="1">
      <formula>"esterreur(reference)"</formula>
    </cfRule>
  </conditionalFormatting>
  <conditionalFormatting sqref="J366:L377">
    <cfRule type="expression" dxfId="641" priority="82" stopIfTrue="1">
      <formula>"esterreur(reference)"</formula>
    </cfRule>
  </conditionalFormatting>
  <conditionalFormatting sqref="J379:L395">
    <cfRule type="expression" dxfId="640" priority="81" stopIfTrue="1">
      <formula>"esterreur(reference)"</formula>
    </cfRule>
  </conditionalFormatting>
  <conditionalFormatting sqref="J313:M313">
    <cfRule type="expression" dxfId="639" priority="83" stopIfTrue="1">
      <formula>"esterreur(reference)"</formula>
    </cfRule>
  </conditionalFormatting>
  <conditionalFormatting sqref="J113:Q122">
    <cfRule type="expression" dxfId="638" priority="28" stopIfTrue="1">
      <formula>"esterreur(reference)"</formula>
    </cfRule>
  </conditionalFormatting>
  <conditionalFormatting sqref="J124:Q135">
    <cfRule type="expression" dxfId="637" priority="61" stopIfTrue="1">
      <formula>"esterreur(reference)"</formula>
    </cfRule>
  </conditionalFormatting>
  <conditionalFormatting sqref="K5">
    <cfRule type="expression" dxfId="636" priority="92" stopIfTrue="1">
      <formula>"esterreur(reference)"</formula>
    </cfRule>
  </conditionalFormatting>
  <conditionalFormatting sqref="K176">
    <cfRule type="expression" dxfId="635" priority="89" stopIfTrue="1">
      <formula>"esterreur(reference)"</formula>
    </cfRule>
  </conditionalFormatting>
  <conditionalFormatting sqref="K184:K185">
    <cfRule type="expression" dxfId="634" priority="91" stopIfTrue="1">
      <formula>"esterreur(reference)"</formula>
    </cfRule>
  </conditionalFormatting>
  <conditionalFormatting sqref="K288">
    <cfRule type="expression" dxfId="633" priority="75" stopIfTrue="1">
      <formula>"esterreur(reference)"</formula>
    </cfRule>
  </conditionalFormatting>
  <conditionalFormatting sqref="K396">
    <cfRule type="expression" dxfId="632" priority="109" stopIfTrue="1">
      <formula>"esterreur(reference)"</formula>
    </cfRule>
  </conditionalFormatting>
  <conditionalFormatting sqref="K93:L96">
    <cfRule type="expression" dxfId="631" priority="80" stopIfTrue="1">
      <formula>"esterreur(reference)"</formula>
    </cfRule>
  </conditionalFormatting>
  <conditionalFormatting sqref="K100:L101">
    <cfRule type="expression" dxfId="630" priority="100" stopIfTrue="1">
      <formula>"esterreur(reference)"</formula>
    </cfRule>
  </conditionalFormatting>
  <conditionalFormatting sqref="K172:L174">
    <cfRule type="expression" dxfId="629" priority="90" stopIfTrue="1">
      <formula>"esterreur(reference)"</formula>
    </cfRule>
  </conditionalFormatting>
  <conditionalFormatting sqref="K177:L183">
    <cfRule type="expression" dxfId="628" priority="88" stopIfTrue="1">
      <formula>"esterreur(reference)"</formula>
    </cfRule>
  </conditionalFormatting>
  <conditionalFormatting sqref="K186:L197">
    <cfRule type="expression" dxfId="627" priority="84" stopIfTrue="1">
      <formula>"esterreur(reference)"</formula>
    </cfRule>
  </conditionalFormatting>
  <conditionalFormatting sqref="K240:L242">
    <cfRule type="expression" dxfId="626" priority="79" stopIfTrue="1">
      <formula>"esterreur(reference)"</formula>
    </cfRule>
  </conditionalFormatting>
  <conditionalFormatting sqref="K245:L245">
    <cfRule type="expression" dxfId="625" priority="87" stopIfTrue="1">
      <formula>"esterreur(reference)"</formula>
    </cfRule>
  </conditionalFormatting>
  <conditionalFormatting sqref="K248:L248">
    <cfRule type="expression" dxfId="624" priority="86" stopIfTrue="1">
      <formula>"esterreur(reference)"</formula>
    </cfRule>
  </conditionalFormatting>
  <conditionalFormatting sqref="L16:L24 Q16:Q24 O18:O24 D31:D32 L99 O99 Q99">
    <cfRule type="expression" dxfId="623" priority="31" stopIfTrue="1">
      <formula>"esterreur(reference)"</formula>
    </cfRule>
  </conditionalFormatting>
  <conditionalFormatting sqref="L42:L48">
    <cfRule type="expression" dxfId="622" priority="101" stopIfTrue="1">
      <formula>"esterreur(reference)"</formula>
    </cfRule>
  </conditionalFormatting>
  <conditionalFormatting sqref="L75:L82">
    <cfRule type="expression" dxfId="621" priority="70" stopIfTrue="1">
      <formula>"esterreur(reference)"</formula>
    </cfRule>
  </conditionalFormatting>
  <conditionalFormatting sqref="L137:L148">
    <cfRule type="expression" dxfId="620" priority="74" stopIfTrue="1">
      <formula>"esterreur(reference)"</formula>
    </cfRule>
  </conditionalFormatting>
  <conditionalFormatting sqref="L175:L176">
    <cfRule type="expression" dxfId="619" priority="98" stopIfTrue="1">
      <formula>"esterreur(reference)"</formula>
    </cfRule>
  </conditionalFormatting>
  <conditionalFormatting sqref="L199:L210">
    <cfRule type="expression" dxfId="618" priority="97" stopIfTrue="1">
      <formula>"esterreur(reference)"</formula>
    </cfRule>
  </conditionalFormatting>
  <conditionalFormatting sqref="L212:L229">
    <cfRule type="expression" dxfId="617" priority="73" stopIfTrue="1">
      <formula>"esterreur(reference)"</formula>
    </cfRule>
  </conditionalFormatting>
  <conditionalFormatting sqref="L255:L266">
    <cfRule type="expression" dxfId="616" priority="96" stopIfTrue="1">
      <formula>"esterreur(reference)"</formula>
    </cfRule>
  </conditionalFormatting>
  <conditionalFormatting sqref="L268:L285">
    <cfRule type="expression" dxfId="615" priority="72" stopIfTrue="1">
      <formula>"esterreur(reference)"</formula>
    </cfRule>
  </conditionalFormatting>
  <conditionalFormatting sqref="L319:L330">
    <cfRule type="expression" dxfId="614" priority="94" stopIfTrue="1">
      <formula>"esterreur(reference)"</formula>
    </cfRule>
  </conditionalFormatting>
  <conditionalFormatting sqref="L332">
    <cfRule type="expression" dxfId="613" priority="71" stopIfTrue="1">
      <formula>"esterreur(reference)"</formula>
    </cfRule>
  </conditionalFormatting>
  <conditionalFormatting sqref="L335:L344 L346:L349">
    <cfRule type="expression" dxfId="612" priority="93" stopIfTrue="1">
      <formula>"esterreur(reference)"</formula>
    </cfRule>
  </conditionalFormatting>
  <conditionalFormatting sqref="L357:L358 H358:I358 K358 J358:J359 H360:L360">
    <cfRule type="expression" dxfId="611" priority="105" stopIfTrue="1">
      <formula>"esterreur(reference)"</formula>
    </cfRule>
  </conditionalFormatting>
  <conditionalFormatting sqref="L5:Q14">
    <cfRule type="expression" dxfId="610" priority="65" stopIfTrue="1">
      <formula>"esterreur(reference)"</formula>
    </cfRule>
  </conditionalFormatting>
  <conditionalFormatting sqref="L157:Q163">
    <cfRule type="expression" dxfId="609" priority="32" stopIfTrue="1">
      <formula>"esterreur(reference)"</formula>
    </cfRule>
  </conditionalFormatting>
  <conditionalFormatting sqref="M95:M97">
    <cfRule type="expression" dxfId="608" priority="103" stopIfTrue="1">
      <formula>"esterreur(reference)"</formula>
    </cfRule>
  </conditionalFormatting>
  <conditionalFormatting sqref="O13:O14 O16 O83:Q85">
    <cfRule type="expression" dxfId="607" priority="68" stopIfTrue="1">
      <formula>"esterreur(reference)"</formula>
    </cfRule>
  </conditionalFormatting>
  <conditionalFormatting sqref="O173:O197 Q184 O199:P230 O233:Q233 O234:P234">
    <cfRule type="expression" dxfId="606" priority="59" stopIfTrue="1">
      <formula>"esterreur(reference)"</formula>
    </cfRule>
  </conditionalFormatting>
  <conditionalFormatting sqref="O319:P349 O350:Q350 O353:Q353 O354:P354">
    <cfRule type="expression" dxfId="605" priority="43" stopIfTrue="1">
      <formula>"esterreur(reference)"</formula>
    </cfRule>
  </conditionalFormatting>
  <conditionalFormatting sqref="O25:Q72">
    <cfRule type="expression" dxfId="604" priority="29" stopIfTrue="1">
      <formula>"esterreur(reference)"</formula>
    </cfRule>
  </conditionalFormatting>
  <conditionalFormatting sqref="O97:Q99 O123:Q123 O157:P158 O165:Q165 O166:P166">
    <cfRule type="expression" dxfId="603" priority="64" stopIfTrue="1">
      <formula>"esterreur(reference)"</formula>
    </cfRule>
  </conditionalFormatting>
  <conditionalFormatting sqref="O102:Q112">
    <cfRule type="expression" dxfId="602" priority="1" stopIfTrue="1">
      <formula>"esterreur(reference)"</formula>
    </cfRule>
  </conditionalFormatting>
  <conditionalFormatting sqref="O136:Q154">
    <cfRule type="expression" dxfId="601" priority="33" stopIfTrue="1">
      <formula>"esterreur(reference)"</formula>
    </cfRule>
  </conditionalFormatting>
  <conditionalFormatting sqref="O198:Q198">
    <cfRule type="expression" dxfId="600" priority="60" stopIfTrue="1">
      <formula>"esterreur(reference)"</formula>
    </cfRule>
  </conditionalFormatting>
  <conditionalFormatting sqref="O244:Q244 O253:Q254 O255:P285 O286:Q286 O289:Q289 O290:P290">
    <cfRule type="expression" dxfId="599" priority="50" stopIfTrue="1">
      <formula>"esterreur(reference)"</formula>
    </cfRule>
  </conditionalFormatting>
  <conditionalFormatting sqref="O296:Q318">
    <cfRule type="expression" dxfId="598" priority="41" stopIfTrue="1">
      <formula>"esterreur(reference)"</formula>
    </cfRule>
  </conditionalFormatting>
  <conditionalFormatting sqref="O360:Q395">
    <cfRule type="expression" dxfId="597" priority="37" stopIfTrue="1">
      <formula>"esterreur(reference)"</formula>
    </cfRule>
  </conditionalFormatting>
  <conditionalFormatting sqref="O397:Q400">
    <cfRule type="expression" dxfId="596" priority="38" stopIfTrue="1">
      <formula>"esterreur(reference)"</formula>
    </cfRule>
  </conditionalFormatting>
  <conditionalFormatting sqref="P5">
    <cfRule type="expression" dxfId="595" priority="66" stopIfTrue="1">
      <formula>"esterreur(reference)"</formula>
    </cfRule>
  </conditionalFormatting>
  <conditionalFormatting sqref="P176">
    <cfRule type="expression" dxfId="594" priority="54" stopIfTrue="1">
      <formula>"esterreur(reference)"</formula>
    </cfRule>
  </conditionalFormatting>
  <conditionalFormatting sqref="P184:P185">
    <cfRule type="expression" dxfId="593" priority="56" stopIfTrue="1">
      <formula>"esterreur(reference)"</formula>
    </cfRule>
  </conditionalFormatting>
  <conditionalFormatting sqref="P288">
    <cfRule type="expression" dxfId="592" priority="45" stopIfTrue="1">
      <formula>"esterreur(reference)"</formula>
    </cfRule>
  </conditionalFormatting>
  <conditionalFormatting sqref="P396">
    <cfRule type="expression" dxfId="591" priority="39" stopIfTrue="1">
      <formula>"esterreur(reference)"</formula>
    </cfRule>
  </conditionalFormatting>
  <conditionalFormatting sqref="P93:Q96">
    <cfRule type="expression" dxfId="590" priority="62" stopIfTrue="1">
      <formula>"esterreur(reference)"</formula>
    </cfRule>
  </conditionalFormatting>
  <conditionalFormatting sqref="P100:Q101">
    <cfRule type="expression" dxfId="589" priority="63" stopIfTrue="1">
      <formula>"esterreur(reference)"</formula>
    </cfRule>
  </conditionalFormatting>
  <conditionalFormatting sqref="P173:Q174">
    <cfRule type="expression" dxfId="588" priority="55" stopIfTrue="1">
      <formula>"esterreur(reference)"</formula>
    </cfRule>
  </conditionalFormatting>
  <conditionalFormatting sqref="P177:Q183">
    <cfRule type="expression" dxfId="587" priority="53" stopIfTrue="1">
      <formula>"esterreur(reference)"</formula>
    </cfRule>
  </conditionalFormatting>
  <conditionalFormatting sqref="P186:Q197">
    <cfRule type="expression" dxfId="586" priority="52" stopIfTrue="1">
      <formula>"esterreur(reference)"</formula>
    </cfRule>
  </conditionalFormatting>
  <conditionalFormatting sqref="P242:Q242">
    <cfRule type="expression" dxfId="585" priority="46" stopIfTrue="1">
      <formula>"esterreur(reference)"</formula>
    </cfRule>
  </conditionalFormatting>
  <conditionalFormatting sqref="P245:Q245">
    <cfRule type="expression" dxfId="584" priority="48" stopIfTrue="1">
      <formula>"esterreur(reference)"</formula>
    </cfRule>
  </conditionalFormatting>
  <conditionalFormatting sqref="P248:Q248">
    <cfRule type="expression" dxfId="583" priority="47" stopIfTrue="1">
      <formula>"esterreur(reference)"</formula>
    </cfRule>
  </conditionalFormatting>
  <conditionalFormatting sqref="Q75:Q82">
    <cfRule type="expression" dxfId="582" priority="67" stopIfTrue="1">
      <formula>"esterreur(reference)"</formula>
    </cfRule>
  </conditionalFormatting>
  <conditionalFormatting sqref="Q175:Q176">
    <cfRule type="expression" dxfId="581" priority="58" stopIfTrue="1">
      <formula>"esterreur(reference)"</formula>
    </cfRule>
  </conditionalFormatting>
  <conditionalFormatting sqref="Q199:Q210">
    <cfRule type="expression" dxfId="580" priority="57" stopIfTrue="1">
      <formula>"esterreur(reference)"</formula>
    </cfRule>
  </conditionalFormatting>
  <conditionalFormatting sqref="Q212:Q229">
    <cfRule type="expression" dxfId="579" priority="51" stopIfTrue="1">
      <formula>"esterreur(reference)"</formula>
    </cfRule>
  </conditionalFormatting>
  <conditionalFormatting sqref="Q255:Q266">
    <cfRule type="expression" dxfId="578" priority="49" stopIfTrue="1">
      <formula>"esterreur(reference)"</formula>
    </cfRule>
  </conditionalFormatting>
  <conditionalFormatting sqref="Q268:Q285">
    <cfRule type="expression" dxfId="577" priority="44" stopIfTrue="1">
      <formula>"esterreur(reference)"</formula>
    </cfRule>
  </conditionalFormatting>
  <conditionalFormatting sqref="Q319:Q330">
    <cfRule type="expression" dxfId="576" priority="42" stopIfTrue="1">
      <formula>"esterreur(reference)"</formula>
    </cfRule>
  </conditionalFormatting>
  <conditionalFormatting sqref="Q332:Q349">
    <cfRule type="expression" dxfId="575" priority="40" stopIfTrue="1">
      <formula>"esterreur(reference)"</formula>
    </cfRule>
  </conditionalFormatting>
  <conditionalFormatting sqref="R313">
    <cfRule type="expression" dxfId="574" priority="104" stopIfTrue="1">
      <formula>"esterreur(reference)"</formula>
    </cfRule>
  </conditionalFormatting>
  <conditionalFormatting sqref="S187">
    <cfRule type="expression" dxfId="573" priority="76" stopIfTrue="1">
      <formula>"esterreur(reference)"</formula>
    </cfRule>
  </conditionalFormatting>
  <conditionalFormatting sqref="Z426:Z428">
    <cfRule type="cellIs" dxfId="572" priority="20" operator="greaterThan">
      <formula>0</formula>
    </cfRule>
  </conditionalFormatting>
  <conditionalFormatting sqref="Z433">
    <cfRule type="cellIs" dxfId="571" priority="17" operator="greaterThan">
      <formula>0</formula>
    </cfRule>
  </conditionalFormatting>
  <conditionalFormatting sqref="Z450:Z452">
    <cfRule type="cellIs" dxfId="570" priority="13" operator="greaterThan">
      <formula>0</formula>
    </cfRule>
  </conditionalFormatting>
  <conditionalFormatting sqref="Z464:Z466">
    <cfRule type="cellIs" dxfId="569" priority="9" operator="greaterThan">
      <formula>0</formula>
    </cfRule>
  </conditionalFormatting>
  <conditionalFormatting sqref="Z479:Z480">
    <cfRule type="cellIs" dxfId="568" priority="6" operator="greaterThan">
      <formula>0</formula>
    </cfRule>
  </conditionalFormatting>
  <conditionalFormatting sqref="Z496:Z498">
    <cfRule type="cellIs" dxfId="567" priority="3" operator="greaterThan">
      <formula>0</formula>
    </cfRule>
  </conditionalFormatting>
  <conditionalFormatting sqref="AC426:AC428">
    <cfRule type="cellIs" dxfId="566" priority="21" operator="greaterThan">
      <formula>0</formula>
    </cfRule>
  </conditionalFormatting>
  <conditionalFormatting sqref="AC433">
    <cfRule type="cellIs" dxfId="565" priority="18" operator="greaterThan">
      <formula>0</formula>
    </cfRule>
  </conditionalFormatting>
  <conditionalFormatting sqref="AC450:AC452">
    <cfRule type="cellIs" dxfId="564" priority="14" operator="greaterThan">
      <formula>0</formula>
    </cfRule>
  </conditionalFormatting>
  <conditionalFormatting sqref="AC464:AC466">
    <cfRule type="cellIs" dxfId="563" priority="10" operator="greaterThan">
      <formula>0</formula>
    </cfRule>
  </conditionalFormatting>
  <conditionalFormatting sqref="AC479:AC480">
    <cfRule type="cellIs" dxfId="562" priority="7" operator="greaterThan">
      <formula>0</formula>
    </cfRule>
  </conditionalFormatting>
  <conditionalFormatting sqref="AC496:AC498">
    <cfRule type="cellIs" dxfId="561" priority="4" operator="greaterThan">
      <formula>0</formula>
    </cfRule>
  </conditionalFormatting>
  <conditionalFormatting sqref="AG410:AI419">
    <cfRule type="cellIs" dxfId="560" priority="23" operator="greaterThan">
      <formula>0</formula>
    </cfRule>
  </conditionalFormatting>
  <conditionalFormatting sqref="AH450:AH453">
    <cfRule type="cellIs" dxfId="559" priority="15" operator="greaterThan">
      <formula>0</formula>
    </cfRule>
  </conditionalFormatting>
  <conditionalFormatting sqref="AH462:AH467">
    <cfRule type="cellIs" dxfId="558" priority="11" operator="greaterThan">
      <formula>0</formula>
    </cfRule>
  </conditionalFormatting>
  <conditionalFormatting sqref="AH421:AI449">
    <cfRule type="cellIs" dxfId="557" priority="19" operator="greaterThan">
      <formula>0</formula>
    </cfRule>
  </conditionalFormatting>
  <conditionalFormatting sqref="AH454:AI461 AH468:AI469">
    <cfRule type="cellIs" dxfId="556" priority="24" operator="greaterThan">
      <formula>0</formula>
    </cfRule>
  </conditionalFormatting>
  <conditionalFormatting sqref="AH470:AI478 AH481:AI481">
    <cfRule type="cellIs" dxfId="555" priority="25" operator="lessThan">
      <formula>0</formula>
    </cfRule>
  </conditionalFormatting>
  <conditionalFormatting sqref="AH479:AI480">
    <cfRule type="cellIs" dxfId="554" priority="8" operator="greaterThan">
      <formula>0</formula>
    </cfRule>
  </conditionalFormatting>
  <conditionalFormatting sqref="AH492:AI498">
    <cfRule type="cellIs" dxfId="553" priority="5" operator="greaterThan">
      <formula>0</formula>
    </cfRule>
  </conditionalFormatting>
  <conditionalFormatting sqref="AI450:AI452">
    <cfRule type="cellIs" dxfId="552" priority="16" operator="greaterThan">
      <formula>0</formula>
    </cfRule>
  </conditionalFormatting>
  <conditionalFormatting sqref="AI464:AI466">
    <cfRule type="cellIs" dxfId="551" priority="12" operator="greaterThan">
      <formula>0</formula>
    </cfRule>
  </conditionalFormatting>
  <conditionalFormatting sqref="AO410:AO419">
    <cfRule type="cellIs" dxfId="550" priority="22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A63" zoomScale="60" zoomScaleNormal="60" workbookViewId="0">
      <selection activeCell="K109" sqref="K109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48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265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" thickTop="1">
      <c r="B3" s="11"/>
      <c r="C3" s="12"/>
      <c r="D3" s="510" t="s">
        <v>5</v>
      </c>
      <c r="E3" s="511"/>
      <c r="F3" s="512"/>
      <c r="G3" s="513"/>
      <c r="H3" s="511"/>
      <c r="I3" s="512"/>
      <c r="J3" s="513" t="s">
        <v>7</v>
      </c>
      <c r="K3" s="511"/>
      <c r="L3" s="512"/>
      <c r="M3" s="513" t="s">
        <v>212</v>
      </c>
      <c r="N3" s="512"/>
      <c r="O3" s="510" t="s">
        <v>8</v>
      </c>
      <c r="P3" s="511"/>
      <c r="Q3" s="512"/>
      <c r="R3" s="508" t="s">
        <v>213</v>
      </c>
      <c r="S3" s="509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3877423.6274509807</v>
      </c>
      <c r="G5" s="23"/>
      <c r="H5" s="21"/>
      <c r="I5" s="24"/>
      <c r="J5" s="23"/>
      <c r="K5" s="25"/>
      <c r="L5" s="22">
        <v>4159629.3300000015</v>
      </c>
      <c r="M5" s="26"/>
      <c r="N5" s="27"/>
      <c r="O5" s="23"/>
      <c r="P5" s="25"/>
      <c r="Q5" s="22">
        <v>3847659.49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9</v>
      </c>
      <c r="E6" s="30">
        <f>IF(D6=0,0,F6/D6)</f>
        <v>4701.1764705882351</v>
      </c>
      <c r="F6" s="30">
        <v>42310.588235294119</v>
      </c>
      <c r="G6" s="31"/>
      <c r="H6" s="30"/>
      <c r="I6" s="30"/>
      <c r="J6" s="31">
        <v>17</v>
      </c>
      <c r="K6" s="30">
        <f>IF(J6=0,0,L6/J6)</f>
        <v>5664.9376470588104</v>
      </c>
      <c r="L6" s="32">
        <v>96303.939999999769</v>
      </c>
      <c r="M6" s="31">
        <f t="shared" ref="M6:M12" si="2">J6-D6</f>
        <v>8</v>
      </c>
      <c r="N6" s="33">
        <f t="shared" ref="N6:N12" si="3">L6-F6</f>
        <v>53993.351764705651</v>
      </c>
      <c r="O6" s="31">
        <v>12</v>
      </c>
      <c r="P6" s="30">
        <f t="shared" ref="P6:P12" si="4">IF(O6=0,0,Q6/O6)</f>
        <v>5958.9625000000005</v>
      </c>
      <c r="Q6" s="32">
        <v>71507.55</v>
      </c>
      <c r="R6" s="31">
        <f>J6-O6</f>
        <v>5</v>
      </c>
      <c r="S6" s="34">
        <f>L6-Q6</f>
        <v>24796.389999999767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31</v>
      </c>
      <c r="E7" s="30">
        <f t="shared" ref="E7:E12" si="5">IF(D7=0,0,F7/D7)</f>
        <v>3928.5</v>
      </c>
      <c r="F7" s="30">
        <v>121783.5</v>
      </c>
      <c r="G7" s="31"/>
      <c r="H7" s="30"/>
      <c r="I7" s="30"/>
      <c r="J7" s="31">
        <v>18</v>
      </c>
      <c r="K7" s="30">
        <f t="shared" ref="K7:K12" si="6">IF(J7=0,0,L7/J7)</f>
        <v>3509.1549999999925</v>
      </c>
      <c r="L7" s="32">
        <v>63164.789999999863</v>
      </c>
      <c r="M7" s="31">
        <f t="shared" si="2"/>
        <v>-13</v>
      </c>
      <c r="N7" s="33">
        <f t="shared" si="3"/>
        <v>-58618.710000000137</v>
      </c>
      <c r="O7" s="31">
        <v>23</v>
      </c>
      <c r="P7" s="30">
        <f t="shared" si="4"/>
        <v>3685.7178260869437</v>
      </c>
      <c r="Q7" s="32">
        <v>84771.509999999704</v>
      </c>
      <c r="R7" s="31">
        <f t="shared" ref="R7:R12" si="7">J7-O7</f>
        <v>-5</v>
      </c>
      <c r="S7" s="34">
        <f t="shared" ref="S7:S12" si="8">L7-Q7</f>
        <v>-21606.719999999841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40</v>
      </c>
      <c r="E13" s="36">
        <f>IF(D13&lt;=0,0,F13/D13)</f>
        <v>4102.3522058823528</v>
      </c>
      <c r="F13" s="37">
        <f>+SUM(F6:F12)</f>
        <v>164094.08823529413</v>
      </c>
      <c r="G13" s="38"/>
      <c r="H13" s="36"/>
      <c r="I13" s="37"/>
      <c r="J13" s="38">
        <f>+SUM(J6:J12)</f>
        <v>35</v>
      </c>
      <c r="K13" s="36">
        <f>IF(J13&lt;=0,0,L13/J13)</f>
        <v>4556.2494285714183</v>
      </c>
      <c r="L13" s="37">
        <f>+SUM(L6:L12)</f>
        <v>159468.72999999963</v>
      </c>
      <c r="M13" s="38">
        <f>+SUM(M6:M12)</f>
        <v>-5</v>
      </c>
      <c r="N13" s="37">
        <f>+SUM(N6:N12)</f>
        <v>-4625.3582352944868</v>
      </c>
      <c r="O13" s="38">
        <f>+SUM(O6:O12)</f>
        <v>35</v>
      </c>
      <c r="P13" s="36">
        <f>IF(O13&lt;=0,0,Q13/O13)</f>
        <v>4465.1159999999918</v>
      </c>
      <c r="Q13" s="37">
        <f>+SUM(Q6:Q12)</f>
        <v>156279.05999999971</v>
      </c>
      <c r="R13" s="38">
        <f>+SUM(R6:R12)</f>
        <v>0</v>
      </c>
      <c r="S13" s="39">
        <f>+SUM(S6:S12)</f>
        <v>3189.6699999999255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-0.125</v>
      </c>
      <c r="N14" s="43">
        <f>IF(F13=0,0,N13/F13)</f>
        <v>-2.8187232611708697E-2</v>
      </c>
      <c r="O14" s="41"/>
      <c r="P14" s="30"/>
      <c r="Q14" s="40"/>
      <c r="R14" s="42">
        <f>R13/O13</f>
        <v>0</v>
      </c>
      <c r="S14" s="44">
        <f>IF(Q13=0,0,(S13/Q13))</f>
        <v>2.0410092049439839E-2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1200</v>
      </c>
      <c r="F15" s="22">
        <v>3600</v>
      </c>
      <c r="G15" s="46"/>
      <c r="H15" s="47"/>
      <c r="I15" s="48"/>
      <c r="J15" s="49">
        <v>8</v>
      </c>
      <c r="K15" s="50">
        <f>IF(J15=0,0,L15/J15)</f>
        <v>309.5112500000032</v>
      </c>
      <c r="L15" s="50">
        <v>2476.0900000000256</v>
      </c>
      <c r="M15" s="51">
        <f>J15-D15</f>
        <v>5</v>
      </c>
      <c r="N15" s="48">
        <f>L15-F15</f>
        <v>-1123.9099999999744</v>
      </c>
      <c r="O15" s="49">
        <v>9</v>
      </c>
      <c r="P15" s="50">
        <f>IF(O15=0,0,Q15/O15)</f>
        <v>3505.6622222222113</v>
      </c>
      <c r="Q15" s="50">
        <v>31550.959999999901</v>
      </c>
      <c r="R15" s="51">
        <f>J15-O15</f>
        <v>-1</v>
      </c>
      <c r="S15" s="52">
        <f>L15-Q15</f>
        <v>-29074.869999999875</v>
      </c>
      <c r="T15" s="13"/>
      <c r="U15" s="13"/>
      <c r="W15" s="453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2</v>
      </c>
      <c r="E17" s="30">
        <f>IF(D17=0,0,F17/D17)</f>
        <v>750</v>
      </c>
      <c r="F17" s="30">
        <v>1500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-2</v>
      </c>
      <c r="N17" s="33">
        <f>L17-F17</f>
        <v>-1500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B19" s="11" t="str">
        <f t="shared" si="0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>
        <f>IF(D13=0,0,F21/(D13+D15))</f>
        <v>7</v>
      </c>
      <c r="F21" s="30">
        <v>301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-301</v>
      </c>
      <c r="O21" s="31"/>
      <c r="P21" s="30">
        <f>IF(O13=0,0,Q21/(O13+O15))</f>
        <v>0</v>
      </c>
      <c r="Q21" s="33">
        <v>0</v>
      </c>
      <c r="R21" s="31">
        <f>O21-K21</f>
        <v>0</v>
      </c>
      <c r="S21" s="34">
        <f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>
        <f>IF(D13=0,0,F22/(D13+D15))</f>
        <v>1150</v>
      </c>
      <c r="F22" s="30">
        <v>49450</v>
      </c>
      <c r="G22" s="41"/>
      <c r="H22" s="30"/>
      <c r="I22" s="30"/>
      <c r="J22" s="31"/>
      <c r="K22" s="30">
        <f>IF(J13=0,0,L22/(J13+J15))</f>
        <v>530.09302325581393</v>
      </c>
      <c r="L22" s="33">
        <v>22794</v>
      </c>
      <c r="M22" s="31"/>
      <c r="N22" s="33">
        <f>L22-F22</f>
        <v>-26656</v>
      </c>
      <c r="O22" s="31"/>
      <c r="P22" s="30">
        <f>IF(O13=0,0,Q22/(O13+O15))</f>
        <v>1383.58</v>
      </c>
      <c r="Q22" s="33">
        <v>60877.52</v>
      </c>
      <c r="R22" s="31">
        <f>O22-K22</f>
        <v>-530.09302325581393</v>
      </c>
      <c r="S22" s="34">
        <f>L22-Q22</f>
        <v>-38083.519999999997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>
        <f>IF(D13=0,0,F23/(D13+D15))</f>
        <v>443</v>
      </c>
      <c r="F23" s="30">
        <v>19049</v>
      </c>
      <c r="G23" s="41"/>
      <c r="H23" s="30"/>
      <c r="I23" s="30"/>
      <c r="J23" s="31"/>
      <c r="K23" s="30">
        <f>IF(J13=0,0,L23/(J13+J15))</f>
        <v>550.1751162790697</v>
      </c>
      <c r="L23" s="33">
        <v>23657.53</v>
      </c>
      <c r="M23" s="51"/>
      <c r="N23" s="33">
        <f>L23-F23</f>
        <v>4608.5299999999988</v>
      </c>
      <c r="O23" s="31"/>
      <c r="P23" s="30">
        <f>IF(O13=0,0,Q23/(O13+O15))</f>
        <v>730.50318181818182</v>
      </c>
      <c r="Q23" s="33">
        <v>32142.14</v>
      </c>
      <c r="R23" s="31">
        <f>O23-K23</f>
        <v>-550.1751162790697</v>
      </c>
      <c r="S23" s="34">
        <f>L23-Q23</f>
        <v>-8484.61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43</v>
      </c>
      <c r="E24" s="36">
        <f>IF(D24&lt;=0,0,F24/D24)</f>
        <v>1600</v>
      </c>
      <c r="F24" s="37">
        <f>F21+F22+F23</f>
        <v>68800</v>
      </c>
      <c r="G24" s="38"/>
      <c r="H24" s="36"/>
      <c r="I24" s="37"/>
      <c r="J24" s="38">
        <f>+J15+J13</f>
        <v>43</v>
      </c>
      <c r="K24" s="36">
        <f>IF(J24&lt;=0,0,L24/J24)</f>
        <v>1080.2681395348836</v>
      </c>
      <c r="L24" s="37">
        <f>L21+L22+L23</f>
        <v>46451.53</v>
      </c>
      <c r="M24" s="58">
        <f>J24-D24</f>
        <v>0</v>
      </c>
      <c r="N24" s="37">
        <f>L24-F24</f>
        <v>-22348.47</v>
      </c>
      <c r="O24" s="38">
        <f>+O15+O13</f>
        <v>44</v>
      </c>
      <c r="P24" s="36">
        <f>IF(O24&lt;=0,0,Q24/O24)</f>
        <v>2114.0831818181819</v>
      </c>
      <c r="Q24" s="37">
        <f>Q21+Q22+Q23</f>
        <v>93019.66</v>
      </c>
      <c r="R24" s="56"/>
      <c r="S24" s="39">
        <f>L24-Q24</f>
        <v>-46568.130000000005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-0.32483241279069769</v>
      </c>
      <c r="O25" s="41"/>
      <c r="P25" s="13"/>
      <c r="Q25" s="59"/>
      <c r="R25" s="60"/>
      <c r="S25" s="44">
        <f>IF(Q24=0,0,(S24/Q24))</f>
        <v>-0.50062674922699135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45</v>
      </c>
      <c r="E27" s="64">
        <f>IF(D27&lt;=0,0,F27/D27)</f>
        <v>5288.7575163398697</v>
      </c>
      <c r="F27" s="65">
        <f>F13+F17+F24+F15</f>
        <v>237994.08823529413</v>
      </c>
      <c r="G27" s="66"/>
      <c r="H27" s="67"/>
      <c r="I27" s="65"/>
      <c r="J27" s="66">
        <f>+J13+J15+J17</f>
        <v>43</v>
      </c>
      <c r="K27" s="67">
        <f>IF(J27&lt;=0,0,L27/J27)</f>
        <v>4846.4267441860384</v>
      </c>
      <c r="L27" s="65">
        <f>L13+L17+L24+L15</f>
        <v>208396.34999999966</v>
      </c>
      <c r="M27" s="66">
        <f>J27-D27</f>
        <v>-2</v>
      </c>
      <c r="N27" s="65">
        <f>L27-F27</f>
        <v>-29597.73823529447</v>
      </c>
      <c r="O27" s="66">
        <f>+O13+O15+O17</f>
        <v>44</v>
      </c>
      <c r="P27" s="67">
        <f>IF(O27&lt;=0,0,Q27/O27)</f>
        <v>6382.9472727272632</v>
      </c>
      <c r="Q27" s="65">
        <f>Q13+Q17+Q24+Q15</f>
        <v>280849.67999999959</v>
      </c>
      <c r="R27" s="66">
        <f>J27-O27</f>
        <v>-1</v>
      </c>
      <c r="S27" s="68">
        <f>L27-Q27</f>
        <v>-72453.329999999929</v>
      </c>
      <c r="T27" s="13"/>
      <c r="U27" s="13"/>
      <c r="W27" s="11"/>
      <c r="X27" s="484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-4.4444444444444446E-2</v>
      </c>
      <c r="N28" s="74">
        <f>N27/F27</f>
        <v>-0.12436333379017595</v>
      </c>
      <c r="O28" s="72"/>
      <c r="P28" s="70"/>
      <c r="Q28" s="71"/>
      <c r="R28" s="73">
        <f>R27/O27</f>
        <v>-2.2727272727272728E-2</v>
      </c>
      <c r="S28" s="75">
        <f>IF(Q27=0,0,S27/Q27)</f>
        <v>-0.25797903704216446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0.26746307742268705</v>
      </c>
      <c r="E31" s="82">
        <f t="shared" ref="E31:E40" si="10">F31/D$24</f>
        <v>1043.0692303489159</v>
      </c>
      <c r="F31" s="30">
        <v>44851.976905003386</v>
      </c>
      <c r="G31" s="156"/>
      <c r="H31" s="82"/>
      <c r="I31" s="30"/>
      <c r="J31" s="156">
        <f>L31/(L13+L15)</f>
        <v>0.28095798309572423</v>
      </c>
      <c r="K31" s="82">
        <f t="shared" ref="K31:K40" si="11">IF(L31=0,0,L31/J$24)</f>
        <v>1058.1323255813954</v>
      </c>
      <c r="L31" s="30">
        <v>45499.69</v>
      </c>
      <c r="M31" s="41"/>
      <c r="N31" s="59">
        <f t="shared" ref="N31:N53" si="12">L31-F31</f>
        <v>647.71309499661584</v>
      </c>
      <c r="O31" s="156">
        <f>Q31/(Q13+Q15+Q17)</f>
        <v>0.26266919420016088</v>
      </c>
      <c r="P31" s="82">
        <f t="shared" ref="P31:P40" si="13">Q31/O$24</f>
        <v>1121.2990909090911</v>
      </c>
      <c r="Q31" s="33">
        <v>49337.16</v>
      </c>
      <c r="R31" s="41"/>
      <c r="S31" s="85">
        <f t="shared" ref="S31:S36" si="14">L31-Q31</f>
        <v>-3837.4700000000012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v>20984</v>
      </c>
      <c r="G32" s="161"/>
      <c r="H32" s="90"/>
      <c r="I32" s="22"/>
      <c r="J32" s="161">
        <f>L32/L24</f>
        <v>0.21132952994228607</v>
      </c>
      <c r="K32" s="88">
        <f t="shared" si="11"/>
        <v>228.29255813953489</v>
      </c>
      <c r="L32" s="22">
        <v>9816.58</v>
      </c>
      <c r="M32" s="23"/>
      <c r="N32" s="91">
        <f t="shared" si="12"/>
        <v>-11167.42</v>
      </c>
      <c r="O32" s="161">
        <f>Q32/Q24</f>
        <v>0.33628933926440924</v>
      </c>
      <c r="P32" s="88">
        <f t="shared" si="13"/>
        <v>710.94363636363641</v>
      </c>
      <c r="Q32" s="22">
        <v>31281.52</v>
      </c>
      <c r="R32" s="23"/>
      <c r="S32" s="92">
        <f t="shared" si="14"/>
        <v>-21464.940000000002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v>5160</v>
      </c>
      <c r="G33" s="83"/>
      <c r="H33" s="82"/>
      <c r="I33" s="30"/>
      <c r="J33" s="41"/>
      <c r="K33" s="82">
        <f t="shared" si="11"/>
        <v>94.995581395348836</v>
      </c>
      <c r="L33" s="30">
        <v>4084.81</v>
      </c>
      <c r="M33" s="41"/>
      <c r="N33" s="59">
        <f t="shared" si="12"/>
        <v>-1075.19</v>
      </c>
      <c r="O33" s="41"/>
      <c r="P33" s="82">
        <f t="shared" si="13"/>
        <v>77.407727272727271</v>
      </c>
      <c r="Q33" s="33">
        <v>3405.94</v>
      </c>
      <c r="R33" s="41"/>
      <c r="S33" s="85">
        <f t="shared" si="14"/>
        <v>678.86999999999989</v>
      </c>
      <c r="T33" s="13"/>
      <c r="U33" s="13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v>1505</v>
      </c>
      <c r="G34" s="83"/>
      <c r="H34" s="82"/>
      <c r="I34" s="30"/>
      <c r="J34" s="41"/>
      <c r="K34" s="82">
        <f t="shared" si="11"/>
        <v>33.011627906976742</v>
      </c>
      <c r="L34" s="30">
        <v>1419.5</v>
      </c>
      <c r="M34" s="41"/>
      <c r="N34" s="59">
        <f t="shared" si="12"/>
        <v>-85.5</v>
      </c>
      <c r="O34" s="41"/>
      <c r="P34" s="82">
        <f t="shared" si="13"/>
        <v>38.517499999999998</v>
      </c>
      <c r="Q34" s="33">
        <v>1694.77</v>
      </c>
      <c r="R34" s="41"/>
      <c r="S34" s="85">
        <f t="shared" si="14"/>
        <v>-275.27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94.162790697674424</v>
      </c>
      <c r="F35" s="22">
        <v>4049</v>
      </c>
      <c r="G35" s="89"/>
      <c r="H35" s="90"/>
      <c r="I35" s="22"/>
      <c r="J35" s="23"/>
      <c r="K35" s="88">
        <f t="shared" si="11"/>
        <v>53.356976744186042</v>
      </c>
      <c r="L35" s="22">
        <v>2294.35</v>
      </c>
      <c r="M35" s="23"/>
      <c r="N35" s="91">
        <f t="shared" si="12"/>
        <v>-1754.65</v>
      </c>
      <c r="O35" s="23"/>
      <c r="P35" s="88">
        <f t="shared" si="13"/>
        <v>38.75181818181818</v>
      </c>
      <c r="Q35" s="33">
        <v>1705.08</v>
      </c>
      <c r="R35" s="23"/>
      <c r="S35" s="92">
        <f t="shared" si="14"/>
        <v>589.27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234.88787878787878</v>
      </c>
      <c r="F36" s="30">
        <v>10100.178787878787</v>
      </c>
      <c r="G36" s="83"/>
      <c r="H36" s="82"/>
      <c r="I36" s="30"/>
      <c r="J36" s="41"/>
      <c r="K36" s="82">
        <f t="shared" si="11"/>
        <v>147.20813953488368</v>
      </c>
      <c r="L36" s="454">
        <v>6329.9499999999989</v>
      </c>
      <c r="M36" s="13"/>
      <c r="N36" s="59">
        <f t="shared" si="12"/>
        <v>-3770.2287878787884</v>
      </c>
      <c r="O36" s="41"/>
      <c r="P36" s="82">
        <f t="shared" si="13"/>
        <v>421.36636363636359</v>
      </c>
      <c r="Q36" s="55">
        <v>18540.12</v>
      </c>
      <c r="R36" s="41"/>
      <c r="S36" s="85">
        <f t="shared" si="14"/>
        <v>-12210.17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575.03983859811547</v>
      </c>
      <c r="F37" s="30">
        <v>24726.713059718964</v>
      </c>
      <c r="G37" s="83"/>
      <c r="H37" s="82"/>
      <c r="I37" s="30"/>
      <c r="J37" s="41"/>
      <c r="K37" s="82">
        <f t="shared" si="11"/>
        <v>530.82279069767446</v>
      </c>
      <c r="L37" s="455">
        <v>22825.38</v>
      </c>
      <c r="M37" s="13"/>
      <c r="N37" s="59">
        <f t="shared" si="12"/>
        <v>-1901.3330597189633</v>
      </c>
      <c r="O37" s="41"/>
      <c r="P37" s="82">
        <f t="shared" si="13"/>
        <v>600.04409090909087</v>
      </c>
      <c r="Q37" s="33">
        <v>26401.94</v>
      </c>
      <c r="R37" s="41"/>
      <c r="S37" s="85">
        <f>L37-Q37</f>
        <v>-3576.5599999999977</v>
      </c>
      <c r="T37" s="13"/>
      <c r="U37" s="13"/>
      <c r="V37" s="489">
        <v>22825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v>0</v>
      </c>
      <c r="G38" s="83"/>
      <c r="H38" s="82"/>
      <c r="I38" s="30"/>
      <c r="J38" s="41"/>
      <c r="K38" s="82">
        <f t="shared" si="11"/>
        <v>0</v>
      </c>
      <c r="L38" s="455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v>0</v>
      </c>
      <c r="G39" s="83"/>
      <c r="H39" s="82"/>
      <c r="I39" s="30"/>
      <c r="J39" s="41"/>
      <c r="K39" s="82">
        <f t="shared" si="11"/>
        <v>0</v>
      </c>
      <c r="L39" s="455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v>0</v>
      </c>
      <c r="G40" s="83"/>
      <c r="H40" s="82"/>
      <c r="I40" s="30"/>
      <c r="J40" s="41"/>
      <c r="K40" s="82">
        <f t="shared" si="11"/>
        <v>0</v>
      </c>
      <c r="L40" s="456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0.46798166113474138</v>
      </c>
      <c r="F41" s="96">
        <f>SUM(F31:F40)</f>
        <v>111376.86875260115</v>
      </c>
      <c r="G41" s="97"/>
      <c r="H41" s="95"/>
      <c r="I41" s="96"/>
      <c r="J41" s="97" t="s">
        <v>38</v>
      </c>
      <c r="K41" s="95">
        <f>L41/L$27</f>
        <v>0.44276332095067961</v>
      </c>
      <c r="L41" s="96">
        <f>SUM(L31:L40)</f>
        <v>92270.260000000009</v>
      </c>
      <c r="M41" s="98"/>
      <c r="N41" s="96">
        <f t="shared" si="12"/>
        <v>-19106.60875260114</v>
      </c>
      <c r="O41" s="97" t="s">
        <v>38</v>
      </c>
      <c r="P41" s="95">
        <f>Q41/Q$27</f>
        <v>0.47130739119944948</v>
      </c>
      <c r="Q41" s="99">
        <f>SUM(Q31:Q40)</f>
        <v>132366.53</v>
      </c>
      <c r="R41" s="100"/>
      <c r="S41" s="101">
        <f t="shared" ref="S41:S45" si="16">L41-Q41</f>
        <v>-40096.26999999999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13734.578325123151</v>
      </c>
      <c r="G42" s="41"/>
      <c r="H42" s="13"/>
      <c r="I42" s="30"/>
      <c r="J42" s="41"/>
      <c r="K42" s="13"/>
      <c r="L42" s="33">
        <v>10986.09</v>
      </c>
      <c r="M42" s="41"/>
      <c r="N42" s="59">
        <f t="shared" si="12"/>
        <v>-2748.4883251231513</v>
      </c>
      <c r="O42" s="41"/>
      <c r="P42" s="13"/>
      <c r="Q42" s="33">
        <v>15912.54</v>
      </c>
      <c r="R42" s="41"/>
      <c r="S42" s="85">
        <f t="shared" si="16"/>
        <v>-4926.4500000000007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4897.8542988505751</v>
      </c>
      <c r="G43" s="83"/>
      <c r="H43" s="13"/>
      <c r="I43" s="22"/>
      <c r="J43" s="41"/>
      <c r="K43" s="13"/>
      <c r="L43" s="33">
        <v>4347.34</v>
      </c>
      <c r="M43" s="41"/>
      <c r="N43" s="59">
        <f t="shared" si="12"/>
        <v>-550.51429885057496</v>
      </c>
      <c r="O43" s="41"/>
      <c r="P43" s="13"/>
      <c r="Q43" s="33">
        <v>10268.57</v>
      </c>
      <c r="R43" s="41"/>
      <c r="S43" s="85">
        <f t="shared" si="16"/>
        <v>-5921.23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430</v>
      </c>
      <c r="M44" s="107"/>
      <c r="N44" s="109">
        <f t="shared" si="12"/>
        <v>430</v>
      </c>
      <c r="O44" s="107"/>
      <c r="P44" s="105"/>
      <c r="Q44" s="108">
        <v>342</v>
      </c>
      <c r="R44" s="107"/>
      <c r="S44" s="110">
        <f t="shared" si="16"/>
        <v>88</v>
      </c>
      <c r="T44" s="13"/>
      <c r="U44" s="13"/>
      <c r="V44" s="489" t="s">
        <v>255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11161.790490057907</v>
      </c>
      <c r="G49" s="83"/>
      <c r="H49" s="13"/>
      <c r="I49" s="22"/>
      <c r="J49" s="41"/>
      <c r="K49" s="13"/>
      <c r="L49" s="22">
        <v>6889.7</v>
      </c>
      <c r="M49" s="41"/>
      <c r="N49" s="59">
        <f t="shared" si="12"/>
        <v>-4272.0904900579071</v>
      </c>
      <c r="O49" s="41"/>
      <c r="P49" s="13"/>
      <c r="Q49" s="22">
        <v>9389.52</v>
      </c>
      <c r="R49" s="41"/>
      <c r="S49" s="85">
        <f t="shared" ref="S49:S53" si="18">L49-Q49</f>
        <v>-2499.8200000000006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12280.580113998119</v>
      </c>
      <c r="G50" s="106"/>
      <c r="H50" s="105"/>
      <c r="I50" s="30"/>
      <c r="J50" s="107"/>
      <c r="K50" s="105"/>
      <c r="L50" s="33">
        <v>8836.57</v>
      </c>
      <c r="M50" s="107"/>
      <c r="N50" s="109">
        <f t="shared" si="12"/>
        <v>-3444.0101139981198</v>
      </c>
      <c r="O50" s="107"/>
      <c r="P50" s="105"/>
      <c r="Q50" s="33">
        <v>14580.12</v>
      </c>
      <c r="R50" s="107"/>
      <c r="S50" s="110">
        <f t="shared" si="18"/>
        <v>-5743.5500000000011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7959.6352590728538</v>
      </c>
      <c r="G51" s="83"/>
      <c r="H51" s="13"/>
      <c r="I51" s="30"/>
      <c r="J51" s="41"/>
      <c r="K51" s="13"/>
      <c r="L51" s="33">
        <v>3451.84</v>
      </c>
      <c r="M51" s="41"/>
      <c r="N51" s="59">
        <f t="shared" si="12"/>
        <v>-4507.7952590728537</v>
      </c>
      <c r="O51" s="41"/>
      <c r="P51" s="13"/>
      <c r="Q51" s="33">
        <v>5134.16</v>
      </c>
      <c r="R51" s="41"/>
      <c r="S51" s="85">
        <f t="shared" si="18"/>
        <v>-1682.3199999999997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2228.6978725403992</v>
      </c>
      <c r="G52" s="83"/>
      <c r="H52" s="13"/>
      <c r="I52" s="30"/>
      <c r="J52" s="41"/>
      <c r="K52" s="13"/>
      <c r="L52" s="33">
        <v>1374.42</v>
      </c>
      <c r="M52" s="41"/>
      <c r="N52" s="59">
        <f t="shared" si="12"/>
        <v>-854.27787254039913</v>
      </c>
      <c r="O52" s="41"/>
      <c r="P52" s="13"/>
      <c r="Q52" s="33">
        <v>1956.39</v>
      </c>
      <c r="R52" s="41"/>
      <c r="S52" s="85">
        <f t="shared" si="18"/>
        <v>-581.97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0.21959846459703983</v>
      </c>
      <c r="F54" s="96">
        <f>+SUM(F42:F53)</f>
        <v>52263.136359643009</v>
      </c>
      <c r="G54" s="97"/>
      <c r="H54" s="95"/>
      <c r="I54" s="96"/>
      <c r="J54" s="97" t="s">
        <v>38</v>
      </c>
      <c r="K54" s="95">
        <f>L54/L$27</f>
        <v>0.1742638966565396</v>
      </c>
      <c r="L54" s="96">
        <f>+SUM(L42:L53)</f>
        <v>36315.96</v>
      </c>
      <c r="M54" s="100"/>
      <c r="N54" s="96">
        <f>+SUM(N42:N53)</f>
        <v>-15947.176359643006</v>
      </c>
      <c r="O54" s="97" t="s">
        <v>38</v>
      </c>
      <c r="P54" s="95">
        <f>Q54/Q$27</f>
        <v>0.20503245722053196</v>
      </c>
      <c r="Q54" s="96">
        <f>+SUM(Q42:Q53)</f>
        <v>57583.3</v>
      </c>
      <c r="R54" s="100"/>
      <c r="S54" s="101">
        <f>+SUM(S42:S53)</f>
        <v>-21267.340000000004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1119.99</v>
      </c>
      <c r="M57" s="23"/>
      <c r="N57" s="91">
        <f t="shared" si="19"/>
        <v>-916.51</v>
      </c>
      <c r="O57" s="23"/>
      <c r="P57" s="111"/>
      <c r="Q57" s="22">
        <v>9801.83</v>
      </c>
      <c r="R57" s="23"/>
      <c r="S57" s="92">
        <f t="shared" si="20"/>
        <v>-8681.84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9326.56</v>
      </c>
      <c r="M58" s="41"/>
      <c r="N58" s="59">
        <f t="shared" si="19"/>
        <v>131.20783333333202</v>
      </c>
      <c r="O58" s="41"/>
      <c r="P58" s="13"/>
      <c r="Q58" s="33">
        <v>5604.87</v>
      </c>
      <c r="R58" s="41"/>
      <c r="S58" s="85">
        <f t="shared" si="20"/>
        <v>3721.6899999999996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5164.3100000000004</v>
      </c>
      <c r="M59" s="41"/>
      <c r="N59" s="59">
        <f t="shared" si="19"/>
        <v>3834.3100000000004</v>
      </c>
      <c r="O59" s="41"/>
      <c r="P59" s="13"/>
      <c r="Q59" s="33">
        <v>1141.1300000000001</v>
      </c>
      <c r="R59" s="41"/>
      <c r="S59" s="85">
        <f t="shared" si="20"/>
        <v>4023.1800000000003</v>
      </c>
      <c r="T59" s="13"/>
      <c r="U59" s="13"/>
      <c r="V59" s="489" t="s">
        <v>256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4390.13</v>
      </c>
      <c r="M60" s="23"/>
      <c r="N60" s="91">
        <f t="shared" si="19"/>
        <v>1717.7696666666666</v>
      </c>
      <c r="O60" s="23"/>
      <c r="P60" s="111"/>
      <c r="Q60" s="22">
        <v>3411.25</v>
      </c>
      <c r="R60" s="23"/>
      <c r="S60" s="92">
        <f t="shared" si="20"/>
        <v>978.88000000000011</v>
      </c>
      <c r="T60" s="13"/>
      <c r="U60" s="13"/>
      <c r="V60" s="489" t="s">
        <v>257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100.56</v>
      </c>
      <c r="M61" s="41"/>
      <c r="N61" s="59">
        <f t="shared" si="19"/>
        <v>25.560000000000002</v>
      </c>
      <c r="O61" s="41"/>
      <c r="P61" s="13"/>
      <c r="Q61" s="33">
        <v>0</v>
      </c>
      <c r="R61" s="41"/>
      <c r="S61" s="85">
        <f t="shared" si="20"/>
        <v>100.56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74.099999999999994</v>
      </c>
      <c r="M62" s="41"/>
      <c r="N62" s="59">
        <f t="shared" si="19"/>
        <v>44.099999999999994</v>
      </c>
      <c r="O62" s="41"/>
      <c r="P62" s="13"/>
      <c r="Q62" s="33">
        <v>0</v>
      </c>
      <c r="R62" s="41"/>
      <c r="S62" s="85">
        <f t="shared" si="20"/>
        <v>74.099999999999994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736.53</v>
      </c>
      <c r="M63" s="41"/>
      <c r="N63" s="59">
        <f t="shared" si="19"/>
        <v>156.52999999999997</v>
      </c>
      <c r="O63" s="41"/>
      <c r="P63" s="13"/>
      <c r="Q63" s="32">
        <v>368.11</v>
      </c>
      <c r="R63" s="41"/>
      <c r="S63" s="85">
        <f t="shared" si="20"/>
        <v>368.41999999999996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176.07</v>
      </c>
      <c r="M64" s="41"/>
      <c r="N64" s="59">
        <f t="shared" si="19"/>
        <v>18.47</v>
      </c>
      <c r="O64" s="41"/>
      <c r="P64" s="13"/>
      <c r="Q64" s="33">
        <v>193.41</v>
      </c>
      <c r="R64" s="41"/>
      <c r="S64" s="85">
        <f t="shared" si="20"/>
        <v>-17.340000000000003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40.92</v>
      </c>
      <c r="M65" s="41"/>
      <c r="N65" s="59">
        <f t="shared" si="19"/>
        <v>-185.74666666666667</v>
      </c>
      <c r="O65" s="41"/>
      <c r="P65" s="13"/>
      <c r="Q65" s="33">
        <v>199.38</v>
      </c>
      <c r="R65" s="41"/>
      <c r="S65" s="85">
        <f t="shared" si="20"/>
        <v>-158.45999999999998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479.59</v>
      </c>
      <c r="M66" s="41"/>
      <c r="N66" s="59">
        <f t="shared" si="19"/>
        <v>-149.49333333333328</v>
      </c>
      <c r="O66" s="41"/>
      <c r="P66" s="13"/>
      <c r="Q66" s="33">
        <v>866.69</v>
      </c>
      <c r="R66" s="41"/>
      <c r="S66" s="85">
        <f t="shared" si="20"/>
        <v>-387.10000000000008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-654.79</v>
      </c>
      <c r="M67" s="41"/>
      <c r="N67" s="59">
        <f t="shared" si="19"/>
        <v>-976.38466666666682</v>
      </c>
      <c r="O67" s="41"/>
      <c r="P67" s="13"/>
      <c r="Q67" s="33">
        <v>73.3</v>
      </c>
      <c r="R67" s="41"/>
      <c r="S67" s="85">
        <f>L67-Q67</f>
        <v>-728.08999999999992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4787.672516895982</v>
      </c>
      <c r="G68" s="83"/>
      <c r="H68" s="13"/>
      <c r="I68" s="30"/>
      <c r="J68" s="41"/>
      <c r="K68" s="13"/>
      <c r="L68" s="32">
        <v>3974.2</v>
      </c>
      <c r="M68" s="41"/>
      <c r="N68" s="59">
        <f t="shared" si="19"/>
        <v>-813.47251689598215</v>
      </c>
      <c r="O68" s="41"/>
      <c r="P68" s="13"/>
      <c r="Q68" s="33">
        <v>4388.4799999999996</v>
      </c>
      <c r="R68" s="41"/>
      <c r="S68" s="85">
        <f>L68-Q68</f>
        <v>-414.27999999999975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9.2615030259788955E-2</v>
      </c>
      <c r="F72" s="96">
        <f>+SUM(F55:F71)</f>
        <v>22041.82968356265</v>
      </c>
      <c r="G72" s="97"/>
      <c r="H72" s="95"/>
      <c r="I72" s="96"/>
      <c r="J72" s="97" t="s">
        <v>38</v>
      </c>
      <c r="K72" s="95">
        <f>L72/L$27</f>
        <v>0.11961903363470636</v>
      </c>
      <c r="L72" s="96">
        <f>+SUM(L55:L71)</f>
        <v>24928.17</v>
      </c>
      <c r="M72" s="100"/>
      <c r="N72" s="96">
        <f>+SUM(N55:N71)</f>
        <v>2886.3403164373503</v>
      </c>
      <c r="O72" s="97" t="s">
        <v>38</v>
      </c>
      <c r="P72" s="95">
        <f>Q72/Q$27</f>
        <v>9.2748725937661883E-2</v>
      </c>
      <c r="Q72" s="96">
        <f>+SUM(Q55:Q71)</f>
        <v>26048.45</v>
      </c>
      <c r="R72" s="100"/>
      <c r="S72" s="101">
        <f>+SUM(S55:S71)</f>
        <v>-1120.28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0.78019515599157019</v>
      </c>
      <c r="F74" s="96">
        <f>F41+F54+F72</f>
        <v>185681.83479580682</v>
      </c>
      <c r="G74" s="97"/>
      <c r="H74" s="95"/>
      <c r="I74" s="96"/>
      <c r="J74" s="97" t="s">
        <v>38</v>
      </c>
      <c r="K74" s="95">
        <f>L74/L$27</f>
        <v>0.73664625124192562</v>
      </c>
      <c r="L74" s="96">
        <f>L41+L54+L72</f>
        <v>153514.39000000001</v>
      </c>
      <c r="M74" s="100"/>
      <c r="N74" s="113">
        <f t="shared" ref="N74:N82" si="23">L74-F74</f>
        <v>-32167.444795806805</v>
      </c>
      <c r="O74" s="97" t="s">
        <v>38</v>
      </c>
      <c r="P74" s="95">
        <f>Q74/Q$27</f>
        <v>0.76908857435764333</v>
      </c>
      <c r="Q74" s="96">
        <f>Q41+Q54+Q72</f>
        <v>215998.28000000003</v>
      </c>
      <c r="R74" s="100"/>
      <c r="S74" s="114">
        <f>L74-Q74</f>
        <v>-62483.890000000014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v>62037.99642857143</v>
      </c>
      <c r="G75" s="83"/>
      <c r="H75" s="13"/>
      <c r="I75" s="30"/>
      <c r="J75" s="41"/>
      <c r="K75" s="13"/>
      <c r="L75" s="32">
        <v>61961.34</v>
      </c>
      <c r="M75" s="41"/>
      <c r="N75" s="59">
        <f t="shared" si="23"/>
        <v>-76.656428571433935</v>
      </c>
      <c r="O75" s="41"/>
      <c r="P75" s="13"/>
      <c r="Q75" s="32">
        <v>64585.66</v>
      </c>
      <c r="R75" s="41"/>
      <c r="S75" s="85">
        <f>L75-Q75</f>
        <v>-2624.320000000007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75197.571428571435</v>
      </c>
      <c r="G78" s="83"/>
      <c r="H78" s="13"/>
      <c r="I78" s="30"/>
      <c r="J78" s="41"/>
      <c r="K78" s="13"/>
      <c r="L78" s="33">
        <v>73463</v>
      </c>
      <c r="M78" s="41"/>
      <c r="N78" s="59">
        <f t="shared" si="23"/>
        <v>-1734.5714285714348</v>
      </c>
      <c r="O78" s="41"/>
      <c r="P78" s="13"/>
      <c r="Q78" s="32">
        <v>76338.399999999994</v>
      </c>
      <c r="R78" s="41"/>
      <c r="S78" s="85">
        <f t="shared" si="24"/>
        <v>-2875.3999999999942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25073.3</v>
      </c>
      <c r="G82" s="83"/>
      <c r="H82" s="13"/>
      <c r="I82" s="30"/>
      <c r="J82" s="41"/>
      <c r="K82" s="13"/>
      <c r="L82" s="32">
        <v>24990</v>
      </c>
      <c r="M82" s="41"/>
      <c r="N82" s="59">
        <f t="shared" si="23"/>
        <v>-83.299999999999272</v>
      </c>
      <c r="O82" s="41"/>
      <c r="P82" s="13"/>
      <c r="Q82" s="32">
        <v>26180</v>
      </c>
      <c r="R82" s="41"/>
      <c r="S82" s="85">
        <f t="shared" ref="S82" si="26">L82-Q82</f>
        <v>-1190</v>
      </c>
      <c r="T82" s="13"/>
      <c r="U82" s="13"/>
      <c r="V82" s="489">
        <f>L82/595</f>
        <v>42</v>
      </c>
      <c r="W82" s="483">
        <f>V82/J27</f>
        <v>0.97674418604651159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162308.86785714285</v>
      </c>
      <c r="G83" s="97"/>
      <c r="H83" s="95"/>
      <c r="I83" s="96"/>
      <c r="J83" s="97"/>
      <c r="K83" s="95"/>
      <c r="L83" s="96">
        <f>+SUM(L75:L82)</f>
        <v>160414.34</v>
      </c>
      <c r="M83" s="100"/>
      <c r="N83" s="96">
        <f>+SUM(N75:N82)</f>
        <v>-1894.527857142868</v>
      </c>
      <c r="O83" s="97"/>
      <c r="P83" s="95"/>
      <c r="Q83" s="96">
        <f>+SUM(Q75:Q82)</f>
        <v>167104.06</v>
      </c>
      <c r="R83" s="100"/>
      <c r="S83" s="101">
        <f>+SUM(S75:S82)</f>
        <v>-6689.7200000000012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214621.12129663015</v>
      </c>
      <c r="G85" s="128"/>
      <c r="H85" s="126"/>
      <c r="I85" s="127"/>
      <c r="J85" s="128"/>
      <c r="K85" s="125"/>
      <c r="L85" s="127">
        <f>L27-L74+L83</f>
        <v>215296.29999999964</v>
      </c>
      <c r="M85" s="128"/>
      <c r="N85" s="127">
        <f>N27-N41-N54-N72+N83</f>
        <v>675.17870336945816</v>
      </c>
      <c r="O85" s="128"/>
      <c r="P85" s="125"/>
      <c r="Q85" s="127">
        <f>Q27-Q74+Q83</f>
        <v>231955.45999999956</v>
      </c>
      <c r="R85" s="128"/>
      <c r="S85" s="129">
        <f>S27-S41-S54-S72+S83</f>
        <v>-16659.159999999938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Mai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0" t="s">
        <v>5</v>
      </c>
      <c r="E91" s="511"/>
      <c r="F91" s="512"/>
      <c r="G91" s="513"/>
      <c r="H91" s="511"/>
      <c r="I91" s="512"/>
      <c r="J91" s="513" t="s">
        <v>7</v>
      </c>
      <c r="K91" s="511"/>
      <c r="L91" s="512"/>
      <c r="M91" s="513" t="s">
        <v>212</v>
      </c>
      <c r="N91" s="512"/>
      <c r="O91" s="510" t="s">
        <v>8</v>
      </c>
      <c r="P91" s="511"/>
      <c r="Q91" s="512"/>
      <c r="R91" s="508" t="s">
        <v>213</v>
      </c>
      <c r="S91" s="509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9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2037857.6903014993</v>
      </c>
      <c r="G93" s="46"/>
      <c r="H93" s="25"/>
      <c r="I93" s="22"/>
      <c r="J93" s="23"/>
      <c r="K93" s="25"/>
      <c r="L93" s="22">
        <v>2056434.5399999998</v>
      </c>
      <c r="M93" s="137"/>
      <c r="N93" s="138"/>
      <c r="O93" s="23"/>
      <c r="P93" s="25"/>
      <c r="Q93" s="22">
        <v>1870178.46999999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12</v>
      </c>
      <c r="E94" s="30">
        <f>IF(D94=0,0,F94/D94)</f>
        <v>2400</v>
      </c>
      <c r="F94" s="30">
        <v>28800</v>
      </c>
      <c r="G94" s="31"/>
      <c r="H94" s="30"/>
      <c r="I94" s="30"/>
      <c r="J94" s="31">
        <v>11</v>
      </c>
      <c r="K94" s="30">
        <f>IF(J94=0,0,L94/J94)</f>
        <v>2140.5990909090933</v>
      </c>
      <c r="L94" s="33">
        <v>23546.590000000026</v>
      </c>
      <c r="M94" s="31">
        <f>J94-D94</f>
        <v>-1</v>
      </c>
      <c r="N94" s="33">
        <f>L94-F94</f>
        <v>-5253.4099999999744</v>
      </c>
      <c r="O94" s="31">
        <v>3</v>
      </c>
      <c r="P94" s="30">
        <f t="shared" ref="P94:P96" si="28">IF(O94=0,0,Q94/O94)</f>
        <v>2327.88333333333</v>
      </c>
      <c r="Q94" s="33">
        <v>6983.6499999999896</v>
      </c>
      <c r="R94" s="31">
        <f>J94-O94</f>
        <v>8</v>
      </c>
      <c r="S94" s="34">
        <f>L94-Q94</f>
        <v>16562.940000000035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7"/>
        <v>Véhicules usagésNon Certifié</v>
      </c>
      <c r="B95" s="11" t="s">
        <v>70</v>
      </c>
      <c r="C95" s="29" t="s">
        <v>73</v>
      </c>
      <c r="D95" s="30">
        <v>3</v>
      </c>
      <c r="E95" s="30">
        <f t="shared" ref="E95:E97" si="29">IF(D95=0,0,F95/D95)</f>
        <v>1400</v>
      </c>
      <c r="F95" s="30">
        <v>4200</v>
      </c>
      <c r="G95" s="31"/>
      <c r="H95" s="30"/>
      <c r="I95" s="30"/>
      <c r="J95" s="31">
        <v>5</v>
      </c>
      <c r="K95" s="30">
        <f>IF(J95=0,0,L95/J95)</f>
        <v>5520.9739999999993</v>
      </c>
      <c r="L95" s="32">
        <v>27604.869999999995</v>
      </c>
      <c r="M95" s="31">
        <f>J95-D95</f>
        <v>2</v>
      </c>
      <c r="N95" s="33">
        <f>L95-F95</f>
        <v>23404.869999999995</v>
      </c>
      <c r="O95" s="31">
        <v>4</v>
      </c>
      <c r="P95" s="30">
        <f t="shared" si="28"/>
        <v>1818.9100000000026</v>
      </c>
      <c r="Q95" s="32">
        <v>7275.6400000000103</v>
      </c>
      <c r="R95" s="31">
        <f>J95-O95</f>
        <v>1</v>
      </c>
      <c r="S95" s="34">
        <f>L95-Q95</f>
        <v>20329.229999999985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 t="shared" si="27"/>
        <v>Véhicules usagésAutres marques</v>
      </c>
      <c r="B96" s="11" t="s">
        <v>70</v>
      </c>
      <c r="C96" s="29" t="s">
        <v>206</v>
      </c>
      <c r="D96" s="30">
        <v>5</v>
      </c>
      <c r="E96" s="25">
        <f t="shared" si="29"/>
        <v>1500</v>
      </c>
      <c r="F96" s="30">
        <v>7500</v>
      </c>
      <c r="G96" s="31"/>
      <c r="H96" s="30"/>
      <c r="I96" s="30"/>
      <c r="J96" s="31">
        <v>8</v>
      </c>
      <c r="K96" s="30">
        <f>IF(J96=0,0,L96/J96)</f>
        <v>2384.3449999999939</v>
      </c>
      <c r="L96" s="32">
        <v>19074.759999999951</v>
      </c>
      <c r="M96" s="31">
        <f>J96-D96</f>
        <v>3</v>
      </c>
      <c r="N96" s="33">
        <f>L96-F96</f>
        <v>11574.759999999951</v>
      </c>
      <c r="O96" s="31">
        <v>8</v>
      </c>
      <c r="P96" s="30">
        <f t="shared" si="28"/>
        <v>1148.9350000000013</v>
      </c>
      <c r="Q96" s="32">
        <v>9191.4800000000105</v>
      </c>
      <c r="R96" s="31">
        <f>J96-O96</f>
        <v>0</v>
      </c>
      <c r="S96" s="34">
        <f>L96-Q96</f>
        <v>9883.2799999999406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20</v>
      </c>
      <c r="E97" s="30">
        <f t="shared" si="29"/>
        <v>2025</v>
      </c>
      <c r="F97" s="37">
        <f>+F94+F95+F96</f>
        <v>40500</v>
      </c>
      <c r="G97" s="38"/>
      <c r="H97" s="36"/>
      <c r="I97" s="37"/>
      <c r="J97" s="38">
        <f>+J94+J95+J96</f>
        <v>24</v>
      </c>
      <c r="K97" s="36">
        <f>IF(J97&lt;=0,0,L97/J97)</f>
        <v>2926.0924999999988</v>
      </c>
      <c r="L97" s="37">
        <f>+L94+L95+L96</f>
        <v>70226.219999999972</v>
      </c>
      <c r="M97" s="38">
        <f>J97-D97</f>
        <v>4</v>
      </c>
      <c r="N97" s="37">
        <f>L97-F97</f>
        <v>29726.219999999972</v>
      </c>
      <c r="O97" s="38">
        <f>+O95+O94+O96</f>
        <v>15</v>
      </c>
      <c r="P97" s="36">
        <f>IF(O97=0,0,Q97/O97)</f>
        <v>1563.3846666666675</v>
      </c>
      <c r="Q97" s="37">
        <f>+Q94+Q95+Q96</f>
        <v>23450.770000000011</v>
      </c>
      <c r="R97" s="38">
        <f>J97-O97</f>
        <v>9</v>
      </c>
      <c r="S97" s="39">
        <f>L97-Q97</f>
        <v>46775.449999999961</v>
      </c>
      <c r="T97" s="13"/>
      <c r="U97" s="13"/>
      <c r="W97" s="457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0.2</v>
      </c>
      <c r="N98" s="43">
        <f>N97/F97</f>
        <v>0.73398074074074005</v>
      </c>
      <c r="O98" s="41"/>
      <c r="P98" s="13"/>
      <c r="Q98" s="40"/>
      <c r="R98" s="42">
        <f>R97/O97</f>
        <v>0.6</v>
      </c>
      <c r="S98" s="44">
        <f>IF(Q97=0,0,(S97/Q97))</f>
        <v>1.9946232042700491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>+B99&amp;C99</f>
        <v>Véhicules neufsRachat bail</v>
      </c>
      <c r="B99" s="11" t="str">
        <f t="shared" ref="B99" si="30"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2834.7472332774046</v>
      </c>
      <c r="G99" s="31"/>
      <c r="H99" s="30"/>
      <c r="I99" s="30"/>
      <c r="J99" s="31"/>
      <c r="K99" s="30"/>
      <c r="L99" s="33">
        <v>3997.5799999999872</v>
      </c>
      <c r="M99" s="31"/>
      <c r="N99" s="33">
        <f>L99-F99</f>
        <v>1162.8327667225826</v>
      </c>
      <c r="O99" s="31"/>
      <c r="P99" s="30"/>
      <c r="Q99" s="33">
        <v>2498</v>
      </c>
      <c r="R99" s="31">
        <f>O99-K99</f>
        <v>0</v>
      </c>
      <c r="S99" s="34">
        <f>L99-Q99</f>
        <v>1499.5799999999872</v>
      </c>
      <c r="T99" s="13"/>
      <c r="U99" s="13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25">
      <c r="A100" t="str">
        <f t="shared" ref="A100:A118" si="31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31"/>
        <v>Véhicules usagésVentes au Gros</v>
      </c>
      <c r="B101" s="11" t="s">
        <v>70</v>
      </c>
      <c r="C101" s="29" t="s">
        <v>75</v>
      </c>
      <c r="D101" s="30">
        <v>30</v>
      </c>
      <c r="E101" s="30">
        <f t="shared" ref="E101" si="32">IF(D101=0,0,F101/D101)</f>
        <v>500</v>
      </c>
      <c r="F101" s="30">
        <v>15000</v>
      </c>
      <c r="G101" s="31"/>
      <c r="H101" s="30"/>
      <c r="I101" s="30"/>
      <c r="J101" s="31">
        <v>21</v>
      </c>
      <c r="K101" s="30">
        <f>IF(J101=0,0,L101/J101)</f>
        <v>752.67047619047423</v>
      </c>
      <c r="L101" s="33">
        <v>15806.079999999958</v>
      </c>
      <c r="M101" s="31">
        <f>J101-D101</f>
        <v>-9</v>
      </c>
      <c r="N101" s="33">
        <f>L101-F101</f>
        <v>806.07999999995809</v>
      </c>
      <c r="O101" s="31">
        <v>34</v>
      </c>
      <c r="P101" s="30">
        <f>IF(O101=0,0,Q101/O101)</f>
        <v>500.4129411764676</v>
      </c>
      <c r="Q101" s="33">
        <v>17014.039999999899</v>
      </c>
      <c r="R101" s="31">
        <f>J101-O101</f>
        <v>-13</v>
      </c>
      <c r="S101" s="34">
        <f>L101-Q101</f>
        <v>-1207.9599999999409</v>
      </c>
      <c r="T101" s="13"/>
      <c r="U101" s="13"/>
      <c r="W101" s="457"/>
      <c r="X101" s="13"/>
      <c r="Y101" s="13"/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31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31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7000</v>
      </c>
      <c r="G103" s="31"/>
      <c r="H103" s="30"/>
      <c r="I103" s="30"/>
      <c r="J103" s="31"/>
      <c r="K103" s="30">
        <f>IF(J97=0,0,L103/J97)</f>
        <v>317.96583333333336</v>
      </c>
      <c r="L103" s="33">
        <v>7631.18</v>
      </c>
      <c r="M103" s="31"/>
      <c r="N103" s="33">
        <f>L103-F103</f>
        <v>631.18000000000029</v>
      </c>
      <c r="O103" s="31"/>
      <c r="P103" s="30">
        <f>IF(O97=0,0,Q103/O97)</f>
        <v>879.48266666666666</v>
      </c>
      <c r="Q103" s="33">
        <v>13192.24</v>
      </c>
      <c r="R103" s="31">
        <f>O103-K103</f>
        <v>-317.96583333333336</v>
      </c>
      <c r="S103" s="34">
        <f>L103-Q103</f>
        <v>-5561.0599999999995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31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19000</v>
      </c>
      <c r="G104" s="31"/>
      <c r="H104" s="30"/>
      <c r="I104" s="30"/>
      <c r="J104" s="31"/>
      <c r="K104" s="30">
        <f>IF(J97=0,0,L104/J97)</f>
        <v>400.25</v>
      </c>
      <c r="L104" s="33">
        <v>9606</v>
      </c>
      <c r="M104" s="31"/>
      <c r="N104" s="33">
        <f>L104-F104</f>
        <v>-9394</v>
      </c>
      <c r="O104" s="31"/>
      <c r="P104" s="30">
        <f>IF(O97=0,0,Q104/O97)</f>
        <v>1715.4953333333333</v>
      </c>
      <c r="Q104" s="33">
        <v>25732.43</v>
      </c>
      <c r="R104" s="31">
        <f>O104-K104</f>
        <v>-400.25</v>
      </c>
      <c r="S104" s="34">
        <f>L104-Q104</f>
        <v>-16126.43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31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4000</v>
      </c>
      <c r="G105" s="31"/>
      <c r="H105" s="47"/>
      <c r="I105" s="30"/>
      <c r="J105" s="31"/>
      <c r="K105" s="47">
        <f>IF(J97=0,0,L105/J97)</f>
        <v>116.45166666666667</v>
      </c>
      <c r="L105" s="33">
        <v>2794.84</v>
      </c>
      <c r="M105" s="51"/>
      <c r="N105" s="33">
        <f>L105-F105</f>
        <v>-1205.1599999999999</v>
      </c>
      <c r="O105" s="31"/>
      <c r="P105" s="47">
        <f>IF(O97=0,0,Q105/O97)</f>
        <v>734.6486666666666</v>
      </c>
      <c r="Q105" s="33">
        <v>11019.73</v>
      </c>
      <c r="R105" s="31">
        <f>O105-K105</f>
        <v>-116.45166666666667</v>
      </c>
      <c r="S105" s="34">
        <f>L105-Q105</f>
        <v>-8224.89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31"/>
        <v>Véhicules usagésTotal F&amp;I</v>
      </c>
      <c r="B106" s="11" t="s">
        <v>70</v>
      </c>
      <c r="C106" s="35" t="s">
        <v>27</v>
      </c>
      <c r="D106" s="36">
        <f>D97</f>
        <v>20</v>
      </c>
      <c r="E106" s="30">
        <f t="shared" ref="E106" si="33">IF(D106=0,0,F106/D106)</f>
        <v>1500</v>
      </c>
      <c r="F106" s="37">
        <f>F103+F104+F105</f>
        <v>30000</v>
      </c>
      <c r="G106" s="38"/>
      <c r="H106" s="36"/>
      <c r="I106" s="37"/>
      <c r="J106" s="38">
        <f>J97</f>
        <v>24</v>
      </c>
      <c r="K106" s="36">
        <f>IF(J106&lt;=0,0,L106/J106)</f>
        <v>834.66750000000002</v>
      </c>
      <c r="L106" s="37">
        <f>L103+L104+L105</f>
        <v>20032.02</v>
      </c>
      <c r="M106" s="31">
        <f>J106-D106</f>
        <v>4</v>
      </c>
      <c r="N106" s="37">
        <f>L106-F106</f>
        <v>-9967.98</v>
      </c>
      <c r="O106" s="38">
        <f>O97</f>
        <v>15</v>
      </c>
      <c r="P106" s="36">
        <f t="shared" ref="P106" si="34">IF(O106=0,0,Q106/O106)</f>
        <v>3329.6266666666661</v>
      </c>
      <c r="Q106" s="37">
        <f>Q103+Q104+Q105</f>
        <v>49944.399999999994</v>
      </c>
      <c r="R106" s="56"/>
      <c r="S106" s="39">
        <f>L106-Q106</f>
        <v>-29912.379999999994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0.25">
      <c r="A107" t="str">
        <f t="shared" si="31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-0.33226600000000001</v>
      </c>
      <c r="O107" s="41"/>
      <c r="P107" s="13"/>
      <c r="Q107" s="59"/>
      <c r="R107" s="60"/>
      <c r="S107" s="44">
        <f>IF(Q106=0,0,(S106/Q106))</f>
        <v>-0.59891359191420857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Bot="1">
      <c r="A108" t="str">
        <f t="shared" si="31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50</v>
      </c>
      <c r="E109" s="67">
        <f>IF(D109&lt;=0,0,F109/D109)</f>
        <v>1766.6949446655481</v>
      </c>
      <c r="F109" s="65">
        <f>F97+F106+F101+F99</f>
        <v>88334.747233277405</v>
      </c>
      <c r="G109" s="66"/>
      <c r="H109" s="67"/>
      <c r="I109" s="65"/>
      <c r="J109" s="66">
        <f>J97+J101</f>
        <v>45</v>
      </c>
      <c r="K109" s="67">
        <f>IF(J109&lt;=0,0,L109/J109)</f>
        <v>2445.8199999999983</v>
      </c>
      <c r="L109" s="65">
        <f>L97+L106+L101+L99</f>
        <v>110061.89999999992</v>
      </c>
      <c r="M109" s="66">
        <f>J109-D109</f>
        <v>-5</v>
      </c>
      <c r="N109" s="65">
        <f>L109-F109</f>
        <v>21727.152766722516</v>
      </c>
      <c r="O109" s="66">
        <f>O97+O101</f>
        <v>49</v>
      </c>
      <c r="P109" s="67">
        <f>IF(O109&lt;=0,0,Q109/O109)</f>
        <v>1896.0655102040796</v>
      </c>
      <c r="Q109" s="65">
        <f>Q97+Q106+Q101+Q99</f>
        <v>92907.209999999905</v>
      </c>
      <c r="R109" s="66">
        <f>J109-O109</f>
        <v>-4</v>
      </c>
      <c r="S109" s="68">
        <f>L109-Q109</f>
        <v>17154.690000000017</v>
      </c>
      <c r="T109" s="13"/>
      <c r="U109" s="13"/>
      <c r="W109" s="11"/>
      <c r="X109" s="48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-0.1</v>
      </c>
      <c r="N110" s="74">
        <f>N109/F109</f>
        <v>0.24596383017143539</v>
      </c>
      <c r="O110" s="72"/>
      <c r="P110" s="70"/>
      <c r="Q110" s="71"/>
      <c r="R110" s="73">
        <f>O109/R109</f>
        <v>-12.25</v>
      </c>
      <c r="S110" s="144">
        <f>IF(Q109=0,0,(S109/Q109))</f>
        <v>0.18464325858025479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 thickTop="1">
      <c r="A111" t="str">
        <f t="shared" si="31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31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31"/>
        <v>Véhicules usagésComm. vendeurs</v>
      </c>
      <c r="B113" s="11" t="s">
        <v>70</v>
      </c>
      <c r="C113" s="29" t="s">
        <v>30</v>
      </c>
      <c r="D113" s="147">
        <f>F113/(F97+F106)</f>
        <v>0.20261200820474176</v>
      </c>
      <c r="E113" s="82">
        <f t="shared" ref="E113:E122" si="35">F113/D$97</f>
        <v>714.20732892171475</v>
      </c>
      <c r="F113" s="30">
        <v>14284.146578434294</v>
      </c>
      <c r="G113" s="156"/>
      <c r="H113" s="82"/>
      <c r="I113" s="30"/>
      <c r="J113" s="156">
        <f>L113/L97</f>
        <v>0.37855618599434815</v>
      </c>
      <c r="K113" s="82">
        <f>IF($J$97=0,0,L113/(J$94+J$95+J96))</f>
        <v>1107.6904166666666</v>
      </c>
      <c r="L113" s="33">
        <v>26584.57</v>
      </c>
      <c r="M113" s="41"/>
      <c r="N113" s="59">
        <f t="shared" ref="N113:N154" si="36">L113-F113</f>
        <v>12300.423421565705</v>
      </c>
      <c r="O113" s="156">
        <f>Q113/Q97</f>
        <v>0.3207732624557742</v>
      </c>
      <c r="P113" s="82">
        <f t="shared" ref="P113:P122" si="37">Q113/O$97</f>
        <v>501.49200000000002</v>
      </c>
      <c r="Q113" s="33">
        <v>7522.38</v>
      </c>
      <c r="R113" s="41"/>
      <c r="S113" s="85">
        <f t="shared" ref="S113:S118" si="38">L113-Q113</f>
        <v>19062.189999999999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31"/>
        <v>Véhicules usagésComm. F&amp;I</v>
      </c>
      <c r="B114" s="11" t="s">
        <v>70</v>
      </c>
      <c r="C114" s="86" t="s">
        <v>31</v>
      </c>
      <c r="D114" s="217">
        <f>F114/(F106+F99)</f>
        <v>0.24668988442191511</v>
      </c>
      <c r="E114" s="88">
        <f t="shared" si="35"/>
        <v>405</v>
      </c>
      <c r="F114" s="22">
        <v>8100</v>
      </c>
      <c r="G114" s="161"/>
      <c r="H114" s="88"/>
      <c r="I114" s="22"/>
      <c r="J114" s="161">
        <f>L114/L106</f>
        <v>0.17300651656697627</v>
      </c>
      <c r="K114" s="88">
        <f>IF($J$97=0,0,L114/(J$94+J$95+J96))</f>
        <v>144.40291666666667</v>
      </c>
      <c r="L114" s="33">
        <v>3465.67</v>
      </c>
      <c r="M114" s="23"/>
      <c r="N114" s="91">
        <f t="shared" si="36"/>
        <v>-4634.33</v>
      </c>
      <c r="O114" s="161">
        <f>Q114/(Q106+Q99)</f>
        <v>0.23560611261116962</v>
      </c>
      <c r="P114" s="88">
        <f t="shared" si="37"/>
        <v>823.7166666666667</v>
      </c>
      <c r="Q114" s="33">
        <v>12355.75</v>
      </c>
      <c r="R114" s="23"/>
      <c r="S114" s="92">
        <f t="shared" si="38"/>
        <v>-8890.08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31"/>
        <v>Véhicules usagésFrais de livraison</v>
      </c>
      <c r="B115" s="11" t="s">
        <v>70</v>
      </c>
      <c r="C115" s="29" t="s">
        <v>32</v>
      </c>
      <c r="D115" s="81"/>
      <c r="E115" s="82">
        <f t="shared" si="35"/>
        <v>85</v>
      </c>
      <c r="F115" s="30">
        <v>1700</v>
      </c>
      <c r="G115" s="83"/>
      <c r="H115" s="82"/>
      <c r="I115" s="30"/>
      <c r="J115" s="41"/>
      <c r="K115" s="82">
        <f>IF($J$97=0,0,L115/(J$94+J$95+J96))</f>
        <v>60.193333333333335</v>
      </c>
      <c r="L115" s="108">
        <v>1444.64</v>
      </c>
      <c r="M115" s="41"/>
      <c r="N115" s="59">
        <f t="shared" si="36"/>
        <v>-255.3599999999999</v>
      </c>
      <c r="O115" s="41"/>
      <c r="P115" s="82">
        <f t="shared" si="37"/>
        <v>125.02199999999999</v>
      </c>
      <c r="Q115" s="108">
        <v>1875.33</v>
      </c>
      <c r="R115" s="41"/>
      <c r="S115" s="85">
        <f t="shared" si="38"/>
        <v>-430.68999999999983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31"/>
        <v>Véhicules usagésService gratuit 1</v>
      </c>
      <c r="B116" s="11" t="s">
        <v>70</v>
      </c>
      <c r="C116" s="29" t="s">
        <v>33</v>
      </c>
      <c r="D116" s="81"/>
      <c r="E116" s="82">
        <f t="shared" si="35"/>
        <v>80</v>
      </c>
      <c r="F116" s="30">
        <v>1600</v>
      </c>
      <c r="G116" s="83"/>
      <c r="H116" s="82"/>
      <c r="I116" s="30"/>
      <c r="J116" s="41"/>
      <c r="K116" s="82">
        <f>IF($J$97=0,0,L116/(J$94+J$95+J96))</f>
        <v>0</v>
      </c>
      <c r="L116" s="33">
        <v>0</v>
      </c>
      <c r="M116" s="41"/>
      <c r="N116" s="59">
        <f t="shared" si="36"/>
        <v>-1600</v>
      </c>
      <c r="O116" s="41"/>
      <c r="P116" s="82">
        <f t="shared" si="37"/>
        <v>76.418666666666667</v>
      </c>
      <c r="Q116" s="33">
        <v>1146.28</v>
      </c>
      <c r="R116" s="41"/>
      <c r="S116" s="85">
        <f t="shared" si="38"/>
        <v>-1146.28</v>
      </c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31"/>
        <v>Véhicules usagésEntretien stock</v>
      </c>
      <c r="B117" s="11" t="s">
        <v>70</v>
      </c>
      <c r="C117" s="86" t="s">
        <v>34</v>
      </c>
      <c r="D117" s="87"/>
      <c r="E117" s="88">
        <f t="shared" si="35"/>
        <v>48.75</v>
      </c>
      <c r="F117" s="22">
        <v>975</v>
      </c>
      <c r="G117" s="89"/>
      <c r="H117" s="88"/>
      <c r="I117" s="22"/>
      <c r="J117" s="23"/>
      <c r="K117" s="88">
        <f>IF($J$97=0,0,L117/(J$94+J$95+J96))</f>
        <v>94.890833333333333</v>
      </c>
      <c r="L117" s="48">
        <v>2277.38</v>
      </c>
      <c r="M117" s="23"/>
      <c r="N117" s="91">
        <f t="shared" si="36"/>
        <v>1302.3800000000001</v>
      </c>
      <c r="O117" s="23"/>
      <c r="P117" s="88">
        <f t="shared" si="37"/>
        <v>161.53133333333332</v>
      </c>
      <c r="Q117" s="48">
        <v>2422.9699999999998</v>
      </c>
      <c r="R117" s="23"/>
      <c r="S117" s="92">
        <f t="shared" si="38"/>
        <v>-145.58999999999969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31"/>
        <v>Véhicules usagésPublicité 1</v>
      </c>
      <c r="B118" s="11" t="s">
        <v>70</v>
      </c>
      <c r="C118" s="29" t="s">
        <v>35</v>
      </c>
      <c r="D118" s="81"/>
      <c r="E118" s="82">
        <f t="shared" si="35"/>
        <v>55.875</v>
      </c>
      <c r="F118" s="30">
        <v>1117.5</v>
      </c>
      <c r="G118" s="83"/>
      <c r="H118" s="82"/>
      <c r="I118" s="30"/>
      <c r="J118" s="41"/>
      <c r="K118" s="82">
        <f>IF($J$97=0,0,L118/(J$94+J$95+J96))</f>
        <v>-29.004999999999999</v>
      </c>
      <c r="L118" s="33">
        <v>-696.12</v>
      </c>
      <c r="M118" s="41"/>
      <c r="N118" s="59">
        <f t="shared" si="36"/>
        <v>-1813.62</v>
      </c>
      <c r="O118" s="41"/>
      <c r="P118" s="82">
        <f t="shared" si="37"/>
        <v>450.2646666666667</v>
      </c>
      <c r="Q118" s="33">
        <v>6753.97</v>
      </c>
      <c r="R118" s="41"/>
      <c r="S118" s="85">
        <f t="shared" si="38"/>
        <v>-7450.09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>
      <c r="A119" t="str">
        <f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35"/>
        <v>404.42655901639347</v>
      </c>
      <c r="F119" s="30">
        <v>8088.5311803278692</v>
      </c>
      <c r="G119" s="83"/>
      <c r="H119" s="82"/>
      <c r="I119" s="30"/>
      <c r="J119" s="41"/>
      <c r="K119" s="82">
        <f>IF($J$97=0,0,L119/(J$94+J$95+J96))</f>
        <v>319.53958333333333</v>
      </c>
      <c r="L119" s="33">
        <v>7668.95</v>
      </c>
      <c r="M119" s="41"/>
      <c r="N119" s="59">
        <f t="shared" si="36"/>
        <v>-419.58118032786933</v>
      </c>
      <c r="O119" s="41"/>
      <c r="P119" s="82">
        <f t="shared" si="37"/>
        <v>312.40400000000005</v>
      </c>
      <c r="Q119" s="33">
        <v>4686.0600000000004</v>
      </c>
      <c r="R119" s="41"/>
      <c r="S119" s="85">
        <f>L119-Q119</f>
        <v>2982.8899999999994</v>
      </c>
      <c r="T119" s="13"/>
      <c r="U119" s="13"/>
      <c r="V119" s="489">
        <v>7669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5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36"/>
        <v>0</v>
      </c>
      <c r="O120" s="41"/>
      <c r="P120" s="82">
        <f t="shared" si="37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5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36"/>
        <v>0</v>
      </c>
      <c r="O121" s="41"/>
      <c r="P121" s="82">
        <f t="shared" si="37"/>
        <v>0</v>
      </c>
      <c r="Q121" s="33"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 hidden="1">
      <c r="A122" t="str">
        <f>+B122&amp;C122</f>
        <v>Véhicules usagés[...]</v>
      </c>
      <c r="B122" s="11" t="s">
        <v>70</v>
      </c>
      <c r="C122" s="29" t="s">
        <v>19</v>
      </c>
      <c r="D122" s="81"/>
      <c r="E122" s="82">
        <f t="shared" si="35"/>
        <v>0</v>
      </c>
      <c r="F122" s="30">
        <v>0</v>
      </c>
      <c r="G122" s="83"/>
      <c r="H122" s="82"/>
      <c r="I122" s="30"/>
      <c r="J122" s="41"/>
      <c r="K122" s="82">
        <f>IF($J$97=0,0,L122/(J$94+J$95))</f>
        <v>0</v>
      </c>
      <c r="L122" s="33">
        <v>0</v>
      </c>
      <c r="M122" s="41"/>
      <c r="N122" s="59">
        <f t="shared" si="36"/>
        <v>0</v>
      </c>
      <c r="O122" s="41"/>
      <c r="P122" s="82">
        <f t="shared" si="37"/>
        <v>0</v>
      </c>
      <c r="Q122" s="33">
        <v>0</v>
      </c>
      <c r="R122" s="41"/>
      <c r="S122" s="85">
        <f t="shared" ref="S122:S127" si="39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ref="A123:A127" si="40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0.40601438145340679</v>
      </c>
      <c r="F123" s="96">
        <f>SUM(F113:F122)</f>
        <v>35865.177758762162</v>
      </c>
      <c r="G123" s="97"/>
      <c r="H123" s="95"/>
      <c r="I123" s="96"/>
      <c r="J123" s="97" t="s">
        <v>38</v>
      </c>
      <c r="K123" s="95">
        <f>L123/L$109</f>
        <v>0.37020158656174407</v>
      </c>
      <c r="L123" s="96">
        <f>SUM(L113:L122)</f>
        <v>40745.089999999989</v>
      </c>
      <c r="M123" s="100"/>
      <c r="N123" s="96">
        <f t="shared" si="36"/>
        <v>4879.9122412378274</v>
      </c>
      <c r="O123" s="97" t="s">
        <v>38</v>
      </c>
      <c r="P123" s="95">
        <f>Q123/Q$109</f>
        <v>0.39569307914854007</v>
      </c>
      <c r="Q123" s="96">
        <f>SUM(Q113:Q122)</f>
        <v>36762.74</v>
      </c>
      <c r="R123" s="100"/>
      <c r="S123" s="101">
        <f t="shared" si="39"/>
        <v>3982.3499999999913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cadres</v>
      </c>
      <c r="B124" s="11" t="s">
        <v>70</v>
      </c>
      <c r="C124" s="102" t="s">
        <v>40</v>
      </c>
      <c r="D124" s="13"/>
      <c r="E124" s="13"/>
      <c r="F124" s="30">
        <v>6172.8621839080461</v>
      </c>
      <c r="G124" s="41"/>
      <c r="H124" s="13"/>
      <c r="I124" s="30"/>
      <c r="J124" s="41"/>
      <c r="K124" s="13"/>
      <c r="L124" s="33">
        <v>7792.1</v>
      </c>
      <c r="M124" s="41"/>
      <c r="N124" s="59">
        <f t="shared" si="36"/>
        <v>1619.2378160919543</v>
      </c>
      <c r="O124" s="41"/>
      <c r="P124" s="13"/>
      <c r="Q124" s="33">
        <v>3666.89</v>
      </c>
      <c r="R124" s="41"/>
      <c r="S124" s="85">
        <f t="shared" si="39"/>
        <v>4125.2100000000009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commis</v>
      </c>
      <c r="B125" s="11" t="s">
        <v>70</v>
      </c>
      <c r="C125" s="103" t="s">
        <v>41</v>
      </c>
      <c r="D125" s="81"/>
      <c r="E125" s="13"/>
      <c r="F125" s="22">
        <v>1881.1493850574709</v>
      </c>
      <c r="G125" s="83"/>
      <c r="H125" s="13"/>
      <c r="I125" s="22"/>
      <c r="J125" s="41"/>
      <c r="K125" s="13"/>
      <c r="L125" s="22">
        <v>1674.9</v>
      </c>
      <c r="M125" s="41"/>
      <c r="N125" s="59">
        <f t="shared" si="36"/>
        <v>-206.24938505747082</v>
      </c>
      <c r="O125" s="41"/>
      <c r="P125" s="13"/>
      <c r="Q125" s="22">
        <v>3291.71</v>
      </c>
      <c r="R125" s="41"/>
      <c r="S125" s="85">
        <f t="shared" si="39"/>
        <v>-1616.81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6"/>
        <v>0</v>
      </c>
      <c r="O126" s="107"/>
      <c r="P126" s="105"/>
      <c r="Q126" s="33">
        <v>2809</v>
      </c>
      <c r="R126" s="107"/>
      <c r="S126" s="110">
        <f t="shared" si="39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40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6"/>
        <v>0</v>
      </c>
      <c r="O127" s="41"/>
      <c r="P127" s="13"/>
      <c r="Q127" s="33">
        <v>0</v>
      </c>
      <c r="R127" s="41"/>
      <c r="S127" s="85">
        <f t="shared" si="39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6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6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 hidden="1">
      <c r="A130" t="str">
        <f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6"/>
        <v>0</v>
      </c>
      <c r="O130" s="41"/>
      <c r="P130" s="13"/>
      <c r="Q130" s="33"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ref="A131:A149" si="41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4373.3862784946214</v>
      </c>
      <c r="G131" s="83"/>
      <c r="H131" s="13"/>
      <c r="I131" s="30"/>
      <c r="J131" s="41"/>
      <c r="K131" s="13"/>
      <c r="L131" s="33">
        <v>3551.6</v>
      </c>
      <c r="M131" s="41"/>
      <c r="N131" s="59">
        <f t="shared" si="36"/>
        <v>-821.78627849462146</v>
      </c>
      <c r="O131" s="41"/>
      <c r="P131" s="13"/>
      <c r="Q131" s="33">
        <v>4453.6400000000003</v>
      </c>
      <c r="R131" s="41"/>
      <c r="S131" s="85">
        <f>L131-Q131</f>
        <v>-902.04000000000042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4438.1556602438031</v>
      </c>
      <c r="G132" s="106"/>
      <c r="H132" s="105"/>
      <c r="I132" s="54"/>
      <c r="J132" s="107"/>
      <c r="K132" s="105"/>
      <c r="L132" s="55">
        <v>4572.3</v>
      </c>
      <c r="M132" s="107"/>
      <c r="N132" s="109">
        <f t="shared" si="36"/>
        <v>134.14433975619704</v>
      </c>
      <c r="O132" s="107"/>
      <c r="P132" s="105"/>
      <c r="Q132" s="55">
        <v>6595.11</v>
      </c>
      <c r="R132" s="107"/>
      <c r="S132" s="110">
        <f t="shared" ref="S132:S149" si="42">L132-Q132</f>
        <v>-2022.8099999999995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2876.5823723802423</v>
      </c>
      <c r="G133" s="83"/>
      <c r="H133" s="13"/>
      <c r="I133" s="30"/>
      <c r="J133" s="41"/>
      <c r="K133" s="13"/>
      <c r="L133" s="33">
        <v>1679.23</v>
      </c>
      <c r="M133" s="41"/>
      <c r="N133" s="59">
        <f t="shared" si="36"/>
        <v>-1197.3523723802423</v>
      </c>
      <c r="O133" s="41"/>
      <c r="P133" s="13"/>
      <c r="Q133" s="33">
        <v>2486.52</v>
      </c>
      <c r="R133" s="41"/>
      <c r="S133" s="85">
        <f t="shared" si="42"/>
        <v>-807.29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>
      <c r="A134" t="str">
        <f t="shared" si="41"/>
        <v>Véhicules usagésCsst</v>
      </c>
      <c r="B134" s="11" t="s">
        <v>70</v>
      </c>
      <c r="C134" s="102" t="s">
        <v>47</v>
      </c>
      <c r="D134" s="81"/>
      <c r="E134" s="13"/>
      <c r="F134" s="30">
        <v>805.4430642664679</v>
      </c>
      <c r="G134" s="83"/>
      <c r="H134" s="13"/>
      <c r="I134" s="30"/>
      <c r="J134" s="41"/>
      <c r="K134" s="13"/>
      <c r="L134" s="33">
        <v>666.11</v>
      </c>
      <c r="M134" s="41"/>
      <c r="N134" s="59">
        <f t="shared" si="36"/>
        <v>-139.33306426646789</v>
      </c>
      <c r="O134" s="41"/>
      <c r="P134" s="13"/>
      <c r="Q134" s="33">
        <v>1023.73</v>
      </c>
      <c r="R134" s="41"/>
      <c r="S134" s="85">
        <f t="shared" si="42"/>
        <v>-357.62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 hidden="1">
      <c r="A135" t="str">
        <f t="shared" si="41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6"/>
        <v>0</v>
      </c>
      <c r="O135" s="23"/>
      <c r="P135" s="111"/>
      <c r="Q135" s="33">
        <v>0</v>
      </c>
      <c r="R135" s="23"/>
      <c r="S135" s="92">
        <f t="shared" si="4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0.23261037799868159</v>
      </c>
      <c r="F136" s="96">
        <f>+SUM(F124:F135)</f>
        <v>20547.578944350651</v>
      </c>
      <c r="G136" s="97"/>
      <c r="H136" s="95"/>
      <c r="I136" s="96"/>
      <c r="J136" s="97" t="s">
        <v>38</v>
      </c>
      <c r="K136" s="95">
        <f>L136/L$109</f>
        <v>0.18113661494122868</v>
      </c>
      <c r="L136" s="96">
        <f>SUM(L124:L135)</f>
        <v>19936.240000000002</v>
      </c>
      <c r="M136" s="458"/>
      <c r="N136" s="459">
        <f t="shared" si="36"/>
        <v>-611.3389443506494</v>
      </c>
      <c r="O136" s="97" t="s">
        <v>38</v>
      </c>
      <c r="P136" s="95">
        <f>Q136/Q$109</f>
        <v>0.26183759043028015</v>
      </c>
      <c r="Q136" s="96">
        <f>+SUM(Q124:Q135)</f>
        <v>24326.600000000002</v>
      </c>
      <c r="R136" s="146"/>
      <c r="S136" s="114">
        <f t="shared" si="42"/>
        <v>-4390.3600000000006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6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 hidden="1">
      <c r="A138" t="str">
        <f t="shared" si="41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6"/>
        <v>0</v>
      </c>
      <c r="O138" s="41"/>
      <c r="P138" s="13"/>
      <c r="Q138" s="33">
        <v>0</v>
      </c>
      <c r="R138" s="41"/>
      <c r="S138" s="85">
        <f t="shared" si="4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423.44</v>
      </c>
      <c r="M139" s="23"/>
      <c r="N139" s="91">
        <f t="shared" si="36"/>
        <v>-340.14333333333337</v>
      </c>
      <c r="O139" s="23"/>
      <c r="P139" s="111"/>
      <c r="Q139" s="22">
        <v>993.36</v>
      </c>
      <c r="R139" s="23"/>
      <c r="S139" s="92">
        <f t="shared" si="42"/>
        <v>-569.92000000000007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4144.6400000000003</v>
      </c>
      <c r="M140" s="41"/>
      <c r="N140" s="59">
        <f t="shared" si="36"/>
        <v>60.125000000000455</v>
      </c>
      <c r="O140" s="41"/>
      <c r="P140" s="13"/>
      <c r="Q140" s="33">
        <v>1959.03</v>
      </c>
      <c r="R140" s="41"/>
      <c r="S140" s="85">
        <f t="shared" si="42"/>
        <v>2185.6100000000006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1850.25</v>
      </c>
      <c r="M141" s="41"/>
      <c r="N141" s="59">
        <f t="shared" si="36"/>
        <v>1351.5</v>
      </c>
      <c r="O141" s="41"/>
      <c r="P141" s="13"/>
      <c r="Q141" s="33">
        <v>110.32</v>
      </c>
      <c r="R141" s="41"/>
      <c r="S141" s="85">
        <f t="shared" si="42"/>
        <v>1739.93</v>
      </c>
      <c r="T141" s="147"/>
      <c r="U141" s="13"/>
      <c r="V141" s="489" t="s">
        <v>256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4436.46</v>
      </c>
      <c r="M142" s="23"/>
      <c r="N142" s="91">
        <f t="shared" si="36"/>
        <v>1538.5696666666668</v>
      </c>
      <c r="O142" s="23"/>
      <c r="P142" s="111"/>
      <c r="Q142" s="22">
        <v>758.08</v>
      </c>
      <c r="R142" s="23"/>
      <c r="S142" s="92">
        <f t="shared" si="42"/>
        <v>3678.38</v>
      </c>
      <c r="T142" s="13"/>
      <c r="U142" s="13"/>
      <c r="V142" s="489" t="s">
        <v>257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27.58</v>
      </c>
      <c r="M143" s="41"/>
      <c r="N143" s="59">
        <f t="shared" si="36"/>
        <v>13.829999999999998</v>
      </c>
      <c r="O143" s="41"/>
      <c r="P143" s="13"/>
      <c r="Q143" s="33">
        <v>0</v>
      </c>
      <c r="R143" s="41"/>
      <c r="S143" s="85">
        <f t="shared" si="42"/>
        <v>27.58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39.9</v>
      </c>
      <c r="M144" s="41"/>
      <c r="N144" s="59">
        <f t="shared" si="36"/>
        <v>32.4</v>
      </c>
      <c r="O144" s="41"/>
      <c r="P144" s="13"/>
      <c r="Q144" s="33">
        <v>0</v>
      </c>
      <c r="R144" s="41"/>
      <c r="S144" s="85">
        <f t="shared" si="42"/>
        <v>39.9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317.32</v>
      </c>
      <c r="M145" s="41"/>
      <c r="N145" s="59">
        <f t="shared" si="36"/>
        <v>99.82</v>
      </c>
      <c r="O145" s="41"/>
      <c r="P145" s="13"/>
      <c r="Q145" s="32">
        <v>81.81</v>
      </c>
      <c r="R145" s="41"/>
      <c r="S145" s="85">
        <f t="shared" si="42"/>
        <v>235.51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69.930000000000007</v>
      </c>
      <c r="M146" s="41"/>
      <c r="N146" s="59">
        <f t="shared" si="36"/>
        <v>6.5800000000000054</v>
      </c>
      <c r="O146" s="41"/>
      <c r="P146" s="13"/>
      <c r="Q146" s="33">
        <v>67.569999999999993</v>
      </c>
      <c r="R146" s="41"/>
      <c r="S146" s="85">
        <f t="shared" si="42"/>
        <v>2.3600000000000136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17.47</v>
      </c>
      <c r="M147" s="41"/>
      <c r="N147" s="59">
        <f t="shared" si="36"/>
        <v>-67.529999999999987</v>
      </c>
      <c r="O147" s="41"/>
      <c r="P147" s="13"/>
      <c r="Q147" s="33">
        <v>81.459999999999994</v>
      </c>
      <c r="R147" s="41"/>
      <c r="S147" s="85">
        <f t="shared" si="42"/>
        <v>-63.989999999999995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179.85</v>
      </c>
      <c r="M148" s="41"/>
      <c r="N148" s="59">
        <f t="shared" si="36"/>
        <v>-59.066666666666634</v>
      </c>
      <c r="O148" s="41"/>
      <c r="P148" s="13"/>
      <c r="Q148" s="33">
        <v>192.6</v>
      </c>
      <c r="R148" s="41"/>
      <c r="S148" s="85">
        <f t="shared" si="42"/>
        <v>-12.75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41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-245.55</v>
      </c>
      <c r="M149" s="41"/>
      <c r="N149" s="59">
        <f t="shared" si="36"/>
        <v>-359.89800000000002</v>
      </c>
      <c r="O149" s="41"/>
      <c r="P149" s="13"/>
      <c r="Q149" s="33">
        <v>16.29</v>
      </c>
      <c r="R149" s="41"/>
      <c r="S149" s="85">
        <f t="shared" si="42"/>
        <v>-261.84000000000003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>
      <c r="A150" t="str">
        <f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v>1795.3771938359935</v>
      </c>
      <c r="G150" s="83"/>
      <c r="H150" s="13"/>
      <c r="I150" s="30"/>
      <c r="J150" s="41"/>
      <c r="K150" s="13"/>
      <c r="L150" s="33">
        <v>1405.54</v>
      </c>
      <c r="M150" s="41"/>
      <c r="N150" s="59">
        <f t="shared" si="36"/>
        <v>-389.8371938359935</v>
      </c>
      <c r="O150" s="41"/>
      <c r="P150" s="13"/>
      <c r="Q150" s="33">
        <v>975.21</v>
      </c>
      <c r="R150" s="41"/>
      <c r="S150" s="85">
        <f>L150-Q150</f>
        <v>430.32999999999993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6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6"/>
        <v>0</v>
      </c>
      <c r="O152" s="41"/>
      <c r="P152" s="13"/>
      <c r="Q152" s="33"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 hidden="1">
      <c r="A153" t="str">
        <f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6"/>
        <v>0</v>
      </c>
      <c r="O153" s="41"/>
      <c r="P153" s="13"/>
      <c r="Q153" s="33"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ref="A154:A159" si="43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0.12204122233688931</v>
      </c>
      <c r="F154" s="96">
        <f>+SUM(F137:F153)</f>
        <v>10780.480527169326</v>
      </c>
      <c r="G154" s="97"/>
      <c r="H154" s="95"/>
      <c r="I154" s="96"/>
      <c r="J154" s="97" t="s">
        <v>38</v>
      </c>
      <c r="K154" s="95">
        <f>L154/L$109</f>
        <v>0.11508823671043304</v>
      </c>
      <c r="L154" s="96">
        <f>+SUM(L137:L153)</f>
        <v>12666.830000000002</v>
      </c>
      <c r="M154" s="100"/>
      <c r="N154" s="96">
        <f t="shared" si="36"/>
        <v>1886.3494728306759</v>
      </c>
      <c r="O154" s="97" t="s">
        <v>38</v>
      </c>
      <c r="P154" s="95">
        <f>Q154/Q$109</f>
        <v>5.6354399190332007E-2</v>
      </c>
      <c r="Q154" s="96">
        <f>+SUM(Q137:Q153)</f>
        <v>5235.7300000000005</v>
      </c>
      <c r="R154" s="100"/>
      <c r="S154" s="101">
        <f>L154-Q154</f>
        <v>7431.1000000000013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0.7606659817889776</v>
      </c>
      <c r="F156" s="96">
        <f>F123+F136+F154</f>
        <v>67193.237230282131</v>
      </c>
      <c r="G156" s="97"/>
      <c r="H156" s="95"/>
      <c r="I156" s="96"/>
      <c r="J156" s="97" t="s">
        <v>38</v>
      </c>
      <c r="K156" s="95">
        <f>L156/L$109</f>
        <v>0.66642643821340575</v>
      </c>
      <c r="L156" s="96">
        <f>L123+L136+L154</f>
        <v>73348.159999999989</v>
      </c>
      <c r="M156" s="100"/>
      <c r="N156" s="113">
        <f t="shared" ref="N156:N163" si="44">L156-F156</f>
        <v>6154.9227697178576</v>
      </c>
      <c r="O156" s="97" t="s">
        <v>38</v>
      </c>
      <c r="P156" s="95">
        <f>Q156/Q$109</f>
        <v>0.71388506876915214</v>
      </c>
      <c r="Q156" s="96">
        <f>Q123+Q136+Q154</f>
        <v>66325.069999999992</v>
      </c>
      <c r="R156" s="100"/>
      <c r="S156" s="114">
        <f t="shared" ref="S156:S163" si="45">L156-Q156</f>
        <v>7023.0899999999965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usagésRBSC used</v>
      </c>
      <c r="B157" s="11" t="s">
        <v>70</v>
      </c>
      <c r="C157" s="29" t="s">
        <v>217</v>
      </c>
      <c r="D157" s="148"/>
      <c r="E157" s="149"/>
      <c r="F157" s="30">
        <v>4500</v>
      </c>
      <c r="G157" s="150"/>
      <c r="H157" s="149"/>
      <c r="I157" s="30"/>
      <c r="J157" s="150"/>
      <c r="K157" s="149"/>
      <c r="L157" s="32">
        <v>6375</v>
      </c>
      <c r="M157" s="41"/>
      <c r="N157" s="59">
        <f t="shared" si="44"/>
        <v>1875</v>
      </c>
      <c r="O157" s="150"/>
      <c r="P157" s="149"/>
      <c r="Q157" s="33">
        <v>0</v>
      </c>
      <c r="R157" s="41"/>
      <c r="S157" s="85">
        <f t="shared" si="45"/>
        <v>6375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5000</v>
      </c>
      <c r="M158" s="41"/>
      <c r="N158" s="59">
        <f t="shared" si="44"/>
        <v>5000</v>
      </c>
      <c r="O158" s="150"/>
      <c r="P158" s="149"/>
      <c r="Q158" s="33">
        <v>0</v>
      </c>
      <c r="R158" s="41"/>
      <c r="S158" s="85">
        <f t="shared" si="45"/>
        <v>5000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 hidden="1">
      <c r="A159" t="str">
        <f t="shared" si="43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4"/>
        <v>0</v>
      </c>
      <c r="O159" s="41"/>
      <c r="P159" s="13"/>
      <c r="Q159" s="33">
        <v>0</v>
      </c>
      <c r="R159" s="41"/>
      <c r="S159" s="85">
        <f t="shared" si="45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A163" t="str">
        <f>+B163&amp;C163</f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10115</v>
      </c>
      <c r="G163" s="83"/>
      <c r="H163" s="13"/>
      <c r="I163" s="30"/>
      <c r="J163" s="41"/>
      <c r="K163" s="13"/>
      <c r="L163" s="32">
        <v>14280</v>
      </c>
      <c r="M163" s="41"/>
      <c r="N163" s="59">
        <f t="shared" si="44"/>
        <v>4165</v>
      </c>
      <c r="O163" s="41"/>
      <c r="P163" s="13"/>
      <c r="Q163" s="33">
        <v>8330</v>
      </c>
      <c r="R163" s="41"/>
      <c r="S163" s="85">
        <f t="shared" si="45"/>
        <v>5950</v>
      </c>
      <c r="T163" s="112"/>
      <c r="U163" s="13"/>
      <c r="V163" s="489">
        <f>L163/595</f>
        <v>24</v>
      </c>
      <c r="W163" s="483">
        <f>V163/J97</f>
        <v>1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93" t="s">
        <v>68</v>
      </c>
      <c r="D164" s="94"/>
      <c r="E164" s="95"/>
      <c r="F164" s="96">
        <f>+SUM(F157:F163)</f>
        <v>14615</v>
      </c>
      <c r="G164" s="97"/>
      <c r="H164" s="95"/>
      <c r="I164" s="96"/>
      <c r="J164" s="97"/>
      <c r="K164" s="95"/>
      <c r="L164" s="96">
        <f>+SUM(L157:L163)</f>
        <v>25655</v>
      </c>
      <c r="M164" s="100"/>
      <c r="N164" s="96">
        <f>SUM(N157:N160)</f>
        <v>6875</v>
      </c>
      <c r="O164" s="97"/>
      <c r="P164" s="95"/>
      <c r="Q164" s="96">
        <f>+SUM(Q157:Q163)</f>
        <v>8330</v>
      </c>
      <c r="R164" s="100"/>
      <c r="S164" s="101">
        <f>+SUM(S157:S163)</f>
        <v>17325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0.25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Bot="1">
      <c r="B166" s="11"/>
      <c r="C166" s="124" t="s">
        <v>69</v>
      </c>
      <c r="D166" s="151"/>
      <c r="E166" s="125"/>
      <c r="F166" s="127">
        <f>F109-F156+F164</f>
        <v>35756.510002995274</v>
      </c>
      <c r="G166" s="152"/>
      <c r="H166" s="125"/>
      <c r="I166" s="127"/>
      <c r="J166" s="153"/>
      <c r="K166" s="126"/>
      <c r="L166" s="127">
        <f>L109-L156+L164</f>
        <v>62368.739999999932</v>
      </c>
      <c r="M166" s="153"/>
      <c r="N166" s="127">
        <f>L166-F166</f>
        <v>26612.229997004659</v>
      </c>
      <c r="O166" s="153"/>
      <c r="P166" s="126"/>
      <c r="Q166" s="127">
        <f>Q109-Q156+Q164</f>
        <v>34912.139999999912</v>
      </c>
      <c r="R166" s="153"/>
      <c r="S166" s="129">
        <f>L166-Q166</f>
        <v>27456.60000000002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25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25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Mai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" thickTop="1">
      <c r="B171" s="11"/>
      <c r="C171" s="12"/>
      <c r="D171" s="510" t="s">
        <v>5</v>
      </c>
      <c r="E171" s="511"/>
      <c r="F171" s="512"/>
      <c r="G171" s="513"/>
      <c r="H171" s="511"/>
      <c r="I171" s="512"/>
      <c r="J171" s="513" t="s">
        <v>7</v>
      </c>
      <c r="K171" s="511"/>
      <c r="L171" s="512"/>
      <c r="M171" s="513" t="s">
        <v>212</v>
      </c>
      <c r="N171" s="512"/>
      <c r="O171" s="510" t="s">
        <v>8</v>
      </c>
      <c r="P171" s="511"/>
      <c r="Q171" s="512"/>
      <c r="R171" s="508" t="s">
        <v>213</v>
      </c>
      <c r="S171" s="509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25">
      <c r="A172" t="str">
        <f t="shared" ref="A172:A217" si="46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ServiceM/O Client</v>
      </c>
      <c r="B173" s="11" t="s">
        <v>78</v>
      </c>
      <c r="C173" s="29" t="s">
        <v>81</v>
      </c>
      <c r="D173" s="485">
        <v>316.84211505909121</v>
      </c>
      <c r="E173" s="82">
        <v>112478.95084597738</v>
      </c>
      <c r="F173" s="82">
        <v>88858.371168322134</v>
      </c>
      <c r="G173" s="155"/>
      <c r="H173" s="82"/>
      <c r="I173" s="82"/>
      <c r="J173" s="60">
        <v>233</v>
      </c>
      <c r="K173" s="30">
        <v>84056.28</v>
      </c>
      <c r="L173" s="33">
        <v>66514.459999999992</v>
      </c>
      <c r="M173" s="156">
        <f>(K173-E173)/E173</f>
        <v>-0.25269324288859929</v>
      </c>
      <c r="N173" s="59">
        <f>L173-F173</f>
        <v>-22343.911168322142</v>
      </c>
      <c r="O173" s="60">
        <v>247</v>
      </c>
      <c r="P173" s="30">
        <v>83486.519999999902</v>
      </c>
      <c r="Q173" s="33">
        <v>66185.599999999904</v>
      </c>
      <c r="R173" s="156">
        <f>IF(O173=0,0,J173/O173)</f>
        <v>0.94331983805668018</v>
      </c>
      <c r="S173" s="85">
        <f>L173-Q173</f>
        <v>328.86000000008789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0.79130863273987373</v>
      </c>
      <c r="M174" s="156"/>
      <c r="N174" s="59"/>
      <c r="O174" s="60"/>
      <c r="P174" s="13"/>
      <c r="Q174" s="157">
        <f>Q173/P173</f>
        <v>0.79276989866148428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</v>
      </c>
      <c r="B175" s="11" t="s">
        <v>78</v>
      </c>
      <c r="C175" s="86"/>
      <c r="D175" s="486"/>
      <c r="E175" s="158">
        <f>IFERROR(E173/D173,0)</f>
        <v>355</v>
      </c>
      <c r="F175" s="159"/>
      <c r="G175" s="23"/>
      <c r="H175" s="158"/>
      <c r="I175" s="159"/>
      <c r="J175" s="160"/>
      <c r="K175" s="460">
        <f>IFERROR(K173/J173,0)</f>
        <v>360.75656652360516</v>
      </c>
      <c r="L175" s="159"/>
      <c r="M175" s="161"/>
      <c r="N175" s="91"/>
      <c r="O175" s="160"/>
      <c r="P175" s="460">
        <f>IFERROR(P173/O173,0)</f>
        <v>338.00210526315749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ServiceM/O Garantie</v>
      </c>
      <c r="B176" s="11" t="s">
        <v>78</v>
      </c>
      <c r="C176" s="14" t="s">
        <v>83</v>
      </c>
      <c r="D176" s="487">
        <v>193.21604309171124</v>
      </c>
      <c r="E176" s="82">
        <v>36711.048187425135</v>
      </c>
      <c r="F176" s="82">
        <v>24376.135996450292</v>
      </c>
      <c r="G176" s="163"/>
      <c r="H176" s="82"/>
      <c r="I176" s="82"/>
      <c r="J176" s="163">
        <v>258</v>
      </c>
      <c r="K176" s="164">
        <v>31778.91</v>
      </c>
      <c r="L176" s="33">
        <v>19571.89</v>
      </c>
      <c r="M176" s="156">
        <f>(K176-E176)/E176</f>
        <v>-0.13435024143806854</v>
      </c>
      <c r="N176" s="109">
        <f>L176-F176</f>
        <v>-4804.2459964502923</v>
      </c>
      <c r="O176" s="163">
        <v>220</v>
      </c>
      <c r="P176" s="164">
        <v>39106.79</v>
      </c>
      <c r="Q176" s="33">
        <v>25490.15</v>
      </c>
      <c r="R176" s="156">
        <f>IF(O176=0,0,J176/O176)</f>
        <v>1.1727272727272726</v>
      </c>
      <c r="S176" s="85">
        <f>L176-Q176</f>
        <v>-5918.260000000002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/>
      <c r="J177" s="41"/>
      <c r="K177" s="13"/>
      <c r="L177" s="157">
        <f>IF(L176=0,0,L176/K176)</f>
        <v>0.61587669306467718</v>
      </c>
      <c r="M177" s="42"/>
      <c r="N177" s="43"/>
      <c r="O177" s="41"/>
      <c r="P177" s="13"/>
      <c r="Q177" s="157">
        <f>Q176/P176</f>
        <v>0.65180880353514059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177.75813636363637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ServiceM/O Interne</v>
      </c>
      <c r="B179" s="11" t="s">
        <v>78</v>
      </c>
      <c r="C179" s="29" t="s">
        <v>84</v>
      </c>
      <c r="D179" s="485">
        <v>243.75</v>
      </c>
      <c r="E179" s="82">
        <v>97500</v>
      </c>
      <c r="F179" s="82">
        <v>73417.5</v>
      </c>
      <c r="G179" s="41"/>
      <c r="H179" s="82"/>
      <c r="I179" s="82"/>
      <c r="J179" s="60">
        <v>156</v>
      </c>
      <c r="K179" s="164">
        <v>71580.83</v>
      </c>
      <c r="L179" s="33">
        <v>54735.820000000007</v>
      </c>
      <c r="M179" s="156">
        <f>(K179-E179)/E179</f>
        <v>-0.265837641025641</v>
      </c>
      <c r="N179" s="59">
        <f>L179-F179</f>
        <v>-18681.679999999993</v>
      </c>
      <c r="O179" s="60">
        <v>172</v>
      </c>
      <c r="P179" s="164">
        <v>85427.169999999896</v>
      </c>
      <c r="Q179" s="33">
        <v>66309.999999999898</v>
      </c>
      <c r="R179" s="156">
        <f>IF(O179=0,0,J179/O179)</f>
        <v>0.90697674418604646</v>
      </c>
      <c r="S179" s="85">
        <f>L179-Q179</f>
        <v>-11574.179999999891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0.76467149095644749</v>
      </c>
      <c r="M180" s="156"/>
      <c r="N180" s="59">
        <f>L180-F180</f>
        <v>1.1671490956447483E-2</v>
      </c>
      <c r="O180" s="60"/>
      <c r="P180" s="143"/>
      <c r="Q180" s="157">
        <f>Q179/P179</f>
        <v>0.77621674696703613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496.66959302325523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ServiceM/O Esthétique</v>
      </c>
      <c r="B182" s="11" t="s">
        <v>78</v>
      </c>
      <c r="C182" s="14" t="s">
        <v>85</v>
      </c>
      <c r="D182" s="487">
        <v>86.637975781755884</v>
      </c>
      <c r="E182" s="82">
        <v>23825.443339982867</v>
      </c>
      <c r="F182" s="82">
        <v>17059.017431427732</v>
      </c>
      <c r="G182" s="107"/>
      <c r="H182" s="82"/>
      <c r="I182" s="82"/>
      <c r="J182" s="163">
        <v>41</v>
      </c>
      <c r="K182" s="164">
        <v>10712.41</v>
      </c>
      <c r="L182" s="108">
        <v>6775.2599999999993</v>
      </c>
      <c r="M182" s="172">
        <f>IF(E182=0,0,(K182-E182)/E182)</f>
        <v>-0.55037940544749997</v>
      </c>
      <c r="N182" s="109">
        <f>L182-F182</f>
        <v>-10283.757431427734</v>
      </c>
      <c r="O182" s="163">
        <v>60</v>
      </c>
      <c r="P182" s="164">
        <v>13150.83</v>
      </c>
      <c r="Q182" s="108">
        <v>9055.48</v>
      </c>
      <c r="R182" s="156">
        <f>IF(O182=0,0,J182/O182)</f>
        <v>0.68333333333333335</v>
      </c>
      <c r="S182" s="110">
        <f>L182-Q182</f>
        <v>-2280.2200000000003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/>
      <c r="J183" s="174"/>
      <c r="K183" s="173"/>
      <c r="L183" s="157">
        <f>IF(L182=0,0,L182/K182)</f>
        <v>0.63246832412127607</v>
      </c>
      <c r="M183" s="60">
        <f>J183-D183</f>
        <v>0</v>
      </c>
      <c r="N183" s="175"/>
      <c r="O183" s="174"/>
      <c r="P183" s="173"/>
      <c r="Q183" s="157">
        <f>IFERROR(Q182/P182,0)</f>
        <v>0.6885861957001953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0.25">
      <c r="A184" t="str">
        <f t="shared" si="46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219.18049999999999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Bot="1">
      <c r="A185" t="str">
        <f t="shared" si="46"/>
        <v>ServiceAjustement M/O</v>
      </c>
      <c r="B185" s="11" t="s">
        <v>78</v>
      </c>
      <c r="C185" s="29" t="s">
        <v>86</v>
      </c>
      <c r="D185" s="13"/>
      <c r="E185" s="13"/>
      <c r="F185" s="59">
        <v>-3785.6759724261087</v>
      </c>
      <c r="G185" s="41"/>
      <c r="H185" s="82"/>
      <c r="I185" s="82"/>
      <c r="J185" s="60"/>
      <c r="K185" s="82"/>
      <c r="L185" s="82">
        <v>-2758</v>
      </c>
      <c r="M185" s="174"/>
      <c r="N185" s="59">
        <f>L185-F185</f>
        <v>1027.6759724261087</v>
      </c>
      <c r="O185" s="60"/>
      <c r="P185" s="82"/>
      <c r="Q185" s="82">
        <v>-3612.24</v>
      </c>
      <c r="R185" s="183"/>
      <c r="S185" s="85">
        <f>L185-Q185</f>
        <v>854.23999999999978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 thickTop="1">
      <c r="A186" t="str">
        <f t="shared" si="46"/>
        <v>ServiceSous-total M/O</v>
      </c>
      <c r="B186" s="11" t="s">
        <v>78</v>
      </c>
      <c r="C186" s="184" t="s">
        <v>87</v>
      </c>
      <c r="D186" s="185">
        <f>D173+D176+D179+D182+D185</f>
        <v>840.44613393255838</v>
      </c>
      <c r="E186" s="185">
        <f>E173+E176+E179+E182+E185</f>
        <v>270515.44237338536</v>
      </c>
      <c r="F186" s="186">
        <f>F173+F176+F179+F182+F185</f>
        <v>199925.34862377404</v>
      </c>
      <c r="G186" s="187"/>
      <c r="H186" s="185"/>
      <c r="I186" s="186"/>
      <c r="J186" s="187">
        <f>J173+J176+J179+J182+J185</f>
        <v>688</v>
      </c>
      <c r="K186" s="185">
        <f>K173+K176+K179+K182+K185</f>
        <v>198128.43000000002</v>
      </c>
      <c r="L186" s="186">
        <f>L173+L176+L179+L182+L185</f>
        <v>144839.43</v>
      </c>
      <c r="M186" s="188">
        <f>(K186-E186)/E186</f>
        <v>-0.26758920577063194</v>
      </c>
      <c r="N186" s="186">
        <f>L186-F186</f>
        <v>-55085.918623774051</v>
      </c>
      <c r="O186" s="187">
        <f t="shared" ref="O186:Q186" si="47">O173+O176+O179+O182+O185</f>
        <v>699</v>
      </c>
      <c r="P186" s="185">
        <f t="shared" si="47"/>
        <v>221171.30999999979</v>
      </c>
      <c r="Q186" s="186">
        <f t="shared" si="47"/>
        <v>163428.98999999985</v>
      </c>
      <c r="R186" s="42">
        <f>IF(O186=0,0,J186/O186)</f>
        <v>0.98426323319027187</v>
      </c>
      <c r="S186" s="189">
        <f>L186-Q186</f>
        <v>-18589.559999999852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0.73905336741487138</v>
      </c>
      <c r="G187" s="193"/>
      <c r="H187" s="191"/>
      <c r="I187" s="43"/>
      <c r="J187" s="193"/>
      <c r="K187" s="440">
        <f>IF(J186=0,0,K186/J186)</f>
        <v>287.97736918604653</v>
      </c>
      <c r="L187" s="43">
        <f>IF(L186=0,0,L186/K186)</f>
        <v>0.73103809483575866</v>
      </c>
      <c r="M187" s="193"/>
      <c r="N187" s="192">
        <f>N186/F186</f>
        <v>-0.27553243749714051</v>
      </c>
      <c r="O187" s="193"/>
      <c r="P187" s="440">
        <f>IF(O186=0,0,P186/O186)</f>
        <v>316.41103004291818</v>
      </c>
      <c r="Q187" s="43">
        <f>Q186/P186</f>
        <v>0.73892490847931402</v>
      </c>
      <c r="R187" s="193"/>
      <c r="S187" s="44">
        <f>IF(R186=0,0,S186/R186)</f>
        <v>-18886.776802325428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ServiceSous-traitement</v>
      </c>
      <c r="B189" s="11" t="s">
        <v>78</v>
      </c>
      <c r="C189" s="29" t="s">
        <v>89</v>
      </c>
      <c r="D189" s="82"/>
      <c r="E189" s="82">
        <v>8801.4217942384585</v>
      </c>
      <c r="F189" s="82">
        <v>1320.2132691357688</v>
      </c>
      <c r="G189" s="60"/>
      <c r="H189" s="82"/>
      <c r="I189" s="82"/>
      <c r="J189" s="60"/>
      <c r="K189" s="30">
        <v>15366.11</v>
      </c>
      <c r="L189" s="33">
        <v>963.64000000000124</v>
      </c>
      <c r="M189" s="84">
        <f>IF(E189=0,0,(K189-E189)/E189)</f>
        <v>0.74586678825674335</v>
      </c>
      <c r="N189" s="59">
        <f>L189-F189</f>
        <v>-356.57326913576753</v>
      </c>
      <c r="O189" s="60"/>
      <c r="P189" s="30">
        <v>8149.76</v>
      </c>
      <c r="Q189" s="33">
        <v>1530.75</v>
      </c>
      <c r="R189" s="156">
        <f>IF(O189=0,0,J189/O189)</f>
        <v>0</v>
      </c>
      <c r="S189" s="85">
        <f>L189-Q189</f>
        <v>-567.10999999999876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6.2712033169097528E-2</v>
      </c>
      <c r="M190" s="174"/>
      <c r="N190" s="175"/>
      <c r="O190" s="174"/>
      <c r="P190" s="173"/>
      <c r="Q190" s="157">
        <f>IFERROR(Q189/P189,0)</f>
        <v>0.18782761700958064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0.25" hidden="1">
      <c r="A193" t="str">
        <f t="shared" si="46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Bot="1">
      <c r="A194" t="str">
        <f t="shared" si="46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Top="1">
      <c r="A195" t="str">
        <f t="shared" si="46"/>
        <v>ServiceTotal Mécanique</v>
      </c>
      <c r="B195" s="11" t="s">
        <v>78</v>
      </c>
      <c r="C195" s="62" t="s">
        <v>91</v>
      </c>
      <c r="D195" s="63"/>
      <c r="E195" s="63">
        <f>E186+E189+E192</f>
        <v>279316.8641676238</v>
      </c>
      <c r="F195" s="65">
        <f>F186+F189+F192</f>
        <v>201245.56189290981</v>
      </c>
      <c r="G195" s="66"/>
      <c r="H195" s="63"/>
      <c r="I195" s="65"/>
      <c r="J195" s="66"/>
      <c r="K195" s="63">
        <f>K186+K189+K192</f>
        <v>213494.54000000004</v>
      </c>
      <c r="L195" s="65">
        <f>L186+L189+L192</f>
        <v>145803.07</v>
      </c>
      <c r="M195" s="205">
        <f>L196-F196</f>
        <v>-3.7556159045783022E-2</v>
      </c>
      <c r="N195" s="65">
        <f>L195-F195</f>
        <v>-55442.491892909806</v>
      </c>
      <c r="O195" s="66"/>
      <c r="P195" s="63">
        <f t="shared" ref="P195:Q195" si="48">P186+P189+P192</f>
        <v>229321.0699999998</v>
      </c>
      <c r="Q195" s="65">
        <f t="shared" si="48"/>
        <v>164959.73999999985</v>
      </c>
      <c r="R195" s="205">
        <f>L196-Q196</f>
        <v>-3.6403831812409915E-2</v>
      </c>
      <c r="S195" s="68">
        <f>L195-Q195</f>
        <v>-19156.669999999838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Bot="1">
      <c r="A196" t="str">
        <f t="shared" si="46"/>
        <v>Service</v>
      </c>
      <c r="B196" s="11" t="s">
        <v>78</v>
      </c>
      <c r="C196" s="69"/>
      <c r="D196" s="70"/>
      <c r="E196" s="70"/>
      <c r="F196" s="74">
        <f>F195/E195</f>
        <v>0.72049198494559286</v>
      </c>
      <c r="G196" s="72"/>
      <c r="H196" s="70"/>
      <c r="I196" s="74"/>
      <c r="J196" s="72"/>
      <c r="K196" s="70"/>
      <c r="L196" s="74">
        <f>L195/K195</f>
        <v>0.68293582589980983</v>
      </c>
      <c r="M196" s="73"/>
      <c r="N196" s="74">
        <f>N195/F195</f>
        <v>-0.27549671839428092</v>
      </c>
      <c r="O196" s="72"/>
      <c r="P196" s="70"/>
      <c r="Q196" s="74">
        <f>Q195/P195</f>
        <v>0.71933965771221975</v>
      </c>
      <c r="R196" s="73"/>
      <c r="S196" s="75">
        <f>L195/S195</f>
        <v>-7.6110863735712542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 thickTop="1">
      <c r="A197" t="str">
        <f t="shared" si="46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cadres</v>
      </c>
      <c r="B199" s="11" t="s">
        <v>78</v>
      </c>
      <c r="C199" s="102" t="s">
        <v>40</v>
      </c>
      <c r="D199" s="13"/>
      <c r="E199" s="13"/>
      <c r="F199" s="30">
        <v>11538.357832286967</v>
      </c>
      <c r="G199" s="41"/>
      <c r="H199" s="13"/>
      <c r="I199" s="30"/>
      <c r="J199" s="41"/>
      <c r="K199" s="13"/>
      <c r="L199" s="33">
        <v>6888.57</v>
      </c>
      <c r="M199" s="41"/>
      <c r="N199" s="59">
        <f t="shared" ref="N199:N230" si="49">L199-F199</f>
        <v>-4649.7878322869674</v>
      </c>
      <c r="O199" s="41"/>
      <c r="P199" s="13"/>
      <c r="Q199" s="33">
        <v>11889.91</v>
      </c>
      <c r="R199" s="41"/>
      <c r="S199" s="85">
        <f t="shared" ref="S199:S204" si="50">L199-Q199</f>
        <v>-5001.34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commis</v>
      </c>
      <c r="B200" s="11" t="s">
        <v>78</v>
      </c>
      <c r="C200" s="103" t="s">
        <v>41</v>
      </c>
      <c r="D200" s="81"/>
      <c r="E200" s="13"/>
      <c r="F200" s="22">
        <v>5049.8171140381583</v>
      </c>
      <c r="G200" s="83"/>
      <c r="H200" s="13"/>
      <c r="I200" s="22"/>
      <c r="J200" s="41"/>
      <c r="K200" s="13"/>
      <c r="L200" s="33">
        <v>3977.64</v>
      </c>
      <c r="M200" s="41"/>
      <c r="N200" s="59">
        <f t="shared" si="49"/>
        <v>-1072.1771140381584</v>
      </c>
      <c r="O200" s="41"/>
      <c r="P200" s="13"/>
      <c r="Q200" s="33">
        <v>5777.88</v>
      </c>
      <c r="R200" s="41"/>
      <c r="S200" s="85">
        <f t="shared" si="50"/>
        <v>-1800.2400000000002</v>
      </c>
      <c r="T200" s="13"/>
      <c r="U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autres</v>
      </c>
      <c r="B201" s="11" t="s">
        <v>78</v>
      </c>
      <c r="C201" s="102" t="s">
        <v>42</v>
      </c>
      <c r="D201" s="104"/>
      <c r="E201" s="105"/>
      <c r="F201" s="30">
        <v>13320.387859234766</v>
      </c>
      <c r="G201" s="106"/>
      <c r="H201" s="105"/>
      <c r="I201" s="30"/>
      <c r="J201" s="107"/>
      <c r="K201" s="105"/>
      <c r="L201" s="108">
        <v>17342.490000000002</v>
      </c>
      <c r="M201" s="107"/>
      <c r="N201" s="109">
        <f t="shared" si="49"/>
        <v>4022.1021407652352</v>
      </c>
      <c r="O201" s="107"/>
      <c r="P201" s="105"/>
      <c r="Q201" s="108">
        <v>10735.72</v>
      </c>
      <c r="R201" s="107"/>
      <c r="S201" s="110">
        <f t="shared" si="50"/>
        <v>6606.7700000000023</v>
      </c>
      <c r="T201" s="13"/>
      <c r="U201" s="13"/>
      <c r="V201" s="489" t="s">
        <v>258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>
      <c r="A202" t="str">
        <f t="shared" si="46"/>
        <v>ServiceSalaires spécialistes</v>
      </c>
      <c r="B202" s="11" t="s">
        <v>78</v>
      </c>
      <c r="C202" s="102" t="s">
        <v>43</v>
      </c>
      <c r="D202" s="81"/>
      <c r="E202" s="13"/>
      <c r="F202" s="30">
        <v>15048.540229885057</v>
      </c>
      <c r="G202" s="83"/>
      <c r="H202" s="13"/>
      <c r="I202" s="30"/>
      <c r="J202" s="41"/>
      <c r="K202" s="13"/>
      <c r="L202" s="33">
        <v>15891.52</v>
      </c>
      <c r="M202" s="41"/>
      <c r="N202" s="59">
        <f t="shared" si="49"/>
        <v>842.97977011494368</v>
      </c>
      <c r="O202" s="41"/>
      <c r="P202" s="13"/>
      <c r="Q202" s="33">
        <v>16151.34</v>
      </c>
      <c r="R202" s="41"/>
      <c r="S202" s="85">
        <f t="shared" si="50"/>
        <v>-259.81999999999971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 t="shared" si="50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 hidden="1">
      <c r="A205" t="str">
        <f t="shared" si="46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49"/>
        <v>0</v>
      </c>
      <c r="O205" s="41"/>
      <c r="P205" s="13"/>
      <c r="Q205" s="33"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ServiceSalaires en absences</v>
      </c>
      <c r="B206" s="11" t="s">
        <v>78</v>
      </c>
      <c r="C206" s="103" t="s">
        <v>44</v>
      </c>
      <c r="D206" s="81"/>
      <c r="E206" s="13"/>
      <c r="F206" s="30">
        <v>16448.72026698845</v>
      </c>
      <c r="G206" s="83"/>
      <c r="H206" s="13"/>
      <c r="I206" s="30"/>
      <c r="J206" s="41"/>
      <c r="K206" s="13"/>
      <c r="L206" s="33">
        <v>15387.48</v>
      </c>
      <c r="M206" s="41"/>
      <c r="N206" s="59">
        <f t="shared" si="49"/>
        <v>-1061.2402669884505</v>
      </c>
      <c r="O206" s="41"/>
      <c r="P206" s="13"/>
      <c r="Q206" s="33">
        <v>9765.11</v>
      </c>
      <c r="R206" s="41"/>
      <c r="S206" s="85">
        <f>L206-Q206</f>
        <v>5622.369999999999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ServiceDéduction à la source</v>
      </c>
      <c r="B207" s="11" t="s">
        <v>78</v>
      </c>
      <c r="C207" s="102" t="s">
        <v>45</v>
      </c>
      <c r="D207" s="104"/>
      <c r="E207" s="105"/>
      <c r="F207" s="55">
        <v>17472.92642702645</v>
      </c>
      <c r="G207" s="106"/>
      <c r="H207" s="105"/>
      <c r="I207" s="55"/>
      <c r="J207" s="107"/>
      <c r="K207" s="105"/>
      <c r="L207" s="108">
        <v>16476.439999999999</v>
      </c>
      <c r="M207" s="107"/>
      <c r="N207" s="109">
        <f t="shared" si="49"/>
        <v>-996.48642702645157</v>
      </c>
      <c r="O207" s="107"/>
      <c r="P207" s="105"/>
      <c r="Q207" s="108">
        <v>15455.73</v>
      </c>
      <c r="R207" s="107"/>
      <c r="S207" s="110">
        <f t="shared" ref="S207:S217" si="51">L207-Q207</f>
        <v>1020.7099999999991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ServiceBénéfices marginaux</v>
      </c>
      <c r="B208" s="11" t="s">
        <v>78</v>
      </c>
      <c r="C208" s="102" t="s">
        <v>46</v>
      </c>
      <c r="D208" s="81"/>
      <c r="E208" s="13"/>
      <c r="F208" s="30">
        <v>11946.304512700304</v>
      </c>
      <c r="G208" s="83"/>
      <c r="H208" s="13"/>
      <c r="I208" s="30"/>
      <c r="J208" s="41"/>
      <c r="K208" s="13"/>
      <c r="L208" s="33">
        <v>6383.69</v>
      </c>
      <c r="M208" s="41"/>
      <c r="N208" s="59">
        <f t="shared" si="49"/>
        <v>-5562.6145127003047</v>
      </c>
      <c r="O208" s="41"/>
      <c r="P208" s="13"/>
      <c r="Q208" s="33">
        <v>6653.89</v>
      </c>
      <c r="R208" s="41"/>
      <c r="S208" s="85">
        <f t="shared" si="51"/>
        <v>-270.20000000000073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>
      <c r="A209" t="str">
        <f t="shared" si="46"/>
        <v>ServiceCsst</v>
      </c>
      <c r="B209" s="11" t="s">
        <v>78</v>
      </c>
      <c r="C209" s="102" t="s">
        <v>47</v>
      </c>
      <c r="D209" s="81"/>
      <c r="E209" s="13"/>
      <c r="F209" s="30">
        <v>3171.0125737936887</v>
      </c>
      <c r="G209" s="83"/>
      <c r="H209" s="13"/>
      <c r="I209" s="30"/>
      <c r="J209" s="41"/>
      <c r="K209" s="13"/>
      <c r="L209" s="33">
        <v>2080.9299999999998</v>
      </c>
      <c r="M209" s="462"/>
      <c r="N209" s="145">
        <f t="shared" si="49"/>
        <v>-1090.0825737936889</v>
      </c>
      <c r="O209" s="462"/>
      <c r="P209" s="463"/>
      <c r="Q209" s="22">
        <v>2353.08</v>
      </c>
      <c r="R209" s="462"/>
      <c r="S209" s="464">
        <f t="shared" si="51"/>
        <v>-272.15000000000009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 hidden="1">
      <c r="A210" t="str">
        <f t="shared" si="46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49"/>
        <v>0</v>
      </c>
      <c r="O210" s="23"/>
      <c r="P210" s="111"/>
      <c r="Q210" s="33">
        <v>0</v>
      </c>
      <c r="R210" s="23"/>
      <c r="S210" s="92">
        <f t="shared" si="51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0.46707150176048406</v>
      </c>
      <c r="F211" s="96">
        <f>+SUM(F199:F210)</f>
        <v>93996.066815953833</v>
      </c>
      <c r="G211" s="97"/>
      <c r="H211" s="95"/>
      <c r="I211" s="96"/>
      <c r="J211" s="97" t="s">
        <v>92</v>
      </c>
      <c r="K211" s="95">
        <f>L211/L$195</f>
        <v>0.57906023515142713</v>
      </c>
      <c r="L211" s="96">
        <f>+SUM(L199:L210)</f>
        <v>84428.76</v>
      </c>
      <c r="M211" s="146"/>
      <c r="N211" s="113">
        <f t="shared" si="49"/>
        <v>-9567.3068159538379</v>
      </c>
      <c r="O211" s="97" t="s">
        <v>92</v>
      </c>
      <c r="P211" s="95">
        <f>Q211/Q$195</f>
        <v>0.47758719794296522</v>
      </c>
      <c r="Q211" s="96">
        <f>+SUM(Q199:Q210)</f>
        <v>78782.66</v>
      </c>
      <c r="R211" s="146"/>
      <c r="S211" s="114">
        <f t="shared" si="51"/>
        <v>5646.0999999999913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ServicePublicité 2</v>
      </c>
      <c r="B212" s="11" t="s">
        <v>78</v>
      </c>
      <c r="C212" s="29" t="s">
        <v>49</v>
      </c>
      <c r="D212" s="81"/>
      <c r="E212" s="13"/>
      <c r="F212" s="30">
        <v>2601.9859422453269</v>
      </c>
      <c r="G212" s="83"/>
      <c r="H212" s="13"/>
      <c r="I212" s="30"/>
      <c r="J212" s="41"/>
      <c r="K212" s="13"/>
      <c r="L212" s="33">
        <v>1881.52</v>
      </c>
      <c r="M212" s="41"/>
      <c r="N212" s="59">
        <f t="shared" si="49"/>
        <v>-720.46594224532691</v>
      </c>
      <c r="O212" s="41"/>
      <c r="P212" s="13"/>
      <c r="Q212" s="33">
        <v>5952.71</v>
      </c>
      <c r="R212" s="41"/>
      <c r="S212" s="85">
        <f t="shared" si="51"/>
        <v>-4071.19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3696.6800000000003</v>
      </c>
      <c r="M213" s="41"/>
      <c r="N213" s="59">
        <f t="shared" si="49"/>
        <v>-53.319999999999709</v>
      </c>
      <c r="O213" s="41"/>
      <c r="P213" s="13"/>
      <c r="Q213" s="33">
        <v>3195.41</v>
      </c>
      <c r="R213" s="41"/>
      <c r="S213" s="85">
        <f t="shared" si="51"/>
        <v>501.27000000000044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7106.7900000000009</v>
      </c>
      <c r="M214" s="23"/>
      <c r="N214" s="91">
        <f t="shared" si="49"/>
        <v>-346.46000000000004</v>
      </c>
      <c r="O214" s="23"/>
      <c r="P214" s="111"/>
      <c r="Q214" s="33">
        <v>8136.62</v>
      </c>
      <c r="R214" s="23"/>
      <c r="S214" s="92">
        <f t="shared" si="51"/>
        <v>-1029.829999999999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6114.51</v>
      </c>
      <c r="M215" s="41"/>
      <c r="N215" s="59">
        <f t="shared" si="49"/>
        <v>-521.90083333333314</v>
      </c>
      <c r="O215" s="41"/>
      <c r="P215" s="13"/>
      <c r="Q215" s="108">
        <v>6275.57</v>
      </c>
      <c r="R215" s="41"/>
      <c r="S215" s="85">
        <f t="shared" si="51"/>
        <v>-161.05999999999949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2706.65</v>
      </c>
      <c r="M216" s="41"/>
      <c r="N216" s="59">
        <f t="shared" si="49"/>
        <v>1375.4</v>
      </c>
      <c r="O216" s="41"/>
      <c r="P216" s="13"/>
      <c r="Q216" s="33">
        <v>275.81</v>
      </c>
      <c r="R216" s="41"/>
      <c r="S216" s="85">
        <f t="shared" si="51"/>
        <v>2430.84</v>
      </c>
      <c r="T216" s="13"/>
      <c r="U216" s="13"/>
      <c r="V216" s="489" t="s">
        <v>259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46"/>
        <v>ServiceServices extérieurs</v>
      </c>
      <c r="B217" s="11" t="s">
        <v>78</v>
      </c>
      <c r="C217" s="86" t="s">
        <v>54</v>
      </c>
      <c r="D217" s="87"/>
      <c r="E217" s="111"/>
      <c r="F217" s="22">
        <v>5550.8366666666661</v>
      </c>
      <c r="G217" s="89"/>
      <c r="H217" s="111"/>
      <c r="I217" s="22"/>
      <c r="J217" s="23"/>
      <c r="K217" s="111"/>
      <c r="L217" s="22">
        <v>4626.49</v>
      </c>
      <c r="M217" s="462"/>
      <c r="N217" s="145">
        <f t="shared" si="49"/>
        <v>-924.34666666666635</v>
      </c>
      <c r="O217" s="462"/>
      <c r="P217" s="463"/>
      <c r="Q217" s="22">
        <v>2428.63</v>
      </c>
      <c r="R217" s="23"/>
      <c r="S217" s="92">
        <f t="shared" si="51"/>
        <v>2197.8599999999997</v>
      </c>
      <c r="T217" s="13"/>
      <c r="U217" s="13"/>
      <c r="V217" s="489" t="s">
        <v>260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 hidden="1">
      <c r="A218" t="str">
        <f>+B218&amp;C218</f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49"/>
        <v>0</v>
      </c>
      <c r="O218" s="41"/>
      <c r="P218" s="13"/>
      <c r="Q218" s="33"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ref="A219:A227" si="52">+B219&amp;C219</f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6077.77</v>
      </c>
      <c r="M219" s="41"/>
      <c r="N219" s="59">
        <f t="shared" si="49"/>
        <v>2827.7700000000004</v>
      </c>
      <c r="O219" s="41"/>
      <c r="P219" s="13"/>
      <c r="Q219" s="33">
        <v>2693.81</v>
      </c>
      <c r="R219" s="41"/>
      <c r="S219" s="85">
        <f t="shared" ref="S219:S227" si="53">L219-Q219</f>
        <v>3383.9600000000005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1342.81</v>
      </c>
      <c r="M220" s="41"/>
      <c r="N220" s="59">
        <f t="shared" si="49"/>
        <v>17.809999999999945</v>
      </c>
      <c r="O220" s="41"/>
      <c r="P220" s="13"/>
      <c r="Q220" s="33">
        <v>801.81</v>
      </c>
      <c r="R220" s="41"/>
      <c r="S220" s="85">
        <f t="shared" si="53"/>
        <v>541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436.97</v>
      </c>
      <c r="M221" s="41"/>
      <c r="N221" s="59">
        <f t="shared" si="49"/>
        <v>74.470000000000027</v>
      </c>
      <c r="O221" s="41"/>
      <c r="P221" s="13"/>
      <c r="Q221" s="32">
        <v>555</v>
      </c>
      <c r="R221" s="41"/>
      <c r="S221" s="85">
        <f t="shared" si="53"/>
        <v>-118.02999999999997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117.16</v>
      </c>
      <c r="M222" s="41"/>
      <c r="N222" s="59">
        <f t="shared" si="49"/>
        <v>2.9099999999999966</v>
      </c>
      <c r="O222" s="41"/>
      <c r="P222" s="13"/>
      <c r="Q222" s="33">
        <v>122.83</v>
      </c>
      <c r="R222" s="41"/>
      <c r="S222" s="85">
        <f t="shared" si="53"/>
        <v>-5.6700000000000017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401.3</v>
      </c>
      <c r="M223" s="41"/>
      <c r="N223" s="59">
        <f t="shared" si="49"/>
        <v>259.63333333333333</v>
      </c>
      <c r="O223" s="41"/>
      <c r="P223" s="13"/>
      <c r="Q223" s="33">
        <v>107.17</v>
      </c>
      <c r="R223" s="41"/>
      <c r="S223" s="85">
        <f t="shared" si="53"/>
        <v>294.13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1167.75</v>
      </c>
      <c r="M224" s="41"/>
      <c r="N224" s="59">
        <f t="shared" si="49"/>
        <v>786.08333333333337</v>
      </c>
      <c r="O224" s="41"/>
      <c r="P224" s="13"/>
      <c r="Q224" s="33">
        <v>1481.5</v>
      </c>
      <c r="R224" s="41"/>
      <c r="S224" s="85">
        <f t="shared" si="53"/>
        <v>-313.75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1406.62</v>
      </c>
      <c r="M225" s="41"/>
      <c r="N225" s="59">
        <f t="shared" si="49"/>
        <v>-375.62666666666701</v>
      </c>
      <c r="O225" s="41"/>
      <c r="P225" s="13"/>
      <c r="Q225" s="33">
        <v>1729.49</v>
      </c>
      <c r="R225" s="41"/>
      <c r="S225" s="85">
        <f t="shared" si="53"/>
        <v>-322.87000000000012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>
      <c r="A226" t="str">
        <f t="shared" si="52"/>
        <v>ServiceFrais bancaires</v>
      </c>
      <c r="B226" s="11" t="s">
        <v>78</v>
      </c>
      <c r="C226" s="29" t="s">
        <v>62</v>
      </c>
      <c r="D226" s="81"/>
      <c r="E226" s="13"/>
      <c r="F226" s="30">
        <v>2992.2953230599892</v>
      </c>
      <c r="G226" s="83"/>
      <c r="H226" s="13"/>
      <c r="I226" s="30"/>
      <c r="J226" s="41"/>
      <c r="K226" s="13"/>
      <c r="L226" s="33">
        <v>2342.5700000000002</v>
      </c>
      <c r="M226" s="41"/>
      <c r="N226" s="59">
        <f t="shared" si="49"/>
        <v>-649.72532305998902</v>
      </c>
      <c r="O226" s="41"/>
      <c r="P226" s="13"/>
      <c r="Q226" s="33">
        <v>2438.04</v>
      </c>
      <c r="R226" s="41"/>
      <c r="S226" s="85">
        <f t="shared" si="53"/>
        <v>-95.4699999999998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52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 t="shared" si="53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 hidden="1">
      <c r="A229" t="str">
        <f t="shared" ref="A229" si="54">+B229&amp;C229</f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49"/>
        <v>0</v>
      </c>
      <c r="O229" s="41"/>
      <c r="P229" s="13"/>
      <c r="Q229" s="33">
        <v>0</v>
      </c>
      <c r="R229" s="41"/>
      <c r="S229" s="85">
        <f t="shared" ref="S229" si="5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93" t="s">
        <v>63</v>
      </c>
      <c r="D230" s="94" t="s">
        <v>92</v>
      </c>
      <c r="E230" s="95">
        <f>F230/F$195</f>
        <v>0.18720094202799212</v>
      </c>
      <c r="F230" s="96">
        <f>+SUM(F212:F229)</f>
        <v>37673.358765305311</v>
      </c>
      <c r="G230" s="97"/>
      <c r="H230" s="95"/>
      <c r="I230" s="96"/>
      <c r="J230" s="97" t="s">
        <v>92</v>
      </c>
      <c r="K230" s="95">
        <f>L230/L$195</f>
        <v>0.27040301689120816</v>
      </c>
      <c r="L230" s="96">
        <f>+SUM(L212:L229)</f>
        <v>39425.590000000011</v>
      </c>
      <c r="M230" s="100"/>
      <c r="N230" s="96">
        <f t="shared" si="49"/>
        <v>1752.2312346947001</v>
      </c>
      <c r="O230" s="97" t="s">
        <v>92</v>
      </c>
      <c r="P230" s="95">
        <f>Q230/Q$195</f>
        <v>0.21941353690300455</v>
      </c>
      <c r="Q230" s="96">
        <f>+SUM(Q212:Q229)</f>
        <v>36194.400000000001</v>
      </c>
      <c r="R230" s="100"/>
      <c r="S230" s="101">
        <f>L230-Q230</f>
        <v>3231.1900000000096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93" t="s">
        <v>64</v>
      </c>
      <c r="D232" s="94" t="s">
        <v>38</v>
      </c>
      <c r="E232" s="95">
        <f>F232/F$195</f>
        <v>0.65427244378847615</v>
      </c>
      <c r="F232" s="96">
        <f>F211+F230</f>
        <v>131669.42558125913</v>
      </c>
      <c r="G232" s="97"/>
      <c r="H232" s="95"/>
      <c r="I232" s="96"/>
      <c r="J232" s="97" t="s">
        <v>38</v>
      </c>
      <c r="K232" s="95">
        <f>L232/L$195</f>
        <v>0.84946325204263529</v>
      </c>
      <c r="L232" s="96">
        <f>L211+L230</f>
        <v>123854.35</v>
      </c>
      <c r="M232" s="100"/>
      <c r="N232" s="113">
        <f>L232-F232</f>
        <v>-7815.0755812591233</v>
      </c>
      <c r="O232" s="97" t="s">
        <v>38</v>
      </c>
      <c r="P232" s="95">
        <f>Q232/Q$195</f>
        <v>0.69700073484596969</v>
      </c>
      <c r="Q232" s="96">
        <f>Q211+Q230</f>
        <v>114977.06</v>
      </c>
      <c r="R232" s="100"/>
      <c r="S232" s="114">
        <f>L232-Q232</f>
        <v>8877.2900000000081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25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Bot="1">
      <c r="B234" s="11"/>
      <c r="C234" s="124" t="s">
        <v>69</v>
      </c>
      <c r="D234" s="151"/>
      <c r="E234" s="125"/>
      <c r="F234" s="127">
        <f>F195-F232</f>
        <v>69576.136311650684</v>
      </c>
      <c r="G234" s="152"/>
      <c r="H234" s="125"/>
      <c r="I234" s="127"/>
      <c r="J234" s="153"/>
      <c r="K234" s="126"/>
      <c r="L234" s="127">
        <f>L195-L232</f>
        <v>21948.720000000001</v>
      </c>
      <c r="M234" s="153"/>
      <c r="N234" s="127">
        <f>L234-F234</f>
        <v>-47627.416311650682</v>
      </c>
      <c r="O234" s="153"/>
      <c r="P234" s="126"/>
      <c r="Q234" s="127">
        <f>Q195-Q232</f>
        <v>49982.679999999847</v>
      </c>
      <c r="R234" s="153"/>
      <c r="S234" s="129">
        <f>L234-Q234</f>
        <v>-28033.959999999846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25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25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Mai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25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" hidden="1" thickTop="1">
      <c r="B239" s="11"/>
      <c r="C239" s="12"/>
      <c r="D239" s="510" t="s">
        <v>5</v>
      </c>
      <c r="E239" s="511"/>
      <c r="F239" s="512"/>
      <c r="G239" s="513"/>
      <c r="H239" s="511"/>
      <c r="I239" s="512"/>
      <c r="J239" s="513" t="s">
        <v>7</v>
      </c>
      <c r="K239" s="511"/>
      <c r="L239" s="512"/>
      <c r="M239" s="513" t="s">
        <v>212</v>
      </c>
      <c r="N239" s="512"/>
      <c r="O239" s="510" t="s">
        <v>8</v>
      </c>
      <c r="P239" s="511"/>
      <c r="Q239" s="512"/>
      <c r="R239" s="508" t="s">
        <v>213</v>
      </c>
      <c r="S239" s="509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25" hidden="1">
      <c r="A240" t="str">
        <f t="shared" ref="A240:A273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1</v>
      </c>
      <c r="P242" s="30">
        <v>4637.87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0.25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0.25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/>
      <c r="I251" s="65"/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7">P245+P248+P242</f>
        <v>4637.87</v>
      </c>
      <c r="Q251" s="65">
        <f t="shared" si="57"/>
        <v>0</v>
      </c>
      <c r="R251" s="205">
        <f>L252-Q252</f>
        <v>0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>
        <f>Q251/P251</f>
        <v>0</v>
      </c>
      <c r="R252" s="73"/>
      <c r="S252" s="75">
        <f>IF(R251=0,0,S251/R251)</f>
        <v>0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58">L255-F255</f>
        <v>0</v>
      </c>
      <c r="O255" s="41"/>
      <c r="P255" s="13"/>
      <c r="Q255" s="33">
        <v>0</v>
      </c>
      <c r="R255" s="41"/>
      <c r="S255" s="85">
        <f t="shared" ref="S255" si="5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58"/>
        <v>0</v>
      </c>
      <c r="O256" s="41"/>
      <c r="P256" s="13"/>
      <c r="Q256" s="33"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58"/>
        <v>0</v>
      </c>
      <c r="O257" s="107"/>
      <c r="P257" s="105"/>
      <c r="Q257" s="108">
        <v>0</v>
      </c>
      <c r="R257" s="107"/>
      <c r="S257" s="110">
        <f t="shared" ref="S257:S273" si="6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0</v>
      </c>
      <c r="R261" s="41"/>
      <c r="S261" s="85">
        <f t="shared" si="6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58"/>
        <v>0</v>
      </c>
      <c r="O262" s="41"/>
      <c r="P262" s="13"/>
      <c r="Q262" s="33">
        <v>0</v>
      </c>
      <c r="R262" s="41"/>
      <c r="S262" s="85">
        <f t="shared" si="6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0</v>
      </c>
      <c r="M263" s="107"/>
      <c r="N263" s="109">
        <f t="shared" si="58"/>
        <v>0</v>
      </c>
      <c r="O263" s="107"/>
      <c r="P263" s="105"/>
      <c r="Q263" s="108">
        <v>0</v>
      </c>
      <c r="R263" s="107"/>
      <c r="S263" s="110">
        <f t="shared" si="60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58"/>
        <v>0</v>
      </c>
      <c r="O264" s="41"/>
      <c r="P264" s="13"/>
      <c r="Q264" s="33">
        <v>0</v>
      </c>
      <c r="R264" s="41"/>
      <c r="S264" s="85">
        <f t="shared" si="6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58"/>
        <v>0</v>
      </c>
      <c r="O265" s="41"/>
      <c r="P265" s="13"/>
      <c r="Q265" s="33">
        <v>0</v>
      </c>
      <c r="R265" s="41"/>
      <c r="S265" s="85">
        <f t="shared" si="6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58"/>
        <v>0</v>
      </c>
      <c r="O266" s="23"/>
      <c r="P266" s="111"/>
      <c r="Q266" s="33">
        <v>0</v>
      </c>
      <c r="R266" s="23"/>
      <c r="S266" s="92">
        <f t="shared" si="60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0</v>
      </c>
      <c r="M267" s="146"/>
      <c r="N267" s="113">
        <f t="shared" si="58"/>
        <v>0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0"/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58"/>
        <v>0</v>
      </c>
      <c r="O269" s="41"/>
      <c r="P269" s="13"/>
      <c r="Q269" s="33">
        <v>0</v>
      </c>
      <c r="R269" s="41"/>
      <c r="S269" s="85">
        <f t="shared" si="60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58"/>
        <v>0</v>
      </c>
      <c r="O270" s="23"/>
      <c r="P270" s="111"/>
      <c r="Q270" s="33">
        <v>0</v>
      </c>
      <c r="R270" s="23"/>
      <c r="S270" s="92">
        <f t="shared" si="60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58"/>
        <v>0</v>
      </c>
      <c r="O271" s="41"/>
      <c r="P271" s="13"/>
      <c r="Q271" s="108">
        <v>0</v>
      </c>
      <c r="R271" s="41"/>
      <c r="S271" s="85">
        <f t="shared" si="60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58"/>
        <v>0</v>
      </c>
      <c r="O272" s="41"/>
      <c r="P272" s="13"/>
      <c r="Q272" s="33">
        <v>0</v>
      </c>
      <c r="R272" s="41"/>
      <c r="S272" s="85">
        <f t="shared" si="60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58"/>
        <v>0</v>
      </c>
      <c r="O273" s="23"/>
      <c r="P273" s="111"/>
      <c r="Q273" s="22">
        <v>0</v>
      </c>
      <c r="R273" s="23"/>
      <c r="S273" s="92">
        <f t="shared" si="60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 hidden="1">
      <c r="A274" t="str">
        <f>+B274&amp;C274</f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 hidden="1">
      <c r="A275" t="str">
        <f t="shared" ref="A275:A283" si="61">+B275&amp;C275</f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ref="S275:S283" si="62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 hidden="1">
      <c r="A276" t="str">
        <f t="shared" si="61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58"/>
        <v>0</v>
      </c>
      <c r="O276" s="41"/>
      <c r="P276" s="13"/>
      <c r="Q276" s="33">
        <v>0</v>
      </c>
      <c r="R276" s="41"/>
      <c r="S276" s="85">
        <f t="shared" si="62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 hidden="1">
      <c r="A277" t="str">
        <f t="shared" si="61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58"/>
        <v>0</v>
      </c>
      <c r="O277" s="41"/>
      <c r="P277" s="13"/>
      <c r="Q277" s="32">
        <v>0</v>
      </c>
      <c r="R277" s="41"/>
      <c r="S277" s="85">
        <f t="shared" si="62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 hidden="1">
      <c r="A278" t="str">
        <f t="shared" si="61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0</v>
      </c>
      <c r="R278" s="41"/>
      <c r="S278" s="85">
        <f t="shared" si="62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 hidden="1">
      <c r="A279" t="str">
        <f t="shared" si="61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0</v>
      </c>
      <c r="R279" s="41"/>
      <c r="S279" s="85">
        <f t="shared" si="62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 hidden="1">
      <c r="A280" t="str">
        <f t="shared" si="61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0</v>
      </c>
      <c r="R280" s="41"/>
      <c r="S280" s="85">
        <f t="shared" si="62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 hidden="1">
      <c r="A281" t="str">
        <f t="shared" si="61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0</v>
      </c>
      <c r="R281" s="41"/>
      <c r="S281" s="85">
        <f t="shared" si="62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61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 t="shared" si="62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 hidden="1">
      <c r="A285" t="str">
        <f t="shared" ref="A285" si="63">+B285&amp;C285</f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58"/>
        <v>0</v>
      </c>
      <c r="O285" s="41"/>
      <c r="P285" s="13"/>
      <c r="Q285" s="33">
        <v>0</v>
      </c>
      <c r="R285" s="41"/>
      <c r="S285" s="85">
        <f t="shared" ref="S285" si="64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>
        <f>IF(L263=0,0,L286/L$245)</f>
        <v>0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25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25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25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Mai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" thickTop="1">
      <c r="B294" s="11"/>
      <c r="C294" s="12"/>
      <c r="D294" s="510" t="s">
        <v>5</v>
      </c>
      <c r="E294" s="511"/>
      <c r="F294" s="512"/>
      <c r="G294" s="513"/>
      <c r="H294" s="511"/>
      <c r="I294" s="512"/>
      <c r="J294" s="513" t="s">
        <v>7</v>
      </c>
      <c r="K294" s="511"/>
      <c r="L294" s="512"/>
      <c r="M294" s="513" t="s">
        <v>212</v>
      </c>
      <c r="N294" s="512"/>
      <c r="O294" s="510" t="s">
        <v>8</v>
      </c>
      <c r="P294" s="511"/>
      <c r="Q294" s="512"/>
      <c r="R294" s="508" t="s">
        <v>213</v>
      </c>
      <c r="S294" s="509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ref="A295:A300" si="65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Clients</v>
      </c>
      <c r="B296" s="11" t="s">
        <v>98</v>
      </c>
      <c r="C296" s="29" t="s">
        <v>100</v>
      </c>
      <c r="D296" s="82">
        <v>85979.673450110335</v>
      </c>
      <c r="E296" s="147">
        <f>IF(D296=0,0,F296/D296)</f>
        <v>0.40199999999999997</v>
      </c>
      <c r="F296" s="85">
        <v>34563.828726944354</v>
      </c>
      <c r="G296" s="82"/>
      <c r="H296" s="147"/>
      <c r="I296" s="85"/>
      <c r="J296" s="30">
        <v>103061.44</v>
      </c>
      <c r="K296" s="147">
        <f t="shared" ref="K296:K301" si="66">IF(J296&lt;=0,0,L296/J296)</f>
        <v>0.34817832935383014</v>
      </c>
      <c r="L296" s="33">
        <v>35883.760000000002</v>
      </c>
      <c r="M296" s="156">
        <f t="shared" ref="M296:M302" si="67">(+J296-D296)/D296</f>
        <v>0.19867214964245422</v>
      </c>
      <c r="N296" s="59">
        <f t="shared" ref="N296:N305" si="68">L296-F296</f>
        <v>1319.9312730556485</v>
      </c>
      <c r="O296" s="30">
        <v>65511.2599999999</v>
      </c>
      <c r="P296" s="147">
        <f t="shared" ref="P296:P304" si="69">IF(O296=0,0,Q296/O296)</f>
        <v>0.41723987601520629</v>
      </c>
      <c r="Q296" s="33">
        <v>27333.909999999902</v>
      </c>
      <c r="R296" s="156">
        <f>IF(O296=0,0,(J296-O296)/O296)</f>
        <v>0.57318665524064349</v>
      </c>
      <c r="S296" s="85">
        <f t="shared" ref="S296:S301" si="70">L296-Q296</f>
        <v>8549.8500000001004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ref="E297:E301" si="71">IF(D297=0,0,F297/D297)</f>
        <v>0</v>
      </c>
      <c r="F297" s="85">
        <v>0</v>
      </c>
      <c r="G297" s="82"/>
      <c r="H297" s="147"/>
      <c r="I297" s="85"/>
      <c r="J297" s="30">
        <v>0</v>
      </c>
      <c r="K297" s="147">
        <f t="shared" si="66"/>
        <v>0</v>
      </c>
      <c r="L297" s="33">
        <v>0</v>
      </c>
      <c r="M297" s="156" t="e">
        <f t="shared" si="67"/>
        <v>#DIV/0!</v>
      </c>
      <c r="N297" s="59">
        <f t="shared" si="68"/>
        <v>0</v>
      </c>
      <c r="O297" s="30">
        <v>2268.4899999999998</v>
      </c>
      <c r="P297" s="147">
        <f t="shared" si="69"/>
        <v>0.27864791116557669</v>
      </c>
      <c r="Q297" s="33">
        <v>632.10999999999899</v>
      </c>
      <c r="R297" s="156">
        <f t="shared" ref="R297:R301" si="72">IF(O297=0,0,(J297-O297)/O297)</f>
        <v>-1</v>
      </c>
      <c r="S297" s="85">
        <f t="shared" si="70"/>
        <v>-632.10999999999899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PiècesP/A Garantie</v>
      </c>
      <c r="B298" s="11" t="s">
        <v>98</v>
      </c>
      <c r="C298" s="29" t="s">
        <v>102</v>
      </c>
      <c r="D298" s="82">
        <v>64248.510387844748</v>
      </c>
      <c r="E298" s="147">
        <f t="shared" si="71"/>
        <v>0.27700000000000002</v>
      </c>
      <c r="F298" s="85">
        <v>17796.837377432996</v>
      </c>
      <c r="G298" s="82"/>
      <c r="H298" s="147"/>
      <c r="I298" s="85"/>
      <c r="J298" s="30">
        <v>45097.5</v>
      </c>
      <c r="K298" s="147">
        <f t="shared" si="66"/>
        <v>0.28973269028216631</v>
      </c>
      <c r="L298" s="33">
        <v>13066.219999999996</v>
      </c>
      <c r="M298" s="156">
        <f t="shared" si="67"/>
        <v>-0.29807711139506748</v>
      </c>
      <c r="N298" s="59">
        <f t="shared" si="68"/>
        <v>-4730.617377433</v>
      </c>
      <c r="O298" s="30">
        <v>83552.850000000006</v>
      </c>
      <c r="P298" s="147">
        <f t="shared" si="69"/>
        <v>0.2531612027596904</v>
      </c>
      <c r="Q298" s="33">
        <v>21152.34</v>
      </c>
      <c r="R298" s="156">
        <f t="shared" si="72"/>
        <v>-0.46025180469606963</v>
      </c>
      <c r="S298" s="85">
        <f t="shared" si="70"/>
        <v>-8086.1200000000044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Internes</v>
      </c>
      <c r="B299" s="11" t="s">
        <v>98</v>
      </c>
      <c r="C299" s="29" t="s">
        <v>103</v>
      </c>
      <c r="D299" s="82">
        <v>39000</v>
      </c>
      <c r="E299" s="147">
        <f t="shared" si="71"/>
        <v>0.33800000000000002</v>
      </c>
      <c r="F299" s="85">
        <v>13182</v>
      </c>
      <c r="G299" s="82"/>
      <c r="H299" s="147"/>
      <c r="I299" s="85"/>
      <c r="J299" s="30">
        <v>21793.520000000004</v>
      </c>
      <c r="K299" s="147">
        <f t="shared" si="66"/>
        <v>0.30796080669850512</v>
      </c>
      <c r="L299" s="33">
        <v>6711.5500000000065</v>
      </c>
      <c r="M299" s="156">
        <f t="shared" si="67"/>
        <v>-0.44119179487179477</v>
      </c>
      <c r="N299" s="59">
        <f t="shared" si="68"/>
        <v>-6470.4499999999935</v>
      </c>
      <c r="O299" s="30">
        <v>41963.360000000001</v>
      </c>
      <c r="P299" s="147">
        <f t="shared" si="69"/>
        <v>0.3080882941690084</v>
      </c>
      <c r="Q299" s="33">
        <v>12928.42</v>
      </c>
      <c r="R299" s="156">
        <f t="shared" si="72"/>
        <v>-0.48065359875853592</v>
      </c>
      <c r="S299" s="85">
        <f t="shared" si="70"/>
        <v>-6216.8699999999935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65"/>
        <v>PiècesVentes Détails</v>
      </c>
      <c r="B300" s="11" t="s">
        <v>98</v>
      </c>
      <c r="C300" s="29" t="s">
        <v>104</v>
      </c>
      <c r="D300" s="82">
        <v>20899.991942333349</v>
      </c>
      <c r="E300" s="147">
        <f t="shared" si="71"/>
        <v>0.33100000000000002</v>
      </c>
      <c r="F300" s="85">
        <v>6917.8973329123392</v>
      </c>
      <c r="G300" s="82"/>
      <c r="H300" s="147"/>
      <c r="I300" s="85"/>
      <c r="J300" s="30">
        <v>39286.82</v>
      </c>
      <c r="K300" s="147">
        <f t="shared" si="66"/>
        <v>0.34041238257512318</v>
      </c>
      <c r="L300" s="33">
        <v>13373.720000000001</v>
      </c>
      <c r="M300" s="156">
        <f t="shared" si="67"/>
        <v>0.87975287781923805</v>
      </c>
      <c r="N300" s="59">
        <f t="shared" si="68"/>
        <v>6455.822667087662</v>
      </c>
      <c r="O300" s="30">
        <v>22031.26</v>
      </c>
      <c r="P300" s="147">
        <f t="shared" si="69"/>
        <v>0.33702384702463639</v>
      </c>
      <c r="Q300" s="33">
        <v>7425.0599999999904</v>
      </c>
      <c r="R300" s="156">
        <f t="shared" si="72"/>
        <v>0.78323073668959486</v>
      </c>
      <c r="S300" s="85">
        <f t="shared" si="70"/>
        <v>5948.6600000000108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>
      <c r="A301" t="str">
        <f>+B301&amp;C301</f>
        <v>PiècesVentes de Gros</v>
      </c>
      <c r="B301" s="11" t="s">
        <v>98</v>
      </c>
      <c r="C301" s="29" t="s">
        <v>105</v>
      </c>
      <c r="D301" s="82">
        <v>93000</v>
      </c>
      <c r="E301" s="147">
        <f t="shared" si="71"/>
        <v>0.2</v>
      </c>
      <c r="F301" s="85">
        <v>18600</v>
      </c>
      <c r="G301" s="82"/>
      <c r="H301" s="147"/>
      <c r="I301" s="85"/>
      <c r="J301" s="30">
        <v>60104.73</v>
      </c>
      <c r="K301" s="147">
        <f t="shared" si="66"/>
        <v>0.17110683302295845</v>
      </c>
      <c r="L301" s="33">
        <v>10284.330000000002</v>
      </c>
      <c r="M301" s="156">
        <f t="shared" si="67"/>
        <v>-0.35371258064516126</v>
      </c>
      <c r="N301" s="59">
        <f t="shared" si="68"/>
        <v>-8315.6699999999983</v>
      </c>
      <c r="O301" s="30">
        <v>83638.080000000002</v>
      </c>
      <c r="P301" s="147">
        <f t="shared" si="69"/>
        <v>0.16678575117936709</v>
      </c>
      <c r="Q301" s="33">
        <v>13949.64</v>
      </c>
      <c r="R301" s="156">
        <f t="shared" si="72"/>
        <v>-0.28137123664244801</v>
      </c>
      <c r="S301" s="85">
        <f t="shared" si="70"/>
        <v>-3665.3099999999977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 hidden="1">
      <c r="A302" t="str">
        <f>+B302&amp;C302</f>
        <v>Pièces[...]</v>
      </c>
      <c r="B302" s="11" t="s">
        <v>98</v>
      </c>
      <c r="C302" s="29" t="s">
        <v>19</v>
      </c>
      <c r="D302" s="82">
        <v>0</v>
      </c>
      <c r="E302" s="147">
        <f>IF(D302=0,0,F302/D302)</f>
        <v>0</v>
      </c>
      <c r="F302" s="85">
        <v>0</v>
      </c>
      <c r="G302" s="82"/>
      <c r="H302" s="147"/>
      <c r="I302" s="85"/>
      <c r="J302" s="30">
        <v>0</v>
      </c>
      <c r="K302" s="147">
        <f>IF(J302&lt;=0,0,L302/J302)</f>
        <v>0</v>
      </c>
      <c r="L302" s="33">
        <v>0</v>
      </c>
      <c r="M302" s="156" t="e">
        <f t="shared" si="67"/>
        <v>#DIV/0!</v>
      </c>
      <c r="N302" s="59">
        <f t="shared" si="68"/>
        <v>0</v>
      </c>
      <c r="O302" s="30">
        <v>0</v>
      </c>
      <c r="P302" s="147">
        <f t="shared" si="69"/>
        <v>0</v>
      </c>
      <c r="Q302" s="33"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ref="A303:A322" si="73">+B303&amp;C303</f>
        <v>PiècesEscomptes</v>
      </c>
      <c r="B303" s="11" t="s">
        <v>98</v>
      </c>
      <c r="C303" s="29" t="s">
        <v>106</v>
      </c>
      <c r="D303" s="82">
        <v>0</v>
      </c>
      <c r="E303" s="147">
        <f t="shared" ref="E303:E304" si="74">IF(D303=0,0,F303/D303)</f>
        <v>0</v>
      </c>
      <c r="F303" s="85">
        <v>11226.969473344014</v>
      </c>
      <c r="G303" s="82"/>
      <c r="H303" s="147"/>
      <c r="I303" s="85"/>
      <c r="J303" s="30">
        <v>0</v>
      </c>
      <c r="K303" s="147">
        <f>IF(J303&lt;=0,0,L303/J303)</f>
        <v>0</v>
      </c>
      <c r="L303" s="33">
        <v>6226.11</v>
      </c>
      <c r="M303" s="156"/>
      <c r="N303" s="59">
        <f t="shared" si="68"/>
        <v>-5000.8594733440141</v>
      </c>
      <c r="O303" s="30">
        <v>0</v>
      </c>
      <c r="P303" s="147">
        <f t="shared" si="69"/>
        <v>0</v>
      </c>
      <c r="Q303" s="33">
        <v>5281.11</v>
      </c>
      <c r="R303" s="156">
        <f t="shared" ref="R303:R304" si="75">IF(O303=0,0,(J303-O303)/O303)</f>
        <v>0</v>
      </c>
      <c r="S303" s="85">
        <f>L303-Q303</f>
        <v>945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74"/>
        <v>0</v>
      </c>
      <c r="F304" s="85">
        <v>0</v>
      </c>
      <c r="G304" s="82"/>
      <c r="H304" s="147"/>
      <c r="I304" s="85"/>
      <c r="J304" s="30">
        <v>0</v>
      </c>
      <c r="K304" s="147">
        <f>IF(J304&lt;=0,0,L304/J304)</f>
        <v>0</v>
      </c>
      <c r="L304" s="33">
        <v>0</v>
      </c>
      <c r="M304" s="156"/>
      <c r="N304" s="59">
        <f t="shared" si="68"/>
        <v>0</v>
      </c>
      <c r="O304" s="30">
        <v>0</v>
      </c>
      <c r="P304" s="147">
        <f t="shared" si="69"/>
        <v>0</v>
      </c>
      <c r="Q304" s="33">
        <v>0</v>
      </c>
      <c r="R304" s="156">
        <f t="shared" si="75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PiècesSous-total Pièces</v>
      </c>
      <c r="B305" s="11" t="s">
        <v>98</v>
      </c>
      <c r="C305" s="53" t="s">
        <v>108</v>
      </c>
      <c r="D305" s="194">
        <f>SUM(D296:D304)</f>
        <v>303128.17578028841</v>
      </c>
      <c r="E305" s="212">
        <f>IF(D305&lt;=0,0,F305/D305)</f>
        <v>0.33743987224986022</v>
      </c>
      <c r="F305" s="198">
        <f>SUM(F296:F304)</f>
        <v>102287.5329106337</v>
      </c>
      <c r="G305" s="194"/>
      <c r="H305" s="212"/>
      <c r="I305" s="198"/>
      <c r="J305" s="194">
        <f>SUM(J296:J304)</f>
        <v>269344.01</v>
      </c>
      <c r="K305" s="212">
        <f>IF(J305&lt;=0,0,L305/J305)</f>
        <v>0.31760754582958795</v>
      </c>
      <c r="L305" s="196">
        <f>SUM(L296:L304)</f>
        <v>85545.69</v>
      </c>
      <c r="M305" s="213">
        <f>(+J305-D305)/D305</f>
        <v>-0.11145175038026039</v>
      </c>
      <c r="N305" s="196">
        <f t="shared" si="68"/>
        <v>-16741.842910633699</v>
      </c>
      <c r="O305" s="194">
        <f>SUM(O296:O304)</f>
        <v>298965.29999999993</v>
      </c>
      <c r="P305" s="212">
        <f>IF(O305&lt;=0,0,Q305/O305)</f>
        <v>0.29669861351802335</v>
      </c>
      <c r="Q305" s="196">
        <f t="shared" ref="Q305" si="76">SUM(Q296:Q304)</f>
        <v>88702.58999999988</v>
      </c>
      <c r="R305" s="213">
        <f>IF(O305=0,0,(J305-O305)/O305)</f>
        <v>-9.9079358039210336E-2</v>
      </c>
      <c r="S305" s="198">
        <f>L305-Q305</f>
        <v>-3156.8999999998778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-0.16367432505445867</v>
      </c>
      <c r="O306" s="41"/>
      <c r="P306" s="13"/>
      <c r="Q306" s="40"/>
      <c r="R306" s="41"/>
      <c r="S306" s="44">
        <f>IF(Q305=0,0,S305/Q305)</f>
        <v>-3.5589716151466173E-2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PiècesVentes Pneus</v>
      </c>
      <c r="B308" s="11" t="s">
        <v>98</v>
      </c>
      <c r="C308" s="29" t="s">
        <v>109</v>
      </c>
      <c r="D308" s="82">
        <v>102985.32632503513</v>
      </c>
      <c r="E308" s="147">
        <f>IF(D308=0,0,F308/D308)</f>
        <v>0.25</v>
      </c>
      <c r="F308" s="110">
        <v>25746.331581258783</v>
      </c>
      <c r="G308" s="82"/>
      <c r="H308" s="147"/>
      <c r="I308" s="110"/>
      <c r="J308" s="30">
        <v>63576.17</v>
      </c>
      <c r="K308" s="147">
        <f>IF(J308&lt;=0,0,L308/J308)</f>
        <v>0.24537511460662062</v>
      </c>
      <c r="L308" s="33">
        <v>15600.009999999995</v>
      </c>
      <c r="M308" s="156">
        <f>(+J308-D308)/D308</f>
        <v>-0.38266768413836638</v>
      </c>
      <c r="N308" s="59">
        <f>L308-F308</f>
        <v>-10146.321581258788</v>
      </c>
      <c r="O308" s="30">
        <v>101694.56</v>
      </c>
      <c r="P308" s="147">
        <f t="shared" ref="P308:P309" si="77">IF(O308=0,0,Q308/O308)</f>
        <v>0.23758802830751222</v>
      </c>
      <c r="Q308" s="33">
        <v>24161.41</v>
      </c>
      <c r="R308" s="156">
        <f>IF(O308=0,0,(J308-O308)/O308)</f>
        <v>-0.3748321444136245</v>
      </c>
      <c r="S308" s="85">
        <f>L308-Q308</f>
        <v>-8561.4000000000051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PiècesHuiles et Graisse</v>
      </c>
      <c r="B309" s="11" t="s">
        <v>98</v>
      </c>
      <c r="C309" s="86" t="s">
        <v>110</v>
      </c>
      <c r="D309" s="82">
        <v>16426.070922696214</v>
      </c>
      <c r="E309" s="147">
        <f>IF(D309=0,0,F309/D309)</f>
        <v>0.35499999999999998</v>
      </c>
      <c r="F309" s="92">
        <v>5831.2551775571555</v>
      </c>
      <c r="G309" s="82"/>
      <c r="H309" s="147"/>
      <c r="I309" s="92"/>
      <c r="J309" s="30">
        <v>16460.12</v>
      </c>
      <c r="K309" s="147">
        <f>IF(J309&lt;=0,0,L309/J309)</f>
        <v>0.34364269519298768</v>
      </c>
      <c r="L309" s="33">
        <v>5656.4</v>
      </c>
      <c r="M309" s="156">
        <f>(+J309-D309)/D309</f>
        <v>2.0728680318029794E-3</v>
      </c>
      <c r="N309" s="59">
        <f>L309-F309</f>
        <v>-174.85517755715591</v>
      </c>
      <c r="O309" s="30">
        <v>14277.5</v>
      </c>
      <c r="P309" s="147">
        <f t="shared" si="77"/>
        <v>0.35857748205218004</v>
      </c>
      <c r="Q309" s="33">
        <v>5119.59</v>
      </c>
      <c r="R309" s="156">
        <f>IF(O309=0,0,(J309-O309)/O309)</f>
        <v>0.15287130099807383</v>
      </c>
      <c r="S309" s="85">
        <f>L309-Q309</f>
        <v>536.80999999999949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PiècesSous-total Pièces et Acc.</v>
      </c>
      <c r="B310" s="11" t="s">
        <v>98</v>
      </c>
      <c r="C310" s="53" t="s">
        <v>111</v>
      </c>
      <c r="D310" s="194">
        <f>D305+D308+D309</f>
        <v>422539.57302801975</v>
      </c>
      <c r="E310" s="212">
        <f>IF(D310&lt;=0,0,F310/D310)</f>
        <v>0.31681084616557953</v>
      </c>
      <c r="F310" s="196">
        <f>F305+F308+F309</f>
        <v>133865.11966944963</v>
      </c>
      <c r="G310" s="197"/>
      <c r="H310" s="212"/>
      <c r="I310" s="196"/>
      <c r="J310" s="197">
        <f>J305+J308+J309</f>
        <v>349380.3</v>
      </c>
      <c r="K310" s="212">
        <f>IF(J310&lt;=0,0,L310/J310)</f>
        <v>0.30569010330576735</v>
      </c>
      <c r="L310" s="196">
        <f>L305+L308+L309</f>
        <v>106802.09999999999</v>
      </c>
      <c r="M310" s="213">
        <f>(+J310-D310)/D310</f>
        <v>-0.17314182551883339</v>
      </c>
      <c r="N310" s="196">
        <f>L310-F310</f>
        <v>-27063.019669449641</v>
      </c>
      <c r="O310" s="197">
        <f>O305+O308+O309</f>
        <v>414937.35999999993</v>
      </c>
      <c r="P310" s="212">
        <f>IF(O310&lt;=0,0,Q310/O310)</f>
        <v>0.28434072554951401</v>
      </c>
      <c r="Q310" s="196">
        <f t="shared" ref="Q310" si="78">Q305+Q308+Q309</f>
        <v>117983.58999999988</v>
      </c>
      <c r="R310" s="213">
        <f>IF(O310=0,0,(J310-O310)/O310)</f>
        <v>-0.15799266665214226</v>
      </c>
      <c r="S310" s="198">
        <f>L310-Q310</f>
        <v>-11181.489999999889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-0.20216632784011096</v>
      </c>
      <c r="O311" s="41"/>
      <c r="P311" s="13"/>
      <c r="Q311" s="40"/>
      <c r="R311" s="41"/>
      <c r="S311" s="44">
        <f>IF(Q310=0,0,S310/Q310)</f>
        <v>-9.4771569503859815E-2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25">
      <c r="A313" t="str">
        <f t="shared" si="73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73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Top="1">
      <c r="A315" t="str">
        <f t="shared" si="73"/>
        <v>PiècesTotal Dépt. Pièces</v>
      </c>
      <c r="B315" s="11" t="s">
        <v>98</v>
      </c>
      <c r="C315" s="62" t="s">
        <v>113</v>
      </c>
      <c r="D315" s="63">
        <f>D310+D313</f>
        <v>422539.57302801975</v>
      </c>
      <c r="E315" s="218">
        <f>IF(D315&lt;=0,0,F315/D315)</f>
        <v>0.31681084616557953</v>
      </c>
      <c r="F315" s="65">
        <f>F310+F313</f>
        <v>133865.11966944963</v>
      </c>
      <c r="G315" s="66"/>
      <c r="H315" s="218"/>
      <c r="I315" s="65"/>
      <c r="J315" s="66">
        <f>J310+J313</f>
        <v>349380.3</v>
      </c>
      <c r="K315" s="218">
        <f>IF(J315&lt;=0,0,L315/J315)</f>
        <v>0.30569010330576735</v>
      </c>
      <c r="L315" s="65">
        <f>L310+L313</f>
        <v>106802.09999999999</v>
      </c>
      <c r="M315" s="219">
        <f>(+J315-D315)/D315</f>
        <v>-0.17314182551883339</v>
      </c>
      <c r="N315" s="220">
        <f>L315-F315</f>
        <v>-27063.019669449641</v>
      </c>
      <c r="O315" s="66">
        <f>O310+O313</f>
        <v>414937.35999999993</v>
      </c>
      <c r="P315" s="218">
        <f>IF(O315&lt;=0,0,Q315/O315)</f>
        <v>0.28434072554951401</v>
      </c>
      <c r="Q315" s="65">
        <f t="shared" ref="Q315" si="79">Q310+Q313</f>
        <v>117983.58999999988</v>
      </c>
      <c r="R315" s="219">
        <f>IF(O315=0,0,(J315-O315)/O315)</f>
        <v>-0.15799266665214226</v>
      </c>
      <c r="S315" s="221">
        <f>L315-Q315</f>
        <v>-11181.489999999889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Bot="1">
      <c r="A316" t="str">
        <f t="shared" si="73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-0.20216632784011096</v>
      </c>
      <c r="O316" s="226"/>
      <c r="P316" s="224"/>
      <c r="Q316" s="225"/>
      <c r="R316" s="227"/>
      <c r="S316" s="75">
        <f>IF(Q315=0,0,S315/Q315)</f>
        <v>-9.4771569503859815E-2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 thickTop="1">
      <c r="A317" t="str">
        <f t="shared" si="73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cadres</v>
      </c>
      <c r="B319" s="11" t="s">
        <v>98</v>
      </c>
      <c r="C319" s="102" t="s">
        <v>40</v>
      </c>
      <c r="D319" s="13"/>
      <c r="E319" s="13"/>
      <c r="F319" s="30">
        <v>4367.6436781609191</v>
      </c>
      <c r="G319" s="41"/>
      <c r="H319" s="13"/>
      <c r="I319" s="30"/>
      <c r="J319" s="41"/>
      <c r="K319" s="13"/>
      <c r="L319" s="33">
        <v>2769.87</v>
      </c>
      <c r="M319" s="41"/>
      <c r="N319" s="59">
        <f t="shared" ref="N319:N349" si="80">L319-F319</f>
        <v>-1597.7736781609192</v>
      </c>
      <c r="O319" s="41"/>
      <c r="P319" s="13"/>
      <c r="Q319" s="33">
        <v>2969.49</v>
      </c>
      <c r="R319" s="41"/>
      <c r="S319" s="85">
        <f t="shared" ref="S319:S322" si="81">L319-Q319</f>
        <v>-199.61999999999989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commis</v>
      </c>
      <c r="B320" s="11" t="s">
        <v>98</v>
      </c>
      <c r="C320" s="103" t="s">
        <v>41</v>
      </c>
      <c r="D320" s="81"/>
      <c r="E320" s="13"/>
      <c r="F320" s="22">
        <v>2312.9501379310345</v>
      </c>
      <c r="G320" s="83"/>
      <c r="H320" s="13"/>
      <c r="I320" s="22"/>
      <c r="J320" s="41"/>
      <c r="K320" s="13"/>
      <c r="L320" s="33">
        <v>2037.13</v>
      </c>
      <c r="M320" s="41"/>
      <c r="N320" s="59">
        <f t="shared" si="80"/>
        <v>-275.82013793103442</v>
      </c>
      <c r="O320" s="41"/>
      <c r="P320" s="13"/>
      <c r="Q320" s="33">
        <v>3144.66</v>
      </c>
      <c r="R320" s="41"/>
      <c r="S320" s="85">
        <f t="shared" si="81"/>
        <v>-1107.5299999999997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autres</v>
      </c>
      <c r="B321" s="11" t="s">
        <v>98</v>
      </c>
      <c r="C321" s="102" t="s">
        <v>42</v>
      </c>
      <c r="D321" s="104"/>
      <c r="E321" s="105"/>
      <c r="F321" s="30">
        <v>18562.80479682003</v>
      </c>
      <c r="G321" s="106"/>
      <c r="H321" s="105"/>
      <c r="I321" s="30"/>
      <c r="J321" s="107"/>
      <c r="K321" s="105"/>
      <c r="L321" s="108">
        <v>16768.52</v>
      </c>
      <c r="M321" s="107"/>
      <c r="N321" s="109">
        <f t="shared" si="80"/>
        <v>-1794.2847968200294</v>
      </c>
      <c r="O321" s="107"/>
      <c r="P321" s="105"/>
      <c r="Q321" s="108">
        <v>11625.86</v>
      </c>
      <c r="R321" s="107"/>
      <c r="S321" s="110">
        <f t="shared" si="81"/>
        <v>5142.66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73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 t="shared" si="81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 hidden="1">
      <c r="A325" t="str">
        <f>+B325&amp;C325</f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80"/>
        <v>0</v>
      </c>
      <c r="O325" s="41"/>
      <c r="P325" s="13"/>
      <c r="Q325" s="33"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37" si="82">+B326&amp;C326</f>
        <v>PiècesSalaires en absences</v>
      </c>
      <c r="B326" s="11" t="s">
        <v>98</v>
      </c>
      <c r="C326" s="103" t="s">
        <v>44</v>
      </c>
      <c r="D326" s="81"/>
      <c r="E326" s="13"/>
      <c r="F326" s="22">
        <v>3799.8781941593597</v>
      </c>
      <c r="G326" s="83"/>
      <c r="H326" s="13"/>
      <c r="I326" s="22"/>
      <c r="J326" s="41"/>
      <c r="K326" s="13"/>
      <c r="L326" s="33">
        <v>2993.85</v>
      </c>
      <c r="M326" s="41"/>
      <c r="N326" s="59">
        <f t="shared" si="80"/>
        <v>-806.02819415935983</v>
      </c>
      <c r="O326" s="41"/>
      <c r="P326" s="13"/>
      <c r="Q326" s="33">
        <v>2394.98</v>
      </c>
      <c r="R326" s="41"/>
      <c r="S326" s="85">
        <f t="shared" ref="S326:S337" si="83">L326-Q326</f>
        <v>598.86999999999989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PiècesDéduction à la source</v>
      </c>
      <c r="B327" s="11" t="s">
        <v>98</v>
      </c>
      <c r="C327" s="102" t="s">
        <v>45</v>
      </c>
      <c r="D327" s="104"/>
      <c r="E327" s="105"/>
      <c r="F327" s="30">
        <v>3846.5312265362213</v>
      </c>
      <c r="G327" s="106"/>
      <c r="H327" s="105"/>
      <c r="I327" s="30"/>
      <c r="J327" s="107"/>
      <c r="K327" s="105"/>
      <c r="L327" s="108">
        <v>3637.06</v>
      </c>
      <c r="M327" s="107"/>
      <c r="N327" s="109">
        <f t="shared" si="80"/>
        <v>-209.47122653622137</v>
      </c>
      <c r="O327" s="107"/>
      <c r="P327" s="105"/>
      <c r="Q327" s="108">
        <v>3291.54</v>
      </c>
      <c r="R327" s="107"/>
      <c r="S327" s="110">
        <f t="shared" si="83"/>
        <v>345.52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PiècesBénéfices marginaux</v>
      </c>
      <c r="B328" s="11" t="s">
        <v>98</v>
      </c>
      <c r="C328" s="102" t="s">
        <v>46</v>
      </c>
      <c r="D328" s="81"/>
      <c r="E328" s="13"/>
      <c r="F328" s="30">
        <v>2792.2967422262941</v>
      </c>
      <c r="G328" s="83"/>
      <c r="H328" s="13"/>
      <c r="I328" s="30"/>
      <c r="J328" s="41"/>
      <c r="K328" s="13"/>
      <c r="L328" s="33">
        <v>2514.3000000000002</v>
      </c>
      <c r="M328" s="41"/>
      <c r="N328" s="59">
        <f t="shared" si="80"/>
        <v>-277.99674222629392</v>
      </c>
      <c r="O328" s="41"/>
      <c r="P328" s="13"/>
      <c r="Q328" s="33">
        <v>1691.85</v>
      </c>
      <c r="R328" s="41"/>
      <c r="S328" s="85">
        <f t="shared" si="83"/>
        <v>822.45000000000027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>
      <c r="A329" t="str">
        <f t="shared" si="82"/>
        <v>PiècesCsst</v>
      </c>
      <c r="B329" s="11" t="s">
        <v>98</v>
      </c>
      <c r="C329" s="102" t="s">
        <v>47</v>
      </c>
      <c r="D329" s="81"/>
      <c r="E329" s="13"/>
      <c r="F329" s="30">
        <v>698.07418555657352</v>
      </c>
      <c r="G329" s="83"/>
      <c r="H329" s="13"/>
      <c r="I329" s="30"/>
      <c r="J329" s="41"/>
      <c r="K329" s="13"/>
      <c r="L329" s="33">
        <v>584.91</v>
      </c>
      <c r="M329" s="462"/>
      <c r="N329" s="145">
        <f t="shared" si="80"/>
        <v>-113.16418555657356</v>
      </c>
      <c r="O329" s="41"/>
      <c r="P329" s="13"/>
      <c r="Q329" s="33">
        <v>310.98</v>
      </c>
      <c r="R329" s="41"/>
      <c r="S329" s="85">
        <f t="shared" si="83"/>
        <v>273.92999999999995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 hidden="1">
      <c r="A330" t="str">
        <f t="shared" si="8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80"/>
        <v>0</v>
      </c>
      <c r="O330" s="23"/>
      <c r="P330" s="111"/>
      <c r="Q330" s="33">
        <v>0</v>
      </c>
      <c r="R330" s="23"/>
      <c r="S330" s="92">
        <f t="shared" si="83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0.27176742568357803</v>
      </c>
      <c r="F331" s="96">
        <f>+SUM(F319:F330)</f>
        <v>36380.178961390433</v>
      </c>
      <c r="G331" s="97"/>
      <c r="H331" s="95"/>
      <c r="I331" s="96"/>
      <c r="J331" s="97" t="s">
        <v>38</v>
      </c>
      <c r="K331" s="95">
        <f>L331/L$315</f>
        <v>0.29311820647721348</v>
      </c>
      <c r="L331" s="96">
        <f>+SUM(L319:L330)</f>
        <v>31305.64</v>
      </c>
      <c r="M331" s="146"/>
      <c r="N331" s="113">
        <f t="shared" si="80"/>
        <v>-5074.5389613904335</v>
      </c>
      <c r="O331" s="97" t="s">
        <v>38</v>
      </c>
      <c r="P331" s="95">
        <f>Q331/Q$315</f>
        <v>0.21553302455027878</v>
      </c>
      <c r="Q331" s="96">
        <f>+SUM(Q319:Q330)</f>
        <v>25429.360000000001</v>
      </c>
      <c r="R331" s="146"/>
      <c r="S331" s="114">
        <f t="shared" si="83"/>
        <v>5876.2799999999988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PiècesPublicité 2</v>
      </c>
      <c r="B332" s="11" t="s">
        <v>98</v>
      </c>
      <c r="C332" s="210" t="s">
        <v>49</v>
      </c>
      <c r="D332" s="81"/>
      <c r="E332" s="13"/>
      <c r="F332" s="30">
        <v>1447.5437124910734</v>
      </c>
      <c r="G332" s="83"/>
      <c r="H332" s="13"/>
      <c r="I332" s="30"/>
      <c r="J332" s="41"/>
      <c r="K332" s="13"/>
      <c r="L332" s="33">
        <v>1349.02</v>
      </c>
      <c r="M332" s="41"/>
      <c r="N332" s="59">
        <f t="shared" si="80"/>
        <v>-98.523712491073411</v>
      </c>
      <c r="O332" s="41"/>
      <c r="P332" s="13"/>
      <c r="Q332" s="33">
        <v>2986.44</v>
      </c>
      <c r="R332" s="41"/>
      <c r="S332" s="85">
        <f t="shared" si="83"/>
        <v>-1637.42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-315.3</v>
      </c>
      <c r="M333" s="41"/>
      <c r="N333" s="59">
        <f t="shared" si="80"/>
        <v>-940.3</v>
      </c>
      <c r="O333" s="41"/>
      <c r="P333" s="13"/>
      <c r="Q333" s="33">
        <v>231.83999999999901</v>
      </c>
      <c r="R333" s="41"/>
      <c r="S333" s="85">
        <f t="shared" si="83"/>
        <v>-547.13999999999896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4717.49</v>
      </c>
      <c r="M334" s="23"/>
      <c r="N334" s="91">
        <f t="shared" si="80"/>
        <v>-106.17666666666719</v>
      </c>
      <c r="O334" s="23"/>
      <c r="P334" s="111"/>
      <c r="Q334" s="33">
        <v>7331.8699999999899</v>
      </c>
      <c r="R334" s="23"/>
      <c r="S334" s="92">
        <f t="shared" si="83"/>
        <v>-2614.3799999999901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2683.81</v>
      </c>
      <c r="M335" s="41"/>
      <c r="N335" s="59">
        <f t="shared" si="80"/>
        <v>32.33466666666618</v>
      </c>
      <c r="O335" s="41"/>
      <c r="P335" s="13"/>
      <c r="Q335" s="108">
        <v>2348.7800000000002</v>
      </c>
      <c r="R335" s="41"/>
      <c r="S335" s="85">
        <f t="shared" si="83"/>
        <v>335.02999999999975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1991.04</v>
      </c>
      <c r="M336" s="41"/>
      <c r="N336" s="59">
        <f t="shared" si="80"/>
        <v>992.70666666666671</v>
      </c>
      <c r="O336" s="41"/>
      <c r="P336" s="13"/>
      <c r="Q336" s="33">
        <v>220.64</v>
      </c>
      <c r="R336" s="41"/>
      <c r="S336" s="85">
        <f t="shared" si="83"/>
        <v>1770.4</v>
      </c>
      <c r="T336" s="13"/>
      <c r="U336" s="13"/>
      <c r="V336" s="489" t="s">
        <v>259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8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2015.1</v>
      </c>
      <c r="M337" s="23"/>
      <c r="N337" s="91">
        <f t="shared" si="80"/>
        <v>696.52399999999989</v>
      </c>
      <c r="O337" s="23"/>
      <c r="P337" s="111"/>
      <c r="Q337" s="48">
        <v>2261.39</v>
      </c>
      <c r="R337" s="23"/>
      <c r="S337" s="92">
        <f t="shared" si="83"/>
        <v>-246.28999999999996</v>
      </c>
      <c r="T337" s="13"/>
      <c r="U337" s="13"/>
      <c r="V337" s="489" t="s">
        <v>257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 hidden="1">
      <c r="A338" t="str">
        <f>+B338&amp;C338</f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0</v>
      </c>
      <c r="O338" s="41"/>
      <c r="P338" s="13"/>
      <c r="Q338" s="33"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ref="A339:A344" si="84">+B339&amp;C339</f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36.78</v>
      </c>
      <c r="M339" s="41"/>
      <c r="N339" s="59">
        <f t="shared" si="80"/>
        <v>21.78</v>
      </c>
      <c r="O339" s="41"/>
      <c r="P339" s="13"/>
      <c r="Q339" s="33">
        <v>0</v>
      </c>
      <c r="R339" s="41"/>
      <c r="S339" s="85">
        <f t="shared" ref="S339:S344" si="85">L339-Q339</f>
        <v>36.78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0</v>
      </c>
      <c r="M340" s="41"/>
      <c r="N340" s="59">
        <f t="shared" si="80"/>
        <v>-37.5</v>
      </c>
      <c r="O340" s="41"/>
      <c r="P340" s="13"/>
      <c r="Q340" s="33">
        <v>0</v>
      </c>
      <c r="R340" s="41"/>
      <c r="S340" s="85">
        <f t="shared" si="85"/>
        <v>0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281.97000000000003</v>
      </c>
      <c r="M341" s="41"/>
      <c r="N341" s="59">
        <f t="shared" si="80"/>
        <v>-8.0299999999999727</v>
      </c>
      <c r="O341" s="41"/>
      <c r="P341" s="13"/>
      <c r="Q341" s="32">
        <v>558.59</v>
      </c>
      <c r="R341" s="41"/>
      <c r="S341" s="85">
        <f t="shared" si="85"/>
        <v>-276.62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118.5</v>
      </c>
      <c r="M342" s="41"/>
      <c r="N342" s="59">
        <f t="shared" si="80"/>
        <v>4.7000000000000028</v>
      </c>
      <c r="O342" s="41"/>
      <c r="P342" s="13"/>
      <c r="Q342" s="33">
        <v>107.48</v>
      </c>
      <c r="R342" s="41"/>
      <c r="S342" s="85">
        <f t="shared" si="85"/>
        <v>11.019999999999996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725.62</v>
      </c>
      <c r="M343" s="41"/>
      <c r="N343" s="59">
        <f t="shared" si="80"/>
        <v>-1646.0466666666671</v>
      </c>
      <c r="O343" s="41"/>
      <c r="P343" s="13"/>
      <c r="Q343" s="33">
        <v>530.38</v>
      </c>
      <c r="R343" s="41"/>
      <c r="S343" s="85">
        <f t="shared" si="85"/>
        <v>195.24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84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239.79000000000002</v>
      </c>
      <c r="M344" s="41"/>
      <c r="N344" s="59">
        <f t="shared" si="80"/>
        <v>-65.543333333333294</v>
      </c>
      <c r="O344" s="41"/>
      <c r="P344" s="13"/>
      <c r="Q344" s="33">
        <v>385.18999999999897</v>
      </c>
      <c r="R344" s="41"/>
      <c r="S344" s="85">
        <f t="shared" si="85"/>
        <v>-145.39999999999895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-327.39</v>
      </c>
      <c r="M345" s="41"/>
      <c r="N345" s="59">
        <f t="shared" si="80"/>
        <v>-479.85400000000004</v>
      </c>
      <c r="O345" s="41"/>
      <c r="P345" s="13"/>
      <c r="Q345" s="33">
        <v>32.58</v>
      </c>
      <c r="R345" s="41"/>
      <c r="S345" s="85">
        <f>L345-Q345</f>
        <v>-359.96999999999997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>
      <c r="A346" t="str">
        <f>+B346&amp;C346</f>
        <v>PiècesFrais bancaires</v>
      </c>
      <c r="B346" s="11" t="s">
        <v>98</v>
      </c>
      <c r="C346" s="102" t="s">
        <v>62</v>
      </c>
      <c r="D346" s="81"/>
      <c r="E346" s="13"/>
      <c r="F346" s="30">
        <v>2393.836258447991</v>
      </c>
      <c r="G346" s="83"/>
      <c r="H346" s="13"/>
      <c r="I346" s="30"/>
      <c r="J346" s="41"/>
      <c r="K346" s="13"/>
      <c r="L346" s="32">
        <v>1874.05</v>
      </c>
      <c r="M346" s="41"/>
      <c r="N346" s="59">
        <f t="shared" si="80"/>
        <v>-519.78625844799103</v>
      </c>
      <c r="O346" s="41"/>
      <c r="P346" s="13"/>
      <c r="Q346" s="33">
        <v>1950.43</v>
      </c>
      <c r="R346" s="41"/>
      <c r="S346" s="85">
        <f>L346-Q346</f>
        <v>-76.380000000000109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 hidden="1">
      <c r="A349" t="str">
        <f>+B349&amp;C349</f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80"/>
        <v>0</v>
      </c>
      <c r="O349" s="41"/>
      <c r="P349" s="13"/>
      <c r="Q349" s="33"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93" t="s">
        <v>63</v>
      </c>
      <c r="D350" s="94" t="s">
        <v>38</v>
      </c>
      <c r="E350" s="95">
        <f>F350/F$315</f>
        <v>0.13105875038691123</v>
      </c>
      <c r="F350" s="96">
        <f>+SUM(F332:F349)</f>
        <v>17544.195304272398</v>
      </c>
      <c r="G350" s="97"/>
      <c r="H350" s="95"/>
      <c r="I350" s="96"/>
      <c r="J350" s="97" t="s">
        <v>38</v>
      </c>
      <c r="K350" s="95">
        <f>L350/L$315</f>
        <v>0.14410278449581052</v>
      </c>
      <c r="L350" s="96">
        <f>+SUM(L332:L349)</f>
        <v>15390.480000000003</v>
      </c>
      <c r="M350" s="100"/>
      <c r="N350" s="96">
        <f>+SUM(N332:N349)</f>
        <v>-2153.7153042723994</v>
      </c>
      <c r="O350" s="97" t="s">
        <v>38</v>
      </c>
      <c r="P350" s="95">
        <f>Q350/Q$315</f>
        <v>0.16057834822622374</v>
      </c>
      <c r="Q350" s="96">
        <f>+SUM(Q332:Q349)</f>
        <v>18945.60999999999</v>
      </c>
      <c r="R350" s="100"/>
      <c r="S350" s="101">
        <f>+SUM(S332:S349)</f>
        <v>-3555.1299999999878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93" t="s">
        <v>64</v>
      </c>
      <c r="D352" s="94" t="s">
        <v>38</v>
      </c>
      <c r="E352" s="95">
        <f>F352/F$315</f>
        <v>0.40282617607048926</v>
      </c>
      <c r="F352" s="96">
        <f>F331+F350</f>
        <v>53924.374265662831</v>
      </c>
      <c r="G352" s="97"/>
      <c r="H352" s="95"/>
      <c r="I352" s="96"/>
      <c r="J352" s="97" t="s">
        <v>38</v>
      </c>
      <c r="K352" s="95">
        <f>L352/L$315</f>
        <v>0.43722099097302403</v>
      </c>
      <c r="L352" s="96">
        <f>L331+L350</f>
        <v>46696.12</v>
      </c>
      <c r="M352" s="100"/>
      <c r="N352" s="113">
        <f>L352-F352</f>
        <v>-7228.2542656628284</v>
      </c>
      <c r="O352" s="97" t="s">
        <v>38</v>
      </c>
      <c r="P352" s="95">
        <f>Q352/Q$315</f>
        <v>0.37611137277650247</v>
      </c>
      <c r="Q352" s="96">
        <f>Q331+Q350</f>
        <v>44374.969999999987</v>
      </c>
      <c r="R352" s="100"/>
      <c r="S352" s="114">
        <f>L352-Q352</f>
        <v>2321.150000000016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25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Bot="1">
      <c r="B354" s="7"/>
      <c r="C354" s="124" t="s">
        <v>69</v>
      </c>
      <c r="D354" s="151"/>
      <c r="E354" s="125"/>
      <c r="F354" s="127">
        <f>F315-F352</f>
        <v>79940.745403786801</v>
      </c>
      <c r="G354" s="152"/>
      <c r="H354" s="125"/>
      <c r="I354" s="127"/>
      <c r="J354" s="153"/>
      <c r="K354" s="126"/>
      <c r="L354" s="127">
        <f>L315-L352</f>
        <v>60105.979999999989</v>
      </c>
      <c r="M354" s="153"/>
      <c r="N354" s="127">
        <f>L354-F354</f>
        <v>-19834.765403786812</v>
      </c>
      <c r="O354" s="153"/>
      <c r="P354" s="126"/>
      <c r="Q354" s="127">
        <f>Q315-Q352</f>
        <v>73608.619999999893</v>
      </c>
      <c r="R354" s="153"/>
      <c r="S354" s="129">
        <f>L354-Q354</f>
        <v>-13502.639999999905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0.25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25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Mai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5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Top="1">
      <c r="B359" s="7"/>
      <c r="C359" s="12"/>
      <c r="D359" s="510" t="s">
        <v>5</v>
      </c>
      <c r="E359" s="511"/>
      <c r="F359" s="512"/>
      <c r="G359" s="513"/>
      <c r="H359" s="511"/>
      <c r="I359" s="512"/>
      <c r="J359" s="513" t="s">
        <v>7</v>
      </c>
      <c r="K359" s="511"/>
      <c r="L359" s="512"/>
      <c r="M359" s="513"/>
      <c r="N359" s="512"/>
      <c r="O359" s="510" t="s">
        <v>8</v>
      </c>
      <c r="P359" s="511"/>
      <c r="Q359" s="512"/>
      <c r="R359" s="513" t="s">
        <v>9</v>
      </c>
      <c r="S359" s="514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86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Top="1">
      <c r="A361" t="str">
        <f t="shared" si="86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Bot="1">
      <c r="A362" t="str">
        <f t="shared" si="86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 thickTop="1">
      <c r="A363" t="str">
        <f t="shared" si="86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 t="shared" ref="Q363" si="87"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ref="S367:S395" si="88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8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8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8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8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8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8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8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8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8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8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8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8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A395" t="str">
        <f t="shared" si="86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8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0.25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.75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0.25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25">
      <c r="B402" s="7"/>
      <c r="C402" s="13"/>
      <c r="D402" s="13"/>
      <c r="E402" s="13"/>
      <c r="F402" s="82">
        <f>F354+F290+F234</f>
        <v>149516.88171543748</v>
      </c>
      <c r="G402" s="13"/>
      <c r="H402" s="13"/>
      <c r="I402" s="13"/>
      <c r="J402" s="13"/>
      <c r="K402" s="13"/>
      <c r="L402" s="82">
        <f>L354+L290+L234</f>
        <v>82054.699999999983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25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0.54879889854958031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Mai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.75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1.75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06" t="s">
        <v>117</v>
      </c>
      <c r="Y405" s="504"/>
      <c r="Z405" s="507"/>
      <c r="AA405" s="503"/>
      <c r="AB405" s="504"/>
      <c r="AC405" s="507"/>
      <c r="AD405" s="503" t="s">
        <v>7</v>
      </c>
      <c r="AE405" s="504"/>
      <c r="AF405" s="507"/>
      <c r="AG405" s="503" t="s">
        <v>212</v>
      </c>
      <c r="AH405" s="504"/>
      <c r="AI405" s="507"/>
      <c r="AJ405" s="503" t="s">
        <v>118</v>
      </c>
      <c r="AK405" s="504"/>
      <c r="AL405" s="504"/>
      <c r="AM405" s="503" t="s">
        <v>119</v>
      </c>
      <c r="AN405" s="504"/>
      <c r="AO405" s="505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25">
      <c r="A406" t="str">
        <f t="shared" ref="A406:A485" si="89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8">
      <c r="A407" t="str">
        <f t="shared" si="89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6617137.7549481243</v>
      </c>
      <c r="AA407" s="261"/>
      <c r="AB407" s="261"/>
      <c r="AC407" s="262"/>
      <c r="AD407" s="263"/>
      <c r="AE407" s="264"/>
      <c r="AF407" s="264">
        <f>L5+L93+K195+K251+J315+J363</f>
        <v>6778938.7100000009</v>
      </c>
      <c r="AG407" s="263"/>
      <c r="AH407" s="264"/>
      <c r="AI407" s="265"/>
      <c r="AJ407" s="263"/>
      <c r="AK407" s="264"/>
      <c r="AL407" s="264">
        <f>Q5+Q93+P195+P251+O315+O363</f>
        <v>6366734.2599999895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8">
      <c r="A408" t="str">
        <f t="shared" si="89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661439.51703093096</v>
      </c>
      <c r="AA408" s="269"/>
      <c r="AB408" s="269"/>
      <c r="AC408" s="270"/>
      <c r="AD408" s="271"/>
      <c r="AE408" s="272"/>
      <c r="AF408" s="272">
        <f>L27+L109+L195+L251+L315+L363</f>
        <v>571063.41999999958</v>
      </c>
      <c r="AG408" s="271"/>
      <c r="AH408" s="272">
        <f>AF408-Z408</f>
        <v>-90376.097030931385</v>
      </c>
      <c r="AI408" s="273">
        <f>AH408/Z408</f>
        <v>-0.13663546659052292</v>
      </c>
      <c r="AJ408" s="271">
        <f>+AL408/AL407</f>
        <v>0.10314553634283462</v>
      </c>
      <c r="AK408" s="272"/>
      <c r="AL408" s="272">
        <f>Q27+Q109+Q195+Q251+Q315+Q363</f>
        <v>656700.21999999916</v>
      </c>
      <c r="AM408" s="274"/>
      <c r="AN408" s="272">
        <f>AF408-AL408</f>
        <v>-85636.799999999581</v>
      </c>
      <c r="AO408" s="275">
        <f>IF(AL408=0,0,AN408/AL408)</f>
        <v>-0.130404707341197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8">
      <c r="A409" t="str">
        <f t="shared" si="89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8">
      <c r="A410" t="str">
        <f t="shared" si="89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90">Z410/(D$13+D$97)</f>
        <v>985.6020580572947</v>
      </c>
      <c r="Z410" s="278">
        <f t="shared" ref="Z410:Z416" si="91">+SUMIF($C:$C,$V410,F:F)</f>
        <v>59136.123483437681</v>
      </c>
      <c r="AA410" s="277"/>
      <c r="AB410" s="285"/>
      <c r="AC410" s="278"/>
      <c r="AD410" s="286"/>
      <c r="AE410" s="285">
        <f t="shared" ref="AE410:AE415" si="92">IF(AF410=0,0,AF410/(J$13+J$97))</f>
        <v>1221.767118644068</v>
      </c>
      <c r="AF410" s="278">
        <f t="shared" ref="AF410:AF416" si="93">+SUMIF($C:$C,$V410,L:L)</f>
        <v>72084.260000000009</v>
      </c>
      <c r="AG410" s="279">
        <f t="shared" ref="AG410:AH425" si="94">AE410-Y410</f>
        <v>236.16506058677328</v>
      </c>
      <c r="AH410" s="280">
        <f t="shared" si="94"/>
        <v>12948.136516562328</v>
      </c>
      <c r="AI410" s="281">
        <f t="shared" ref="AI410:AI419" si="95">IF(Z410=0,0,AH410/Z410)</f>
        <v>0.21895477339140648</v>
      </c>
      <c r="AJ410" s="286"/>
      <c r="AK410" s="280">
        <f t="shared" ref="AK410:AK419" si="96">AL410/(O$13+O$97)</f>
        <v>1137.1908000000001</v>
      </c>
      <c r="AL410" s="278">
        <f t="shared" ref="AL410:AL415" si="97">+SUMIF($C:$C,$V410,Q:Q)</f>
        <v>56859.54</v>
      </c>
      <c r="AM410" s="282">
        <f t="shared" ref="AM410:AM415" si="98">AE410-Y410</f>
        <v>236.16506058677328</v>
      </c>
      <c r="AN410" s="280">
        <f t="shared" ref="AN410:AN415" si="99">AF410-AL410</f>
        <v>15224.720000000008</v>
      </c>
      <c r="AO410" s="287">
        <f t="shared" ref="AO410:AO432" si="100">IF(AL410=0,0,AN410/AL410)</f>
        <v>0.26776016830245214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8">
      <c r="A411" t="str">
        <f t="shared" si="89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90"/>
        <v>484.73333333333335</v>
      </c>
      <c r="Z411" s="262">
        <f t="shared" si="91"/>
        <v>29084</v>
      </c>
      <c r="AA411" s="261"/>
      <c r="AB411" s="289"/>
      <c r="AC411" s="262"/>
      <c r="AD411" s="290"/>
      <c r="AE411" s="289">
        <f t="shared" si="92"/>
        <v>225.12288135593221</v>
      </c>
      <c r="AF411" s="262">
        <f t="shared" si="93"/>
        <v>13282.25</v>
      </c>
      <c r="AG411" s="263">
        <f t="shared" si="94"/>
        <v>-259.61045197740111</v>
      </c>
      <c r="AH411" s="264">
        <f t="shared" si="94"/>
        <v>-15801.75</v>
      </c>
      <c r="AI411" s="291">
        <f t="shared" si="95"/>
        <v>-0.54331419337092557</v>
      </c>
      <c r="AJ411" s="290"/>
      <c r="AK411" s="264">
        <f t="shared" si="96"/>
        <v>872.74540000000013</v>
      </c>
      <c r="AL411" s="262">
        <f t="shared" si="97"/>
        <v>43637.270000000004</v>
      </c>
      <c r="AM411" s="266">
        <f t="shared" si="98"/>
        <v>-259.61045197740111</v>
      </c>
      <c r="AN411" s="264">
        <f t="shared" si="99"/>
        <v>-30355.020000000004</v>
      </c>
      <c r="AO411" s="292">
        <f t="shared" si="100"/>
        <v>-0.69562142636328994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8">
      <c r="A412" t="str">
        <f t="shared" si="89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90"/>
        <v>114.33333333333333</v>
      </c>
      <c r="Z412" s="278">
        <f t="shared" si="91"/>
        <v>6860</v>
      </c>
      <c r="AA412" s="277"/>
      <c r="AB412" s="285"/>
      <c r="AC412" s="278"/>
      <c r="AD412" s="286"/>
      <c r="AE412" s="285">
        <f t="shared" si="92"/>
        <v>93.71949152542372</v>
      </c>
      <c r="AF412" s="278">
        <f t="shared" si="93"/>
        <v>5529.45</v>
      </c>
      <c r="AG412" s="279">
        <f t="shared" si="94"/>
        <v>-20.613841807909608</v>
      </c>
      <c r="AH412" s="280">
        <f t="shared" si="94"/>
        <v>-1330.5500000000002</v>
      </c>
      <c r="AI412" s="281">
        <f t="shared" si="95"/>
        <v>-0.19395772594752189</v>
      </c>
      <c r="AJ412" s="286"/>
      <c r="AK412" s="280">
        <f t="shared" si="96"/>
        <v>105.62540000000001</v>
      </c>
      <c r="AL412" s="278">
        <f t="shared" si="97"/>
        <v>5281.27</v>
      </c>
      <c r="AM412" s="282">
        <f t="shared" si="98"/>
        <v>-20.613841807909608</v>
      </c>
      <c r="AN412" s="280">
        <f t="shared" si="99"/>
        <v>248.17999999999938</v>
      </c>
      <c r="AO412" s="287">
        <f t="shared" si="100"/>
        <v>4.6992484762187758E-2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8">
      <c r="A413" t="str">
        <f t="shared" si="89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90"/>
        <v>51.75</v>
      </c>
      <c r="Z413" s="278">
        <f t="shared" si="91"/>
        <v>3105</v>
      </c>
      <c r="AA413" s="277"/>
      <c r="AB413" s="285"/>
      <c r="AC413" s="278"/>
      <c r="AD413" s="286"/>
      <c r="AE413" s="285">
        <f t="shared" si="92"/>
        <v>24.059322033898304</v>
      </c>
      <c r="AF413" s="278">
        <f t="shared" si="93"/>
        <v>1419.5</v>
      </c>
      <c r="AG413" s="279">
        <f t="shared" si="94"/>
        <v>-27.690677966101696</v>
      </c>
      <c r="AH413" s="280">
        <f t="shared" si="94"/>
        <v>-1685.5</v>
      </c>
      <c r="AI413" s="281">
        <f t="shared" si="95"/>
        <v>-0.54283413848631235</v>
      </c>
      <c r="AJ413" s="286"/>
      <c r="AK413" s="280">
        <f t="shared" si="96"/>
        <v>56.821000000000005</v>
      </c>
      <c r="AL413" s="278">
        <f t="shared" si="97"/>
        <v>2841.05</v>
      </c>
      <c r="AM413" s="282">
        <f t="shared" si="98"/>
        <v>-27.690677966101696</v>
      </c>
      <c r="AN413" s="280">
        <f t="shared" si="99"/>
        <v>-1421.5500000000002</v>
      </c>
      <c r="AO413" s="293">
        <f t="shared" si="100"/>
        <v>-0.50036078210520762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8">
      <c r="A414" t="str">
        <f t="shared" si="89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90"/>
        <v>83.733333333333334</v>
      </c>
      <c r="Z414" s="262">
        <f t="shared" si="91"/>
        <v>5024</v>
      </c>
      <c r="AA414" s="261"/>
      <c r="AB414" s="289"/>
      <c r="AC414" s="262"/>
      <c r="AD414" s="290"/>
      <c r="AE414" s="289">
        <f t="shared" si="92"/>
        <v>77.486949152542365</v>
      </c>
      <c r="AF414" s="262">
        <f t="shared" si="93"/>
        <v>4571.7299999999996</v>
      </c>
      <c r="AG414" s="263">
        <f t="shared" si="94"/>
        <v>-6.2463841807909688</v>
      </c>
      <c r="AH414" s="264">
        <f t="shared" si="94"/>
        <v>-452.27000000000044</v>
      </c>
      <c r="AI414" s="291">
        <f t="shared" si="95"/>
        <v>-9.002189490445868E-2</v>
      </c>
      <c r="AJ414" s="290"/>
      <c r="AK414" s="264">
        <f t="shared" si="96"/>
        <v>82.560999999999979</v>
      </c>
      <c r="AL414" s="262">
        <f t="shared" si="97"/>
        <v>4128.0499999999993</v>
      </c>
      <c r="AM414" s="266">
        <f t="shared" si="98"/>
        <v>-6.2463841807909688</v>
      </c>
      <c r="AN414" s="264">
        <f t="shared" si="99"/>
        <v>443.68000000000029</v>
      </c>
      <c r="AO414" s="292">
        <f t="shared" si="100"/>
        <v>0.10747931832221033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8">
      <c r="A415" t="str">
        <f t="shared" si="89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90"/>
        <v>186.96131313131312</v>
      </c>
      <c r="Z415" s="278">
        <f t="shared" si="91"/>
        <v>11217.678787878787</v>
      </c>
      <c r="AA415" s="281"/>
      <c r="AB415" s="285"/>
      <c r="AC415" s="278"/>
      <c r="AD415" s="286"/>
      <c r="AE415" s="285">
        <f t="shared" si="92"/>
        <v>95.488644067796599</v>
      </c>
      <c r="AF415" s="278">
        <f t="shared" si="93"/>
        <v>5633.829999999999</v>
      </c>
      <c r="AG415" s="279">
        <f t="shared" si="94"/>
        <v>-91.47266906351652</v>
      </c>
      <c r="AH415" s="280">
        <f t="shared" si="94"/>
        <v>-5583.8487878787882</v>
      </c>
      <c r="AI415" s="281">
        <f t="shared" si="95"/>
        <v>-0.49777221236824781</v>
      </c>
      <c r="AJ415" s="286"/>
      <c r="AK415" s="280">
        <f t="shared" si="96"/>
        <v>505.8818</v>
      </c>
      <c r="AL415" s="278">
        <f t="shared" si="97"/>
        <v>25294.09</v>
      </c>
      <c r="AM415" s="282">
        <f t="shared" si="98"/>
        <v>-91.47266906351652</v>
      </c>
      <c r="AN415" s="280">
        <f t="shared" si="99"/>
        <v>-19660.260000000002</v>
      </c>
      <c r="AO415" s="287">
        <f t="shared" si="100"/>
        <v>-0.77726694259410012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25">
      <c r="A416" t="str">
        <f t="shared" si="89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90"/>
        <v>546.92073733411394</v>
      </c>
      <c r="Z416" s="278">
        <f t="shared" si="91"/>
        <v>32815.244240046835</v>
      </c>
      <c r="AA416" s="277"/>
      <c r="AB416" s="285"/>
      <c r="AC416" s="278"/>
      <c r="AD416" s="286"/>
      <c r="AE416" s="285">
        <f>IF(AF416=0,0,AF416/(J$13+J$13))</f>
        <v>435.63328571428576</v>
      </c>
      <c r="AF416" s="278">
        <f t="shared" si="93"/>
        <v>30494.33</v>
      </c>
      <c r="AG416" s="279">
        <f t="shared" si="94"/>
        <v>-111.28745161982818</v>
      </c>
      <c r="AH416" s="280">
        <f t="shared" si="94"/>
        <v>-2320.9142400468336</v>
      </c>
      <c r="AI416" s="281">
        <f t="shared" si="95"/>
        <v>-7.0726709302210602E-2</v>
      </c>
      <c r="AJ416" s="286"/>
      <c r="AK416" s="280">
        <f t="shared" si="96"/>
        <v>621.76</v>
      </c>
      <c r="AL416" s="278">
        <f>IFERROR(SUMIF($C:$C,$V416,Q:Q),0)</f>
        <v>31088</v>
      </c>
      <c r="AM416" s="282">
        <f>AE416-Y416</f>
        <v>-111.28745161982818</v>
      </c>
      <c r="AN416" s="280">
        <f>AF416-AL416</f>
        <v>-593.66999999999825</v>
      </c>
      <c r="AO416" s="292">
        <f t="shared" si="100"/>
        <v>-1.9096435923829074E-2</v>
      </c>
      <c r="AP416" s="244"/>
      <c r="AQ416" s="470">
        <v>29093</v>
      </c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90"/>
        <v>0</v>
      </c>
      <c r="Z417" s="278">
        <f>IFERROR(SUMIF($C:$C,$V417,F:F),0)</f>
        <v>0</v>
      </c>
      <c r="AA417" s="277"/>
      <c r="AB417" s="285"/>
      <c r="AC417" s="278"/>
      <c r="AD417" s="286"/>
      <c r="AE417" s="285">
        <f>IF(AF417=0,0,AF417/(J$13+J$13))</f>
        <v>0</v>
      </c>
      <c r="AF417" s="278">
        <f>IFERROR(SUMIF($C:$C,$V417,L:L),0)</f>
        <v>0</v>
      </c>
      <c r="AG417" s="279">
        <f t="shared" si="94"/>
        <v>0</v>
      </c>
      <c r="AH417" s="280">
        <f t="shared" si="94"/>
        <v>0</v>
      </c>
      <c r="AI417" s="281">
        <f t="shared" si="95"/>
        <v>0</v>
      </c>
      <c r="AJ417" s="286"/>
      <c r="AK417" s="280">
        <f t="shared" si="96"/>
        <v>0</v>
      </c>
      <c r="AL417" s="278">
        <f>IFERROR(SUMIF($C:$C,$V417,Q:Q),0)</f>
        <v>0</v>
      </c>
      <c r="AM417" s="282">
        <f>AE417-Y417</f>
        <v>0</v>
      </c>
      <c r="AN417" s="280">
        <f>AF417-AL417</f>
        <v>0</v>
      </c>
      <c r="AO417" s="287">
        <f t="shared" si="100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90"/>
        <v>0</v>
      </c>
      <c r="Z418" s="278">
        <f>IFERROR(SUMIF($C:$C,$V418,F:F),0)</f>
        <v>0</v>
      </c>
      <c r="AA418" s="277"/>
      <c r="AB418" s="285"/>
      <c r="AC418" s="278"/>
      <c r="AD418" s="286"/>
      <c r="AE418" s="285">
        <f>IF(AF418=0,0,AF418/(J$13+J$13))</f>
        <v>0</v>
      </c>
      <c r="AF418" s="278">
        <f>IFERROR(SUMIF($C:$C,$V418,L:L),0)</f>
        <v>0</v>
      </c>
      <c r="AG418" s="279">
        <f t="shared" si="94"/>
        <v>0</v>
      </c>
      <c r="AH418" s="280">
        <f t="shared" si="94"/>
        <v>0</v>
      </c>
      <c r="AI418" s="281">
        <f t="shared" si="95"/>
        <v>0</v>
      </c>
      <c r="AJ418" s="286"/>
      <c r="AK418" s="280">
        <f t="shared" si="96"/>
        <v>0</v>
      </c>
      <c r="AL418" s="278">
        <f>IFERROR(SUMIF($C:$C,$V418,Q:Q),0)</f>
        <v>0</v>
      </c>
      <c r="AM418" s="282">
        <f>AE418-Y418</f>
        <v>0</v>
      </c>
      <c r="AN418" s="280">
        <f>AF418-AL418</f>
        <v>0</v>
      </c>
      <c r="AO418" s="287">
        <f t="shared" si="100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9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90"/>
        <v>0</v>
      </c>
      <c r="Z419" s="278">
        <f>IFERROR(SUMIF($C:$C,$V419,F:F),0)</f>
        <v>0</v>
      </c>
      <c r="AA419" s="277"/>
      <c r="AB419" s="285"/>
      <c r="AC419" s="278"/>
      <c r="AD419" s="286"/>
      <c r="AE419" s="285">
        <f>IF(AF419=0,0,AF419/(J$13+J$13))</f>
        <v>0</v>
      </c>
      <c r="AF419" s="278">
        <f>IFERROR(SUMIF($C:$C,$V419,L:L),0)</f>
        <v>0</v>
      </c>
      <c r="AG419" s="279">
        <f t="shared" si="94"/>
        <v>0</v>
      </c>
      <c r="AH419" s="280">
        <f t="shared" si="94"/>
        <v>0</v>
      </c>
      <c r="AI419" s="281">
        <f t="shared" si="95"/>
        <v>0</v>
      </c>
      <c r="AJ419" s="286"/>
      <c r="AK419" s="280">
        <f t="shared" si="96"/>
        <v>0</v>
      </c>
      <c r="AL419" s="278">
        <f>IFERROR(SUMIF($C:$C,$V419,Q:Q),0)</f>
        <v>0</v>
      </c>
      <c r="AM419" s="282">
        <f>AE419-Y419</f>
        <v>0</v>
      </c>
      <c r="AN419" s="280">
        <f>AF419-AL419</f>
        <v>0</v>
      </c>
      <c r="AO419" s="287">
        <f t="shared" si="100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25">
      <c r="A420" t="str">
        <f t="shared" si="89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0.22260848153177065</v>
      </c>
      <c r="Y420" s="295"/>
      <c r="Z420" s="297">
        <f>SUM(Z410:Z419)</f>
        <v>147242.0465113633</v>
      </c>
      <c r="AA420" s="296"/>
      <c r="AB420" s="295"/>
      <c r="AC420" s="297"/>
      <c r="AD420" s="298">
        <f>AF420/AF408</f>
        <v>0.23292570551971287</v>
      </c>
      <c r="AE420" s="295"/>
      <c r="AF420" s="297">
        <f>SUM(AF410:AF419)</f>
        <v>133015.35</v>
      </c>
      <c r="AG420" s="299"/>
      <c r="AH420" s="300">
        <f t="shared" si="94"/>
        <v>-14226.69651136329</v>
      </c>
      <c r="AI420" s="296">
        <f>AH420/Z420</f>
        <v>-9.6621154408264465E-2</v>
      </c>
      <c r="AJ420" s="298">
        <f>IF($AL$408=0,0,AL420/$AL$408)</f>
        <v>0.25754410437078923</v>
      </c>
      <c r="AK420" s="295"/>
      <c r="AL420" s="297">
        <f>SUM(AL410:AL419)</f>
        <v>169129.27000000002</v>
      </c>
      <c r="AM420" s="301"/>
      <c r="AN420" s="300">
        <f t="shared" ref="AN420:AN432" si="101">AF420-AL420</f>
        <v>-36113.920000000013</v>
      </c>
      <c r="AO420" s="275">
        <f t="shared" si="100"/>
        <v>-0.21352850396622661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8">
      <c r="A421" t="str">
        <f t="shared" si="89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16247.126436781609</v>
      </c>
      <c r="AA421" s="277"/>
      <c r="AB421" s="277"/>
      <c r="AC421" s="278"/>
      <c r="AD421" s="286"/>
      <c r="AE421" s="285"/>
      <c r="AF421" s="278">
        <v>16334.64</v>
      </c>
      <c r="AG421" s="279"/>
      <c r="AH421" s="280">
        <f t="shared" si="94"/>
        <v>87.513563218390118</v>
      </c>
      <c r="AI421" s="281">
        <f t="shared" ref="AI421:AI433" si="102">IF(Z421=0,0,AH421/Z421)</f>
        <v>5.386402546869431E-3</v>
      </c>
      <c r="AJ421" s="286"/>
      <c r="AK421" s="277"/>
      <c r="AL421" s="278">
        <v>15867.1699999999</v>
      </c>
      <c r="AM421" s="282"/>
      <c r="AN421" s="280">
        <f t="shared" si="101"/>
        <v>467.47000000009939</v>
      </c>
      <c r="AO421" s="287">
        <f t="shared" si="100"/>
        <v>2.9461460361242888E-2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8">
      <c r="A422" t="str">
        <f t="shared" si="89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103">+SUMIF($C:$C,$V422,F:F)</f>
        <v>35813.442019479087</v>
      </c>
      <c r="AA422" s="277"/>
      <c r="AB422" s="277"/>
      <c r="AC422" s="278"/>
      <c r="AD422" s="286"/>
      <c r="AE422" s="285"/>
      <c r="AF422" s="278">
        <f t="shared" ref="AF422:AF433" si="104">+SUMIF($C:$C,$V422,L:L)</f>
        <v>28436.63</v>
      </c>
      <c r="AG422" s="279"/>
      <c r="AH422" s="280">
        <f t="shared" si="94"/>
        <v>-7376.8120194790863</v>
      </c>
      <c r="AI422" s="281">
        <f t="shared" si="102"/>
        <v>-0.20597886166503646</v>
      </c>
      <c r="AJ422" s="286"/>
      <c r="AK422" s="277"/>
      <c r="AL422" s="278">
        <f t="shared" ref="AL422:AL430" si="105">+SUMIF($C:$C,$V422,Q:Q)</f>
        <v>34438.83</v>
      </c>
      <c r="AM422" s="282"/>
      <c r="AN422" s="280">
        <f t="shared" si="101"/>
        <v>-6002.2000000000007</v>
      </c>
      <c r="AO422" s="287">
        <f t="shared" si="100"/>
        <v>-0.17428582794479372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8">
      <c r="A423" t="str">
        <f t="shared" si="89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103"/>
        <v>14141.770935877239</v>
      </c>
      <c r="AA423" s="261"/>
      <c r="AB423" s="261"/>
      <c r="AC423" s="262"/>
      <c r="AD423" s="290"/>
      <c r="AE423" s="289"/>
      <c r="AF423" s="262">
        <f t="shared" si="104"/>
        <v>12037.009999999998</v>
      </c>
      <c r="AG423" s="263"/>
      <c r="AH423" s="264">
        <f t="shared" si="94"/>
        <v>-2104.7609358772406</v>
      </c>
      <c r="AI423" s="291">
        <f t="shared" si="102"/>
        <v>-0.14883291105624732</v>
      </c>
      <c r="AJ423" s="290"/>
      <c r="AK423" s="261"/>
      <c r="AL423" s="262">
        <f t="shared" si="105"/>
        <v>22482.82</v>
      </c>
      <c r="AM423" s="266"/>
      <c r="AN423" s="264">
        <f t="shared" si="101"/>
        <v>-10445.810000000001</v>
      </c>
      <c r="AO423" s="267">
        <f t="shared" si="100"/>
        <v>-0.46461298004431834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8">
      <c r="A424" t="str">
        <f t="shared" si="89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103"/>
        <v>31883.192656054794</v>
      </c>
      <c r="AA424" s="277"/>
      <c r="AB424" s="277"/>
      <c r="AC424" s="278"/>
      <c r="AD424" s="286"/>
      <c r="AE424" s="285"/>
      <c r="AF424" s="278">
        <f t="shared" si="104"/>
        <v>34541.01</v>
      </c>
      <c r="AG424" s="279"/>
      <c r="AH424" s="280">
        <f t="shared" si="94"/>
        <v>2657.8173439452075</v>
      </c>
      <c r="AI424" s="281">
        <f t="shared" si="102"/>
        <v>8.3361079068111243E-2</v>
      </c>
      <c r="AJ424" s="286"/>
      <c r="AK424" s="277"/>
      <c r="AL424" s="278">
        <f t="shared" si="105"/>
        <v>25512.58</v>
      </c>
      <c r="AM424" s="282"/>
      <c r="AN424" s="280">
        <f t="shared" si="101"/>
        <v>9028.43</v>
      </c>
      <c r="AO424" s="287">
        <f t="shared" si="100"/>
        <v>0.35388149689290538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8">
      <c r="A425" t="str">
        <f t="shared" si="89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103"/>
        <v>15048.540229885057</v>
      </c>
      <c r="AA425" s="277"/>
      <c r="AB425" s="277"/>
      <c r="AC425" s="278"/>
      <c r="AD425" s="286"/>
      <c r="AE425" s="285"/>
      <c r="AF425" s="278">
        <f t="shared" si="104"/>
        <v>15891.52</v>
      </c>
      <c r="AG425" s="279"/>
      <c r="AH425" s="280">
        <f t="shared" si="94"/>
        <v>842.97977011494368</v>
      </c>
      <c r="AI425" s="281">
        <f t="shared" si="102"/>
        <v>5.6017378246486733E-2</v>
      </c>
      <c r="AJ425" s="286"/>
      <c r="AK425" s="277"/>
      <c r="AL425" s="278">
        <f t="shared" si="105"/>
        <v>16151.34</v>
      </c>
      <c r="AM425" s="282"/>
      <c r="AN425" s="280">
        <f t="shared" si="101"/>
        <v>-259.81999999999971</v>
      </c>
      <c r="AO425" s="287">
        <f t="shared" si="100"/>
        <v>-1.6086590957778098E-2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9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103"/>
        <v>0</v>
      </c>
      <c r="AA426" s="277"/>
      <c r="AB426" s="277"/>
      <c r="AC426" s="280"/>
      <c r="AD426" s="286"/>
      <c r="AE426" s="285"/>
      <c r="AF426" s="278">
        <f t="shared" si="104"/>
        <v>0</v>
      </c>
      <c r="AG426" s="279"/>
      <c r="AH426" s="280">
        <f t="shared" ref="AH426:AH452" si="106">AF426-Z426</f>
        <v>0</v>
      </c>
      <c r="AI426" s="281">
        <f t="shared" si="102"/>
        <v>0</v>
      </c>
      <c r="AJ426" s="286"/>
      <c r="AK426" s="277"/>
      <c r="AL426" s="278">
        <f t="shared" si="105"/>
        <v>0</v>
      </c>
      <c r="AM426" s="282"/>
      <c r="AN426" s="280">
        <f t="shared" si="101"/>
        <v>0</v>
      </c>
      <c r="AO426" s="287">
        <f t="shared" si="100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9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103"/>
        <v>0</v>
      </c>
      <c r="AA427" s="277"/>
      <c r="AB427" s="277"/>
      <c r="AC427" s="280"/>
      <c r="AD427" s="286"/>
      <c r="AE427" s="285"/>
      <c r="AF427" s="278">
        <f t="shared" si="104"/>
        <v>0</v>
      </c>
      <c r="AG427" s="279"/>
      <c r="AH427" s="280">
        <f t="shared" si="106"/>
        <v>0</v>
      </c>
      <c r="AI427" s="281">
        <f t="shared" si="102"/>
        <v>0</v>
      </c>
      <c r="AJ427" s="286"/>
      <c r="AK427" s="277"/>
      <c r="AL427" s="278">
        <f t="shared" si="105"/>
        <v>0</v>
      </c>
      <c r="AM427" s="282"/>
      <c r="AN427" s="280">
        <f t="shared" si="101"/>
        <v>0</v>
      </c>
      <c r="AO427" s="287">
        <f t="shared" si="100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9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103"/>
        <v>0</v>
      </c>
      <c r="AA428" s="277"/>
      <c r="AB428" s="277"/>
      <c r="AC428" s="280"/>
      <c r="AD428" s="286"/>
      <c r="AE428" s="285"/>
      <c r="AF428" s="278">
        <f t="shared" si="104"/>
        <v>0</v>
      </c>
      <c r="AG428" s="279"/>
      <c r="AH428" s="280">
        <f t="shared" si="106"/>
        <v>0</v>
      </c>
      <c r="AI428" s="281">
        <f t="shared" si="102"/>
        <v>0</v>
      </c>
      <c r="AJ428" s="286"/>
      <c r="AK428" s="277"/>
      <c r="AL428" s="278">
        <f t="shared" si="105"/>
        <v>0</v>
      </c>
      <c r="AM428" s="282"/>
      <c r="AN428" s="280">
        <f t="shared" si="101"/>
        <v>0</v>
      </c>
      <c r="AO428" s="287">
        <f t="shared" si="100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8">
      <c r="A429" t="str">
        <f t="shared" si="89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103"/>
        <v>35783.775229700339</v>
      </c>
      <c r="AA429" s="261"/>
      <c r="AB429" s="261"/>
      <c r="AC429" s="262"/>
      <c r="AD429" s="290"/>
      <c r="AE429" s="289"/>
      <c r="AF429" s="262">
        <f t="shared" si="104"/>
        <v>28822.629999999997</v>
      </c>
      <c r="AG429" s="263"/>
      <c r="AH429" s="264">
        <f t="shared" si="106"/>
        <v>-6961.1452297003416</v>
      </c>
      <c r="AI429" s="291">
        <f t="shared" si="102"/>
        <v>-0.19453356123035975</v>
      </c>
      <c r="AJ429" s="290"/>
      <c r="AK429" s="261"/>
      <c r="AL429" s="262">
        <f t="shared" si="105"/>
        <v>26003.25</v>
      </c>
      <c r="AM429" s="266"/>
      <c r="AN429" s="264">
        <f t="shared" si="101"/>
        <v>2819.3799999999974</v>
      </c>
      <c r="AO429" s="292">
        <f t="shared" si="100"/>
        <v>0.10842413929028093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8">
      <c r="A430" t="str">
        <f t="shared" si="89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103"/>
        <v>38038.193427804596</v>
      </c>
      <c r="AA430" s="277"/>
      <c r="AB430" s="277"/>
      <c r="AC430" s="278"/>
      <c r="AD430" s="286"/>
      <c r="AE430" s="285"/>
      <c r="AF430" s="278">
        <f t="shared" si="104"/>
        <v>33522.369999999995</v>
      </c>
      <c r="AG430" s="279"/>
      <c r="AH430" s="280">
        <f t="shared" si="106"/>
        <v>-4515.8234278046002</v>
      </c>
      <c r="AI430" s="281">
        <f>IF(Z430=0,0,AH430/Z430)</f>
        <v>-0.11871813619055027</v>
      </c>
      <c r="AJ430" s="286"/>
      <c r="AK430" s="277"/>
      <c r="AL430" s="278">
        <f t="shared" si="105"/>
        <v>39922.5</v>
      </c>
      <c r="AM430" s="282"/>
      <c r="AN430" s="280">
        <f t="shared" si="101"/>
        <v>-6400.1300000000047</v>
      </c>
      <c r="AO430" s="287">
        <f t="shared" si="100"/>
        <v>-0.16031385810006901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8">
      <c r="A431" t="str">
        <f t="shared" si="89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103"/>
        <v>25574.818886379697</v>
      </c>
      <c r="AA431" s="277"/>
      <c r="AB431" s="277"/>
      <c r="AC431" s="278"/>
      <c r="AD431" s="286"/>
      <c r="AE431" s="285"/>
      <c r="AF431" s="278">
        <f t="shared" si="104"/>
        <v>14029.059999999998</v>
      </c>
      <c r="AG431" s="279"/>
      <c r="AH431" s="280">
        <f t="shared" si="106"/>
        <v>-11545.758886379699</v>
      </c>
      <c r="AI431" s="281">
        <f t="shared" si="102"/>
        <v>-0.4514502698014643</v>
      </c>
      <c r="AJ431" s="286"/>
      <c r="AK431" s="277"/>
      <c r="AL431" s="278">
        <f>IFERROR(SUMIF($C:$C,$V431,Q:Q),0)</f>
        <v>15966.42</v>
      </c>
      <c r="AM431" s="282"/>
      <c r="AN431" s="280">
        <f t="shared" si="101"/>
        <v>-1937.3600000000024</v>
      </c>
      <c r="AO431" s="287">
        <f t="shared" si="100"/>
        <v>-0.12133966161481424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8">
      <c r="A432" t="str">
        <f t="shared" si="89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103"/>
        <v>6903.2276961571297</v>
      </c>
      <c r="AA432" s="277"/>
      <c r="AB432" s="277"/>
      <c r="AC432" s="278"/>
      <c r="AD432" s="286"/>
      <c r="AE432" s="285"/>
      <c r="AF432" s="278">
        <f t="shared" si="104"/>
        <v>4706.37</v>
      </c>
      <c r="AG432" s="279"/>
      <c r="AH432" s="280">
        <f t="shared" si="106"/>
        <v>-2196.8576961571298</v>
      </c>
      <c r="AI432" s="304">
        <f t="shared" si="102"/>
        <v>-0.31823630812294817</v>
      </c>
      <c r="AJ432" s="286"/>
      <c r="AK432" s="277"/>
      <c r="AL432" s="278">
        <f>IFERROR(SUMIF($C:$C,$V432,Q:Q),0)</f>
        <v>5644.18</v>
      </c>
      <c r="AM432" s="282"/>
      <c r="AN432" s="280">
        <f t="shared" si="101"/>
        <v>-937.8100000000004</v>
      </c>
      <c r="AO432" s="292">
        <f t="shared" si="100"/>
        <v>-0.16615522538260658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9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104"/>
        <v>0</v>
      </c>
      <c r="AG433" s="279"/>
      <c r="AH433" s="280">
        <f t="shared" si="106"/>
        <v>0</v>
      </c>
      <c r="AI433" s="281">
        <f t="shared" si="102"/>
        <v>0</v>
      </c>
      <c r="AJ433" s="286"/>
      <c r="AK433" s="277"/>
      <c r="AL433" s="278">
        <f>IFERROR(SUMIF($C:$C,$V433,Q:Q),0)</f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8">
      <c r="A434" t="str">
        <f t="shared" si="89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0.33175230972457626</v>
      </c>
      <c r="Y434" s="295"/>
      <c r="Z434" s="297">
        <f>SUM(Z421:Z433)</f>
        <v>219434.08751811954</v>
      </c>
      <c r="AA434" s="296"/>
      <c r="AB434" s="295"/>
      <c r="AC434" s="297"/>
      <c r="AD434" s="298">
        <f>AF434/AF408</f>
        <v>0.32977289982958485</v>
      </c>
      <c r="AE434" s="305"/>
      <c r="AF434" s="297">
        <f>SUM(AF421:AF433)</f>
        <v>188321.24</v>
      </c>
      <c r="AG434" s="306"/>
      <c r="AH434" s="300">
        <f t="shared" si="106"/>
        <v>-31112.847518119554</v>
      </c>
      <c r="AI434" s="296">
        <f>AH434/Z434</f>
        <v>-0.14178675642429731</v>
      </c>
      <c r="AJ434" s="298">
        <f>IF($AL$408=0,0,AL434/$AL$408)</f>
        <v>0.30758188264349923</v>
      </c>
      <c r="AK434" s="295"/>
      <c r="AL434" s="297">
        <f>SUM(AL421:AL433)</f>
        <v>201989.08999999988</v>
      </c>
      <c r="AM434" s="307"/>
      <c r="AN434" s="300">
        <f t="shared" ref="AN434:AN448" si="107">AF434-AL434</f>
        <v>-13667.849999999889</v>
      </c>
      <c r="AO434" s="275">
        <f>IF(AL434=0,0,AN434/AL434)</f>
        <v>-6.7666278411373099E-2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8">
      <c r="A435" t="str">
        <f t="shared" si="89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8">+SUMIF($C:$C,$V435,F:F)</f>
        <v>4049.5296547364005</v>
      </c>
      <c r="AA435" s="310"/>
      <c r="AB435" s="310"/>
      <c r="AC435" s="311"/>
      <c r="AD435" s="312"/>
      <c r="AE435" s="313"/>
      <c r="AF435" s="311">
        <f t="shared" ref="AF435:AF452" si="109">+SUMIF($C:$C,$V435,L:L)</f>
        <v>3230.54</v>
      </c>
      <c r="AG435" s="312"/>
      <c r="AH435" s="314">
        <f t="shared" si="106"/>
        <v>-818.98965473640055</v>
      </c>
      <c r="AI435" s="315">
        <f t="shared" ref="AI435:AI452" si="110">IF(Z435=0,0,AH435/Z435)</f>
        <v>-0.20224315527075989</v>
      </c>
      <c r="AJ435" s="312"/>
      <c r="AK435" s="310"/>
      <c r="AL435" s="311">
        <f t="shared" ref="AL435:AL449" si="111">+SUMIF($C:$C,$V435,Q:Q)</f>
        <v>8939.15</v>
      </c>
      <c r="AM435" s="316"/>
      <c r="AN435" s="314">
        <f t="shared" si="107"/>
        <v>-5708.61</v>
      </c>
      <c r="AO435" s="283">
        <f t="shared" ref="AO435:AO448" si="112">IF(AL435=0,0,AN435/AL435)</f>
        <v>-0.63860769759988367</v>
      </c>
      <c r="AP435" s="244"/>
      <c r="AQ435" s="244">
        <f>8874-359.95-287.95-4127.95-334-200-334</f>
        <v>3230.1499999999987</v>
      </c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8">
      <c r="A436" t="str">
        <f t="shared" si="89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8"/>
        <v>4375</v>
      </c>
      <c r="AA436" s="277"/>
      <c r="AB436" s="277"/>
      <c r="AC436" s="278"/>
      <c r="AD436" s="286"/>
      <c r="AE436" s="285"/>
      <c r="AF436" s="278">
        <f t="shared" si="109"/>
        <v>3381.38</v>
      </c>
      <c r="AG436" s="279"/>
      <c r="AH436" s="280">
        <f t="shared" si="106"/>
        <v>-993.61999999999989</v>
      </c>
      <c r="AI436" s="281">
        <f t="shared" si="110"/>
        <v>-0.22711314285714282</v>
      </c>
      <c r="AJ436" s="286"/>
      <c r="AK436" s="277"/>
      <c r="AL436" s="278">
        <f t="shared" si="111"/>
        <v>3427.2499999999991</v>
      </c>
      <c r="AM436" s="282"/>
      <c r="AN436" s="280">
        <f t="shared" si="107"/>
        <v>-45.869999999998981</v>
      </c>
      <c r="AO436" s="287">
        <f t="shared" si="112"/>
        <v>-1.338390838135502E-2</v>
      </c>
      <c r="AP436" s="244"/>
      <c r="AQ436" s="244">
        <v>3381</v>
      </c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8">
      <c r="A437" t="str">
        <f t="shared" si="89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8"/>
        <v>15077</v>
      </c>
      <c r="AA437" s="261"/>
      <c r="AB437" s="261"/>
      <c r="AC437" s="262"/>
      <c r="AD437" s="290"/>
      <c r="AE437" s="289"/>
      <c r="AF437" s="262">
        <f t="shared" si="109"/>
        <v>13367.710000000001</v>
      </c>
      <c r="AG437" s="263"/>
      <c r="AH437" s="264">
        <f t="shared" si="106"/>
        <v>-1709.2899999999991</v>
      </c>
      <c r="AI437" s="291">
        <f t="shared" si="110"/>
        <v>-0.1133706970882801</v>
      </c>
      <c r="AJ437" s="290"/>
      <c r="AK437" s="261"/>
      <c r="AL437" s="262">
        <f t="shared" si="111"/>
        <v>26263.679999999993</v>
      </c>
      <c r="AM437" s="266"/>
      <c r="AN437" s="264">
        <f t="shared" si="107"/>
        <v>-12895.969999999992</v>
      </c>
      <c r="AO437" s="267">
        <f t="shared" si="112"/>
        <v>-0.49101915649292083</v>
      </c>
      <c r="AP437" s="244"/>
      <c r="AQ437" s="480">
        <f>12968+400</f>
        <v>13368</v>
      </c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8">
      <c r="A438" t="str">
        <f t="shared" si="89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8"/>
        <v>22567.753333333334</v>
      </c>
      <c r="AA438" s="277"/>
      <c r="AB438" s="277"/>
      <c r="AC438" s="278"/>
      <c r="AD438" s="286"/>
      <c r="AE438" s="285"/>
      <c r="AF438" s="278">
        <f t="shared" si="109"/>
        <v>22269.52</v>
      </c>
      <c r="AG438" s="279"/>
      <c r="AH438" s="280">
        <f>AF438-Z438</f>
        <v>-298.23333333333358</v>
      </c>
      <c r="AI438" s="281">
        <f t="shared" si="110"/>
        <v>-1.3215020960585955E-2</v>
      </c>
      <c r="AJ438" s="286"/>
      <c r="AK438" s="277"/>
      <c r="AL438" s="278">
        <f t="shared" si="111"/>
        <v>16188.25</v>
      </c>
      <c r="AM438" s="282"/>
      <c r="AN438" s="280">
        <f t="shared" si="107"/>
        <v>6081.27</v>
      </c>
      <c r="AO438" s="287">
        <f t="shared" si="112"/>
        <v>0.37565950612326843</v>
      </c>
      <c r="AP438" s="480"/>
      <c r="AQ438" s="244">
        <f>24293-4893+2500+370</f>
        <v>22270</v>
      </c>
      <c r="AR438" s="480" t="s">
        <v>261</v>
      </c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8">
      <c r="A439" t="str">
        <f t="shared" si="89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8"/>
        <v>4158.333333333333</v>
      </c>
      <c r="AA439" s="277"/>
      <c r="AB439" s="277"/>
      <c r="AC439" s="278"/>
      <c r="AD439" s="286"/>
      <c r="AE439" s="285"/>
      <c r="AF439" s="278">
        <f t="shared" si="109"/>
        <v>11712.25</v>
      </c>
      <c r="AG439" s="279"/>
      <c r="AH439" s="280">
        <f t="shared" si="106"/>
        <v>7553.916666666667</v>
      </c>
      <c r="AI439" s="281">
        <f t="shared" si="110"/>
        <v>1.8165731462925854</v>
      </c>
      <c r="AJ439" s="286"/>
      <c r="AK439" s="277"/>
      <c r="AL439" s="278">
        <f t="shared" si="111"/>
        <v>1747.9</v>
      </c>
      <c r="AM439" s="282"/>
      <c r="AN439" s="280">
        <f t="shared" si="107"/>
        <v>9964.35</v>
      </c>
      <c r="AO439" s="287">
        <f t="shared" si="112"/>
        <v>5.7007551919446193</v>
      </c>
      <c r="AP439" s="480"/>
      <c r="AQ439" s="244">
        <v>11712</v>
      </c>
      <c r="AR439" s="244" t="s">
        <v>256</v>
      </c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8">
      <c r="A440" t="str">
        <f t="shared" si="89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8"/>
        <v>12439.663333333334</v>
      </c>
      <c r="AA440" s="277"/>
      <c r="AB440" s="277"/>
      <c r="AC440" s="278"/>
      <c r="AD440" s="286"/>
      <c r="AE440" s="285"/>
      <c r="AF440" s="278">
        <f t="shared" si="109"/>
        <v>15468.18</v>
      </c>
      <c r="AG440" s="279"/>
      <c r="AH440" s="280">
        <f t="shared" si="106"/>
        <v>3028.5166666666664</v>
      </c>
      <c r="AI440" s="281">
        <f t="shared" si="110"/>
        <v>0.24345648153929136</v>
      </c>
      <c r="AJ440" s="286"/>
      <c r="AK440" s="277"/>
      <c r="AL440" s="278">
        <f t="shared" si="111"/>
        <v>8859.35</v>
      </c>
      <c r="AM440" s="282"/>
      <c r="AN440" s="280">
        <f t="shared" si="107"/>
        <v>6608.83</v>
      </c>
      <c r="AO440" s="287">
        <f t="shared" si="112"/>
        <v>0.74597233431346543</v>
      </c>
      <c r="AP440" s="244"/>
      <c r="AQ440" s="480">
        <f>27464-1890-1890-3351-4865</f>
        <v>15468</v>
      </c>
      <c r="AR440" s="480" t="s">
        <v>257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8"/>
        <v>0</v>
      </c>
      <c r="AA441" s="318"/>
      <c r="AB441" s="318"/>
      <c r="AC441" s="319"/>
      <c r="AD441" s="320"/>
      <c r="AE441" s="321"/>
      <c r="AF441" s="319">
        <f t="shared" si="109"/>
        <v>0</v>
      </c>
      <c r="AG441" s="322"/>
      <c r="AH441" s="323">
        <f t="shared" si="106"/>
        <v>0</v>
      </c>
      <c r="AI441" s="324">
        <f t="shared" si="110"/>
        <v>0</v>
      </c>
      <c r="AJ441" s="320"/>
      <c r="AK441" s="318"/>
      <c r="AL441" s="319">
        <f t="shared" si="111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8">
      <c r="A442" t="str">
        <f t="shared" si="89"/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8"/>
        <v>3353.75</v>
      </c>
      <c r="AA442" s="277"/>
      <c r="AB442" s="285"/>
      <c r="AC442" s="278"/>
      <c r="AD442" s="286"/>
      <c r="AE442" s="285"/>
      <c r="AF442" s="278">
        <f t="shared" si="109"/>
        <v>6242.6900000000005</v>
      </c>
      <c r="AG442" s="279"/>
      <c r="AH442" s="280">
        <f t="shared" si="106"/>
        <v>2888.9400000000005</v>
      </c>
      <c r="AI442" s="281">
        <f t="shared" si="110"/>
        <v>0.86140588893030201</v>
      </c>
      <c r="AJ442" s="286"/>
      <c r="AK442" s="277"/>
      <c r="AL442" s="278">
        <f t="shared" si="111"/>
        <v>2693.81</v>
      </c>
      <c r="AM442" s="282"/>
      <c r="AN442" s="280">
        <f t="shared" si="107"/>
        <v>3548.8800000000006</v>
      </c>
      <c r="AO442" s="287">
        <f t="shared" si="112"/>
        <v>1.3174203080395428</v>
      </c>
      <c r="AP442" s="244"/>
      <c r="AQ442" s="244">
        <v>6243</v>
      </c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8">
      <c r="A443" t="str">
        <f t="shared" si="8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8"/>
        <v>1400</v>
      </c>
      <c r="AA443" s="277"/>
      <c r="AB443" s="277"/>
      <c r="AC443" s="278"/>
      <c r="AD443" s="286"/>
      <c r="AE443" s="285"/>
      <c r="AF443" s="278">
        <f t="shared" si="109"/>
        <v>1456.81</v>
      </c>
      <c r="AG443" s="279"/>
      <c r="AH443" s="280">
        <f t="shared" si="106"/>
        <v>56.809999999999945</v>
      </c>
      <c r="AI443" s="304">
        <f t="shared" si="110"/>
        <v>4.0578571428571387E-2</v>
      </c>
      <c r="AJ443" s="286"/>
      <c r="AK443" s="277"/>
      <c r="AL443" s="278">
        <f t="shared" si="111"/>
        <v>801.81</v>
      </c>
      <c r="AM443" s="282"/>
      <c r="AN443" s="280">
        <f t="shared" si="107"/>
        <v>655</v>
      </c>
      <c r="AO443" s="287">
        <f t="shared" si="112"/>
        <v>0.81690175976852375</v>
      </c>
      <c r="AP443" s="244"/>
      <c r="AQ443" s="244">
        <v>1457</v>
      </c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8">
      <c r="A444" t="str">
        <f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8"/>
        <v>1450</v>
      </c>
      <c r="AA444" s="277"/>
      <c r="AB444" s="277"/>
      <c r="AC444" s="278"/>
      <c r="AD444" s="286"/>
      <c r="AE444" s="285"/>
      <c r="AF444" s="278">
        <f t="shared" si="109"/>
        <v>1772.79</v>
      </c>
      <c r="AG444" s="279"/>
      <c r="AH444" s="280">
        <f t="shared" si="106"/>
        <v>322.78999999999996</v>
      </c>
      <c r="AI444" s="281">
        <f t="shared" si="110"/>
        <v>0.22261379310344825</v>
      </c>
      <c r="AJ444" s="286"/>
      <c r="AK444" s="277"/>
      <c r="AL444" s="278">
        <f t="shared" si="111"/>
        <v>1563.5100000000002</v>
      </c>
      <c r="AM444" s="282"/>
      <c r="AN444" s="280">
        <f t="shared" si="107"/>
        <v>209.27999999999975</v>
      </c>
      <c r="AO444" s="287">
        <f t="shared" si="112"/>
        <v>0.13385267762918032</v>
      </c>
      <c r="AP444" s="244"/>
      <c r="AQ444" s="244">
        <v>1773</v>
      </c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8">
      <c r="A445" t="str">
        <f t="shared" si="8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8"/>
        <v>449</v>
      </c>
      <c r="AA445" s="277"/>
      <c r="AB445" s="277"/>
      <c r="AC445" s="278"/>
      <c r="AD445" s="286"/>
      <c r="AE445" s="285"/>
      <c r="AF445" s="278">
        <f t="shared" si="109"/>
        <v>481.65999999999997</v>
      </c>
      <c r="AG445" s="279"/>
      <c r="AH445" s="280">
        <f t="shared" si="106"/>
        <v>32.659999999999968</v>
      </c>
      <c r="AI445" s="304">
        <f t="shared" si="110"/>
        <v>7.2739420935411955E-2</v>
      </c>
      <c r="AJ445" s="286"/>
      <c r="AK445" s="277"/>
      <c r="AL445" s="278">
        <f t="shared" si="111"/>
        <v>491.29</v>
      </c>
      <c r="AM445" s="282"/>
      <c r="AN445" s="280">
        <f t="shared" si="107"/>
        <v>-9.6300000000000523</v>
      </c>
      <c r="AO445" s="287">
        <f t="shared" si="112"/>
        <v>-1.9601457387693727E-2</v>
      </c>
      <c r="AP445" s="244"/>
      <c r="AQ445" s="244">
        <v>482</v>
      </c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8">
      <c r="A446" t="str">
        <f t="shared" si="8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8"/>
        <v>2825</v>
      </c>
      <c r="AA446" s="277"/>
      <c r="AB446" s="277"/>
      <c r="AC446" s="278"/>
      <c r="AD446" s="286"/>
      <c r="AE446" s="285"/>
      <c r="AF446" s="278">
        <f t="shared" si="109"/>
        <v>1185.31</v>
      </c>
      <c r="AG446" s="279"/>
      <c r="AH446" s="280">
        <f t="shared" si="106"/>
        <v>-1639.69</v>
      </c>
      <c r="AI446" s="281">
        <f t="shared" si="110"/>
        <v>-0.58042123893805309</v>
      </c>
      <c r="AJ446" s="286"/>
      <c r="AK446" s="277"/>
      <c r="AL446" s="278">
        <f t="shared" si="111"/>
        <v>918.39</v>
      </c>
      <c r="AM446" s="282"/>
      <c r="AN446" s="280">
        <f t="shared" si="107"/>
        <v>266.91999999999996</v>
      </c>
      <c r="AO446" s="287">
        <f t="shared" si="112"/>
        <v>0.29063905312557842</v>
      </c>
      <c r="AP446" s="244"/>
      <c r="AQ446" s="244">
        <v>1185</v>
      </c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8">
      <c r="A447" t="str">
        <f t="shared" si="8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8"/>
        <v>1554.9999999999998</v>
      </c>
      <c r="AA447" s="277"/>
      <c r="AB447" s="285"/>
      <c r="AC447" s="278"/>
      <c r="AD447" s="286"/>
      <c r="AE447" s="285"/>
      <c r="AF447" s="278">
        <f t="shared" si="109"/>
        <v>2066.98</v>
      </c>
      <c r="AG447" s="279"/>
      <c r="AH447" s="280">
        <f t="shared" si="106"/>
        <v>511.98000000000025</v>
      </c>
      <c r="AI447" s="304">
        <f t="shared" si="110"/>
        <v>0.32924758842443752</v>
      </c>
      <c r="AJ447" s="286"/>
      <c r="AK447" s="277"/>
      <c r="AL447" s="278">
        <f t="shared" si="111"/>
        <v>2925.9799999999991</v>
      </c>
      <c r="AM447" s="282"/>
      <c r="AN447" s="280">
        <f t="shared" si="107"/>
        <v>-858.99999999999909</v>
      </c>
      <c r="AO447" s="287">
        <f t="shared" si="112"/>
        <v>-0.29357685288347812</v>
      </c>
      <c r="AP447" s="244"/>
      <c r="AQ447" s="244">
        <f>1779-580+334+334+200</f>
        <v>2067</v>
      </c>
      <c r="AR447" s="480" t="s">
        <v>262</v>
      </c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8">
      <c r="A448" t="str">
        <f t="shared" si="8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8"/>
        <v>2370.6533333333336</v>
      </c>
      <c r="AA448" s="277"/>
      <c r="AB448" s="285"/>
      <c r="AC448" s="278"/>
      <c r="AD448" s="286"/>
      <c r="AE448" s="285"/>
      <c r="AF448" s="278">
        <f t="shared" si="109"/>
        <v>178.89</v>
      </c>
      <c r="AG448" s="279"/>
      <c r="AH448" s="280">
        <f t="shared" si="106"/>
        <v>-2191.7633333333338</v>
      </c>
      <c r="AI448" s="281">
        <f t="shared" si="110"/>
        <v>-0.92453978931265091</v>
      </c>
      <c r="AJ448" s="286"/>
      <c r="AK448" s="277"/>
      <c r="AL448" s="278">
        <f t="shared" si="111"/>
        <v>1851.6599999999999</v>
      </c>
      <c r="AM448" s="282"/>
      <c r="AN448" s="280">
        <f t="shared" si="107"/>
        <v>-1672.77</v>
      </c>
      <c r="AO448" s="287">
        <f t="shared" si="112"/>
        <v>-0.90338939114092232</v>
      </c>
      <c r="AP448" s="244"/>
      <c r="AQ448" s="244">
        <v>179</v>
      </c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8">
      <c r="A449" t="str">
        <f t="shared" si="8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1.8088154932681749E-3</v>
      </c>
      <c r="Z449" s="278">
        <f t="shared" si="108"/>
        <v>11969.181292239955</v>
      </c>
      <c r="AA449" s="277"/>
      <c r="AB449" s="285"/>
      <c r="AC449" s="278"/>
      <c r="AD449" s="286"/>
      <c r="AE449" s="285"/>
      <c r="AF449" s="278">
        <f t="shared" si="109"/>
        <v>9596.3599999999988</v>
      </c>
      <c r="AG449" s="279"/>
      <c r="AH449" s="280">
        <f t="shared" si="106"/>
        <v>-2372.8212922399562</v>
      </c>
      <c r="AI449" s="281">
        <f t="shared" si="110"/>
        <v>-0.19824424363747756</v>
      </c>
      <c r="AJ449" s="286"/>
      <c r="AK449" s="277"/>
      <c r="AL449" s="278">
        <f t="shared" si="111"/>
        <v>9752.16</v>
      </c>
      <c r="AM449" s="282"/>
      <c r="AN449" s="280">
        <f>AF449-AL449</f>
        <v>-155.80000000000109</v>
      </c>
      <c r="AO449" s="287">
        <f>IF(AL449=0,0,AN449/AL449)</f>
        <v>-1.5975947892569554E-2</v>
      </c>
      <c r="AP449" s="244"/>
      <c r="AQ449" s="244">
        <v>9596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8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>IFERROR(SUMIF($C:$C,$V450,F:F),0)</f>
        <v>0</v>
      </c>
      <c r="AA450" s="277"/>
      <c r="AB450" s="277"/>
      <c r="AC450" s="280"/>
      <c r="AD450" s="286"/>
      <c r="AE450" s="285"/>
      <c r="AF450" s="278">
        <f t="shared" si="109"/>
        <v>0</v>
      </c>
      <c r="AG450" s="279"/>
      <c r="AH450" s="280">
        <f t="shared" si="106"/>
        <v>0</v>
      </c>
      <c r="AI450" s="281">
        <f t="shared" si="110"/>
        <v>0</v>
      </c>
      <c r="AJ450" s="286"/>
      <c r="AK450" s="277"/>
      <c r="AL450" s="278">
        <f>IFERROR(SUMIF($C:$C,$V450,Q:Q),0)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8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IFERROR(SUMIF($C:$C,$V451,F:F),0)</f>
        <v>0</v>
      </c>
      <c r="AA451" s="277"/>
      <c r="AB451" s="277"/>
      <c r="AC451" s="280"/>
      <c r="AD451" s="286"/>
      <c r="AE451" s="285"/>
      <c r="AF451" s="278">
        <f t="shared" si="109"/>
        <v>0</v>
      </c>
      <c r="AG451" s="279"/>
      <c r="AH451" s="280">
        <f t="shared" si="106"/>
        <v>0</v>
      </c>
      <c r="AI451" s="281">
        <f t="shared" si="110"/>
        <v>0</v>
      </c>
      <c r="AJ451" s="286"/>
      <c r="AK451" s="277"/>
      <c r="AL451" s="278">
        <f>IFERROR(SUMIF($C:$C,$V451,Q:Q),0)</f>
        <v>0</v>
      </c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8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IFERROR(SUMIF($C:$C,$V452,F:F),0)</f>
        <v>0</v>
      </c>
      <c r="AA452" s="277"/>
      <c r="AB452" s="277"/>
      <c r="AC452" s="280"/>
      <c r="AD452" s="286"/>
      <c r="AE452" s="285"/>
      <c r="AF452" s="278">
        <f t="shared" si="109"/>
        <v>0</v>
      </c>
      <c r="AG452" s="279"/>
      <c r="AH452" s="280">
        <f t="shared" si="106"/>
        <v>0</v>
      </c>
      <c r="AI452" s="281">
        <f t="shared" si="110"/>
        <v>0</v>
      </c>
      <c r="AJ452" s="286"/>
      <c r="AK452" s="277"/>
      <c r="AL452" s="278">
        <f>IFERROR(SUMIF($C:$C,$V452,Q:Q),0)</f>
        <v>0</v>
      </c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8">
      <c r="A453" t="str">
        <f t="shared" si="8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0.13310342368944475</v>
      </c>
      <c r="Y453" s="295"/>
      <c r="Z453" s="297">
        <f>+SUM(Z435:Z452)</f>
        <v>88039.864280309703</v>
      </c>
      <c r="AA453" s="296"/>
      <c r="AB453" s="295"/>
      <c r="AC453" s="297"/>
      <c r="AD453" s="298">
        <f>AF453/AF408</f>
        <v>0.1618227796835596</v>
      </c>
      <c r="AE453" s="295"/>
      <c r="AF453" s="297">
        <f>+SUM(AF435:AF452)</f>
        <v>92411.069999999992</v>
      </c>
      <c r="AG453" s="306"/>
      <c r="AH453" s="300">
        <f>+SUM(AH435:AH452)</f>
        <v>4371.2057196903097</v>
      </c>
      <c r="AI453" s="296">
        <f>AH453/Z453</f>
        <v>4.9650300524917312E-2</v>
      </c>
      <c r="AJ453" s="298">
        <f>IF($AL$408=0,0,AL453/$AL$408)</f>
        <v>0.13160371714204708</v>
      </c>
      <c r="AK453" s="296"/>
      <c r="AL453" s="297">
        <f>+SUM(AL435:AL452)</f>
        <v>86424.189999999973</v>
      </c>
      <c r="AM453" s="307"/>
      <c r="AN453" s="300">
        <f>+SUM(AN435:AN452)</f>
        <v>5986.8800000000119</v>
      </c>
      <c r="AO453" s="329">
        <f>IF(AL453=0,0,AN453/AL453)</f>
        <v>6.9273197700782774E-2</v>
      </c>
      <c r="AP453" s="244"/>
      <c r="AQ453" s="308">
        <f>SUM(AQ435:AQ449)-AF453</f>
        <v>8.000000000174623E-2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8">
      <c r="A454" t="str">
        <f t="shared" si="8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3">AF454-Z454</f>
        <v>0</v>
      </c>
      <c r="AI454" s="281">
        <f t="shared" ref="AI454:AI462" si="114">IF(Z454=0,0,AH454/Z454)</f>
        <v>0</v>
      </c>
      <c r="AJ454" s="286"/>
      <c r="AK454" s="277"/>
      <c r="AL454" s="278">
        <v>50000</v>
      </c>
      <c r="AM454" s="282"/>
      <c r="AN454" s="280">
        <f>AF454-AL454</f>
        <v>0</v>
      </c>
      <c r="AO454" s="287">
        <f t="shared" ref="AO454:AO462" si="115">IF(AL454=0,0,AN454/AL454)</f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8">
      <c r="A455" t="str">
        <f t="shared" si="8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6346.6299999999992</v>
      </c>
      <c r="AG455" s="279"/>
      <c r="AH455" s="280">
        <f t="shared" si="113"/>
        <v>9.9999999998544808E-2</v>
      </c>
      <c r="AI455" s="281">
        <f t="shared" si="114"/>
        <v>1.5756641818213227E-5</v>
      </c>
      <c r="AJ455" s="286"/>
      <c r="AK455" s="277"/>
      <c r="AL455" s="278">
        <v>6163.5</v>
      </c>
      <c r="AM455" s="282"/>
      <c r="AN455" s="280">
        <f t="shared" ref="AN455:AN462" si="116">AF455-AL455</f>
        <v>183.1299999999992</v>
      </c>
      <c r="AO455" s="287">
        <f t="shared" si="115"/>
        <v>2.9712014277601881E-2</v>
      </c>
      <c r="AP455" s="244"/>
      <c r="AQ455" s="494">
        <v>6347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8">
      <c r="A456" t="str">
        <f t="shared" si="8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2719.99</v>
      </c>
      <c r="AG456" s="263"/>
      <c r="AH456" s="264">
        <f t="shared" si="113"/>
        <v>4.9999999999272404E-2</v>
      </c>
      <c r="AI456" s="291">
        <f t="shared" si="114"/>
        <v>1.8382758442933445E-5</v>
      </c>
      <c r="AJ456" s="290"/>
      <c r="AK456" s="261"/>
      <c r="AL456" s="262">
        <v>2641.5</v>
      </c>
      <c r="AM456" s="266"/>
      <c r="AN456" s="264">
        <f t="shared" si="116"/>
        <v>78.489999999999782</v>
      </c>
      <c r="AO456" s="267">
        <f t="shared" si="115"/>
        <v>2.9714177550634026E-2</v>
      </c>
      <c r="AP456" s="244"/>
      <c r="AQ456" s="494">
        <v>2720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8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3"/>
        <v>0</v>
      </c>
      <c r="AI457" s="281">
        <f t="shared" si="114"/>
        <v>0</v>
      </c>
      <c r="AJ457" s="286"/>
      <c r="AK457" s="277"/>
      <c r="AL457" s="278">
        <v>0</v>
      </c>
      <c r="AM457" s="282"/>
      <c r="AN457" s="280">
        <f t="shared" si="116"/>
        <v>0</v>
      </c>
      <c r="AO457" s="287">
        <f t="shared" si="115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8">
      <c r="A458" t="str">
        <f t="shared" si="8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3"/>
        <v>-6.6666666671153507E-3</v>
      </c>
      <c r="AI458" s="291">
        <f t="shared" si="114"/>
        <v>-1.8668035657204508E-6</v>
      </c>
      <c r="AJ458" s="290"/>
      <c r="AK458" s="261"/>
      <c r="AL458" s="262">
        <v>4853.83</v>
      </c>
      <c r="AM458" s="266"/>
      <c r="AN458" s="264">
        <f t="shared" si="116"/>
        <v>-1282.67</v>
      </c>
      <c r="AO458" s="267">
        <f t="shared" si="115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8">
      <c r="A459" t="str">
        <f t="shared" si="8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6500.36</v>
      </c>
      <c r="AG459" s="279"/>
      <c r="AH459" s="280">
        <f t="shared" si="113"/>
        <v>-174.64000000000033</v>
      </c>
      <c r="AI459" s="281">
        <f t="shared" si="114"/>
        <v>-2.6163295880149862E-2</v>
      </c>
      <c r="AJ459" s="286"/>
      <c r="AK459" s="277"/>
      <c r="AL459" s="278">
        <v>5414.6</v>
      </c>
      <c r="AM459" s="282"/>
      <c r="AN459" s="280">
        <f t="shared" si="116"/>
        <v>1085.7599999999993</v>
      </c>
      <c r="AO459" s="287">
        <f t="shared" si="115"/>
        <v>0.20052450781221129</v>
      </c>
      <c r="AP459" s="244"/>
      <c r="AQ459" s="244">
        <f>5500+1000</f>
        <v>6500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8">
      <c r="A460" t="str">
        <f t="shared" si="8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1500</v>
      </c>
      <c r="AG460" s="279"/>
      <c r="AH460" s="280">
        <f t="shared" si="113"/>
        <v>-250</v>
      </c>
      <c r="AI460" s="281">
        <f t="shared" si="114"/>
        <v>-0.14285714285714285</v>
      </c>
      <c r="AJ460" s="286"/>
      <c r="AK460" s="277"/>
      <c r="AL460" s="278">
        <v>6307.33</v>
      </c>
      <c r="AM460" s="282"/>
      <c r="AN460" s="280">
        <f t="shared" si="116"/>
        <v>-4807.33</v>
      </c>
      <c r="AO460" s="287">
        <f t="shared" si="115"/>
        <v>-0.76218146188640834</v>
      </c>
      <c r="AP460" s="244"/>
      <c r="AQ460" s="494">
        <v>1500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8">
      <c r="A461" t="str">
        <f t="shared" si="8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450</v>
      </c>
      <c r="AG461" s="263"/>
      <c r="AH461" s="264">
        <f t="shared" si="113"/>
        <v>0</v>
      </c>
      <c r="AI461" s="291">
        <f t="shared" si="114"/>
        <v>0</v>
      </c>
      <c r="AJ461" s="290"/>
      <c r="AK461" s="261"/>
      <c r="AL461" s="262">
        <v>400</v>
      </c>
      <c r="AM461" s="266"/>
      <c r="AN461" s="264">
        <f t="shared" si="116"/>
        <v>50</v>
      </c>
      <c r="AO461" s="267">
        <f t="shared" si="115"/>
        <v>0.125</v>
      </c>
      <c r="AP461" s="244"/>
      <c r="AQ461" s="244">
        <v>450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8">
      <c r="A462" t="str">
        <f t="shared" si="8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264</v>
      </c>
      <c r="AG462" s="279"/>
      <c r="AH462" s="280">
        <f t="shared" si="113"/>
        <v>-15</v>
      </c>
      <c r="AI462" s="333">
        <f t="shared" si="114"/>
        <v>-5.3763440860215055E-2</v>
      </c>
      <c r="AJ462" s="277"/>
      <c r="AK462" s="277"/>
      <c r="AL462" s="278">
        <v>218.95999999999901</v>
      </c>
      <c r="AM462" s="282"/>
      <c r="AN462" s="280">
        <f t="shared" si="116"/>
        <v>45.040000000000987</v>
      </c>
      <c r="AO462" s="287">
        <f t="shared" si="115"/>
        <v>0.2056996711728224</v>
      </c>
      <c r="AP462" s="244"/>
      <c r="AQ462" s="244">
        <f>164+100</f>
        <v>264</v>
      </c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8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8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IFERROR(SUMIF($C:$C,$V464,F:F),0)</f>
        <v>0</v>
      </c>
      <c r="AA464" s="277"/>
      <c r="AB464" s="277"/>
      <c r="AC464" s="280"/>
      <c r="AD464" s="286"/>
      <c r="AE464" s="285"/>
      <c r="AF464" s="278">
        <f>+SUMIF($C:$C,$V464,L:L)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8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IFERROR(SUMIF($C:$C,$V465,F:F),0)</f>
        <v>0</v>
      </c>
      <c r="AA465" s="277"/>
      <c r="AB465" s="277"/>
      <c r="AC465" s="280"/>
      <c r="AD465" s="286"/>
      <c r="AE465" s="285"/>
      <c r="AF465" s="278">
        <f>+SUMIF($C:$C,$V465,L:L)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IFERROR(SUMIF($C:$C,$V465,Q:Q),0)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8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IFERROR(SUMIF($C:$C,$V466,F:F),0)</f>
        <v>0</v>
      </c>
      <c r="AA466" s="277"/>
      <c r="AB466" s="277"/>
      <c r="AC466" s="280"/>
      <c r="AD466" s="286"/>
      <c r="AE466" s="285"/>
      <c r="AF466" s="278">
        <f>+SUMIF($C:$C,$V466,L:L)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IFERROR(SUMIF($C:$C,$V466,Q:Q),0)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8">
      <c r="A467" t="str">
        <f t="shared" si="8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0.10853847527726328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0.12494608742405537</v>
      </c>
      <c r="AE467" s="295"/>
      <c r="AF467" s="297">
        <f>SUM(AF454:AF466)</f>
        <v>71352.14</v>
      </c>
      <c r="AG467" s="306"/>
      <c r="AH467" s="300">
        <f>SUM(AH454:AH466)</f>
        <v>-439.49666666666963</v>
      </c>
      <c r="AI467" s="296">
        <f>IF(Z467=0,0,AH467/Z467)</f>
        <v>-6.1218365686142783E-3</v>
      </c>
      <c r="AJ467" s="298">
        <f>IF($AL$408=0,0,AL467/$AL$408)</f>
        <v>0.11572970083670765</v>
      </c>
      <c r="AK467" s="296"/>
      <c r="AL467" s="297">
        <f>SUM(AL454:AL466)</f>
        <v>75999.72</v>
      </c>
      <c r="AM467" s="307"/>
      <c r="AN467" s="300">
        <f>SUM(AN454:AN466)</f>
        <v>-4647.5800000000008</v>
      </c>
      <c r="AO467" s="329">
        <f t="shared" ref="AO467:AO484" si="117">IF(AL467=0,0,AN467/AL467)</f>
        <v>-6.1152593720082138E-2</v>
      </c>
      <c r="AP467" s="244"/>
      <c r="AQ467" s="308">
        <f>SUM(AQ454:AQ462)-AF467</f>
        <v>-0.13999999999941792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8">
      <c r="A468" t="str">
        <f t="shared" si="8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18">AF468-Z468</f>
        <v>0</v>
      </c>
      <c r="AI468" s="281"/>
      <c r="AJ468" s="286"/>
      <c r="AK468" s="277"/>
      <c r="AL468" s="334"/>
      <c r="AM468" s="335"/>
      <c r="AN468" s="280">
        <f t="shared" ref="AN468:AN484" si="119">AF468-AL468</f>
        <v>0</v>
      </c>
      <c r="AO468" s="336">
        <f t="shared" si="117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8">
      <c r="A469" t="str">
        <f t="shared" si="8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0.79600269022305492</v>
      </c>
      <c r="Y469" s="295"/>
      <c r="Z469" s="297">
        <f>Z420+Z434+Z453+Z467</f>
        <v>526507.6349764592</v>
      </c>
      <c r="AA469" s="296"/>
      <c r="AB469" s="295"/>
      <c r="AC469" s="297"/>
      <c r="AD469" s="298">
        <f>AF469/AF408</f>
        <v>0.84946747245691268</v>
      </c>
      <c r="AE469" s="295"/>
      <c r="AF469" s="297">
        <f>AF420+AF434+AF453+AF467</f>
        <v>485099.8</v>
      </c>
      <c r="AG469" s="306"/>
      <c r="AH469" s="300">
        <f t="shared" si="118"/>
        <v>-41407.834976459213</v>
      </c>
      <c r="AI469" s="296">
        <f>AH469/Z469</f>
        <v>-7.8646219400618209E-2</v>
      </c>
      <c r="AJ469" s="298">
        <f>IF($AL$408=0,0,AL469/$AL$408)</f>
        <v>0.81245940499304303</v>
      </c>
      <c r="AK469" s="296"/>
      <c r="AL469" s="297">
        <f>AL420+AL434+AL453+AL467</f>
        <v>533542.26999999979</v>
      </c>
      <c r="AM469" s="307"/>
      <c r="AN469" s="300">
        <f t="shared" si="119"/>
        <v>-48442.469999999797</v>
      </c>
      <c r="AO469" s="275">
        <f t="shared" si="117"/>
        <v>-9.0794062108705678E-2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8">
      <c r="A470" t="str">
        <f t="shared" si="8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1501.71</v>
      </c>
      <c r="AG470" s="340"/>
      <c r="AH470" s="280">
        <f t="shared" si="118"/>
        <v>1501.71</v>
      </c>
      <c r="AI470" s="333" t="e">
        <f>IF(AH470=0,0,AH470/Z470)</f>
        <v>#DIV/0!</v>
      </c>
      <c r="AJ470" s="339"/>
      <c r="AK470" s="337"/>
      <c r="AL470" s="341">
        <v>1753.9399999999998</v>
      </c>
      <c r="AM470" s="342"/>
      <c r="AN470" s="280">
        <f t="shared" si="119"/>
        <v>-252.22999999999979</v>
      </c>
      <c r="AO470" s="287">
        <f t="shared" si="117"/>
        <v>-0.14380765590613123</v>
      </c>
      <c r="AP470" s="244" t="s">
        <v>263</v>
      </c>
      <c r="AQ470" s="244">
        <v>1502</v>
      </c>
      <c r="AR470" s="244"/>
      <c r="AS470" s="244">
        <f>AQ470+AR470</f>
        <v>1502</v>
      </c>
      <c r="AT470" s="308">
        <f>AS470-AF470</f>
        <v>0.28999999999996362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8">
      <c r="A471" t="str">
        <f t="shared" si="8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75197.571428571435</v>
      </c>
      <c r="AA471" s="330"/>
      <c r="AB471" s="331"/>
      <c r="AC471" s="278"/>
      <c r="AD471" s="343"/>
      <c r="AE471" s="331"/>
      <c r="AF471" s="278">
        <f t="shared" ref="AF471:AF477" si="120">+SUMIF($C:$C,$V471,L:L)</f>
        <v>73463</v>
      </c>
      <c r="AG471" s="344"/>
      <c r="AH471" s="280">
        <f t="shared" si="118"/>
        <v>-1734.5714285714348</v>
      </c>
      <c r="AI471" s="304">
        <f>IF(Z471=0,0,AH471/Z471)</f>
        <v>-2.3066854362697963E-2</v>
      </c>
      <c r="AJ471" s="343"/>
      <c r="AK471" s="330"/>
      <c r="AL471" s="345">
        <f>+SUMIF($C:$C,$V471,Q:Q)</f>
        <v>76338.399999999994</v>
      </c>
      <c r="AM471" s="346"/>
      <c r="AN471" s="280">
        <f t="shared" si="119"/>
        <v>-2875.3999999999942</v>
      </c>
      <c r="AO471" s="287">
        <f t="shared" si="117"/>
        <v>-3.7666495498988643E-2</v>
      </c>
      <c r="AP471" s="244"/>
      <c r="AQ471" s="244">
        <v>73463</v>
      </c>
      <c r="AR471" s="244"/>
      <c r="AS471" s="244">
        <f>AQ471+AR471</f>
        <v>73463</v>
      </c>
      <c r="AT471" s="308">
        <f t="shared" ref="AT471:AT481" si="121">AS471-AF471</f>
        <v>0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8">
      <c r="A472" t="str">
        <f t="shared" si="8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62037.99642857143</v>
      </c>
      <c r="AA472" s="330"/>
      <c r="AB472" s="331"/>
      <c r="AC472" s="278"/>
      <c r="AD472" s="343"/>
      <c r="AE472" s="331"/>
      <c r="AF472" s="278">
        <f t="shared" si="120"/>
        <v>61961.34</v>
      </c>
      <c r="AG472" s="344"/>
      <c r="AH472" s="280">
        <f t="shared" si="118"/>
        <v>-76.656428571433935</v>
      </c>
      <c r="AI472" s="304">
        <f t="shared" ref="AI472:AI481" si="122">IF(AH472=0,0,AH472/Z472)</f>
        <v>-1.2356367546410643E-3</v>
      </c>
      <c r="AJ472" s="343"/>
      <c r="AK472" s="330"/>
      <c r="AL472" s="345">
        <v>64585.66</v>
      </c>
      <c r="AM472" s="346"/>
      <c r="AN472" s="280">
        <f t="shared" si="119"/>
        <v>-2624.320000000007</v>
      </c>
      <c r="AO472" s="287">
        <f t="shared" si="117"/>
        <v>-4.0633168415403771E-2</v>
      </c>
      <c r="AP472" s="244"/>
      <c r="AQ472" s="244">
        <f>42233+20437</f>
        <v>62670</v>
      </c>
      <c r="AR472" s="244">
        <f>10506.03-11215.03</f>
        <v>-709</v>
      </c>
      <c r="AS472" s="244">
        <f>AQ472+AR472</f>
        <v>61961</v>
      </c>
      <c r="AT472" s="308">
        <f t="shared" si="121"/>
        <v>-0.33999999999650754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8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+SUMIF($C:$C,$V473,F:F)</f>
        <v>0</v>
      </c>
      <c r="AA473" s="330"/>
      <c r="AB473" s="331"/>
      <c r="AC473" s="278"/>
      <c r="AD473" s="343"/>
      <c r="AE473" s="331"/>
      <c r="AF473" s="278">
        <f t="shared" si="120"/>
        <v>0</v>
      </c>
      <c r="AG473" s="344"/>
      <c r="AH473" s="280">
        <f t="shared" si="118"/>
        <v>0</v>
      </c>
      <c r="AI473" s="304">
        <f t="shared" si="122"/>
        <v>0</v>
      </c>
      <c r="AJ473" s="343"/>
      <c r="AK473" s="330"/>
      <c r="AL473" s="345">
        <f>+SUMIF($C:$C,$V473,Q:Q)</f>
        <v>0</v>
      </c>
      <c r="AM473" s="346"/>
      <c r="AN473" s="280">
        <f t="shared" si="119"/>
        <v>0</v>
      </c>
      <c r="AO473" s="287">
        <f t="shared" si="117"/>
        <v>0</v>
      </c>
      <c r="AP473" s="244"/>
      <c r="AQ473" s="244"/>
      <c r="AR473" s="244"/>
      <c r="AS473" s="244">
        <f t="shared" ref="AS473:AS481" si="123">AQ473+AR473</f>
        <v>0</v>
      </c>
      <c r="AT473" s="308">
        <f t="shared" si="121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8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+SUMIF($C:$C,$V474,F:F)</f>
        <v>0</v>
      </c>
      <c r="AA474" s="330"/>
      <c r="AB474" s="331"/>
      <c r="AC474" s="278"/>
      <c r="AD474" s="343"/>
      <c r="AE474" s="331"/>
      <c r="AF474" s="278">
        <f t="shared" si="120"/>
        <v>0</v>
      </c>
      <c r="AG474" s="344"/>
      <c r="AH474" s="280">
        <f t="shared" si="118"/>
        <v>0</v>
      </c>
      <c r="AI474" s="304">
        <f t="shared" si="122"/>
        <v>0</v>
      </c>
      <c r="AJ474" s="343"/>
      <c r="AK474" s="330"/>
      <c r="AL474" s="345">
        <f>+SUMIF($C:$C,$V474,Q:Q)</f>
        <v>0</v>
      </c>
      <c r="AM474" s="346"/>
      <c r="AN474" s="280">
        <f t="shared" si="119"/>
        <v>0</v>
      </c>
      <c r="AO474" s="287">
        <f t="shared" si="117"/>
        <v>0</v>
      </c>
      <c r="AP474" s="244"/>
      <c r="AQ474" s="244"/>
      <c r="AR474" s="244"/>
      <c r="AS474" s="244">
        <f t="shared" si="123"/>
        <v>0</v>
      </c>
      <c r="AT474" s="308">
        <f t="shared" si="121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8">
      <c r="A475" t="str">
        <f t="shared" si="8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4500</v>
      </c>
      <c r="AA475" s="330"/>
      <c r="AB475" s="331"/>
      <c r="AC475" s="278"/>
      <c r="AD475" s="343"/>
      <c r="AE475" s="331"/>
      <c r="AF475" s="278">
        <f t="shared" si="120"/>
        <v>6375</v>
      </c>
      <c r="AG475" s="344"/>
      <c r="AH475" s="280">
        <f t="shared" si="118"/>
        <v>1875</v>
      </c>
      <c r="AI475" s="304">
        <f t="shared" si="122"/>
        <v>0.41666666666666669</v>
      </c>
      <c r="AJ475" s="343"/>
      <c r="AK475" s="330"/>
      <c r="AL475" s="345">
        <v>0</v>
      </c>
      <c r="AM475" s="346"/>
      <c r="AN475" s="280">
        <f t="shared" si="119"/>
        <v>6375</v>
      </c>
      <c r="AO475" s="287">
        <f t="shared" si="117"/>
        <v>0</v>
      </c>
      <c r="AP475" s="244"/>
      <c r="AQ475" s="244">
        <v>6375</v>
      </c>
      <c r="AR475" s="244"/>
      <c r="AS475" s="244">
        <f t="shared" si="123"/>
        <v>6375</v>
      </c>
      <c r="AT475" s="308">
        <f t="shared" si="121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8">
      <c r="A476" t="str">
        <f t="shared" si="8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+SUMIF($C:$C,$V476,F:F)</f>
        <v>0</v>
      </c>
      <c r="AA476" s="330"/>
      <c r="AB476" s="331"/>
      <c r="AC476" s="278"/>
      <c r="AD476" s="343"/>
      <c r="AE476" s="331"/>
      <c r="AF476" s="278">
        <f t="shared" si="120"/>
        <v>5000</v>
      </c>
      <c r="AG476" s="344"/>
      <c r="AH476" s="280">
        <f t="shared" si="118"/>
        <v>5000</v>
      </c>
      <c r="AI476" s="304" t="e">
        <f t="shared" si="122"/>
        <v>#DIV/0!</v>
      </c>
      <c r="AJ476" s="343"/>
      <c r="AK476" s="330"/>
      <c r="AL476" s="345">
        <f>+SUMIF($C:$C,$V476,Q:Q)</f>
        <v>0</v>
      </c>
      <c r="AM476" s="346"/>
      <c r="AN476" s="280">
        <f t="shared" si="119"/>
        <v>5000</v>
      </c>
      <c r="AO476" s="287">
        <f t="shared" si="117"/>
        <v>0</v>
      </c>
      <c r="AP476" s="244"/>
      <c r="AQ476" s="244">
        <v>5000</v>
      </c>
      <c r="AR476" s="244"/>
      <c r="AS476" s="244">
        <f t="shared" si="123"/>
        <v>5000</v>
      </c>
      <c r="AT476" s="308">
        <f t="shared" si="121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8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+SUMIF($C:$C,$V477,F:F)</f>
        <v>0</v>
      </c>
      <c r="AA477" s="330"/>
      <c r="AB477" s="331"/>
      <c r="AC477" s="278"/>
      <c r="AD477" s="343"/>
      <c r="AE477" s="331"/>
      <c r="AF477" s="278">
        <f t="shared" si="120"/>
        <v>0</v>
      </c>
      <c r="AG477" s="344"/>
      <c r="AH477" s="280">
        <f t="shared" si="118"/>
        <v>0</v>
      </c>
      <c r="AI477" s="304">
        <f t="shared" si="122"/>
        <v>0</v>
      </c>
      <c r="AJ477" s="343"/>
      <c r="AK477" s="330"/>
      <c r="AL477" s="345">
        <f>+SUMIF($C:$C,$V477,Q:Q)</f>
        <v>0</v>
      </c>
      <c r="AM477" s="346"/>
      <c r="AN477" s="280">
        <f t="shared" si="119"/>
        <v>0</v>
      </c>
      <c r="AO477" s="287">
        <f t="shared" si="117"/>
        <v>0</v>
      </c>
      <c r="AP477" s="244"/>
      <c r="AQ477" s="244"/>
      <c r="AR477" s="244"/>
      <c r="AS477" s="244">
        <f t="shared" si="123"/>
        <v>0</v>
      </c>
      <c r="AT477" s="308">
        <f t="shared" si="121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8">
      <c r="A478" t="str">
        <f t="shared" si="8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41358.66428571428</v>
      </c>
      <c r="AA478" s="330"/>
      <c r="AB478" s="331"/>
      <c r="AC478" s="278"/>
      <c r="AD478" s="343"/>
      <c r="AE478" s="331"/>
      <c r="AF478" s="278">
        <v>39158.9</v>
      </c>
      <c r="AG478" s="344"/>
      <c r="AH478" s="280">
        <f t="shared" si="118"/>
        <v>-2199.7642857142782</v>
      </c>
      <c r="AI478" s="304">
        <f t="shared" si="122"/>
        <v>-5.3187507955233942E-2</v>
      </c>
      <c r="AJ478" s="343"/>
      <c r="AK478" s="330"/>
      <c r="AL478" s="345">
        <v>37391.64</v>
      </c>
      <c r="AM478" s="346"/>
      <c r="AN478" s="280">
        <f t="shared" si="119"/>
        <v>1767.260000000002</v>
      </c>
      <c r="AO478" s="287">
        <f t="shared" si="117"/>
        <v>4.7263505960155855E-2</v>
      </c>
      <c r="AP478" s="244"/>
      <c r="AQ478" s="244">
        <v>40873</v>
      </c>
      <c r="AR478" s="244">
        <f>6244.7-7959.05</f>
        <v>-1714.3500000000004</v>
      </c>
      <c r="AS478" s="244">
        <f t="shared" si="123"/>
        <v>39158.65</v>
      </c>
      <c r="AT478" s="308">
        <f t="shared" si="121"/>
        <v>-0.25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8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IFERROR(SUMIF($C:$C,$V479,F:F),0)</f>
        <v>0</v>
      </c>
      <c r="AA479" s="277"/>
      <c r="AB479" s="277"/>
      <c r="AC479" s="280"/>
      <c r="AD479" s="286"/>
      <c r="AE479" s="285"/>
      <c r="AF479" s="278">
        <f>+SUMIF($C:$C,$V479,L:L)</f>
        <v>0</v>
      </c>
      <c r="AG479" s="279"/>
      <c r="AH479" s="280">
        <f t="shared" si="118"/>
        <v>0</v>
      </c>
      <c r="AI479" s="281">
        <f t="shared" si="122"/>
        <v>0</v>
      </c>
      <c r="AJ479" s="286"/>
      <c r="AK479" s="277"/>
      <c r="AL479" s="278">
        <f>+SUMIF($C:$C,$V479,Q:Q)</f>
        <v>0</v>
      </c>
      <c r="AM479" s="346"/>
      <c r="AN479" s="280">
        <f t="shared" si="119"/>
        <v>0</v>
      </c>
      <c r="AO479" s="287">
        <f t="shared" si="117"/>
        <v>0</v>
      </c>
      <c r="AP479" s="244"/>
      <c r="AQ479" s="244"/>
      <c r="AR479" s="244"/>
      <c r="AS479" s="244">
        <f t="shared" si="123"/>
        <v>0</v>
      </c>
      <c r="AT479" s="308">
        <f t="shared" si="121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8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IFERROR(SUMIF($C:$C,$V480,F:F),0)</f>
        <v>0</v>
      </c>
      <c r="AA480" s="277"/>
      <c r="AB480" s="277"/>
      <c r="AC480" s="280"/>
      <c r="AD480" s="286"/>
      <c r="AE480" s="285"/>
      <c r="AF480" s="278">
        <f>+SUMIF($C:$C,$V480,L:L)</f>
        <v>0</v>
      </c>
      <c r="AG480" s="279"/>
      <c r="AH480" s="280">
        <f t="shared" si="118"/>
        <v>0</v>
      </c>
      <c r="AI480" s="281">
        <f t="shared" si="122"/>
        <v>0</v>
      </c>
      <c r="AJ480" s="286"/>
      <c r="AK480" s="277"/>
      <c r="AL480" s="278">
        <f>+SUMIF($C:$C,$V480,Q:Q)</f>
        <v>0</v>
      </c>
      <c r="AM480" s="346"/>
      <c r="AN480" s="280">
        <f t="shared" si="119"/>
        <v>0</v>
      </c>
      <c r="AO480" s="287">
        <f t="shared" si="117"/>
        <v>0</v>
      </c>
      <c r="AP480" s="244"/>
      <c r="AQ480" s="244"/>
      <c r="AR480" s="244"/>
      <c r="AS480" s="244">
        <f t="shared" si="123"/>
        <v>0</v>
      </c>
      <c r="AT480" s="308">
        <f t="shared" si="121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8">
      <c r="A481" t="str">
        <f t="shared" si="8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35188.300000000003</v>
      </c>
      <c r="AA481" s="330"/>
      <c r="AB481" s="331"/>
      <c r="AC481" s="278"/>
      <c r="AD481" s="343"/>
      <c r="AE481" s="331"/>
      <c r="AF481" s="278">
        <f>+SUMIF($C:$C,$V481,L:L)</f>
        <v>39270</v>
      </c>
      <c r="AG481" s="344"/>
      <c r="AH481" s="280">
        <f t="shared" si="118"/>
        <v>4081.6999999999971</v>
      </c>
      <c r="AI481" s="304">
        <f t="shared" si="122"/>
        <v>0.1159959418329387</v>
      </c>
      <c r="AJ481" s="343"/>
      <c r="AK481" s="330"/>
      <c r="AL481" s="345">
        <v>34510</v>
      </c>
      <c r="AM481" s="346"/>
      <c r="AN481" s="280">
        <f t="shared" si="119"/>
        <v>4760</v>
      </c>
      <c r="AO481" s="287">
        <f t="shared" si="117"/>
        <v>0.13793103448275862</v>
      </c>
      <c r="AP481" s="244"/>
      <c r="AQ481" s="244">
        <v>39270</v>
      </c>
      <c r="AR481" s="244"/>
      <c r="AS481" s="244">
        <f t="shared" si="123"/>
        <v>39270</v>
      </c>
      <c r="AT481" s="308">
        <f t="shared" si="121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8">
      <c r="A482" t="str">
        <f t="shared" si="8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0.33001132608871564</v>
      </c>
      <c r="Y482" s="328"/>
      <c r="Z482" s="297">
        <f>SUM(Z470:Z481)</f>
        <v>218282.53214285715</v>
      </c>
      <c r="AA482" s="296"/>
      <c r="AB482" s="328"/>
      <c r="AC482" s="297"/>
      <c r="AD482" s="296">
        <f>AF482/+AF408</f>
        <v>0.39703112134200463</v>
      </c>
      <c r="AE482" s="328"/>
      <c r="AF482" s="297">
        <f>SUM(AF470:AF481)</f>
        <v>226729.94999999998</v>
      </c>
      <c r="AG482" s="306"/>
      <c r="AH482" s="300">
        <f t="shared" si="118"/>
        <v>8447.4178571428347</v>
      </c>
      <c r="AI482" s="296">
        <f>AH482/Z482</f>
        <v>3.8699467951995074E-2</v>
      </c>
      <c r="AJ482" s="347"/>
      <c r="AK482" s="348"/>
      <c r="AL482" s="297">
        <f>SUM(AL470:AL481)</f>
        <v>214579.64</v>
      </c>
      <c r="AM482" s="349"/>
      <c r="AN482" s="300">
        <f t="shared" si="119"/>
        <v>12150.309999999969</v>
      </c>
      <c r="AO482" s="329">
        <f t="shared" si="117"/>
        <v>5.6623778472179226E-2</v>
      </c>
      <c r="AP482" s="244"/>
      <c r="AQ482" s="244"/>
      <c r="AR482" s="244"/>
      <c r="AS482" s="308">
        <f>SUM(AS470:AS481)-AF482</f>
        <v>-0.29999999998835847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.75" thickBot="1">
      <c r="A483" t="str">
        <f t="shared" si="8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19"/>
        <v>0</v>
      </c>
      <c r="AO483" s="362">
        <f t="shared" si="117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9.5" thickTop="1" thickBot="1">
      <c r="A484" t="str">
        <f t="shared" si="8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5.337873069564017E-2</v>
      </c>
      <c r="Z484" s="367">
        <f>Z408-Z469+Z482</f>
        <v>353214.41419732891</v>
      </c>
      <c r="AA484" s="365"/>
      <c r="AB484" s="366"/>
      <c r="AC484" s="367"/>
      <c r="AD484" s="365" t="s">
        <v>180</v>
      </c>
      <c r="AE484" s="366">
        <f>AF484/AF407</f>
        <v>4.6127215981275567E-2</v>
      </c>
      <c r="AF484" s="368">
        <f>AF408-AF469+AF482</f>
        <v>312693.5699999996</v>
      </c>
      <c r="AG484" s="369"/>
      <c r="AH484" s="368">
        <f>AF484-Z484</f>
        <v>-40520.844197329308</v>
      </c>
      <c r="AI484" s="481">
        <f>AH484/Z484</f>
        <v>-0.11472024517858914</v>
      </c>
      <c r="AJ484" s="371" t="s">
        <v>180</v>
      </c>
      <c r="AK484" s="366">
        <f>IF($AL$407=0,0,AL484/$AL$407)</f>
        <v>5.3047225815892614E-2</v>
      </c>
      <c r="AL484" s="368">
        <f>AL408-AL469+AL482</f>
        <v>337737.58999999939</v>
      </c>
      <c r="AM484" s="372"/>
      <c r="AN484" s="368">
        <f t="shared" si="119"/>
        <v>-25044.019999999786</v>
      </c>
      <c r="AO484" s="373">
        <f t="shared" si="117"/>
        <v>-7.4152302679721949E-2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8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25">
      <c r="A486" t="str">
        <f t="shared" ref="A486:A499" si="124">+U486&amp;V486</f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Mai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2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2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9.5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5.8337860376068605E-2</v>
      </c>
      <c r="Z489" s="446">
        <f>Z490+Z416</f>
        <v>386029.65843737574</v>
      </c>
      <c r="AA489" s="443"/>
      <c r="AB489" s="444"/>
      <c r="AC489" s="445"/>
      <c r="AD489" s="443" t="s">
        <v>180</v>
      </c>
      <c r="AE489" s="444">
        <f>AF489/AF407</f>
        <v>5.0625608916295924E-2</v>
      </c>
      <c r="AF489" s="446">
        <f>AF490+AF416</f>
        <v>343187.89999999962</v>
      </c>
      <c r="AG489" s="447"/>
      <c r="AH489" s="446">
        <f t="shared" ref="AH489" si="125">AF489-Z489</f>
        <v>-42841.75843737612</v>
      </c>
      <c r="AI489" s="488">
        <f>AH489/Z489</f>
        <v>-0.11098048427366156</v>
      </c>
      <c r="AJ489" s="443" t="s">
        <v>180</v>
      </c>
      <c r="AK489" s="444">
        <f>IF($AL$407=0,0,AL489/$AL$407)</f>
        <v>5.7930105912728951E-2</v>
      </c>
      <c r="AL489" s="446">
        <f>AL490+AL416</f>
        <v>368825.58999999939</v>
      </c>
      <c r="AM489" s="448"/>
      <c r="AN489" s="446">
        <f t="shared" ref="AN489" si="126">AF489-AL489</f>
        <v>-25637.689999999769</v>
      </c>
      <c r="AO489" s="449">
        <f t="shared" ref="AO489" si="127">IF(AL489=0,0,AN489/AL489)</f>
        <v>-6.9511689793541206E-2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9.5" thickTop="1" thickBot="1">
      <c r="A490" t="str">
        <f t="shared" si="12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5.337873069564017E-2</v>
      </c>
      <c r="Z490" s="379">
        <f>Z484</f>
        <v>353214.41419732891</v>
      </c>
      <c r="AA490" s="377"/>
      <c r="AB490" s="378"/>
      <c r="AC490" s="379"/>
      <c r="AD490" s="377" t="s">
        <v>180</v>
      </c>
      <c r="AE490" s="378">
        <f>AF490/AF407</f>
        <v>4.6127215981275567E-2</v>
      </c>
      <c r="AF490" s="379">
        <f>AF484</f>
        <v>312693.5699999996</v>
      </c>
      <c r="AG490" s="380"/>
      <c r="AH490" s="368">
        <f>AF490-Z490</f>
        <v>-40520.844197329308</v>
      </c>
      <c r="AI490" s="481">
        <f>AH490/Z490</f>
        <v>-0.11472024517858914</v>
      </c>
      <c r="AJ490" s="377" t="s">
        <v>180</v>
      </c>
      <c r="AK490" s="378">
        <f>IF($AL$407=0,0,AL490/$AL$407)</f>
        <v>5.3047225815892614E-2</v>
      </c>
      <c r="AL490" s="381">
        <f>AL484</f>
        <v>337737.58999999939</v>
      </c>
      <c r="AM490" s="382"/>
      <c r="AN490" s="383">
        <f>AF490-AL490</f>
        <v>-25044.019999999786</v>
      </c>
      <c r="AO490" s="384">
        <f>IF(AL490=0,0,AN490/AL490)</f>
        <v>-7.4152302679721949E-2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5" thickTop="1">
      <c r="A491" t="str">
        <f t="shared" si="12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8">
      <c r="A492" t="str">
        <f t="shared" si="12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28">AF492-Z492</f>
        <v>0</v>
      </c>
      <c r="AI492" s="304">
        <f t="shared" ref="AI492:AI498" si="129">IF(Z492=0,0,AH492/Z492)</f>
        <v>0</v>
      </c>
      <c r="AJ492" s="277"/>
      <c r="AK492" s="277"/>
      <c r="AL492" s="278">
        <v>19300</v>
      </c>
      <c r="AM492" s="282"/>
      <c r="AN492" s="280">
        <f t="shared" ref="AN492:AN499" si="130">AF492-AL492</f>
        <v>-15222.25</v>
      </c>
      <c r="AO492" s="287">
        <f t="shared" ref="AO492:AO499" si="131">IF(AL492=0,0,AN492/AL492)</f>
        <v>-0.78871761658031092</v>
      </c>
      <c r="AP492" s="244"/>
      <c r="AQ492" s="494">
        <v>4078</v>
      </c>
      <c r="AR492" s="308">
        <f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2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28"/>
        <v>0</v>
      </c>
      <c r="AI493" s="304">
        <f t="shared" si="129"/>
        <v>0</v>
      </c>
      <c r="AJ493" s="10"/>
      <c r="AK493" s="10"/>
      <c r="AL493" s="278">
        <v>0</v>
      </c>
      <c r="AM493" s="391"/>
      <c r="AN493" s="280">
        <f t="shared" si="130"/>
        <v>0</v>
      </c>
      <c r="AO493" s="287">
        <f t="shared" si="131"/>
        <v>0</v>
      </c>
      <c r="AP493" s="244"/>
      <c r="AQ493" s="244"/>
      <c r="AR493" s="308">
        <f t="shared" ref="AR493:AR497" si="132">AQ493-AF493</f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2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28"/>
        <v>0</v>
      </c>
      <c r="AI494" s="304">
        <f t="shared" si="129"/>
        <v>0</v>
      </c>
      <c r="AJ494" s="10"/>
      <c r="AK494" s="10"/>
      <c r="AL494" s="278">
        <v>0</v>
      </c>
      <c r="AM494" s="391"/>
      <c r="AN494" s="280">
        <f t="shared" si="130"/>
        <v>0</v>
      </c>
      <c r="AO494" s="287">
        <f t="shared" si="131"/>
        <v>0</v>
      </c>
      <c r="AP494" s="244"/>
      <c r="AQ494" s="244"/>
      <c r="AR494" s="308">
        <f t="shared" si="132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2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28"/>
        <v>0</v>
      </c>
      <c r="AI495" s="304">
        <f t="shared" si="129"/>
        <v>0</v>
      </c>
      <c r="AJ495" s="10"/>
      <c r="AK495" s="10"/>
      <c r="AL495" s="278">
        <v>0</v>
      </c>
      <c r="AM495" s="391"/>
      <c r="AN495" s="280">
        <f t="shared" si="130"/>
        <v>0</v>
      </c>
      <c r="AO495" s="287">
        <f t="shared" si="131"/>
        <v>0</v>
      </c>
      <c r="AP495" s="244"/>
      <c r="AQ495" s="244"/>
      <c r="AR495" s="308">
        <f t="shared" si="132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2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28"/>
        <v>0</v>
      </c>
      <c r="AI496" s="281">
        <f t="shared" si="129"/>
        <v>0</v>
      </c>
      <c r="AJ496" s="286"/>
      <c r="AK496" s="277"/>
      <c r="AL496" s="278"/>
      <c r="AM496" s="391"/>
      <c r="AN496" s="280">
        <f t="shared" si="130"/>
        <v>0</v>
      </c>
      <c r="AO496" s="287">
        <f t="shared" si="131"/>
        <v>0</v>
      </c>
      <c r="AP496" s="244"/>
      <c r="AQ496" s="244"/>
      <c r="AR496" s="308">
        <f t="shared" si="132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2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-4085.21</v>
      </c>
      <c r="AG497" s="279"/>
      <c r="AH497" s="280">
        <f t="shared" si="128"/>
        <v>-4085.21</v>
      </c>
      <c r="AI497" s="281">
        <f t="shared" si="129"/>
        <v>0</v>
      </c>
      <c r="AJ497" s="286"/>
      <c r="AK497" s="277"/>
      <c r="AL497" s="278">
        <v>-2632.46</v>
      </c>
      <c r="AM497" s="391"/>
      <c r="AN497" s="280">
        <f t="shared" si="130"/>
        <v>-1452.75</v>
      </c>
      <c r="AO497" s="287">
        <f t="shared" si="131"/>
        <v>0.55186023719258792</v>
      </c>
      <c r="AP497" s="244"/>
      <c r="AQ497" s="308">
        <v>-4085</v>
      </c>
      <c r="AR497" s="308">
        <f t="shared" si="132"/>
        <v>0.21000000000003638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2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28"/>
        <v>0</v>
      </c>
      <c r="AI498" s="281">
        <f t="shared" si="129"/>
        <v>0</v>
      </c>
      <c r="AJ498" s="286"/>
      <c r="AK498" s="277"/>
      <c r="AL498" s="278"/>
      <c r="AM498" s="391"/>
      <c r="AN498" s="280">
        <f t="shared" si="130"/>
        <v>0</v>
      </c>
      <c r="AO498" s="287">
        <f t="shared" si="131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9.5" thickTop="1" thickBot="1">
      <c r="A499" t="str">
        <f t="shared" si="12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5.2762489935509284E-2</v>
      </c>
      <c r="Z499" s="367">
        <f>Z490-Z492-Z493-Z494-Z498-Z497-Z495-Z496</f>
        <v>349136.66419732891</v>
      </c>
      <c r="AA499" s="365"/>
      <c r="AB499" s="366"/>
      <c r="AC499" s="367"/>
      <c r="AD499" s="365" t="s">
        <v>180</v>
      </c>
      <c r="AE499" s="366">
        <f>AF499/AF407</f>
        <v>4.6128316448519648E-2</v>
      </c>
      <c r="AF499" s="368">
        <f>AF490-AF492-AF493-AF494-AF498-AF497-AF495-AF496</f>
        <v>312701.02999999962</v>
      </c>
      <c r="AG499" s="369"/>
      <c r="AH499" s="368">
        <f t="shared" si="128"/>
        <v>-36435.634197329287</v>
      </c>
      <c r="AI499" s="481">
        <f>AH499/Z499</f>
        <v>-0.10435923216799767</v>
      </c>
      <c r="AJ499" s="371" t="s">
        <v>180</v>
      </c>
      <c r="AK499" s="366">
        <f>IF($AL$407=0,0,AL499/$AL$407)</f>
        <v>5.0429315389708122E-2</v>
      </c>
      <c r="AL499" s="368">
        <f>AL490-AL492-AL493-AL494-AL498-AL497-AL495-AL496</f>
        <v>321070.04999999941</v>
      </c>
      <c r="AM499" s="372"/>
      <c r="AN499" s="368">
        <f t="shared" si="130"/>
        <v>-8369.0199999997858</v>
      </c>
      <c r="AO499" s="392">
        <f t="shared" si="131"/>
        <v>-2.6066025155569016E-2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5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312701.02999999962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>
        <f>AR408-AR469+AR482-AR499</f>
        <v>0</v>
      </c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25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8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5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8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8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8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8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8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242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8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312701.02999999962</v>
      </c>
      <c r="AG512" s="308">
        <f>AF512-AF506</f>
        <v>312701.02999999962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5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5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5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5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5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5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5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5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5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5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5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5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5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5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75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5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5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5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8.75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5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5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5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5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5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5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5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5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5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5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5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5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5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5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5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5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5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5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5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5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5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5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5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5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5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5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5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5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5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5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5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5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5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5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5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5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5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5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5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5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5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5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5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5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5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5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5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5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5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5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5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5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5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5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5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5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5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5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5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5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5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5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5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5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5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5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5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5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5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5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5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5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5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5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5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5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5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5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5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5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5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5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5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5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5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5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5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5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5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5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5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5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5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5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5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5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5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5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5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5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5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5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5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5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5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5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5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5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5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5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5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5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5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5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5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5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5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5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5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8.75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5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5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5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5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5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5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5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5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5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5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5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5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5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5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5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5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5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5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5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5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5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5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5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5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5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5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5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5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5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5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5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5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5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5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5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5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5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5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5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5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5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5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5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5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5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5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5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5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5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5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5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  <row r="704" spans="2:62" ht="16.5"/>
  </sheetData>
  <mergeCells count="42">
    <mergeCell ref="AM405:AO405"/>
    <mergeCell ref="X405:Z405"/>
    <mergeCell ref="AA405:AC405"/>
    <mergeCell ref="AD405:AF405"/>
    <mergeCell ref="AG405:AI405"/>
    <mergeCell ref="AJ405:AL405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O171:Q171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conditionalFormatting sqref="D113:D114">
    <cfRule type="expression" dxfId="549" priority="26" stopIfTrue="1">
      <formula>"esterreur(reference)"</formula>
    </cfRule>
  </conditionalFormatting>
  <conditionalFormatting sqref="E103:E105">
    <cfRule type="expression" dxfId="548" priority="2" stopIfTrue="1">
      <formula>"esterreur(reference)"</formula>
    </cfRule>
  </conditionalFormatting>
  <conditionalFormatting sqref="F5">
    <cfRule type="expression" dxfId="547" priority="69" stopIfTrue="1">
      <formula>"esterreur(reference)"</formula>
    </cfRule>
  </conditionalFormatting>
  <conditionalFormatting sqref="F185">
    <cfRule type="expression" dxfId="546" priority="78" stopIfTrue="1">
      <formula>"esterreur(reference)"</formula>
    </cfRule>
  </conditionalFormatting>
  <conditionalFormatting sqref="G31:G32">
    <cfRule type="expression" dxfId="545" priority="30" stopIfTrue="1">
      <formula>"esterreur(reference)"</formula>
    </cfRule>
  </conditionalFormatting>
  <conditionalFormatting sqref="G113:G114">
    <cfRule type="expression" dxfId="544" priority="27" stopIfTrue="1">
      <formula>"esterreur(reference)"</formula>
    </cfRule>
  </conditionalFormatting>
  <conditionalFormatting sqref="H137:H153">
    <cfRule type="expression" dxfId="543" priority="35" stopIfTrue="1">
      <formula>"esterreur(reference)"</formula>
    </cfRule>
  </conditionalFormatting>
  <conditionalFormatting sqref="H361">
    <cfRule type="expression" dxfId="542" priority="108" stopIfTrue="1">
      <formula>"esterreur(reference)"</formula>
    </cfRule>
  </conditionalFormatting>
  <conditionalFormatting sqref="H198:L198">
    <cfRule type="expression" dxfId="541" priority="110" stopIfTrue="1">
      <formula>"esterreur(reference)"</formula>
    </cfRule>
  </conditionalFormatting>
  <conditionalFormatting sqref="H397:L400">
    <cfRule type="expression" dxfId="540" priority="106" stopIfTrue="1">
      <formula>"esterreur(reference)"</formula>
    </cfRule>
  </conditionalFormatting>
  <conditionalFormatting sqref="I378:L378 H379:H396">
    <cfRule type="expression" dxfId="53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538" priority="102" stopIfTrue="1">
      <formula>"esterreur(reference)"</formula>
    </cfRule>
  </conditionalFormatting>
  <conditionalFormatting sqref="J49:L72">
    <cfRule type="expression" dxfId="537" priority="36" stopIfTrue="1">
      <formula>"esterreur(reference)"</formula>
    </cfRule>
  </conditionalFormatting>
  <conditionalFormatting sqref="J103:L105">
    <cfRule type="expression" dxfId="536" priority="99" stopIfTrue="1">
      <formula>"esterreur(reference)"</formula>
    </cfRule>
  </conditionalFormatting>
  <conditionalFormatting sqref="J150:L153">
    <cfRule type="expression" dxfId="535" priority="34" stopIfTrue="1">
      <formula>"esterreur(reference)"</formula>
    </cfRule>
  </conditionalFormatting>
  <conditionalFormatting sqref="J296:L304">
    <cfRule type="expression" dxfId="534" priority="95" stopIfTrue="1">
      <formula>"esterreur(reference)"</formula>
    </cfRule>
  </conditionalFormatting>
  <conditionalFormatting sqref="J308:L309">
    <cfRule type="expression" dxfId="533" priority="85" stopIfTrue="1">
      <formula>"esterreur(reference)"</formula>
    </cfRule>
  </conditionalFormatting>
  <conditionalFormatting sqref="J361:L361">
    <cfRule type="expression" dxfId="532" priority="77" stopIfTrue="1">
      <formula>"esterreur(reference)"</formula>
    </cfRule>
  </conditionalFormatting>
  <conditionalFormatting sqref="J366:L377">
    <cfRule type="expression" dxfId="531" priority="82" stopIfTrue="1">
      <formula>"esterreur(reference)"</formula>
    </cfRule>
  </conditionalFormatting>
  <conditionalFormatting sqref="J379:L395">
    <cfRule type="expression" dxfId="530" priority="81" stopIfTrue="1">
      <formula>"esterreur(reference)"</formula>
    </cfRule>
  </conditionalFormatting>
  <conditionalFormatting sqref="J313:M313">
    <cfRule type="expression" dxfId="529" priority="83" stopIfTrue="1">
      <formula>"esterreur(reference)"</formula>
    </cfRule>
  </conditionalFormatting>
  <conditionalFormatting sqref="J113:Q122">
    <cfRule type="expression" dxfId="528" priority="28" stopIfTrue="1">
      <formula>"esterreur(reference)"</formula>
    </cfRule>
  </conditionalFormatting>
  <conditionalFormatting sqref="J124:Q135">
    <cfRule type="expression" dxfId="527" priority="61" stopIfTrue="1">
      <formula>"esterreur(reference)"</formula>
    </cfRule>
  </conditionalFormatting>
  <conditionalFormatting sqref="K5">
    <cfRule type="expression" dxfId="526" priority="92" stopIfTrue="1">
      <formula>"esterreur(reference)"</formula>
    </cfRule>
  </conditionalFormatting>
  <conditionalFormatting sqref="K176">
    <cfRule type="expression" dxfId="525" priority="89" stopIfTrue="1">
      <formula>"esterreur(reference)"</formula>
    </cfRule>
  </conditionalFormatting>
  <conditionalFormatting sqref="K184:K185">
    <cfRule type="expression" dxfId="524" priority="91" stopIfTrue="1">
      <formula>"esterreur(reference)"</formula>
    </cfRule>
  </conditionalFormatting>
  <conditionalFormatting sqref="K288">
    <cfRule type="expression" dxfId="523" priority="75" stopIfTrue="1">
      <formula>"esterreur(reference)"</formula>
    </cfRule>
  </conditionalFormatting>
  <conditionalFormatting sqref="K396">
    <cfRule type="expression" dxfId="522" priority="109" stopIfTrue="1">
      <formula>"esterreur(reference)"</formula>
    </cfRule>
  </conditionalFormatting>
  <conditionalFormatting sqref="K93:L96">
    <cfRule type="expression" dxfId="521" priority="80" stopIfTrue="1">
      <formula>"esterreur(reference)"</formula>
    </cfRule>
  </conditionalFormatting>
  <conditionalFormatting sqref="K100:L101">
    <cfRule type="expression" dxfId="520" priority="100" stopIfTrue="1">
      <formula>"esterreur(reference)"</formula>
    </cfRule>
  </conditionalFormatting>
  <conditionalFormatting sqref="K172:L174">
    <cfRule type="expression" dxfId="519" priority="90" stopIfTrue="1">
      <formula>"esterreur(reference)"</formula>
    </cfRule>
  </conditionalFormatting>
  <conditionalFormatting sqref="K177:L183">
    <cfRule type="expression" dxfId="518" priority="88" stopIfTrue="1">
      <formula>"esterreur(reference)"</formula>
    </cfRule>
  </conditionalFormatting>
  <conditionalFormatting sqref="K186:L197">
    <cfRule type="expression" dxfId="517" priority="84" stopIfTrue="1">
      <formula>"esterreur(reference)"</formula>
    </cfRule>
  </conditionalFormatting>
  <conditionalFormatting sqref="K240:L242">
    <cfRule type="expression" dxfId="516" priority="79" stopIfTrue="1">
      <formula>"esterreur(reference)"</formula>
    </cfRule>
  </conditionalFormatting>
  <conditionalFormatting sqref="K245:L245">
    <cfRule type="expression" dxfId="515" priority="87" stopIfTrue="1">
      <formula>"esterreur(reference)"</formula>
    </cfRule>
  </conditionalFormatting>
  <conditionalFormatting sqref="K248:L248">
    <cfRule type="expression" dxfId="514" priority="86" stopIfTrue="1">
      <formula>"esterreur(reference)"</formula>
    </cfRule>
  </conditionalFormatting>
  <conditionalFormatting sqref="L16:L24 Q16:Q24 O18:O24 D31:D32 L99 O99 Q99">
    <cfRule type="expression" dxfId="513" priority="31" stopIfTrue="1">
      <formula>"esterreur(reference)"</formula>
    </cfRule>
  </conditionalFormatting>
  <conditionalFormatting sqref="L42:L48">
    <cfRule type="expression" dxfId="512" priority="101" stopIfTrue="1">
      <formula>"esterreur(reference)"</formula>
    </cfRule>
  </conditionalFormatting>
  <conditionalFormatting sqref="L75:L82">
    <cfRule type="expression" dxfId="511" priority="70" stopIfTrue="1">
      <formula>"esterreur(reference)"</formula>
    </cfRule>
  </conditionalFormatting>
  <conditionalFormatting sqref="L137:L148">
    <cfRule type="expression" dxfId="510" priority="74" stopIfTrue="1">
      <formula>"esterreur(reference)"</formula>
    </cfRule>
  </conditionalFormatting>
  <conditionalFormatting sqref="L175:L176">
    <cfRule type="expression" dxfId="509" priority="98" stopIfTrue="1">
      <formula>"esterreur(reference)"</formula>
    </cfRule>
  </conditionalFormatting>
  <conditionalFormatting sqref="L199:L210">
    <cfRule type="expression" dxfId="508" priority="97" stopIfTrue="1">
      <formula>"esterreur(reference)"</formula>
    </cfRule>
  </conditionalFormatting>
  <conditionalFormatting sqref="L212:L229">
    <cfRule type="expression" dxfId="507" priority="73" stopIfTrue="1">
      <formula>"esterreur(reference)"</formula>
    </cfRule>
  </conditionalFormatting>
  <conditionalFormatting sqref="L255:L266">
    <cfRule type="expression" dxfId="506" priority="96" stopIfTrue="1">
      <formula>"esterreur(reference)"</formula>
    </cfRule>
  </conditionalFormatting>
  <conditionalFormatting sqref="L268:L285">
    <cfRule type="expression" dxfId="505" priority="72" stopIfTrue="1">
      <formula>"esterreur(reference)"</formula>
    </cfRule>
  </conditionalFormatting>
  <conditionalFormatting sqref="L319:L330">
    <cfRule type="expression" dxfId="504" priority="94" stopIfTrue="1">
      <formula>"esterreur(reference)"</formula>
    </cfRule>
  </conditionalFormatting>
  <conditionalFormatting sqref="L332">
    <cfRule type="expression" dxfId="503" priority="71" stopIfTrue="1">
      <formula>"esterreur(reference)"</formula>
    </cfRule>
  </conditionalFormatting>
  <conditionalFormatting sqref="L335:L344 L346:L349">
    <cfRule type="expression" dxfId="502" priority="93" stopIfTrue="1">
      <formula>"esterreur(reference)"</formula>
    </cfRule>
  </conditionalFormatting>
  <conditionalFormatting sqref="L357:L358 H358:I358 K358 J358:J359 H360:L360">
    <cfRule type="expression" dxfId="501" priority="105" stopIfTrue="1">
      <formula>"esterreur(reference)"</formula>
    </cfRule>
  </conditionalFormatting>
  <conditionalFormatting sqref="L5:Q14">
    <cfRule type="expression" dxfId="500" priority="65" stopIfTrue="1">
      <formula>"esterreur(reference)"</formula>
    </cfRule>
  </conditionalFormatting>
  <conditionalFormatting sqref="L157:Q163">
    <cfRule type="expression" dxfId="499" priority="32" stopIfTrue="1">
      <formula>"esterreur(reference)"</formula>
    </cfRule>
  </conditionalFormatting>
  <conditionalFormatting sqref="M95:M97">
    <cfRule type="expression" dxfId="498" priority="103" stopIfTrue="1">
      <formula>"esterreur(reference)"</formula>
    </cfRule>
  </conditionalFormatting>
  <conditionalFormatting sqref="O13:O14 O16 O83:Q85">
    <cfRule type="expression" dxfId="497" priority="68" stopIfTrue="1">
      <formula>"esterreur(reference)"</formula>
    </cfRule>
  </conditionalFormatting>
  <conditionalFormatting sqref="O173:O197 Q184 O199:P230 O233:Q233 O234:P234">
    <cfRule type="expression" dxfId="496" priority="59" stopIfTrue="1">
      <formula>"esterreur(reference)"</formula>
    </cfRule>
  </conditionalFormatting>
  <conditionalFormatting sqref="O319:P349 O350:Q350 O353:Q353 O354:P354">
    <cfRule type="expression" dxfId="495" priority="43" stopIfTrue="1">
      <formula>"esterreur(reference)"</formula>
    </cfRule>
  </conditionalFormatting>
  <conditionalFormatting sqref="O25:Q72">
    <cfRule type="expression" dxfId="494" priority="29" stopIfTrue="1">
      <formula>"esterreur(reference)"</formula>
    </cfRule>
  </conditionalFormatting>
  <conditionalFormatting sqref="O97:Q99 O123:Q123 O157:P158 O165:Q165 O166:P166">
    <cfRule type="expression" dxfId="493" priority="64" stopIfTrue="1">
      <formula>"esterreur(reference)"</formula>
    </cfRule>
  </conditionalFormatting>
  <conditionalFormatting sqref="O102:Q112">
    <cfRule type="expression" dxfId="492" priority="1" stopIfTrue="1">
      <formula>"esterreur(reference)"</formula>
    </cfRule>
  </conditionalFormatting>
  <conditionalFormatting sqref="O136:Q154">
    <cfRule type="expression" dxfId="491" priority="33" stopIfTrue="1">
      <formula>"esterreur(reference)"</formula>
    </cfRule>
  </conditionalFormatting>
  <conditionalFormatting sqref="O198:Q198">
    <cfRule type="expression" dxfId="490" priority="60" stopIfTrue="1">
      <formula>"esterreur(reference)"</formula>
    </cfRule>
  </conditionalFormatting>
  <conditionalFormatting sqref="O244:Q244 O253:Q254 O255:P285 O286:Q286 O289:Q289 O290:P290">
    <cfRule type="expression" dxfId="489" priority="50" stopIfTrue="1">
      <formula>"esterreur(reference)"</formula>
    </cfRule>
  </conditionalFormatting>
  <conditionalFormatting sqref="O296:Q318">
    <cfRule type="expression" dxfId="488" priority="41" stopIfTrue="1">
      <formula>"esterreur(reference)"</formula>
    </cfRule>
  </conditionalFormatting>
  <conditionalFormatting sqref="O360:Q395">
    <cfRule type="expression" dxfId="487" priority="37" stopIfTrue="1">
      <formula>"esterreur(reference)"</formula>
    </cfRule>
  </conditionalFormatting>
  <conditionalFormatting sqref="O397:Q400">
    <cfRule type="expression" dxfId="486" priority="38" stopIfTrue="1">
      <formula>"esterreur(reference)"</formula>
    </cfRule>
  </conditionalFormatting>
  <conditionalFormatting sqref="P5">
    <cfRule type="expression" dxfId="485" priority="66" stopIfTrue="1">
      <formula>"esterreur(reference)"</formula>
    </cfRule>
  </conditionalFormatting>
  <conditionalFormatting sqref="P176">
    <cfRule type="expression" dxfId="484" priority="54" stopIfTrue="1">
      <formula>"esterreur(reference)"</formula>
    </cfRule>
  </conditionalFormatting>
  <conditionalFormatting sqref="P184:P185">
    <cfRule type="expression" dxfId="483" priority="56" stopIfTrue="1">
      <formula>"esterreur(reference)"</formula>
    </cfRule>
  </conditionalFormatting>
  <conditionalFormatting sqref="P288">
    <cfRule type="expression" dxfId="482" priority="45" stopIfTrue="1">
      <formula>"esterreur(reference)"</formula>
    </cfRule>
  </conditionalFormatting>
  <conditionalFormatting sqref="P396">
    <cfRule type="expression" dxfId="481" priority="39" stopIfTrue="1">
      <formula>"esterreur(reference)"</formula>
    </cfRule>
  </conditionalFormatting>
  <conditionalFormatting sqref="P93:Q96">
    <cfRule type="expression" dxfId="480" priority="62" stopIfTrue="1">
      <formula>"esterreur(reference)"</formula>
    </cfRule>
  </conditionalFormatting>
  <conditionalFormatting sqref="P100:Q101">
    <cfRule type="expression" dxfId="479" priority="63" stopIfTrue="1">
      <formula>"esterreur(reference)"</formula>
    </cfRule>
  </conditionalFormatting>
  <conditionalFormatting sqref="P173:Q174">
    <cfRule type="expression" dxfId="478" priority="55" stopIfTrue="1">
      <formula>"esterreur(reference)"</formula>
    </cfRule>
  </conditionalFormatting>
  <conditionalFormatting sqref="P177:Q183">
    <cfRule type="expression" dxfId="477" priority="53" stopIfTrue="1">
      <formula>"esterreur(reference)"</formula>
    </cfRule>
  </conditionalFormatting>
  <conditionalFormatting sqref="P186:Q197">
    <cfRule type="expression" dxfId="476" priority="52" stopIfTrue="1">
      <formula>"esterreur(reference)"</formula>
    </cfRule>
  </conditionalFormatting>
  <conditionalFormatting sqref="P242:Q242">
    <cfRule type="expression" dxfId="475" priority="46" stopIfTrue="1">
      <formula>"esterreur(reference)"</formula>
    </cfRule>
  </conditionalFormatting>
  <conditionalFormatting sqref="P245:Q245">
    <cfRule type="expression" dxfId="474" priority="48" stopIfTrue="1">
      <formula>"esterreur(reference)"</formula>
    </cfRule>
  </conditionalFormatting>
  <conditionalFormatting sqref="P248:Q248">
    <cfRule type="expression" dxfId="473" priority="47" stopIfTrue="1">
      <formula>"esterreur(reference)"</formula>
    </cfRule>
  </conditionalFormatting>
  <conditionalFormatting sqref="Q75:Q82">
    <cfRule type="expression" dxfId="472" priority="67" stopIfTrue="1">
      <formula>"esterreur(reference)"</formula>
    </cfRule>
  </conditionalFormatting>
  <conditionalFormatting sqref="Q175:Q176">
    <cfRule type="expression" dxfId="471" priority="58" stopIfTrue="1">
      <formula>"esterreur(reference)"</formula>
    </cfRule>
  </conditionalFormatting>
  <conditionalFormatting sqref="Q199:Q210">
    <cfRule type="expression" dxfId="470" priority="57" stopIfTrue="1">
      <formula>"esterreur(reference)"</formula>
    </cfRule>
  </conditionalFormatting>
  <conditionalFormatting sqref="Q212:Q229">
    <cfRule type="expression" dxfId="469" priority="51" stopIfTrue="1">
      <formula>"esterreur(reference)"</formula>
    </cfRule>
  </conditionalFormatting>
  <conditionalFormatting sqref="Q255:Q266">
    <cfRule type="expression" dxfId="468" priority="49" stopIfTrue="1">
      <formula>"esterreur(reference)"</formula>
    </cfRule>
  </conditionalFormatting>
  <conditionalFormatting sqref="Q268:Q285">
    <cfRule type="expression" dxfId="467" priority="44" stopIfTrue="1">
      <formula>"esterreur(reference)"</formula>
    </cfRule>
  </conditionalFormatting>
  <conditionalFormatting sqref="Q319:Q330">
    <cfRule type="expression" dxfId="466" priority="42" stopIfTrue="1">
      <formula>"esterreur(reference)"</formula>
    </cfRule>
  </conditionalFormatting>
  <conditionalFormatting sqref="Q332:Q349">
    <cfRule type="expression" dxfId="465" priority="40" stopIfTrue="1">
      <formula>"esterreur(reference)"</formula>
    </cfRule>
  </conditionalFormatting>
  <conditionalFormatting sqref="R313">
    <cfRule type="expression" dxfId="464" priority="104" stopIfTrue="1">
      <formula>"esterreur(reference)"</formula>
    </cfRule>
  </conditionalFormatting>
  <conditionalFormatting sqref="S187">
    <cfRule type="expression" dxfId="463" priority="76" stopIfTrue="1">
      <formula>"esterreur(reference)"</formula>
    </cfRule>
  </conditionalFormatting>
  <conditionalFormatting sqref="Z426:Z428">
    <cfRule type="cellIs" dxfId="462" priority="20" operator="greaterThan">
      <formula>0</formula>
    </cfRule>
  </conditionalFormatting>
  <conditionalFormatting sqref="Z433">
    <cfRule type="cellIs" dxfId="461" priority="17" operator="greaterThan">
      <formula>0</formula>
    </cfRule>
  </conditionalFormatting>
  <conditionalFormatting sqref="Z450:Z452">
    <cfRule type="cellIs" dxfId="460" priority="13" operator="greaterThan">
      <formula>0</formula>
    </cfRule>
  </conditionalFormatting>
  <conditionalFormatting sqref="Z464:Z466">
    <cfRule type="cellIs" dxfId="459" priority="9" operator="greaterThan">
      <formula>0</formula>
    </cfRule>
  </conditionalFormatting>
  <conditionalFormatting sqref="Z479:Z480">
    <cfRule type="cellIs" dxfId="458" priority="6" operator="greaterThan">
      <formula>0</formula>
    </cfRule>
  </conditionalFormatting>
  <conditionalFormatting sqref="Z496:Z498">
    <cfRule type="cellIs" dxfId="457" priority="3" operator="greaterThan">
      <formula>0</formula>
    </cfRule>
  </conditionalFormatting>
  <conditionalFormatting sqref="AC426:AC428">
    <cfRule type="cellIs" dxfId="456" priority="21" operator="greaterThan">
      <formula>0</formula>
    </cfRule>
  </conditionalFormatting>
  <conditionalFormatting sqref="AC433">
    <cfRule type="cellIs" dxfId="455" priority="18" operator="greaterThan">
      <formula>0</formula>
    </cfRule>
  </conditionalFormatting>
  <conditionalFormatting sqref="AC450:AC452">
    <cfRule type="cellIs" dxfId="454" priority="14" operator="greaterThan">
      <formula>0</formula>
    </cfRule>
  </conditionalFormatting>
  <conditionalFormatting sqref="AC464:AC466">
    <cfRule type="cellIs" dxfId="453" priority="10" operator="greaterThan">
      <formula>0</formula>
    </cfRule>
  </conditionalFormatting>
  <conditionalFormatting sqref="AC479:AC480">
    <cfRule type="cellIs" dxfId="452" priority="7" operator="greaterThan">
      <formula>0</formula>
    </cfRule>
  </conditionalFormatting>
  <conditionalFormatting sqref="AC496:AC498">
    <cfRule type="cellIs" dxfId="451" priority="4" operator="greaterThan">
      <formula>0</formula>
    </cfRule>
  </conditionalFormatting>
  <conditionalFormatting sqref="AG410:AI419">
    <cfRule type="cellIs" dxfId="450" priority="23" operator="greaterThan">
      <formula>0</formula>
    </cfRule>
  </conditionalFormatting>
  <conditionalFormatting sqref="AH450:AH453">
    <cfRule type="cellIs" dxfId="449" priority="15" operator="greaterThan">
      <formula>0</formula>
    </cfRule>
  </conditionalFormatting>
  <conditionalFormatting sqref="AH462:AH467">
    <cfRule type="cellIs" dxfId="448" priority="11" operator="greaterThan">
      <formula>0</formula>
    </cfRule>
  </conditionalFormatting>
  <conditionalFormatting sqref="AH421:AI449">
    <cfRule type="cellIs" dxfId="447" priority="19" operator="greaterThan">
      <formula>0</formula>
    </cfRule>
  </conditionalFormatting>
  <conditionalFormatting sqref="AH454:AI461 AH468:AI469">
    <cfRule type="cellIs" dxfId="446" priority="24" operator="greaterThan">
      <formula>0</formula>
    </cfRule>
  </conditionalFormatting>
  <conditionalFormatting sqref="AH470:AI478 AH481:AI481">
    <cfRule type="cellIs" dxfId="445" priority="25" operator="lessThan">
      <formula>0</formula>
    </cfRule>
  </conditionalFormatting>
  <conditionalFormatting sqref="AH479:AI480">
    <cfRule type="cellIs" dxfId="444" priority="8" operator="greaterThan">
      <formula>0</formula>
    </cfRule>
  </conditionalFormatting>
  <conditionalFormatting sqref="AH492:AI498">
    <cfRule type="cellIs" dxfId="443" priority="5" operator="greaterThan">
      <formula>0</formula>
    </cfRule>
  </conditionalFormatting>
  <conditionalFormatting sqref="AI450:AI452">
    <cfRule type="cellIs" dxfId="442" priority="16" operator="greaterThan">
      <formula>0</formula>
    </cfRule>
  </conditionalFormatting>
  <conditionalFormatting sqref="AI464:AI466">
    <cfRule type="cellIs" dxfId="441" priority="12" operator="greaterThan">
      <formula>0</formula>
    </cfRule>
  </conditionalFormatting>
  <conditionalFormatting sqref="AO410:AO419">
    <cfRule type="cellIs" dxfId="440" priority="22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4"/>
  <sheetViews>
    <sheetView zoomScale="70" zoomScaleNormal="70" workbookViewId="0">
      <selection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48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277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" thickTop="1">
      <c r="B3" s="11"/>
      <c r="C3" s="12"/>
      <c r="D3" s="510" t="s">
        <v>5</v>
      </c>
      <c r="E3" s="511"/>
      <c r="F3" s="512"/>
      <c r="G3" s="513"/>
      <c r="H3" s="511"/>
      <c r="I3" s="512"/>
      <c r="J3" s="513" t="s">
        <v>7</v>
      </c>
      <c r="K3" s="511"/>
      <c r="L3" s="512"/>
      <c r="M3" s="513" t="s">
        <v>212</v>
      </c>
      <c r="N3" s="512"/>
      <c r="O3" s="510" t="s">
        <v>8</v>
      </c>
      <c r="P3" s="511"/>
      <c r="Q3" s="512"/>
      <c r="R3" s="508" t="s">
        <v>213</v>
      </c>
      <c r="S3" s="509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99" si="0">+$K$1</f>
        <v>Véhicules neufs</v>
      </c>
      <c r="C5" s="20" t="s">
        <v>14</v>
      </c>
      <c r="D5" s="21"/>
      <c r="E5" s="21"/>
      <c r="F5" s="22">
        <v>2474271.9607843137</v>
      </c>
      <c r="G5" s="23"/>
      <c r="H5" s="21"/>
      <c r="I5" s="24"/>
      <c r="J5" s="23"/>
      <c r="K5" s="25"/>
      <c r="L5" s="22">
        <v>2992808.6800000011</v>
      </c>
      <c r="M5" s="26"/>
      <c r="N5" s="27"/>
      <c r="O5" s="23"/>
      <c r="P5" s="25"/>
      <c r="Q5" s="22">
        <v>1932819.03999999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9</v>
      </c>
      <c r="E6" s="30">
        <f>IF(D6=0,0,F6/D6)</f>
        <v>4701.1764705882351</v>
      </c>
      <c r="F6" s="30">
        <v>42310.588235294119</v>
      </c>
      <c r="G6" s="31"/>
      <c r="H6" s="30"/>
      <c r="I6" s="30"/>
      <c r="J6" s="31">
        <v>10</v>
      </c>
      <c r="K6" s="30">
        <f>IF(J6=0,0,L6/J6)</f>
        <v>6645.184999999974</v>
      </c>
      <c r="L6" s="32">
        <v>66451.849999999744</v>
      </c>
      <c r="M6" s="31">
        <f t="shared" ref="M6:M12" si="2">J6-D6</f>
        <v>1</v>
      </c>
      <c r="N6" s="33">
        <f t="shared" ref="N6:N12" si="3">L6-F6</f>
        <v>24141.261764705625</v>
      </c>
      <c r="O6" s="31">
        <v>9</v>
      </c>
      <c r="P6" s="30">
        <f t="shared" ref="P6:P12" si="4">IF(O6=0,0,Q6/O6)</f>
        <v>5820.626666666667</v>
      </c>
      <c r="Q6" s="32">
        <v>52385.64</v>
      </c>
      <c r="R6" s="31">
        <f>J6-O6</f>
        <v>1</v>
      </c>
      <c r="S6" s="34">
        <f>L6-Q6</f>
        <v>14066.209999999744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</v>
      </c>
      <c r="E7" s="30">
        <f t="shared" ref="E7:E12" si="5">IF(D7=0,0,F7/D7)</f>
        <v>3928.5</v>
      </c>
      <c r="F7" s="30">
        <v>54999</v>
      </c>
      <c r="G7" s="31"/>
      <c r="H7" s="30"/>
      <c r="I7" s="30"/>
      <c r="J7" s="31">
        <v>12</v>
      </c>
      <c r="K7" s="30">
        <f t="shared" ref="K7:K12" si="6">IF(J7=0,0,L7/J7)</f>
        <v>4707.7525000000214</v>
      </c>
      <c r="L7" s="32">
        <v>56493.030000000261</v>
      </c>
      <c r="M7" s="31">
        <f t="shared" si="2"/>
        <v>-2</v>
      </c>
      <c r="N7" s="33">
        <f t="shared" si="3"/>
        <v>1494.0300000002608</v>
      </c>
      <c r="O7" s="31">
        <v>7</v>
      </c>
      <c r="P7" s="30">
        <f t="shared" si="4"/>
        <v>3544.4671428571428</v>
      </c>
      <c r="Q7" s="32">
        <v>24811.27</v>
      </c>
      <c r="R7" s="31">
        <f t="shared" ref="R7:R12" si="7">J7-O7</f>
        <v>5</v>
      </c>
      <c r="S7" s="34">
        <f t="shared" ref="S7:S12" si="8">L7-Q7</f>
        <v>31681.76000000026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23</v>
      </c>
      <c r="E13" s="36">
        <f>IF(D13&lt;=0,0,F13/D13)</f>
        <v>4230.8516624040922</v>
      </c>
      <c r="F13" s="37">
        <f>+SUM(F6:F12)</f>
        <v>97309.588235294126</v>
      </c>
      <c r="G13" s="38"/>
      <c r="H13" s="36"/>
      <c r="I13" s="37"/>
      <c r="J13" s="38">
        <f>+SUM(J6:J12)</f>
        <v>22</v>
      </c>
      <c r="K13" s="36">
        <f>IF(J13&lt;=0,0,L13/J13)</f>
        <v>5588.4036363636369</v>
      </c>
      <c r="L13" s="37">
        <f>+SUM(L6:L12)</f>
        <v>122944.88</v>
      </c>
      <c r="M13" s="38">
        <f>+SUM(M6:M12)</f>
        <v>-1</v>
      </c>
      <c r="N13" s="37">
        <f>+SUM(N6:N12)</f>
        <v>25635.291764705886</v>
      </c>
      <c r="O13" s="38">
        <f>+SUM(O6:O12)</f>
        <v>16</v>
      </c>
      <c r="P13" s="36">
        <f>IF(O13&lt;=0,0,Q13/O13)</f>
        <v>4824.8068750000002</v>
      </c>
      <c r="Q13" s="37">
        <f>+SUM(Q6:Q12)</f>
        <v>77196.91</v>
      </c>
      <c r="R13" s="38">
        <f>+SUM(R6:R12)</f>
        <v>6</v>
      </c>
      <c r="S13" s="39">
        <f>+SUM(S6:S12)</f>
        <v>45747.97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-4.3478260869565216E-2</v>
      </c>
      <c r="N14" s="43">
        <f>IF(F13=0,0,N13/F13)</f>
        <v>0.26344055328566257</v>
      </c>
      <c r="O14" s="41"/>
      <c r="P14" s="30"/>
      <c r="Q14" s="40"/>
      <c r="R14" s="42">
        <f>R13/O13</f>
        <v>0.375</v>
      </c>
      <c r="S14" s="44">
        <f>IF(Q13=0,0,(S13/Q13))</f>
        <v>0.59261400488698313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1200</v>
      </c>
      <c r="F15" s="22">
        <v>3600</v>
      </c>
      <c r="G15" s="46"/>
      <c r="H15" s="47"/>
      <c r="I15" s="48"/>
      <c r="J15" s="49">
        <v>2</v>
      </c>
      <c r="K15" s="50">
        <f>IF(J15=0,0,L15/J15)</f>
        <v>39.024999999994179</v>
      </c>
      <c r="L15" s="50">
        <v>78.049999999988358</v>
      </c>
      <c r="M15" s="51">
        <f>J15-D15</f>
        <v>-1</v>
      </c>
      <c r="N15" s="48">
        <f>L15-F15</f>
        <v>-3521.9500000000116</v>
      </c>
      <c r="O15" s="49">
        <v>4</v>
      </c>
      <c r="P15" s="50">
        <f>IF(O15=0,0,Q15/O15)</f>
        <v>2445.1974999999925</v>
      </c>
      <c r="Q15" s="50">
        <v>9780.78999999997</v>
      </c>
      <c r="R15" s="51">
        <f>J15-O15</f>
        <v>-2</v>
      </c>
      <c r="S15" s="52">
        <f>L15-Q15</f>
        <v>-9702.7399999999816</v>
      </c>
      <c r="T15" s="13"/>
      <c r="U15" s="13"/>
      <c r="W15" s="453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2</v>
      </c>
      <c r="E17" s="30">
        <f>IF(D17=0,0,F17/D17)</f>
        <v>750</v>
      </c>
      <c r="F17" s="30">
        <v>1500</v>
      </c>
      <c r="G17" s="31"/>
      <c r="H17" s="30"/>
      <c r="I17" s="30"/>
      <c r="J17" s="51">
        <v>6</v>
      </c>
      <c r="K17" s="30">
        <f>IF(J17=0,0,L17/J17)</f>
        <v>0</v>
      </c>
      <c r="L17" s="33">
        <v>0</v>
      </c>
      <c r="M17" s="51">
        <f>J17-D17</f>
        <v>4</v>
      </c>
      <c r="N17" s="33">
        <f>L17-F17</f>
        <v>-1500</v>
      </c>
      <c r="O17" s="51">
        <v>0</v>
      </c>
      <c r="P17" s="30">
        <f>IF(O17=0,0,Q17/O17)</f>
        <v>0</v>
      </c>
      <c r="Q17" s="33">
        <v>0</v>
      </c>
      <c r="R17" s="31">
        <f>J17-O17</f>
        <v>6</v>
      </c>
      <c r="S17" s="34">
        <f>L17-Q17</f>
        <v>0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B19" s="11" t="str">
        <f t="shared" si="0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>
        <f>IF(D13=0,0,F21/(D13+D15))</f>
        <v>7</v>
      </c>
      <c r="F21" s="30">
        <v>182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-182</v>
      </c>
      <c r="O21" s="31"/>
      <c r="P21" s="30">
        <f>IF(O13=0,0,Q21/(O13+O15))</f>
        <v>0</v>
      </c>
      <c r="Q21" s="33">
        <v>0</v>
      </c>
      <c r="R21" s="31">
        <f>O21-K21</f>
        <v>0</v>
      </c>
      <c r="S21" s="34">
        <f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>
        <f>IF(D13=0,0,F22/(D13+D15))</f>
        <v>1150</v>
      </c>
      <c r="F22" s="30">
        <v>29900</v>
      </c>
      <c r="G22" s="41"/>
      <c r="H22" s="30"/>
      <c r="I22" s="30"/>
      <c r="J22" s="31"/>
      <c r="K22" s="30">
        <f>IF(J13=0,0,L22/(J13+J15))</f>
        <v>489.0958333333333</v>
      </c>
      <c r="L22" s="33">
        <v>11738.3</v>
      </c>
      <c r="M22" s="31"/>
      <c r="N22" s="33">
        <f>L22-F22</f>
        <v>-18161.7</v>
      </c>
      <c r="O22" s="31"/>
      <c r="P22" s="30">
        <f>IF(O13=0,0,Q22/(O13+O15))</f>
        <v>1336.1695</v>
      </c>
      <c r="Q22" s="33">
        <v>26723.39</v>
      </c>
      <c r="R22" s="31">
        <f>O22-K22</f>
        <v>-489.0958333333333</v>
      </c>
      <c r="S22" s="34">
        <f>L22-Q22</f>
        <v>-14985.09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>
        <f>IF(D13=0,0,F23/(D13+D15))</f>
        <v>443</v>
      </c>
      <c r="F23" s="30">
        <v>11518</v>
      </c>
      <c r="G23" s="41"/>
      <c r="H23" s="30"/>
      <c r="I23" s="30"/>
      <c r="J23" s="31"/>
      <c r="K23" s="30">
        <f>IF(J13=0,0,L23/(J13+J15))</f>
        <v>445.25708333333324</v>
      </c>
      <c r="L23" s="33">
        <v>10686.169999999998</v>
      </c>
      <c r="M23" s="51"/>
      <c r="N23" s="33">
        <f>L23-F23</f>
        <v>-831.83000000000175</v>
      </c>
      <c r="O23" s="31"/>
      <c r="P23" s="30">
        <f>IF(O13=0,0,Q23/(O13+O15))</f>
        <v>902.67049999999995</v>
      </c>
      <c r="Q23" s="33">
        <v>18053.41</v>
      </c>
      <c r="R23" s="31">
        <f>O23-K23</f>
        <v>-445.25708333333324</v>
      </c>
      <c r="S23" s="34">
        <f>L23-Q23</f>
        <v>-7367.2400000000016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26</v>
      </c>
      <c r="E24" s="36">
        <f>IF(D24&lt;=0,0,F24/D24)</f>
        <v>1600</v>
      </c>
      <c r="F24" s="37">
        <f>F21+F22+F23</f>
        <v>41600</v>
      </c>
      <c r="G24" s="38"/>
      <c r="H24" s="36"/>
      <c r="I24" s="37"/>
      <c r="J24" s="38">
        <f>+J15+J13</f>
        <v>24</v>
      </c>
      <c r="K24" s="36">
        <f>IF(J24&lt;=0,0,L24/J24)</f>
        <v>934.3529166666666</v>
      </c>
      <c r="L24" s="37">
        <f>L21+L22+L23</f>
        <v>22424.469999999998</v>
      </c>
      <c r="M24" s="58">
        <f>J24-D24</f>
        <v>-2</v>
      </c>
      <c r="N24" s="37">
        <f>L24-F24</f>
        <v>-19175.530000000002</v>
      </c>
      <c r="O24" s="38">
        <f>+O15+O13</f>
        <v>20</v>
      </c>
      <c r="P24" s="36">
        <f>IF(O24&lt;=0,0,Q24/O24)</f>
        <v>2238.84</v>
      </c>
      <c r="Q24" s="37">
        <f>Q21+Q22+Q23</f>
        <v>44776.800000000003</v>
      </c>
      <c r="R24" s="56"/>
      <c r="S24" s="39">
        <f>L24-Q24</f>
        <v>-22352.330000000005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-0.46095024038461546</v>
      </c>
      <c r="O25" s="41"/>
      <c r="P25" s="13"/>
      <c r="Q25" s="59"/>
      <c r="R25" s="60"/>
      <c r="S25" s="44">
        <f>IF(Q24=0,0,(S24/Q24))</f>
        <v>-0.49919444891104331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28</v>
      </c>
      <c r="E27" s="64">
        <f>IF(D27&lt;=0,0,F27/D27)</f>
        <v>5143.1995798319331</v>
      </c>
      <c r="F27" s="65">
        <f>F13+F17+F24+F15</f>
        <v>144009.58823529413</v>
      </c>
      <c r="G27" s="66"/>
      <c r="H27" s="67"/>
      <c r="I27" s="65"/>
      <c r="J27" s="66">
        <f>+J13+J15+J17</f>
        <v>30</v>
      </c>
      <c r="K27" s="67">
        <f>IF(J27&lt;=0,0,L27/J27)</f>
        <v>4848.2466666666669</v>
      </c>
      <c r="L27" s="65">
        <f>L13+L17+L24+L15</f>
        <v>145447.4</v>
      </c>
      <c r="M27" s="66">
        <f>J27-D27</f>
        <v>2</v>
      </c>
      <c r="N27" s="65">
        <f>L27-F27</f>
        <v>1437.811764705868</v>
      </c>
      <c r="O27" s="66">
        <f>+O13+O15+O17</f>
        <v>20</v>
      </c>
      <c r="P27" s="67">
        <f>IF(O27&lt;=0,0,Q27/O27)</f>
        <v>6587.7249999999985</v>
      </c>
      <c r="Q27" s="65">
        <f>Q13+Q17+Q24+Q15</f>
        <v>131754.49999999997</v>
      </c>
      <c r="R27" s="66">
        <f>J27-O27</f>
        <v>10</v>
      </c>
      <c r="S27" s="68">
        <f>L27-Q27</f>
        <v>13692.900000000023</v>
      </c>
      <c r="T27" s="13"/>
      <c r="U27" s="13"/>
      <c r="W27" s="11"/>
      <c r="X27" s="484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7.1428571428571425E-2</v>
      </c>
      <c r="N28" s="74">
        <f>N27/F27</f>
        <v>9.984139127990968E-3</v>
      </c>
      <c r="O28" s="72"/>
      <c r="P28" s="70"/>
      <c r="Q28" s="71"/>
      <c r="R28" s="73">
        <f>R27/O27</f>
        <v>0.5</v>
      </c>
      <c r="S28" s="75">
        <f>IF(Q27=0,0,S27/Q27)</f>
        <v>0.10392738008948481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0.28393388874832609</v>
      </c>
      <c r="E31" s="82">
        <f t="shared" ref="E31:E40" si="10">F31/D$24</f>
        <v>1101.9866076784383</v>
      </c>
      <c r="F31" s="30">
        <v>28651.651799639396</v>
      </c>
      <c r="G31" s="156"/>
      <c r="H31" s="82"/>
      <c r="I31" s="30"/>
      <c r="J31" s="156">
        <f>L31/(L13+L15)</f>
        <v>0.28455613924981304</v>
      </c>
      <c r="K31" s="82">
        <f t="shared" ref="K31:K40" si="11">IF(L31=0,0,L31/J$24)</f>
        <v>1458.6220833333334</v>
      </c>
      <c r="L31" s="30">
        <v>35006.93</v>
      </c>
      <c r="M31" s="41"/>
      <c r="N31" s="59">
        <f t="shared" ref="N31:N53" si="12">L31-F31</f>
        <v>6355.2782003606044</v>
      </c>
      <c r="O31" s="156">
        <f>Q31/(Q13+Q15+Q17)</f>
        <v>0.25746725884910737</v>
      </c>
      <c r="P31" s="82">
        <f t="shared" ref="P31:P40" si="13">Q31/O$24</f>
        <v>1119.6955</v>
      </c>
      <c r="Q31" s="33">
        <v>22393.91</v>
      </c>
      <c r="R31" s="41"/>
      <c r="S31" s="85">
        <f t="shared" ref="S31:S41" si="14">L31-Q31</f>
        <v>12613.02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v>12688</v>
      </c>
      <c r="G32" s="161"/>
      <c r="H32" s="90"/>
      <c r="I32" s="22"/>
      <c r="J32" s="161">
        <f>L32/L24</f>
        <v>0.22188395088044446</v>
      </c>
      <c r="K32" s="88">
        <f t="shared" si="11"/>
        <v>207.31791666666666</v>
      </c>
      <c r="L32" s="22">
        <v>4975.63</v>
      </c>
      <c r="M32" s="23"/>
      <c r="N32" s="91">
        <f t="shared" si="12"/>
        <v>-7712.37</v>
      </c>
      <c r="O32" s="161">
        <f>Q32/Q24</f>
        <v>0.34309151167568919</v>
      </c>
      <c r="P32" s="88">
        <f t="shared" si="13"/>
        <v>768.12700000000007</v>
      </c>
      <c r="Q32" s="22">
        <v>15362.54</v>
      </c>
      <c r="R32" s="23"/>
      <c r="S32" s="92">
        <f t="shared" si="14"/>
        <v>-10386.91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v>3120</v>
      </c>
      <c r="G33" s="83"/>
      <c r="H33" s="82"/>
      <c r="I33" s="30"/>
      <c r="J33" s="41"/>
      <c r="K33" s="82">
        <f t="shared" si="11"/>
        <v>276.80166666666668</v>
      </c>
      <c r="L33" s="30">
        <v>6643.24</v>
      </c>
      <c r="M33" s="41"/>
      <c r="N33" s="59">
        <f t="shared" si="12"/>
        <v>3523.24</v>
      </c>
      <c r="O33" s="41"/>
      <c r="P33" s="82">
        <f t="shared" si="13"/>
        <v>207.35250000000002</v>
      </c>
      <c r="Q33" s="33">
        <v>4147.05</v>
      </c>
      <c r="R33" s="41"/>
      <c r="S33" s="85">
        <f t="shared" si="14"/>
        <v>2496.1899999999996</v>
      </c>
      <c r="T33" s="13"/>
      <c r="U33" s="13"/>
      <c r="V33" s="489" t="s">
        <v>266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v>910</v>
      </c>
      <c r="G34" s="83"/>
      <c r="H34" s="82"/>
      <c r="I34" s="30"/>
      <c r="J34" s="41"/>
      <c r="K34" s="82">
        <f t="shared" si="11"/>
        <v>95.290833333333339</v>
      </c>
      <c r="L34" s="30">
        <v>2286.98</v>
      </c>
      <c r="M34" s="41"/>
      <c r="N34" s="59">
        <f t="shared" si="12"/>
        <v>1376.98</v>
      </c>
      <c r="O34" s="41"/>
      <c r="P34" s="82">
        <f t="shared" si="13"/>
        <v>0</v>
      </c>
      <c r="Q34" s="33">
        <v>0</v>
      </c>
      <c r="R34" s="41"/>
      <c r="S34" s="85">
        <f t="shared" si="14"/>
        <v>2286.98</v>
      </c>
      <c r="T34" s="13"/>
      <c r="U34" s="13"/>
      <c r="V34" s="489" t="s">
        <v>273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98.192307692307693</v>
      </c>
      <c r="F35" s="22">
        <v>2553</v>
      </c>
      <c r="G35" s="89"/>
      <c r="H35" s="90"/>
      <c r="I35" s="22"/>
      <c r="J35" s="23"/>
      <c r="K35" s="88">
        <f t="shared" si="11"/>
        <v>210.72916666666666</v>
      </c>
      <c r="L35" s="22">
        <v>5057.5</v>
      </c>
      <c r="M35" s="23"/>
      <c r="N35" s="91">
        <f t="shared" si="12"/>
        <v>2504.5</v>
      </c>
      <c r="O35" s="23"/>
      <c r="P35" s="88">
        <f t="shared" si="13"/>
        <v>103.67249999999999</v>
      </c>
      <c r="Q35" s="33">
        <v>2073.4499999999998</v>
      </c>
      <c r="R35" s="23"/>
      <c r="S35" s="92">
        <f t="shared" si="14"/>
        <v>2984.05</v>
      </c>
      <c r="T35" s="13"/>
      <c r="U35" s="13"/>
      <c r="V35" s="489" t="s">
        <v>267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234.88787878787872</v>
      </c>
      <c r="F36" s="30">
        <v>6107.0848484848466</v>
      </c>
      <c r="G36" s="83"/>
      <c r="H36" s="82"/>
      <c r="I36" s="30"/>
      <c r="J36" s="41"/>
      <c r="K36" s="82">
        <f t="shared" si="11"/>
        <v>230.78416666666666</v>
      </c>
      <c r="L36" s="454">
        <v>5538.82</v>
      </c>
      <c r="M36" s="13"/>
      <c r="N36" s="59">
        <f t="shared" si="12"/>
        <v>-568.26484848484688</v>
      </c>
      <c r="O36" s="41"/>
      <c r="P36" s="82">
        <f t="shared" si="13"/>
        <v>508.93050000000005</v>
      </c>
      <c r="Q36" s="55">
        <v>10178.61</v>
      </c>
      <c r="R36" s="41"/>
      <c r="S36" s="85">
        <f t="shared" si="14"/>
        <v>-4639.7900000000009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809.52174022698614</v>
      </c>
      <c r="F37" s="30">
        <v>21047.565245901638</v>
      </c>
      <c r="G37" s="83"/>
      <c r="H37" s="82"/>
      <c r="I37" s="30"/>
      <c r="J37" s="41"/>
      <c r="K37" s="82">
        <f t="shared" si="11"/>
        <v>881.07999999999993</v>
      </c>
      <c r="L37" s="455">
        <v>21145.919999999998</v>
      </c>
      <c r="M37" s="13"/>
      <c r="N37" s="59">
        <f t="shared" si="12"/>
        <v>98.35475409835999</v>
      </c>
      <c r="O37" s="41"/>
      <c r="P37" s="82">
        <f t="shared" si="13"/>
        <v>1163.8995</v>
      </c>
      <c r="Q37" s="33">
        <v>23277.99</v>
      </c>
      <c r="R37" s="41"/>
      <c r="S37" s="85">
        <f>L37-Q37</f>
        <v>-2132.0700000000033</v>
      </c>
      <c r="T37" s="13"/>
      <c r="U37" s="13"/>
      <c r="V37" s="489">
        <v>21146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v>0</v>
      </c>
      <c r="G38" s="83"/>
      <c r="H38" s="82"/>
      <c r="I38" s="30"/>
      <c r="J38" s="41"/>
      <c r="K38" s="82">
        <f t="shared" si="11"/>
        <v>0</v>
      </c>
      <c r="L38" s="455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v>0</v>
      </c>
      <c r="G39" s="83"/>
      <c r="H39" s="82"/>
      <c r="I39" s="30"/>
      <c r="J39" s="41"/>
      <c r="K39" s="82">
        <f t="shared" si="11"/>
        <v>0</v>
      </c>
      <c r="L39" s="455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v>0</v>
      </c>
      <c r="G40" s="83"/>
      <c r="H40" s="82"/>
      <c r="I40" s="30"/>
      <c r="J40" s="41"/>
      <c r="K40" s="82">
        <f t="shared" si="11"/>
        <v>0</v>
      </c>
      <c r="L40" s="456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0.52133543893868173</v>
      </c>
      <c r="F41" s="96">
        <f>SUM(F31:F40)</f>
        <v>75077.301894025877</v>
      </c>
      <c r="G41" s="97"/>
      <c r="H41" s="95"/>
      <c r="I41" s="96"/>
      <c r="J41" s="97" t="s">
        <v>38</v>
      </c>
      <c r="K41" s="95">
        <f>L41/L$27</f>
        <v>0.55453050381099966</v>
      </c>
      <c r="L41" s="96">
        <f>SUM(L31:L40)</f>
        <v>80655.01999999999</v>
      </c>
      <c r="M41" s="98"/>
      <c r="N41" s="96">
        <f t="shared" si="12"/>
        <v>5577.7181059741124</v>
      </c>
      <c r="O41" s="97" t="s">
        <v>38</v>
      </c>
      <c r="P41" s="95">
        <f>Q41/Q$27</f>
        <v>0.58771085617569052</v>
      </c>
      <c r="Q41" s="99">
        <f>SUM(Q31:Q40)</f>
        <v>77433.55</v>
      </c>
      <c r="R41" s="100"/>
      <c r="S41" s="101">
        <f t="shared" ref="S41:S51" si="16">L41-Q41</f>
        <v>3221.4699999999866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12465.762145593872</v>
      </c>
      <c r="G42" s="41"/>
      <c r="H42" s="13"/>
      <c r="I42" s="30"/>
      <c r="J42" s="41"/>
      <c r="K42" s="13"/>
      <c r="L42" s="33">
        <v>9762.51</v>
      </c>
      <c r="M42" s="41"/>
      <c r="N42" s="59">
        <f t="shared" si="12"/>
        <v>-2703.2521455938713</v>
      </c>
      <c r="O42" s="41"/>
      <c r="P42" s="13"/>
      <c r="Q42" s="33">
        <v>12424.49</v>
      </c>
      <c r="R42" s="41"/>
      <c r="S42" s="85">
        <f t="shared" si="16"/>
        <v>-2661.9799999999996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5131.0854559386971</v>
      </c>
      <c r="G43" s="83"/>
      <c r="H43" s="13"/>
      <c r="I43" s="22"/>
      <c r="J43" s="41"/>
      <c r="K43" s="13"/>
      <c r="L43" s="33">
        <v>4255.62</v>
      </c>
      <c r="M43" s="41"/>
      <c r="N43" s="59">
        <f t="shared" si="12"/>
        <v>-875.46545593869723</v>
      </c>
      <c r="O43" s="41"/>
      <c r="P43" s="13"/>
      <c r="Q43" s="33">
        <v>8970.8700000000008</v>
      </c>
      <c r="R43" s="41"/>
      <c r="S43" s="85">
        <f t="shared" si="16"/>
        <v>-4715.2500000000009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90</v>
      </c>
      <c r="M44" s="107"/>
      <c r="N44" s="109">
        <f t="shared" si="12"/>
        <v>90</v>
      </c>
      <c r="O44" s="107"/>
      <c r="P44" s="105"/>
      <c r="Q44" s="108">
        <v>342</v>
      </c>
      <c r="R44" s="107"/>
      <c r="S44" s="110">
        <f t="shared" si="16"/>
        <v>-252</v>
      </c>
      <c r="T44" s="13"/>
      <c r="U44" s="13"/>
      <c r="V44" s="489" t="s">
        <v>255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8711.2105333313048</v>
      </c>
      <c r="G49" s="83"/>
      <c r="H49" s="13"/>
      <c r="I49" s="22"/>
      <c r="J49" s="41"/>
      <c r="K49" s="13"/>
      <c r="L49" s="22">
        <v>8083.96</v>
      </c>
      <c r="M49" s="41"/>
      <c r="N49" s="59">
        <f t="shared" si="12"/>
        <v>-627.25053333130472</v>
      </c>
      <c r="O49" s="41"/>
      <c r="P49" s="13"/>
      <c r="Q49" s="22">
        <v>9776.36</v>
      </c>
      <c r="R49" s="41"/>
      <c r="S49" s="85">
        <f t="shared" ref="S49:S60" si="18">L49-Q49</f>
        <v>-1692.4000000000005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8869.9791432961465</v>
      </c>
      <c r="G50" s="106"/>
      <c r="H50" s="105"/>
      <c r="I50" s="30"/>
      <c r="J50" s="107"/>
      <c r="K50" s="105"/>
      <c r="L50" s="33">
        <v>9540.19</v>
      </c>
      <c r="M50" s="107"/>
      <c r="N50" s="109">
        <f t="shared" si="12"/>
        <v>670.21085670385401</v>
      </c>
      <c r="O50" s="107"/>
      <c r="P50" s="105"/>
      <c r="Q50" s="33">
        <v>11933.83</v>
      </c>
      <c r="R50" s="107"/>
      <c r="S50" s="110">
        <f t="shared" si="18"/>
        <v>-2393.6399999999994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5749.0605558400948</v>
      </c>
      <c r="G51" s="83"/>
      <c r="H51" s="13"/>
      <c r="I51" s="30"/>
      <c r="J51" s="41"/>
      <c r="K51" s="13"/>
      <c r="L51" s="33">
        <v>4627.74</v>
      </c>
      <c r="M51" s="41"/>
      <c r="N51" s="59">
        <f t="shared" si="12"/>
        <v>-1121.320555840095</v>
      </c>
      <c r="O51" s="41"/>
      <c r="P51" s="13"/>
      <c r="Q51" s="33">
        <v>4599.38</v>
      </c>
      <c r="R51" s="41"/>
      <c r="S51" s="85">
        <f t="shared" si="18"/>
        <v>28.359999999999673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1609.7369556352266</v>
      </c>
      <c r="G52" s="83"/>
      <c r="H52" s="13"/>
      <c r="I52" s="30"/>
      <c r="J52" s="41"/>
      <c r="K52" s="13"/>
      <c r="L52" s="33">
        <v>1507.88</v>
      </c>
      <c r="M52" s="41"/>
      <c r="N52" s="59">
        <f t="shared" si="12"/>
        <v>-101.85695563522654</v>
      </c>
      <c r="O52" s="41"/>
      <c r="P52" s="13"/>
      <c r="Q52" s="33">
        <v>3165.52</v>
      </c>
      <c r="R52" s="41"/>
      <c r="S52" s="85">
        <f t="shared" si="18"/>
        <v>-1657.6399999999999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0.29537501850317999</v>
      </c>
      <c r="F54" s="96">
        <f>+SUM(F42:F53)</f>
        <v>42536.834789635337</v>
      </c>
      <c r="G54" s="97"/>
      <c r="H54" s="95"/>
      <c r="I54" s="96"/>
      <c r="J54" s="97" t="s">
        <v>38</v>
      </c>
      <c r="K54" s="95">
        <f>L54/L$27</f>
        <v>0.26035460241984387</v>
      </c>
      <c r="L54" s="96">
        <f>+SUM(L42:L53)</f>
        <v>37867.899999999994</v>
      </c>
      <c r="M54" s="100"/>
      <c r="N54" s="96">
        <f>+SUM(N42:N53)</f>
        <v>-4668.9347896353411</v>
      </c>
      <c r="O54" s="97" t="s">
        <v>38</v>
      </c>
      <c r="P54" s="95">
        <f>Q54/Q$27</f>
        <v>0.38869602176775753</v>
      </c>
      <c r="Q54" s="96">
        <f>+SUM(Q42:Q53)</f>
        <v>51212.45</v>
      </c>
      <c r="R54" s="100"/>
      <c r="S54" s="101">
        <f>+SUM(S42:S53)</f>
        <v>-13344.55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1284.45</v>
      </c>
      <c r="M57" s="23"/>
      <c r="N57" s="91">
        <f t="shared" si="19"/>
        <v>-752.05</v>
      </c>
      <c r="O57" s="23"/>
      <c r="P57" s="111"/>
      <c r="Q57" s="22">
        <v>9596.17</v>
      </c>
      <c r="R57" s="23"/>
      <c r="S57" s="92">
        <f t="shared" si="20"/>
        <v>-8311.7199999999993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9247.4699999999993</v>
      </c>
      <c r="M58" s="41"/>
      <c r="N58" s="59">
        <f t="shared" si="19"/>
        <v>52.117833333331873</v>
      </c>
      <c r="O58" s="41"/>
      <c r="P58" s="13"/>
      <c r="Q58" s="33">
        <v>4851.72</v>
      </c>
      <c r="R58" s="41"/>
      <c r="S58" s="85">
        <f t="shared" si="20"/>
        <v>4395.7499999999991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2184.94</v>
      </c>
      <c r="M59" s="41"/>
      <c r="N59" s="59">
        <f t="shared" si="19"/>
        <v>854.94</v>
      </c>
      <c r="O59" s="41"/>
      <c r="P59" s="13"/>
      <c r="Q59" s="33">
        <v>429.47</v>
      </c>
      <c r="R59" s="41"/>
      <c r="S59" s="85">
        <f t="shared" si="20"/>
        <v>1755.47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3167.58</v>
      </c>
      <c r="M60" s="23"/>
      <c r="N60" s="91">
        <f t="shared" si="19"/>
        <v>495.2196666666664</v>
      </c>
      <c r="O60" s="23"/>
      <c r="P60" s="111"/>
      <c r="Q60" s="22">
        <v>2489.44</v>
      </c>
      <c r="R60" s="23"/>
      <c r="S60" s="92">
        <f t="shared" si="20"/>
        <v>678.13999999999987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55.5</v>
      </c>
      <c r="M61" s="41"/>
      <c r="N61" s="59">
        <f t="shared" si="19"/>
        <v>-19.5</v>
      </c>
      <c r="O61" s="41"/>
      <c r="P61" s="13"/>
      <c r="Q61" s="33">
        <v>138.66</v>
      </c>
      <c r="R61" s="41"/>
      <c r="S61" s="85">
        <f t="shared" si="20"/>
        <v>-83.16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438.31</v>
      </c>
      <c r="M63" s="41"/>
      <c r="N63" s="59">
        <f t="shared" si="19"/>
        <v>-141.69</v>
      </c>
      <c r="O63" s="41"/>
      <c r="P63" s="13"/>
      <c r="Q63" s="32">
        <v>735.07</v>
      </c>
      <c r="R63" s="41"/>
      <c r="S63" s="85">
        <f t="shared" si="20"/>
        <v>-296.76000000000005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198.07</v>
      </c>
      <c r="M64" s="41"/>
      <c r="N64" s="59">
        <f t="shared" si="19"/>
        <v>40.47</v>
      </c>
      <c r="O64" s="41"/>
      <c r="P64" s="13"/>
      <c r="Q64" s="33">
        <v>183.2</v>
      </c>
      <c r="R64" s="41"/>
      <c r="S64" s="85">
        <f t="shared" si="20"/>
        <v>14.870000000000005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52.12</v>
      </c>
      <c r="M65" s="41"/>
      <c r="N65" s="59">
        <f t="shared" si="19"/>
        <v>-174.54666666666665</v>
      </c>
      <c r="O65" s="41"/>
      <c r="P65" s="13"/>
      <c r="Q65" s="33">
        <v>309.75</v>
      </c>
      <c r="R65" s="41"/>
      <c r="S65" s="85">
        <f t="shared" si="20"/>
        <v>-257.63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756.6</v>
      </c>
      <c r="M66" s="41"/>
      <c r="N66" s="59">
        <f t="shared" si="19"/>
        <v>127.51666666666677</v>
      </c>
      <c r="O66" s="41"/>
      <c r="P66" s="13"/>
      <c r="Q66" s="33">
        <v>1827.48</v>
      </c>
      <c r="R66" s="41"/>
      <c r="S66" s="85">
        <f t="shared" si="20"/>
        <v>-1070.8800000000001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-75.680000000000007</v>
      </c>
      <c r="M67" s="41"/>
      <c r="N67" s="59">
        <f t="shared" si="19"/>
        <v>-397.2746666666668</v>
      </c>
      <c r="O67" s="41"/>
      <c r="P67" s="13"/>
      <c r="Q67" s="33">
        <v>517.53</v>
      </c>
      <c r="R67" s="41"/>
      <c r="S67" s="85">
        <f>L67-Q67</f>
        <v>-593.21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3978.2237432073111</v>
      </c>
      <c r="G68" s="83"/>
      <c r="H68" s="13"/>
      <c r="I68" s="30"/>
      <c r="J68" s="41"/>
      <c r="K68" s="13"/>
      <c r="L68" s="32">
        <v>2922.42</v>
      </c>
      <c r="M68" s="41"/>
      <c r="N68" s="59">
        <f t="shared" si="19"/>
        <v>-1055.8037432073111</v>
      </c>
      <c r="O68" s="41"/>
      <c r="P68" s="13"/>
      <c r="Q68" s="33">
        <v>2634.17</v>
      </c>
      <c r="R68" s="41"/>
      <c r="S68" s="85">
        <f>L68-Q68</f>
        <v>288.25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0.14743727254592837</v>
      </c>
      <c r="F72" s="96">
        <f>+SUM(F55:F71)</f>
        <v>21232.38090987398</v>
      </c>
      <c r="G72" s="97"/>
      <c r="H72" s="95"/>
      <c r="I72" s="96"/>
      <c r="J72" s="97" t="s">
        <v>38</v>
      </c>
      <c r="K72" s="95">
        <f>L72/L$27</f>
        <v>0.13910032080325946</v>
      </c>
      <c r="L72" s="96">
        <f>+SUM(L55:L71)</f>
        <v>20231.78</v>
      </c>
      <c r="M72" s="100"/>
      <c r="N72" s="96">
        <f>+SUM(N55:N71)</f>
        <v>-1000.6009098739794</v>
      </c>
      <c r="O72" s="97" t="s">
        <v>38</v>
      </c>
      <c r="P72" s="95">
        <f>Q72/Q$27</f>
        <v>0.17997609189818944</v>
      </c>
      <c r="Q72" s="96">
        <f>+SUM(Q55:Q71)</f>
        <v>23712.659999999996</v>
      </c>
      <c r="R72" s="100"/>
      <c r="S72" s="101">
        <f>+SUM(S55:S71)</f>
        <v>-3480.8800000000006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0.96414772998779008</v>
      </c>
      <c r="F74" s="96">
        <f>F41+F54+F72</f>
        <v>138846.51759353519</v>
      </c>
      <c r="G74" s="97"/>
      <c r="H74" s="95"/>
      <c r="I74" s="96"/>
      <c r="J74" s="97" t="s">
        <v>38</v>
      </c>
      <c r="K74" s="95">
        <f>L74/L$27</f>
        <v>0.95398542703410294</v>
      </c>
      <c r="L74" s="96">
        <f>L41+L54+L72</f>
        <v>138754.69999999998</v>
      </c>
      <c r="M74" s="100"/>
      <c r="N74" s="113">
        <f t="shared" ref="N74:N82" si="23">L74-F74</f>
        <v>-91.817593535204651</v>
      </c>
      <c r="O74" s="97" t="s">
        <v>38</v>
      </c>
      <c r="P74" s="95">
        <f>Q74/Q$27</f>
        <v>1.1563829698416375</v>
      </c>
      <c r="Q74" s="96">
        <f>Q41+Q54+Q72</f>
        <v>152358.66</v>
      </c>
      <c r="R74" s="100"/>
      <c r="S74" s="114">
        <f>L74-Q74</f>
        <v>-13603.960000000021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v>38601.42</v>
      </c>
      <c r="G75" s="83"/>
      <c r="H75" s="13"/>
      <c r="I75" s="30"/>
      <c r="J75" s="41"/>
      <c r="K75" s="13"/>
      <c r="L75" s="32">
        <v>34403.279999999999</v>
      </c>
      <c r="M75" s="41"/>
      <c r="N75" s="59">
        <f t="shared" si="23"/>
        <v>-4198.1399999999994</v>
      </c>
      <c r="O75" s="41"/>
      <c r="P75" s="13"/>
      <c r="Q75" s="32">
        <v>38986.85</v>
      </c>
      <c r="R75" s="41"/>
      <c r="S75" s="85">
        <f>L75-Q75</f>
        <v>-4583.57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46789.599999999999</v>
      </c>
      <c r="G78" s="83"/>
      <c r="H78" s="13"/>
      <c r="I78" s="30"/>
      <c r="J78" s="41"/>
      <c r="K78" s="13"/>
      <c r="L78" s="33">
        <v>37951.800000000003</v>
      </c>
      <c r="M78" s="41"/>
      <c r="N78" s="59">
        <f t="shared" si="23"/>
        <v>-8837.7999999999956</v>
      </c>
      <c r="O78" s="41"/>
      <c r="P78" s="13"/>
      <c r="Q78" s="32">
        <v>30943.4</v>
      </c>
      <c r="R78" s="41"/>
      <c r="S78" s="85">
        <f t="shared" si="24"/>
        <v>7008.4000000000015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15160.6</v>
      </c>
      <c r="G82" s="83"/>
      <c r="H82" s="13"/>
      <c r="I82" s="30"/>
      <c r="J82" s="41"/>
      <c r="K82" s="13"/>
      <c r="L82" s="32">
        <v>14280</v>
      </c>
      <c r="M82" s="41"/>
      <c r="N82" s="59">
        <f t="shared" si="23"/>
        <v>-880.60000000000036</v>
      </c>
      <c r="O82" s="41"/>
      <c r="P82" s="13"/>
      <c r="Q82" s="32">
        <v>11900</v>
      </c>
      <c r="R82" s="41"/>
      <c r="S82" s="85">
        <f t="shared" ref="S82:S87" si="26">L82-Q82</f>
        <v>2380</v>
      </c>
      <c r="T82" s="13"/>
      <c r="U82" s="13"/>
      <c r="V82" s="489">
        <f>L82/595</f>
        <v>24</v>
      </c>
      <c r="W82" s="483">
        <f>V82/J27</f>
        <v>0.8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100551.62</v>
      </c>
      <c r="G83" s="97"/>
      <c r="H83" s="95"/>
      <c r="I83" s="96"/>
      <c r="J83" s="97"/>
      <c r="K83" s="95"/>
      <c r="L83" s="96">
        <f>+SUM(L75:L82)</f>
        <v>86635.08</v>
      </c>
      <c r="M83" s="100"/>
      <c r="N83" s="96">
        <f>+SUM(N75:N82)</f>
        <v>-13916.539999999995</v>
      </c>
      <c r="O83" s="97"/>
      <c r="P83" s="95"/>
      <c r="Q83" s="96">
        <f>+SUM(Q75:Q82)</f>
        <v>81830.25</v>
      </c>
      <c r="R83" s="100"/>
      <c r="S83" s="101">
        <f>+SUM(S75:S82)</f>
        <v>4804.8300000000017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105714.69064175893</v>
      </c>
      <c r="G85" s="128"/>
      <c r="H85" s="126"/>
      <c r="I85" s="127"/>
      <c r="J85" s="128"/>
      <c r="K85" s="125"/>
      <c r="L85" s="127">
        <f>L27-L74+L83</f>
        <v>93327.780000000013</v>
      </c>
      <c r="M85" s="128"/>
      <c r="N85" s="127">
        <f>N27-N41-N54-N72+N83</f>
        <v>-12386.910641758919</v>
      </c>
      <c r="O85" s="128"/>
      <c r="P85" s="125"/>
      <c r="Q85" s="127">
        <f>Q27-Q74+Q83</f>
        <v>61226.089999999967</v>
      </c>
      <c r="R85" s="128"/>
      <c r="S85" s="129">
        <f>S27-S41-S54-S72+S83</f>
        <v>32101.690000000039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Juin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0" t="s">
        <v>5</v>
      </c>
      <c r="E91" s="511"/>
      <c r="F91" s="512"/>
      <c r="G91" s="513"/>
      <c r="H91" s="511"/>
      <c r="I91" s="512"/>
      <c r="J91" s="513" t="s">
        <v>7</v>
      </c>
      <c r="K91" s="511"/>
      <c r="L91" s="512"/>
      <c r="M91" s="513" t="s">
        <v>212</v>
      </c>
      <c r="N91" s="512"/>
      <c r="O91" s="510" t="s">
        <v>8</v>
      </c>
      <c r="P91" s="511"/>
      <c r="Q91" s="512"/>
      <c r="R91" s="508" t="s">
        <v>213</v>
      </c>
      <c r="S91" s="509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9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2452221.8838663544</v>
      </c>
      <c r="G93" s="46"/>
      <c r="H93" s="25"/>
      <c r="I93" s="22"/>
      <c r="J93" s="23"/>
      <c r="K93" s="25"/>
      <c r="L93" s="22">
        <v>2841713.48</v>
      </c>
      <c r="M93" s="137"/>
      <c r="N93" s="138"/>
      <c r="O93" s="23"/>
      <c r="P93" s="25"/>
      <c r="Q93" s="22">
        <v>1387819.46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19</v>
      </c>
      <c r="E94" s="30">
        <f>IF(D94=0,0,F94/D94)</f>
        <v>2400</v>
      </c>
      <c r="F94" s="30">
        <v>45600</v>
      </c>
      <c r="G94" s="31"/>
      <c r="H94" s="30"/>
      <c r="I94" s="30"/>
      <c r="J94" s="31">
        <v>17</v>
      </c>
      <c r="K94" s="30">
        <f>IF(J94=0,0,L94/J94)</f>
        <v>1337.7129411764636</v>
      </c>
      <c r="L94" s="33">
        <v>22741.119999999879</v>
      </c>
      <c r="M94" s="31">
        <f>J94-D94</f>
        <v>-2</v>
      </c>
      <c r="N94" s="33">
        <f>L94-F94</f>
        <v>-22858.880000000121</v>
      </c>
      <c r="O94" s="31">
        <v>6</v>
      </c>
      <c r="P94" s="30">
        <f t="shared" ref="P94:P96" si="28">IF(O94=0,0,Q94/O94)</f>
        <v>2132.8233333333333</v>
      </c>
      <c r="Q94" s="33">
        <v>12796.94</v>
      </c>
      <c r="R94" s="31">
        <f>J94-O94</f>
        <v>11</v>
      </c>
      <c r="S94" s="34">
        <f>L94-Q94</f>
        <v>9944.1799999998784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7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6" si="29">IF(D95=0,0,F95/D95)</f>
        <v>1400</v>
      </c>
      <c r="F95" s="30">
        <v>7000</v>
      </c>
      <c r="G95" s="31"/>
      <c r="H95" s="30"/>
      <c r="I95" s="30"/>
      <c r="J95" s="31">
        <v>4</v>
      </c>
      <c r="K95" s="30">
        <f>IF(J95=0,0,L95/J95)</f>
        <v>804.28250000000116</v>
      </c>
      <c r="L95" s="32">
        <v>3217.1300000000047</v>
      </c>
      <c r="M95" s="31">
        <f>J95-D95</f>
        <v>-1</v>
      </c>
      <c r="N95" s="33">
        <f>L95-F95</f>
        <v>-3782.8699999999953</v>
      </c>
      <c r="O95" s="31">
        <v>13</v>
      </c>
      <c r="P95" s="30">
        <f t="shared" si="28"/>
        <v>1919.1207692307692</v>
      </c>
      <c r="Q95" s="32">
        <v>24948.57</v>
      </c>
      <c r="R95" s="31">
        <f>J95-O95</f>
        <v>-9</v>
      </c>
      <c r="S95" s="34">
        <f>L95-Q95</f>
        <v>-21731.439999999995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 t="shared" si="27"/>
        <v>Véhicules usagésAutres marques</v>
      </c>
      <c r="B96" s="11" t="s">
        <v>70</v>
      </c>
      <c r="C96" s="29" t="s">
        <v>206</v>
      </c>
      <c r="D96" s="30">
        <v>8</v>
      </c>
      <c r="E96" s="25">
        <f t="shared" si="29"/>
        <v>1500</v>
      </c>
      <c r="F96" s="30">
        <v>12000</v>
      </c>
      <c r="G96" s="31"/>
      <c r="H96" s="30"/>
      <c r="I96" s="30"/>
      <c r="J96" s="31">
        <v>8</v>
      </c>
      <c r="K96" s="30">
        <f>IF(J96=0,0,L96/J96)</f>
        <v>1476.4362499999988</v>
      </c>
      <c r="L96" s="32">
        <v>11811.489999999991</v>
      </c>
      <c r="M96" s="31">
        <f>J96-D96</f>
        <v>0</v>
      </c>
      <c r="N96" s="33">
        <f>L96-F96</f>
        <v>-188.51000000000931</v>
      </c>
      <c r="O96" s="31">
        <v>6</v>
      </c>
      <c r="P96" s="30">
        <f t="shared" si="28"/>
        <v>1460.9366666666649</v>
      </c>
      <c r="Q96" s="32">
        <v>8765.6199999999899</v>
      </c>
      <c r="R96" s="31">
        <f>J96-O96</f>
        <v>2</v>
      </c>
      <c r="S96" s="34">
        <f>L96-Q96</f>
        <v>3045.8700000000008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32</v>
      </c>
      <c r="E97" s="30">
        <f t="shared" si="29"/>
        <v>2018.75</v>
      </c>
      <c r="F97" s="37">
        <f>+F94+F95+F96</f>
        <v>64600</v>
      </c>
      <c r="G97" s="38"/>
      <c r="H97" s="36"/>
      <c r="I97" s="37"/>
      <c r="J97" s="38">
        <f>+J94+J95+J96</f>
        <v>29</v>
      </c>
      <c r="K97" s="36">
        <f>IF(J97&lt;=0,0,L97/J97)</f>
        <v>1302.4048275862026</v>
      </c>
      <c r="L97" s="37">
        <f>+L94+L95+L96</f>
        <v>37769.739999999874</v>
      </c>
      <c r="M97" s="38">
        <f>J97-D97</f>
        <v>-3</v>
      </c>
      <c r="N97" s="37">
        <f>L97-F97</f>
        <v>-26830.260000000126</v>
      </c>
      <c r="O97" s="38">
        <f>+O95+O94+O96</f>
        <v>25</v>
      </c>
      <c r="P97" s="36">
        <f>IF(O97=0,0,Q97/O97)</f>
        <v>1860.4451999999997</v>
      </c>
      <c r="Q97" s="37">
        <f>+Q94+Q95+Q96</f>
        <v>46511.12999999999</v>
      </c>
      <c r="R97" s="38">
        <f>J97-O97</f>
        <v>4</v>
      </c>
      <c r="S97" s="39">
        <f>L97-Q97</f>
        <v>-8741.3900000001158</v>
      </c>
      <c r="T97" s="13"/>
      <c r="U97" s="13"/>
      <c r="W97" s="457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-9.375E-2</v>
      </c>
      <c r="N98" s="43">
        <f>N97/F97</f>
        <v>-0.41532910216718461</v>
      </c>
      <c r="O98" s="41"/>
      <c r="P98" s="13"/>
      <c r="Q98" s="40"/>
      <c r="R98" s="42">
        <f>R97/O97</f>
        <v>0.16</v>
      </c>
      <c r="S98" s="44">
        <f>IF(Q97=0,0,(S97/Q97))</f>
        <v>-0.18794189691800903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>+B99&amp;C99</f>
        <v>Véhicules neufsRachat bail</v>
      </c>
      <c r="B99" s="11" t="str">
        <f t="shared" ref="B99:B193" si="30"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1509.8237491399509</v>
      </c>
      <c r="G99" s="31"/>
      <c r="H99" s="30"/>
      <c r="I99" s="30"/>
      <c r="J99" s="31"/>
      <c r="K99" s="30"/>
      <c r="L99" s="33">
        <v>4986.429999999993</v>
      </c>
      <c r="M99" s="31"/>
      <c r="N99" s="33">
        <f>L99-F99</f>
        <v>3476.6062508600421</v>
      </c>
      <c r="O99" s="31"/>
      <c r="P99" s="30"/>
      <c r="Q99" s="33">
        <v>563.25</v>
      </c>
      <c r="R99" s="31">
        <f>O99-K99</f>
        <v>0</v>
      </c>
      <c r="S99" s="34">
        <f>L99-Q99</f>
        <v>4423.179999999993</v>
      </c>
      <c r="T99" s="13"/>
      <c r="U99" s="13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25">
      <c r="A100" t="str">
        <f t="shared" ref="A100:A166" si="31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31"/>
        <v>Véhicules usagésVentes au Gros</v>
      </c>
      <c r="B101" s="11" t="s">
        <v>70</v>
      </c>
      <c r="C101" s="29" t="s">
        <v>75</v>
      </c>
      <c r="D101" s="30">
        <v>26</v>
      </c>
      <c r="E101" s="30">
        <f t="shared" ref="E101:E112" si="32">IF(D101=0,0,F101/D101)</f>
        <v>500</v>
      </c>
      <c r="F101" s="30">
        <v>13000</v>
      </c>
      <c r="G101" s="31"/>
      <c r="H101" s="30"/>
      <c r="I101" s="30"/>
      <c r="J101" s="31">
        <v>38</v>
      </c>
      <c r="K101" s="30">
        <f>IF(J101=0,0,L101/J101)</f>
        <v>993.30078947368247</v>
      </c>
      <c r="L101" s="33">
        <v>37745.429999999935</v>
      </c>
      <c r="M101" s="31">
        <f>J101-D101</f>
        <v>12</v>
      </c>
      <c r="N101" s="33">
        <f>L101-F101</f>
        <v>24745.429999999935</v>
      </c>
      <c r="O101" s="31">
        <v>11</v>
      </c>
      <c r="P101" s="30">
        <f>IF(O101=0,0,Q101/O101)</f>
        <v>-175.90818181818091</v>
      </c>
      <c r="Q101" s="33">
        <v>-1934.98999999999</v>
      </c>
      <c r="R101" s="31">
        <f>J101-O101</f>
        <v>27</v>
      </c>
      <c r="S101" s="34">
        <f>L101-Q101</f>
        <v>39680.419999999925</v>
      </c>
      <c r="T101" s="13"/>
      <c r="U101" s="13"/>
      <c r="W101" s="457"/>
      <c r="X101" s="13"/>
      <c r="Y101" s="13"/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31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31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11200</v>
      </c>
      <c r="G103" s="31"/>
      <c r="H103" s="30"/>
      <c r="I103" s="30"/>
      <c r="J103" s="31"/>
      <c r="K103" s="30">
        <f>IF(J97=0,0,L103/J97)</f>
        <v>464.98172413793105</v>
      </c>
      <c r="L103" s="33">
        <v>13484.470000000001</v>
      </c>
      <c r="M103" s="31"/>
      <c r="N103" s="33">
        <f>L103-F103</f>
        <v>2284.4700000000012</v>
      </c>
      <c r="O103" s="31"/>
      <c r="P103" s="30">
        <f>IF(O97=0,0,Q103/O97)</f>
        <v>336.26800000000003</v>
      </c>
      <c r="Q103" s="33">
        <v>8406.7000000000007</v>
      </c>
      <c r="R103" s="31">
        <f>O103-K103</f>
        <v>-464.98172413793105</v>
      </c>
      <c r="S103" s="34">
        <f>L103-Q103</f>
        <v>5077.7700000000004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31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30400</v>
      </c>
      <c r="G104" s="31"/>
      <c r="H104" s="30"/>
      <c r="I104" s="30"/>
      <c r="J104" s="31"/>
      <c r="K104" s="30">
        <f>IF(J97=0,0,L104/J97)</f>
        <v>521.03793103448265</v>
      </c>
      <c r="L104" s="33">
        <v>15110.099999999999</v>
      </c>
      <c r="M104" s="31"/>
      <c r="N104" s="33">
        <f>L104-F104</f>
        <v>-15289.900000000001</v>
      </c>
      <c r="O104" s="31"/>
      <c r="P104" s="30">
        <f>IF(O97=0,0,Q104/O97)</f>
        <v>1091.8920000000001</v>
      </c>
      <c r="Q104" s="33">
        <v>27297.3</v>
      </c>
      <c r="R104" s="31">
        <f>O104-K104</f>
        <v>-521.03793103448265</v>
      </c>
      <c r="S104" s="34">
        <f>L104-Q104</f>
        <v>-12187.2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31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6400</v>
      </c>
      <c r="G105" s="31"/>
      <c r="H105" s="47"/>
      <c r="I105" s="30"/>
      <c r="J105" s="31"/>
      <c r="K105" s="47">
        <f>IF(J97=0,0,L105/J97)</f>
        <v>72.758620689655174</v>
      </c>
      <c r="L105" s="33">
        <v>2110</v>
      </c>
      <c r="M105" s="51"/>
      <c r="N105" s="33">
        <f>L105-F105</f>
        <v>-4290</v>
      </c>
      <c r="O105" s="31"/>
      <c r="P105" s="47">
        <f>IF(O97=0,0,Q105/O97)</f>
        <v>340.77799999999957</v>
      </c>
      <c r="Q105" s="33">
        <v>8519.4499999999898</v>
      </c>
      <c r="R105" s="31">
        <f>O105-K105</f>
        <v>-72.758620689655174</v>
      </c>
      <c r="S105" s="34">
        <f>L105-Q105</f>
        <v>-6409.4499999999898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31"/>
        <v>Véhicules usagésTotal F&amp;I</v>
      </c>
      <c r="B106" s="11" t="s">
        <v>70</v>
      </c>
      <c r="C106" s="35" t="s">
        <v>27</v>
      </c>
      <c r="D106" s="36">
        <f>D97</f>
        <v>32</v>
      </c>
      <c r="E106" s="30">
        <f t="shared" ref="E106:E117" si="33">IF(D106=0,0,F106/D106)</f>
        <v>1500</v>
      </c>
      <c r="F106" s="37">
        <f>F103+F104+F105</f>
        <v>48000</v>
      </c>
      <c r="G106" s="38"/>
      <c r="H106" s="36"/>
      <c r="I106" s="37"/>
      <c r="J106" s="38">
        <f>J97</f>
        <v>29</v>
      </c>
      <c r="K106" s="36">
        <f>IF(J106&lt;=0,0,L106/J106)</f>
        <v>1058.778275862069</v>
      </c>
      <c r="L106" s="37">
        <f>L103+L104+L105</f>
        <v>30704.57</v>
      </c>
      <c r="M106" s="31">
        <f>J106-D106</f>
        <v>-3</v>
      </c>
      <c r="N106" s="37">
        <f>L106-F106</f>
        <v>-17295.43</v>
      </c>
      <c r="O106" s="38">
        <f>O97</f>
        <v>25</v>
      </c>
      <c r="P106" s="36">
        <f t="shared" ref="P106" si="34">IF(O106=0,0,Q106/O106)</f>
        <v>1768.9379999999996</v>
      </c>
      <c r="Q106" s="37">
        <f>Q103+Q104+Q105</f>
        <v>44223.44999999999</v>
      </c>
      <c r="R106" s="56"/>
      <c r="S106" s="39">
        <f>L106-Q106</f>
        <v>-13518.87999999999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0.25">
      <c r="A107" t="str">
        <f t="shared" si="31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-0.36032145833333334</v>
      </c>
      <c r="O107" s="41"/>
      <c r="P107" s="13"/>
      <c r="Q107" s="59"/>
      <c r="R107" s="60"/>
      <c r="S107" s="44">
        <f>IF(Q106=0,0,(S106/Q106))</f>
        <v>-0.30569482932697456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Bot="1">
      <c r="A108" t="str">
        <f t="shared" si="31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58</v>
      </c>
      <c r="E109" s="67">
        <f>IF(D109&lt;=0,0,F109/D109)</f>
        <v>2191.548685329999</v>
      </c>
      <c r="F109" s="65">
        <f>F97+F106+F101+F99</f>
        <v>127109.82374913995</v>
      </c>
      <c r="G109" s="66"/>
      <c r="H109" s="67"/>
      <c r="I109" s="65"/>
      <c r="J109" s="66">
        <f>J97+J101</f>
        <v>67</v>
      </c>
      <c r="K109" s="67">
        <f>IF(J109&lt;=0,0,L109/J109)</f>
        <v>1659.7935820895493</v>
      </c>
      <c r="L109" s="65">
        <f>L97+L106+L101+L99</f>
        <v>111206.16999999981</v>
      </c>
      <c r="M109" s="66">
        <f>J109-D109</f>
        <v>9</v>
      </c>
      <c r="N109" s="65">
        <f>L109-F109</f>
        <v>-15903.65374914014</v>
      </c>
      <c r="O109" s="66">
        <f>O97+O101</f>
        <v>36</v>
      </c>
      <c r="P109" s="67">
        <f>IF(O109&lt;=0,0,Q109/O109)</f>
        <v>2482.3011111111109</v>
      </c>
      <c r="Q109" s="65">
        <f>Q97+Q106+Q101+Q99</f>
        <v>89362.84</v>
      </c>
      <c r="R109" s="66">
        <f>J109-O109</f>
        <v>31</v>
      </c>
      <c r="S109" s="68">
        <f>L109-Q109</f>
        <v>21843.329999999813</v>
      </c>
      <c r="T109" s="13"/>
      <c r="U109" s="13"/>
      <c r="W109" s="11"/>
      <c r="X109" s="48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0.15517241379310345</v>
      </c>
      <c r="N110" s="74">
        <f>N109/F109</f>
        <v>-0.12511742428757594</v>
      </c>
      <c r="O110" s="72"/>
      <c r="P110" s="70"/>
      <c r="Q110" s="71"/>
      <c r="R110" s="73">
        <f>O109/R109</f>
        <v>1.1612903225806452</v>
      </c>
      <c r="S110" s="144">
        <f>IF(Q109=0,0,(S109/Q109))</f>
        <v>0.24443415182417896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 thickTop="1">
      <c r="A111" t="str">
        <f t="shared" si="31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31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31"/>
        <v>Véhicules usagésComm. vendeurs</v>
      </c>
      <c r="B113" s="11" t="s">
        <v>70</v>
      </c>
      <c r="C113" s="29" t="s">
        <v>30</v>
      </c>
      <c r="D113" s="147">
        <f>F113/(F97+F106)</f>
        <v>0.1867591514951846</v>
      </c>
      <c r="E113" s="82">
        <f t="shared" ref="E113:E122" si="35">F113/D$97</f>
        <v>657.15876432368077</v>
      </c>
      <c r="F113" s="30">
        <v>21029.080458357785</v>
      </c>
      <c r="G113" s="156"/>
      <c r="H113" s="82"/>
      <c r="I113" s="30"/>
      <c r="J113" s="156">
        <f>L113/L97</f>
        <v>0.52487864623902802</v>
      </c>
      <c r="K113" s="82">
        <f>IF($J$97=0,0,L113/(J$94+J$95+J96))</f>
        <v>683.60448275862063</v>
      </c>
      <c r="L113" s="33">
        <v>19824.53</v>
      </c>
      <c r="M113" s="41"/>
      <c r="N113" s="59">
        <f t="shared" ref="N113:N154" si="36">L113-F113</f>
        <v>-1204.5504583577858</v>
      </c>
      <c r="O113" s="156">
        <f>Q113/Q97</f>
        <v>0.37513902586327191</v>
      </c>
      <c r="P113" s="82">
        <f t="shared" ref="P113:P122" si="37">Q113/O$97</f>
        <v>697.92560000000003</v>
      </c>
      <c r="Q113" s="33">
        <v>17448.14</v>
      </c>
      <c r="R113" s="41"/>
      <c r="S113" s="85">
        <f t="shared" ref="S113:S123" si="38">L113-Q113</f>
        <v>2376.3899999999994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31"/>
        <v>Véhicules usagésComm. F&amp;I</v>
      </c>
      <c r="B114" s="11" t="s">
        <v>70</v>
      </c>
      <c r="C114" s="86" t="s">
        <v>31</v>
      </c>
      <c r="D114" s="217">
        <f>F114/(F106+F99)</f>
        <v>0.26176623180213066</v>
      </c>
      <c r="E114" s="88">
        <f t="shared" si="35"/>
        <v>405</v>
      </c>
      <c r="F114" s="22">
        <v>12960</v>
      </c>
      <c r="G114" s="161"/>
      <c r="H114" s="88"/>
      <c r="I114" s="22"/>
      <c r="J114" s="161">
        <f>L114/L106</f>
        <v>0.15755504799448419</v>
      </c>
      <c r="K114" s="88">
        <f>IF($J$97=0,0,L114/(J$94+J$95+J96))</f>
        <v>166.81586206896552</v>
      </c>
      <c r="L114" s="33">
        <v>4837.66</v>
      </c>
      <c r="M114" s="23"/>
      <c r="N114" s="91">
        <f t="shared" si="36"/>
        <v>-8122.34</v>
      </c>
      <c r="O114" s="161">
        <f>Q114/(Q106+Q99)</f>
        <v>0.26071556957757552</v>
      </c>
      <c r="P114" s="88">
        <f t="shared" si="37"/>
        <v>467.06360000000001</v>
      </c>
      <c r="Q114" s="33">
        <v>11676.59</v>
      </c>
      <c r="R114" s="23"/>
      <c r="S114" s="92">
        <f t="shared" si="38"/>
        <v>-6838.93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31"/>
        <v>Véhicules usagésFrais de livraison</v>
      </c>
      <c r="B115" s="11" t="s">
        <v>70</v>
      </c>
      <c r="C115" s="29" t="s">
        <v>32</v>
      </c>
      <c r="D115" s="81"/>
      <c r="E115" s="82">
        <f t="shared" si="35"/>
        <v>85</v>
      </c>
      <c r="F115" s="30">
        <v>2720</v>
      </c>
      <c r="G115" s="83"/>
      <c r="H115" s="82"/>
      <c r="I115" s="30"/>
      <c r="J115" s="41"/>
      <c r="K115" s="82">
        <f>IF($J$97=0,0,L115/(J$94+J$95+J96))</f>
        <v>41.284137931034486</v>
      </c>
      <c r="L115" s="108">
        <v>1197.24</v>
      </c>
      <c r="M115" s="41"/>
      <c r="N115" s="59">
        <f t="shared" si="36"/>
        <v>-1522.76</v>
      </c>
      <c r="O115" s="41"/>
      <c r="P115" s="82">
        <f t="shared" si="37"/>
        <v>60.966000000000001</v>
      </c>
      <c r="Q115" s="108">
        <v>1524.15</v>
      </c>
      <c r="R115" s="41"/>
      <c r="S115" s="85">
        <f t="shared" si="38"/>
        <v>-326.91000000000008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31"/>
        <v>Véhicules usagésService gratuit 1</v>
      </c>
      <c r="B116" s="11" t="s">
        <v>70</v>
      </c>
      <c r="C116" s="29" t="s">
        <v>33</v>
      </c>
      <c r="D116" s="81"/>
      <c r="E116" s="82">
        <f t="shared" si="35"/>
        <v>80</v>
      </c>
      <c r="F116" s="30">
        <v>2560</v>
      </c>
      <c r="G116" s="83"/>
      <c r="H116" s="82"/>
      <c r="I116" s="30"/>
      <c r="J116" s="41"/>
      <c r="K116" s="82">
        <f>IF($J$97=0,0,L116/(J$94+J$95+J96))</f>
        <v>97.332413793103441</v>
      </c>
      <c r="L116" s="33">
        <v>2822.64</v>
      </c>
      <c r="M116" s="41"/>
      <c r="N116" s="59">
        <f t="shared" si="36"/>
        <v>262.63999999999987</v>
      </c>
      <c r="O116" s="41"/>
      <c r="P116" s="82">
        <f t="shared" si="37"/>
        <v>79.516800000000003</v>
      </c>
      <c r="Q116" s="33">
        <v>1987.92</v>
      </c>
      <c r="R116" s="41"/>
      <c r="S116" s="85">
        <f t="shared" si="38"/>
        <v>834.7199999999998</v>
      </c>
      <c r="T116" s="13"/>
      <c r="U116" s="13"/>
      <c r="V116" s="489" t="s">
        <v>274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31"/>
        <v>Véhicules usagésEntretien stock</v>
      </c>
      <c r="B117" s="11" t="s">
        <v>70</v>
      </c>
      <c r="C117" s="86" t="s">
        <v>34</v>
      </c>
      <c r="D117" s="87"/>
      <c r="E117" s="88">
        <f t="shared" si="35"/>
        <v>45.46875</v>
      </c>
      <c r="F117" s="22">
        <v>1455</v>
      </c>
      <c r="G117" s="89"/>
      <c r="H117" s="88"/>
      <c r="I117" s="22"/>
      <c r="J117" s="23"/>
      <c r="K117" s="88">
        <f>IF($J$97=0,0,L117/(J$94+J$95+J96))</f>
        <v>31.133793103448276</v>
      </c>
      <c r="L117" s="48">
        <v>902.88</v>
      </c>
      <c r="M117" s="23"/>
      <c r="N117" s="91">
        <f t="shared" si="36"/>
        <v>-552.12</v>
      </c>
      <c r="O117" s="23"/>
      <c r="P117" s="88">
        <f t="shared" si="37"/>
        <v>128.67439999999999</v>
      </c>
      <c r="Q117" s="48">
        <v>3216.86</v>
      </c>
      <c r="R117" s="23"/>
      <c r="S117" s="92">
        <f t="shared" si="38"/>
        <v>-2313.98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31"/>
        <v>Véhicules usagésPublicité 1</v>
      </c>
      <c r="B118" s="11" t="s">
        <v>70</v>
      </c>
      <c r="C118" s="29" t="s">
        <v>35</v>
      </c>
      <c r="D118" s="81"/>
      <c r="E118" s="82">
        <f t="shared" si="35"/>
        <v>1.171875</v>
      </c>
      <c r="F118" s="30">
        <v>37.5</v>
      </c>
      <c r="G118" s="83"/>
      <c r="H118" s="82"/>
      <c r="I118" s="30"/>
      <c r="J118" s="41"/>
      <c r="K118" s="82">
        <f>IF($J$97=0,0,L118/(J$94+J$95+J96))</f>
        <v>25.477931034482747</v>
      </c>
      <c r="L118" s="33">
        <v>738.85999999999967</v>
      </c>
      <c r="M118" s="41"/>
      <c r="N118" s="59">
        <f t="shared" si="36"/>
        <v>701.35999999999967</v>
      </c>
      <c r="O118" s="41"/>
      <c r="P118" s="82">
        <f t="shared" si="37"/>
        <v>270.50959999999998</v>
      </c>
      <c r="Q118" s="33">
        <v>6762.74</v>
      </c>
      <c r="R118" s="41"/>
      <c r="S118" s="85">
        <f t="shared" si="38"/>
        <v>-6023.88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>
      <c r="A119" t="str">
        <f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35"/>
        <v>253.50785040983601</v>
      </c>
      <c r="F119" s="30">
        <v>8112.2512131147523</v>
      </c>
      <c r="G119" s="83"/>
      <c r="H119" s="82"/>
      <c r="I119" s="30"/>
      <c r="J119" s="41"/>
      <c r="K119" s="82">
        <f>IF($J$97=0,0,L119/(J$94+J$95+J96))</f>
        <v>266.02068965517242</v>
      </c>
      <c r="L119" s="33">
        <v>7714.6</v>
      </c>
      <c r="M119" s="41"/>
      <c r="N119" s="59">
        <f t="shared" si="36"/>
        <v>-397.65121311475195</v>
      </c>
      <c r="O119" s="41"/>
      <c r="P119" s="82">
        <f t="shared" si="37"/>
        <v>214.69119999999998</v>
      </c>
      <c r="Q119" s="33">
        <v>5367.28</v>
      </c>
      <c r="R119" s="41"/>
      <c r="S119" s="85">
        <f>L119-Q119</f>
        <v>2347.3200000000006</v>
      </c>
      <c r="T119" s="13"/>
      <c r="U119" s="13"/>
      <c r="V119" s="489">
        <v>7715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5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36"/>
        <v>0</v>
      </c>
      <c r="O120" s="41"/>
      <c r="P120" s="82">
        <f t="shared" si="37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5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36"/>
        <v>0</v>
      </c>
      <c r="O121" s="41"/>
      <c r="P121" s="82">
        <f t="shared" si="37"/>
        <v>0</v>
      </c>
      <c r="Q121" s="33"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 hidden="1">
      <c r="A122" t="str">
        <f>+B122&amp;C122</f>
        <v>Véhicules usagés[...]</v>
      </c>
      <c r="B122" s="11" t="s">
        <v>70</v>
      </c>
      <c r="C122" s="29" t="s">
        <v>19</v>
      </c>
      <c r="D122" s="81"/>
      <c r="E122" s="82">
        <f t="shared" si="35"/>
        <v>0</v>
      </c>
      <c r="F122" s="30">
        <v>0</v>
      </c>
      <c r="G122" s="83"/>
      <c r="H122" s="82"/>
      <c r="I122" s="30"/>
      <c r="J122" s="41"/>
      <c r="K122" s="82">
        <f>IF($J$97=0,0,L122/(J$94+J$95))</f>
        <v>0</v>
      </c>
      <c r="L122" s="33">
        <v>0</v>
      </c>
      <c r="M122" s="41"/>
      <c r="N122" s="59">
        <f t="shared" si="36"/>
        <v>0</v>
      </c>
      <c r="O122" s="41"/>
      <c r="P122" s="82">
        <f t="shared" si="37"/>
        <v>0</v>
      </c>
      <c r="Q122" s="33">
        <v>0</v>
      </c>
      <c r="R122" s="41"/>
      <c r="S122" s="85">
        <f t="shared" ref="S122:S132" si="39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ref="A123:A189" si="40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0.38450082165111354</v>
      </c>
      <c r="F123" s="96">
        <f>SUM(F113:F122)</f>
        <v>48873.831671472537</v>
      </c>
      <c r="G123" s="97"/>
      <c r="H123" s="95"/>
      <c r="I123" s="96"/>
      <c r="J123" s="97" t="s">
        <v>38</v>
      </c>
      <c r="K123" s="95">
        <f>L123/L$109</f>
        <v>0.34205305335126701</v>
      </c>
      <c r="L123" s="96">
        <f>SUM(L113:L122)</f>
        <v>38038.410000000003</v>
      </c>
      <c r="M123" s="100"/>
      <c r="N123" s="96">
        <f t="shared" si="36"/>
        <v>-10835.421671472533</v>
      </c>
      <c r="O123" s="97" t="s">
        <v>38</v>
      </c>
      <c r="P123" s="95">
        <f>Q123/Q$109</f>
        <v>0.53695339136491194</v>
      </c>
      <c r="Q123" s="96">
        <f>SUM(Q113:Q122)</f>
        <v>47983.68</v>
      </c>
      <c r="R123" s="100"/>
      <c r="S123" s="101">
        <f t="shared" si="39"/>
        <v>-9945.2699999999968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cadres</v>
      </c>
      <c r="B124" s="11" t="s">
        <v>70</v>
      </c>
      <c r="C124" s="102" t="s">
        <v>40</v>
      </c>
      <c r="D124" s="13"/>
      <c r="E124" s="13"/>
      <c r="F124" s="30">
        <v>7556.951716475096</v>
      </c>
      <c r="G124" s="41"/>
      <c r="H124" s="13"/>
      <c r="I124" s="30"/>
      <c r="J124" s="41"/>
      <c r="K124" s="13"/>
      <c r="L124" s="33">
        <v>9701.69</v>
      </c>
      <c r="M124" s="41"/>
      <c r="N124" s="59">
        <f t="shared" si="36"/>
        <v>2144.7382835249045</v>
      </c>
      <c r="O124" s="41"/>
      <c r="P124" s="13"/>
      <c r="Q124" s="33">
        <v>6180.53</v>
      </c>
      <c r="R124" s="41"/>
      <c r="S124" s="85">
        <f t="shared" si="39"/>
        <v>3521.1600000000008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commis</v>
      </c>
      <c r="B125" s="11" t="s">
        <v>70</v>
      </c>
      <c r="C125" s="103" t="s">
        <v>41</v>
      </c>
      <c r="D125" s="81"/>
      <c r="E125" s="13"/>
      <c r="F125" s="22">
        <v>1970.7279272030648</v>
      </c>
      <c r="G125" s="83"/>
      <c r="H125" s="13"/>
      <c r="I125" s="22"/>
      <c r="J125" s="41"/>
      <c r="K125" s="13"/>
      <c r="L125" s="22">
        <v>1617.13</v>
      </c>
      <c r="M125" s="41"/>
      <c r="N125" s="59">
        <f t="shared" si="36"/>
        <v>-353.59792720306473</v>
      </c>
      <c r="O125" s="41"/>
      <c r="P125" s="13"/>
      <c r="Q125" s="22">
        <v>2757.87</v>
      </c>
      <c r="R125" s="41"/>
      <c r="S125" s="85">
        <f t="shared" si="39"/>
        <v>-1140.7399999999998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6"/>
        <v>0</v>
      </c>
      <c r="O126" s="107"/>
      <c r="P126" s="105"/>
      <c r="Q126" s="33">
        <v>2809</v>
      </c>
      <c r="R126" s="107"/>
      <c r="S126" s="110">
        <f t="shared" si="39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40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6"/>
        <v>0</v>
      </c>
      <c r="O127" s="41"/>
      <c r="P127" s="13"/>
      <c r="Q127" s="33">
        <v>0</v>
      </c>
      <c r="R127" s="41"/>
      <c r="S127" s="85">
        <f t="shared" si="39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6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6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 hidden="1">
      <c r="A130" t="str">
        <f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6"/>
        <v>0</v>
      </c>
      <c r="O130" s="41"/>
      <c r="P130" s="13"/>
      <c r="Q130" s="33"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ref="A131:A197" si="41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5651.7664152207626</v>
      </c>
      <c r="G131" s="83"/>
      <c r="H131" s="13"/>
      <c r="I131" s="30"/>
      <c r="J131" s="41"/>
      <c r="K131" s="13"/>
      <c r="L131" s="33">
        <v>4194.1000000000004</v>
      </c>
      <c r="M131" s="41"/>
      <c r="N131" s="59">
        <f t="shared" si="36"/>
        <v>-1457.6664152207622</v>
      </c>
      <c r="O131" s="41"/>
      <c r="P131" s="13"/>
      <c r="Q131" s="33">
        <v>4970.03</v>
      </c>
      <c r="R131" s="41"/>
      <c r="S131" s="85">
        <f>L131-Q131</f>
        <v>-775.92999999999938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6217.3445103265776</v>
      </c>
      <c r="G132" s="106"/>
      <c r="H132" s="105"/>
      <c r="I132" s="54"/>
      <c r="J132" s="107"/>
      <c r="K132" s="105"/>
      <c r="L132" s="55">
        <v>4982.26</v>
      </c>
      <c r="M132" s="107"/>
      <c r="N132" s="109">
        <f t="shared" si="36"/>
        <v>-1235.0845103265774</v>
      </c>
      <c r="O132" s="107"/>
      <c r="P132" s="105"/>
      <c r="Q132" s="55">
        <v>5186.22</v>
      </c>
      <c r="R132" s="107"/>
      <c r="S132" s="110">
        <f t="shared" ref="S132:S149" si="42">L132-Q132</f>
        <v>-203.96000000000004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4029.7603307672257</v>
      </c>
      <c r="G133" s="83"/>
      <c r="H133" s="13"/>
      <c r="I133" s="30"/>
      <c r="J133" s="41"/>
      <c r="K133" s="13"/>
      <c r="L133" s="33">
        <v>2237.79</v>
      </c>
      <c r="M133" s="41"/>
      <c r="N133" s="59">
        <f t="shared" si="36"/>
        <v>-1791.9703307672257</v>
      </c>
      <c r="O133" s="41"/>
      <c r="P133" s="13"/>
      <c r="Q133" s="33">
        <v>2416.08</v>
      </c>
      <c r="R133" s="41"/>
      <c r="S133" s="85">
        <f t="shared" si="42"/>
        <v>-178.28999999999996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>
      <c r="A134" t="str">
        <f t="shared" si="41"/>
        <v>Véhicules usagésCsst</v>
      </c>
      <c r="B134" s="11" t="s">
        <v>70</v>
      </c>
      <c r="C134" s="102" t="s">
        <v>47</v>
      </c>
      <c r="D134" s="81"/>
      <c r="E134" s="13"/>
      <c r="F134" s="30">
        <v>1128.3328926148233</v>
      </c>
      <c r="G134" s="83"/>
      <c r="H134" s="13"/>
      <c r="I134" s="30"/>
      <c r="J134" s="41"/>
      <c r="K134" s="13"/>
      <c r="L134" s="33">
        <v>736.95</v>
      </c>
      <c r="M134" s="41"/>
      <c r="N134" s="59">
        <f t="shared" si="36"/>
        <v>-391.38289261482328</v>
      </c>
      <c r="O134" s="41"/>
      <c r="P134" s="13"/>
      <c r="Q134" s="33">
        <v>1281.33</v>
      </c>
      <c r="R134" s="41"/>
      <c r="S134" s="85">
        <f t="shared" si="42"/>
        <v>-544.37999999999988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 hidden="1">
      <c r="A135" t="str">
        <f t="shared" si="41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6"/>
        <v>0</v>
      </c>
      <c r="O135" s="23"/>
      <c r="P135" s="111"/>
      <c r="Q135" s="33">
        <v>0</v>
      </c>
      <c r="R135" s="23"/>
      <c r="S135" s="92">
        <f t="shared" si="4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0.20891291490589631</v>
      </c>
      <c r="F136" s="96">
        <f>+SUM(F124:F135)</f>
        <v>26554.88379260755</v>
      </c>
      <c r="G136" s="97"/>
      <c r="H136" s="95"/>
      <c r="I136" s="96"/>
      <c r="J136" s="97" t="s">
        <v>38</v>
      </c>
      <c r="K136" s="95">
        <f>L136/L$109</f>
        <v>0.21104872148730636</v>
      </c>
      <c r="L136" s="96">
        <f>SUM(L124:L135)</f>
        <v>23469.920000000002</v>
      </c>
      <c r="M136" s="458"/>
      <c r="N136" s="459">
        <f t="shared" si="36"/>
        <v>-3084.9637926075484</v>
      </c>
      <c r="O136" s="97" t="s">
        <v>38</v>
      </c>
      <c r="P136" s="95">
        <f>Q136/Q$109</f>
        <v>0.28648440447953538</v>
      </c>
      <c r="Q136" s="96">
        <f>+SUM(Q124:Q135)</f>
        <v>25601.060000000005</v>
      </c>
      <c r="R136" s="146"/>
      <c r="S136" s="114">
        <f t="shared" si="42"/>
        <v>-2131.1400000000031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6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 hidden="1">
      <c r="A138" t="str">
        <f t="shared" si="41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6"/>
        <v>0</v>
      </c>
      <c r="O138" s="41"/>
      <c r="P138" s="13"/>
      <c r="Q138" s="33">
        <v>0</v>
      </c>
      <c r="R138" s="41"/>
      <c r="S138" s="85">
        <f t="shared" si="4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462.79</v>
      </c>
      <c r="M139" s="23"/>
      <c r="N139" s="91">
        <f t="shared" si="36"/>
        <v>-300.79333333333335</v>
      </c>
      <c r="O139" s="23"/>
      <c r="P139" s="111"/>
      <c r="Q139" s="22">
        <v>944.98</v>
      </c>
      <c r="R139" s="23"/>
      <c r="S139" s="92">
        <f t="shared" si="42"/>
        <v>-482.19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4119.34</v>
      </c>
      <c r="M140" s="41"/>
      <c r="N140" s="59">
        <f t="shared" si="36"/>
        <v>34.825000000000273</v>
      </c>
      <c r="O140" s="41"/>
      <c r="P140" s="13"/>
      <c r="Q140" s="33">
        <v>1418.33</v>
      </c>
      <c r="R140" s="41"/>
      <c r="S140" s="85">
        <f t="shared" si="42"/>
        <v>2701.01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649.88</v>
      </c>
      <c r="M141" s="41"/>
      <c r="N141" s="59">
        <f t="shared" si="36"/>
        <v>151.13</v>
      </c>
      <c r="O141" s="41"/>
      <c r="P141" s="13"/>
      <c r="Q141" s="33">
        <v>95.44</v>
      </c>
      <c r="R141" s="41"/>
      <c r="S141" s="85">
        <f t="shared" si="42"/>
        <v>554.44000000000005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1209.07</v>
      </c>
      <c r="M142" s="23"/>
      <c r="N142" s="91">
        <f t="shared" si="36"/>
        <v>-1688.8203333333333</v>
      </c>
      <c r="O142" s="23"/>
      <c r="P142" s="111"/>
      <c r="Q142" s="22">
        <v>553.22</v>
      </c>
      <c r="R142" s="23"/>
      <c r="S142" s="92">
        <f t="shared" si="42"/>
        <v>655.84999999999991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20.81</v>
      </c>
      <c r="M143" s="41"/>
      <c r="N143" s="59">
        <f t="shared" si="36"/>
        <v>7.0599999999999987</v>
      </c>
      <c r="O143" s="41"/>
      <c r="P143" s="13"/>
      <c r="Q143" s="33">
        <v>30.81</v>
      </c>
      <c r="R143" s="41"/>
      <c r="S143" s="85">
        <f t="shared" si="42"/>
        <v>-10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0</v>
      </c>
      <c r="M144" s="41"/>
      <c r="N144" s="59">
        <f t="shared" si="36"/>
        <v>-7.5</v>
      </c>
      <c r="O144" s="41"/>
      <c r="P144" s="13"/>
      <c r="Q144" s="33">
        <v>0</v>
      </c>
      <c r="R144" s="41"/>
      <c r="S144" s="85">
        <f t="shared" si="42"/>
        <v>0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169.9</v>
      </c>
      <c r="M145" s="41"/>
      <c r="N145" s="59">
        <f t="shared" si="36"/>
        <v>-47.599999999999994</v>
      </c>
      <c r="O145" s="41"/>
      <c r="P145" s="13"/>
      <c r="Q145" s="32">
        <v>163.36000000000001</v>
      </c>
      <c r="R145" s="41"/>
      <c r="S145" s="85">
        <f t="shared" si="42"/>
        <v>6.539999999999992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80.14</v>
      </c>
      <c r="M146" s="41"/>
      <c r="N146" s="59">
        <f t="shared" si="36"/>
        <v>16.79</v>
      </c>
      <c r="O146" s="41"/>
      <c r="P146" s="13"/>
      <c r="Q146" s="33">
        <v>60.38</v>
      </c>
      <c r="R146" s="41"/>
      <c r="S146" s="85">
        <f t="shared" si="42"/>
        <v>19.759999999999998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146.07</v>
      </c>
      <c r="M147" s="41"/>
      <c r="N147" s="59">
        <f t="shared" si="36"/>
        <v>61.070000000000007</v>
      </c>
      <c r="O147" s="41"/>
      <c r="P147" s="13"/>
      <c r="Q147" s="33">
        <v>221.08</v>
      </c>
      <c r="R147" s="41"/>
      <c r="S147" s="85">
        <f t="shared" si="42"/>
        <v>-75.010000000000019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283.73</v>
      </c>
      <c r="M148" s="41"/>
      <c r="N148" s="59">
        <f t="shared" si="36"/>
        <v>44.813333333333389</v>
      </c>
      <c r="O148" s="41"/>
      <c r="P148" s="13"/>
      <c r="Q148" s="33">
        <v>406.11</v>
      </c>
      <c r="R148" s="41"/>
      <c r="S148" s="85">
        <f t="shared" si="42"/>
        <v>-122.38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41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-131.76</v>
      </c>
      <c r="M149" s="41"/>
      <c r="N149" s="59">
        <f t="shared" si="36"/>
        <v>-246.10800000000003</v>
      </c>
      <c r="O149" s="41"/>
      <c r="P149" s="13"/>
      <c r="Q149" s="33">
        <v>115</v>
      </c>
      <c r="R149" s="41"/>
      <c r="S149" s="85">
        <f t="shared" si="42"/>
        <v>-246.76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>
      <c r="A150" t="str">
        <f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v>1491.8339037027415</v>
      </c>
      <c r="G150" s="83"/>
      <c r="H150" s="13"/>
      <c r="I150" s="30"/>
      <c r="J150" s="41"/>
      <c r="K150" s="13"/>
      <c r="L150" s="33">
        <v>1040.9000000000001</v>
      </c>
      <c r="M150" s="41"/>
      <c r="N150" s="59">
        <f t="shared" si="36"/>
        <v>-450.93390370274142</v>
      </c>
      <c r="O150" s="41"/>
      <c r="P150" s="13"/>
      <c r="Q150" s="33">
        <v>585.38</v>
      </c>
      <c r="R150" s="41"/>
      <c r="S150" s="85">
        <f>L150-Q150</f>
        <v>455.5200000000001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6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6"/>
        <v>0</v>
      </c>
      <c r="O152" s="41"/>
      <c r="P152" s="13"/>
      <c r="Q152" s="33"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 hidden="1">
      <c r="A153" t="str">
        <f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6"/>
        <v>0</v>
      </c>
      <c r="O153" s="41"/>
      <c r="P153" s="13"/>
      <c r="Q153" s="33"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ref="A154:A220" si="43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8.242429206504949E-2</v>
      </c>
      <c r="F154" s="96">
        <f>+SUM(F137:F153)</f>
        <v>10476.937237036074</v>
      </c>
      <c r="G154" s="97"/>
      <c r="H154" s="95"/>
      <c r="I154" s="96"/>
      <c r="J154" s="97" t="s">
        <v>38</v>
      </c>
      <c r="K154" s="95">
        <f>L154/L$109</f>
        <v>7.2395893141540726E-2</v>
      </c>
      <c r="L154" s="96">
        <f>+SUM(L137:L153)</f>
        <v>8050.869999999999</v>
      </c>
      <c r="M154" s="100"/>
      <c r="N154" s="96">
        <f t="shared" si="36"/>
        <v>-2426.0672370360753</v>
      </c>
      <c r="O154" s="97" t="s">
        <v>38</v>
      </c>
      <c r="P154" s="95">
        <f>Q154/Q$109</f>
        <v>5.1409400148876204E-2</v>
      </c>
      <c r="Q154" s="96">
        <f>+SUM(Q137:Q153)</f>
        <v>4594.09</v>
      </c>
      <c r="R154" s="100"/>
      <c r="S154" s="101">
        <f>L154-Q154</f>
        <v>3456.7799999999988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0.67583802862205933</v>
      </c>
      <c r="F156" s="96">
        <f>F123+F136+F154</f>
        <v>85905.652701116167</v>
      </c>
      <c r="G156" s="97"/>
      <c r="H156" s="95"/>
      <c r="I156" s="96"/>
      <c r="J156" s="97" t="s">
        <v>38</v>
      </c>
      <c r="K156" s="95">
        <f>L156/L$109</f>
        <v>0.62549766798011397</v>
      </c>
      <c r="L156" s="96">
        <f>L123+L136+L154</f>
        <v>69559.199999999997</v>
      </c>
      <c r="M156" s="100"/>
      <c r="N156" s="113">
        <f t="shared" ref="N156:N163" si="44">L156-F156</f>
        <v>-16346.45270111617</v>
      </c>
      <c r="O156" s="97" t="s">
        <v>38</v>
      </c>
      <c r="P156" s="95">
        <f>Q156/Q$109</f>
        <v>0.8748471959933235</v>
      </c>
      <c r="Q156" s="96">
        <f>Q123+Q136+Q154</f>
        <v>78178.83</v>
      </c>
      <c r="R156" s="100"/>
      <c r="S156" s="114">
        <f t="shared" ref="S156:S163" si="45">L156-Q156</f>
        <v>-8619.6300000000047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usagésRBSC used</v>
      </c>
      <c r="B157" s="11" t="s">
        <v>70</v>
      </c>
      <c r="C157" s="29" t="s">
        <v>217</v>
      </c>
      <c r="D157" s="148"/>
      <c r="E157" s="149"/>
      <c r="F157" s="30">
        <v>7125</v>
      </c>
      <c r="G157" s="150"/>
      <c r="H157" s="149"/>
      <c r="I157" s="30"/>
      <c r="J157" s="150"/>
      <c r="K157" s="149"/>
      <c r="L157" s="32">
        <v>7225</v>
      </c>
      <c r="M157" s="41"/>
      <c r="N157" s="59">
        <f t="shared" si="44"/>
        <v>100</v>
      </c>
      <c r="O157" s="150"/>
      <c r="P157" s="149"/>
      <c r="Q157" s="33">
        <v>1400</v>
      </c>
      <c r="R157" s="41"/>
      <c r="S157" s="85">
        <f t="shared" si="45"/>
        <v>5825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0</v>
      </c>
      <c r="M158" s="41"/>
      <c r="N158" s="59">
        <f t="shared" si="44"/>
        <v>0</v>
      </c>
      <c r="O158" s="150"/>
      <c r="P158" s="149"/>
      <c r="Q158" s="33">
        <v>0</v>
      </c>
      <c r="R158" s="41"/>
      <c r="S158" s="85">
        <f t="shared" si="45"/>
        <v>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 hidden="1">
      <c r="A159" t="str">
        <f t="shared" si="43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4"/>
        <v>0</v>
      </c>
      <c r="O159" s="41"/>
      <c r="P159" s="13"/>
      <c r="Q159" s="33">
        <v>0</v>
      </c>
      <c r="R159" s="41"/>
      <c r="S159" s="85">
        <f t="shared" si="45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A163" t="str">
        <f>+B163&amp;C163</f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16184</v>
      </c>
      <c r="G163" s="83"/>
      <c r="H163" s="13"/>
      <c r="I163" s="30"/>
      <c r="J163" s="41"/>
      <c r="K163" s="13"/>
      <c r="L163" s="32">
        <v>17255</v>
      </c>
      <c r="M163" s="41"/>
      <c r="N163" s="59">
        <f t="shared" si="44"/>
        <v>1071</v>
      </c>
      <c r="O163" s="41"/>
      <c r="P163" s="13"/>
      <c r="Q163" s="33">
        <v>14280</v>
      </c>
      <c r="R163" s="41"/>
      <c r="S163" s="85">
        <f t="shared" si="45"/>
        <v>2975</v>
      </c>
      <c r="T163" s="112"/>
      <c r="U163" s="13"/>
      <c r="V163" s="489">
        <f>L163/595</f>
        <v>29</v>
      </c>
      <c r="W163" s="483">
        <f>V163/J97</f>
        <v>1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93" t="s">
        <v>68</v>
      </c>
      <c r="D164" s="94"/>
      <c r="E164" s="95"/>
      <c r="F164" s="96">
        <f>+SUM(F157:F163)</f>
        <v>23309</v>
      </c>
      <c r="G164" s="97"/>
      <c r="H164" s="95"/>
      <c r="I164" s="96"/>
      <c r="J164" s="97"/>
      <c r="K164" s="95"/>
      <c r="L164" s="96">
        <f>+SUM(L157:L163)</f>
        <v>24480</v>
      </c>
      <c r="M164" s="100"/>
      <c r="N164" s="96">
        <f>SUM(N157:N160)</f>
        <v>100</v>
      </c>
      <c r="O164" s="97"/>
      <c r="P164" s="95"/>
      <c r="Q164" s="96">
        <f>+SUM(Q157:Q163)</f>
        <v>15680</v>
      </c>
      <c r="R164" s="100"/>
      <c r="S164" s="101">
        <f>+SUM(S157:S163)</f>
        <v>8800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0.25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Bot="1">
      <c r="B166" s="11"/>
      <c r="C166" s="124" t="s">
        <v>69</v>
      </c>
      <c r="D166" s="151"/>
      <c r="E166" s="125"/>
      <c r="F166" s="127">
        <f>F109-F156+F164</f>
        <v>64513.171048023782</v>
      </c>
      <c r="G166" s="152"/>
      <c r="H166" s="125"/>
      <c r="I166" s="127"/>
      <c r="J166" s="153"/>
      <c r="K166" s="126"/>
      <c r="L166" s="127">
        <f>L109-L156+L164</f>
        <v>66126.969999999812</v>
      </c>
      <c r="M166" s="153"/>
      <c r="N166" s="127">
        <f>L166-F166</f>
        <v>1613.7989519760304</v>
      </c>
      <c r="O166" s="153"/>
      <c r="P166" s="126"/>
      <c r="Q166" s="127">
        <f>Q109-Q156+Q164</f>
        <v>26864.009999999995</v>
      </c>
      <c r="R166" s="153"/>
      <c r="S166" s="129">
        <f>L166-Q166</f>
        <v>39262.959999999817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25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25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Juin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" thickTop="1">
      <c r="B171" s="11"/>
      <c r="C171" s="12"/>
      <c r="D171" s="510" t="s">
        <v>5</v>
      </c>
      <c r="E171" s="511"/>
      <c r="F171" s="512"/>
      <c r="G171" s="513"/>
      <c r="H171" s="511"/>
      <c r="I171" s="512"/>
      <c r="J171" s="513" t="s">
        <v>7</v>
      </c>
      <c r="K171" s="511"/>
      <c r="L171" s="512"/>
      <c r="M171" s="513" t="s">
        <v>212</v>
      </c>
      <c r="N171" s="512"/>
      <c r="O171" s="510" t="s">
        <v>8</v>
      </c>
      <c r="P171" s="511"/>
      <c r="Q171" s="512"/>
      <c r="R171" s="508" t="s">
        <v>213</v>
      </c>
      <c r="S171" s="509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25">
      <c r="A172" t="str">
        <f t="shared" ref="A172:A229" si="46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ServiceM/O Client</v>
      </c>
      <c r="B173" s="11" t="s">
        <v>78</v>
      </c>
      <c r="C173" s="29" t="s">
        <v>81</v>
      </c>
      <c r="D173" s="485">
        <v>193.62917110044651</v>
      </c>
      <c r="E173" s="82">
        <v>68738.355740658517</v>
      </c>
      <c r="F173" s="82">
        <v>54303.301035120232</v>
      </c>
      <c r="G173" s="155"/>
      <c r="H173" s="82"/>
      <c r="I173" s="82"/>
      <c r="J173" s="60">
        <v>160</v>
      </c>
      <c r="K173" s="30">
        <v>68000.350000000006</v>
      </c>
      <c r="L173" s="33">
        <v>52678.92</v>
      </c>
      <c r="M173" s="156">
        <f>(K173-E173)/E173</f>
        <v>-1.0736447398347979E-2</v>
      </c>
      <c r="N173" s="59">
        <f>L173-F173</f>
        <v>-1624.3810351202337</v>
      </c>
      <c r="O173" s="60">
        <v>158</v>
      </c>
      <c r="P173" s="30">
        <v>59393.53</v>
      </c>
      <c r="Q173" s="33">
        <v>48037.3</v>
      </c>
      <c r="R173" s="156">
        <f>IF(O173=0,0,J173/O173)</f>
        <v>1.0126582278481013</v>
      </c>
      <c r="S173" s="85">
        <f>L173-Q173</f>
        <v>4641.6199999999953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0.77468601264552306</v>
      </c>
      <c r="M174" s="156"/>
      <c r="N174" s="59"/>
      <c r="O174" s="60"/>
      <c r="P174" s="13"/>
      <c r="Q174" s="157">
        <f>Q173/P173</f>
        <v>0.80879685043135174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</v>
      </c>
      <c r="B175" s="11" t="s">
        <v>78</v>
      </c>
      <c r="C175" s="86"/>
      <c r="D175" s="486"/>
      <c r="E175" s="158">
        <f>IFERROR(E173/D173,0)</f>
        <v>355</v>
      </c>
      <c r="F175" s="159"/>
      <c r="G175" s="23"/>
      <c r="H175" s="158"/>
      <c r="I175" s="159"/>
      <c r="J175" s="160"/>
      <c r="K175" s="460">
        <f>IFERROR(K173/J173,0)</f>
        <v>425.00218750000005</v>
      </c>
      <c r="L175" s="159"/>
      <c r="M175" s="161"/>
      <c r="N175" s="91"/>
      <c r="O175" s="160"/>
      <c r="P175" s="460">
        <f>IFERROR(P173/O173,0)</f>
        <v>375.90841772151896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ServiceM/O Garantie</v>
      </c>
      <c r="B176" s="11" t="s">
        <v>78</v>
      </c>
      <c r="C176" s="14" t="s">
        <v>83</v>
      </c>
      <c r="D176" s="487">
        <v>237.54343805073546</v>
      </c>
      <c r="E176" s="82">
        <v>45133.25322963974</v>
      </c>
      <c r="F176" s="82">
        <v>29968.480144480789</v>
      </c>
      <c r="G176" s="163"/>
      <c r="H176" s="82"/>
      <c r="I176" s="82"/>
      <c r="J176" s="163">
        <v>230</v>
      </c>
      <c r="K176" s="164">
        <v>37679.340000000004</v>
      </c>
      <c r="L176" s="33">
        <v>24613.210000000014</v>
      </c>
      <c r="M176" s="156">
        <f>(K176-E176)/E176</f>
        <v>-0.16515346659621316</v>
      </c>
      <c r="N176" s="109">
        <f>L176-F176</f>
        <v>-5355.2701444807753</v>
      </c>
      <c r="O176" s="163">
        <v>251</v>
      </c>
      <c r="P176" s="164">
        <v>50362.03</v>
      </c>
      <c r="Q176" s="33">
        <v>35338.44</v>
      </c>
      <c r="R176" s="156">
        <f>IF(O176=0,0,J176/O176)</f>
        <v>0.91633466135458164</v>
      </c>
      <c r="S176" s="85">
        <f>L176-Q176</f>
        <v>-10725.229999999989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/>
      <c r="J177" s="41"/>
      <c r="K177" s="13"/>
      <c r="L177" s="157">
        <f>IF(L176=0,0,L176/K176)</f>
        <v>0.65322826779874621</v>
      </c>
      <c r="M177" s="42"/>
      <c r="N177" s="43"/>
      <c r="O177" s="41"/>
      <c r="P177" s="13"/>
      <c r="Q177" s="157">
        <f>Q176/P176</f>
        <v>0.70168815673236373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200.64553784860558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ServiceM/O Interne</v>
      </c>
      <c r="B179" s="11" t="s">
        <v>78</v>
      </c>
      <c r="C179" s="29" t="s">
        <v>84</v>
      </c>
      <c r="D179" s="485">
        <v>225</v>
      </c>
      <c r="E179" s="82">
        <v>90000</v>
      </c>
      <c r="F179" s="82">
        <v>67770</v>
      </c>
      <c r="G179" s="41"/>
      <c r="H179" s="82"/>
      <c r="I179" s="82"/>
      <c r="J179" s="60">
        <v>282</v>
      </c>
      <c r="K179" s="164">
        <v>102338.54999999999</v>
      </c>
      <c r="L179" s="33">
        <v>80849.84</v>
      </c>
      <c r="M179" s="156">
        <f>(K179-E179)/E179</f>
        <v>0.13709499999999988</v>
      </c>
      <c r="N179" s="59">
        <f>L179-F179</f>
        <v>13079.839999999997</v>
      </c>
      <c r="O179" s="60">
        <v>173</v>
      </c>
      <c r="P179" s="164">
        <v>76166.460000000006</v>
      </c>
      <c r="Q179" s="33">
        <v>61651.01</v>
      </c>
      <c r="R179" s="156">
        <f>IF(O179=0,0,J179/O179)</f>
        <v>1.6300578034682081</v>
      </c>
      <c r="S179" s="85">
        <f>L179-Q179</f>
        <v>19198.829999999994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0.79002330988664593</v>
      </c>
      <c r="M180" s="156"/>
      <c r="N180" s="59">
        <f>L180-F180</f>
        <v>3.7023309886645928E-2</v>
      </c>
      <c r="O180" s="60"/>
      <c r="P180" s="143"/>
      <c r="Q180" s="157">
        <f>Q179/P179</f>
        <v>0.8094246470165477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440.26855491329485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ServiceM/O Esthétique</v>
      </c>
      <c r="B182" s="11" t="s">
        <v>78</v>
      </c>
      <c r="C182" s="14" t="s">
        <v>85</v>
      </c>
      <c r="D182" s="487">
        <v>49.211234672511686</v>
      </c>
      <c r="E182" s="82">
        <v>13533.089534940711</v>
      </c>
      <c r="F182" s="82">
        <v>9689.6921070175486</v>
      </c>
      <c r="G182" s="107"/>
      <c r="H182" s="82"/>
      <c r="I182" s="82"/>
      <c r="J182" s="163">
        <v>35</v>
      </c>
      <c r="K182" s="164">
        <v>6604.1</v>
      </c>
      <c r="L182" s="108">
        <v>5294.3600000000006</v>
      </c>
      <c r="M182" s="172">
        <f>IF(E182=0,0,(K182-E182)/E182)</f>
        <v>-0.51200352418056083</v>
      </c>
      <c r="N182" s="109">
        <f>L182-F182</f>
        <v>-4395.332107017548</v>
      </c>
      <c r="O182" s="163">
        <v>37</v>
      </c>
      <c r="P182" s="164">
        <v>7395.25</v>
      </c>
      <c r="Q182" s="108">
        <v>5104.9699999999903</v>
      </c>
      <c r="R182" s="156">
        <f>IF(O182=0,0,J182/O182)</f>
        <v>0.94594594594594594</v>
      </c>
      <c r="S182" s="110">
        <f>L182-Q182</f>
        <v>189.39000000001033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/>
      <c r="J183" s="174"/>
      <c r="K183" s="173"/>
      <c r="L183" s="157">
        <f>IF(L182=0,0,L182/K182)</f>
        <v>0.80167774564285832</v>
      </c>
      <c r="M183" s="60">
        <f>J183-D183</f>
        <v>0</v>
      </c>
      <c r="N183" s="175"/>
      <c r="O183" s="174"/>
      <c r="P183" s="173"/>
      <c r="Q183" s="157">
        <f>IFERROR(Q182/P182,0)</f>
        <v>0.6903039112944106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0.25">
      <c r="A184" t="str">
        <f t="shared" si="46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199.87162162162161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Bot="1">
      <c r="A185" t="str">
        <f t="shared" si="46"/>
        <v>ServiceAjustement M/O</v>
      </c>
      <c r="B185" s="11" t="s">
        <v>78</v>
      </c>
      <c r="C185" s="29" t="s">
        <v>86</v>
      </c>
      <c r="D185" s="13"/>
      <c r="E185" s="13"/>
      <c r="F185" s="59">
        <v>-3154.8930150181886</v>
      </c>
      <c r="G185" s="41"/>
      <c r="H185" s="82"/>
      <c r="I185" s="82"/>
      <c r="J185" s="60"/>
      <c r="K185" s="82"/>
      <c r="L185" s="82">
        <v>-819.34</v>
      </c>
      <c r="M185" s="174"/>
      <c r="N185" s="59">
        <f>L185-F185</f>
        <v>2335.5530150181885</v>
      </c>
      <c r="O185" s="60"/>
      <c r="P185" s="82"/>
      <c r="Q185" s="82">
        <v>-1666.92</v>
      </c>
      <c r="R185" s="183"/>
      <c r="S185" s="85">
        <f>L185-Q185</f>
        <v>847.58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 thickTop="1">
      <c r="A186" t="str">
        <f t="shared" si="46"/>
        <v>ServiceSous-total M/O</v>
      </c>
      <c r="B186" s="11" t="s">
        <v>78</v>
      </c>
      <c r="C186" s="184" t="s">
        <v>87</v>
      </c>
      <c r="D186" s="185">
        <f>D173+D176+D179+D182+D185</f>
        <v>705.38384382369361</v>
      </c>
      <c r="E186" s="185">
        <f>E173+E176+E179+E182+E185</f>
        <v>217404.69850523898</v>
      </c>
      <c r="F186" s="186">
        <f>F173+F176+F179+F182+F185</f>
        <v>158576.5802716004</v>
      </c>
      <c r="G186" s="187"/>
      <c r="H186" s="185"/>
      <c r="I186" s="186"/>
      <c r="J186" s="187">
        <f>J173+J176+J179+J182+J185</f>
        <v>707</v>
      </c>
      <c r="K186" s="185">
        <f>K173+K176+K179+K182+K185</f>
        <v>214622.34</v>
      </c>
      <c r="L186" s="186">
        <f>L173+L176+L179+L182+L185</f>
        <v>162616.99000000002</v>
      </c>
      <c r="M186" s="188">
        <f>(K186-E186)/E186</f>
        <v>-1.2798060595603613E-2</v>
      </c>
      <c r="N186" s="186">
        <f>L186-F186</f>
        <v>4040.4097283996234</v>
      </c>
      <c r="O186" s="187">
        <f t="shared" ref="O186:Q186" si="47">O173+O176+O179+O182+O185</f>
        <v>619</v>
      </c>
      <c r="P186" s="185">
        <f t="shared" si="47"/>
        <v>193317.27000000002</v>
      </c>
      <c r="Q186" s="186">
        <f t="shared" si="47"/>
        <v>148464.79999999999</v>
      </c>
      <c r="R186" s="42">
        <f>IF(O186=0,0,J186/O186)</f>
        <v>1.1421647819063006</v>
      </c>
      <c r="S186" s="189">
        <f>L186-Q186</f>
        <v>14152.190000000031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0.72940732818513143</v>
      </c>
      <c r="G187" s="193"/>
      <c r="H187" s="191"/>
      <c r="I187" s="43"/>
      <c r="J187" s="193"/>
      <c r="K187" s="440">
        <f>IF(J186=0,0,K186/J186)</f>
        <v>303.56766619519095</v>
      </c>
      <c r="L187" s="43">
        <f>IF(L186=0,0,L186/K186)</f>
        <v>0.75768901783476983</v>
      </c>
      <c r="M187" s="193"/>
      <c r="N187" s="192">
        <f>N186/F186</f>
        <v>2.5479233575849938E-2</v>
      </c>
      <c r="O187" s="193"/>
      <c r="P187" s="440">
        <f>IF(O186=0,0,P186/O186)</f>
        <v>312.30576736672054</v>
      </c>
      <c r="Q187" s="43">
        <f>Q186/P186</f>
        <v>0.76798518828659212</v>
      </c>
      <c r="R187" s="193"/>
      <c r="S187" s="44">
        <f>IF(R186=0,0,S186/R186)</f>
        <v>12390.672715700168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ServiceSous-traitement</v>
      </c>
      <c r="B189" s="11" t="s">
        <v>78</v>
      </c>
      <c r="C189" s="29" t="s">
        <v>89</v>
      </c>
      <c r="D189" s="82"/>
      <c r="E189" s="82">
        <v>5103.5885913248239</v>
      </c>
      <c r="F189" s="82">
        <v>765.53828869872359</v>
      </c>
      <c r="G189" s="60"/>
      <c r="H189" s="82"/>
      <c r="I189" s="82"/>
      <c r="J189" s="60"/>
      <c r="K189" s="30">
        <v>11139.42</v>
      </c>
      <c r="L189" s="33">
        <v>2239.3399999999992</v>
      </c>
      <c r="M189" s="84">
        <f>IF(E189=0,0,(K189-E189)/E189)</f>
        <v>1.1826641784831551</v>
      </c>
      <c r="N189" s="59">
        <f>L189-F189</f>
        <v>1473.8017113012756</v>
      </c>
      <c r="O189" s="60"/>
      <c r="P189" s="30">
        <v>7824.33</v>
      </c>
      <c r="Q189" s="33">
        <v>238.01999999999899</v>
      </c>
      <c r="R189" s="156">
        <f>IF(O189=0,0,J189/O189)</f>
        <v>0</v>
      </c>
      <c r="S189" s="85">
        <f>L189-Q189</f>
        <v>2001.3200000000002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0.20102841979205374</v>
      </c>
      <c r="M190" s="174"/>
      <c r="N190" s="175"/>
      <c r="O190" s="174"/>
      <c r="P190" s="173"/>
      <c r="Q190" s="157">
        <f>IFERROR(Q189/P189,0)</f>
        <v>3.0420496068033809E-2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0.25" hidden="1">
      <c r="A193" t="str">
        <f t="shared" si="46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Bot="1">
      <c r="A194" t="str">
        <f t="shared" si="46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Top="1">
      <c r="A195" t="str">
        <f t="shared" si="46"/>
        <v>ServiceTotal Mécanique</v>
      </c>
      <c r="B195" s="11" t="s">
        <v>78</v>
      </c>
      <c r="C195" s="62" t="s">
        <v>91</v>
      </c>
      <c r="D195" s="63"/>
      <c r="E195" s="63">
        <f>E186+E189+E192</f>
        <v>222508.28709656381</v>
      </c>
      <c r="F195" s="65">
        <f>F186+F189+F192</f>
        <v>159342.11856029913</v>
      </c>
      <c r="G195" s="66"/>
      <c r="H195" s="63"/>
      <c r="I195" s="65"/>
      <c r="J195" s="66"/>
      <c r="K195" s="63">
        <f>K186+K189+K192</f>
        <v>225761.76</v>
      </c>
      <c r="L195" s="65">
        <f>L186+L189+L192</f>
        <v>164856.33000000002</v>
      </c>
      <c r="M195" s="205">
        <f>L196-F196</f>
        <v>1.4104877499515389E-2</v>
      </c>
      <c r="N195" s="65">
        <f>L195-F195</f>
        <v>5514.2114397008845</v>
      </c>
      <c r="O195" s="66"/>
      <c r="P195" s="63">
        <f t="shared" ref="P195:Q195" si="48">P186+P189+P192</f>
        <v>201141.6</v>
      </c>
      <c r="Q195" s="65">
        <f t="shared" si="48"/>
        <v>148702.81999999998</v>
      </c>
      <c r="R195" s="205">
        <f>L196-Q196</f>
        <v>-9.0716501510633707E-3</v>
      </c>
      <c r="S195" s="68">
        <f>L195-Q195</f>
        <v>16153.510000000038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Bot="1">
      <c r="A196" t="str">
        <f t="shared" si="46"/>
        <v>Service</v>
      </c>
      <c r="B196" s="11" t="s">
        <v>78</v>
      </c>
      <c r="C196" s="69"/>
      <c r="D196" s="70"/>
      <c r="E196" s="70"/>
      <c r="F196" s="74">
        <f>F195/E195</f>
        <v>0.71611768100640705</v>
      </c>
      <c r="G196" s="72"/>
      <c r="H196" s="70"/>
      <c r="I196" s="74"/>
      <c r="J196" s="72"/>
      <c r="K196" s="70"/>
      <c r="L196" s="74">
        <f>L195/K195</f>
        <v>0.73022255850592244</v>
      </c>
      <c r="M196" s="73"/>
      <c r="N196" s="74">
        <f>N195/F195</f>
        <v>3.460611349669087E-2</v>
      </c>
      <c r="O196" s="72"/>
      <c r="P196" s="70"/>
      <c r="Q196" s="74">
        <f>Q195/P195</f>
        <v>0.73929420865698581</v>
      </c>
      <c r="R196" s="73"/>
      <c r="S196" s="75">
        <f>L195/S195</f>
        <v>10.205604230907067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 thickTop="1">
      <c r="A197" t="str">
        <f t="shared" si="46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cadres</v>
      </c>
      <c r="B199" s="11" t="s">
        <v>78</v>
      </c>
      <c r="C199" s="102" t="s">
        <v>40</v>
      </c>
      <c r="D199" s="13"/>
      <c r="E199" s="13"/>
      <c r="F199" s="30">
        <v>11084.322729242291</v>
      </c>
      <c r="G199" s="41"/>
      <c r="H199" s="13"/>
      <c r="I199" s="30"/>
      <c r="J199" s="41"/>
      <c r="K199" s="13"/>
      <c r="L199" s="33">
        <v>9397.77</v>
      </c>
      <c r="M199" s="41"/>
      <c r="N199" s="59">
        <f t="shared" ref="N199:N230" si="49">L199-F199</f>
        <v>-1686.5527292422903</v>
      </c>
      <c r="O199" s="41"/>
      <c r="P199" s="13"/>
      <c r="Q199" s="33">
        <v>11518.62</v>
      </c>
      <c r="R199" s="41"/>
      <c r="S199" s="85">
        <f t="shared" ref="S199:S229" si="50">L199-Q199</f>
        <v>-2120.8500000000004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commis</v>
      </c>
      <c r="B200" s="11" t="s">
        <v>78</v>
      </c>
      <c r="C200" s="103" t="s">
        <v>41</v>
      </c>
      <c r="D200" s="81"/>
      <c r="E200" s="13"/>
      <c r="F200" s="22">
        <v>5290.2845956590227</v>
      </c>
      <c r="G200" s="83"/>
      <c r="H200" s="13"/>
      <c r="I200" s="22"/>
      <c r="J200" s="41"/>
      <c r="K200" s="13"/>
      <c r="L200" s="33">
        <v>1147.3800000000001</v>
      </c>
      <c r="M200" s="41"/>
      <c r="N200" s="59">
        <f t="shared" si="49"/>
        <v>-4142.9045956590226</v>
      </c>
      <c r="O200" s="41"/>
      <c r="P200" s="13"/>
      <c r="Q200" s="33">
        <v>5194.9399999999996</v>
      </c>
      <c r="R200" s="41"/>
      <c r="S200" s="85">
        <f t="shared" si="50"/>
        <v>-4047.5599999999995</v>
      </c>
      <c r="T200" s="13"/>
      <c r="U200" s="13"/>
      <c r="V200" s="489" t="s">
        <v>268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autres</v>
      </c>
      <c r="B201" s="11" t="s">
        <v>78</v>
      </c>
      <c r="C201" s="102" t="s">
        <v>42</v>
      </c>
      <c r="D201" s="104"/>
      <c r="E201" s="105"/>
      <c r="F201" s="30">
        <v>13883.263471579279</v>
      </c>
      <c r="G201" s="106"/>
      <c r="H201" s="105"/>
      <c r="I201" s="30"/>
      <c r="J201" s="107"/>
      <c r="K201" s="105"/>
      <c r="L201" s="108">
        <v>13413.05</v>
      </c>
      <c r="M201" s="107"/>
      <c r="N201" s="109">
        <f t="shared" si="49"/>
        <v>-470.21347157927994</v>
      </c>
      <c r="O201" s="107"/>
      <c r="P201" s="105"/>
      <c r="Q201" s="108">
        <v>9055.86</v>
      </c>
      <c r="R201" s="107"/>
      <c r="S201" s="110">
        <f t="shared" si="50"/>
        <v>4357.1899999999987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>
      <c r="A202" t="str">
        <f t="shared" si="46"/>
        <v>ServiceSalaires spécialistes</v>
      </c>
      <c r="B202" s="11" t="s">
        <v>78</v>
      </c>
      <c r="C202" s="102" t="s">
        <v>43</v>
      </c>
      <c r="D202" s="81"/>
      <c r="E202" s="13"/>
      <c r="F202" s="30">
        <v>15342.486590038312</v>
      </c>
      <c r="G202" s="83"/>
      <c r="H202" s="13"/>
      <c r="I202" s="30"/>
      <c r="J202" s="41"/>
      <c r="K202" s="13"/>
      <c r="L202" s="33">
        <v>10652.78</v>
      </c>
      <c r="M202" s="41"/>
      <c r="N202" s="59">
        <f t="shared" si="49"/>
        <v>-4689.7065900383113</v>
      </c>
      <c r="O202" s="41"/>
      <c r="P202" s="13"/>
      <c r="Q202" s="33">
        <v>12665.43</v>
      </c>
      <c r="R202" s="41"/>
      <c r="S202" s="85">
        <f t="shared" si="50"/>
        <v>-2012.6499999999996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 t="shared" si="50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 hidden="1">
      <c r="A205" t="str">
        <f t="shared" si="46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49"/>
        <v>0</v>
      </c>
      <c r="O205" s="41"/>
      <c r="P205" s="13"/>
      <c r="Q205" s="33"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ServiceSalaires en absences</v>
      </c>
      <c r="B206" s="11" t="s">
        <v>78</v>
      </c>
      <c r="C206" s="103" t="s">
        <v>44</v>
      </c>
      <c r="D206" s="81"/>
      <c r="E206" s="13"/>
      <c r="F206" s="30">
        <v>15140.286187586684</v>
      </c>
      <c r="G206" s="83"/>
      <c r="H206" s="13"/>
      <c r="I206" s="30"/>
      <c r="J206" s="41"/>
      <c r="K206" s="13"/>
      <c r="L206" s="33">
        <v>12625.02</v>
      </c>
      <c r="M206" s="41"/>
      <c r="N206" s="59">
        <f t="shared" si="49"/>
        <v>-2515.2661875866834</v>
      </c>
      <c r="O206" s="41"/>
      <c r="P206" s="13"/>
      <c r="Q206" s="33">
        <v>13496.62</v>
      </c>
      <c r="R206" s="41"/>
      <c r="S206" s="85">
        <f>L206-Q206</f>
        <v>-871.60000000000036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ServiceDéduction à la source</v>
      </c>
      <c r="B207" s="11" t="s">
        <v>78</v>
      </c>
      <c r="C207" s="102" t="s">
        <v>45</v>
      </c>
      <c r="D207" s="104"/>
      <c r="E207" s="105"/>
      <c r="F207" s="55">
        <v>15651.90992476626</v>
      </c>
      <c r="G207" s="106"/>
      <c r="H207" s="105"/>
      <c r="I207" s="55"/>
      <c r="J207" s="107"/>
      <c r="K207" s="105"/>
      <c r="L207" s="108">
        <v>13553.03</v>
      </c>
      <c r="M207" s="107"/>
      <c r="N207" s="109">
        <f t="shared" si="49"/>
        <v>-2098.8799247662591</v>
      </c>
      <c r="O207" s="107"/>
      <c r="P207" s="105"/>
      <c r="Q207" s="108">
        <v>13675</v>
      </c>
      <c r="R207" s="107"/>
      <c r="S207" s="110">
        <f t="shared" ref="S207:S237" si="51">L207-Q207</f>
        <v>-121.96999999999935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ServiceBénéfices marginaux</v>
      </c>
      <c r="B208" s="11" t="s">
        <v>78</v>
      </c>
      <c r="C208" s="102" t="s">
        <v>46</v>
      </c>
      <c r="D208" s="81"/>
      <c r="E208" s="13"/>
      <c r="F208" s="30">
        <v>10701.268785599448</v>
      </c>
      <c r="G208" s="83"/>
      <c r="H208" s="13"/>
      <c r="I208" s="30"/>
      <c r="J208" s="41"/>
      <c r="K208" s="13"/>
      <c r="L208" s="33">
        <v>6150.26</v>
      </c>
      <c r="M208" s="41"/>
      <c r="N208" s="59">
        <f t="shared" si="49"/>
        <v>-4551.0087855994479</v>
      </c>
      <c r="O208" s="41"/>
      <c r="P208" s="13"/>
      <c r="Q208" s="33">
        <v>5750.48</v>
      </c>
      <c r="R208" s="41"/>
      <c r="S208" s="85">
        <f t="shared" si="51"/>
        <v>399.78000000000065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>
      <c r="A209" t="str">
        <f t="shared" si="46"/>
        <v>ServiceCsst</v>
      </c>
      <c r="B209" s="11" t="s">
        <v>78</v>
      </c>
      <c r="C209" s="102" t="s">
        <v>47</v>
      </c>
      <c r="D209" s="81"/>
      <c r="E209" s="13"/>
      <c r="F209" s="30">
        <v>2840.531801161284</v>
      </c>
      <c r="G209" s="83"/>
      <c r="H209" s="13"/>
      <c r="I209" s="30"/>
      <c r="J209" s="41"/>
      <c r="K209" s="13"/>
      <c r="L209" s="33">
        <v>1878.61</v>
      </c>
      <c r="M209" s="462"/>
      <c r="N209" s="145">
        <f t="shared" si="49"/>
        <v>-961.92180116128407</v>
      </c>
      <c r="O209" s="462"/>
      <c r="P209" s="463"/>
      <c r="Q209" s="22">
        <v>2741.43</v>
      </c>
      <c r="R209" s="462"/>
      <c r="S209" s="464">
        <f t="shared" si="51"/>
        <v>-862.81999999999994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 hidden="1">
      <c r="A210" t="str">
        <f t="shared" si="46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49"/>
        <v>0</v>
      </c>
      <c r="O210" s="23"/>
      <c r="P210" s="111"/>
      <c r="Q210" s="33">
        <v>0</v>
      </c>
      <c r="R210" s="23"/>
      <c r="S210" s="92">
        <f t="shared" si="51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0.56441043271053992</v>
      </c>
      <c r="F211" s="96">
        <f>+SUM(F199:F210)</f>
        <v>89934.354085632585</v>
      </c>
      <c r="G211" s="97"/>
      <c r="H211" s="95"/>
      <c r="I211" s="96"/>
      <c r="J211" s="97" t="s">
        <v>92</v>
      </c>
      <c r="K211" s="95">
        <f>L211/L$195</f>
        <v>0.41744165965601676</v>
      </c>
      <c r="L211" s="96">
        <f>+SUM(L199:L210)</f>
        <v>68817.899999999994</v>
      </c>
      <c r="M211" s="146"/>
      <c r="N211" s="113">
        <f t="shared" si="49"/>
        <v>-21116.454085632591</v>
      </c>
      <c r="O211" s="97" t="s">
        <v>92</v>
      </c>
      <c r="P211" s="95">
        <f>Q211/Q$195</f>
        <v>0.49829841828150939</v>
      </c>
      <c r="Q211" s="96">
        <f>+SUM(Q199:Q210)</f>
        <v>74098.37999999999</v>
      </c>
      <c r="R211" s="146"/>
      <c r="S211" s="114">
        <f t="shared" si="51"/>
        <v>-5280.4799999999959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ServicePublicité 2</v>
      </c>
      <c r="B212" s="11" t="s">
        <v>78</v>
      </c>
      <c r="C212" s="29" t="s">
        <v>49</v>
      </c>
      <c r="D212" s="81"/>
      <c r="E212" s="13"/>
      <c r="F212" s="30">
        <v>1783.7595846519571</v>
      </c>
      <c r="G212" s="83"/>
      <c r="H212" s="13"/>
      <c r="I212" s="30"/>
      <c r="J212" s="41"/>
      <c r="K212" s="13"/>
      <c r="L212" s="33">
        <v>1957.4</v>
      </c>
      <c r="M212" s="41"/>
      <c r="N212" s="59">
        <f t="shared" si="49"/>
        <v>173.64041534804301</v>
      </c>
      <c r="O212" s="41"/>
      <c r="P212" s="13"/>
      <c r="Q212" s="33">
        <v>4428.6099999999997</v>
      </c>
      <c r="R212" s="41"/>
      <c r="S212" s="85">
        <f t="shared" si="51"/>
        <v>-2471.2099999999996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12848.68</v>
      </c>
      <c r="M213" s="41"/>
      <c r="N213" s="59">
        <f t="shared" si="49"/>
        <v>9098.68</v>
      </c>
      <c r="O213" s="41"/>
      <c r="P213" s="13"/>
      <c r="Q213" s="33">
        <v>6361.04</v>
      </c>
      <c r="R213" s="41"/>
      <c r="S213" s="85">
        <f t="shared" si="51"/>
        <v>6487.64</v>
      </c>
      <c r="T213" s="13"/>
      <c r="U213" s="13"/>
      <c r="V213" s="489" t="s">
        <v>275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7371.79</v>
      </c>
      <c r="M214" s="23"/>
      <c r="N214" s="91">
        <f t="shared" si="49"/>
        <v>-81.460000000000946</v>
      </c>
      <c r="O214" s="23"/>
      <c r="P214" s="111"/>
      <c r="Q214" s="33">
        <v>4629.1000000000004</v>
      </c>
      <c r="R214" s="23"/>
      <c r="S214" s="92">
        <f t="shared" si="51"/>
        <v>2742.6899999999996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7011.69</v>
      </c>
      <c r="M215" s="41"/>
      <c r="N215" s="59">
        <f t="shared" si="49"/>
        <v>375.27916666666624</v>
      </c>
      <c r="O215" s="41"/>
      <c r="P215" s="13"/>
      <c r="Q215" s="108">
        <v>5994.52</v>
      </c>
      <c r="R215" s="41"/>
      <c r="S215" s="85">
        <f t="shared" si="51"/>
        <v>1017.1699999999992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1699.81</v>
      </c>
      <c r="M216" s="41"/>
      <c r="N216" s="59">
        <f t="shared" si="49"/>
        <v>368.55999999999995</v>
      </c>
      <c r="O216" s="41"/>
      <c r="P216" s="13"/>
      <c r="Q216" s="33">
        <v>324.36</v>
      </c>
      <c r="R216" s="41"/>
      <c r="S216" s="85">
        <f t="shared" si="51"/>
        <v>1375.4499999999998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46"/>
        <v>ServiceServices extérieurs</v>
      </c>
      <c r="B217" s="11" t="s">
        <v>78</v>
      </c>
      <c r="C217" s="86" t="s">
        <v>54</v>
      </c>
      <c r="D217" s="87"/>
      <c r="E217" s="111"/>
      <c r="F217" s="22">
        <v>2199.8866666666668</v>
      </c>
      <c r="G217" s="89"/>
      <c r="H217" s="111"/>
      <c r="I217" s="22"/>
      <c r="J217" s="23"/>
      <c r="K217" s="111"/>
      <c r="L217" s="22">
        <v>15315.1</v>
      </c>
      <c r="M217" s="462"/>
      <c r="N217" s="145">
        <f t="shared" si="49"/>
        <v>13115.213333333333</v>
      </c>
      <c r="O217" s="462"/>
      <c r="P217" s="463"/>
      <c r="Q217" s="22">
        <v>1417.29</v>
      </c>
      <c r="R217" s="23"/>
      <c r="S217" s="92">
        <f t="shared" si="51"/>
        <v>13897.810000000001</v>
      </c>
      <c r="T217" s="13"/>
      <c r="U217" s="13"/>
      <c r="V217" s="495" t="s">
        <v>269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 hidden="1">
      <c r="A218" t="str">
        <f>+B218&amp;C218</f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49"/>
        <v>0</v>
      </c>
      <c r="O218" s="41"/>
      <c r="P218" s="13"/>
      <c r="Q218" s="33"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ref="A219:A276" si="52">+B219&amp;C219</f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5326.11</v>
      </c>
      <c r="M219" s="41"/>
      <c r="N219" s="59">
        <f t="shared" si="49"/>
        <v>2076.1099999999997</v>
      </c>
      <c r="O219" s="41"/>
      <c r="P219" s="13"/>
      <c r="Q219" s="33">
        <v>3555.28</v>
      </c>
      <c r="R219" s="41"/>
      <c r="S219" s="85">
        <f t="shared" ref="S219:S249" si="53">L219-Q219</f>
        <v>1770.8299999999995</v>
      </c>
      <c r="T219" s="13"/>
      <c r="U219" s="13"/>
      <c r="V219" s="489" t="s">
        <v>270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1444.57</v>
      </c>
      <c r="M220" s="41"/>
      <c r="N220" s="59">
        <f t="shared" si="49"/>
        <v>119.56999999999994</v>
      </c>
      <c r="O220" s="41"/>
      <c r="P220" s="13"/>
      <c r="Q220" s="33">
        <v>478.84</v>
      </c>
      <c r="R220" s="41"/>
      <c r="S220" s="85">
        <f t="shared" si="53"/>
        <v>965.73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470.17</v>
      </c>
      <c r="M221" s="41"/>
      <c r="N221" s="59">
        <f t="shared" si="49"/>
        <v>107.67000000000002</v>
      </c>
      <c r="O221" s="41"/>
      <c r="P221" s="13"/>
      <c r="Q221" s="32">
        <v>1097.3900000000001</v>
      </c>
      <c r="R221" s="41"/>
      <c r="S221" s="85">
        <f t="shared" si="53"/>
        <v>-627.22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138.19</v>
      </c>
      <c r="M222" s="41"/>
      <c r="N222" s="59">
        <f t="shared" si="49"/>
        <v>23.939999999999998</v>
      </c>
      <c r="O222" s="41"/>
      <c r="P222" s="13"/>
      <c r="Q222" s="33">
        <v>106.68</v>
      </c>
      <c r="R222" s="41"/>
      <c r="S222" s="85">
        <f t="shared" si="53"/>
        <v>31.509999999999991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270.77</v>
      </c>
      <c r="M223" s="41"/>
      <c r="N223" s="59">
        <f t="shared" si="49"/>
        <v>129.10333333333332</v>
      </c>
      <c r="O223" s="41"/>
      <c r="P223" s="13"/>
      <c r="Q223" s="33">
        <v>18.25</v>
      </c>
      <c r="R223" s="41"/>
      <c r="S223" s="85">
        <f t="shared" si="53"/>
        <v>252.51999999999998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472.88</v>
      </c>
      <c r="M224" s="41"/>
      <c r="N224" s="59">
        <f t="shared" si="49"/>
        <v>91.213333333333367</v>
      </c>
      <c r="O224" s="41"/>
      <c r="P224" s="13"/>
      <c r="Q224" s="33">
        <v>2015.27</v>
      </c>
      <c r="R224" s="41"/>
      <c r="S224" s="85">
        <f t="shared" si="53"/>
        <v>-1542.3899999999999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921.41</v>
      </c>
      <c r="M225" s="41"/>
      <c r="N225" s="59">
        <f t="shared" si="49"/>
        <v>-860.83666666666693</v>
      </c>
      <c r="O225" s="41"/>
      <c r="P225" s="13"/>
      <c r="Q225" s="33">
        <v>1374.52</v>
      </c>
      <c r="R225" s="41"/>
      <c r="S225" s="85">
        <f t="shared" si="53"/>
        <v>-453.11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>
      <c r="A226" t="str">
        <f t="shared" si="52"/>
        <v>ServiceFrais bancaires</v>
      </c>
      <c r="B226" s="11" t="s">
        <v>78</v>
      </c>
      <c r="C226" s="29" t="s">
        <v>62</v>
      </c>
      <c r="D226" s="81"/>
      <c r="E226" s="13"/>
      <c r="F226" s="30">
        <v>2486.3898395045694</v>
      </c>
      <c r="G226" s="83"/>
      <c r="H226" s="13"/>
      <c r="I226" s="30"/>
      <c r="J226" s="41"/>
      <c r="K226" s="13"/>
      <c r="L226" s="33">
        <v>1880.81</v>
      </c>
      <c r="M226" s="41"/>
      <c r="N226" s="59">
        <f t="shared" si="49"/>
        <v>-605.57983950456946</v>
      </c>
      <c r="O226" s="41"/>
      <c r="P226" s="13"/>
      <c r="Q226" s="33">
        <v>1463.43</v>
      </c>
      <c r="R226" s="41"/>
      <c r="S226" s="85">
        <f t="shared" si="53"/>
        <v>417.37999999999988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52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 t="shared" si="53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 hidden="1">
      <c r="A229" t="str">
        <f t="shared" ref="A229:A286" si="54">+B229&amp;C229</f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49"/>
        <v>0</v>
      </c>
      <c r="O229" s="41"/>
      <c r="P229" s="13"/>
      <c r="Q229" s="33">
        <v>0</v>
      </c>
      <c r="R229" s="41"/>
      <c r="S229" s="85">
        <f t="shared" ref="S229:S259" si="5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93" t="s">
        <v>63</v>
      </c>
      <c r="D230" s="94" t="s">
        <v>92</v>
      </c>
      <c r="E230" s="95">
        <f>F230/F$195</f>
        <v>0.20709073798130237</v>
      </c>
      <c r="F230" s="96">
        <f>+SUM(F212:F229)</f>
        <v>32998.276924156526</v>
      </c>
      <c r="G230" s="97"/>
      <c r="H230" s="95"/>
      <c r="I230" s="96"/>
      <c r="J230" s="97" t="s">
        <v>92</v>
      </c>
      <c r="K230" s="95">
        <f>L230/L$195</f>
        <v>0.34654040885175591</v>
      </c>
      <c r="L230" s="96">
        <f>+SUM(L212:L229)</f>
        <v>57129.38</v>
      </c>
      <c r="M230" s="100"/>
      <c r="N230" s="96">
        <f t="shared" si="49"/>
        <v>24131.103075843472</v>
      </c>
      <c r="O230" s="97" t="s">
        <v>92</v>
      </c>
      <c r="P230" s="95">
        <f>Q230/Q$195</f>
        <v>0.22369838043421103</v>
      </c>
      <c r="Q230" s="96">
        <f>+SUM(Q212:Q229)</f>
        <v>33264.58</v>
      </c>
      <c r="R230" s="100"/>
      <c r="S230" s="101">
        <f>L230-Q230</f>
        <v>23864.799999999996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93" t="s">
        <v>64</v>
      </c>
      <c r="D232" s="94" t="s">
        <v>38</v>
      </c>
      <c r="E232" s="95">
        <f>F232/F$195</f>
        <v>0.77150117069184232</v>
      </c>
      <c r="F232" s="96">
        <f>F211+F230</f>
        <v>122932.63100978911</v>
      </c>
      <c r="G232" s="97"/>
      <c r="H232" s="95"/>
      <c r="I232" s="96"/>
      <c r="J232" s="97" t="s">
        <v>38</v>
      </c>
      <c r="K232" s="95">
        <f>L232/L$195</f>
        <v>0.76398206850777273</v>
      </c>
      <c r="L232" s="96">
        <f>L211+L230</f>
        <v>125947.28</v>
      </c>
      <c r="M232" s="100"/>
      <c r="N232" s="113">
        <f>L232-F232</f>
        <v>3014.6489902108879</v>
      </c>
      <c r="O232" s="97" t="s">
        <v>38</v>
      </c>
      <c r="P232" s="95">
        <f>Q232/Q$195</f>
        <v>0.72199679871572042</v>
      </c>
      <c r="Q232" s="96">
        <f>Q211+Q230</f>
        <v>107362.95999999999</v>
      </c>
      <c r="R232" s="100"/>
      <c r="S232" s="114">
        <f>L232-Q232</f>
        <v>18584.320000000007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25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Bot="1">
      <c r="B234" s="11"/>
      <c r="C234" s="124" t="s">
        <v>69</v>
      </c>
      <c r="D234" s="151"/>
      <c r="E234" s="125"/>
      <c r="F234" s="127">
        <f>F195-F232</f>
        <v>36409.487550510021</v>
      </c>
      <c r="G234" s="152"/>
      <c r="H234" s="125"/>
      <c r="I234" s="127"/>
      <c r="J234" s="153"/>
      <c r="K234" s="126"/>
      <c r="L234" s="127">
        <f>L195-L232</f>
        <v>38909.050000000017</v>
      </c>
      <c r="M234" s="153"/>
      <c r="N234" s="127">
        <f>L234-F234</f>
        <v>2499.5624494899967</v>
      </c>
      <c r="O234" s="153"/>
      <c r="P234" s="126"/>
      <c r="Q234" s="127">
        <f>Q195-Q232</f>
        <v>41339.859999999986</v>
      </c>
      <c r="R234" s="153"/>
      <c r="S234" s="129">
        <f>L234-Q234</f>
        <v>-2430.8099999999686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25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25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Juin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25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" hidden="1" thickTop="1">
      <c r="B239" s="11"/>
      <c r="C239" s="12"/>
      <c r="D239" s="510" t="s">
        <v>5</v>
      </c>
      <c r="E239" s="511"/>
      <c r="F239" s="512"/>
      <c r="G239" s="513"/>
      <c r="H239" s="511"/>
      <c r="I239" s="512"/>
      <c r="J239" s="513" t="s">
        <v>7</v>
      </c>
      <c r="K239" s="511"/>
      <c r="L239" s="512"/>
      <c r="M239" s="513" t="s">
        <v>212</v>
      </c>
      <c r="N239" s="512"/>
      <c r="O239" s="510" t="s">
        <v>8</v>
      </c>
      <c r="P239" s="511"/>
      <c r="Q239" s="512"/>
      <c r="R239" s="508" t="s">
        <v>213</v>
      </c>
      <c r="S239" s="509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25" hidden="1">
      <c r="A240" t="str">
        <f t="shared" ref="A240:A285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0</v>
      </c>
      <c r="P242" s="30">
        <v>0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0.25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0.25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/>
      <c r="I251" s="65"/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7">P245+P248+P242</f>
        <v>0</v>
      </c>
      <c r="Q251" s="65">
        <f t="shared" si="57"/>
        <v>0</v>
      </c>
      <c r="R251" s="205" t="e">
        <f>L252-Q252</f>
        <v>#DIV/0!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 t="e">
        <f>Q251/P251</f>
        <v>#DIV/0!</v>
      </c>
      <c r="R252" s="73"/>
      <c r="S252" s="75" t="e">
        <f>IF(R251=0,0,S251/R251)</f>
        <v>#DIV/0!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58">L255-F255</f>
        <v>0</v>
      </c>
      <c r="O255" s="41"/>
      <c r="P255" s="13"/>
      <c r="Q255" s="33">
        <v>0</v>
      </c>
      <c r="R255" s="41"/>
      <c r="S255" s="85">
        <f t="shared" ref="S255:S266" si="5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58"/>
        <v>0</v>
      </c>
      <c r="O256" s="41"/>
      <c r="P256" s="13"/>
      <c r="Q256" s="33"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58"/>
        <v>0</v>
      </c>
      <c r="O257" s="107"/>
      <c r="P257" s="105"/>
      <c r="Q257" s="108">
        <v>0</v>
      </c>
      <c r="R257" s="107"/>
      <c r="S257" s="110">
        <f t="shared" ref="S257:S273" si="6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0</v>
      </c>
      <c r="R261" s="41"/>
      <c r="S261" s="85">
        <f t="shared" si="6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58"/>
        <v>0</v>
      </c>
      <c r="O262" s="41"/>
      <c r="P262" s="13"/>
      <c r="Q262" s="33">
        <v>0</v>
      </c>
      <c r="R262" s="41"/>
      <c r="S262" s="85">
        <f t="shared" si="6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0</v>
      </c>
      <c r="M263" s="107"/>
      <c r="N263" s="109">
        <f t="shared" si="58"/>
        <v>0</v>
      </c>
      <c r="O263" s="107"/>
      <c r="P263" s="105"/>
      <c r="Q263" s="108">
        <v>0</v>
      </c>
      <c r="R263" s="107"/>
      <c r="S263" s="110">
        <f t="shared" si="60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58"/>
        <v>0</v>
      </c>
      <c r="O264" s="41"/>
      <c r="P264" s="13"/>
      <c r="Q264" s="33">
        <v>0</v>
      </c>
      <c r="R264" s="41"/>
      <c r="S264" s="85">
        <f t="shared" si="6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58"/>
        <v>0</v>
      </c>
      <c r="O265" s="41"/>
      <c r="P265" s="13"/>
      <c r="Q265" s="33">
        <v>0</v>
      </c>
      <c r="R265" s="41"/>
      <c r="S265" s="85">
        <f t="shared" si="6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58"/>
        <v>0</v>
      </c>
      <c r="O266" s="23"/>
      <c r="P266" s="111"/>
      <c r="Q266" s="33">
        <v>0</v>
      </c>
      <c r="R266" s="23"/>
      <c r="S266" s="92">
        <f t="shared" si="60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0</v>
      </c>
      <c r="M267" s="146"/>
      <c r="N267" s="113">
        <f t="shared" si="58"/>
        <v>0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0"/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58"/>
        <v>0</v>
      </c>
      <c r="O269" s="41"/>
      <c r="P269" s="13"/>
      <c r="Q269" s="33">
        <v>0</v>
      </c>
      <c r="R269" s="41"/>
      <c r="S269" s="85">
        <f t="shared" si="60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58"/>
        <v>0</v>
      </c>
      <c r="O270" s="23"/>
      <c r="P270" s="111"/>
      <c r="Q270" s="33">
        <v>0</v>
      </c>
      <c r="R270" s="23"/>
      <c r="S270" s="92">
        <f t="shared" si="60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58"/>
        <v>0</v>
      </c>
      <c r="O271" s="41"/>
      <c r="P271" s="13"/>
      <c r="Q271" s="108">
        <v>0</v>
      </c>
      <c r="R271" s="41"/>
      <c r="S271" s="85">
        <f t="shared" si="60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58"/>
        <v>0</v>
      </c>
      <c r="O272" s="41"/>
      <c r="P272" s="13"/>
      <c r="Q272" s="33">
        <v>0</v>
      </c>
      <c r="R272" s="41"/>
      <c r="S272" s="85">
        <f t="shared" si="60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58"/>
        <v>0</v>
      </c>
      <c r="O273" s="23"/>
      <c r="P273" s="111"/>
      <c r="Q273" s="22">
        <v>0</v>
      </c>
      <c r="R273" s="23"/>
      <c r="S273" s="92">
        <f t="shared" si="60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 hidden="1">
      <c r="A274" t="str">
        <f>+B274&amp;C274</f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 hidden="1">
      <c r="A275" t="str">
        <f t="shared" ref="A275:A320" si="61">+B275&amp;C275</f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ref="S275:S293" si="62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 hidden="1">
      <c r="A276" t="str">
        <f t="shared" si="61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58"/>
        <v>0</v>
      </c>
      <c r="O276" s="41"/>
      <c r="P276" s="13"/>
      <c r="Q276" s="33">
        <v>0</v>
      </c>
      <c r="R276" s="41"/>
      <c r="S276" s="85">
        <f t="shared" si="62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 hidden="1">
      <c r="A277" t="str">
        <f t="shared" si="61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58"/>
        <v>0</v>
      </c>
      <c r="O277" s="41"/>
      <c r="P277" s="13"/>
      <c r="Q277" s="32">
        <v>0</v>
      </c>
      <c r="R277" s="41"/>
      <c r="S277" s="85">
        <f t="shared" si="62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 hidden="1">
      <c r="A278" t="str">
        <f t="shared" si="61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0</v>
      </c>
      <c r="R278" s="41"/>
      <c r="S278" s="85">
        <f t="shared" si="62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 hidden="1">
      <c r="A279" t="str">
        <f t="shared" si="61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0</v>
      </c>
      <c r="R279" s="41"/>
      <c r="S279" s="85">
        <f t="shared" si="62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 hidden="1">
      <c r="A280" t="str">
        <f t="shared" si="61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0</v>
      </c>
      <c r="R280" s="41"/>
      <c r="S280" s="85">
        <f t="shared" si="62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 hidden="1">
      <c r="A281" t="str">
        <f t="shared" si="61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0</v>
      </c>
      <c r="R281" s="41"/>
      <c r="S281" s="85">
        <f t="shared" si="62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61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 t="shared" si="62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 hidden="1">
      <c r="A285" t="str">
        <f t="shared" ref="A285:A330" si="63">+B285&amp;C285</f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58"/>
        <v>0</v>
      </c>
      <c r="O285" s="41"/>
      <c r="P285" s="13"/>
      <c r="Q285" s="33">
        <v>0</v>
      </c>
      <c r="R285" s="41"/>
      <c r="S285" s="85">
        <f t="shared" ref="S285:S303" si="64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>
        <f>IF(L263=0,0,L286/L$245)</f>
        <v>0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25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25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25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Juin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" thickTop="1">
      <c r="B294" s="11"/>
      <c r="C294" s="12"/>
      <c r="D294" s="510" t="s">
        <v>5</v>
      </c>
      <c r="E294" s="511"/>
      <c r="F294" s="512"/>
      <c r="G294" s="513"/>
      <c r="H294" s="511"/>
      <c r="I294" s="512"/>
      <c r="J294" s="513" t="s">
        <v>7</v>
      </c>
      <c r="K294" s="511"/>
      <c r="L294" s="512"/>
      <c r="M294" s="513" t="s">
        <v>212</v>
      </c>
      <c r="N294" s="512"/>
      <c r="O294" s="510" t="s">
        <v>8</v>
      </c>
      <c r="P294" s="511"/>
      <c r="Q294" s="512"/>
      <c r="R294" s="508" t="s">
        <v>213</v>
      </c>
      <c r="S294" s="509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ref="A295:A344" si="65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Clients</v>
      </c>
      <c r="B296" s="11" t="s">
        <v>98</v>
      </c>
      <c r="C296" s="29" t="s">
        <v>100</v>
      </c>
      <c r="D296" s="82">
        <v>62612.649419560345</v>
      </c>
      <c r="E296" s="147">
        <f>IF(D296=0,0,F296/D296)</f>
        <v>0.40200000000000002</v>
      </c>
      <c r="F296" s="85">
        <v>25170.285066663258</v>
      </c>
      <c r="G296" s="82"/>
      <c r="H296" s="147"/>
      <c r="I296" s="85"/>
      <c r="J296" s="30">
        <v>67474.13</v>
      </c>
      <c r="K296" s="147">
        <f t="shared" ref="K296:K301" si="66">IF(J296&lt;=0,0,L296/J296)</f>
        <v>0.38070472342511119</v>
      </c>
      <c r="L296" s="33">
        <v>25687.72</v>
      </c>
      <c r="M296" s="156">
        <f t="shared" ref="M296:M302" si="67">(+J296-D296)/D296</f>
        <v>7.7643744922266805E-2</v>
      </c>
      <c r="N296" s="59">
        <f t="shared" ref="N296:N305" si="68">L296-F296</f>
        <v>517.43493333674269</v>
      </c>
      <c r="O296" s="30">
        <v>60262.31</v>
      </c>
      <c r="P296" s="147">
        <f t="shared" ref="P296:P304" si="69">IF(O296=0,0,Q296/O296)</f>
        <v>0.40968940619766986</v>
      </c>
      <c r="Q296" s="33">
        <v>24688.8299999999</v>
      </c>
      <c r="R296" s="156">
        <f>IF(O296=0,0,(J296-O296)/O296)</f>
        <v>0.11967380606551603</v>
      </c>
      <c r="S296" s="85">
        <f t="shared" ref="S296:S301" si="70">L296-Q296</f>
        <v>998.89000000010128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ref="E297:E304" si="71">IF(D297=0,0,F297/D297)</f>
        <v>0</v>
      </c>
      <c r="F297" s="85">
        <v>0</v>
      </c>
      <c r="G297" s="82"/>
      <c r="H297" s="147"/>
      <c r="I297" s="85"/>
      <c r="J297" s="30">
        <v>0</v>
      </c>
      <c r="K297" s="147">
        <f t="shared" si="66"/>
        <v>0</v>
      </c>
      <c r="L297" s="33">
        <v>0</v>
      </c>
      <c r="M297" s="156" t="e">
        <f t="shared" si="67"/>
        <v>#DIV/0!</v>
      </c>
      <c r="N297" s="59">
        <f t="shared" si="68"/>
        <v>0</v>
      </c>
      <c r="O297" s="30">
        <v>3058.82</v>
      </c>
      <c r="P297" s="147">
        <f t="shared" si="69"/>
        <v>0.28573436815504016</v>
      </c>
      <c r="Q297" s="33">
        <v>874.01</v>
      </c>
      <c r="R297" s="156">
        <f t="shared" ref="R297:R304" si="72">IF(O297=0,0,(J297-O297)/O297)</f>
        <v>-1</v>
      </c>
      <c r="S297" s="85">
        <f t="shared" si="70"/>
        <v>-874.01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PiècesP/A Garantie</v>
      </c>
      <c r="B298" s="11" t="s">
        <v>98</v>
      </c>
      <c r="C298" s="29" t="s">
        <v>102</v>
      </c>
      <c r="D298" s="82">
        <v>60121.74892759823</v>
      </c>
      <c r="E298" s="147">
        <f t="shared" si="71"/>
        <v>0.27700000000000002</v>
      </c>
      <c r="F298" s="85">
        <v>16653.724452944713</v>
      </c>
      <c r="G298" s="82"/>
      <c r="H298" s="147"/>
      <c r="I298" s="85"/>
      <c r="J298" s="30">
        <v>54466.329999999994</v>
      </c>
      <c r="K298" s="147">
        <f t="shared" si="66"/>
        <v>0.2851813221122112</v>
      </c>
      <c r="L298" s="33">
        <v>15532.779999999992</v>
      </c>
      <c r="M298" s="156">
        <f t="shared" si="67"/>
        <v>-9.4066107997104145E-2</v>
      </c>
      <c r="N298" s="59">
        <f t="shared" si="68"/>
        <v>-1120.944452944721</v>
      </c>
      <c r="O298" s="30">
        <v>66450.84</v>
      </c>
      <c r="P298" s="147">
        <f t="shared" si="69"/>
        <v>0.28603746769792526</v>
      </c>
      <c r="Q298" s="33">
        <v>19007.43</v>
      </c>
      <c r="R298" s="156">
        <f t="shared" si="72"/>
        <v>-0.18035152001088328</v>
      </c>
      <c r="S298" s="85">
        <f t="shared" si="70"/>
        <v>-3474.6500000000087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Internes</v>
      </c>
      <c r="B299" s="11" t="s">
        <v>98</v>
      </c>
      <c r="C299" s="29" t="s">
        <v>103</v>
      </c>
      <c r="D299" s="82">
        <v>36000</v>
      </c>
      <c r="E299" s="147">
        <f t="shared" si="71"/>
        <v>0.33800000000000002</v>
      </c>
      <c r="F299" s="85">
        <v>12168</v>
      </c>
      <c r="G299" s="82"/>
      <c r="H299" s="147"/>
      <c r="I299" s="85"/>
      <c r="J299" s="30">
        <v>30175.119999999999</v>
      </c>
      <c r="K299" s="147">
        <f t="shared" si="66"/>
        <v>0.26004072229041669</v>
      </c>
      <c r="L299" s="33">
        <v>7846.7599999999984</v>
      </c>
      <c r="M299" s="156">
        <f t="shared" si="67"/>
        <v>-0.16180222222222226</v>
      </c>
      <c r="N299" s="59">
        <f t="shared" si="68"/>
        <v>-4321.2400000000016</v>
      </c>
      <c r="O299" s="30">
        <v>23272.43</v>
      </c>
      <c r="P299" s="147">
        <f t="shared" si="69"/>
        <v>0.32713128796606111</v>
      </c>
      <c r="Q299" s="33">
        <v>7613.14</v>
      </c>
      <c r="R299" s="156">
        <f t="shared" si="72"/>
        <v>0.29660374958695757</v>
      </c>
      <c r="S299" s="85">
        <f t="shared" si="70"/>
        <v>233.61999999999807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65"/>
        <v>PiècesVentes Détails</v>
      </c>
      <c r="B300" s="11" t="s">
        <v>98</v>
      </c>
      <c r="C300" s="29" t="s">
        <v>104</v>
      </c>
      <c r="D300" s="82">
        <v>17894.485779004022</v>
      </c>
      <c r="E300" s="147">
        <f t="shared" si="71"/>
        <v>0.33100000000000002</v>
      </c>
      <c r="F300" s="85">
        <v>5923.0747928503315</v>
      </c>
      <c r="G300" s="82"/>
      <c r="H300" s="147"/>
      <c r="I300" s="85"/>
      <c r="J300" s="30">
        <v>22814.61</v>
      </c>
      <c r="K300" s="147">
        <f t="shared" si="66"/>
        <v>0.34033761699191883</v>
      </c>
      <c r="L300" s="33">
        <v>7764.6700000000019</v>
      </c>
      <c r="M300" s="156">
        <f t="shared" si="67"/>
        <v>0.27495197580747827</v>
      </c>
      <c r="N300" s="59">
        <f t="shared" si="68"/>
        <v>1841.5952071496704</v>
      </c>
      <c r="O300" s="30">
        <v>18082.54</v>
      </c>
      <c r="P300" s="147">
        <f t="shared" si="69"/>
        <v>0.32192103542975709</v>
      </c>
      <c r="Q300" s="33">
        <v>5821.15</v>
      </c>
      <c r="R300" s="156">
        <f t="shared" si="72"/>
        <v>0.26169277103769711</v>
      </c>
      <c r="S300" s="85">
        <f t="shared" si="70"/>
        <v>1943.5200000000023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>
      <c r="A301" t="str">
        <f>+B301&amp;C301</f>
        <v>PiècesVentes de Gros</v>
      </c>
      <c r="B301" s="11" t="s">
        <v>98</v>
      </c>
      <c r="C301" s="29" t="s">
        <v>105</v>
      </c>
      <c r="D301" s="82">
        <v>98400</v>
      </c>
      <c r="E301" s="147">
        <f t="shared" si="71"/>
        <v>0.2</v>
      </c>
      <c r="F301" s="85">
        <v>19680</v>
      </c>
      <c r="G301" s="82"/>
      <c r="H301" s="147"/>
      <c r="I301" s="85"/>
      <c r="J301" s="30">
        <v>95136.48</v>
      </c>
      <c r="K301" s="147">
        <f t="shared" si="66"/>
        <v>0.20682823245089585</v>
      </c>
      <c r="L301" s="33">
        <v>19676.910000000003</v>
      </c>
      <c r="M301" s="156">
        <f t="shared" si="67"/>
        <v>-3.316585365853663E-2</v>
      </c>
      <c r="N301" s="59">
        <f t="shared" si="68"/>
        <v>-3.0899999999965075</v>
      </c>
      <c r="O301" s="30">
        <v>56850.57</v>
      </c>
      <c r="P301" s="147">
        <f t="shared" si="69"/>
        <v>0.18463948558475315</v>
      </c>
      <c r="Q301" s="33">
        <v>10496.86</v>
      </c>
      <c r="R301" s="156">
        <f t="shared" si="72"/>
        <v>0.67344812901612061</v>
      </c>
      <c r="S301" s="85">
        <f t="shared" si="70"/>
        <v>9180.0500000000029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 hidden="1">
      <c r="A302" t="str">
        <f>+B302&amp;C302</f>
        <v>Pièces[...]</v>
      </c>
      <c r="B302" s="11" t="s">
        <v>98</v>
      </c>
      <c r="C302" s="29" t="s">
        <v>19</v>
      </c>
      <c r="D302" s="82">
        <v>0</v>
      </c>
      <c r="E302" s="147">
        <f>IF(D302=0,0,F302/D302)</f>
        <v>0</v>
      </c>
      <c r="F302" s="85">
        <v>0</v>
      </c>
      <c r="G302" s="82"/>
      <c r="H302" s="147"/>
      <c r="I302" s="85"/>
      <c r="J302" s="30">
        <v>0</v>
      </c>
      <c r="K302" s="147">
        <f>IF(J302&lt;=0,0,L302/J302)</f>
        <v>0</v>
      </c>
      <c r="L302" s="33">
        <v>0</v>
      </c>
      <c r="M302" s="156" t="e">
        <f t="shared" si="67"/>
        <v>#DIV/0!</v>
      </c>
      <c r="N302" s="59">
        <f t="shared" si="68"/>
        <v>0</v>
      </c>
      <c r="O302" s="30">
        <v>0</v>
      </c>
      <c r="P302" s="147">
        <f t="shared" si="69"/>
        <v>0</v>
      </c>
      <c r="Q302" s="33"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ref="A303:A352" si="73">+B303&amp;C303</f>
        <v>PiècesEscomptes</v>
      </c>
      <c r="B303" s="11" t="s">
        <v>98</v>
      </c>
      <c r="C303" s="29" t="s">
        <v>106</v>
      </c>
      <c r="D303" s="82">
        <v>0</v>
      </c>
      <c r="E303" s="147">
        <f t="shared" ref="E303:E310" si="74">IF(D303=0,0,F303/D303)</f>
        <v>0</v>
      </c>
      <c r="F303" s="85">
        <v>10186.254967635654</v>
      </c>
      <c r="G303" s="82"/>
      <c r="H303" s="147"/>
      <c r="I303" s="85"/>
      <c r="J303" s="30">
        <v>0</v>
      </c>
      <c r="K303" s="147">
        <f>IF(J303&lt;=0,0,L303/J303)</f>
        <v>0</v>
      </c>
      <c r="L303" s="33">
        <v>1956.73</v>
      </c>
      <c r="M303" s="156"/>
      <c r="N303" s="59">
        <f t="shared" si="68"/>
        <v>-8229.5249676356543</v>
      </c>
      <c r="O303" s="30">
        <v>0</v>
      </c>
      <c r="P303" s="147">
        <f t="shared" si="69"/>
        <v>0</v>
      </c>
      <c r="Q303" s="33">
        <v>4225.6499999999996</v>
      </c>
      <c r="R303" s="156">
        <f t="shared" ref="R303:R310" si="75">IF(O303=0,0,(J303-O303)/O303)</f>
        <v>0</v>
      </c>
      <c r="S303" s="85">
        <f>L303-Q303</f>
        <v>-2268.9199999999996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74"/>
        <v>0</v>
      </c>
      <c r="F304" s="85">
        <v>0</v>
      </c>
      <c r="G304" s="82"/>
      <c r="H304" s="147"/>
      <c r="I304" s="85"/>
      <c r="J304" s="30">
        <v>0</v>
      </c>
      <c r="K304" s="147">
        <f>IF(J304&lt;=0,0,L304/J304)</f>
        <v>0</v>
      </c>
      <c r="L304" s="33">
        <v>0</v>
      </c>
      <c r="M304" s="156"/>
      <c r="N304" s="59">
        <f t="shared" si="68"/>
        <v>0</v>
      </c>
      <c r="O304" s="30">
        <v>0</v>
      </c>
      <c r="P304" s="147">
        <f t="shared" si="69"/>
        <v>0</v>
      </c>
      <c r="Q304" s="33">
        <v>0</v>
      </c>
      <c r="R304" s="156">
        <f t="shared" si="75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PiècesSous-total Pièces</v>
      </c>
      <c r="B305" s="11" t="s">
        <v>98</v>
      </c>
      <c r="C305" s="53" t="s">
        <v>108</v>
      </c>
      <c r="D305" s="194">
        <f>SUM(D296:D304)</f>
        <v>275028.88412616262</v>
      </c>
      <c r="E305" s="212">
        <f>IF(D305&lt;=0,0,F305/D305)</f>
        <v>0.32644331000124704</v>
      </c>
      <c r="F305" s="198">
        <f>SUM(F296:F304)</f>
        <v>89781.339280093962</v>
      </c>
      <c r="G305" s="194"/>
      <c r="H305" s="212"/>
      <c r="I305" s="198"/>
      <c r="J305" s="194">
        <f>SUM(J296:J304)</f>
        <v>270066.67</v>
      </c>
      <c r="K305" s="212">
        <f>IF(J305&lt;=0,0,L305/J305)</f>
        <v>0.29054147999825375</v>
      </c>
      <c r="L305" s="196">
        <f>SUM(L296:L304)</f>
        <v>78465.569999999992</v>
      </c>
      <c r="M305" s="213">
        <f>(+J305-D305)/D305</f>
        <v>-1.804251994087409E-2</v>
      </c>
      <c r="N305" s="196">
        <f t="shared" si="68"/>
        <v>-11315.769280093969</v>
      </c>
      <c r="O305" s="194">
        <f>SUM(O296:O304)</f>
        <v>227977.51</v>
      </c>
      <c r="P305" s="212">
        <f>IF(O305&lt;=0,0,Q305/O305)</f>
        <v>0.31900984443597041</v>
      </c>
      <c r="Q305" s="196">
        <f t="shared" ref="Q305" si="76">SUM(Q296:Q304)</f>
        <v>72727.069999999891</v>
      </c>
      <c r="R305" s="213">
        <f>IF(O305=0,0,(J305-O305)/O305)</f>
        <v>0.18461978990822372</v>
      </c>
      <c r="S305" s="198">
        <f>L305-Q305</f>
        <v>5738.5000000001019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-0.1260369846432316</v>
      </c>
      <c r="O306" s="41"/>
      <c r="P306" s="13"/>
      <c r="Q306" s="40"/>
      <c r="R306" s="41"/>
      <c r="S306" s="44">
        <f>IF(Q305=0,0,S305/Q305)</f>
        <v>7.8904594946559936E-2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PiècesVentes Pneus</v>
      </c>
      <c r="B308" s="11" t="s">
        <v>98</v>
      </c>
      <c r="C308" s="29" t="s">
        <v>109</v>
      </c>
      <c r="D308" s="82">
        <v>56890.669252708096</v>
      </c>
      <c r="E308" s="147">
        <f>IF(D308=0,0,F308/D308)</f>
        <v>0.25</v>
      </c>
      <c r="F308" s="110">
        <v>14222.667313177024</v>
      </c>
      <c r="G308" s="82"/>
      <c r="H308" s="147"/>
      <c r="I308" s="110"/>
      <c r="J308" s="30">
        <v>45658.79</v>
      </c>
      <c r="K308" s="147">
        <f>IF(J308&lt;=0,0,L308/J308)</f>
        <v>0.2548030729679871</v>
      </c>
      <c r="L308" s="33">
        <v>11634</v>
      </c>
      <c r="M308" s="156">
        <f>(+J308-D308)/D308</f>
        <v>-0.19742919885185634</v>
      </c>
      <c r="N308" s="59">
        <f>L308-F308</f>
        <v>-2588.667313177024</v>
      </c>
      <c r="O308" s="30">
        <v>52130.46</v>
      </c>
      <c r="P308" s="147">
        <f t="shared" ref="P308:P309" si="77">IF(O308=0,0,Q308/O308)</f>
        <v>0.26498864579364734</v>
      </c>
      <c r="Q308" s="33">
        <v>13813.9799999999</v>
      </c>
      <c r="R308" s="156">
        <f>IF(O308=0,0,(J308-O308)/O308)</f>
        <v>-0.12414373477617498</v>
      </c>
      <c r="S308" s="85">
        <f>L308-Q308</f>
        <v>-2179.9799999998995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PiècesHuiles et Graisse</v>
      </c>
      <c r="B309" s="11" t="s">
        <v>98</v>
      </c>
      <c r="C309" s="86" t="s">
        <v>110</v>
      </c>
      <c r="D309" s="82">
        <v>11981.6619210884</v>
      </c>
      <c r="E309" s="147">
        <f>IF(D309=0,0,F309/D309)</f>
        <v>0.35500000000000004</v>
      </c>
      <c r="F309" s="92">
        <v>4253.4899819863822</v>
      </c>
      <c r="G309" s="82"/>
      <c r="H309" s="147"/>
      <c r="I309" s="92"/>
      <c r="J309" s="30">
        <v>15761.560000000001</v>
      </c>
      <c r="K309" s="147">
        <f>IF(J309&lt;=0,0,L309/J309)</f>
        <v>0.34037430305122096</v>
      </c>
      <c r="L309" s="33">
        <v>5364.8300000000027</v>
      </c>
      <c r="M309" s="156">
        <f>(+J309-D309)/D309</f>
        <v>0.31547360489772858</v>
      </c>
      <c r="N309" s="59">
        <f>L309-F309</f>
        <v>1111.3400180136205</v>
      </c>
      <c r="O309" s="30">
        <v>11683.48</v>
      </c>
      <c r="P309" s="147">
        <f t="shared" si="77"/>
        <v>0.35906082776706943</v>
      </c>
      <c r="Q309" s="33">
        <v>4195.08</v>
      </c>
      <c r="R309" s="156">
        <f>IF(O309=0,0,(J309-O309)/O309)</f>
        <v>0.34904668814428597</v>
      </c>
      <c r="S309" s="85">
        <f>L309-Q309</f>
        <v>1169.7500000000027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PiècesSous-total Pièces et Acc.</v>
      </c>
      <c r="B310" s="11" t="s">
        <v>98</v>
      </c>
      <c r="C310" s="53" t="s">
        <v>111</v>
      </c>
      <c r="D310" s="194">
        <f>D305+D308+D309</f>
        <v>343901.21529995912</v>
      </c>
      <c r="E310" s="212">
        <f>IF(D310&lt;=0,0,F310/D310)</f>
        <v>0.31479242223913778</v>
      </c>
      <c r="F310" s="196">
        <f>F305+F308+F309</f>
        <v>108257.49657525736</v>
      </c>
      <c r="G310" s="197"/>
      <c r="H310" s="212"/>
      <c r="I310" s="196"/>
      <c r="J310" s="197">
        <f>J305+J308+J309</f>
        <v>331487.01999999996</v>
      </c>
      <c r="K310" s="212">
        <f>IF(J310&lt;=0,0,L310/J310)</f>
        <v>0.28798835019241481</v>
      </c>
      <c r="L310" s="196">
        <f>L305+L308+L309</f>
        <v>95464.4</v>
      </c>
      <c r="M310" s="213">
        <f>(+J310-D310)/D310</f>
        <v>-3.609814315175127E-2</v>
      </c>
      <c r="N310" s="196">
        <f>L310-F310</f>
        <v>-12793.096575257368</v>
      </c>
      <c r="O310" s="197">
        <f>O305+O308+O309</f>
        <v>291791.45</v>
      </c>
      <c r="P310" s="212">
        <f>IF(O310&lt;=0,0,Q310/O310)</f>
        <v>0.31096226431583168</v>
      </c>
      <c r="Q310" s="196">
        <f t="shared" ref="Q310" si="78">Q305+Q308+Q309</f>
        <v>90736.129999999786</v>
      </c>
      <c r="R310" s="213">
        <f>IF(O310=0,0,(J310-O310)/O310)</f>
        <v>0.13604089496110988</v>
      </c>
      <c r="S310" s="198">
        <f>L310-Q310</f>
        <v>4728.2700000002078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-0.11817284696181748</v>
      </c>
      <c r="O311" s="41"/>
      <c r="P311" s="13"/>
      <c r="Q311" s="40"/>
      <c r="R311" s="41"/>
      <c r="S311" s="44">
        <f>IF(Q310=0,0,S310/Q310)</f>
        <v>5.2110113137955286E-2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25">
      <c r="A313" t="str">
        <f t="shared" si="73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73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Top="1">
      <c r="A315" t="str">
        <f t="shared" si="73"/>
        <v>PiècesTotal Dépt. Pièces</v>
      </c>
      <c r="B315" s="11" t="s">
        <v>98</v>
      </c>
      <c r="C315" s="62" t="s">
        <v>113</v>
      </c>
      <c r="D315" s="63">
        <f>D310+D313</f>
        <v>343901.21529995912</v>
      </c>
      <c r="E315" s="218">
        <f>IF(D315&lt;=0,0,F315/D315)</f>
        <v>0.31479242223913778</v>
      </c>
      <c r="F315" s="65">
        <f>F310+F313</f>
        <v>108257.49657525736</v>
      </c>
      <c r="G315" s="66"/>
      <c r="H315" s="218"/>
      <c r="I315" s="65"/>
      <c r="J315" s="66">
        <f>J310+J313</f>
        <v>331487.01999999996</v>
      </c>
      <c r="K315" s="218">
        <f>IF(J315&lt;=0,0,L315/J315)</f>
        <v>0.28798835019241481</v>
      </c>
      <c r="L315" s="65">
        <f>L310+L313</f>
        <v>95464.4</v>
      </c>
      <c r="M315" s="219">
        <f>(+J315-D315)/D315</f>
        <v>-3.609814315175127E-2</v>
      </c>
      <c r="N315" s="220">
        <f>L315-F315</f>
        <v>-12793.096575257368</v>
      </c>
      <c r="O315" s="66">
        <f>O310+O313</f>
        <v>291791.45</v>
      </c>
      <c r="P315" s="218">
        <f>IF(O315&lt;=0,0,Q315/O315)</f>
        <v>0.31096226431583168</v>
      </c>
      <c r="Q315" s="65">
        <f t="shared" ref="Q315" si="79">Q310+Q313</f>
        <v>90736.129999999786</v>
      </c>
      <c r="R315" s="219">
        <f>IF(O315=0,0,(J315-O315)/O315)</f>
        <v>0.13604089496110988</v>
      </c>
      <c r="S315" s="221">
        <f>L315-Q315</f>
        <v>4728.2700000002078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Bot="1">
      <c r="A316" t="str">
        <f t="shared" si="73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-0.11817284696181748</v>
      </c>
      <c r="O316" s="226"/>
      <c r="P316" s="224"/>
      <c r="Q316" s="225"/>
      <c r="R316" s="227"/>
      <c r="S316" s="75">
        <f>IF(Q315=0,0,S315/Q315)</f>
        <v>5.2110113137955286E-2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 thickTop="1">
      <c r="A317" t="str">
        <f t="shared" si="73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cadres</v>
      </c>
      <c r="B319" s="11" t="s">
        <v>98</v>
      </c>
      <c r="C319" s="102" t="s">
        <v>40</v>
      </c>
      <c r="D319" s="13"/>
      <c r="E319" s="13"/>
      <c r="F319" s="30">
        <v>4527.3187739463601</v>
      </c>
      <c r="G319" s="41"/>
      <c r="H319" s="13"/>
      <c r="I319" s="30"/>
      <c r="J319" s="41"/>
      <c r="K319" s="13"/>
      <c r="L319" s="33">
        <v>1623.57</v>
      </c>
      <c r="M319" s="41"/>
      <c r="N319" s="59">
        <f t="shared" ref="N319:N349" si="80">L319-F319</f>
        <v>-2903.7487739463604</v>
      </c>
      <c r="O319" s="41"/>
      <c r="P319" s="13"/>
      <c r="Q319" s="33">
        <v>4248.16</v>
      </c>
      <c r="R319" s="41"/>
      <c r="S319" s="85">
        <f t="shared" ref="S319:S344" si="81">L319-Q319</f>
        <v>-2624.59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commis</v>
      </c>
      <c r="B320" s="11" t="s">
        <v>98</v>
      </c>
      <c r="C320" s="103" t="s">
        <v>41</v>
      </c>
      <c r="D320" s="81"/>
      <c r="E320" s="13"/>
      <c r="F320" s="22">
        <v>2423.0906206896552</v>
      </c>
      <c r="G320" s="83"/>
      <c r="H320" s="13"/>
      <c r="I320" s="22"/>
      <c r="J320" s="41"/>
      <c r="K320" s="13"/>
      <c r="L320" s="33">
        <v>2062.7600000000002</v>
      </c>
      <c r="M320" s="41"/>
      <c r="N320" s="59">
        <f t="shared" si="80"/>
        <v>-360.33062068965501</v>
      </c>
      <c r="O320" s="41"/>
      <c r="P320" s="13"/>
      <c r="Q320" s="33">
        <v>2912.87</v>
      </c>
      <c r="R320" s="41"/>
      <c r="S320" s="85">
        <f t="shared" si="81"/>
        <v>-850.10999999999967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autres</v>
      </c>
      <c r="B321" s="11" t="s">
        <v>98</v>
      </c>
      <c r="C321" s="102" t="s">
        <v>42</v>
      </c>
      <c r="D321" s="104"/>
      <c r="E321" s="105"/>
      <c r="F321" s="30">
        <v>18866.553935617525</v>
      </c>
      <c r="G321" s="106"/>
      <c r="H321" s="105"/>
      <c r="I321" s="30"/>
      <c r="J321" s="107"/>
      <c r="K321" s="105"/>
      <c r="L321" s="108">
        <v>17846.34</v>
      </c>
      <c r="M321" s="107"/>
      <c r="N321" s="109">
        <f t="shared" si="80"/>
        <v>-1020.2139356175248</v>
      </c>
      <c r="O321" s="107"/>
      <c r="P321" s="105"/>
      <c r="Q321" s="108">
        <v>14404.7</v>
      </c>
      <c r="R321" s="107"/>
      <c r="S321" s="110">
        <f t="shared" si="81"/>
        <v>3441.6399999999994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73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 t="shared" si="81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 hidden="1">
      <c r="A325" t="str">
        <f>+B325&amp;C325</f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80"/>
        <v>0</v>
      </c>
      <c r="O325" s="41"/>
      <c r="P325" s="13"/>
      <c r="Q325" s="33"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75" si="82">+B326&amp;C326</f>
        <v>PiècesSalaires en absences</v>
      </c>
      <c r="B326" s="11" t="s">
        <v>98</v>
      </c>
      <c r="C326" s="103" t="s">
        <v>44</v>
      </c>
      <c r="D326" s="81"/>
      <c r="E326" s="13"/>
      <c r="F326" s="22">
        <v>3868.5216345767394</v>
      </c>
      <c r="G326" s="83"/>
      <c r="H326" s="13"/>
      <c r="I326" s="22"/>
      <c r="J326" s="41"/>
      <c r="K326" s="13"/>
      <c r="L326" s="33">
        <v>2940.78</v>
      </c>
      <c r="M326" s="41"/>
      <c r="N326" s="59">
        <f t="shared" si="80"/>
        <v>-927.74163457673922</v>
      </c>
      <c r="O326" s="41"/>
      <c r="P326" s="13"/>
      <c r="Q326" s="33">
        <v>2715.79</v>
      </c>
      <c r="R326" s="41"/>
      <c r="S326" s="85">
        <f t="shared" ref="S326:S351" si="83">L326-Q326</f>
        <v>224.99000000000024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PiècesDéduction à la source</v>
      </c>
      <c r="B327" s="11" t="s">
        <v>98</v>
      </c>
      <c r="C327" s="102" t="s">
        <v>45</v>
      </c>
      <c r="D327" s="104"/>
      <c r="E327" s="105"/>
      <c r="F327" s="30">
        <v>3942.0659116531938</v>
      </c>
      <c r="G327" s="106"/>
      <c r="H327" s="105"/>
      <c r="I327" s="30"/>
      <c r="J327" s="107"/>
      <c r="K327" s="105"/>
      <c r="L327" s="108">
        <v>2879.44</v>
      </c>
      <c r="M327" s="107"/>
      <c r="N327" s="109">
        <f t="shared" si="80"/>
        <v>-1062.6259116531937</v>
      </c>
      <c r="O327" s="107"/>
      <c r="P327" s="105"/>
      <c r="Q327" s="108">
        <v>3673.68</v>
      </c>
      <c r="R327" s="107"/>
      <c r="S327" s="110">
        <f t="shared" si="83"/>
        <v>-794.23999999999978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PiècesBénéfices marginaux</v>
      </c>
      <c r="B328" s="11" t="s">
        <v>98</v>
      </c>
      <c r="C328" s="102" t="s">
        <v>46</v>
      </c>
      <c r="D328" s="81"/>
      <c r="E328" s="13"/>
      <c r="F328" s="30">
        <v>2861.647846977874</v>
      </c>
      <c r="G328" s="83"/>
      <c r="H328" s="13"/>
      <c r="I328" s="30"/>
      <c r="J328" s="41"/>
      <c r="K328" s="13"/>
      <c r="L328" s="33">
        <v>2549.6999999999998</v>
      </c>
      <c r="M328" s="41"/>
      <c r="N328" s="59">
        <f t="shared" si="80"/>
        <v>-311.94784697787418</v>
      </c>
      <c r="O328" s="41"/>
      <c r="P328" s="13"/>
      <c r="Q328" s="33">
        <v>1683.65</v>
      </c>
      <c r="R328" s="41"/>
      <c r="S328" s="85">
        <f t="shared" si="83"/>
        <v>866.04999999999973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>
      <c r="A329" t="str">
        <f t="shared" si="82"/>
        <v>PiècesCsst</v>
      </c>
      <c r="B329" s="11" t="s">
        <v>98</v>
      </c>
      <c r="C329" s="102" t="s">
        <v>47</v>
      </c>
      <c r="D329" s="81"/>
      <c r="E329" s="13"/>
      <c r="F329" s="30">
        <v>715.4119617444685</v>
      </c>
      <c r="G329" s="83"/>
      <c r="H329" s="13"/>
      <c r="I329" s="30"/>
      <c r="J329" s="41"/>
      <c r="K329" s="13"/>
      <c r="L329" s="33">
        <v>514.61</v>
      </c>
      <c r="M329" s="462"/>
      <c r="N329" s="145">
        <f t="shared" si="80"/>
        <v>-200.80196174446849</v>
      </c>
      <c r="O329" s="41"/>
      <c r="P329" s="13"/>
      <c r="Q329" s="33">
        <v>934.32</v>
      </c>
      <c r="R329" s="41"/>
      <c r="S329" s="85">
        <f t="shared" si="83"/>
        <v>-419.71000000000004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 hidden="1">
      <c r="A330" t="str">
        <f t="shared" si="8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80"/>
        <v>0</v>
      </c>
      <c r="O330" s="23"/>
      <c r="P330" s="111"/>
      <c r="Q330" s="33">
        <v>0</v>
      </c>
      <c r="R330" s="23"/>
      <c r="S330" s="92">
        <f t="shared" si="83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0.34366775384781123</v>
      </c>
      <c r="F331" s="96">
        <f>+SUM(F319:F330)</f>
        <v>37204.610685205815</v>
      </c>
      <c r="G331" s="97"/>
      <c r="H331" s="95"/>
      <c r="I331" s="96"/>
      <c r="J331" s="97" t="s">
        <v>38</v>
      </c>
      <c r="K331" s="95">
        <f>L331/L$315</f>
        <v>0.3186234868704983</v>
      </c>
      <c r="L331" s="96">
        <f>+SUM(L319:L330)</f>
        <v>30417.199999999997</v>
      </c>
      <c r="M331" s="146"/>
      <c r="N331" s="113">
        <f t="shared" si="80"/>
        <v>-6787.4106852058176</v>
      </c>
      <c r="O331" s="97" t="s">
        <v>38</v>
      </c>
      <c r="P331" s="95">
        <f>Q331/Q$315</f>
        <v>0.33694593322417515</v>
      </c>
      <c r="Q331" s="96">
        <f>+SUM(Q319:Q330)</f>
        <v>30573.170000000002</v>
      </c>
      <c r="R331" s="146"/>
      <c r="S331" s="114">
        <f t="shared" si="83"/>
        <v>-155.9700000000048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PiècesPublicité 2</v>
      </c>
      <c r="B332" s="11" t="s">
        <v>98</v>
      </c>
      <c r="C332" s="210" t="s">
        <v>49</v>
      </c>
      <c r="D332" s="81"/>
      <c r="E332" s="13"/>
      <c r="F332" s="30">
        <v>1006.9602891715665</v>
      </c>
      <c r="G332" s="83"/>
      <c r="H332" s="13"/>
      <c r="I332" s="30"/>
      <c r="J332" s="41"/>
      <c r="K332" s="13"/>
      <c r="L332" s="33">
        <v>1498.1</v>
      </c>
      <c r="M332" s="41"/>
      <c r="N332" s="59">
        <f t="shared" si="80"/>
        <v>491.13971082843341</v>
      </c>
      <c r="O332" s="41"/>
      <c r="P332" s="13"/>
      <c r="Q332" s="33">
        <v>2208.88</v>
      </c>
      <c r="R332" s="41"/>
      <c r="S332" s="85">
        <f t="shared" si="83"/>
        <v>-710.7800000000002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392.68</v>
      </c>
      <c r="M333" s="41"/>
      <c r="N333" s="59">
        <f t="shared" si="80"/>
        <v>-232.32</v>
      </c>
      <c r="O333" s="41"/>
      <c r="P333" s="13"/>
      <c r="Q333" s="33">
        <v>447.1</v>
      </c>
      <c r="R333" s="41"/>
      <c r="S333" s="85">
        <f t="shared" si="83"/>
        <v>-54.420000000000016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4603.3500000000004</v>
      </c>
      <c r="M334" s="23"/>
      <c r="N334" s="91">
        <f t="shared" si="80"/>
        <v>-220.31666666666661</v>
      </c>
      <c r="O334" s="23"/>
      <c r="P334" s="111"/>
      <c r="Q334" s="33">
        <v>3862.5299999999902</v>
      </c>
      <c r="R334" s="23"/>
      <c r="S334" s="92">
        <f t="shared" si="83"/>
        <v>740.82000000001017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2630.81</v>
      </c>
      <c r="M335" s="41"/>
      <c r="N335" s="59">
        <f t="shared" si="80"/>
        <v>-20.66533333333382</v>
      </c>
      <c r="O335" s="41"/>
      <c r="P335" s="13"/>
      <c r="Q335" s="108">
        <v>1841.62</v>
      </c>
      <c r="R335" s="41"/>
      <c r="S335" s="85">
        <f t="shared" si="83"/>
        <v>789.19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986.5</v>
      </c>
      <c r="M336" s="41"/>
      <c r="N336" s="59">
        <f t="shared" si="80"/>
        <v>-11.833333333333258</v>
      </c>
      <c r="O336" s="41"/>
      <c r="P336" s="13"/>
      <c r="Q336" s="33">
        <v>190.86</v>
      </c>
      <c r="R336" s="41"/>
      <c r="S336" s="85">
        <f t="shared" si="83"/>
        <v>795.64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8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1513.85</v>
      </c>
      <c r="M337" s="23"/>
      <c r="N337" s="91">
        <f t="shared" si="80"/>
        <v>195.27399999999989</v>
      </c>
      <c r="O337" s="23"/>
      <c r="P337" s="111"/>
      <c r="Q337" s="48">
        <v>1633.15</v>
      </c>
      <c r="R337" s="23"/>
      <c r="S337" s="92">
        <f t="shared" si="83"/>
        <v>-119.30000000000018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 hidden="1">
      <c r="A338" t="str">
        <f>+B338&amp;C338</f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0</v>
      </c>
      <c r="O338" s="41"/>
      <c r="P338" s="13"/>
      <c r="Q338" s="33"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ref="A339:A388" si="84">+B339&amp;C339</f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27.75</v>
      </c>
      <c r="M339" s="41"/>
      <c r="N339" s="59">
        <f t="shared" si="80"/>
        <v>12.75</v>
      </c>
      <c r="O339" s="41"/>
      <c r="P339" s="13"/>
      <c r="Q339" s="33">
        <v>61.61</v>
      </c>
      <c r="R339" s="41"/>
      <c r="S339" s="85">
        <f t="shared" ref="S339:S364" si="85">L339-Q339</f>
        <v>-33.86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0</v>
      </c>
      <c r="M340" s="41"/>
      <c r="N340" s="59">
        <f t="shared" si="80"/>
        <v>-37.5</v>
      </c>
      <c r="O340" s="41"/>
      <c r="P340" s="13"/>
      <c r="Q340" s="33">
        <v>0</v>
      </c>
      <c r="R340" s="41"/>
      <c r="S340" s="85">
        <f t="shared" si="85"/>
        <v>0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241.72</v>
      </c>
      <c r="M341" s="41"/>
      <c r="N341" s="59">
        <f t="shared" si="80"/>
        <v>-48.28</v>
      </c>
      <c r="O341" s="41"/>
      <c r="P341" s="13"/>
      <c r="Q341" s="32">
        <v>326.68</v>
      </c>
      <c r="R341" s="41"/>
      <c r="S341" s="85">
        <f t="shared" si="85"/>
        <v>-84.960000000000008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117.94</v>
      </c>
      <c r="M342" s="41"/>
      <c r="N342" s="59">
        <f t="shared" si="80"/>
        <v>4.1400000000000006</v>
      </c>
      <c r="O342" s="41"/>
      <c r="P342" s="13"/>
      <c r="Q342" s="33">
        <v>106.04</v>
      </c>
      <c r="R342" s="41"/>
      <c r="S342" s="85">
        <f t="shared" si="85"/>
        <v>11.899999999999991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1984.2</v>
      </c>
      <c r="M343" s="41"/>
      <c r="N343" s="59">
        <f t="shared" si="80"/>
        <v>-387.46666666666692</v>
      </c>
      <c r="O343" s="41"/>
      <c r="P343" s="13"/>
      <c r="Q343" s="33">
        <v>480.69</v>
      </c>
      <c r="R343" s="41"/>
      <c r="S343" s="85">
        <f t="shared" si="85"/>
        <v>1503.51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84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378.28000000000003</v>
      </c>
      <c r="M344" s="41"/>
      <c r="N344" s="59">
        <f t="shared" si="80"/>
        <v>72.946666666666715</v>
      </c>
      <c r="O344" s="41"/>
      <c r="P344" s="13"/>
      <c r="Q344" s="33">
        <v>812.2</v>
      </c>
      <c r="R344" s="41"/>
      <c r="S344" s="85">
        <f t="shared" si="85"/>
        <v>-433.92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70.739999999999995</v>
      </c>
      <c r="M345" s="41"/>
      <c r="N345" s="59">
        <f t="shared" si="80"/>
        <v>-81.724000000000061</v>
      </c>
      <c r="O345" s="41"/>
      <c r="P345" s="13"/>
      <c r="Q345" s="33">
        <v>230.03</v>
      </c>
      <c r="R345" s="41"/>
      <c r="S345" s="85">
        <f>L345-Q345</f>
        <v>-159.29000000000002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>
      <c r="A346" t="str">
        <f>+B346&amp;C346</f>
        <v>PiècesFrais bancaires</v>
      </c>
      <c r="B346" s="11" t="s">
        <v>98</v>
      </c>
      <c r="C346" s="102" t="s">
        <v>62</v>
      </c>
      <c r="D346" s="81"/>
      <c r="E346" s="13"/>
      <c r="F346" s="30">
        <v>1989.1118716036556</v>
      </c>
      <c r="G346" s="83"/>
      <c r="H346" s="13"/>
      <c r="I346" s="30"/>
      <c r="J346" s="41"/>
      <c r="K346" s="13"/>
      <c r="L346" s="32">
        <v>1405.33</v>
      </c>
      <c r="M346" s="41"/>
      <c r="N346" s="59">
        <f t="shared" si="80"/>
        <v>-583.78187160365565</v>
      </c>
      <c r="O346" s="41"/>
      <c r="P346" s="13"/>
      <c r="Q346" s="33">
        <v>1170.72</v>
      </c>
      <c r="R346" s="41"/>
      <c r="S346" s="85">
        <f>L346-Q346</f>
        <v>234.6099999999999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 hidden="1">
      <c r="A349" t="str">
        <f>+B349&amp;C349</f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80"/>
        <v>0</v>
      </c>
      <c r="O349" s="41"/>
      <c r="P349" s="13"/>
      <c r="Q349" s="33"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93" t="s">
        <v>63</v>
      </c>
      <c r="D350" s="94" t="s">
        <v>38</v>
      </c>
      <c r="E350" s="95">
        <f>F350/F$315</f>
        <v>0.15425155783553515</v>
      </c>
      <c r="F350" s="96">
        <f>+SUM(F332:F349)</f>
        <v>16698.88749410856</v>
      </c>
      <c r="G350" s="97"/>
      <c r="H350" s="95"/>
      <c r="I350" s="96"/>
      <c r="J350" s="97" t="s">
        <v>38</v>
      </c>
      <c r="K350" s="95">
        <f>L350/L$315</f>
        <v>0.16604357226358729</v>
      </c>
      <c r="L350" s="96">
        <f>+SUM(L332:L349)</f>
        <v>15851.250000000002</v>
      </c>
      <c r="M350" s="100"/>
      <c r="N350" s="96">
        <f>+SUM(N332:N349)</f>
        <v>-847.63749410855621</v>
      </c>
      <c r="O350" s="97" t="s">
        <v>38</v>
      </c>
      <c r="P350" s="95">
        <f>Q350/Q$315</f>
        <v>0.14737359858746482</v>
      </c>
      <c r="Q350" s="96">
        <f>+SUM(Q332:Q349)</f>
        <v>13372.109999999993</v>
      </c>
      <c r="R350" s="100"/>
      <c r="S350" s="101">
        <f>+SUM(S332:S349)</f>
        <v>2479.1400000000094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93" t="s">
        <v>64</v>
      </c>
      <c r="D352" s="94" t="s">
        <v>38</v>
      </c>
      <c r="E352" s="95">
        <f>F352/F$315</f>
        <v>0.49791931168334636</v>
      </c>
      <c r="F352" s="96">
        <f>F331+F350</f>
        <v>53903.498179314374</v>
      </c>
      <c r="G352" s="97"/>
      <c r="H352" s="95"/>
      <c r="I352" s="96"/>
      <c r="J352" s="97" t="s">
        <v>38</v>
      </c>
      <c r="K352" s="95">
        <f>L352/L$315</f>
        <v>0.48466705913408559</v>
      </c>
      <c r="L352" s="96">
        <f>L331+L350</f>
        <v>46268.45</v>
      </c>
      <c r="M352" s="100"/>
      <c r="N352" s="113">
        <f>L352-F352</f>
        <v>-7635.0481793143772</v>
      </c>
      <c r="O352" s="97" t="s">
        <v>38</v>
      </c>
      <c r="P352" s="95">
        <f>Q352/Q$315</f>
        <v>0.48431953181164</v>
      </c>
      <c r="Q352" s="96">
        <f>Q331+Q350</f>
        <v>43945.279999999999</v>
      </c>
      <c r="R352" s="100"/>
      <c r="S352" s="114">
        <f>L352-Q352</f>
        <v>2323.1699999999983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25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Bot="1">
      <c r="B354" s="7"/>
      <c r="C354" s="124" t="s">
        <v>69</v>
      </c>
      <c r="D354" s="151"/>
      <c r="E354" s="125"/>
      <c r="F354" s="127">
        <f>F315-F352</f>
        <v>54353.998395942988</v>
      </c>
      <c r="G354" s="152"/>
      <c r="H354" s="125"/>
      <c r="I354" s="127"/>
      <c r="J354" s="153"/>
      <c r="K354" s="126"/>
      <c r="L354" s="127">
        <f>L315-L352</f>
        <v>49195.95</v>
      </c>
      <c r="M354" s="153"/>
      <c r="N354" s="127">
        <f>L354-F354</f>
        <v>-5158.0483959429912</v>
      </c>
      <c r="O354" s="153"/>
      <c r="P354" s="126"/>
      <c r="Q354" s="127">
        <f>Q315-Q352</f>
        <v>46790.849999999788</v>
      </c>
      <c r="R354" s="153"/>
      <c r="S354" s="129">
        <f>L354-Q354</f>
        <v>2405.1000000002095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0.25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25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Juin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5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Top="1">
      <c r="B359" s="7"/>
      <c r="C359" s="12"/>
      <c r="D359" s="510" t="s">
        <v>5</v>
      </c>
      <c r="E359" s="511"/>
      <c r="F359" s="512"/>
      <c r="G359" s="513"/>
      <c r="H359" s="511"/>
      <c r="I359" s="512"/>
      <c r="J359" s="513" t="s">
        <v>7</v>
      </c>
      <c r="K359" s="511"/>
      <c r="L359" s="512"/>
      <c r="M359" s="513"/>
      <c r="N359" s="512"/>
      <c r="O359" s="510" t="s">
        <v>8</v>
      </c>
      <c r="P359" s="511"/>
      <c r="Q359" s="512"/>
      <c r="R359" s="513" t="s">
        <v>9</v>
      </c>
      <c r="S359" s="514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86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Top="1">
      <c r="A361" t="str">
        <f t="shared" si="86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Bot="1">
      <c r="A362" t="str">
        <f t="shared" si="86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 thickTop="1">
      <c r="A363" t="str">
        <f t="shared" si="86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 t="shared" ref="Q363" si="87"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ref="S367:S395" si="88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8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8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8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8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8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8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8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8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8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8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8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8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A395" t="str">
        <f t="shared" si="86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8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0.25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.75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0.25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25">
      <c r="B402" s="7"/>
      <c r="C402" s="13"/>
      <c r="D402" s="13"/>
      <c r="E402" s="13"/>
      <c r="F402" s="82">
        <f>F354+F290+F234</f>
        <v>90763.485946453002</v>
      </c>
      <c r="G402" s="13"/>
      <c r="H402" s="13"/>
      <c r="I402" s="13"/>
      <c r="J402" s="13"/>
      <c r="K402" s="13"/>
      <c r="L402" s="82">
        <f>L354+L290+L234</f>
        <v>88105.000000000015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25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0.97070974171241731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Juin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.75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1.75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06" t="s">
        <v>117</v>
      </c>
      <c r="Y405" s="504"/>
      <c r="Z405" s="507"/>
      <c r="AA405" s="503"/>
      <c r="AB405" s="504"/>
      <c r="AC405" s="507"/>
      <c r="AD405" s="503" t="s">
        <v>7</v>
      </c>
      <c r="AE405" s="504"/>
      <c r="AF405" s="507"/>
      <c r="AG405" s="503" t="s">
        <v>212</v>
      </c>
      <c r="AH405" s="504"/>
      <c r="AI405" s="507"/>
      <c r="AJ405" s="503" t="s">
        <v>118</v>
      </c>
      <c r="AK405" s="504"/>
      <c r="AL405" s="504"/>
      <c r="AM405" s="503" t="s">
        <v>119</v>
      </c>
      <c r="AN405" s="504"/>
      <c r="AO405" s="505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25">
      <c r="A406" t="str">
        <f t="shared" ref="A406:A485" si="89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8">
      <c r="A407" t="str">
        <f t="shared" si="89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5492903.3470471911</v>
      </c>
      <c r="AA407" s="261"/>
      <c r="AB407" s="261"/>
      <c r="AC407" s="262"/>
      <c r="AD407" s="263"/>
      <c r="AE407" s="264"/>
      <c r="AF407" s="264">
        <f>L5+L93+K195+K251+J315+J363</f>
        <v>6391770.9400000004</v>
      </c>
      <c r="AG407" s="263"/>
      <c r="AH407" s="264"/>
      <c r="AI407" s="265"/>
      <c r="AJ407" s="263"/>
      <c r="AK407" s="264"/>
      <c r="AL407" s="264">
        <f>Q5+Q93+P195+P251+O315+O363</f>
        <v>3813571.54999999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8">
      <c r="A408" t="str">
        <f t="shared" si="89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538719.02711999055</v>
      </c>
      <c r="AA408" s="269"/>
      <c r="AB408" s="269"/>
      <c r="AC408" s="270"/>
      <c r="AD408" s="271"/>
      <c r="AE408" s="272"/>
      <c r="AF408" s="272">
        <f>L27+L109+L195+L251+L315+L363</f>
        <v>516974.29999999981</v>
      </c>
      <c r="AG408" s="271"/>
      <c r="AH408" s="272">
        <f>AF408-Z408</f>
        <v>-21744.727119990741</v>
      </c>
      <c r="AI408" s="273">
        <f>AH408/Z408</f>
        <v>-4.0363762973509139E-2</v>
      </c>
      <c r="AJ408" s="271">
        <f>+AL408/AL407</f>
        <v>0.1207677065872806</v>
      </c>
      <c r="AK408" s="272"/>
      <c r="AL408" s="272">
        <f>Q27+Q109+Q195+Q251+Q315+Q363</f>
        <v>460556.28999999969</v>
      </c>
      <c r="AM408" s="274"/>
      <c r="AN408" s="272">
        <f>AF408-AL408</f>
        <v>56418.010000000126</v>
      </c>
      <c r="AO408" s="275">
        <f>IF(AL408=0,0,AN408/AL408)</f>
        <v>0.12249970573629591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8">
      <c r="A409" t="str">
        <f t="shared" si="89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8">
      <c r="A410" t="str">
        <f t="shared" si="89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90">Z410/(D$13+D$97)</f>
        <v>903.28604105449415</v>
      </c>
      <c r="Z410" s="278">
        <f t="shared" ref="Z410:Z416" si="91">+SUMIF($C:$C,$V410,F:F)</f>
        <v>49680.732257997181</v>
      </c>
      <c r="AA410" s="277"/>
      <c r="AB410" s="285"/>
      <c r="AC410" s="278"/>
      <c r="AD410" s="286"/>
      <c r="AE410" s="285">
        <f t="shared" ref="AE410:AE415" si="92">IF(AF410=0,0,AF410/(J$13+J$97))</f>
        <v>1075.1266666666666</v>
      </c>
      <c r="AF410" s="278">
        <f t="shared" ref="AF410:AF416" si="93">+SUMIF($C:$C,$V410,L:L)</f>
        <v>54831.46</v>
      </c>
      <c r="AG410" s="279">
        <f t="shared" ref="AG410:AH425" si="94">AE410-Y410</f>
        <v>171.8406256121724</v>
      </c>
      <c r="AH410" s="280">
        <f t="shared" si="94"/>
        <v>5150.7277420028186</v>
      </c>
      <c r="AI410" s="281">
        <f t="shared" ref="AI410:AI419" si="95">IF(Z410=0,0,AH410/Z410)</f>
        <v>0.10367656650579457</v>
      </c>
      <c r="AJ410" s="286"/>
      <c r="AK410" s="280">
        <f t="shared" ref="AK410:AK419" si="96">AL410/(O$13+O$97)</f>
        <v>971.75731707317084</v>
      </c>
      <c r="AL410" s="278">
        <f t="shared" ref="AL410:AL415" si="97">+SUMIF($C:$C,$V410,Q:Q)</f>
        <v>39842.050000000003</v>
      </c>
      <c r="AM410" s="282">
        <f t="shared" ref="AM410:AM415" si="98">AE410-Y410</f>
        <v>171.8406256121724</v>
      </c>
      <c r="AN410" s="280">
        <f t="shared" ref="AN410:AN415" si="99">AF410-AL410</f>
        <v>14989.409999999996</v>
      </c>
      <c r="AO410" s="287">
        <f t="shared" ref="AO410:AO432" si="100">IF(AL410=0,0,AN410/AL410)</f>
        <v>0.37622085208968903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8">
      <c r="A411" t="str">
        <f t="shared" si="89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90"/>
        <v>466.32727272727271</v>
      </c>
      <c r="Z411" s="262">
        <f t="shared" si="91"/>
        <v>25648</v>
      </c>
      <c r="AA411" s="261"/>
      <c r="AB411" s="289"/>
      <c r="AC411" s="262"/>
      <c r="AD411" s="290"/>
      <c r="AE411" s="289">
        <f t="shared" si="92"/>
        <v>192.41745098039218</v>
      </c>
      <c r="AF411" s="262">
        <f t="shared" si="93"/>
        <v>9813.2900000000009</v>
      </c>
      <c r="AG411" s="263">
        <f t="shared" si="94"/>
        <v>-273.90982174688054</v>
      </c>
      <c r="AH411" s="264">
        <f t="shared" si="94"/>
        <v>-15834.71</v>
      </c>
      <c r="AI411" s="291">
        <f t="shared" si="95"/>
        <v>-0.61738576107298815</v>
      </c>
      <c r="AJ411" s="290"/>
      <c r="AK411" s="264">
        <f t="shared" si="96"/>
        <v>659.49097560975611</v>
      </c>
      <c r="AL411" s="262">
        <f t="shared" si="97"/>
        <v>27039.13</v>
      </c>
      <c r="AM411" s="266">
        <f t="shared" si="98"/>
        <v>-273.90982174688054</v>
      </c>
      <c r="AN411" s="264">
        <f t="shared" si="99"/>
        <v>-17225.84</v>
      </c>
      <c r="AO411" s="292">
        <f t="shared" si="100"/>
        <v>-0.63707079332803973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8">
      <c r="A412" t="str">
        <f t="shared" si="89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90"/>
        <v>106.18181818181819</v>
      </c>
      <c r="Z412" s="278">
        <f t="shared" si="91"/>
        <v>5840</v>
      </c>
      <c r="AA412" s="277"/>
      <c r="AB412" s="285"/>
      <c r="AC412" s="278"/>
      <c r="AD412" s="286"/>
      <c r="AE412" s="285">
        <f t="shared" si="92"/>
        <v>153.7349019607843</v>
      </c>
      <c r="AF412" s="278">
        <f t="shared" si="93"/>
        <v>7840.48</v>
      </c>
      <c r="AG412" s="279">
        <f t="shared" si="94"/>
        <v>47.553083778966112</v>
      </c>
      <c r="AH412" s="280">
        <f t="shared" si="94"/>
        <v>2000.4799999999996</v>
      </c>
      <c r="AI412" s="281">
        <f t="shared" si="95"/>
        <v>0.34254794520547938</v>
      </c>
      <c r="AJ412" s="286"/>
      <c r="AK412" s="280">
        <f t="shared" si="96"/>
        <v>138.32195121951221</v>
      </c>
      <c r="AL412" s="278">
        <f t="shared" si="97"/>
        <v>5671.2000000000007</v>
      </c>
      <c r="AM412" s="282">
        <f t="shared" si="98"/>
        <v>47.553083778966112</v>
      </c>
      <c r="AN412" s="280">
        <f t="shared" si="99"/>
        <v>2169.2799999999988</v>
      </c>
      <c r="AO412" s="287">
        <f t="shared" si="100"/>
        <v>0.38250811115813205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8">
      <c r="A413" t="str">
        <f t="shared" si="89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90"/>
        <v>63.090909090909093</v>
      </c>
      <c r="Z413" s="278">
        <f t="shared" si="91"/>
        <v>3470</v>
      </c>
      <c r="AA413" s="277"/>
      <c r="AB413" s="285"/>
      <c r="AC413" s="278"/>
      <c r="AD413" s="286"/>
      <c r="AE413" s="285">
        <f t="shared" si="92"/>
        <v>100.18862745098039</v>
      </c>
      <c r="AF413" s="278">
        <f t="shared" si="93"/>
        <v>5109.62</v>
      </c>
      <c r="AG413" s="279">
        <f t="shared" si="94"/>
        <v>37.097718360071298</v>
      </c>
      <c r="AH413" s="280">
        <f t="shared" si="94"/>
        <v>1639.62</v>
      </c>
      <c r="AI413" s="281">
        <f t="shared" si="95"/>
        <v>0.47251296829971179</v>
      </c>
      <c r="AJ413" s="286"/>
      <c r="AK413" s="280">
        <f t="shared" si="96"/>
        <v>48.485853658536584</v>
      </c>
      <c r="AL413" s="278">
        <f t="shared" si="97"/>
        <v>1987.92</v>
      </c>
      <c r="AM413" s="282">
        <f t="shared" si="98"/>
        <v>37.097718360071298</v>
      </c>
      <c r="AN413" s="280">
        <f t="shared" si="99"/>
        <v>3121.7</v>
      </c>
      <c r="AO413" s="293">
        <f t="shared" si="100"/>
        <v>1.5703348223268541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8">
      <c r="A414" t="str">
        <f t="shared" si="89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90"/>
        <v>72.872727272727275</v>
      </c>
      <c r="Z414" s="262">
        <f t="shared" si="91"/>
        <v>4008</v>
      </c>
      <c r="AA414" s="261"/>
      <c r="AB414" s="289"/>
      <c r="AC414" s="262"/>
      <c r="AD414" s="290"/>
      <c r="AE414" s="289">
        <f t="shared" si="92"/>
        <v>116.87019607843138</v>
      </c>
      <c r="AF414" s="262">
        <f t="shared" si="93"/>
        <v>5960.38</v>
      </c>
      <c r="AG414" s="263">
        <f t="shared" si="94"/>
        <v>43.997468805704102</v>
      </c>
      <c r="AH414" s="264">
        <f t="shared" si="94"/>
        <v>1952.38</v>
      </c>
      <c r="AI414" s="291">
        <f t="shared" si="95"/>
        <v>0.48712075848303393</v>
      </c>
      <c r="AJ414" s="290"/>
      <c r="AK414" s="264">
        <f t="shared" si="96"/>
        <v>129.03195121951219</v>
      </c>
      <c r="AL414" s="262">
        <f t="shared" si="97"/>
        <v>5290.3099999999995</v>
      </c>
      <c r="AM414" s="266">
        <f t="shared" si="98"/>
        <v>43.997468805704102</v>
      </c>
      <c r="AN414" s="264">
        <f t="shared" si="99"/>
        <v>670.07000000000062</v>
      </c>
      <c r="AO414" s="292">
        <f t="shared" si="100"/>
        <v>0.12665987437409162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8">
      <c r="A415" t="str">
        <f t="shared" si="89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90"/>
        <v>111.7197245179063</v>
      </c>
      <c r="Z415" s="278">
        <f t="shared" si="91"/>
        <v>6144.5848484848466</v>
      </c>
      <c r="AA415" s="281"/>
      <c r="AB415" s="285"/>
      <c r="AC415" s="278"/>
      <c r="AD415" s="286"/>
      <c r="AE415" s="285">
        <f t="shared" si="92"/>
        <v>123.09176470588234</v>
      </c>
      <c r="AF415" s="278">
        <f t="shared" si="93"/>
        <v>6277.6799999999994</v>
      </c>
      <c r="AG415" s="279">
        <f t="shared" si="94"/>
        <v>11.37204018797604</v>
      </c>
      <c r="AH415" s="280">
        <f t="shared" si="94"/>
        <v>133.09515151515279</v>
      </c>
      <c r="AI415" s="281">
        <f t="shared" si="95"/>
        <v>2.1660560444205088E-2</v>
      </c>
      <c r="AJ415" s="286"/>
      <c r="AK415" s="280">
        <f t="shared" si="96"/>
        <v>413.20365853658535</v>
      </c>
      <c r="AL415" s="278">
        <f t="shared" si="97"/>
        <v>16941.349999999999</v>
      </c>
      <c r="AM415" s="282">
        <f t="shared" si="98"/>
        <v>11.37204018797604</v>
      </c>
      <c r="AN415" s="280">
        <f t="shared" si="99"/>
        <v>-10663.669999999998</v>
      </c>
      <c r="AO415" s="287">
        <f t="shared" si="100"/>
        <v>-0.62944629560218046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25">
      <c r="A416" t="str">
        <f t="shared" si="89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90"/>
        <v>530.1784810730253</v>
      </c>
      <c r="Z416" s="278">
        <f t="shared" si="91"/>
        <v>29159.816459016391</v>
      </c>
      <c r="AA416" s="277"/>
      <c r="AB416" s="285"/>
      <c r="AC416" s="278"/>
      <c r="AD416" s="286"/>
      <c r="AE416" s="285">
        <f>IF(AF416=0,0,AF416/(J$13+J$13))</f>
        <v>655.92090909090905</v>
      </c>
      <c r="AF416" s="278">
        <f t="shared" si="93"/>
        <v>28860.519999999997</v>
      </c>
      <c r="AG416" s="279">
        <f t="shared" si="94"/>
        <v>125.74242801788375</v>
      </c>
      <c r="AH416" s="280">
        <f t="shared" si="94"/>
        <v>-299.29645901639378</v>
      </c>
      <c r="AI416" s="281">
        <f t="shared" si="95"/>
        <v>-1.0264003528178913E-2</v>
      </c>
      <c r="AJ416" s="286"/>
      <c r="AK416" s="280">
        <f t="shared" si="96"/>
        <v>698.66512195121948</v>
      </c>
      <c r="AL416" s="278">
        <f>IFERROR(SUMIF($C:$C,$V416,Q:Q),0)</f>
        <v>28645.27</v>
      </c>
      <c r="AM416" s="282">
        <f>AE416-Y416</f>
        <v>125.74242801788375</v>
      </c>
      <c r="AN416" s="280">
        <f>AF416-AL416</f>
        <v>215.24999999999636</v>
      </c>
      <c r="AO416" s="292">
        <f t="shared" si="100"/>
        <v>7.5143295908887001E-3</v>
      </c>
      <c r="AP416" s="244"/>
      <c r="AQ416" s="470"/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90"/>
        <v>0</v>
      </c>
      <c r="Z417" s="278">
        <f>IFERROR(SUMIF($C:$C,$V417,F:F),0)</f>
        <v>0</v>
      </c>
      <c r="AA417" s="277"/>
      <c r="AB417" s="285"/>
      <c r="AC417" s="278"/>
      <c r="AD417" s="286"/>
      <c r="AE417" s="285">
        <f>IF(AF417=0,0,AF417/(J$13+J$13))</f>
        <v>0</v>
      </c>
      <c r="AF417" s="278">
        <f>IFERROR(SUMIF($C:$C,$V417,L:L),0)</f>
        <v>0</v>
      </c>
      <c r="AG417" s="279">
        <f t="shared" si="94"/>
        <v>0</v>
      </c>
      <c r="AH417" s="280">
        <f t="shared" si="94"/>
        <v>0</v>
      </c>
      <c r="AI417" s="281">
        <f t="shared" si="95"/>
        <v>0</v>
      </c>
      <c r="AJ417" s="286"/>
      <c r="AK417" s="280">
        <f t="shared" si="96"/>
        <v>0</v>
      </c>
      <c r="AL417" s="278">
        <f>IFERROR(SUMIF($C:$C,$V417,Q:Q),0)</f>
        <v>0</v>
      </c>
      <c r="AM417" s="282">
        <f>AE417-Y417</f>
        <v>0</v>
      </c>
      <c r="AN417" s="280">
        <f>AF417-AL417</f>
        <v>0</v>
      </c>
      <c r="AO417" s="287">
        <f t="shared" si="100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90"/>
        <v>0</v>
      </c>
      <c r="Z418" s="278">
        <f>IFERROR(SUMIF($C:$C,$V418,F:F),0)</f>
        <v>0</v>
      </c>
      <c r="AA418" s="277"/>
      <c r="AB418" s="285"/>
      <c r="AC418" s="278"/>
      <c r="AD418" s="286"/>
      <c r="AE418" s="285">
        <f>IF(AF418=0,0,AF418/(J$13+J$13))</f>
        <v>0</v>
      </c>
      <c r="AF418" s="278">
        <f>IFERROR(SUMIF($C:$C,$V418,L:L),0)</f>
        <v>0</v>
      </c>
      <c r="AG418" s="279">
        <f t="shared" si="94"/>
        <v>0</v>
      </c>
      <c r="AH418" s="280">
        <f t="shared" si="94"/>
        <v>0</v>
      </c>
      <c r="AI418" s="281">
        <f t="shared" si="95"/>
        <v>0</v>
      </c>
      <c r="AJ418" s="286"/>
      <c r="AK418" s="280">
        <f t="shared" si="96"/>
        <v>0</v>
      </c>
      <c r="AL418" s="278">
        <f>IFERROR(SUMIF($C:$C,$V418,Q:Q),0)</f>
        <v>0</v>
      </c>
      <c r="AM418" s="282">
        <f>AE418-Y418</f>
        <v>0</v>
      </c>
      <c r="AN418" s="280">
        <f>AF418-AL418</f>
        <v>0</v>
      </c>
      <c r="AO418" s="287">
        <f t="shared" si="100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9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90"/>
        <v>0</v>
      </c>
      <c r="Z419" s="278">
        <f>IFERROR(SUMIF($C:$C,$V419,F:F),0)</f>
        <v>0</v>
      </c>
      <c r="AA419" s="277"/>
      <c r="AB419" s="285"/>
      <c r="AC419" s="278"/>
      <c r="AD419" s="286"/>
      <c r="AE419" s="285">
        <f>IF(AF419=0,0,AF419/(J$13+J$13))</f>
        <v>0</v>
      </c>
      <c r="AF419" s="278">
        <f>IFERROR(SUMIF($C:$C,$V419,L:L),0)</f>
        <v>0</v>
      </c>
      <c r="AG419" s="279">
        <f t="shared" si="94"/>
        <v>0</v>
      </c>
      <c r="AH419" s="280">
        <f t="shared" si="94"/>
        <v>0</v>
      </c>
      <c r="AI419" s="281">
        <f t="shared" si="95"/>
        <v>0</v>
      </c>
      <c r="AJ419" s="286"/>
      <c r="AK419" s="280">
        <f t="shared" si="96"/>
        <v>0</v>
      </c>
      <c r="AL419" s="278">
        <f>IFERROR(SUMIF($C:$C,$V419,Q:Q),0)</f>
        <v>0</v>
      </c>
      <c r="AM419" s="282">
        <f>AE419-Y419</f>
        <v>0</v>
      </c>
      <c r="AN419" s="280">
        <f>AF419-AL419</f>
        <v>0</v>
      </c>
      <c r="AO419" s="287">
        <f t="shared" si="100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25">
      <c r="A420" t="str">
        <f t="shared" si="89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0.2300849372782417</v>
      </c>
      <c r="Y420" s="295"/>
      <c r="Z420" s="297">
        <f>SUM(Z410:Z419)</f>
        <v>123951.13356549841</v>
      </c>
      <c r="AA420" s="296"/>
      <c r="AB420" s="295"/>
      <c r="AC420" s="297"/>
      <c r="AD420" s="298">
        <f>AF420/AF408</f>
        <v>0.22959251552736767</v>
      </c>
      <c r="AE420" s="295"/>
      <c r="AF420" s="297">
        <f>SUM(AF410:AF419)</f>
        <v>118693.43</v>
      </c>
      <c r="AG420" s="299"/>
      <c r="AH420" s="300">
        <f t="shared" si="94"/>
        <v>-5257.7035654984211</v>
      </c>
      <c r="AI420" s="296">
        <f>AH420/Z420</f>
        <v>-4.2417551290244063E-2</v>
      </c>
      <c r="AJ420" s="298">
        <f>IF($AL$408=0,0,AL420/$AL$408)</f>
        <v>0.27231683232466564</v>
      </c>
      <c r="AK420" s="295"/>
      <c r="AL420" s="297">
        <f>SUM(AL410:AL419)</f>
        <v>125417.23</v>
      </c>
      <c r="AM420" s="301"/>
      <c r="AN420" s="300">
        <f t="shared" ref="AN420:AN432" si="101">AF420-AL420</f>
        <v>-6723.8000000000029</v>
      </c>
      <c r="AO420" s="275">
        <f t="shared" si="100"/>
        <v>-5.3611453545896387E-2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8">
      <c r="A421" t="str">
        <f t="shared" si="89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16917.624521072798</v>
      </c>
      <c r="AA421" s="277"/>
      <c r="AB421" s="277"/>
      <c r="AC421" s="278"/>
      <c r="AD421" s="286"/>
      <c r="AE421" s="285"/>
      <c r="AF421" s="278">
        <v>16065.400000000001</v>
      </c>
      <c r="AG421" s="279"/>
      <c r="AH421" s="280">
        <f t="shared" si="94"/>
        <v>-852.22452107279605</v>
      </c>
      <c r="AI421" s="281">
        <f t="shared" ref="AI421:AI433" si="102">IF(Z421=0,0,AH421/Z421)</f>
        <v>-5.0374951874079893E-2</v>
      </c>
      <c r="AJ421" s="286"/>
      <c r="AK421" s="277"/>
      <c r="AL421" s="278">
        <v>13693.94</v>
      </c>
      <c r="AM421" s="282"/>
      <c r="AN421" s="280">
        <f t="shared" si="101"/>
        <v>2371.4600000000009</v>
      </c>
      <c r="AO421" s="287">
        <f t="shared" si="100"/>
        <v>0.17317587195504003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8">
      <c r="A422" t="str">
        <f t="shared" si="89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103">+SUMIF($C:$C,$V422,F:F)</f>
        <v>35634.355365257616</v>
      </c>
      <c r="AA422" s="277"/>
      <c r="AB422" s="277"/>
      <c r="AC422" s="278"/>
      <c r="AD422" s="286"/>
      <c r="AE422" s="285"/>
      <c r="AF422" s="278">
        <f t="shared" ref="AF422:AF433" si="104">+SUMIF($C:$C,$V422,L:L)</f>
        <v>30485.54</v>
      </c>
      <c r="AG422" s="279"/>
      <c r="AH422" s="280">
        <f t="shared" si="94"/>
        <v>-5148.8153652576148</v>
      </c>
      <c r="AI422" s="281">
        <f t="shared" si="102"/>
        <v>-0.14449020650104277</v>
      </c>
      <c r="AJ422" s="286"/>
      <c r="AK422" s="277"/>
      <c r="AL422" s="278">
        <f t="shared" ref="AL422:AL430" si="105">+SUMIF($C:$C,$V422,Q:Q)</f>
        <v>34371.800000000003</v>
      </c>
      <c r="AM422" s="282"/>
      <c r="AN422" s="280">
        <f t="shared" si="101"/>
        <v>-3886.260000000002</v>
      </c>
      <c r="AO422" s="287">
        <f t="shared" si="100"/>
        <v>-0.11306536172094571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8">
      <c r="A423" t="str">
        <f t="shared" si="89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103"/>
        <v>14815.188599490441</v>
      </c>
      <c r="AA423" s="261"/>
      <c r="AB423" s="261"/>
      <c r="AC423" s="262"/>
      <c r="AD423" s="290"/>
      <c r="AE423" s="289"/>
      <c r="AF423" s="262">
        <f t="shared" si="104"/>
        <v>9082.89</v>
      </c>
      <c r="AG423" s="263"/>
      <c r="AH423" s="264">
        <f t="shared" si="94"/>
        <v>-5732.2985994904411</v>
      </c>
      <c r="AI423" s="291">
        <f t="shared" si="102"/>
        <v>-0.38692039328393024</v>
      </c>
      <c r="AJ423" s="290"/>
      <c r="AK423" s="261"/>
      <c r="AL423" s="262">
        <f t="shared" si="105"/>
        <v>19836.55</v>
      </c>
      <c r="AM423" s="266"/>
      <c r="AN423" s="264">
        <f t="shared" si="101"/>
        <v>-10753.66</v>
      </c>
      <c r="AO423" s="267">
        <f t="shared" si="100"/>
        <v>-0.54211342194081125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8">
      <c r="A424" t="str">
        <f t="shared" si="89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103"/>
        <v>32749.817407196802</v>
      </c>
      <c r="AA424" s="277"/>
      <c r="AB424" s="277"/>
      <c r="AC424" s="278"/>
      <c r="AD424" s="286"/>
      <c r="AE424" s="285"/>
      <c r="AF424" s="278">
        <f t="shared" si="104"/>
        <v>31349.39</v>
      </c>
      <c r="AG424" s="279"/>
      <c r="AH424" s="280">
        <f t="shared" si="94"/>
        <v>-1400.427407196803</v>
      </c>
      <c r="AI424" s="281">
        <f t="shared" si="102"/>
        <v>-4.2761380614264363E-2</v>
      </c>
      <c r="AJ424" s="286"/>
      <c r="AK424" s="277"/>
      <c r="AL424" s="278">
        <f t="shared" si="105"/>
        <v>26611.56</v>
      </c>
      <c r="AM424" s="282"/>
      <c r="AN424" s="280">
        <f t="shared" si="101"/>
        <v>4737.8299999999981</v>
      </c>
      <c r="AO424" s="287">
        <f t="shared" si="100"/>
        <v>0.17803653750475348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8">
      <c r="A425" t="str">
        <f t="shared" si="89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103"/>
        <v>15342.486590038312</v>
      </c>
      <c r="AA425" s="277"/>
      <c r="AB425" s="277"/>
      <c r="AC425" s="278"/>
      <c r="AD425" s="286"/>
      <c r="AE425" s="285"/>
      <c r="AF425" s="278">
        <f t="shared" si="104"/>
        <v>10652.78</v>
      </c>
      <c r="AG425" s="279"/>
      <c r="AH425" s="280">
        <f t="shared" si="94"/>
        <v>-4689.7065900383113</v>
      </c>
      <c r="AI425" s="281">
        <f t="shared" si="102"/>
        <v>-0.30566796082997916</v>
      </c>
      <c r="AJ425" s="286"/>
      <c r="AK425" s="277"/>
      <c r="AL425" s="278">
        <f t="shared" si="105"/>
        <v>12665.43</v>
      </c>
      <c r="AM425" s="282"/>
      <c r="AN425" s="280">
        <f t="shared" si="101"/>
        <v>-2012.6499999999996</v>
      </c>
      <c r="AO425" s="287">
        <f t="shared" si="100"/>
        <v>-0.15890893558292135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9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103"/>
        <v>0</v>
      </c>
      <c r="AA426" s="277"/>
      <c r="AB426" s="277"/>
      <c r="AC426" s="280"/>
      <c r="AD426" s="286"/>
      <c r="AE426" s="285"/>
      <c r="AF426" s="278">
        <f t="shared" si="104"/>
        <v>0</v>
      </c>
      <c r="AG426" s="279"/>
      <c r="AH426" s="280">
        <f t="shared" ref="AH426:AH458" si="106">AF426-Z426</f>
        <v>0</v>
      </c>
      <c r="AI426" s="281">
        <f t="shared" si="102"/>
        <v>0</v>
      </c>
      <c r="AJ426" s="286"/>
      <c r="AK426" s="277"/>
      <c r="AL426" s="278">
        <f t="shared" si="105"/>
        <v>0</v>
      </c>
      <c r="AM426" s="282"/>
      <c r="AN426" s="280">
        <f t="shared" si="101"/>
        <v>0</v>
      </c>
      <c r="AO426" s="287">
        <f t="shared" si="100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9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103"/>
        <v>0</v>
      </c>
      <c r="AA427" s="277"/>
      <c r="AB427" s="277"/>
      <c r="AC427" s="280"/>
      <c r="AD427" s="286"/>
      <c r="AE427" s="285"/>
      <c r="AF427" s="278">
        <f t="shared" si="104"/>
        <v>0</v>
      </c>
      <c r="AG427" s="279"/>
      <c r="AH427" s="280">
        <f t="shared" si="106"/>
        <v>0</v>
      </c>
      <c r="AI427" s="281">
        <f t="shared" si="102"/>
        <v>0</v>
      </c>
      <c r="AJ427" s="286"/>
      <c r="AK427" s="277"/>
      <c r="AL427" s="278">
        <f t="shared" si="105"/>
        <v>0</v>
      </c>
      <c r="AM427" s="282"/>
      <c r="AN427" s="280">
        <f t="shared" si="101"/>
        <v>0</v>
      </c>
      <c r="AO427" s="287">
        <f t="shared" si="100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9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103"/>
        <v>0</v>
      </c>
      <c r="AA428" s="277"/>
      <c r="AB428" s="277"/>
      <c r="AC428" s="280"/>
      <c r="AD428" s="286"/>
      <c r="AE428" s="285"/>
      <c r="AF428" s="278">
        <f t="shared" si="104"/>
        <v>0</v>
      </c>
      <c r="AG428" s="279"/>
      <c r="AH428" s="280">
        <f t="shared" si="106"/>
        <v>0</v>
      </c>
      <c r="AI428" s="281">
        <f t="shared" si="102"/>
        <v>0</v>
      </c>
      <c r="AJ428" s="286"/>
      <c r="AK428" s="277"/>
      <c r="AL428" s="278">
        <f t="shared" si="105"/>
        <v>0</v>
      </c>
      <c r="AM428" s="282"/>
      <c r="AN428" s="280">
        <f t="shared" si="101"/>
        <v>0</v>
      </c>
      <c r="AO428" s="287">
        <f t="shared" si="100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8">
      <c r="A429" t="str">
        <f t="shared" si="89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103"/>
        <v>33371.784770715487</v>
      </c>
      <c r="AA429" s="261"/>
      <c r="AB429" s="261"/>
      <c r="AC429" s="262"/>
      <c r="AD429" s="290"/>
      <c r="AE429" s="289"/>
      <c r="AF429" s="262">
        <f t="shared" si="104"/>
        <v>27843.86</v>
      </c>
      <c r="AG429" s="263"/>
      <c r="AH429" s="264">
        <f t="shared" si="106"/>
        <v>-5527.9247707154864</v>
      </c>
      <c r="AI429" s="291">
        <f t="shared" si="102"/>
        <v>-0.16564666255328267</v>
      </c>
      <c r="AJ429" s="290"/>
      <c r="AK429" s="261"/>
      <c r="AL429" s="262">
        <f t="shared" si="105"/>
        <v>30958.800000000003</v>
      </c>
      <c r="AM429" s="266"/>
      <c r="AN429" s="264">
        <f t="shared" si="101"/>
        <v>-3114.9400000000023</v>
      </c>
      <c r="AO429" s="292">
        <f t="shared" si="100"/>
        <v>-0.10061565693760746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8">
      <c r="A430" t="str">
        <f t="shared" si="89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103"/>
        <v>34681.299490042176</v>
      </c>
      <c r="AA430" s="277"/>
      <c r="AB430" s="277"/>
      <c r="AC430" s="278"/>
      <c r="AD430" s="286"/>
      <c r="AE430" s="285"/>
      <c r="AF430" s="278">
        <f t="shared" si="104"/>
        <v>30954.920000000002</v>
      </c>
      <c r="AG430" s="279"/>
      <c r="AH430" s="280">
        <f t="shared" si="106"/>
        <v>-3726.3794900421744</v>
      </c>
      <c r="AI430" s="281">
        <f>IF(Z430=0,0,AH430/Z430)</f>
        <v>-0.10744636287668824</v>
      </c>
      <c r="AJ430" s="286"/>
      <c r="AK430" s="277"/>
      <c r="AL430" s="278">
        <f t="shared" si="105"/>
        <v>34468.729999999996</v>
      </c>
      <c r="AM430" s="282"/>
      <c r="AN430" s="280">
        <f t="shared" si="101"/>
        <v>-3513.809999999994</v>
      </c>
      <c r="AO430" s="287">
        <f t="shared" si="100"/>
        <v>-0.10194196304882699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8">
      <c r="A431" t="str">
        <f t="shared" si="89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103"/>
        <v>23341.737519184644</v>
      </c>
      <c r="AA431" s="277"/>
      <c r="AB431" s="277"/>
      <c r="AC431" s="278"/>
      <c r="AD431" s="286"/>
      <c r="AE431" s="285"/>
      <c r="AF431" s="278">
        <f t="shared" si="104"/>
        <v>15565.490000000002</v>
      </c>
      <c r="AG431" s="279"/>
      <c r="AH431" s="280">
        <f t="shared" si="106"/>
        <v>-7776.2475191846424</v>
      </c>
      <c r="AI431" s="281">
        <f t="shared" si="102"/>
        <v>-0.33314775786478285</v>
      </c>
      <c r="AJ431" s="286"/>
      <c r="AK431" s="277"/>
      <c r="AL431" s="278">
        <f>IFERROR(SUMIF($C:$C,$V431,Q:Q),0)</f>
        <v>14449.589999999998</v>
      </c>
      <c r="AM431" s="282"/>
      <c r="AN431" s="280">
        <f t="shared" si="101"/>
        <v>1115.9000000000033</v>
      </c>
      <c r="AO431" s="287">
        <f t="shared" si="100"/>
        <v>7.7227104713697994E-2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8">
      <c r="A432" t="str">
        <f t="shared" si="89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103"/>
        <v>6294.0136111558022</v>
      </c>
      <c r="AA432" s="277"/>
      <c r="AB432" s="277"/>
      <c r="AC432" s="278"/>
      <c r="AD432" s="286"/>
      <c r="AE432" s="285"/>
      <c r="AF432" s="278">
        <f t="shared" si="104"/>
        <v>4638.0499999999993</v>
      </c>
      <c r="AG432" s="279"/>
      <c r="AH432" s="280">
        <f t="shared" si="106"/>
        <v>-1655.9636111558029</v>
      </c>
      <c r="AI432" s="304">
        <f t="shared" si="102"/>
        <v>-0.26310137115380494</v>
      </c>
      <c r="AJ432" s="286"/>
      <c r="AK432" s="277"/>
      <c r="AL432" s="278">
        <f>IFERROR(SUMIF($C:$C,$V432,Q:Q),0)</f>
        <v>8122.6</v>
      </c>
      <c r="AM432" s="282"/>
      <c r="AN432" s="280">
        <f t="shared" si="101"/>
        <v>-3484.5500000000011</v>
      </c>
      <c r="AO432" s="292">
        <f t="shared" si="100"/>
        <v>-0.42899441065668642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9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104"/>
        <v>0</v>
      </c>
      <c r="AG433" s="279"/>
      <c r="AH433" s="280">
        <f t="shared" si="106"/>
        <v>0</v>
      </c>
      <c r="AI433" s="281">
        <f t="shared" si="102"/>
        <v>0</v>
      </c>
      <c r="AJ433" s="286"/>
      <c r="AK433" s="277"/>
      <c r="AL433" s="278">
        <f>IFERROR(SUMIF($C:$C,$V433,Q:Q),0)</f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8">
      <c r="A434" t="str">
        <f t="shared" si="89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0.39565765667058744</v>
      </c>
      <c r="Y434" s="295"/>
      <c r="Z434" s="297">
        <f>SUM(Z421:Z433)</f>
        <v>213148.3078741541</v>
      </c>
      <c r="AA434" s="296"/>
      <c r="AB434" s="295"/>
      <c r="AC434" s="297"/>
      <c r="AD434" s="298">
        <f>AF434/AF408</f>
        <v>0.3416771781498617</v>
      </c>
      <c r="AE434" s="305"/>
      <c r="AF434" s="297">
        <f>SUM(AF421:AF433)</f>
        <v>176638.31999999998</v>
      </c>
      <c r="AG434" s="306"/>
      <c r="AH434" s="300">
        <f t="shared" si="106"/>
        <v>-36509.987874154118</v>
      </c>
      <c r="AI434" s="296">
        <f>AH434/Z434</f>
        <v>-0.17128912839275343</v>
      </c>
      <c r="AJ434" s="298">
        <f>IF($AL$408=0,0,AL434/$AL$408)</f>
        <v>0.42378967400488687</v>
      </c>
      <c r="AK434" s="295"/>
      <c r="AL434" s="297">
        <f>SUM(AL421:AL433)</f>
        <v>195179</v>
      </c>
      <c r="AM434" s="307"/>
      <c r="AN434" s="300">
        <f t="shared" ref="AN434:AN448" si="107">AF434-AL434</f>
        <v>-18540.680000000022</v>
      </c>
      <c r="AO434" s="275">
        <f>IF(AL434=0,0,AN434/AL434)</f>
        <v>-9.4993211359828786E-2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8">
      <c r="A435" t="str">
        <f t="shared" si="89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8">+SUMIF($C:$C,$V435,F:F)</f>
        <v>2790.7198738235238</v>
      </c>
      <c r="AA435" s="310"/>
      <c r="AB435" s="310"/>
      <c r="AC435" s="311"/>
      <c r="AD435" s="312"/>
      <c r="AE435" s="313"/>
      <c r="AF435" s="311">
        <f t="shared" ref="AF435:AF452" si="109">+SUMIF($C:$C,$V435,L:L)</f>
        <v>3455.5</v>
      </c>
      <c r="AG435" s="312"/>
      <c r="AH435" s="314">
        <f t="shared" si="106"/>
        <v>664.78012617647619</v>
      </c>
      <c r="AI435" s="315">
        <f t="shared" ref="AI435:AI452" si="110">IF(Z435=0,0,AH435/Z435)</f>
        <v>0.23821098362899132</v>
      </c>
      <c r="AJ435" s="312"/>
      <c r="AK435" s="310"/>
      <c r="AL435" s="311">
        <f t="shared" ref="AL435:AL449" si="111">+SUMIF($C:$C,$V435,Q:Q)</f>
        <v>6637.49</v>
      </c>
      <c r="AM435" s="316"/>
      <c r="AN435" s="314">
        <f t="shared" si="107"/>
        <v>-3181.99</v>
      </c>
      <c r="AO435" s="283">
        <f t="shared" ref="AO435:AO448" si="112">IF(AL435=0,0,AN435/AL435)</f>
        <v>-0.4793965791285561</v>
      </c>
      <c r="AP435" s="244"/>
      <c r="AQ435" s="244">
        <f>4555-1099</f>
        <v>3456</v>
      </c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8">
      <c r="A436" t="str">
        <f t="shared" si="89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8"/>
        <v>4375</v>
      </c>
      <c r="AA436" s="277"/>
      <c r="AB436" s="277"/>
      <c r="AC436" s="278"/>
      <c r="AD436" s="286"/>
      <c r="AE436" s="285"/>
      <c r="AF436" s="278">
        <f t="shared" si="109"/>
        <v>13241.36</v>
      </c>
      <c r="AG436" s="279"/>
      <c r="AH436" s="280">
        <f t="shared" si="106"/>
        <v>8866.36</v>
      </c>
      <c r="AI436" s="281">
        <f t="shared" si="110"/>
        <v>2.0265965714285716</v>
      </c>
      <c r="AJ436" s="286"/>
      <c r="AK436" s="277"/>
      <c r="AL436" s="278">
        <f t="shared" si="111"/>
        <v>6808.14</v>
      </c>
      <c r="AM436" s="282"/>
      <c r="AN436" s="280">
        <f t="shared" si="107"/>
        <v>6433.22</v>
      </c>
      <c r="AO436" s="287">
        <f t="shared" si="112"/>
        <v>0.94493062716101606</v>
      </c>
      <c r="AP436" s="244"/>
      <c r="AQ436" s="244">
        <v>13241</v>
      </c>
      <c r="AR436" s="244" t="s">
        <v>276</v>
      </c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8">
      <c r="A437" t="str">
        <f t="shared" si="89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8"/>
        <v>15077</v>
      </c>
      <c r="AA437" s="261"/>
      <c r="AB437" s="261"/>
      <c r="AC437" s="262"/>
      <c r="AD437" s="290"/>
      <c r="AE437" s="289"/>
      <c r="AF437" s="262">
        <f t="shared" si="109"/>
        <v>13722.380000000001</v>
      </c>
      <c r="AG437" s="263"/>
      <c r="AH437" s="264">
        <f t="shared" si="106"/>
        <v>-1354.619999999999</v>
      </c>
      <c r="AI437" s="291">
        <f t="shared" si="110"/>
        <v>-8.9846786495987194E-2</v>
      </c>
      <c r="AJ437" s="290"/>
      <c r="AK437" s="261"/>
      <c r="AL437" s="262">
        <f t="shared" si="111"/>
        <v>19032.779999999992</v>
      </c>
      <c r="AM437" s="266"/>
      <c r="AN437" s="264">
        <f t="shared" si="107"/>
        <v>-5310.3999999999905</v>
      </c>
      <c r="AO437" s="267">
        <f t="shared" si="112"/>
        <v>-0.2790133653622851</v>
      </c>
      <c r="AP437" s="244"/>
      <c r="AQ437" s="480">
        <f>13222+500</f>
        <v>13722</v>
      </c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8">
      <c r="A438" t="str">
        <f t="shared" si="89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8"/>
        <v>22567.753333333334</v>
      </c>
      <c r="AA438" s="277"/>
      <c r="AB438" s="277"/>
      <c r="AC438" s="278"/>
      <c r="AD438" s="286"/>
      <c r="AE438" s="285"/>
      <c r="AF438" s="278">
        <f t="shared" si="109"/>
        <v>23009.31</v>
      </c>
      <c r="AG438" s="279"/>
      <c r="AH438" s="280">
        <f>AF438-Z438</f>
        <v>441.5566666666673</v>
      </c>
      <c r="AI438" s="281">
        <f t="shared" si="110"/>
        <v>1.9565822975141846E-2</v>
      </c>
      <c r="AJ438" s="286"/>
      <c r="AK438" s="277"/>
      <c r="AL438" s="278">
        <f t="shared" si="111"/>
        <v>14106.189999999999</v>
      </c>
      <c r="AM438" s="282"/>
      <c r="AN438" s="280">
        <f t="shared" si="107"/>
        <v>8903.1200000000026</v>
      </c>
      <c r="AO438" s="287">
        <f t="shared" si="112"/>
        <v>0.63114987108496368</v>
      </c>
      <c r="AP438" s="480"/>
      <c r="AQ438" s="244">
        <f>23458-1819+370+1000</f>
        <v>23009</v>
      </c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8">
      <c r="A439" t="str">
        <f t="shared" si="89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8"/>
        <v>4158.333333333333</v>
      </c>
      <c r="AA439" s="277"/>
      <c r="AB439" s="277"/>
      <c r="AC439" s="278"/>
      <c r="AD439" s="286"/>
      <c r="AE439" s="285"/>
      <c r="AF439" s="278">
        <f t="shared" si="109"/>
        <v>5521.13</v>
      </c>
      <c r="AG439" s="279"/>
      <c r="AH439" s="280">
        <f t="shared" si="106"/>
        <v>1362.7966666666671</v>
      </c>
      <c r="AI439" s="281">
        <f t="shared" si="110"/>
        <v>0.32772665330661332</v>
      </c>
      <c r="AJ439" s="286"/>
      <c r="AK439" s="277"/>
      <c r="AL439" s="278">
        <f t="shared" si="111"/>
        <v>1040.1300000000001</v>
      </c>
      <c r="AM439" s="282"/>
      <c r="AN439" s="280">
        <f t="shared" si="107"/>
        <v>4481</v>
      </c>
      <c r="AO439" s="287">
        <f t="shared" si="112"/>
        <v>4.3081153317373788</v>
      </c>
      <c r="AP439" s="480"/>
      <c r="AQ439" s="244">
        <v>5521</v>
      </c>
      <c r="AR439" s="244" t="s">
        <v>271</v>
      </c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8">
      <c r="A440" t="str">
        <f t="shared" si="89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8"/>
        <v>9088.7133333333331</v>
      </c>
      <c r="AA440" s="277"/>
      <c r="AB440" s="277"/>
      <c r="AC440" s="278"/>
      <c r="AD440" s="286"/>
      <c r="AE440" s="285"/>
      <c r="AF440" s="278">
        <f t="shared" si="109"/>
        <v>21205.599999999999</v>
      </c>
      <c r="AG440" s="279"/>
      <c r="AH440" s="280">
        <f t="shared" si="106"/>
        <v>12116.886666666665</v>
      </c>
      <c r="AI440" s="281">
        <f t="shared" si="110"/>
        <v>1.3331795406317137</v>
      </c>
      <c r="AJ440" s="286"/>
      <c r="AK440" s="277"/>
      <c r="AL440" s="278">
        <f t="shared" si="111"/>
        <v>6093.1</v>
      </c>
      <c r="AM440" s="282"/>
      <c r="AN440" s="280">
        <f t="shared" si="107"/>
        <v>15112.499999999998</v>
      </c>
      <c r="AO440" s="287">
        <f t="shared" si="112"/>
        <v>2.4802645615532319</v>
      </c>
      <c r="AP440" s="244"/>
      <c r="AQ440" s="480">
        <v>21206</v>
      </c>
      <c r="AR440" s="480" t="s">
        <v>269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8"/>
        <v>0</v>
      </c>
      <c r="AA441" s="318"/>
      <c r="AB441" s="318"/>
      <c r="AC441" s="319"/>
      <c r="AD441" s="320"/>
      <c r="AE441" s="321"/>
      <c r="AF441" s="498">
        <f t="shared" si="109"/>
        <v>0</v>
      </c>
      <c r="AG441" s="322"/>
      <c r="AH441" s="323">
        <f t="shared" si="106"/>
        <v>0</v>
      </c>
      <c r="AI441" s="324">
        <f t="shared" si="110"/>
        <v>0</v>
      </c>
      <c r="AJ441" s="320"/>
      <c r="AK441" s="318"/>
      <c r="AL441" s="319">
        <f t="shared" si="111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8">
      <c r="A442" t="str">
        <f t="shared" si="89"/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8"/>
        <v>3353.75</v>
      </c>
      <c r="AA442" s="277"/>
      <c r="AB442" s="285"/>
      <c r="AC442" s="278"/>
      <c r="AD442" s="286"/>
      <c r="AE442" s="285"/>
      <c r="AF442" s="278">
        <f t="shared" si="109"/>
        <v>5430.17</v>
      </c>
      <c r="AG442" s="279"/>
      <c r="AH442" s="280">
        <f t="shared" si="106"/>
        <v>2076.42</v>
      </c>
      <c r="AI442" s="281">
        <f t="shared" si="110"/>
        <v>0.61913380544166985</v>
      </c>
      <c r="AJ442" s="286"/>
      <c r="AK442" s="277"/>
      <c r="AL442" s="278">
        <f t="shared" si="111"/>
        <v>3786.36</v>
      </c>
      <c r="AM442" s="282"/>
      <c r="AN442" s="280">
        <f t="shared" si="107"/>
        <v>1643.81</v>
      </c>
      <c r="AO442" s="287">
        <f t="shared" si="112"/>
        <v>0.43413991273941199</v>
      </c>
      <c r="AP442" s="244"/>
      <c r="AQ442" s="244">
        <f>6914-1484</f>
        <v>5430</v>
      </c>
      <c r="AR442" s="480" t="s">
        <v>270</v>
      </c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8">
      <c r="A443" t="str">
        <f t="shared" si="8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8"/>
        <v>1400</v>
      </c>
      <c r="AA443" s="277"/>
      <c r="AB443" s="277"/>
      <c r="AC443" s="278"/>
      <c r="AD443" s="286"/>
      <c r="AE443" s="285"/>
      <c r="AF443" s="278">
        <f t="shared" si="109"/>
        <v>1444.57</v>
      </c>
      <c r="AG443" s="279"/>
      <c r="AH443" s="280">
        <f t="shared" si="106"/>
        <v>44.569999999999936</v>
      </c>
      <c r="AI443" s="304">
        <f t="shared" si="110"/>
        <v>3.1835714285714238E-2</v>
      </c>
      <c r="AJ443" s="286"/>
      <c r="AK443" s="277"/>
      <c r="AL443" s="278">
        <f t="shared" si="111"/>
        <v>478.84</v>
      </c>
      <c r="AM443" s="282"/>
      <c r="AN443" s="280">
        <f t="shared" si="107"/>
        <v>965.73</v>
      </c>
      <c r="AO443" s="287">
        <f t="shared" si="112"/>
        <v>2.0168114610308248</v>
      </c>
      <c r="AP443" s="244"/>
      <c r="AQ443" s="244">
        <f>1345+100</f>
        <v>1445</v>
      </c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8">
      <c r="A444" t="str">
        <f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8"/>
        <v>1450</v>
      </c>
      <c r="AA444" s="277"/>
      <c r="AB444" s="277"/>
      <c r="AC444" s="278"/>
      <c r="AD444" s="286"/>
      <c r="AE444" s="285"/>
      <c r="AF444" s="278">
        <f t="shared" si="109"/>
        <v>1320.1000000000001</v>
      </c>
      <c r="AG444" s="279"/>
      <c r="AH444" s="280">
        <f t="shared" si="106"/>
        <v>-129.89999999999986</v>
      </c>
      <c r="AI444" s="281">
        <f t="shared" si="110"/>
        <v>-8.9586206896551626E-2</v>
      </c>
      <c r="AJ444" s="286"/>
      <c r="AK444" s="277"/>
      <c r="AL444" s="278">
        <f t="shared" si="111"/>
        <v>2322.5</v>
      </c>
      <c r="AM444" s="282"/>
      <c r="AN444" s="280">
        <f t="shared" si="107"/>
        <v>-1002.3999999999999</v>
      </c>
      <c r="AO444" s="287">
        <f t="shared" si="112"/>
        <v>-0.43160387513455323</v>
      </c>
      <c r="AP444" s="244"/>
      <c r="AQ444" s="244">
        <v>1320</v>
      </c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8">
      <c r="A445" t="str">
        <f t="shared" si="8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8"/>
        <v>449</v>
      </c>
      <c r="AA445" s="277"/>
      <c r="AB445" s="277"/>
      <c r="AC445" s="278"/>
      <c r="AD445" s="286"/>
      <c r="AE445" s="285"/>
      <c r="AF445" s="278">
        <f t="shared" si="109"/>
        <v>534.33999999999992</v>
      </c>
      <c r="AG445" s="279"/>
      <c r="AH445" s="280">
        <f t="shared" si="106"/>
        <v>85.339999999999918</v>
      </c>
      <c r="AI445" s="304">
        <f t="shared" si="110"/>
        <v>0.19006681514476598</v>
      </c>
      <c r="AJ445" s="286"/>
      <c r="AK445" s="277"/>
      <c r="AL445" s="278">
        <f t="shared" si="111"/>
        <v>456.3</v>
      </c>
      <c r="AM445" s="282"/>
      <c r="AN445" s="280">
        <f t="shared" si="107"/>
        <v>78.039999999999907</v>
      </c>
      <c r="AO445" s="287">
        <f t="shared" si="112"/>
        <v>0.17102783256629389</v>
      </c>
      <c r="AP445" s="244"/>
      <c r="AQ445" s="244">
        <v>534</v>
      </c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8">
      <c r="A446" t="str">
        <f t="shared" si="8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8"/>
        <v>2825</v>
      </c>
      <c r="AA446" s="277"/>
      <c r="AB446" s="277"/>
      <c r="AC446" s="278"/>
      <c r="AD446" s="286"/>
      <c r="AE446" s="285"/>
      <c r="AF446" s="278">
        <f t="shared" si="109"/>
        <v>2453.16</v>
      </c>
      <c r="AG446" s="279"/>
      <c r="AH446" s="280">
        <f t="shared" si="106"/>
        <v>-371.84000000000015</v>
      </c>
      <c r="AI446" s="281">
        <f t="shared" si="110"/>
        <v>-0.13162477876106199</v>
      </c>
      <c r="AJ446" s="286"/>
      <c r="AK446" s="277"/>
      <c r="AL446" s="278">
        <f t="shared" si="111"/>
        <v>1029.77</v>
      </c>
      <c r="AM446" s="282"/>
      <c r="AN446" s="280">
        <f t="shared" si="107"/>
        <v>1423.3899999999999</v>
      </c>
      <c r="AO446" s="287">
        <f t="shared" si="112"/>
        <v>1.3822406945240198</v>
      </c>
      <c r="AP446" s="244"/>
      <c r="AQ446" s="244">
        <f>3953-1500</f>
        <v>2453</v>
      </c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8">
      <c r="A447" t="str">
        <f t="shared" si="8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8"/>
        <v>1554.9999999999998</v>
      </c>
      <c r="AA447" s="277"/>
      <c r="AB447" s="285"/>
      <c r="AC447" s="278"/>
      <c r="AD447" s="286"/>
      <c r="AE447" s="285"/>
      <c r="AF447" s="278">
        <f t="shared" si="109"/>
        <v>1891.49</v>
      </c>
      <c r="AG447" s="279"/>
      <c r="AH447" s="280">
        <f t="shared" si="106"/>
        <v>336.49000000000024</v>
      </c>
      <c r="AI447" s="304">
        <f t="shared" si="110"/>
        <v>0.21639228295819954</v>
      </c>
      <c r="AJ447" s="286"/>
      <c r="AK447" s="277"/>
      <c r="AL447" s="278">
        <f t="shared" si="111"/>
        <v>5061.0600000000004</v>
      </c>
      <c r="AM447" s="282"/>
      <c r="AN447" s="280">
        <f t="shared" si="107"/>
        <v>-3169.5700000000006</v>
      </c>
      <c r="AO447" s="287">
        <f t="shared" si="112"/>
        <v>-0.62626603913014278</v>
      </c>
      <c r="AP447" s="244"/>
      <c r="AQ447" s="244">
        <f>1357+534</f>
        <v>1891</v>
      </c>
      <c r="AR447" s="480" t="s">
        <v>272</v>
      </c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8">
      <c r="A448" t="str">
        <f t="shared" si="8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8"/>
        <v>2370.6533333333336</v>
      </c>
      <c r="AA448" s="277"/>
      <c r="AB448" s="285"/>
      <c r="AC448" s="278"/>
      <c r="AD448" s="286"/>
      <c r="AE448" s="285"/>
      <c r="AF448" s="278">
        <f t="shared" si="109"/>
        <v>784.71</v>
      </c>
      <c r="AG448" s="279"/>
      <c r="AH448" s="280">
        <f t="shared" si="106"/>
        <v>-1585.9433333333336</v>
      </c>
      <c r="AI448" s="281">
        <f t="shared" si="110"/>
        <v>-0.66898998307077095</v>
      </c>
      <c r="AJ448" s="286"/>
      <c r="AK448" s="277"/>
      <c r="AL448" s="278">
        <f t="shared" si="111"/>
        <v>2237.08</v>
      </c>
      <c r="AM448" s="282"/>
      <c r="AN448" s="280">
        <f t="shared" si="107"/>
        <v>-1452.37</v>
      </c>
      <c r="AO448" s="287">
        <f t="shared" si="112"/>
        <v>-0.6492257764585978</v>
      </c>
      <c r="AP448" s="244"/>
      <c r="AQ448" s="244">
        <v>785</v>
      </c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8">
      <c r="A449" t="str">
        <f t="shared" si="8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1.8106197632923383E-3</v>
      </c>
      <c r="Z449" s="278">
        <f t="shared" si="108"/>
        <v>9945.5593580182776</v>
      </c>
      <c r="AA449" s="277"/>
      <c r="AB449" s="285"/>
      <c r="AC449" s="278"/>
      <c r="AD449" s="286"/>
      <c r="AE449" s="285"/>
      <c r="AF449" s="278">
        <f t="shared" si="109"/>
        <v>7249.46</v>
      </c>
      <c r="AG449" s="279"/>
      <c r="AH449" s="280">
        <f t="shared" si="106"/>
        <v>-2696.0993580182776</v>
      </c>
      <c r="AI449" s="281">
        <f t="shared" si="110"/>
        <v>-0.27108574399534774</v>
      </c>
      <c r="AJ449" s="286"/>
      <c r="AK449" s="277"/>
      <c r="AL449" s="278">
        <f t="shared" si="111"/>
        <v>5853.7000000000007</v>
      </c>
      <c r="AM449" s="282"/>
      <c r="AN449" s="280">
        <f>AF449-AL449</f>
        <v>1395.7599999999993</v>
      </c>
      <c r="AO449" s="287">
        <f>IF(AL449=0,0,AN449/AL449)</f>
        <v>0.23844064437876883</v>
      </c>
      <c r="AP449" s="244"/>
      <c r="AQ449" s="244">
        <v>7249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8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>IFERROR(SUMIF($C:$C,$V450,F:F),0)</f>
        <v>0</v>
      </c>
      <c r="AA450" s="277"/>
      <c r="AB450" s="277"/>
      <c r="AC450" s="280"/>
      <c r="AD450" s="286"/>
      <c r="AE450" s="285"/>
      <c r="AF450" s="278">
        <f t="shared" si="109"/>
        <v>0</v>
      </c>
      <c r="AG450" s="279"/>
      <c r="AH450" s="280">
        <f t="shared" si="106"/>
        <v>0</v>
      </c>
      <c r="AI450" s="281">
        <f t="shared" si="110"/>
        <v>0</v>
      </c>
      <c r="AJ450" s="286"/>
      <c r="AK450" s="277"/>
      <c r="AL450" s="278">
        <f>IFERROR(SUMIF($C:$C,$V450,Q:Q),0)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8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IFERROR(SUMIF($C:$C,$V451,F:F),0)</f>
        <v>0</v>
      </c>
      <c r="AA451" s="277"/>
      <c r="AB451" s="277"/>
      <c r="AC451" s="280"/>
      <c r="AD451" s="286"/>
      <c r="AE451" s="285"/>
      <c r="AF451" s="278">
        <f t="shared" si="109"/>
        <v>0</v>
      </c>
      <c r="AG451" s="279"/>
      <c r="AH451" s="280">
        <f t="shared" si="106"/>
        <v>0</v>
      </c>
      <c r="AI451" s="281">
        <f t="shared" si="110"/>
        <v>0</v>
      </c>
      <c r="AJ451" s="286"/>
      <c r="AK451" s="277"/>
      <c r="AL451" s="278">
        <f>IFERROR(SUMIF($C:$C,$V451,Q:Q),0)</f>
        <v>0</v>
      </c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8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IFERROR(SUMIF($C:$C,$V452,F:F),0)</f>
        <v>0</v>
      </c>
      <c r="AA452" s="277"/>
      <c r="AB452" s="277"/>
      <c r="AC452" s="280"/>
      <c r="AD452" s="286"/>
      <c r="AE452" s="285"/>
      <c r="AF452" s="278">
        <f t="shared" si="109"/>
        <v>0</v>
      </c>
      <c r="AG452" s="279"/>
      <c r="AH452" s="280">
        <f t="shared" si="106"/>
        <v>0</v>
      </c>
      <c r="AI452" s="281">
        <f t="shared" si="110"/>
        <v>0</v>
      </c>
      <c r="AJ452" s="286"/>
      <c r="AK452" s="277"/>
      <c r="AL452" s="278">
        <f>IFERROR(SUMIF($C:$C,$V452,Q:Q),0)</f>
        <v>0</v>
      </c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8">
      <c r="A453" t="str">
        <f t="shared" si="8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0.15111120726582994</v>
      </c>
      <c r="Y453" s="295"/>
      <c r="Z453" s="297">
        <f>+SUM(Z435:Z452)</f>
        <v>81406.482565175145</v>
      </c>
      <c r="AA453" s="296"/>
      <c r="AB453" s="295"/>
      <c r="AC453" s="297"/>
      <c r="AD453" s="298">
        <f>AF453/AF408</f>
        <v>0.19587681631369308</v>
      </c>
      <c r="AE453" s="295"/>
      <c r="AF453" s="297">
        <f>+SUM(AF435:AF452)</f>
        <v>101263.28000000003</v>
      </c>
      <c r="AG453" s="306"/>
      <c r="AH453" s="300">
        <f>+SUM(AH435:AH452)</f>
        <v>19856.797434824868</v>
      </c>
      <c r="AI453" s="296">
        <f>AH453/Z453</f>
        <v>0.24392157490562552</v>
      </c>
      <c r="AJ453" s="298">
        <f>IF($AL$408=0,0,AL453/$AL$408)</f>
        <v>0.16272373568060494</v>
      </c>
      <c r="AK453" s="296"/>
      <c r="AL453" s="297">
        <f>+SUM(AL435:AL452)</f>
        <v>74943.439999999988</v>
      </c>
      <c r="AM453" s="307"/>
      <c r="AN453" s="300">
        <f>+SUM(AN435:AN452)</f>
        <v>26319.840000000011</v>
      </c>
      <c r="AO453" s="329">
        <f>IF(AL453=0,0,AN453/AL453)</f>
        <v>0.35119604864681975</v>
      </c>
      <c r="AP453" s="244"/>
      <c r="AQ453" s="308">
        <f>SUM(AQ435:AQ449)-AF453</f>
        <v>-1.2800000000279397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8">
      <c r="A454" t="str">
        <f t="shared" si="8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3">AF454-Z454</f>
        <v>0</v>
      </c>
      <c r="AI454" s="281">
        <f t="shared" ref="AI454:AI462" si="114">IF(Z454=0,0,AH454/Z454)</f>
        <v>0</v>
      </c>
      <c r="AJ454" s="286"/>
      <c r="AK454" s="277"/>
      <c r="AL454" s="278">
        <v>50000</v>
      </c>
      <c r="AM454" s="282"/>
      <c r="AN454" s="280">
        <f>AF454-AL454</f>
        <v>0</v>
      </c>
      <c r="AO454" s="287">
        <f t="shared" ref="AO454:AO462" si="115">IF(AL454=0,0,AN454/AL454)</f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8">
      <c r="A455" t="str">
        <f t="shared" si="8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6346.6299999999992</v>
      </c>
      <c r="AG455" s="279"/>
      <c r="AH455" s="280">
        <f t="shared" si="113"/>
        <v>9.9999999998544808E-2</v>
      </c>
      <c r="AI455" s="281">
        <f t="shared" si="114"/>
        <v>1.5756641818213227E-5</v>
      </c>
      <c r="AJ455" s="286"/>
      <c r="AK455" s="277"/>
      <c r="AL455" s="278">
        <v>6163.5</v>
      </c>
      <c r="AM455" s="282"/>
      <c r="AN455" s="280">
        <f t="shared" ref="AN455:AN462" si="116">AF455-AL455</f>
        <v>183.1299999999992</v>
      </c>
      <c r="AO455" s="287">
        <f t="shared" si="115"/>
        <v>2.9712014277601881E-2</v>
      </c>
      <c r="AP455" s="244"/>
      <c r="AQ455" s="494">
        <v>6347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8">
      <c r="A456" t="str">
        <f t="shared" si="8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2719.99</v>
      </c>
      <c r="AG456" s="263"/>
      <c r="AH456" s="264">
        <f t="shared" si="113"/>
        <v>4.9999999999272404E-2</v>
      </c>
      <c r="AI456" s="291">
        <f t="shared" si="114"/>
        <v>1.8382758442933445E-5</v>
      </c>
      <c r="AJ456" s="290"/>
      <c r="AK456" s="261"/>
      <c r="AL456" s="262">
        <v>2641.5</v>
      </c>
      <c r="AM456" s="266"/>
      <c r="AN456" s="264">
        <f t="shared" si="116"/>
        <v>78.489999999999782</v>
      </c>
      <c r="AO456" s="267">
        <f t="shared" si="115"/>
        <v>2.9714177550634026E-2</v>
      </c>
      <c r="AP456" s="244"/>
      <c r="AQ456" s="494">
        <v>2720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8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3"/>
        <v>0</v>
      </c>
      <c r="AI457" s="281">
        <f t="shared" si="114"/>
        <v>0</v>
      </c>
      <c r="AJ457" s="286"/>
      <c r="AK457" s="277"/>
      <c r="AL457" s="278">
        <v>0</v>
      </c>
      <c r="AM457" s="282"/>
      <c r="AN457" s="280">
        <f t="shared" si="116"/>
        <v>0</v>
      </c>
      <c r="AO457" s="287">
        <f t="shared" si="115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8">
      <c r="A458" t="str">
        <f t="shared" si="8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3"/>
        <v>-6.6666666671153507E-3</v>
      </c>
      <c r="AI458" s="291">
        <f t="shared" si="114"/>
        <v>-1.8668035657204508E-6</v>
      </c>
      <c r="AJ458" s="290"/>
      <c r="AK458" s="261"/>
      <c r="AL458" s="262">
        <v>4853.83</v>
      </c>
      <c r="AM458" s="266"/>
      <c r="AN458" s="264">
        <f t="shared" si="116"/>
        <v>-1282.67</v>
      </c>
      <c r="AO458" s="267">
        <f t="shared" si="115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8">
      <c r="A459" t="str">
        <f t="shared" si="8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6470.05</v>
      </c>
      <c r="AG459" s="279"/>
      <c r="AH459" s="280">
        <f t="shared" si="113"/>
        <v>-204.94999999999982</v>
      </c>
      <c r="AI459" s="281">
        <f t="shared" si="114"/>
        <v>-3.0704119850187239E-2</v>
      </c>
      <c r="AJ459" s="286"/>
      <c r="AK459" s="277"/>
      <c r="AL459" s="278">
        <v>5363.8</v>
      </c>
      <c r="AM459" s="282"/>
      <c r="AN459" s="280">
        <f t="shared" si="116"/>
        <v>1106.25</v>
      </c>
      <c r="AO459" s="287">
        <f t="shared" si="115"/>
        <v>0.20624370781908347</v>
      </c>
      <c r="AP459" s="244"/>
      <c r="AQ459" s="244">
        <f>4970+1500</f>
        <v>6470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8">
      <c r="A460" t="str">
        <f t="shared" si="8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1816</v>
      </c>
      <c r="AG460" s="279"/>
      <c r="AH460" s="280">
        <f t="shared" si="113"/>
        <v>66</v>
      </c>
      <c r="AI460" s="281">
        <f t="shared" si="114"/>
        <v>3.7714285714285714E-2</v>
      </c>
      <c r="AJ460" s="286"/>
      <c r="AK460" s="277"/>
      <c r="AL460" s="278">
        <v>6307.33</v>
      </c>
      <c r="AM460" s="282"/>
      <c r="AN460" s="280">
        <f t="shared" si="116"/>
        <v>-4491.33</v>
      </c>
      <c r="AO460" s="287">
        <f t="shared" si="115"/>
        <v>-0.71208102319047839</v>
      </c>
      <c r="AP460" s="244"/>
      <c r="AQ460" s="494">
        <f>1500+125+191</f>
        <v>1816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8">
      <c r="A461" t="str">
        <f t="shared" si="8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450</v>
      </c>
      <c r="AG461" s="263"/>
      <c r="AH461" s="264">
        <f t="shared" si="113"/>
        <v>0</v>
      </c>
      <c r="AI461" s="291">
        <f t="shared" si="114"/>
        <v>0</v>
      </c>
      <c r="AJ461" s="290"/>
      <c r="AK461" s="261"/>
      <c r="AL461" s="262">
        <v>400</v>
      </c>
      <c r="AM461" s="266"/>
      <c r="AN461" s="264">
        <f t="shared" si="116"/>
        <v>50</v>
      </c>
      <c r="AO461" s="267">
        <f t="shared" si="115"/>
        <v>0.125</v>
      </c>
      <c r="AP461" s="244"/>
      <c r="AQ461" s="244">
        <v>450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8">
      <c r="A462" t="str">
        <f t="shared" si="8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385.16</v>
      </c>
      <c r="AG462" s="279"/>
      <c r="AH462" s="280">
        <f t="shared" si="113"/>
        <v>106.16000000000003</v>
      </c>
      <c r="AI462" s="333">
        <f t="shared" si="114"/>
        <v>0.38050179211469543</v>
      </c>
      <c r="AJ462" s="277"/>
      <c r="AK462" s="277"/>
      <c r="AL462" s="278">
        <v>221.18</v>
      </c>
      <c r="AM462" s="282"/>
      <c r="AN462" s="280">
        <f t="shared" si="116"/>
        <v>163.98000000000002</v>
      </c>
      <c r="AO462" s="287">
        <f t="shared" si="115"/>
        <v>0.74138710552491194</v>
      </c>
      <c r="AP462" s="244"/>
      <c r="AQ462" s="244">
        <f>877-492</f>
        <v>385</v>
      </c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8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8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IFERROR(SUMIF($C:$C,$V464,F:F),0)</f>
        <v>0</v>
      </c>
      <c r="AA464" s="277"/>
      <c r="AB464" s="277"/>
      <c r="AC464" s="280"/>
      <c r="AD464" s="286"/>
      <c r="AE464" s="285"/>
      <c r="AF464" s="278">
        <f>+SUMIF($C:$C,$V464,L:L)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8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IFERROR(SUMIF($C:$C,$V465,F:F),0)</f>
        <v>0</v>
      </c>
      <c r="AA465" s="277"/>
      <c r="AB465" s="277"/>
      <c r="AC465" s="280"/>
      <c r="AD465" s="286"/>
      <c r="AE465" s="285"/>
      <c r="AF465" s="278">
        <f>+SUMIF($C:$C,$V465,L:L)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IFERROR(SUMIF($C:$C,$V465,Q:Q),0)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8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IFERROR(SUMIF($C:$C,$V466,F:F),0)</f>
        <v>0</v>
      </c>
      <c r="AA466" s="277"/>
      <c r="AB466" s="277"/>
      <c r="AC466" s="280"/>
      <c r="AD466" s="286"/>
      <c r="AE466" s="285"/>
      <c r="AF466" s="278">
        <f>+SUMIF($C:$C,$V466,L:L)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IFERROR(SUMIF($C:$C,$V466,Q:Q),0)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8">
      <c r="A467" t="str">
        <f t="shared" si="8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0.13326359948796887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0.13880572012960804</v>
      </c>
      <c r="AE467" s="295"/>
      <c r="AF467" s="297">
        <f>SUM(AF454:AF466)</f>
        <v>71758.990000000005</v>
      </c>
      <c r="AG467" s="306"/>
      <c r="AH467" s="300">
        <f>SUM(AH454:AH466)</f>
        <v>-32.646666666669091</v>
      </c>
      <c r="AI467" s="296">
        <f>IF(Z467=0,0,AH467/Z467)</f>
        <v>-4.5474191956717375E-4</v>
      </c>
      <c r="AJ467" s="298">
        <f>IF($AL$408=0,0,AL467/$AL$408)</f>
        <v>0.1649117418415891</v>
      </c>
      <c r="AK467" s="296"/>
      <c r="AL467" s="297">
        <f>SUM(AL454:AL466)</f>
        <v>75951.14</v>
      </c>
      <c r="AM467" s="307"/>
      <c r="AN467" s="300">
        <f>SUM(AN454:AN466)</f>
        <v>-4192.1500000000015</v>
      </c>
      <c r="AO467" s="329">
        <f t="shared" ref="AO467:AO484" si="117">IF(AL467=0,0,AN467/AL467)</f>
        <v>-5.5195353223137948E-2</v>
      </c>
      <c r="AP467" s="244"/>
      <c r="AQ467" s="308">
        <f>SUM(AQ454:AQ462)-AF467</f>
        <v>9.9999999947613105E-3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8">
      <c r="A468" t="str">
        <f t="shared" si="8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18">AF468-Z468</f>
        <v>0</v>
      </c>
      <c r="AI468" s="281"/>
      <c r="AJ468" s="286"/>
      <c r="AK468" s="277"/>
      <c r="AL468" s="334"/>
      <c r="AM468" s="335"/>
      <c r="AN468" s="280">
        <f t="shared" ref="AN468:AN484" si="119">AF468-AL468</f>
        <v>0</v>
      </c>
      <c r="AO468" s="336">
        <f t="shared" si="117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8">
      <c r="A469" t="str">
        <f t="shared" si="8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0.91011740070262792</v>
      </c>
      <c r="Y469" s="295"/>
      <c r="Z469" s="297">
        <f>Z420+Z434+Z453+Z467</f>
        <v>490297.56067149434</v>
      </c>
      <c r="AA469" s="296"/>
      <c r="AB469" s="295"/>
      <c r="AC469" s="297"/>
      <c r="AD469" s="298">
        <f>AF469/AF408</f>
        <v>0.9059522301205305</v>
      </c>
      <c r="AE469" s="295"/>
      <c r="AF469" s="297">
        <f>AF420+AF434+AF453+AF467</f>
        <v>468354.02</v>
      </c>
      <c r="AG469" s="306"/>
      <c r="AH469" s="300">
        <f t="shared" si="118"/>
        <v>-21943.540671494324</v>
      </c>
      <c r="AI469" s="296">
        <f>AH469/Z469</f>
        <v>-4.4755557505611943E-2</v>
      </c>
      <c r="AJ469" s="298">
        <f>IF($AL$408=0,0,AL469/$AL$408)</f>
        <v>1.0237419838517465</v>
      </c>
      <c r="AK469" s="296"/>
      <c r="AL469" s="297">
        <f>AL420+AL434+AL453+AL467</f>
        <v>471490.81</v>
      </c>
      <c r="AM469" s="307"/>
      <c r="AN469" s="300">
        <f t="shared" si="119"/>
        <v>-3136.789999999979</v>
      </c>
      <c r="AO469" s="275">
        <f t="shared" si="117"/>
        <v>-6.6529186433134909E-3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8">
      <c r="A470" t="str">
        <f t="shared" si="8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1836.59</v>
      </c>
      <c r="AG470" s="340"/>
      <c r="AH470" s="280">
        <f t="shared" si="118"/>
        <v>1836.59</v>
      </c>
      <c r="AI470" s="333" t="e">
        <f>IF(AH470=0,0,AH470/Z470)</f>
        <v>#DIV/0!</v>
      </c>
      <c r="AJ470" s="339"/>
      <c r="AK470" s="337"/>
      <c r="AL470" s="341">
        <v>1033.1599999999901</v>
      </c>
      <c r="AM470" s="342"/>
      <c r="AN470" s="280">
        <f t="shared" si="119"/>
        <v>803.43000000000984</v>
      </c>
      <c r="AO470" s="287">
        <f t="shared" si="117"/>
        <v>0.77764334662590262</v>
      </c>
      <c r="AP470" s="244" t="s">
        <v>263</v>
      </c>
      <c r="AQ470" s="244">
        <v>1837</v>
      </c>
      <c r="AR470" s="244"/>
      <c r="AS470" s="244">
        <f>AQ470+AR470</f>
        <v>1837</v>
      </c>
      <c r="AT470" s="308">
        <f>AS470-AF470</f>
        <v>0.41000000000008185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8">
      <c r="A471" t="str">
        <f t="shared" si="8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46789.599999999999</v>
      </c>
      <c r="AA471" s="330"/>
      <c r="AB471" s="331"/>
      <c r="AC471" s="278"/>
      <c r="AD471" s="343"/>
      <c r="AE471" s="331"/>
      <c r="AF471" s="278">
        <f t="shared" ref="AF471:AF477" si="120">+SUMIF($C:$C,$V471,L:L)</f>
        <v>37951.800000000003</v>
      </c>
      <c r="AG471" s="344"/>
      <c r="AH471" s="280">
        <f t="shared" si="118"/>
        <v>-8837.7999999999956</v>
      </c>
      <c r="AI471" s="304">
        <f>IF(Z471=0,0,AH471/Z471)</f>
        <v>-0.1888838545317762</v>
      </c>
      <c r="AJ471" s="343"/>
      <c r="AK471" s="330"/>
      <c r="AL471" s="345">
        <f>+SUMIF($C:$C,$V471,Q:Q)</f>
        <v>30943.4</v>
      </c>
      <c r="AM471" s="346"/>
      <c r="AN471" s="280">
        <f t="shared" si="119"/>
        <v>7008.4000000000015</v>
      </c>
      <c r="AO471" s="287">
        <f t="shared" si="117"/>
        <v>0.22649094798890881</v>
      </c>
      <c r="AP471" s="244"/>
      <c r="AQ471" s="244">
        <v>47089</v>
      </c>
      <c r="AR471" s="244">
        <v>-9137</v>
      </c>
      <c r="AS471" s="244">
        <f>AQ471+AR471</f>
        <v>37952</v>
      </c>
      <c r="AT471" s="308">
        <f t="shared" ref="AT471:AT481" si="121">AS471-AF471</f>
        <v>0.19999999999708962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8">
      <c r="A472" t="str">
        <f t="shared" si="8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38601.42</v>
      </c>
      <c r="AA472" s="330"/>
      <c r="AB472" s="331"/>
      <c r="AC472" s="278"/>
      <c r="AD472" s="343"/>
      <c r="AE472" s="331"/>
      <c r="AF472" s="278">
        <f t="shared" si="120"/>
        <v>34403.279999999999</v>
      </c>
      <c r="AG472" s="344"/>
      <c r="AH472" s="280">
        <f t="shared" si="118"/>
        <v>-4198.1399999999994</v>
      </c>
      <c r="AI472" s="304">
        <f t="shared" ref="AI472:AI481" si="122">IF(AH472=0,0,AH472/Z472)</f>
        <v>-0.10875610275476912</v>
      </c>
      <c r="AJ472" s="343"/>
      <c r="AK472" s="330"/>
      <c r="AL472" s="345">
        <v>38986.85</v>
      </c>
      <c r="AM472" s="346"/>
      <c r="AN472" s="280">
        <f t="shared" si="119"/>
        <v>-4583.57</v>
      </c>
      <c r="AO472" s="287">
        <f t="shared" si="117"/>
        <v>-0.11756707710420308</v>
      </c>
      <c r="AP472" s="244"/>
      <c r="AQ472" s="244">
        <v>51219.54</v>
      </c>
      <c r="AR472" s="244">
        <f>-3301.2+848.3-8223.3-6139.89</f>
        <v>-16816.09</v>
      </c>
      <c r="AS472" s="244">
        <f>AQ472+AR472</f>
        <v>34403.449999999997</v>
      </c>
      <c r="AT472" s="308">
        <f t="shared" si="121"/>
        <v>0.16999999999825377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8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+SUMIF($C:$C,$V473,F:F)</f>
        <v>0</v>
      </c>
      <c r="AA473" s="330"/>
      <c r="AB473" s="331"/>
      <c r="AC473" s="278"/>
      <c r="AD473" s="343"/>
      <c r="AE473" s="331"/>
      <c r="AF473" s="278">
        <f t="shared" si="120"/>
        <v>0</v>
      </c>
      <c r="AG473" s="344"/>
      <c r="AH473" s="280">
        <f t="shared" si="118"/>
        <v>0</v>
      </c>
      <c r="AI473" s="304">
        <f t="shared" si="122"/>
        <v>0</v>
      </c>
      <c r="AJ473" s="343"/>
      <c r="AK473" s="330"/>
      <c r="AL473" s="345">
        <f>+SUMIF($C:$C,$V473,Q:Q)</f>
        <v>0</v>
      </c>
      <c r="AM473" s="346"/>
      <c r="AN473" s="280">
        <f t="shared" si="119"/>
        <v>0</v>
      </c>
      <c r="AO473" s="287">
        <f t="shared" si="117"/>
        <v>0</v>
      </c>
      <c r="AP473" s="244"/>
      <c r="AQ473" s="244"/>
      <c r="AR473" s="244"/>
      <c r="AS473" s="244">
        <f t="shared" ref="AS473:AS481" si="123">AQ473+AR473</f>
        <v>0</v>
      </c>
      <c r="AT473" s="308">
        <f t="shared" si="121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8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+SUMIF($C:$C,$V474,F:F)</f>
        <v>0</v>
      </c>
      <c r="AA474" s="330"/>
      <c r="AB474" s="331"/>
      <c r="AC474" s="278"/>
      <c r="AD474" s="343"/>
      <c r="AE474" s="331"/>
      <c r="AF474" s="278">
        <f t="shared" si="120"/>
        <v>0</v>
      </c>
      <c r="AG474" s="344"/>
      <c r="AH474" s="280">
        <f t="shared" si="118"/>
        <v>0</v>
      </c>
      <c r="AI474" s="304">
        <f t="shared" si="122"/>
        <v>0</v>
      </c>
      <c r="AJ474" s="343"/>
      <c r="AK474" s="330"/>
      <c r="AL474" s="345">
        <f>+SUMIF($C:$C,$V474,Q:Q)</f>
        <v>0</v>
      </c>
      <c r="AM474" s="346"/>
      <c r="AN474" s="280">
        <f t="shared" si="119"/>
        <v>0</v>
      </c>
      <c r="AO474" s="287">
        <f t="shared" si="117"/>
        <v>0</v>
      </c>
      <c r="AP474" s="244"/>
      <c r="AQ474" s="244"/>
      <c r="AR474" s="244"/>
      <c r="AS474" s="244">
        <f t="shared" si="123"/>
        <v>0</v>
      </c>
      <c r="AT474" s="308">
        <f t="shared" si="121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8">
      <c r="A475" t="str">
        <f t="shared" si="8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7125</v>
      </c>
      <c r="AA475" s="330"/>
      <c r="AB475" s="331"/>
      <c r="AC475" s="278"/>
      <c r="AD475" s="343"/>
      <c r="AE475" s="331"/>
      <c r="AF475" s="278">
        <f t="shared" si="120"/>
        <v>7225</v>
      </c>
      <c r="AG475" s="344"/>
      <c r="AH475" s="280">
        <f t="shared" si="118"/>
        <v>100</v>
      </c>
      <c r="AI475" s="304">
        <f t="shared" si="122"/>
        <v>1.4035087719298246E-2</v>
      </c>
      <c r="AJ475" s="343"/>
      <c r="AK475" s="330"/>
      <c r="AL475" s="345">
        <v>1400</v>
      </c>
      <c r="AM475" s="346"/>
      <c r="AN475" s="280">
        <f t="shared" si="119"/>
        <v>5825</v>
      </c>
      <c r="AO475" s="287">
        <f t="shared" si="117"/>
        <v>4.1607142857142856</v>
      </c>
      <c r="AP475" s="244"/>
      <c r="AQ475" s="244">
        <v>7225</v>
      </c>
      <c r="AR475" s="244"/>
      <c r="AS475" s="244">
        <f t="shared" si="123"/>
        <v>7225</v>
      </c>
      <c r="AT475" s="308">
        <f t="shared" si="121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8">
      <c r="A476" t="str">
        <f t="shared" si="8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+SUMIF($C:$C,$V476,F:F)</f>
        <v>0</v>
      </c>
      <c r="AA476" s="330"/>
      <c r="AB476" s="331"/>
      <c r="AC476" s="278"/>
      <c r="AD476" s="343"/>
      <c r="AE476" s="331"/>
      <c r="AF476" s="278">
        <f t="shared" si="120"/>
        <v>0</v>
      </c>
      <c r="AG476" s="344"/>
      <c r="AH476" s="280">
        <f t="shared" si="118"/>
        <v>0</v>
      </c>
      <c r="AI476" s="304">
        <f t="shared" si="122"/>
        <v>0</v>
      </c>
      <c r="AJ476" s="343"/>
      <c r="AK476" s="330"/>
      <c r="AL476" s="345">
        <f>+SUMIF($C:$C,$V476,Q:Q)</f>
        <v>0</v>
      </c>
      <c r="AM476" s="346"/>
      <c r="AN476" s="280">
        <f t="shared" si="119"/>
        <v>0</v>
      </c>
      <c r="AO476" s="287">
        <f t="shared" si="117"/>
        <v>0</v>
      </c>
      <c r="AP476" s="244"/>
      <c r="AQ476" s="244"/>
      <c r="AR476" s="244"/>
      <c r="AS476" s="244">
        <f t="shared" si="123"/>
        <v>0</v>
      </c>
      <c r="AT476" s="308">
        <f t="shared" si="121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8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+SUMIF($C:$C,$V477,F:F)</f>
        <v>0</v>
      </c>
      <c r="AA477" s="330"/>
      <c r="AB477" s="331"/>
      <c r="AC477" s="278"/>
      <c r="AD477" s="343"/>
      <c r="AE477" s="331"/>
      <c r="AF477" s="278">
        <f t="shared" si="120"/>
        <v>0</v>
      </c>
      <c r="AG477" s="344"/>
      <c r="AH477" s="280">
        <f t="shared" si="118"/>
        <v>0</v>
      </c>
      <c r="AI477" s="304">
        <f t="shared" si="122"/>
        <v>0</v>
      </c>
      <c r="AJ477" s="343"/>
      <c r="AK477" s="330"/>
      <c r="AL477" s="345">
        <f>+SUMIF($C:$C,$V477,Q:Q)</f>
        <v>0</v>
      </c>
      <c r="AM477" s="346"/>
      <c r="AN477" s="280">
        <f t="shared" si="119"/>
        <v>0</v>
      </c>
      <c r="AO477" s="287">
        <f t="shared" si="117"/>
        <v>0</v>
      </c>
      <c r="AP477" s="244"/>
      <c r="AQ477" s="244"/>
      <c r="AR477" s="244"/>
      <c r="AS477" s="244">
        <f t="shared" si="123"/>
        <v>0</v>
      </c>
      <c r="AT477" s="308">
        <f t="shared" si="121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8">
      <c r="A478" t="str">
        <f t="shared" si="8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25734.28</v>
      </c>
      <c r="AA478" s="330"/>
      <c r="AB478" s="331"/>
      <c r="AC478" s="278"/>
      <c r="AD478" s="343"/>
      <c r="AE478" s="331"/>
      <c r="AF478" s="278">
        <v>24807.09</v>
      </c>
      <c r="AG478" s="344"/>
      <c r="AH478" s="280">
        <f t="shared" si="118"/>
        <v>-927.18999999999869</v>
      </c>
      <c r="AI478" s="304">
        <f t="shared" si="122"/>
        <v>-3.6029374048933901E-2</v>
      </c>
      <c r="AJ478" s="343"/>
      <c r="AK478" s="330"/>
      <c r="AL478" s="345">
        <v>19152.21</v>
      </c>
      <c r="AM478" s="346"/>
      <c r="AN478" s="280">
        <f t="shared" si="119"/>
        <v>5654.880000000001</v>
      </c>
      <c r="AO478" s="287">
        <f t="shared" si="117"/>
        <v>0.29525992039560978</v>
      </c>
      <c r="AP478" s="244"/>
      <c r="AQ478" s="244">
        <v>31301</v>
      </c>
      <c r="AR478" s="308">
        <f>-2017.4+548.9-5025.35</f>
        <v>-6493.85</v>
      </c>
      <c r="AS478" s="244">
        <f t="shared" si="123"/>
        <v>24807.15</v>
      </c>
      <c r="AT478" s="308">
        <f t="shared" si="121"/>
        <v>6.0000000001309672E-2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8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IFERROR(SUMIF($C:$C,$V479,F:F),0)</f>
        <v>0</v>
      </c>
      <c r="AA479" s="277"/>
      <c r="AB479" s="277"/>
      <c r="AC479" s="280"/>
      <c r="AD479" s="286"/>
      <c r="AE479" s="285"/>
      <c r="AF479" s="278">
        <f>+SUMIF($C:$C,$V479,L:L)</f>
        <v>0</v>
      </c>
      <c r="AG479" s="279"/>
      <c r="AH479" s="280">
        <f t="shared" si="118"/>
        <v>0</v>
      </c>
      <c r="AI479" s="281">
        <f t="shared" si="122"/>
        <v>0</v>
      </c>
      <c r="AJ479" s="286"/>
      <c r="AK479" s="277"/>
      <c r="AL479" s="278">
        <f>+SUMIF($C:$C,$V479,Q:Q)</f>
        <v>0</v>
      </c>
      <c r="AM479" s="346"/>
      <c r="AN479" s="280">
        <f t="shared" si="119"/>
        <v>0</v>
      </c>
      <c r="AO479" s="287">
        <f t="shared" si="117"/>
        <v>0</v>
      </c>
      <c r="AP479" s="244"/>
      <c r="AQ479" s="244"/>
      <c r="AR479" s="244"/>
      <c r="AS479" s="244">
        <f t="shared" si="123"/>
        <v>0</v>
      </c>
      <c r="AT479" s="308">
        <f t="shared" si="121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8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IFERROR(SUMIF($C:$C,$V480,F:F),0)</f>
        <v>0</v>
      </c>
      <c r="AA480" s="277"/>
      <c r="AB480" s="277"/>
      <c r="AC480" s="280"/>
      <c r="AD480" s="286"/>
      <c r="AE480" s="285"/>
      <c r="AF480" s="278">
        <f>+SUMIF($C:$C,$V480,L:L)</f>
        <v>0</v>
      </c>
      <c r="AG480" s="279"/>
      <c r="AH480" s="280">
        <f t="shared" si="118"/>
        <v>0</v>
      </c>
      <c r="AI480" s="281">
        <f t="shared" si="122"/>
        <v>0</v>
      </c>
      <c r="AJ480" s="286"/>
      <c r="AK480" s="277"/>
      <c r="AL480" s="278">
        <f>+SUMIF($C:$C,$V480,Q:Q)</f>
        <v>0</v>
      </c>
      <c r="AM480" s="346"/>
      <c r="AN480" s="280">
        <f t="shared" si="119"/>
        <v>0</v>
      </c>
      <c r="AO480" s="287">
        <f t="shared" si="117"/>
        <v>0</v>
      </c>
      <c r="AP480" s="244"/>
      <c r="AQ480" s="244"/>
      <c r="AR480" s="244"/>
      <c r="AS480" s="244">
        <f t="shared" si="123"/>
        <v>0</v>
      </c>
      <c r="AT480" s="308">
        <f t="shared" si="121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8">
      <c r="A481" t="str">
        <f t="shared" si="8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31344.6</v>
      </c>
      <c r="AA481" s="330"/>
      <c r="AB481" s="331"/>
      <c r="AC481" s="278"/>
      <c r="AD481" s="343"/>
      <c r="AE481" s="331"/>
      <c r="AF481" s="278">
        <f>+SUMIF($C:$C,$V481,L:L)</f>
        <v>31535</v>
      </c>
      <c r="AG481" s="344"/>
      <c r="AH481" s="280">
        <f t="shared" si="118"/>
        <v>190.40000000000146</v>
      </c>
      <c r="AI481" s="304">
        <f t="shared" si="122"/>
        <v>6.0744115413819758E-3</v>
      </c>
      <c r="AJ481" s="343"/>
      <c r="AK481" s="330"/>
      <c r="AL481" s="345">
        <v>26180</v>
      </c>
      <c r="AM481" s="346"/>
      <c r="AN481" s="280">
        <f t="shared" si="119"/>
        <v>5355</v>
      </c>
      <c r="AO481" s="287">
        <f t="shared" si="117"/>
        <v>0.20454545454545456</v>
      </c>
      <c r="AP481" s="244"/>
      <c r="AQ481" s="244">
        <v>31535</v>
      </c>
      <c r="AR481" s="244"/>
      <c r="AS481" s="244">
        <f t="shared" si="123"/>
        <v>31535</v>
      </c>
      <c r="AT481" s="308">
        <f t="shared" si="121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8">
      <c r="A482" t="str">
        <f t="shared" si="8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0.27768631228738883</v>
      </c>
      <c r="Y482" s="328"/>
      <c r="Z482" s="297">
        <f>SUM(Z470:Z481)</f>
        <v>149594.9</v>
      </c>
      <c r="AA482" s="296"/>
      <c r="AB482" s="328"/>
      <c r="AC482" s="297"/>
      <c r="AD482" s="296">
        <f>AF482/+AF408</f>
        <v>0.26647119595693647</v>
      </c>
      <c r="AE482" s="328"/>
      <c r="AF482" s="297">
        <f>SUM(AF470:AF481)</f>
        <v>137758.76</v>
      </c>
      <c r="AG482" s="306"/>
      <c r="AH482" s="300">
        <f t="shared" si="118"/>
        <v>-11836.139999999985</v>
      </c>
      <c r="AI482" s="296">
        <f>AH482/Z482</f>
        <v>-7.9121280204071026E-2</v>
      </c>
      <c r="AJ482" s="347"/>
      <c r="AK482" s="348"/>
      <c r="AL482" s="297">
        <f>SUM(AL470:AL481)</f>
        <v>117695.62</v>
      </c>
      <c r="AM482" s="349"/>
      <c r="AN482" s="300">
        <f t="shared" si="119"/>
        <v>20063.140000000014</v>
      </c>
      <c r="AO482" s="329">
        <f t="shared" si="117"/>
        <v>0.17046632661436351</v>
      </c>
      <c r="AP482" s="244"/>
      <c r="AQ482" s="244">
        <f>SUM(AQ470:AQ481)</f>
        <v>170206.54</v>
      </c>
      <c r="AR482" s="244">
        <f>SUM(AR470:AR481)</f>
        <v>-32446.940000000002</v>
      </c>
      <c r="AS482" s="308">
        <f>SUM(AS470:AS481)-AF482</f>
        <v>0.83999999999650754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.75" thickBot="1">
      <c r="A483" t="str">
        <f t="shared" si="8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19"/>
        <v>0</v>
      </c>
      <c r="AO483" s="362">
        <f t="shared" si="117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9.5" thickTop="1" thickBot="1">
      <c r="A484" t="str">
        <f t="shared" si="8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3.6049490394718754E-2</v>
      </c>
      <c r="Z484" s="367">
        <f>Z408-Z469+Z482</f>
        <v>198016.36644849621</v>
      </c>
      <c r="AA484" s="365"/>
      <c r="AB484" s="366"/>
      <c r="AC484" s="367"/>
      <c r="AD484" s="365" t="s">
        <v>180</v>
      </c>
      <c r="AE484" s="366">
        <f>AF484/AF407</f>
        <v>2.9159217648684982E-2</v>
      </c>
      <c r="AF484" s="368">
        <f>AF408-AF469+AF482</f>
        <v>186379.0399999998</v>
      </c>
      <c r="AG484" s="369"/>
      <c r="AH484" s="368">
        <f>AF484-Z484</f>
        <v>-11637.326448496402</v>
      </c>
      <c r="AI484" s="481">
        <f>AH484/Z484</f>
        <v>-5.8769518182848056E-2</v>
      </c>
      <c r="AJ484" s="371" t="s">
        <v>180</v>
      </c>
      <c r="AK484" s="366">
        <f>IF($AL$407=0,0,AL484/$AL$407)</f>
        <v>2.7995043124338381E-2</v>
      </c>
      <c r="AL484" s="368">
        <f>AL408-AL469+AL482</f>
        <v>106761.09999999969</v>
      </c>
      <c r="AM484" s="372"/>
      <c r="AN484" s="368">
        <f t="shared" si="119"/>
        <v>79617.940000000119</v>
      </c>
      <c r="AO484" s="373">
        <f t="shared" si="117"/>
        <v>0.7457579586572296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8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25">
      <c r="A486" t="str">
        <f t="shared" ref="A486:A499" si="124">+U486&amp;V486</f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Juin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2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2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9.5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4.1358124939452144E-2</v>
      </c>
      <c r="Z489" s="446">
        <f>Z490+Z416</f>
        <v>227176.18290751259</v>
      </c>
      <c r="AA489" s="443"/>
      <c r="AB489" s="444"/>
      <c r="AC489" s="445"/>
      <c r="AD489" s="443" t="s">
        <v>180</v>
      </c>
      <c r="AE489" s="444">
        <f>AF489/AF407</f>
        <v>3.3674479580145869E-2</v>
      </c>
      <c r="AF489" s="446">
        <f>AF490+AF416</f>
        <v>215239.55999999979</v>
      </c>
      <c r="AG489" s="447"/>
      <c r="AH489" s="446">
        <f t="shared" ref="AH489" si="125">AF489-Z489</f>
        <v>-11936.622907512792</v>
      </c>
      <c r="AI489" s="488">
        <f>AH489/Z489</f>
        <v>-5.2543461003446833E-2</v>
      </c>
      <c r="AJ489" s="443" t="s">
        <v>180</v>
      </c>
      <c r="AK489" s="444">
        <f>IF($AL$407=0,0,AL489/$AL$407)</f>
        <v>3.5506445394999871E-2</v>
      </c>
      <c r="AL489" s="446">
        <f>AL490+AL416</f>
        <v>135406.36999999968</v>
      </c>
      <c r="AM489" s="448"/>
      <c r="AN489" s="446">
        <f t="shared" ref="AN489" si="126">AF489-AL489</f>
        <v>79833.190000000119</v>
      </c>
      <c r="AO489" s="449">
        <f t="shared" ref="AO489" si="127">IF(AL489=0,0,AN489/AL489)</f>
        <v>0.5895822330958308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9.5" thickTop="1" thickBot="1">
      <c r="A490" t="str">
        <f t="shared" si="12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3.6049490394718754E-2</v>
      </c>
      <c r="Z490" s="379">
        <f>Z484</f>
        <v>198016.36644849621</v>
      </c>
      <c r="AA490" s="377"/>
      <c r="AB490" s="378"/>
      <c r="AC490" s="379"/>
      <c r="AD490" s="377" t="s">
        <v>180</v>
      </c>
      <c r="AE490" s="378">
        <f>AF490/AF407</f>
        <v>2.9159217648684982E-2</v>
      </c>
      <c r="AF490" s="379">
        <f>AF484</f>
        <v>186379.0399999998</v>
      </c>
      <c r="AG490" s="380"/>
      <c r="AH490" s="368">
        <f>AF490-Z490</f>
        <v>-11637.326448496402</v>
      </c>
      <c r="AI490" s="481">
        <f>AH490/Z490</f>
        <v>-5.8769518182848056E-2</v>
      </c>
      <c r="AJ490" s="377" t="s">
        <v>180</v>
      </c>
      <c r="AK490" s="378">
        <f>IF($AL$407=0,0,AL490/$AL$407)</f>
        <v>2.7995043124338381E-2</v>
      </c>
      <c r="AL490" s="381">
        <f>AL484</f>
        <v>106761.09999999969</v>
      </c>
      <c r="AM490" s="382"/>
      <c r="AN490" s="383">
        <f>AF490-AL490</f>
        <v>79617.940000000119</v>
      </c>
      <c r="AO490" s="384">
        <f>IF(AL490=0,0,AN490/AL490)</f>
        <v>0.7457579586572296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5" thickTop="1">
      <c r="A491" t="str">
        <f t="shared" si="12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8">
      <c r="A492" t="str">
        <f t="shared" si="12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28">AF492-Z492</f>
        <v>0</v>
      </c>
      <c r="AI492" s="304">
        <f t="shared" ref="AI492:AI498" si="129">IF(Z492=0,0,AH492/Z492)</f>
        <v>0</v>
      </c>
      <c r="AJ492" s="277"/>
      <c r="AK492" s="277"/>
      <c r="AL492" s="278">
        <v>19300</v>
      </c>
      <c r="AM492" s="282"/>
      <c r="AN492" s="280">
        <f t="shared" ref="AN492:AN499" si="130">AF492-AL492</f>
        <v>-15222.25</v>
      </c>
      <c r="AO492" s="287">
        <f t="shared" ref="AO492:AO499" si="131">IF(AL492=0,0,AN492/AL492)</f>
        <v>-0.78871761658031092</v>
      </c>
      <c r="AP492" s="244"/>
      <c r="AQ492" s="494">
        <v>4078</v>
      </c>
      <c r="AR492" s="308">
        <f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2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28"/>
        <v>0</v>
      </c>
      <c r="AI493" s="304">
        <f t="shared" si="129"/>
        <v>0</v>
      </c>
      <c r="AJ493" s="10"/>
      <c r="AK493" s="10"/>
      <c r="AL493" s="278">
        <v>0</v>
      </c>
      <c r="AM493" s="391"/>
      <c r="AN493" s="280">
        <f t="shared" si="130"/>
        <v>0</v>
      </c>
      <c r="AO493" s="287">
        <f t="shared" si="131"/>
        <v>0</v>
      </c>
      <c r="AP493" s="244"/>
      <c r="AQ493" s="244"/>
      <c r="AR493" s="308">
        <f t="shared" ref="AR493:AR497" si="132">AQ493-AF493</f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2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28"/>
        <v>0</v>
      </c>
      <c r="AI494" s="304">
        <f t="shared" si="129"/>
        <v>0</v>
      </c>
      <c r="AJ494" s="10"/>
      <c r="AK494" s="10"/>
      <c r="AL494" s="278">
        <v>0</v>
      </c>
      <c r="AM494" s="391"/>
      <c r="AN494" s="280">
        <f t="shared" si="130"/>
        <v>0</v>
      </c>
      <c r="AO494" s="287">
        <f t="shared" si="131"/>
        <v>0</v>
      </c>
      <c r="AP494" s="244"/>
      <c r="AQ494" s="244"/>
      <c r="AR494" s="308">
        <f t="shared" si="132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2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28"/>
        <v>0</v>
      </c>
      <c r="AI495" s="304">
        <f t="shared" si="129"/>
        <v>0</v>
      </c>
      <c r="AJ495" s="10"/>
      <c r="AK495" s="10"/>
      <c r="AL495" s="278">
        <v>0</v>
      </c>
      <c r="AM495" s="391"/>
      <c r="AN495" s="280">
        <f t="shared" si="130"/>
        <v>0</v>
      </c>
      <c r="AO495" s="287">
        <f t="shared" si="131"/>
        <v>0</v>
      </c>
      <c r="AP495" s="244"/>
      <c r="AQ495" s="244"/>
      <c r="AR495" s="308">
        <f t="shared" si="132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2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28"/>
        <v>0</v>
      </c>
      <c r="AI496" s="281">
        <f t="shared" si="129"/>
        <v>0</v>
      </c>
      <c r="AJ496" s="286"/>
      <c r="AK496" s="277"/>
      <c r="AL496" s="278"/>
      <c r="AM496" s="391"/>
      <c r="AN496" s="280">
        <f t="shared" si="130"/>
        <v>0</v>
      </c>
      <c r="AO496" s="287">
        <f t="shared" si="131"/>
        <v>0</v>
      </c>
      <c r="AP496" s="244"/>
      <c r="AQ496" s="244"/>
      <c r="AR496" s="308">
        <f t="shared" si="132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2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-3314.8</v>
      </c>
      <c r="AG497" s="279"/>
      <c r="AH497" s="280">
        <f t="shared" si="128"/>
        <v>-3314.8</v>
      </c>
      <c r="AI497" s="281">
        <f t="shared" si="129"/>
        <v>0</v>
      </c>
      <c r="AJ497" s="286"/>
      <c r="AK497" s="277"/>
      <c r="AL497" s="278">
        <v>-2547.54</v>
      </c>
      <c r="AM497" s="391"/>
      <c r="AN497" s="280">
        <f t="shared" si="130"/>
        <v>-767.26000000000022</v>
      </c>
      <c r="AO497" s="287">
        <f t="shared" si="131"/>
        <v>0.30117682156119246</v>
      </c>
      <c r="AP497" s="244"/>
      <c r="AQ497" s="308">
        <v>-3315</v>
      </c>
      <c r="AR497" s="308">
        <f t="shared" si="132"/>
        <v>-0.1999999999998181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2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28"/>
        <v>0</v>
      </c>
      <c r="AI498" s="281">
        <f t="shared" si="129"/>
        <v>0</v>
      </c>
      <c r="AJ498" s="286"/>
      <c r="AK498" s="277"/>
      <c r="AL498" s="278"/>
      <c r="AM498" s="391"/>
      <c r="AN498" s="280">
        <f t="shared" si="130"/>
        <v>0</v>
      </c>
      <c r="AO498" s="287">
        <f t="shared" si="131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9.5" thickTop="1" thickBot="1">
      <c r="A499" t="str">
        <f t="shared" si="12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3.5307123427313063E-2</v>
      </c>
      <c r="Z499" s="367">
        <f>Z490-Z492-Z493-Z494-Z498-Z497-Z495-Z496</f>
        <v>193938.61644849621</v>
      </c>
      <c r="AA499" s="365"/>
      <c r="AB499" s="366"/>
      <c r="AC499" s="367"/>
      <c r="AD499" s="365" t="s">
        <v>180</v>
      </c>
      <c r="AE499" s="366">
        <f>AF499/AF407</f>
        <v>2.9039853233539026E-2</v>
      </c>
      <c r="AF499" s="368">
        <f>AF490-AF492-AF493-AF494-AF498-AF497-AF495-AF496</f>
        <v>185616.08999999979</v>
      </c>
      <c r="AG499" s="369"/>
      <c r="AH499" s="368">
        <f t="shared" si="128"/>
        <v>-8322.5264484964136</v>
      </c>
      <c r="AI499" s="481">
        <f>AH499/Z499</f>
        <v>-4.291319903638998E-2</v>
      </c>
      <c r="AJ499" s="371" t="s">
        <v>180</v>
      </c>
      <c r="AK499" s="366">
        <f>IF($AL$407=0,0,AL499/$AL$407)</f>
        <v>2.3602189920889229E-2</v>
      </c>
      <c r="AL499" s="368">
        <f>AL490-AL492-AL493-AL494-AL498-AL497-AL495-AL496</f>
        <v>90008.639999999679</v>
      </c>
      <c r="AM499" s="372"/>
      <c r="AN499" s="368">
        <f t="shared" si="130"/>
        <v>95607.450000000114</v>
      </c>
      <c r="AO499" s="392">
        <f t="shared" si="131"/>
        <v>1.0622030285092681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5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185616.08999999979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25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8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5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8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8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8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>
        <v>10000</v>
      </c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8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8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242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8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195616.08999999979</v>
      </c>
      <c r="AG512" s="308">
        <f>AF512-AF506</f>
        <v>195616.08999999979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5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5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5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5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5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5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5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5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5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5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5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5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5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5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75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5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5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5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8.75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5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5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5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5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5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5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5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5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5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5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5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5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5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5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5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5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5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5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5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5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5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5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5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5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5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5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5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5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5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5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5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5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5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5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5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5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5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5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5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5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5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5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5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5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5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5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5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5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5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5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5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5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5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5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5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5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5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5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5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5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5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5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5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5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5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5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5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5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5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5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5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5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5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5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5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5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5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5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5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5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5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5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5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5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5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5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5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5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5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5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5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5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5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5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5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5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5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5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5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5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5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5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5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5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5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5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5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5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5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5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5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5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5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5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5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5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5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5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5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8.75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5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5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5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5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5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5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5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5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5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5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5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5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5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5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5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5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5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5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5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5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5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5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5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5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5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5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5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5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5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5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5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5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5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5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5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5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5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5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5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5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5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5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5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5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5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5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5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5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5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5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5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  <row r="704" spans="2:62" ht="16.5"/>
  </sheetData>
  <mergeCells count="42">
    <mergeCell ref="AM405:AO405"/>
    <mergeCell ref="X405:Z405"/>
    <mergeCell ref="AA405:AC405"/>
    <mergeCell ref="AD405:AF405"/>
    <mergeCell ref="AG405:AI405"/>
    <mergeCell ref="AJ405:AL405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M171:N171"/>
    <mergeCell ref="O171:Q17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R91:S91"/>
    <mergeCell ref="D91:F91"/>
    <mergeCell ref="G91:I91"/>
    <mergeCell ref="J91:L91"/>
    <mergeCell ref="M91:N91"/>
    <mergeCell ref="O91:Q91"/>
    <mergeCell ref="R3:S3"/>
    <mergeCell ref="D3:F3"/>
    <mergeCell ref="G3:I3"/>
    <mergeCell ref="J3:L3"/>
    <mergeCell ref="M3:N3"/>
    <mergeCell ref="O3:Q3"/>
  </mergeCells>
  <conditionalFormatting sqref="D113:D114">
    <cfRule type="expression" dxfId="109" priority="26" stopIfTrue="1">
      <formula>"esterreur(reference)"</formula>
    </cfRule>
  </conditionalFormatting>
  <conditionalFormatting sqref="E103:E105">
    <cfRule type="expression" dxfId="108" priority="2" stopIfTrue="1">
      <formula>"esterreur(reference)"</formula>
    </cfRule>
  </conditionalFormatting>
  <conditionalFormatting sqref="F5">
    <cfRule type="expression" dxfId="107" priority="69" stopIfTrue="1">
      <formula>"esterreur(reference)"</formula>
    </cfRule>
  </conditionalFormatting>
  <conditionalFormatting sqref="F185">
    <cfRule type="expression" dxfId="106" priority="78" stopIfTrue="1">
      <formula>"esterreur(reference)"</formula>
    </cfRule>
  </conditionalFormatting>
  <conditionalFormatting sqref="G31:G32">
    <cfRule type="expression" dxfId="105" priority="30" stopIfTrue="1">
      <formula>"esterreur(reference)"</formula>
    </cfRule>
  </conditionalFormatting>
  <conditionalFormatting sqref="G113:G114">
    <cfRule type="expression" dxfId="104" priority="27" stopIfTrue="1">
      <formula>"esterreur(reference)"</formula>
    </cfRule>
  </conditionalFormatting>
  <conditionalFormatting sqref="H137:H153">
    <cfRule type="expression" dxfId="103" priority="35" stopIfTrue="1">
      <formula>"esterreur(reference)"</formula>
    </cfRule>
  </conditionalFormatting>
  <conditionalFormatting sqref="H361">
    <cfRule type="expression" dxfId="102" priority="108" stopIfTrue="1">
      <formula>"esterreur(reference)"</formula>
    </cfRule>
  </conditionalFormatting>
  <conditionalFormatting sqref="H198:L198">
    <cfRule type="expression" dxfId="101" priority="110" stopIfTrue="1">
      <formula>"esterreur(reference)"</formula>
    </cfRule>
  </conditionalFormatting>
  <conditionalFormatting sqref="H397:L400">
    <cfRule type="expression" dxfId="100" priority="106" stopIfTrue="1">
      <formula>"esterreur(reference)"</formula>
    </cfRule>
  </conditionalFormatting>
  <conditionalFormatting sqref="I378:L378 H379:H396">
    <cfRule type="expression" dxfId="9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8" priority="102" stopIfTrue="1">
      <formula>"esterreur(reference)"</formula>
    </cfRule>
  </conditionalFormatting>
  <conditionalFormatting sqref="J49:L72">
    <cfRule type="expression" dxfId="97" priority="36" stopIfTrue="1">
      <formula>"esterreur(reference)"</formula>
    </cfRule>
  </conditionalFormatting>
  <conditionalFormatting sqref="J103:L105">
    <cfRule type="expression" dxfId="96" priority="99" stopIfTrue="1">
      <formula>"esterreur(reference)"</formula>
    </cfRule>
  </conditionalFormatting>
  <conditionalFormatting sqref="J150:L153">
    <cfRule type="expression" dxfId="95" priority="34" stopIfTrue="1">
      <formula>"esterreur(reference)"</formula>
    </cfRule>
  </conditionalFormatting>
  <conditionalFormatting sqref="J296:L304">
    <cfRule type="expression" dxfId="94" priority="95" stopIfTrue="1">
      <formula>"esterreur(reference)"</formula>
    </cfRule>
  </conditionalFormatting>
  <conditionalFormatting sqref="J308:L309">
    <cfRule type="expression" dxfId="93" priority="85" stopIfTrue="1">
      <formula>"esterreur(reference)"</formula>
    </cfRule>
  </conditionalFormatting>
  <conditionalFormatting sqref="J361:L361">
    <cfRule type="expression" dxfId="92" priority="77" stopIfTrue="1">
      <formula>"esterreur(reference)"</formula>
    </cfRule>
  </conditionalFormatting>
  <conditionalFormatting sqref="J366:L377">
    <cfRule type="expression" dxfId="91" priority="82" stopIfTrue="1">
      <formula>"esterreur(reference)"</formula>
    </cfRule>
  </conditionalFormatting>
  <conditionalFormatting sqref="J379:L395">
    <cfRule type="expression" dxfId="90" priority="81" stopIfTrue="1">
      <formula>"esterreur(reference)"</formula>
    </cfRule>
  </conditionalFormatting>
  <conditionalFormatting sqref="J313:M313">
    <cfRule type="expression" dxfId="89" priority="83" stopIfTrue="1">
      <formula>"esterreur(reference)"</formula>
    </cfRule>
  </conditionalFormatting>
  <conditionalFormatting sqref="J113:Q122">
    <cfRule type="expression" dxfId="88" priority="28" stopIfTrue="1">
      <formula>"esterreur(reference)"</formula>
    </cfRule>
  </conditionalFormatting>
  <conditionalFormatting sqref="J124:Q135">
    <cfRule type="expression" dxfId="87" priority="61" stopIfTrue="1">
      <formula>"esterreur(reference)"</formula>
    </cfRule>
  </conditionalFormatting>
  <conditionalFormatting sqref="K5">
    <cfRule type="expression" dxfId="86" priority="92" stopIfTrue="1">
      <formula>"esterreur(reference)"</formula>
    </cfRule>
  </conditionalFormatting>
  <conditionalFormatting sqref="K176">
    <cfRule type="expression" dxfId="85" priority="89" stopIfTrue="1">
      <formula>"esterreur(reference)"</formula>
    </cfRule>
  </conditionalFormatting>
  <conditionalFormatting sqref="K184:K185">
    <cfRule type="expression" dxfId="84" priority="91" stopIfTrue="1">
      <formula>"esterreur(reference)"</formula>
    </cfRule>
  </conditionalFormatting>
  <conditionalFormatting sqref="K288">
    <cfRule type="expression" dxfId="83" priority="75" stopIfTrue="1">
      <formula>"esterreur(reference)"</formula>
    </cfRule>
  </conditionalFormatting>
  <conditionalFormatting sqref="K396">
    <cfRule type="expression" dxfId="82" priority="109" stopIfTrue="1">
      <formula>"esterreur(reference)"</formula>
    </cfRule>
  </conditionalFormatting>
  <conditionalFormatting sqref="K93:L96">
    <cfRule type="expression" dxfId="81" priority="80" stopIfTrue="1">
      <formula>"esterreur(reference)"</formula>
    </cfRule>
  </conditionalFormatting>
  <conditionalFormatting sqref="K100:L101">
    <cfRule type="expression" dxfId="80" priority="100" stopIfTrue="1">
      <formula>"esterreur(reference)"</formula>
    </cfRule>
  </conditionalFormatting>
  <conditionalFormatting sqref="K172:L174">
    <cfRule type="expression" dxfId="79" priority="90" stopIfTrue="1">
      <formula>"esterreur(reference)"</formula>
    </cfRule>
  </conditionalFormatting>
  <conditionalFormatting sqref="K177:L183">
    <cfRule type="expression" dxfId="78" priority="88" stopIfTrue="1">
      <formula>"esterreur(reference)"</formula>
    </cfRule>
  </conditionalFormatting>
  <conditionalFormatting sqref="K186:L197">
    <cfRule type="expression" dxfId="77" priority="84" stopIfTrue="1">
      <formula>"esterreur(reference)"</formula>
    </cfRule>
  </conditionalFormatting>
  <conditionalFormatting sqref="K240:L242">
    <cfRule type="expression" dxfId="76" priority="79" stopIfTrue="1">
      <formula>"esterreur(reference)"</formula>
    </cfRule>
  </conditionalFormatting>
  <conditionalFormatting sqref="K245:L245">
    <cfRule type="expression" dxfId="75" priority="87" stopIfTrue="1">
      <formula>"esterreur(reference)"</formula>
    </cfRule>
  </conditionalFormatting>
  <conditionalFormatting sqref="K248:L248">
    <cfRule type="expression" dxfId="74" priority="86" stopIfTrue="1">
      <formula>"esterreur(reference)"</formula>
    </cfRule>
  </conditionalFormatting>
  <conditionalFormatting sqref="L16:L24 Q16:Q24 O18:O24 D31:D32 L99 O99 Q99">
    <cfRule type="expression" dxfId="73" priority="31" stopIfTrue="1">
      <formula>"esterreur(reference)"</formula>
    </cfRule>
  </conditionalFormatting>
  <conditionalFormatting sqref="L42:L48">
    <cfRule type="expression" dxfId="72" priority="101" stopIfTrue="1">
      <formula>"esterreur(reference)"</formula>
    </cfRule>
  </conditionalFormatting>
  <conditionalFormatting sqref="L75:L82">
    <cfRule type="expression" dxfId="71" priority="70" stopIfTrue="1">
      <formula>"esterreur(reference)"</formula>
    </cfRule>
  </conditionalFormatting>
  <conditionalFormatting sqref="L137:L148">
    <cfRule type="expression" dxfId="70" priority="74" stopIfTrue="1">
      <formula>"esterreur(reference)"</formula>
    </cfRule>
  </conditionalFormatting>
  <conditionalFormatting sqref="L175:L176">
    <cfRule type="expression" dxfId="69" priority="98" stopIfTrue="1">
      <formula>"esterreur(reference)"</formula>
    </cfRule>
  </conditionalFormatting>
  <conditionalFormatting sqref="L199:L210">
    <cfRule type="expression" dxfId="68" priority="97" stopIfTrue="1">
      <formula>"esterreur(reference)"</formula>
    </cfRule>
  </conditionalFormatting>
  <conditionalFormatting sqref="L212:L229">
    <cfRule type="expression" dxfId="67" priority="73" stopIfTrue="1">
      <formula>"esterreur(reference)"</formula>
    </cfRule>
  </conditionalFormatting>
  <conditionalFormatting sqref="L255:L266">
    <cfRule type="expression" dxfId="66" priority="96" stopIfTrue="1">
      <formula>"esterreur(reference)"</formula>
    </cfRule>
  </conditionalFormatting>
  <conditionalFormatting sqref="L268:L285">
    <cfRule type="expression" dxfId="65" priority="72" stopIfTrue="1">
      <formula>"esterreur(reference)"</formula>
    </cfRule>
  </conditionalFormatting>
  <conditionalFormatting sqref="L319:L330">
    <cfRule type="expression" dxfId="64" priority="94" stopIfTrue="1">
      <formula>"esterreur(reference)"</formula>
    </cfRule>
  </conditionalFormatting>
  <conditionalFormatting sqref="L332">
    <cfRule type="expression" dxfId="63" priority="71" stopIfTrue="1">
      <formula>"esterreur(reference)"</formula>
    </cfRule>
  </conditionalFormatting>
  <conditionalFormatting sqref="L335:L344 L346:L349">
    <cfRule type="expression" dxfId="62" priority="93" stopIfTrue="1">
      <formula>"esterreur(reference)"</formula>
    </cfRule>
  </conditionalFormatting>
  <conditionalFormatting sqref="L357:L358 H358:I358 K358 J358:J359 H360:L360">
    <cfRule type="expression" dxfId="61" priority="105" stopIfTrue="1">
      <formula>"esterreur(reference)"</formula>
    </cfRule>
  </conditionalFormatting>
  <conditionalFormatting sqref="L5:Q14">
    <cfRule type="expression" dxfId="60" priority="65" stopIfTrue="1">
      <formula>"esterreur(reference)"</formula>
    </cfRule>
  </conditionalFormatting>
  <conditionalFormatting sqref="L157:Q163">
    <cfRule type="expression" dxfId="59" priority="32" stopIfTrue="1">
      <formula>"esterreur(reference)"</formula>
    </cfRule>
  </conditionalFormatting>
  <conditionalFormatting sqref="M95:M97">
    <cfRule type="expression" dxfId="58" priority="103" stopIfTrue="1">
      <formula>"esterreur(reference)"</formula>
    </cfRule>
  </conditionalFormatting>
  <conditionalFormatting sqref="O13:O14 O16 O83:Q85">
    <cfRule type="expression" dxfId="57" priority="68" stopIfTrue="1">
      <formula>"esterreur(reference)"</formula>
    </cfRule>
  </conditionalFormatting>
  <conditionalFormatting sqref="O173:O197 Q184 O199:P230 O233:Q233 O234:P234">
    <cfRule type="expression" dxfId="56" priority="59" stopIfTrue="1">
      <formula>"esterreur(reference)"</formula>
    </cfRule>
  </conditionalFormatting>
  <conditionalFormatting sqref="O319:P349 O350:Q350 O353:Q353 O354:P354">
    <cfRule type="expression" dxfId="55" priority="43" stopIfTrue="1">
      <formula>"esterreur(reference)"</formula>
    </cfRule>
  </conditionalFormatting>
  <conditionalFormatting sqref="O25:Q72">
    <cfRule type="expression" dxfId="54" priority="29" stopIfTrue="1">
      <formula>"esterreur(reference)"</formula>
    </cfRule>
  </conditionalFormatting>
  <conditionalFormatting sqref="O97:Q99 O123:Q123 O157:P158 O165:Q165 O166:P166">
    <cfRule type="expression" dxfId="53" priority="64" stopIfTrue="1">
      <formula>"esterreur(reference)"</formula>
    </cfRule>
  </conditionalFormatting>
  <conditionalFormatting sqref="O102:Q112">
    <cfRule type="expression" dxfId="52" priority="1" stopIfTrue="1">
      <formula>"esterreur(reference)"</formula>
    </cfRule>
  </conditionalFormatting>
  <conditionalFormatting sqref="O136:Q154">
    <cfRule type="expression" dxfId="51" priority="33" stopIfTrue="1">
      <formula>"esterreur(reference)"</formula>
    </cfRule>
  </conditionalFormatting>
  <conditionalFormatting sqref="O198:Q198">
    <cfRule type="expression" dxfId="50" priority="60" stopIfTrue="1">
      <formula>"esterreur(reference)"</formula>
    </cfRule>
  </conditionalFormatting>
  <conditionalFormatting sqref="O244:Q244 O253:Q254 O255:P285 O286:Q286 O289:Q289 O290:P290">
    <cfRule type="expression" dxfId="49" priority="50" stopIfTrue="1">
      <formula>"esterreur(reference)"</formula>
    </cfRule>
  </conditionalFormatting>
  <conditionalFormatting sqref="O296:Q318">
    <cfRule type="expression" dxfId="48" priority="41" stopIfTrue="1">
      <formula>"esterreur(reference)"</formula>
    </cfRule>
  </conditionalFormatting>
  <conditionalFormatting sqref="O360:Q395">
    <cfRule type="expression" dxfId="47" priority="37" stopIfTrue="1">
      <formula>"esterreur(reference)"</formula>
    </cfRule>
  </conditionalFormatting>
  <conditionalFormatting sqref="O397:Q400">
    <cfRule type="expression" dxfId="46" priority="38" stopIfTrue="1">
      <formula>"esterreur(reference)"</formula>
    </cfRule>
  </conditionalFormatting>
  <conditionalFormatting sqref="P5">
    <cfRule type="expression" dxfId="45" priority="66" stopIfTrue="1">
      <formula>"esterreur(reference)"</formula>
    </cfRule>
  </conditionalFormatting>
  <conditionalFormatting sqref="P176">
    <cfRule type="expression" dxfId="44" priority="54" stopIfTrue="1">
      <formula>"esterreur(reference)"</formula>
    </cfRule>
  </conditionalFormatting>
  <conditionalFormatting sqref="P184:P185">
    <cfRule type="expression" dxfId="43" priority="56" stopIfTrue="1">
      <formula>"esterreur(reference)"</formula>
    </cfRule>
  </conditionalFormatting>
  <conditionalFormatting sqref="P288">
    <cfRule type="expression" dxfId="42" priority="45" stopIfTrue="1">
      <formula>"esterreur(reference)"</formula>
    </cfRule>
  </conditionalFormatting>
  <conditionalFormatting sqref="P396">
    <cfRule type="expression" dxfId="41" priority="39" stopIfTrue="1">
      <formula>"esterreur(reference)"</formula>
    </cfRule>
  </conditionalFormatting>
  <conditionalFormatting sqref="P93:Q96">
    <cfRule type="expression" dxfId="40" priority="62" stopIfTrue="1">
      <formula>"esterreur(reference)"</formula>
    </cfRule>
  </conditionalFormatting>
  <conditionalFormatting sqref="P100:Q101">
    <cfRule type="expression" dxfId="39" priority="63" stopIfTrue="1">
      <formula>"esterreur(reference)"</formula>
    </cfRule>
  </conditionalFormatting>
  <conditionalFormatting sqref="P173:Q174">
    <cfRule type="expression" dxfId="38" priority="55" stopIfTrue="1">
      <formula>"esterreur(reference)"</formula>
    </cfRule>
  </conditionalFormatting>
  <conditionalFormatting sqref="P177:Q183">
    <cfRule type="expression" dxfId="37" priority="53" stopIfTrue="1">
      <formula>"esterreur(reference)"</formula>
    </cfRule>
  </conditionalFormatting>
  <conditionalFormatting sqref="P186:Q197">
    <cfRule type="expression" dxfId="36" priority="52" stopIfTrue="1">
      <formula>"esterreur(reference)"</formula>
    </cfRule>
  </conditionalFormatting>
  <conditionalFormatting sqref="P242:Q242">
    <cfRule type="expression" dxfId="35" priority="46" stopIfTrue="1">
      <formula>"esterreur(reference)"</formula>
    </cfRule>
  </conditionalFormatting>
  <conditionalFormatting sqref="P245:Q245">
    <cfRule type="expression" dxfId="34" priority="48" stopIfTrue="1">
      <formula>"esterreur(reference)"</formula>
    </cfRule>
  </conditionalFormatting>
  <conditionalFormatting sqref="P248:Q248">
    <cfRule type="expression" dxfId="33" priority="47" stopIfTrue="1">
      <formula>"esterreur(reference)"</formula>
    </cfRule>
  </conditionalFormatting>
  <conditionalFormatting sqref="Q75:Q82">
    <cfRule type="expression" dxfId="32" priority="67" stopIfTrue="1">
      <formula>"esterreur(reference)"</formula>
    </cfRule>
  </conditionalFormatting>
  <conditionalFormatting sqref="Q175:Q176">
    <cfRule type="expression" dxfId="31" priority="58" stopIfTrue="1">
      <formula>"esterreur(reference)"</formula>
    </cfRule>
  </conditionalFormatting>
  <conditionalFormatting sqref="Q199:Q210">
    <cfRule type="expression" dxfId="30" priority="57" stopIfTrue="1">
      <formula>"esterreur(reference)"</formula>
    </cfRule>
  </conditionalFormatting>
  <conditionalFormatting sqref="Q212:Q229">
    <cfRule type="expression" dxfId="29" priority="51" stopIfTrue="1">
      <formula>"esterreur(reference)"</formula>
    </cfRule>
  </conditionalFormatting>
  <conditionalFormatting sqref="Q255:Q266">
    <cfRule type="expression" dxfId="28" priority="49" stopIfTrue="1">
      <formula>"esterreur(reference)"</formula>
    </cfRule>
  </conditionalFormatting>
  <conditionalFormatting sqref="Q268:Q285">
    <cfRule type="expression" dxfId="27" priority="44" stopIfTrue="1">
      <formula>"esterreur(reference)"</formula>
    </cfRule>
  </conditionalFormatting>
  <conditionalFormatting sqref="Q319:Q330">
    <cfRule type="expression" dxfId="26" priority="42" stopIfTrue="1">
      <formula>"esterreur(reference)"</formula>
    </cfRule>
  </conditionalFormatting>
  <conditionalFormatting sqref="Q332:Q349">
    <cfRule type="expression" dxfId="25" priority="40" stopIfTrue="1">
      <formula>"esterreur(reference)"</formula>
    </cfRule>
  </conditionalFormatting>
  <conditionalFormatting sqref="R313">
    <cfRule type="expression" dxfId="24" priority="104" stopIfTrue="1">
      <formula>"esterreur(reference)"</formula>
    </cfRule>
  </conditionalFormatting>
  <conditionalFormatting sqref="S187">
    <cfRule type="expression" dxfId="23" priority="76" stopIfTrue="1">
      <formula>"esterreur(reference)"</formula>
    </cfRule>
  </conditionalFormatting>
  <conditionalFormatting sqref="Z426:Z428">
    <cfRule type="cellIs" dxfId="22" priority="20" operator="greaterThan">
      <formula>0</formula>
    </cfRule>
  </conditionalFormatting>
  <conditionalFormatting sqref="Z433">
    <cfRule type="cellIs" dxfId="21" priority="17" operator="greaterThan">
      <formula>0</formula>
    </cfRule>
  </conditionalFormatting>
  <conditionalFormatting sqref="Z450:Z452">
    <cfRule type="cellIs" dxfId="20" priority="13" operator="greaterThan">
      <formula>0</formula>
    </cfRule>
  </conditionalFormatting>
  <conditionalFormatting sqref="Z464:Z466">
    <cfRule type="cellIs" dxfId="19" priority="9" operator="greaterThan">
      <formula>0</formula>
    </cfRule>
  </conditionalFormatting>
  <conditionalFormatting sqref="Z479:Z480">
    <cfRule type="cellIs" dxfId="18" priority="6" operator="greaterThan">
      <formula>0</formula>
    </cfRule>
  </conditionalFormatting>
  <conditionalFormatting sqref="Z496:Z498">
    <cfRule type="cellIs" dxfId="17" priority="3" operator="greaterThan">
      <formula>0</formula>
    </cfRule>
  </conditionalFormatting>
  <conditionalFormatting sqref="AC426:AC428">
    <cfRule type="cellIs" dxfId="16" priority="21" operator="greaterThan">
      <formula>0</formula>
    </cfRule>
  </conditionalFormatting>
  <conditionalFormatting sqref="AC433">
    <cfRule type="cellIs" dxfId="15" priority="18" operator="greaterThan">
      <formula>0</formula>
    </cfRule>
  </conditionalFormatting>
  <conditionalFormatting sqref="AC450:AC452">
    <cfRule type="cellIs" dxfId="14" priority="14" operator="greaterThan">
      <formula>0</formula>
    </cfRule>
  </conditionalFormatting>
  <conditionalFormatting sqref="AC464:AC466">
    <cfRule type="cellIs" dxfId="13" priority="10" operator="greaterThan">
      <formula>0</formula>
    </cfRule>
  </conditionalFormatting>
  <conditionalFormatting sqref="AC479:AC480">
    <cfRule type="cellIs" dxfId="12" priority="7" operator="greaterThan">
      <formula>0</formula>
    </cfRule>
  </conditionalFormatting>
  <conditionalFormatting sqref="AC496:AC498">
    <cfRule type="cellIs" dxfId="11" priority="4" operator="greaterThan">
      <formula>0</formula>
    </cfRule>
  </conditionalFormatting>
  <conditionalFormatting sqref="AG410:AI419">
    <cfRule type="cellIs" dxfId="10" priority="23" operator="greaterThan">
      <formula>0</formula>
    </cfRule>
  </conditionalFormatting>
  <conditionalFormatting sqref="AH450:AH453">
    <cfRule type="cellIs" dxfId="9" priority="15" operator="greaterThan">
      <formula>0</formula>
    </cfRule>
  </conditionalFormatting>
  <conditionalFormatting sqref="AH462:AH467">
    <cfRule type="cellIs" dxfId="8" priority="11" operator="greaterThan">
      <formula>0</formula>
    </cfRule>
  </conditionalFormatting>
  <conditionalFormatting sqref="AH421:AI449">
    <cfRule type="cellIs" dxfId="7" priority="19" operator="greaterThan">
      <formula>0</formula>
    </cfRule>
  </conditionalFormatting>
  <conditionalFormatting sqref="AH454:AI461 AH468:AI469">
    <cfRule type="cellIs" dxfId="6" priority="24" operator="greaterThan">
      <formula>0</formula>
    </cfRule>
  </conditionalFormatting>
  <conditionalFormatting sqref="AH470:AI478 AH481:AI481">
    <cfRule type="cellIs" dxfId="5" priority="25" operator="lessThan">
      <formula>0</formula>
    </cfRule>
  </conditionalFormatting>
  <conditionalFormatting sqref="AH479:AI480">
    <cfRule type="cellIs" dxfId="4" priority="8" operator="greaterThan">
      <formula>0</formula>
    </cfRule>
  </conditionalFormatting>
  <conditionalFormatting sqref="AH492:AI498">
    <cfRule type="cellIs" dxfId="3" priority="5" operator="greaterThan">
      <formula>0</formula>
    </cfRule>
  </conditionalFormatting>
  <conditionalFormatting sqref="AI450:AI452">
    <cfRule type="cellIs" dxfId="2" priority="16" operator="greaterThan">
      <formula>0</formula>
    </cfRule>
  </conditionalFormatting>
  <conditionalFormatting sqref="AI464:AI466">
    <cfRule type="cellIs" dxfId="1" priority="12" operator="greaterThan">
      <formula>0</formula>
    </cfRule>
  </conditionalFormatting>
  <conditionalFormatting sqref="AO410:AO419">
    <cfRule type="cellIs" dxfId="0" priority="22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2026-07-14T16:58:44Z</cp:lastPrinted>
  <dcterms:created xsi:type="dcterms:W3CDTF">2021-02-12T03:12:48Z</dcterms:created>
  <dcterms:modified xsi:type="dcterms:W3CDTF">2026-07-14T16:58:46Z</dcterms:modified>
</cp:coreProperties>
</file>