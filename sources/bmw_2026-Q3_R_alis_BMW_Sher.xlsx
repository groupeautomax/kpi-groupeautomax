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C4F6E135-2250-4F1E-8EEB-B6D79076382D}" xr6:coauthVersionLast="47" xr6:coauthVersionMax="47" xr10:uidLastSave="{00000000-0000-0000-0000-000000000000}"/>
  <bookViews>
    <workbookView xWindow="-108" yWindow="-108" windowWidth="23256" windowHeight="13896" activeTab="1" xr2:uid="{508BF4A0-C9FC-49F5-A5A9-A2907877ABE5}"/>
  </bookViews>
  <sheets>
    <sheet name="Paramètre" sheetId="2" r:id="rId1"/>
    <sheet name="Conso" sheetId="1" r:id="rId2"/>
    <sheet name="START" sheetId="3" r:id="rId3"/>
    <sheet name="Mois 1" sheetId="15" r:id="rId4"/>
    <sheet name="Mois 2" sheetId="5" r:id="rId5"/>
    <sheet name="Mois 3" sheetId="6" r:id="rId6"/>
    <sheet name="END" sheetId="4" r:id="rId7"/>
  </sheets>
  <definedNames>
    <definedName name="_Dates_Conc">#REF!</definedName>
    <definedName name="_Order1" hidden="1">0</definedName>
    <definedName name="_scen">#REF!</definedName>
    <definedName name="_scen1">#REF!</definedName>
    <definedName name="_scen2">#REF!</definedName>
    <definedName name="_SCenarios">#REF!</definedName>
    <definedName name="_Sens1">#REF!</definedName>
    <definedName name="_Sens2">#REF!</definedName>
    <definedName name="_sensRes1">#REF!</definedName>
    <definedName name="_sensRes2">#REF!</definedName>
    <definedName name="_sensRes3">#REF!</definedName>
    <definedName name="_sensRes4">#REF!</definedName>
    <definedName name="_sensRes5">#REF!</definedName>
    <definedName name="_sensRes6">#REF!</definedName>
    <definedName name="_sensRes7">#REF!</definedName>
    <definedName name="a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3" hidden="1">{"Page1",#N/A,FALSE,"CompCo";"Page2",#N/A,FALSE,"CompCo"}</definedName>
    <definedName name="Compco1" localSheetId="4" hidden="1">{"Page1",#N/A,FALSE,"CompCo";"Page2",#N/A,FALSE,"CompCo"}</definedName>
    <definedName name="Compco1" localSheetId="5" hidden="1">{"Page1",#N/A,FALSE,"CompCo";"Page2",#N/A,FALSE,"CompCo"}</definedName>
    <definedName name="Compco1" hidden="1">{"Page1",#N/A,FALSE,"CompCo";"Page2",#N/A,FALSE,"CompCo"}</definedName>
    <definedName name="Compco2" localSheetId="3" hidden="1">{"Page1",#N/A,FALSE,"CompCo";"Page2",#N/A,FALSE,"CompCo"}</definedName>
    <definedName name="Compco2" localSheetId="4" hidden="1">{"Page1",#N/A,FALSE,"CompCo";"Page2",#N/A,FALSE,"CompCo"}</definedName>
    <definedName name="Compco2" localSheetId="5" hidden="1">{"Page1",#N/A,FALSE,"CompCo";"Page2",#N/A,FALSE,"CompCo"}</definedName>
    <definedName name="Compco2" hidden="1">{"Page1",#N/A,FALSE,"CompCo";"Page2",#N/A,FALSE,"CompCo"}</definedName>
    <definedName name="DateRange">#REF!</definedName>
    <definedName name="DateRangePr" localSheetId="3" hidden="1">OFFSET(#REF!,5,0,COUNTA(#REF!)-COUNTA(#REF!),1)</definedName>
    <definedName name="DateRangePr" hidden="1">OFFSET(#REF!,5,0,COUNTA(#REF!)-COUNTA(#REF!),1)</definedName>
    <definedName name="DateRangePrice" localSheetId="3" hidden="1">OFFSET(#REF!,5,0,COUNTA(#REF!)-COUNTA(#REF!),1)</definedName>
    <definedName name="DateRangePrice" hidden="1">OFFSET(#REF!,5,0,COUNTA(#REF!)-COUNTA(#REF!),1)</definedName>
    <definedName name="DateRangePrice1" localSheetId="3" hidden="1">OFFSET(#REF!,5,0,COUNTA(#REF!)-COUNTA(#REF!),1)</definedName>
    <definedName name="DateRangePrice1" hidden="1">OFFSET(#REF!,5,0,COUNTA(#REF!)-COUNTA(#REF!),1)</definedName>
    <definedName name="DateRangePrice2" localSheetId="3" hidden="1">OFFSET(#REF!,5,0,COUNTA(#REF!)-COUNTA(#REF!),1)</definedName>
    <definedName name="DateRangePrice2" hidden="1">OFFSET(#REF!,5,0,COUNTA(#REF!)-COUNTA(#REF!),1)</definedName>
    <definedName name="ERT" localSheetId="3" hidden="1">{"execsum",#N/A,FALSE,"ExecSum";"finstatement",#N/A,FALSE,"Fin_St"}</definedName>
    <definedName name="ERT" localSheetId="4" hidden="1">{"execsum",#N/A,FALSE,"ExecSum";"finstatement",#N/A,FALSE,"Fin_St"}</definedName>
    <definedName name="ERT" localSheetId="5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hidden="1">#REF!,#REF!,#REF!,#REF!,#REF!</definedName>
    <definedName name="hn.ModelVersion" hidden="1">1</definedName>
    <definedName name="hn.NoUpload" hidden="1">0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3" hidden="1">{"finana",#N/A,FALSE,"Fin"}</definedName>
    <definedName name="kjjkghkhj" localSheetId="4" hidden="1">{"finana",#N/A,FALSE,"Fin"}</definedName>
    <definedName name="kjjkghkhj" localSheetId="5" hidden="1">{"finana",#N/A,FALSE,"Fin"}</definedName>
    <definedName name="kjjkghkhj" hidden="1">{"finana",#N/A,FALSE,"Fin"}</definedName>
    <definedName name="limcount" hidden="1">1</definedName>
    <definedName name="lkhkhj" localSheetId="3" hidden="1">{"sub1",#N/A,FALSE,"Subs";"pac1",#N/A,FALSE,"Packages";"rev1",#N/A,FALSE,"2. Revenues"}</definedName>
    <definedName name="lkhkhj" localSheetId="4" hidden="1">{"sub1",#N/A,FALSE,"Subs";"pac1",#N/A,FALSE,"Packages";"rev1",#N/A,FALSE,"2. Revenues"}</definedName>
    <definedName name="lkhkhj" localSheetId="5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>#REF!</definedName>
    <definedName name="Months">#REF!</definedName>
    <definedName name="Outpu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3" hidden="1">OFFSET(#REF!,5,0,COUNTA(#REF!)-COUNTA(#REF!),1)</definedName>
    <definedName name="PriceRange" hidden="1">OFFSET(#REF!,5,0,COUNTA(#REF!)-COUNTA(#REF!),1)</definedName>
    <definedName name="PriceRange2" localSheetId="3" hidden="1">OFFSET(#REF!,5,0,COUNTA(#REF!)-COUNTA(#REF!),1)</definedName>
    <definedName name="PriceRange2" hidden="1">OFFSET(#REF!,5,0,COUNTA(#REF!)-COUNTA(#REF!),1)</definedName>
    <definedName name="Rng_Dealers_Names">#REF!</definedName>
    <definedName name="Rng_Dlr_Dates">#REF!</definedName>
    <definedName name="sencount" hidden="1">1</definedName>
    <definedName name="SLEVIN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3" hidden="1">{"execsum",#N/A,FALSE,"ExecSum";"finstatement",#N/A,FALSE,"Fin_St"}</definedName>
    <definedName name="test" localSheetId="4" hidden="1">{"execsum",#N/A,FALSE,"ExecSum";"finstatement",#N/A,FALSE,"Fin_St"}</definedName>
    <definedName name="test" localSheetId="5" hidden="1">{"execsum",#N/A,FALSE,"ExecSum";"finstatement",#N/A,FALSE,"Fin_St"}</definedName>
    <definedName name="test" hidden="1">{"execsum",#N/A,FALSE,"ExecSum";"finstatement",#N/A,FALSE,"Fin_St"}</definedName>
    <definedName name="test21" localSheetId="3" hidden="1">OFFSET(#REF!,5,0,COUNTA(#REF!)-COUNTA(#REF!),1)</definedName>
    <definedName name="test21" hidden="1">OFFSET(#REF!,5,0,COUNTA(#REF!)-COUNTA(#REF!),1)</definedName>
    <definedName name="Ticker" hidden="1">#N/A</definedName>
    <definedName name="Titre">#REF!</definedName>
    <definedName name="value" localSheetId="3" hidden="1">OFFSET(#REF!,5,0,COUNTA(#REF!)-COUNTA(#REF!),1)</definedName>
    <definedName name="value" hidden="1">OFFSET(#REF!,5,0,COUNTA(#REF!)-COUNTA(#REF!),1)</definedName>
    <definedName name="value2" localSheetId="3" hidden="1">OFFSET(#REF!,5,0,COUNTA(#REF!)-COUNTA(#REF!),1)</definedName>
    <definedName name="value2" hidden="1">OFFSET(#REF!,5,0,COUNTA(#REF!)-COUNTA(#REF!),1)</definedName>
    <definedName name="wrn.amendement." localSheetId="3" hidden="1">{#N/A,#N/A,FALSE,"amendement"}</definedName>
    <definedName name="wrn.amendement." localSheetId="4" hidden="1">{#N/A,#N/A,FALSE,"amendement"}</definedName>
    <definedName name="wrn.amendement." localSheetId="5" hidden="1">{#N/A,#N/A,FALSE,"amendement"}</definedName>
    <definedName name="wrn.amendement." hidden="1">{#N/A,#N/A,FALSE,"amendement"}</definedName>
    <definedName name="wrn.amendement.." localSheetId="3" hidden="1">{#N/A,#N/A,FALSE,"amendement"}</definedName>
    <definedName name="wrn.amendement.." localSheetId="4" hidden="1">{#N/A,#N/A,FALSE,"amendement"}</definedName>
    <definedName name="wrn.amendement.." localSheetId="5" hidden="1">{#N/A,#N/A,FALSE,"amendement"}</definedName>
    <definedName name="wrn.amendement.." hidden="1">{#N/A,#N/A,FALSE,"amendement"}</definedName>
    <definedName name="wrn.COMPCO." localSheetId="3" hidden="1">{"Page1",#N/A,FALSE,"CompCo";"Page2",#N/A,FALSE,"CompCo"}</definedName>
    <definedName name="wrn.COMPCO." localSheetId="4" hidden="1">{"Page1",#N/A,FALSE,"CompCo";"Page2",#N/A,FALSE,"CompCo"}</definedName>
    <definedName name="wrn.COMPCO." localSheetId="5" hidden="1">{"Page1",#N/A,FALSE,"CompCo";"Page2",#N/A,FALSE,"CompCo"}</definedName>
    <definedName name="wrn.COMPCO." hidden="1">{"Page1",#N/A,FALSE,"CompCo";"Page2",#N/A,FALSE,"CompCo"}</definedName>
    <definedName name="wrn.Delchamps." localSheetId="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5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3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localSheetId="5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3" hidden="1">{"execsum",#N/A,FALSE,"ExecSum";"finstatement",#N/A,FALSE,"Fin_St"}</definedName>
    <definedName name="wrn.execsum." localSheetId="4" hidden="1">{"execsum",#N/A,FALSE,"ExecSum";"finstatement",#N/A,FALSE,"Fin_St"}</definedName>
    <definedName name="wrn.execsum." localSheetId="5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3" hidden="1">{"finana",#N/A,FALSE,"Fin"}</definedName>
    <definedName name="wrn.Finanalysis." localSheetId="4" hidden="1">{"finana",#N/A,FALSE,"Fin"}</definedName>
    <definedName name="wrn.Finanalysis." localSheetId="5" hidden="1">{"finana",#N/A,FALSE,"Fin"}</definedName>
    <definedName name="wrn.Finanalysis." hidden="1">{"finana",#N/A,FALSE,"Fin"}</definedName>
    <definedName name="wrn.full._.report." localSheetId="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3" hidden="1">{"sub1",#N/A,FALSE,"Subs";"pac1",#N/A,FALSE,"Packages";"rev1",#N/A,FALSE,"2. Revenues"}</definedName>
    <definedName name="wrn.magicrep." localSheetId="4" hidden="1">{"sub1",#N/A,FALSE,"Subs";"pac1",#N/A,FALSE,"Packages";"rev1",#N/A,FALSE,"2. Revenues"}</definedName>
    <definedName name="wrn.magicrep." localSheetId="5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3" hidden="1">{"volu1",#N/A,FALSE,"Volumes";"headcount",#N/A,FALSE,"Headcount";"emprpt",#N/A,FALSE,"Output"}</definedName>
    <definedName name="wrn.persrep." localSheetId="4" hidden="1">{"volu1",#N/A,FALSE,"Volumes";"headcount",#N/A,FALSE,"Headcount";"emprpt",#N/A,FALSE,"Output"}</definedName>
    <definedName name="wrn.persrep." localSheetId="5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3" hidden="1">{"PA1",#N/A,FALSE,"BORDMW";"pa2",#N/A,FALSE,"BORDMW";"PA3",#N/A,FALSE,"BORDMW";"PA4",#N/A,FALSE,"BORDMW"}</definedName>
    <definedName name="wrn.PrintAll." localSheetId="4" hidden="1">{"PA1",#N/A,FALSE,"BORDMW";"pa2",#N/A,FALSE,"BORDMW";"PA3",#N/A,FALSE,"BORDMW";"PA4",#N/A,FALSE,"BORDMW"}</definedName>
    <definedName name="wrn.PrintAll." localSheetId="5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5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5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3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localSheetId="5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">Conso!$C$1:$S$234,Conso!$C$292:$S$354,Conso!$V$403:$AO$499</definedName>
    <definedName name="_xlnm.Print_Area" localSheetId="3">'Mois 1'!#REF!,'Mois 1'!#REF!,'Mois 1'!#REF!,'Mois 1'!#REF!,'Mois 1'!#REF!,'Mois 1'!#REF!</definedName>
    <definedName name="_xlnm.Print_Area" localSheetId="4">'Mois 2'!#REF!,'Mois 2'!#REF!,'Mois 2'!#REF!,'Mois 2'!#REF!,'Mois 2'!#REF!,'Mois 2'!#REF!</definedName>
    <definedName name="_xlnm.Print_Area" localSheetId="5">'Mois 3'!$C$1:$T$698,'Mois 3'!$U$402:$AO$498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00" i="6" l="1"/>
  <c r="A499" i="6"/>
  <c r="AO498" i="6"/>
  <c r="AN498" i="6"/>
  <c r="A498" i="6"/>
  <c r="AR497" i="6"/>
  <c r="A497" i="6"/>
  <c r="AR496" i="6"/>
  <c r="AO496" i="6"/>
  <c r="AN496" i="6"/>
  <c r="A496" i="6"/>
  <c r="AR495" i="6"/>
  <c r="AI495" i="6"/>
  <c r="A495" i="6"/>
  <c r="AR494" i="6"/>
  <c r="AI494" i="6"/>
  <c r="A494" i="6"/>
  <c r="AN493" i="6"/>
  <c r="AI493" i="6"/>
  <c r="AH493" i="6"/>
  <c r="AR493" i="6"/>
  <c r="A493" i="6"/>
  <c r="AR492" i="6"/>
  <c r="A492" i="6"/>
  <c r="A491" i="6"/>
  <c r="A490" i="6"/>
  <c r="A489" i="6"/>
  <c r="A488" i="6"/>
  <c r="A487" i="6"/>
  <c r="A485" i="6"/>
  <c r="A484" i="6"/>
  <c r="AO483" i="6"/>
  <c r="AN483" i="6"/>
  <c r="A483" i="6"/>
  <c r="AR482" i="6"/>
  <c r="A482" i="6"/>
  <c r="AS481" i="6"/>
  <c r="A481" i="6"/>
  <c r="AS480" i="6"/>
  <c r="A480" i="6"/>
  <c r="AS479" i="6"/>
  <c r="A479" i="6"/>
  <c r="AR478" i="6"/>
  <c r="AS478" i="6" s="1"/>
  <c r="AT478" i="6" s="1"/>
  <c r="A478" i="6"/>
  <c r="AS477" i="6"/>
  <c r="A477" i="6"/>
  <c r="AS476" i="6"/>
  <c r="A476" i="6"/>
  <c r="AS475" i="6"/>
  <c r="AO475" i="6"/>
  <c r="A475" i="6"/>
  <c r="AS474" i="6"/>
  <c r="A474" i="6"/>
  <c r="AS473" i="6"/>
  <c r="A473" i="6"/>
  <c r="AR472" i="6"/>
  <c r="AQ472" i="6"/>
  <c r="AQ482" i="6" s="1"/>
  <c r="A472" i="6"/>
  <c r="AS471" i="6"/>
  <c r="A471" i="6"/>
  <c r="AT470" i="6"/>
  <c r="AS470" i="6"/>
  <c r="A470" i="6"/>
  <c r="A469" i="6"/>
  <c r="AO468" i="6"/>
  <c r="AN468" i="6"/>
  <c r="AH468" i="6"/>
  <c r="A468" i="6"/>
  <c r="A467" i="6"/>
  <c r="A466" i="6"/>
  <c r="A465" i="6"/>
  <c r="A464" i="6"/>
  <c r="A463" i="6"/>
  <c r="AQ462" i="6"/>
  <c r="A462" i="6"/>
  <c r="AN461" i="6"/>
  <c r="AH461" i="6"/>
  <c r="A461" i="6"/>
  <c r="AO461" i="6" s="1"/>
  <c r="AQ460" i="6"/>
  <c r="A460" i="6"/>
  <c r="AQ459" i="6"/>
  <c r="AN459" i="6"/>
  <c r="AO459" i="6" s="1"/>
  <c r="A459" i="6"/>
  <c r="AN458" i="6"/>
  <c r="A458" i="6"/>
  <c r="AO457" i="6"/>
  <c r="AI457" i="6"/>
  <c r="A457" i="6"/>
  <c r="AN456" i="6"/>
  <c r="AO456" i="6" s="1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Q443" i="6"/>
  <c r="A443" i="6"/>
  <c r="A442" i="6"/>
  <c r="A440" i="6"/>
  <c r="A439" i="6"/>
  <c r="AQ438" i="6"/>
  <c r="A438" i="6"/>
  <c r="A437" i="6"/>
  <c r="A436" i="6"/>
  <c r="AQ435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S395" i="6"/>
  <c r="A395" i="6"/>
  <c r="S394" i="6"/>
  <c r="A394" i="6"/>
  <c r="S393" i="6"/>
  <c r="A393" i="6"/>
  <c r="S392" i="6"/>
  <c r="A392" i="6"/>
  <c r="A391" i="6"/>
  <c r="S390" i="6"/>
  <c r="A390" i="6"/>
  <c r="A389" i="6"/>
  <c r="S388" i="6"/>
  <c r="A388" i="6"/>
  <c r="S387" i="6"/>
  <c r="A387" i="6"/>
  <c r="A386" i="6"/>
  <c r="S385" i="6"/>
  <c r="A385" i="6"/>
  <c r="A384" i="6"/>
  <c r="S383" i="6"/>
  <c r="A383" i="6"/>
  <c r="S382" i="6"/>
  <c r="A382" i="6"/>
  <c r="A381" i="6"/>
  <c r="S380" i="6"/>
  <c r="A380" i="6"/>
  <c r="A379" i="6"/>
  <c r="A378" i="6"/>
  <c r="A377" i="6"/>
  <c r="A376" i="6"/>
  <c r="S375" i="6"/>
  <c r="A375" i="6"/>
  <c r="S374" i="6"/>
  <c r="A374" i="6"/>
  <c r="S373" i="6"/>
  <c r="A373" i="6"/>
  <c r="A372" i="6"/>
  <c r="A371" i="6"/>
  <c r="A370" i="6"/>
  <c r="A369" i="6"/>
  <c r="A368" i="6"/>
  <c r="S367" i="6"/>
  <c r="A367" i="6"/>
  <c r="A366" i="6"/>
  <c r="A365" i="6"/>
  <c r="A364" i="6"/>
  <c r="L363" i="6"/>
  <c r="J363" i="6"/>
  <c r="K363" i="6" s="1"/>
  <c r="A363" i="6"/>
  <c r="A362" i="6"/>
  <c r="Q363" i="6"/>
  <c r="K361" i="6"/>
  <c r="F363" i="6"/>
  <c r="E361" i="6"/>
  <c r="D363" i="6"/>
  <c r="E363" i="6" s="1"/>
  <c r="A361" i="6"/>
  <c r="A360" i="6"/>
  <c r="S349" i="6"/>
  <c r="A349" i="6"/>
  <c r="A348" i="6"/>
  <c r="A347" i="6"/>
  <c r="A346" i="6"/>
  <c r="N345" i="6"/>
  <c r="S345" i="6"/>
  <c r="A345" i="6"/>
  <c r="A344" i="6"/>
  <c r="S343" i="6"/>
  <c r="A343" i="6"/>
  <c r="S342" i="6"/>
  <c r="A342" i="6"/>
  <c r="A341" i="6"/>
  <c r="S340" i="6"/>
  <c r="N340" i="6"/>
  <c r="A340" i="6"/>
  <c r="S339" i="6"/>
  <c r="N339" i="6"/>
  <c r="A339" i="6"/>
  <c r="A338" i="6"/>
  <c r="S337" i="6"/>
  <c r="A337" i="6"/>
  <c r="A336" i="6"/>
  <c r="A335" i="6"/>
  <c r="N334" i="6"/>
  <c r="A334" i="6"/>
  <c r="S333" i="6"/>
  <c r="A333" i="6"/>
  <c r="N332" i="6"/>
  <c r="L350" i="6"/>
  <c r="A332" i="6"/>
  <c r="A331" i="6"/>
  <c r="N330" i="6"/>
  <c r="A330" i="6"/>
  <c r="A329" i="6"/>
  <c r="N329" i="6" s="1"/>
  <c r="A328" i="6"/>
  <c r="A327" i="6"/>
  <c r="A326" i="6"/>
  <c r="A325" i="6"/>
  <c r="S324" i="6"/>
  <c r="N324" i="6"/>
  <c r="A324" i="6"/>
  <c r="A323" i="6"/>
  <c r="S322" i="6"/>
  <c r="A322" i="6"/>
  <c r="A321" i="6"/>
  <c r="N320" i="6"/>
  <c r="A320" i="6"/>
  <c r="A319" i="6"/>
  <c r="A318" i="6"/>
  <c r="A317" i="6"/>
  <c r="A316" i="6"/>
  <c r="A315" i="6"/>
  <c r="A314" i="6"/>
  <c r="K313" i="6"/>
  <c r="A313" i="6"/>
  <c r="A312" i="6"/>
  <c r="A311" i="6"/>
  <c r="A310" i="6"/>
  <c r="S309" i="6"/>
  <c r="R309" i="6"/>
  <c r="E309" i="6"/>
  <c r="A309" i="6"/>
  <c r="A308" i="6"/>
  <c r="A307" i="6"/>
  <c r="A306" i="6"/>
  <c r="A305" i="6"/>
  <c r="R304" i="6"/>
  <c r="P304" i="6"/>
  <c r="K304" i="6"/>
  <c r="E304" i="6"/>
  <c r="A304" i="6"/>
  <c r="K303" i="6"/>
  <c r="A303" i="6"/>
  <c r="S302" i="6"/>
  <c r="K302" i="6"/>
  <c r="A302" i="6"/>
  <c r="K301" i="6"/>
  <c r="A301" i="6"/>
  <c r="N300" i="6"/>
  <c r="A300" i="6"/>
  <c r="A299" i="6"/>
  <c r="A298" i="6"/>
  <c r="A297" i="6"/>
  <c r="K296" i="6"/>
  <c r="A296" i="6"/>
  <c r="A295" i="6"/>
  <c r="K286" i="6"/>
  <c r="S285" i="6"/>
  <c r="N285" i="6"/>
  <c r="A285" i="6"/>
  <c r="A284" i="6"/>
  <c r="N283" i="6"/>
  <c r="A283" i="6"/>
  <c r="A282" i="6"/>
  <c r="N282" i="6" s="1"/>
  <c r="A281" i="6"/>
  <c r="S280" i="6"/>
  <c r="N280" i="6"/>
  <c r="A280" i="6"/>
  <c r="S279" i="6"/>
  <c r="N279" i="6"/>
  <c r="A279" i="6"/>
  <c r="A278" i="6"/>
  <c r="A277" i="6"/>
  <c r="S276" i="6"/>
  <c r="A276" i="6"/>
  <c r="N276" i="6" s="1"/>
  <c r="A275" i="6"/>
  <c r="S274" i="6"/>
  <c r="N274" i="6"/>
  <c r="A274" i="6"/>
  <c r="A273" i="6"/>
  <c r="S272" i="6"/>
  <c r="N272" i="6"/>
  <c r="A272" i="6"/>
  <c r="S271" i="6"/>
  <c r="A271" i="6"/>
  <c r="A270" i="6"/>
  <c r="S269" i="6"/>
  <c r="N269" i="6"/>
  <c r="A269" i="6"/>
  <c r="A268" i="6"/>
  <c r="K267" i="6"/>
  <c r="A267" i="6"/>
  <c r="S266" i="6"/>
  <c r="A266" i="6"/>
  <c r="K288" i="6"/>
  <c r="N265" i="6"/>
  <c r="A265" i="6"/>
  <c r="S264" i="6"/>
  <c r="A264" i="6"/>
  <c r="A263" i="6"/>
  <c r="S262" i="6"/>
  <c r="N262" i="6"/>
  <c r="A262" i="6"/>
  <c r="S261" i="6"/>
  <c r="A261" i="6"/>
  <c r="A260" i="6"/>
  <c r="S259" i="6"/>
  <c r="N259" i="6"/>
  <c r="A259" i="6"/>
  <c r="A258" i="6"/>
  <c r="A257" i="6"/>
  <c r="S256" i="6"/>
  <c r="N256" i="6"/>
  <c r="A256" i="6"/>
  <c r="A255" i="6"/>
  <c r="A254" i="6"/>
  <c r="A253" i="6"/>
  <c r="A252" i="6"/>
  <c r="L251" i="6"/>
  <c r="A251" i="6"/>
  <c r="A250" i="6"/>
  <c r="S249" i="6"/>
  <c r="Q249" i="6"/>
  <c r="N249" i="6"/>
  <c r="F249" i="6"/>
  <c r="A249" i="6"/>
  <c r="S248" i="6"/>
  <c r="R248" i="6"/>
  <c r="N248" i="6"/>
  <c r="L249" i="6"/>
  <c r="A248" i="6"/>
  <c r="A247" i="6"/>
  <c r="A246" i="6"/>
  <c r="R245" i="6"/>
  <c r="N245" i="6"/>
  <c r="N246" i="6" s="1"/>
  <c r="L246" i="6"/>
  <c r="A245" i="6"/>
  <c r="A244" i="6"/>
  <c r="A243" i="6"/>
  <c r="A242" i="6"/>
  <c r="A241" i="6"/>
  <c r="A240" i="6"/>
  <c r="A229" i="6"/>
  <c r="N228" i="6"/>
  <c r="A228" i="6"/>
  <c r="S228" i="6" s="1"/>
  <c r="A227" i="6"/>
  <c r="A226" i="6"/>
  <c r="S225" i="6"/>
  <c r="N225" i="6"/>
  <c r="A225" i="6"/>
  <c r="S224" i="6"/>
  <c r="A224" i="6"/>
  <c r="S223" i="6"/>
  <c r="A223" i="6"/>
  <c r="S222" i="6"/>
  <c r="N222" i="6"/>
  <c r="A222" i="6"/>
  <c r="N221" i="6"/>
  <c r="A221" i="6"/>
  <c r="S220" i="6"/>
  <c r="N220" i="6"/>
  <c r="A220" i="6"/>
  <c r="N219" i="6"/>
  <c r="A219" i="6"/>
  <c r="A218" i="6"/>
  <c r="S217" i="6"/>
  <c r="N217" i="6"/>
  <c r="A217" i="6"/>
  <c r="A216" i="6"/>
  <c r="S215" i="6"/>
  <c r="A215" i="6"/>
  <c r="A214" i="6"/>
  <c r="A213" i="6"/>
  <c r="N212" i="6"/>
  <c r="A212" i="6"/>
  <c r="A211" i="6"/>
  <c r="A210" i="6"/>
  <c r="A209" i="6"/>
  <c r="S208" i="6"/>
  <c r="N208" i="6"/>
  <c r="A208" i="6"/>
  <c r="A207" i="6"/>
  <c r="A206" i="6"/>
  <c r="S205" i="6"/>
  <c r="N205" i="6"/>
  <c r="A205" i="6"/>
  <c r="A204" i="6"/>
  <c r="A203" i="6"/>
  <c r="S202" i="6"/>
  <c r="N202" i="6"/>
  <c r="A202" i="6"/>
  <c r="A201" i="6"/>
  <c r="A200" i="6"/>
  <c r="L211" i="6"/>
  <c r="A199" i="6"/>
  <c r="A198" i="6"/>
  <c r="A197" i="6"/>
  <c r="A196" i="6"/>
  <c r="A195" i="6"/>
  <c r="A194" i="6"/>
  <c r="Q193" i="6"/>
  <c r="L193" i="6"/>
  <c r="A193" i="6"/>
  <c r="F193" i="6"/>
  <c r="A192" i="6"/>
  <c r="A191" i="6"/>
  <c r="A190" i="6"/>
  <c r="S189" i="6"/>
  <c r="R189" i="6"/>
  <c r="L190" i="6"/>
  <c r="M189" i="6"/>
  <c r="A189" i="6"/>
  <c r="A188" i="6"/>
  <c r="A187" i="6"/>
  <c r="J186" i="6"/>
  <c r="K187" i="6" s="1"/>
  <c r="A186" i="6"/>
  <c r="A185" i="6"/>
  <c r="A184" i="6"/>
  <c r="M183" i="6"/>
  <c r="A183" i="6"/>
  <c r="L183" i="6"/>
  <c r="A182" i="6"/>
  <c r="A181" i="6"/>
  <c r="R180" i="6"/>
  <c r="L180" i="6"/>
  <c r="A180" i="6"/>
  <c r="R179" i="6"/>
  <c r="A179" i="6"/>
  <c r="A178" i="6"/>
  <c r="A177" i="6"/>
  <c r="F177" i="6"/>
  <c r="A176" i="6"/>
  <c r="R176" i="6" s="1"/>
  <c r="A175" i="6"/>
  <c r="A174" i="6"/>
  <c r="K186" i="6"/>
  <c r="A173" i="6"/>
  <c r="A172" i="6"/>
  <c r="V163" i="6"/>
  <c r="A163" i="6"/>
  <c r="N163" i="6" s="1"/>
  <c r="S162" i="6"/>
  <c r="N162" i="6"/>
  <c r="A162" i="6"/>
  <c r="S161" i="6"/>
  <c r="N161" i="6"/>
  <c r="A161" i="6"/>
  <c r="V160" i="6"/>
  <c r="S160" i="6"/>
  <c r="A160" i="6"/>
  <c r="S159" i="6"/>
  <c r="A159" i="6"/>
  <c r="A158" i="6"/>
  <c r="N157" i="6"/>
  <c r="A157" i="6"/>
  <c r="A156" i="6"/>
  <c r="A155" i="6"/>
  <c r="A154" i="6"/>
  <c r="N153" i="6"/>
  <c r="A153" i="6"/>
  <c r="S152" i="6"/>
  <c r="N152" i="6"/>
  <c r="A152" i="6"/>
  <c r="A151" i="6"/>
  <c r="N150" i="6"/>
  <c r="A150" i="6"/>
  <c r="N149" i="6"/>
  <c r="A149" i="6"/>
  <c r="S149" i="6" s="1"/>
  <c r="A148" i="6"/>
  <c r="N147" i="6"/>
  <c r="A147" i="6"/>
  <c r="S146" i="6"/>
  <c r="N146" i="6"/>
  <c r="A146" i="6"/>
  <c r="A145" i="6"/>
  <c r="N144" i="6"/>
  <c r="A144" i="6"/>
  <c r="S143" i="6"/>
  <c r="N143" i="6"/>
  <c r="A143" i="6"/>
  <c r="A142" i="6"/>
  <c r="N141" i="6"/>
  <c r="S141" i="6"/>
  <c r="A141" i="6"/>
  <c r="N140" i="6"/>
  <c r="A140" i="6"/>
  <c r="S139" i="6"/>
  <c r="A139" i="6"/>
  <c r="S138" i="6"/>
  <c r="N138" i="6"/>
  <c r="A138" i="6"/>
  <c r="N137" i="6"/>
  <c r="A137" i="6"/>
  <c r="L136" i="6"/>
  <c r="A136" i="6"/>
  <c r="A135" i="6"/>
  <c r="A134" i="6"/>
  <c r="A133" i="6"/>
  <c r="N132" i="6"/>
  <c r="A132" i="6"/>
  <c r="S131" i="6"/>
  <c r="N131" i="6"/>
  <c r="A131" i="6"/>
  <c r="A130" i="6"/>
  <c r="S129" i="6"/>
  <c r="N129" i="6"/>
  <c r="A129" i="6"/>
  <c r="A128" i="6"/>
  <c r="N127" i="6"/>
  <c r="A127" i="6"/>
  <c r="S126" i="6"/>
  <c r="A126" i="6"/>
  <c r="N126" i="6" s="1"/>
  <c r="A125" i="6"/>
  <c r="S125" i="6" s="1"/>
  <c r="A124" i="6"/>
  <c r="A123" i="6"/>
  <c r="A122" i="6"/>
  <c r="N121" i="6"/>
  <c r="A121" i="6"/>
  <c r="S121" i="6" s="1"/>
  <c r="A120" i="6"/>
  <c r="N119" i="6"/>
  <c r="A119" i="6"/>
  <c r="S118" i="6"/>
  <c r="N118" i="6"/>
  <c r="A118" i="6"/>
  <c r="A117" i="6"/>
  <c r="A116" i="6"/>
  <c r="S115" i="6"/>
  <c r="A115" i="6"/>
  <c r="A114" i="6"/>
  <c r="A113" i="6"/>
  <c r="A112" i="6"/>
  <c r="A111" i="6"/>
  <c r="A110" i="6"/>
  <c r="X109" i="6"/>
  <c r="W109" i="6"/>
  <c r="A109" i="6"/>
  <c r="A108" i="6"/>
  <c r="A107" i="6"/>
  <c r="A106" i="6"/>
  <c r="A105" i="6"/>
  <c r="A104" i="6"/>
  <c r="A103" i="6"/>
  <c r="S103" i="6" s="1"/>
  <c r="A102" i="6"/>
  <c r="S101" i="6"/>
  <c r="Y101" i="6"/>
  <c r="K101" i="6"/>
  <c r="A101" i="6"/>
  <c r="N101" i="6" s="1"/>
  <c r="A100" i="6"/>
  <c r="Y99" i="6"/>
  <c r="R99" i="6"/>
  <c r="B99" i="6"/>
  <c r="A99" i="6" s="1"/>
  <c r="A98" i="6"/>
  <c r="A97" i="6"/>
  <c r="K96" i="6"/>
  <c r="A96" i="6"/>
  <c r="A95" i="6"/>
  <c r="A94" i="6"/>
  <c r="A93" i="6"/>
  <c r="S89" i="6"/>
  <c r="C89" i="6"/>
  <c r="B85" i="6"/>
  <c r="A85" i="6" s="1"/>
  <c r="B84" i="6"/>
  <c r="A84" i="6" s="1"/>
  <c r="B83" i="6"/>
  <c r="A83" i="6" s="1"/>
  <c r="V82" i="6"/>
  <c r="B82" i="6"/>
  <c r="A82" i="6"/>
  <c r="S82" i="6" s="1"/>
  <c r="B81" i="6"/>
  <c r="A81" i="6"/>
  <c r="S80" i="6"/>
  <c r="B80" i="6"/>
  <c r="A80" i="6"/>
  <c r="N80" i="6" s="1"/>
  <c r="B79" i="6"/>
  <c r="A79" i="6"/>
  <c r="B78" i="6"/>
  <c r="A78" i="6"/>
  <c r="S77" i="6"/>
  <c r="N77" i="6"/>
  <c r="B77" i="6"/>
  <c r="A77" i="6"/>
  <c r="B76" i="6"/>
  <c r="A76" i="6"/>
  <c r="S75" i="6"/>
  <c r="B75" i="6"/>
  <c r="A75" i="6"/>
  <c r="B74" i="6"/>
  <c r="A74" i="6"/>
  <c r="B73" i="6"/>
  <c r="A73" i="6"/>
  <c r="B72" i="6"/>
  <c r="A72" i="6" s="1"/>
  <c r="B71" i="6"/>
  <c r="A71" i="6" s="1"/>
  <c r="B70" i="6"/>
  <c r="A70" i="6"/>
  <c r="B69" i="6"/>
  <c r="A69" i="6"/>
  <c r="B68" i="6"/>
  <c r="A68" i="6"/>
  <c r="B67" i="6"/>
  <c r="A67" i="6" s="1"/>
  <c r="B66" i="6"/>
  <c r="A66" i="6"/>
  <c r="S65" i="6"/>
  <c r="B65" i="6"/>
  <c r="A65" i="6"/>
  <c r="N65" i="6" s="1"/>
  <c r="S64" i="6"/>
  <c r="B64" i="6"/>
  <c r="A64" i="6"/>
  <c r="S63" i="6"/>
  <c r="B63" i="6"/>
  <c r="A63" i="6"/>
  <c r="B62" i="6"/>
  <c r="S61" i="6"/>
  <c r="N61" i="6"/>
  <c r="B61" i="6"/>
  <c r="A61" i="6"/>
  <c r="B60" i="6"/>
  <c r="A60" i="6"/>
  <c r="B59" i="6"/>
  <c r="A59" i="6" s="1"/>
  <c r="B58" i="6"/>
  <c r="A58" i="6"/>
  <c r="S58" i="6" s="1"/>
  <c r="S57" i="6"/>
  <c r="B57" i="6"/>
  <c r="A57" i="6"/>
  <c r="B56" i="6"/>
  <c r="A56" i="6" s="1"/>
  <c r="B55" i="6"/>
  <c r="N55" i="6" s="1"/>
  <c r="A55" i="6"/>
  <c r="B54" i="6"/>
  <c r="A54" i="6" s="1"/>
  <c r="B53" i="6"/>
  <c r="A53" i="6"/>
  <c r="B52" i="6"/>
  <c r="A52" i="6" s="1"/>
  <c r="B51" i="6"/>
  <c r="A51" i="6"/>
  <c r="B50" i="6"/>
  <c r="A50" i="6" s="1"/>
  <c r="B49" i="6"/>
  <c r="A49" i="6"/>
  <c r="N49" i="6" s="1"/>
  <c r="B48" i="6"/>
  <c r="A48" i="6" s="1"/>
  <c r="S47" i="6"/>
  <c r="N47" i="6"/>
  <c r="B47" i="6"/>
  <c r="A47" i="6"/>
  <c r="B46" i="6"/>
  <c r="A46" i="6"/>
  <c r="S45" i="6"/>
  <c r="B45" i="6"/>
  <c r="A45" i="6"/>
  <c r="B44" i="6"/>
  <c r="A44" i="6" s="1"/>
  <c r="B43" i="6"/>
  <c r="A43" i="6"/>
  <c r="S42" i="6"/>
  <c r="B42" i="6"/>
  <c r="A42" i="6"/>
  <c r="B41" i="6"/>
  <c r="A41" i="6"/>
  <c r="B40" i="6"/>
  <c r="A40" i="6" s="1"/>
  <c r="S39" i="6"/>
  <c r="N39" i="6"/>
  <c r="B39" i="6"/>
  <c r="A39" i="6" s="1"/>
  <c r="S38" i="6"/>
  <c r="B38" i="6"/>
  <c r="A38" i="6" s="1"/>
  <c r="B37" i="6"/>
  <c r="A37" i="6" s="1"/>
  <c r="B36" i="6"/>
  <c r="B35" i="6"/>
  <c r="B34" i="6"/>
  <c r="A34" i="6" s="1"/>
  <c r="S33" i="6"/>
  <c r="B33" i="6"/>
  <c r="A33" i="6" s="1"/>
  <c r="B32" i="6"/>
  <c r="A32" i="6"/>
  <c r="N31" i="6"/>
  <c r="B31" i="6"/>
  <c r="A31" i="6"/>
  <c r="B30" i="6"/>
  <c r="A30" i="6"/>
  <c r="B29" i="6"/>
  <c r="A29" i="6" s="1"/>
  <c r="B28" i="6"/>
  <c r="A28" i="6" s="1"/>
  <c r="X27" i="6"/>
  <c r="W27" i="6"/>
  <c r="B27" i="6"/>
  <c r="A27" i="6" s="1"/>
  <c r="B26" i="6"/>
  <c r="A26" i="6" s="1"/>
  <c r="B25" i="6"/>
  <c r="A25" i="6" s="1"/>
  <c r="B24" i="6"/>
  <c r="A24" i="6" s="1"/>
  <c r="B23" i="6"/>
  <c r="B22" i="6"/>
  <c r="A22" i="6"/>
  <c r="B21" i="6"/>
  <c r="A21" i="6"/>
  <c r="B20" i="6"/>
  <c r="A20" i="6" s="1"/>
  <c r="B19" i="6"/>
  <c r="B18" i="6"/>
  <c r="A18" i="6" s="1"/>
  <c r="B17" i="6"/>
  <c r="A17" i="6"/>
  <c r="B16" i="6"/>
  <c r="A16" i="6" s="1"/>
  <c r="B15" i="6"/>
  <c r="A15" i="6" s="1"/>
  <c r="B14" i="6"/>
  <c r="A14" i="6" s="1"/>
  <c r="B13" i="6"/>
  <c r="A13" i="6"/>
  <c r="P12" i="6"/>
  <c r="R12" i="6"/>
  <c r="B12" i="6"/>
  <c r="A12" i="6"/>
  <c r="E12" i="6" s="1"/>
  <c r="P11" i="6"/>
  <c r="B11" i="6"/>
  <c r="A11" i="6"/>
  <c r="E11" i="6" s="1"/>
  <c r="P10" i="6"/>
  <c r="R10" i="6"/>
  <c r="E10" i="6"/>
  <c r="B10" i="6"/>
  <c r="A10" i="6"/>
  <c r="B9" i="6"/>
  <c r="A9" i="6"/>
  <c r="N8" i="6"/>
  <c r="K8" i="6"/>
  <c r="B8" i="6"/>
  <c r="A8" i="6"/>
  <c r="S8" i="6" s="1"/>
  <c r="P7" i="6"/>
  <c r="B7" i="6"/>
  <c r="A7" i="6"/>
  <c r="B6" i="6"/>
  <c r="A6" i="6" s="1"/>
  <c r="B5" i="6"/>
  <c r="A5" i="6" s="1"/>
  <c r="E7" i="6" l="1"/>
  <c r="R95" i="6"/>
  <c r="P95" i="6"/>
  <c r="S21" i="6"/>
  <c r="N57" i="6"/>
  <c r="S11" i="6"/>
  <c r="S60" i="6"/>
  <c r="N22" i="6"/>
  <c r="N53" i="6"/>
  <c r="N60" i="6"/>
  <c r="S52" i="6"/>
  <c r="N52" i="6"/>
  <c r="S69" i="6"/>
  <c r="N69" i="6"/>
  <c r="K9" i="6"/>
  <c r="R9" i="6"/>
  <c r="E17" i="6"/>
  <c r="E9" i="6"/>
  <c r="S43" i="6"/>
  <c r="N43" i="6"/>
  <c r="D53" i="6"/>
  <c r="S76" i="6"/>
  <c r="N76" i="6"/>
  <c r="N81" i="6"/>
  <c r="E95" i="6"/>
  <c r="S116" i="6"/>
  <c r="S78" i="6"/>
  <c r="N78" i="6"/>
  <c r="S319" i="6"/>
  <c r="N12" i="6"/>
  <c r="N33" i="6"/>
  <c r="K39" i="6"/>
  <c r="S46" i="6"/>
  <c r="S51" i="6"/>
  <c r="N10" i="6"/>
  <c r="K17" i="6"/>
  <c r="R17" i="6"/>
  <c r="S55" i="6"/>
  <c r="N323" i="6"/>
  <c r="S10" i="6"/>
  <c r="S31" i="6"/>
  <c r="A35" i="6"/>
  <c r="AF414" i="6"/>
  <c r="N51" i="6"/>
  <c r="L24" i="6"/>
  <c r="N21" i="6"/>
  <c r="S95" i="6"/>
  <c r="N95" i="6"/>
  <c r="E296" i="6"/>
  <c r="L97" i="6"/>
  <c r="S94" i="6"/>
  <c r="L83" i="6"/>
  <c r="S81" i="6"/>
  <c r="R300" i="6"/>
  <c r="M9" i="6"/>
  <c r="J32" i="6"/>
  <c r="N68" i="6"/>
  <c r="N79" i="6"/>
  <c r="M12" i="6"/>
  <c r="K12" i="6"/>
  <c r="K38" i="6"/>
  <c r="N42" i="6"/>
  <c r="N70" i="6"/>
  <c r="S70" i="6"/>
  <c r="Z417" i="6"/>
  <c r="S22" i="6"/>
  <c r="P17" i="6"/>
  <c r="A23" i="6"/>
  <c r="N63" i="6"/>
  <c r="AL479" i="6"/>
  <c r="AO479" i="6" s="1"/>
  <c r="S242" i="6"/>
  <c r="S99" i="6"/>
  <c r="E99" i="6"/>
  <c r="M10" i="6"/>
  <c r="Z433" i="6"/>
  <c r="AI433" i="6" s="1"/>
  <c r="S32" i="6"/>
  <c r="L41" i="6"/>
  <c r="A36" i="6"/>
  <c r="N99" i="6"/>
  <c r="N38" i="6"/>
  <c r="S53" i="6"/>
  <c r="A62" i="6"/>
  <c r="Z448" i="6"/>
  <c r="Z466" i="6"/>
  <c r="AI466" i="6" s="1"/>
  <c r="AL417" i="6"/>
  <c r="S12" i="6"/>
  <c r="P9" i="6"/>
  <c r="K10" i="6"/>
  <c r="N32" i="6"/>
  <c r="Q54" i="6"/>
  <c r="S49" i="6"/>
  <c r="S68" i="6"/>
  <c r="Q83" i="6"/>
  <c r="K94" i="6"/>
  <c r="R101" i="6"/>
  <c r="P101" i="6"/>
  <c r="Q106" i="6"/>
  <c r="S124" i="6"/>
  <c r="N133" i="6"/>
  <c r="AL431" i="6"/>
  <c r="L186" i="6"/>
  <c r="N173" i="6"/>
  <c r="L174" i="6"/>
  <c r="S173" i="6"/>
  <c r="N64" i="6"/>
  <c r="AF476" i="6"/>
  <c r="AF433" i="6"/>
  <c r="AF427" i="6"/>
  <c r="AL447" i="6"/>
  <c r="Z446" i="6"/>
  <c r="V486" i="6"/>
  <c r="A486" i="6" s="1"/>
  <c r="AF480" i="6"/>
  <c r="AL473" i="6"/>
  <c r="AO473" i="6" s="1"/>
  <c r="AF416" i="6"/>
  <c r="AL411" i="6"/>
  <c r="Z416" i="6"/>
  <c r="Z412" i="6"/>
  <c r="AL445" i="6"/>
  <c r="AL449" i="6"/>
  <c r="AF439" i="6"/>
  <c r="AF472" i="6"/>
  <c r="AF415" i="6"/>
  <c r="AL412" i="6"/>
  <c r="AL477" i="6"/>
  <c r="AO477" i="6" s="1"/>
  <c r="AF447" i="6"/>
  <c r="AF444" i="6"/>
  <c r="AL440" i="6"/>
  <c r="C292" i="6"/>
  <c r="C357" i="6" s="1"/>
  <c r="AF473" i="6"/>
  <c r="AT473" i="6" s="1"/>
  <c r="Z439" i="6"/>
  <c r="V403" i="6"/>
  <c r="C237" i="6"/>
  <c r="AF412" i="6" s="1"/>
  <c r="Z437" i="6"/>
  <c r="C169" i="6"/>
  <c r="AL444" i="6" s="1"/>
  <c r="N58" i="6"/>
  <c r="S122" i="6"/>
  <c r="AN492" i="6"/>
  <c r="AO492" i="6" s="1"/>
  <c r="S104" i="6"/>
  <c r="N104" i="6"/>
  <c r="S66" i="6"/>
  <c r="F106" i="6"/>
  <c r="D114" i="6" s="1"/>
  <c r="Z440" i="6"/>
  <c r="N66" i="6"/>
  <c r="N75" i="6"/>
  <c r="N83" i="6" s="1"/>
  <c r="N82" i="6"/>
  <c r="N96" i="6"/>
  <c r="S96" i="6"/>
  <c r="N116" i="6"/>
  <c r="N122" i="6"/>
  <c r="Z423" i="6"/>
  <c r="S137" i="6"/>
  <c r="S199" i="6"/>
  <c r="P288" i="6"/>
  <c r="P267" i="6"/>
  <c r="Q251" i="6"/>
  <c r="S251" i="6" s="1"/>
  <c r="S246" i="6"/>
  <c r="P286" i="6"/>
  <c r="Q246" i="6"/>
  <c r="S245" i="6"/>
  <c r="N114" i="6"/>
  <c r="S114" i="6"/>
  <c r="L106" i="6"/>
  <c r="J114" i="6" s="1"/>
  <c r="AO486" i="6"/>
  <c r="S357" i="6"/>
  <c r="S292" i="6"/>
  <c r="S237" i="6"/>
  <c r="AO403" i="6"/>
  <c r="S169" i="6"/>
  <c r="E8" i="6"/>
  <c r="N45" i="6"/>
  <c r="N94" i="6"/>
  <c r="Z432" i="6"/>
  <c r="AN454" i="6"/>
  <c r="AO454" i="6" s="1"/>
  <c r="J97" i="6"/>
  <c r="W160" i="6" s="1"/>
  <c r="N103" i="6"/>
  <c r="S134" i="6"/>
  <c r="N134" i="6"/>
  <c r="Q183" i="6"/>
  <c r="R182" i="6"/>
  <c r="M182" i="6"/>
  <c r="E251" i="6"/>
  <c r="Z465" i="6"/>
  <c r="AI465" i="6" s="1"/>
  <c r="S260" i="6"/>
  <c r="S105" i="6"/>
  <c r="L123" i="6"/>
  <c r="S128" i="6"/>
  <c r="S179" i="6"/>
  <c r="M95" i="6"/>
  <c r="N105" i="6"/>
  <c r="N115" i="6"/>
  <c r="S206" i="6"/>
  <c r="F211" i="6"/>
  <c r="S117" i="6"/>
  <c r="N206" i="6"/>
  <c r="S150" i="6"/>
  <c r="S158" i="6"/>
  <c r="N158" i="6"/>
  <c r="N160" i="6"/>
  <c r="F174" i="6"/>
  <c r="L230" i="6"/>
  <c r="S214" i="6"/>
  <c r="N214" i="6"/>
  <c r="S263" i="6"/>
  <c r="F396" i="6"/>
  <c r="E396" i="6" s="1"/>
  <c r="S386" i="6"/>
  <c r="AL416" i="6"/>
  <c r="S275" i="6"/>
  <c r="K300" i="6"/>
  <c r="S148" i="6"/>
  <c r="N148" i="6"/>
  <c r="S203" i="6"/>
  <c r="N203" i="6"/>
  <c r="N275" i="6"/>
  <c r="S278" i="6"/>
  <c r="N278" i="6"/>
  <c r="M308" i="6"/>
  <c r="K308" i="6"/>
  <c r="N130" i="6"/>
  <c r="AL465" i="6"/>
  <c r="S140" i="6"/>
  <c r="S268" i="6"/>
  <c r="K95" i="6"/>
  <c r="N124" i="6"/>
  <c r="F164" i="6"/>
  <c r="P178" i="6"/>
  <c r="S200" i="6"/>
  <c r="S209" i="6"/>
  <c r="F243" i="6"/>
  <c r="N242" i="6"/>
  <c r="S282" i="6"/>
  <c r="S145" i="6"/>
  <c r="N145" i="6"/>
  <c r="N200" i="6"/>
  <c r="N209" i="6"/>
  <c r="N299" i="6"/>
  <c r="E299" i="6"/>
  <c r="N128" i="6"/>
  <c r="N135" i="6"/>
  <c r="S135" i="6"/>
  <c r="N185" i="6"/>
  <c r="S185" i="6"/>
  <c r="K195" i="6"/>
  <c r="N201" i="6"/>
  <c r="M242" i="6"/>
  <c r="L243" i="6"/>
  <c r="L286" i="6"/>
  <c r="N120" i="6"/>
  <c r="S132" i="6"/>
  <c r="F154" i="6"/>
  <c r="S218" i="6"/>
  <c r="K251" i="6"/>
  <c r="L252" i="6" s="1"/>
  <c r="M245" i="6"/>
  <c r="S277" i="6"/>
  <c r="N277" i="6"/>
  <c r="N335" i="6"/>
  <c r="S335" i="6"/>
  <c r="F230" i="6"/>
  <c r="S216" i="6"/>
  <c r="N216" i="6"/>
  <c r="N223" i="6"/>
  <c r="M296" i="6"/>
  <c r="J305" i="6"/>
  <c r="S299" i="6"/>
  <c r="N338" i="6"/>
  <c r="S338" i="6"/>
  <c r="S376" i="6"/>
  <c r="AO494" i="6"/>
  <c r="AN494" i="6"/>
  <c r="S147" i="6"/>
  <c r="Q190" i="6"/>
  <c r="S221" i="6"/>
  <c r="S226" i="6"/>
  <c r="S229" i="6"/>
  <c r="S258" i="6"/>
  <c r="N258" i="6"/>
  <c r="N263" i="6"/>
  <c r="N298" i="6"/>
  <c r="S298" i="6"/>
  <c r="S163" i="6"/>
  <c r="P181" i="6"/>
  <c r="S201" i="6"/>
  <c r="S204" i="6"/>
  <c r="S207" i="6"/>
  <c r="S210" i="6"/>
  <c r="Q230" i="6"/>
  <c r="S219" i="6"/>
  <c r="N261" i="6"/>
  <c r="E298" i="6"/>
  <c r="N142" i="6"/>
  <c r="N159" i="6"/>
  <c r="M176" i="6"/>
  <c r="D186" i="6"/>
  <c r="N182" i="6"/>
  <c r="N204" i="6"/>
  <c r="N207" i="6"/>
  <c r="N210" i="6"/>
  <c r="S212" i="6"/>
  <c r="N229" i="6"/>
  <c r="M248" i="6"/>
  <c r="N251" i="6"/>
  <c r="N252" i="6" s="1"/>
  <c r="N266" i="6"/>
  <c r="N271" i="6"/>
  <c r="S281" i="6"/>
  <c r="R296" i="6"/>
  <c r="M298" i="6"/>
  <c r="N309" i="6"/>
  <c r="R361" i="6"/>
  <c r="O363" i="6"/>
  <c r="S151" i="6"/>
  <c r="N151" i="6"/>
  <c r="Q164" i="6"/>
  <c r="N176" i="6"/>
  <c r="L177" i="6"/>
  <c r="M179" i="6"/>
  <c r="N213" i="6"/>
  <c r="S273" i="6"/>
  <c r="N273" i="6"/>
  <c r="S284" i="6"/>
  <c r="N301" i="6"/>
  <c r="P313" i="6"/>
  <c r="S313" i="6"/>
  <c r="R313" i="6" s="1"/>
  <c r="E313" i="6"/>
  <c r="S321" i="6"/>
  <c r="N321" i="6"/>
  <c r="N327" i="6"/>
  <c r="Q396" i="6"/>
  <c r="P396" i="6" s="1"/>
  <c r="S127" i="6"/>
  <c r="S144" i="6"/>
  <c r="S153" i="6"/>
  <c r="S157" i="6"/>
  <c r="N215" i="6"/>
  <c r="N224" i="6"/>
  <c r="S227" i="6"/>
  <c r="N227" i="6"/>
  <c r="N284" i="6"/>
  <c r="N297" i="6"/>
  <c r="E297" i="6"/>
  <c r="N302" i="6"/>
  <c r="N347" i="6"/>
  <c r="S347" i="6"/>
  <c r="N139" i="6"/>
  <c r="S142" i="6"/>
  <c r="S182" i="6"/>
  <c r="N189" i="6"/>
  <c r="F190" i="6"/>
  <c r="N199" i="6"/>
  <c r="S213" i="6"/>
  <c r="E302" i="6"/>
  <c r="N319" i="6"/>
  <c r="S328" i="6"/>
  <c r="N328" i="6"/>
  <c r="L154" i="6"/>
  <c r="Q177" i="6"/>
  <c r="F246" i="6"/>
  <c r="F251" i="6"/>
  <c r="M301" i="6"/>
  <c r="N303" i="6"/>
  <c r="E303" i="6"/>
  <c r="N308" i="6"/>
  <c r="S308" i="6"/>
  <c r="S323" i="6"/>
  <c r="S325" i="6"/>
  <c r="N325" i="6"/>
  <c r="S330" i="6"/>
  <c r="S341" i="6"/>
  <c r="N341" i="6"/>
  <c r="S348" i="6"/>
  <c r="N348" i="6"/>
  <c r="L305" i="6"/>
  <c r="N296" i="6"/>
  <c r="M309" i="6"/>
  <c r="AN470" i="6"/>
  <c r="AO470" i="6" s="1"/>
  <c r="L164" i="6"/>
  <c r="S270" i="6"/>
  <c r="N270" i="6"/>
  <c r="K297" i="6"/>
  <c r="K309" i="6"/>
  <c r="S336" i="6"/>
  <c r="N336" i="6"/>
  <c r="S366" i="6"/>
  <c r="AH470" i="6"/>
  <c r="AI470" i="6" s="1"/>
  <c r="N218" i="6"/>
  <c r="N226" i="6"/>
  <c r="R242" i="6"/>
  <c r="S297" i="6"/>
  <c r="P300" i="6"/>
  <c r="S303" i="6"/>
  <c r="S329" i="6"/>
  <c r="N349" i="6"/>
  <c r="S370" i="6"/>
  <c r="K175" i="6"/>
  <c r="N255" i="6"/>
  <c r="N264" i="6"/>
  <c r="L267" i="6"/>
  <c r="N281" i="6"/>
  <c r="K298" i="6"/>
  <c r="N322" i="6"/>
  <c r="N326" i="6"/>
  <c r="N344" i="6"/>
  <c r="S344" i="6"/>
  <c r="Q243" i="6"/>
  <c r="N257" i="6"/>
  <c r="S265" i="6"/>
  <c r="P296" i="6"/>
  <c r="S301" i="6"/>
  <c r="E301" i="6"/>
  <c r="N304" i="6"/>
  <c r="P309" i="6"/>
  <c r="S371" i="6"/>
  <c r="AH478" i="6"/>
  <c r="AI478" i="6" s="1"/>
  <c r="S257" i="6"/>
  <c r="S283" i="6"/>
  <c r="M299" i="6"/>
  <c r="K299" i="6"/>
  <c r="S320" i="6"/>
  <c r="L331" i="6"/>
  <c r="S327" i="6"/>
  <c r="S334" i="6"/>
  <c r="N337" i="6"/>
  <c r="S381" i="6"/>
  <c r="S384" i="6"/>
  <c r="AH459" i="6"/>
  <c r="AI459" i="6" s="1"/>
  <c r="S326" i="6"/>
  <c r="S332" i="6"/>
  <c r="N342" i="6"/>
  <c r="S363" i="6"/>
  <c r="AO455" i="6"/>
  <c r="Q331" i="6"/>
  <c r="N333" i="6"/>
  <c r="N346" i="6"/>
  <c r="P361" i="6"/>
  <c r="Q378" i="6"/>
  <c r="AO495" i="6"/>
  <c r="AN495" i="6"/>
  <c r="S364" i="6"/>
  <c r="L396" i="6"/>
  <c r="K396" i="6" s="1"/>
  <c r="S379" i="6"/>
  <c r="AH458" i="6"/>
  <c r="AI458" i="6" s="1"/>
  <c r="S368" i="6"/>
  <c r="AH456" i="6"/>
  <c r="S304" i="6"/>
  <c r="N343" i="6"/>
  <c r="S346" i="6"/>
  <c r="S361" i="6"/>
  <c r="L378" i="6"/>
  <c r="S369" i="6"/>
  <c r="S377" i="6"/>
  <c r="S391" i="6"/>
  <c r="S372" i="6"/>
  <c r="AI461" i="6"/>
  <c r="S389" i="6"/>
  <c r="AN455" i="6"/>
  <c r="AH455" i="6"/>
  <c r="AI455" i="6" s="1"/>
  <c r="AO462" i="6"/>
  <c r="AH495" i="6"/>
  <c r="AH421" i="6"/>
  <c r="AI421" i="6" s="1"/>
  <c r="AI462" i="6"/>
  <c r="AN457" i="6"/>
  <c r="AN462" i="6"/>
  <c r="AH462" i="6"/>
  <c r="AO493" i="6"/>
  <c r="AH457" i="6"/>
  <c r="AO458" i="6"/>
  <c r="AH492" i="6"/>
  <c r="AI492" i="6" s="1"/>
  <c r="AN421" i="6"/>
  <c r="AO421" i="6" s="1"/>
  <c r="AH494" i="6"/>
  <c r="AS472" i="6"/>
  <c r="N350" i="6" l="1"/>
  <c r="Q398" i="6"/>
  <c r="P378" i="6"/>
  <c r="AH412" i="6"/>
  <c r="AI412" i="6" s="1"/>
  <c r="AN412" i="6"/>
  <c r="O114" i="6"/>
  <c r="F232" i="6"/>
  <c r="N211" i="6"/>
  <c r="AI417" i="6"/>
  <c r="Y417" i="6"/>
  <c r="AO417" i="6"/>
  <c r="R297" i="6"/>
  <c r="P297" i="6"/>
  <c r="N34" i="6"/>
  <c r="S34" i="6"/>
  <c r="R96" i="6"/>
  <c r="P96" i="6"/>
  <c r="AL476" i="6"/>
  <c r="AN476" i="6" s="1"/>
  <c r="F350" i="6"/>
  <c r="S130" i="6"/>
  <c r="E101" i="6"/>
  <c r="M101" i="6"/>
  <c r="N40" i="6"/>
  <c r="K40" i="6"/>
  <c r="S40" i="6"/>
  <c r="P94" i="6"/>
  <c r="Q211" i="6"/>
  <c r="Z418" i="6"/>
  <c r="AF411" i="6"/>
  <c r="AF435" i="6"/>
  <c r="AL424" i="6"/>
  <c r="AL418" i="6"/>
  <c r="AL423" i="6"/>
  <c r="AF438" i="6"/>
  <c r="AF422" i="6"/>
  <c r="Z496" i="6"/>
  <c r="AF479" i="6"/>
  <c r="AF449" i="6"/>
  <c r="S56" i="6"/>
  <c r="N56" i="6"/>
  <c r="S67" i="6"/>
  <c r="N67" i="6"/>
  <c r="N11" i="6"/>
  <c r="N7" i="6"/>
  <c r="S7" i="6"/>
  <c r="S44" i="6"/>
  <c r="N44" i="6"/>
  <c r="E300" i="6"/>
  <c r="M300" i="6"/>
  <c r="P251" i="6"/>
  <c r="F286" i="6"/>
  <c r="E286" i="6" s="1"/>
  <c r="N268" i="6"/>
  <c r="N286" i="6" s="1"/>
  <c r="S300" i="6"/>
  <c r="N230" i="6"/>
  <c r="S230" i="6"/>
  <c r="Q180" i="6"/>
  <c r="P184" i="6"/>
  <c r="M302" i="6"/>
  <c r="S71" i="6"/>
  <c r="N71" i="6"/>
  <c r="L232" i="6"/>
  <c r="AL448" i="6"/>
  <c r="Z422" i="6"/>
  <c r="Z449" i="6"/>
  <c r="Z435" i="6"/>
  <c r="AF423" i="6"/>
  <c r="AF436" i="6"/>
  <c r="AF446" i="6"/>
  <c r="AF428" i="6"/>
  <c r="AL413" i="6"/>
  <c r="AL466" i="6"/>
  <c r="Z476" i="6"/>
  <c r="AH476" i="6" s="1"/>
  <c r="AI476" i="6" s="1"/>
  <c r="P8" i="6"/>
  <c r="R8" i="6"/>
  <c r="R15" i="6"/>
  <c r="M15" i="6"/>
  <c r="K15" i="6"/>
  <c r="N23" i="6"/>
  <c r="N46" i="6"/>
  <c r="S350" i="6"/>
  <c r="R363" i="6"/>
  <c r="P363" i="6"/>
  <c r="AN444" i="6"/>
  <c r="AO444" i="6" s="1"/>
  <c r="Z480" i="6"/>
  <c r="AH480" i="6" s="1"/>
  <c r="AI480" i="6" s="1"/>
  <c r="AH416" i="6"/>
  <c r="AI416" i="6" s="1"/>
  <c r="AR416" i="6"/>
  <c r="AN416" i="6"/>
  <c r="AO416" i="6" s="1"/>
  <c r="R308" i="6"/>
  <c r="P308" i="6"/>
  <c r="AN447" i="6"/>
  <c r="AO447" i="6" s="1"/>
  <c r="Z430" i="6"/>
  <c r="AL432" i="6"/>
  <c r="AF425" i="6"/>
  <c r="M17" i="6"/>
  <c r="AT472" i="6"/>
  <c r="N243" i="6"/>
  <c r="Q154" i="6"/>
  <c r="AF441" i="6"/>
  <c r="AF440" i="6"/>
  <c r="AL422" i="6"/>
  <c r="Z474" i="6"/>
  <c r="AF451" i="6"/>
  <c r="Z425" i="6"/>
  <c r="AL439" i="6"/>
  <c r="Z438" i="6"/>
  <c r="AL452" i="6"/>
  <c r="AO452" i="6" s="1"/>
  <c r="AF431" i="6"/>
  <c r="AF417" i="6"/>
  <c r="AF477" i="6"/>
  <c r="Z411" i="6"/>
  <c r="S9" i="6"/>
  <c r="N9" i="6"/>
  <c r="R6" i="6"/>
  <c r="M6" i="6"/>
  <c r="J13" i="6"/>
  <c r="K6" i="6"/>
  <c r="F24" i="6"/>
  <c r="D32" i="6" s="1"/>
  <c r="S79" i="6"/>
  <c r="S83" i="6" s="1"/>
  <c r="O97" i="6"/>
  <c r="P122" i="6" s="1"/>
  <c r="J113" i="6"/>
  <c r="L109" i="6"/>
  <c r="Y97" i="6"/>
  <c r="R173" i="6"/>
  <c r="O186" i="6"/>
  <c r="AH433" i="6"/>
  <c r="P303" i="6"/>
  <c r="R303" i="6"/>
  <c r="AH454" i="6"/>
  <c r="AI454" i="6" s="1"/>
  <c r="AL428" i="6"/>
  <c r="AO428" i="6" s="1"/>
  <c r="AL426" i="6"/>
  <c r="AO426" i="6" s="1"/>
  <c r="AF432" i="6"/>
  <c r="Z479" i="6"/>
  <c r="AH460" i="6"/>
  <c r="AI460" i="6" s="1"/>
  <c r="AN478" i="6"/>
  <c r="AO478" i="6" s="1"/>
  <c r="N313" i="6"/>
  <c r="M313" i="6"/>
  <c r="F180" i="6"/>
  <c r="N180" i="6" s="1"/>
  <c r="N179" i="6"/>
  <c r="F305" i="6"/>
  <c r="F310" i="6" s="1"/>
  <c r="F315" i="6" s="1"/>
  <c r="AN497" i="6"/>
  <c r="AO497" i="6" s="1"/>
  <c r="AN460" i="6"/>
  <c r="AO460" i="6" s="1"/>
  <c r="E308" i="6"/>
  <c r="S176" i="6"/>
  <c r="O305" i="6"/>
  <c r="F183" i="6"/>
  <c r="S133" i="6"/>
  <c r="AL450" i="6"/>
  <c r="AO450" i="6" s="1"/>
  <c r="Z429" i="6"/>
  <c r="Z445" i="6"/>
  <c r="Z464" i="6"/>
  <c r="AI464" i="6" s="1"/>
  <c r="AF442" i="6"/>
  <c r="Z473" i="6"/>
  <c r="AL435" i="6"/>
  <c r="Z419" i="6"/>
  <c r="AL480" i="6"/>
  <c r="AO480" i="6" s="1"/>
  <c r="R94" i="6"/>
  <c r="F54" i="6"/>
  <c r="S37" i="6"/>
  <c r="N37" i="6"/>
  <c r="L72" i="6"/>
  <c r="P6" i="6"/>
  <c r="O13" i="6"/>
  <c r="O24" i="6" s="1"/>
  <c r="S50" i="6"/>
  <c r="N50" i="6"/>
  <c r="Y106" i="6"/>
  <c r="S106" i="6"/>
  <c r="S107" i="6" s="1"/>
  <c r="N106" i="6"/>
  <c r="N107" i="6" s="1"/>
  <c r="Q252" i="6"/>
  <c r="R251" i="6" s="1"/>
  <c r="S252" i="6" s="1"/>
  <c r="AH439" i="6"/>
  <c r="AI439" i="6" s="1"/>
  <c r="AL430" i="6"/>
  <c r="AT480" i="6"/>
  <c r="AI497" i="6"/>
  <c r="AH497" i="6"/>
  <c r="AN467" i="6"/>
  <c r="Q97" i="6"/>
  <c r="Z431" i="6"/>
  <c r="Z477" i="6"/>
  <c r="D305" i="6"/>
  <c r="AT476" i="6"/>
  <c r="AL442" i="6"/>
  <c r="AL425" i="6"/>
  <c r="AL464" i="6"/>
  <c r="Z424" i="6"/>
  <c r="AF418" i="6"/>
  <c r="AL441" i="6"/>
  <c r="AO441" i="6" s="1"/>
  <c r="Z452" i="6"/>
  <c r="AI452" i="6" s="1"/>
  <c r="AF448" i="6"/>
  <c r="AF475" i="6"/>
  <c r="AF450" i="6"/>
  <c r="AF437" i="6"/>
  <c r="Z410" i="6"/>
  <c r="Z436" i="6"/>
  <c r="R11" i="6"/>
  <c r="K11" i="6"/>
  <c r="M11" i="6"/>
  <c r="S15" i="6"/>
  <c r="Y15" i="6"/>
  <c r="N15" i="6"/>
  <c r="Q13" i="6"/>
  <c r="Z443" i="6"/>
  <c r="N260" i="6"/>
  <c r="E94" i="6"/>
  <c r="M94" i="6"/>
  <c r="Z426" i="6"/>
  <c r="AI426" i="6" s="1"/>
  <c r="S59" i="6"/>
  <c r="N59" i="6"/>
  <c r="F83" i="6"/>
  <c r="AF452" i="6"/>
  <c r="F267" i="6"/>
  <c r="Z441" i="6"/>
  <c r="AI441" i="6" s="1"/>
  <c r="E186" i="6"/>
  <c r="E175" i="6"/>
  <c r="M173" i="6"/>
  <c r="L288" i="6"/>
  <c r="L310" i="6"/>
  <c r="Q267" i="6"/>
  <c r="S267" i="6" s="1"/>
  <c r="S255" i="6"/>
  <c r="F186" i="6"/>
  <c r="N48" i="6"/>
  <c r="S48" i="6"/>
  <c r="AF410" i="6"/>
  <c r="Z447" i="6"/>
  <c r="AH447" i="6" s="1"/>
  <c r="Z428" i="6"/>
  <c r="AI428" i="6" s="1"/>
  <c r="Z413" i="6"/>
  <c r="Z471" i="6"/>
  <c r="Z450" i="6"/>
  <c r="AI450" i="6" s="1"/>
  <c r="Z498" i="6"/>
  <c r="AF464" i="6"/>
  <c r="AL437" i="6"/>
  <c r="F123" i="6"/>
  <c r="D113" i="6"/>
  <c r="N113" i="6"/>
  <c r="E113" i="6"/>
  <c r="L54" i="6"/>
  <c r="S243" i="6"/>
  <c r="M8" i="6"/>
  <c r="Y24" i="6"/>
  <c r="E6" i="6"/>
  <c r="D13" i="6"/>
  <c r="AO412" i="6"/>
  <c r="N35" i="6"/>
  <c r="S35" i="6"/>
  <c r="AN473" i="6"/>
  <c r="AH473" i="6"/>
  <c r="AI473" i="6" s="1"/>
  <c r="AL451" i="6"/>
  <c r="AO451" i="6" s="1"/>
  <c r="Q136" i="6"/>
  <c r="AF426" i="6"/>
  <c r="AL419" i="6"/>
  <c r="Z444" i="6"/>
  <c r="AH444" i="6" s="1"/>
  <c r="F378" i="6"/>
  <c r="F331" i="6"/>
  <c r="N331" i="6" s="1"/>
  <c r="Q286" i="6"/>
  <c r="S286" i="6" s="1"/>
  <c r="L156" i="6"/>
  <c r="K123" i="6"/>
  <c r="F136" i="6"/>
  <c r="N125" i="6"/>
  <c r="S378" i="6"/>
  <c r="K378" i="6"/>
  <c r="L398" i="6"/>
  <c r="S396" i="6"/>
  <c r="M297" i="6"/>
  <c r="R298" i="6"/>
  <c r="P298" i="6"/>
  <c r="S164" i="6"/>
  <c r="R299" i="6"/>
  <c r="P299" i="6"/>
  <c r="Q186" i="6"/>
  <c r="S119" i="6"/>
  <c r="AL436" i="6"/>
  <c r="Z451" i="6"/>
  <c r="AI451" i="6" s="1"/>
  <c r="AF429" i="6"/>
  <c r="AL438" i="6"/>
  <c r="AL446" i="6"/>
  <c r="Z427" i="6"/>
  <c r="AI427" i="6" s="1"/>
  <c r="AL427" i="6"/>
  <c r="AO427" i="6" s="1"/>
  <c r="Z481" i="6"/>
  <c r="AL474" i="6"/>
  <c r="AO474" i="6" s="1"/>
  <c r="AF466" i="6"/>
  <c r="AH466" i="6" s="1"/>
  <c r="AF443" i="6"/>
  <c r="AF419" i="6"/>
  <c r="Z442" i="6"/>
  <c r="Q123" i="6"/>
  <c r="S123" i="6" s="1"/>
  <c r="S113" i="6"/>
  <c r="D97" i="6"/>
  <c r="M97" i="6" s="1"/>
  <c r="M98" i="6" s="1"/>
  <c r="F13" i="6"/>
  <c r="E15" i="6"/>
  <c r="M7" i="6"/>
  <c r="K7" i="6"/>
  <c r="R7" i="6"/>
  <c r="R301" i="6"/>
  <c r="P301" i="6"/>
  <c r="F252" i="6"/>
  <c r="M251" i="6" s="1"/>
  <c r="K119" i="6"/>
  <c r="J109" i="6"/>
  <c r="K97" i="6"/>
  <c r="K120" i="6"/>
  <c r="K115" i="6"/>
  <c r="K114" i="6"/>
  <c r="K121" i="6"/>
  <c r="K113" i="6"/>
  <c r="J106" i="6"/>
  <c r="K117" i="6"/>
  <c r="W163" i="6"/>
  <c r="K105" i="6"/>
  <c r="R105" i="6" s="1"/>
  <c r="K103" i="6"/>
  <c r="R103" i="6" s="1"/>
  <c r="K116" i="6"/>
  <c r="K122" i="6"/>
  <c r="K118" i="6"/>
  <c r="K104" i="6"/>
  <c r="R104" i="6" s="1"/>
  <c r="AE415" i="6"/>
  <c r="AF413" i="6"/>
  <c r="AF430" i="6"/>
  <c r="P175" i="6"/>
  <c r="P186" i="6"/>
  <c r="P195" i="6" s="1"/>
  <c r="AN472" i="6"/>
  <c r="AO472" i="6" s="1"/>
  <c r="AH472" i="6"/>
  <c r="AI472" i="6" s="1"/>
  <c r="Q305" i="6"/>
  <c r="S296" i="6"/>
  <c r="S154" i="6"/>
  <c r="N154" i="6"/>
  <c r="K154" i="6"/>
  <c r="J310" i="6"/>
  <c r="M305" i="6"/>
  <c r="K305" i="6"/>
  <c r="Q350" i="6"/>
  <c r="Q352" i="6" s="1"/>
  <c r="AI456" i="6"/>
  <c r="L352" i="6"/>
  <c r="S331" i="6"/>
  <c r="P302" i="6"/>
  <c r="R302" i="6"/>
  <c r="Q174" i="6"/>
  <c r="N164" i="6"/>
  <c r="N117" i="6"/>
  <c r="F97" i="6"/>
  <c r="F109" i="6" s="1"/>
  <c r="S120" i="6"/>
  <c r="E96" i="6"/>
  <c r="M96" i="6"/>
  <c r="AF465" i="6"/>
  <c r="AH465" i="6" s="1"/>
  <c r="AF445" i="6"/>
  <c r="AF474" i="6"/>
  <c r="AL433" i="6"/>
  <c r="AL429" i="6"/>
  <c r="AL410" i="6"/>
  <c r="AF471" i="6"/>
  <c r="AF481" i="6"/>
  <c r="AL471" i="6"/>
  <c r="AF424" i="6"/>
  <c r="L187" i="6"/>
  <c r="L195" i="6"/>
  <c r="N186" i="6"/>
  <c r="N187" i="6" s="1"/>
  <c r="S186" i="6"/>
  <c r="N36" i="6"/>
  <c r="Y17" i="6"/>
  <c r="S17" i="6"/>
  <c r="N17" i="6"/>
  <c r="S6" i="6"/>
  <c r="L13" i="6"/>
  <c r="N6" i="6"/>
  <c r="P15" i="6"/>
  <c r="E350" i="6" l="1"/>
  <c r="S54" i="6"/>
  <c r="N305" i="6"/>
  <c r="N306" i="6" s="1"/>
  <c r="N97" i="6"/>
  <c r="N98" i="6" s="1"/>
  <c r="S13" i="6"/>
  <c r="N54" i="6"/>
  <c r="AN431" i="6"/>
  <c r="AO431" i="6" s="1"/>
  <c r="AH431" i="6"/>
  <c r="AF420" i="6"/>
  <c r="AE410" i="6"/>
  <c r="AN410" i="6"/>
  <c r="AO410" i="6" s="1"/>
  <c r="AH410" i="6"/>
  <c r="AI410" i="6" s="1"/>
  <c r="K232" i="6"/>
  <c r="N232" i="6"/>
  <c r="AO419" i="6"/>
  <c r="AK419" i="6"/>
  <c r="F156" i="6"/>
  <c r="E156" i="6" s="1"/>
  <c r="E123" i="6"/>
  <c r="F187" i="6"/>
  <c r="F195" i="6"/>
  <c r="AL467" i="6"/>
  <c r="AO467" i="6" s="1"/>
  <c r="AO435" i="6"/>
  <c r="Y109" i="6"/>
  <c r="N109" i="6"/>
  <c r="N110" i="6" s="1"/>
  <c r="L166" i="6"/>
  <c r="K136" i="6"/>
  <c r="K22" i="6"/>
  <c r="R22" i="6" s="1"/>
  <c r="K21" i="6"/>
  <c r="R21" i="6" s="1"/>
  <c r="K23" i="6"/>
  <c r="R23" i="6" s="1"/>
  <c r="K13" i="6"/>
  <c r="J27" i="6"/>
  <c r="AI425" i="6"/>
  <c r="AK413" i="6"/>
  <c r="AN411" i="6"/>
  <c r="AO411" i="6" s="1"/>
  <c r="AE411" i="6"/>
  <c r="AH411" i="6"/>
  <c r="F41" i="6"/>
  <c r="Z414" i="6"/>
  <c r="Z420" i="6" s="1"/>
  <c r="AE412" i="6"/>
  <c r="P36" i="6"/>
  <c r="AL415" i="6"/>
  <c r="R305" i="6"/>
  <c r="P305" i="6"/>
  <c r="O310" i="6"/>
  <c r="AN425" i="6"/>
  <c r="AH425" i="6"/>
  <c r="AK411" i="6"/>
  <c r="AN426" i="6"/>
  <c r="AH426" i="6"/>
  <c r="AI443" i="6"/>
  <c r="AO425" i="6"/>
  <c r="AN432" i="6"/>
  <c r="AO432" i="6" s="1"/>
  <c r="AH432" i="6"/>
  <c r="AI432" i="6" s="1"/>
  <c r="M13" i="6"/>
  <c r="M14" i="6" s="1"/>
  <c r="AN451" i="6"/>
  <c r="AH451" i="6"/>
  <c r="AN428" i="6"/>
  <c r="AH428" i="6"/>
  <c r="Y418" i="6"/>
  <c r="AI418" i="6"/>
  <c r="P35" i="6"/>
  <c r="Q41" i="6"/>
  <c r="AL414" i="6"/>
  <c r="Z467" i="6"/>
  <c r="E232" i="6"/>
  <c r="Q109" i="6"/>
  <c r="P154" i="6" s="1"/>
  <c r="P187" i="6"/>
  <c r="R186" i="6"/>
  <c r="S187" i="6" s="1"/>
  <c r="O106" i="6"/>
  <c r="P106" i="6" s="1"/>
  <c r="P104" i="6"/>
  <c r="P97" i="6"/>
  <c r="P105" i="6"/>
  <c r="P103" i="6"/>
  <c r="O109" i="6"/>
  <c r="P114" i="6"/>
  <c r="P118" i="6"/>
  <c r="P116" i="6"/>
  <c r="P121" i="6"/>
  <c r="P115" i="6"/>
  <c r="P113" i="6"/>
  <c r="Y419" i="6"/>
  <c r="AI419" i="6"/>
  <c r="AH424" i="6"/>
  <c r="AI424" i="6" s="1"/>
  <c r="AN424" i="6"/>
  <c r="AO424" i="6" s="1"/>
  <c r="K352" i="6"/>
  <c r="S352" i="6"/>
  <c r="N352" i="6"/>
  <c r="S136" i="6"/>
  <c r="AH464" i="6"/>
  <c r="AF467" i="6"/>
  <c r="Q288" i="6"/>
  <c r="Q290" i="6" s="1"/>
  <c r="AL443" i="6"/>
  <c r="AL453" i="6" s="1"/>
  <c r="Q72" i="6"/>
  <c r="AN480" i="6"/>
  <c r="O27" i="6"/>
  <c r="P23" i="6"/>
  <c r="P21" i="6"/>
  <c r="P22" i="6"/>
  <c r="P13" i="6"/>
  <c r="AH442" i="6"/>
  <c r="AI442" i="6" s="1"/>
  <c r="AN442" i="6"/>
  <c r="AO442" i="6" s="1"/>
  <c r="S97" i="6"/>
  <c r="S98" i="6" s="1"/>
  <c r="R13" i="6"/>
  <c r="R14" i="6" s="1"/>
  <c r="AH446" i="6"/>
  <c r="AI446" i="6" s="1"/>
  <c r="AN446" i="6"/>
  <c r="AO446" i="6" s="1"/>
  <c r="Q232" i="6"/>
  <c r="S211" i="6"/>
  <c r="AO476" i="6"/>
  <c r="AK418" i="6"/>
  <c r="AO418" i="6"/>
  <c r="P40" i="6"/>
  <c r="P32" i="6"/>
  <c r="P37" i="6"/>
  <c r="P33" i="6"/>
  <c r="P39" i="6"/>
  <c r="P38" i="6"/>
  <c r="P34" i="6"/>
  <c r="P31" i="6"/>
  <c r="L196" i="6"/>
  <c r="L234" i="6"/>
  <c r="K211" i="6"/>
  <c r="Q310" i="6"/>
  <c r="S310" i="6" s="1"/>
  <c r="AN419" i="6"/>
  <c r="AE419" i="6"/>
  <c r="AH419" i="6"/>
  <c r="Y13" i="6"/>
  <c r="L27" i="6"/>
  <c r="J31" i="6"/>
  <c r="AI498" i="6"/>
  <c r="AH498" i="6"/>
  <c r="N310" i="6"/>
  <c r="N311" i="6" s="1"/>
  <c r="L315" i="6"/>
  <c r="F288" i="6"/>
  <c r="N288" i="6" s="1"/>
  <c r="E267" i="6"/>
  <c r="AN427" i="6"/>
  <c r="Y410" i="6"/>
  <c r="N62" i="6"/>
  <c r="N72" i="6" s="1"/>
  <c r="AL434" i="6"/>
  <c r="S23" i="6"/>
  <c r="Q24" i="6"/>
  <c r="P24" i="6" s="1"/>
  <c r="AH436" i="6"/>
  <c r="AI436" i="6" s="1"/>
  <c r="AN436" i="6"/>
  <c r="AO436" i="6" s="1"/>
  <c r="AH449" i="6"/>
  <c r="AI449" i="6" s="1"/>
  <c r="AN449" i="6"/>
  <c r="AO449" i="6" s="1"/>
  <c r="AK417" i="6"/>
  <c r="K54" i="6"/>
  <c r="AN429" i="6"/>
  <c r="AH429" i="6"/>
  <c r="F352" i="6"/>
  <c r="E352" i="6" s="1"/>
  <c r="E331" i="6"/>
  <c r="AI444" i="6"/>
  <c r="AF453" i="6"/>
  <c r="AN435" i="6"/>
  <c r="AH435" i="6"/>
  <c r="AI435" i="6" s="1"/>
  <c r="AO471" i="6"/>
  <c r="AL482" i="6"/>
  <c r="P120" i="6"/>
  <c r="F27" i="6"/>
  <c r="D31" i="6"/>
  <c r="AH430" i="6"/>
  <c r="AI430" i="6" s="1"/>
  <c r="AN430" i="6"/>
  <c r="AO430" i="6" s="1"/>
  <c r="S305" i="6"/>
  <c r="S306" i="6" s="1"/>
  <c r="AH452" i="6"/>
  <c r="AN452" i="6"/>
  <c r="AH427" i="6"/>
  <c r="AN437" i="6"/>
  <c r="AO437" i="6" s="1"/>
  <c r="AH437" i="6"/>
  <c r="AI437" i="6" s="1"/>
  <c r="K72" i="6"/>
  <c r="AH467" i="6"/>
  <c r="S62" i="6"/>
  <c r="S72" i="6" s="1"/>
  <c r="AH440" i="6"/>
  <c r="AI440" i="6" s="1"/>
  <c r="AN440" i="6"/>
  <c r="AO440" i="6" s="1"/>
  <c r="AN423" i="6"/>
  <c r="AO423" i="6" s="1"/>
  <c r="AH423" i="6"/>
  <c r="AI423" i="6" s="1"/>
  <c r="AH479" i="6"/>
  <c r="AI479" i="6" s="1"/>
  <c r="AN479" i="6"/>
  <c r="AT479" i="6"/>
  <c r="AE414" i="6"/>
  <c r="P398" i="6"/>
  <c r="Q400" i="6"/>
  <c r="O113" i="6"/>
  <c r="AK412" i="6"/>
  <c r="AH418" i="6"/>
  <c r="AE418" i="6"/>
  <c r="AN418" i="6"/>
  <c r="S398" i="6"/>
  <c r="K398" i="6"/>
  <c r="L400" i="6"/>
  <c r="E13" i="6"/>
  <c r="D27" i="6"/>
  <c r="E27" i="6" s="1"/>
  <c r="E23" i="6"/>
  <c r="E21" i="6"/>
  <c r="E22" i="6"/>
  <c r="E195" i="6"/>
  <c r="M186" i="6"/>
  <c r="R97" i="6"/>
  <c r="R98" i="6" s="1"/>
  <c r="D24" i="6"/>
  <c r="E35" i="6" s="1"/>
  <c r="P117" i="6"/>
  <c r="E136" i="6"/>
  <c r="N136" i="6"/>
  <c r="AK410" i="6"/>
  <c r="E117" i="6"/>
  <c r="S36" i="6"/>
  <c r="N24" i="6"/>
  <c r="N25" i="6" s="1"/>
  <c r="Z482" i="6"/>
  <c r="F72" i="6"/>
  <c r="AN450" i="6"/>
  <c r="AH450" i="6"/>
  <c r="E305" i="6"/>
  <c r="D310" i="6"/>
  <c r="M310" i="6" s="1"/>
  <c r="AI429" i="6"/>
  <c r="Y411" i="6"/>
  <c r="AI411" i="6"/>
  <c r="AN441" i="6"/>
  <c r="AH441" i="6"/>
  <c r="Z453" i="6"/>
  <c r="K230" i="6"/>
  <c r="Y416" i="6"/>
  <c r="AI496" i="6"/>
  <c r="AH496" i="6"/>
  <c r="AN474" i="6"/>
  <c r="AH474" i="6"/>
  <c r="AI474" i="6" s="1"/>
  <c r="AT474" i="6"/>
  <c r="Q156" i="6"/>
  <c r="AN445" i="6"/>
  <c r="AO445" i="6" s="1"/>
  <c r="AH445" i="6"/>
  <c r="AI445" i="6" s="1"/>
  <c r="F398" i="6"/>
  <c r="E378" i="6"/>
  <c r="AO439" i="6"/>
  <c r="AH443" i="6"/>
  <c r="P119" i="6"/>
  <c r="AN471" i="6"/>
  <c r="AH471" i="6"/>
  <c r="AI471" i="6" s="1"/>
  <c r="AF482" i="6"/>
  <c r="AT471" i="6"/>
  <c r="AN413" i="6"/>
  <c r="AO413" i="6" s="1"/>
  <c r="AE413" i="6"/>
  <c r="AH413" i="6"/>
  <c r="AI413" i="6" s="1"/>
  <c r="N123" i="6"/>
  <c r="Y413" i="6"/>
  <c r="S288" i="6"/>
  <c r="L290" i="6"/>
  <c r="O31" i="6"/>
  <c r="S14" i="6"/>
  <c r="AN475" i="6"/>
  <c r="AH475" i="6"/>
  <c r="AI475" i="6" s="1"/>
  <c r="AT475" i="6"/>
  <c r="AN439" i="6"/>
  <c r="Y412" i="6"/>
  <c r="AH477" i="6"/>
  <c r="AI477" i="6" s="1"/>
  <c r="AN477" i="6"/>
  <c r="AT477" i="6"/>
  <c r="L74" i="6"/>
  <c r="J24" i="6"/>
  <c r="AN422" i="6"/>
  <c r="AO422" i="6" s="1"/>
  <c r="AH422" i="6"/>
  <c r="AI422" i="6" s="1"/>
  <c r="AF434" i="6"/>
  <c r="AI447" i="6"/>
  <c r="N13" i="6"/>
  <c r="N14" i="6" s="1"/>
  <c r="AN481" i="6"/>
  <c r="AO481" i="6" s="1"/>
  <c r="AH481" i="6"/>
  <c r="AI481" i="6" s="1"/>
  <c r="AT481" i="6"/>
  <c r="M109" i="6"/>
  <c r="M110" i="6" s="1"/>
  <c r="K109" i="6"/>
  <c r="E103" i="6"/>
  <c r="E115" i="6"/>
  <c r="E105" i="6"/>
  <c r="E97" i="6"/>
  <c r="E118" i="6"/>
  <c r="D109" i="6"/>
  <c r="E109" i="6" s="1"/>
  <c r="E104" i="6"/>
  <c r="D106" i="6"/>
  <c r="E106" i="6" s="1"/>
  <c r="E119" i="6"/>
  <c r="E121" i="6"/>
  <c r="E116" i="6"/>
  <c r="E120" i="6"/>
  <c r="E114" i="6"/>
  <c r="Q195" i="6"/>
  <c r="P211" i="6" s="1"/>
  <c r="Q187" i="6"/>
  <c r="AO429" i="6"/>
  <c r="J315" i="6"/>
  <c r="K310" i="6"/>
  <c r="Z415" i="6"/>
  <c r="M106" i="6"/>
  <c r="K106" i="6"/>
  <c r="K156" i="6"/>
  <c r="N156" i="6"/>
  <c r="N267" i="6"/>
  <c r="E122" i="6"/>
  <c r="AH448" i="6"/>
  <c r="AI448" i="6" s="1"/>
  <c r="AN448" i="6"/>
  <c r="AO448" i="6" s="1"/>
  <c r="AI431" i="6"/>
  <c r="AH417" i="6"/>
  <c r="AE417" i="6"/>
  <c r="AN417" i="6"/>
  <c r="AE416" i="6"/>
  <c r="Z434" i="6"/>
  <c r="E154" i="6"/>
  <c r="AN438" i="6"/>
  <c r="AO438" i="6" s="1"/>
  <c r="AH438" i="6"/>
  <c r="AI438" i="6" s="1"/>
  <c r="AK416" i="6"/>
  <c r="P136" i="6" l="1"/>
  <c r="P232" i="6"/>
  <c r="E36" i="6"/>
  <c r="F166" i="6"/>
  <c r="N166" i="6" s="1"/>
  <c r="Z469" i="6"/>
  <c r="AG417" i="6"/>
  <c r="AM417" i="6"/>
  <c r="AN482" i="6"/>
  <c r="AO482" i="6" s="1"/>
  <c r="AH482" i="6"/>
  <c r="AI482" i="6" s="1"/>
  <c r="AD482" i="6"/>
  <c r="AS482" i="6"/>
  <c r="P156" i="6"/>
  <c r="AH453" i="6"/>
  <c r="AI453" i="6" s="1"/>
  <c r="K74" i="6"/>
  <c r="Q27" i="6"/>
  <c r="P123" i="6"/>
  <c r="AG419" i="6"/>
  <c r="AM419" i="6"/>
  <c r="P27" i="6"/>
  <c r="R110" i="6"/>
  <c r="P109" i="6"/>
  <c r="AI467" i="6"/>
  <c r="AK415" i="6"/>
  <c r="AN415" i="6"/>
  <c r="AO415" i="6" s="1"/>
  <c r="S232" i="6"/>
  <c r="AK414" i="6"/>
  <c r="AO414" i="6"/>
  <c r="AN414" i="6"/>
  <c r="E41" i="6"/>
  <c r="F74" i="6"/>
  <c r="E74" i="6" s="1"/>
  <c r="N41" i="6"/>
  <c r="AM410" i="6"/>
  <c r="AG410" i="6"/>
  <c r="Y414" i="6"/>
  <c r="AM414" i="6" s="1"/>
  <c r="AH414" i="6"/>
  <c r="AI414" i="6" s="1"/>
  <c r="D315" i="6"/>
  <c r="E315" i="6" s="1"/>
  <c r="E310" i="6"/>
  <c r="S234" i="6"/>
  <c r="X434" i="6"/>
  <c r="Q234" i="6"/>
  <c r="Q196" i="6"/>
  <c r="R195" i="6" s="1"/>
  <c r="P230" i="6"/>
  <c r="AN434" i="6"/>
  <c r="AO434" i="6" s="1"/>
  <c r="AH434" i="6"/>
  <c r="AI434" i="6" s="1"/>
  <c r="AD434" i="6"/>
  <c r="Z408" i="6"/>
  <c r="S195" i="6"/>
  <c r="S196" i="6" s="1"/>
  <c r="AD420" i="6"/>
  <c r="AF469" i="6"/>
  <c r="AH420" i="6"/>
  <c r="AI420" i="6" s="1"/>
  <c r="Y415" i="6"/>
  <c r="AH415" i="6"/>
  <c r="AI415" i="6" s="1"/>
  <c r="S290" i="6"/>
  <c r="O32" i="6"/>
  <c r="S24" i="6"/>
  <c r="S25" i="6" s="1"/>
  <c r="K315" i="6"/>
  <c r="AF407" i="6"/>
  <c r="AL420" i="6"/>
  <c r="AN420" i="6" s="1"/>
  <c r="AM412" i="6"/>
  <c r="AG412" i="6"/>
  <c r="AN443" i="6"/>
  <c r="AN453" i="6" s="1"/>
  <c r="AO453" i="6" s="1"/>
  <c r="P72" i="6"/>
  <c r="F354" i="6"/>
  <c r="AQ467" i="6"/>
  <c r="AD467" i="6"/>
  <c r="X482" i="6"/>
  <c r="E288" i="6"/>
  <c r="F290" i="6"/>
  <c r="N290" i="6" s="1"/>
  <c r="N315" i="6"/>
  <c r="N316" i="6" s="1"/>
  <c r="L354" i="6"/>
  <c r="S315" i="6"/>
  <c r="K350" i="6"/>
  <c r="K331" i="6"/>
  <c r="S156" i="6"/>
  <c r="AG413" i="6"/>
  <c r="AM413" i="6"/>
  <c r="E398" i="6"/>
  <c r="F400" i="6"/>
  <c r="S400" i="6"/>
  <c r="E54" i="6"/>
  <c r="AM411" i="6"/>
  <c r="AG411" i="6"/>
  <c r="Q166" i="6"/>
  <c r="S166" i="6" s="1"/>
  <c r="M24" i="6"/>
  <c r="K24" i="6"/>
  <c r="K31" i="6"/>
  <c r="K32" i="6"/>
  <c r="K33" i="6"/>
  <c r="K34" i="6"/>
  <c r="K35" i="6"/>
  <c r="K37" i="6"/>
  <c r="K36" i="6"/>
  <c r="AG418" i="6"/>
  <c r="AM418" i="6"/>
  <c r="AQ453" i="6"/>
  <c r="AD453" i="6"/>
  <c r="P41" i="6"/>
  <c r="Q74" i="6"/>
  <c r="S41" i="6"/>
  <c r="Q315" i="6"/>
  <c r="S311" i="6"/>
  <c r="R27" i="6"/>
  <c r="R28" i="6" s="1"/>
  <c r="K27" i="6"/>
  <c r="M27" i="6"/>
  <c r="M28" i="6" s="1"/>
  <c r="W82" i="6"/>
  <c r="F196" i="6"/>
  <c r="M195" i="6" s="1"/>
  <c r="F234" i="6"/>
  <c r="N234" i="6" s="1"/>
  <c r="E211" i="6"/>
  <c r="E230" i="6"/>
  <c r="AM416" i="6"/>
  <c r="AG416" i="6"/>
  <c r="R109" i="6"/>
  <c r="E72" i="6"/>
  <c r="E24" i="6"/>
  <c r="E32" i="6"/>
  <c r="E31" i="6"/>
  <c r="E37" i="6"/>
  <c r="E34" i="6"/>
  <c r="E40" i="6"/>
  <c r="E39" i="6"/>
  <c r="E38" i="6"/>
  <c r="E33" i="6"/>
  <c r="AF408" i="6"/>
  <c r="L85" i="6"/>
  <c r="Y27" i="6"/>
  <c r="S27" i="6"/>
  <c r="N27" i="6"/>
  <c r="K41" i="6"/>
  <c r="N195" i="6"/>
  <c r="N196" i="6" s="1"/>
  <c r="O315" i="6"/>
  <c r="R310" i="6"/>
  <c r="P310" i="6"/>
  <c r="S109" i="6"/>
  <c r="S110" i="6" s="1"/>
  <c r="A500" i="5"/>
  <c r="A499" i="5"/>
  <c r="AO498" i="5"/>
  <c r="AN498" i="5"/>
  <c r="A498" i="5"/>
  <c r="AR497" i="5"/>
  <c r="A497" i="5"/>
  <c r="AR496" i="5"/>
  <c r="AO496" i="5"/>
  <c r="A496" i="5"/>
  <c r="AO495" i="5"/>
  <c r="AR495" i="5"/>
  <c r="A495" i="5"/>
  <c r="AI495" i="5" s="1"/>
  <c r="AR494" i="5"/>
  <c r="A494" i="5"/>
  <c r="AR493" i="5"/>
  <c r="AO493" i="5"/>
  <c r="AN493" i="5"/>
  <c r="AI493" i="5"/>
  <c r="A493" i="5"/>
  <c r="A492" i="5"/>
  <c r="A491" i="5"/>
  <c r="A490" i="5"/>
  <c r="A489" i="5"/>
  <c r="A488" i="5"/>
  <c r="A487" i="5"/>
  <c r="A485" i="5"/>
  <c r="A484" i="5"/>
  <c r="AO483" i="5"/>
  <c r="AN483" i="5"/>
  <c r="A483" i="5"/>
  <c r="AQ482" i="5"/>
  <c r="A482" i="5"/>
  <c r="AS481" i="5"/>
  <c r="A481" i="5"/>
  <c r="AS480" i="5"/>
  <c r="A480" i="5"/>
  <c r="AS479" i="5"/>
  <c r="A479" i="5"/>
  <c r="AR478" i="5"/>
  <c r="AS478" i="5" s="1"/>
  <c r="AT478" i="5" s="1"/>
  <c r="AH478" i="5"/>
  <c r="AI478" i="5" s="1"/>
  <c r="A478" i="5"/>
  <c r="AN478" i="5" s="1"/>
  <c r="AS477" i="5"/>
  <c r="A477" i="5"/>
  <c r="AS476" i="5"/>
  <c r="A476" i="5"/>
  <c r="AS475" i="5"/>
  <c r="AO475" i="5"/>
  <c r="A475" i="5"/>
  <c r="AS474" i="5"/>
  <c r="A474" i="5"/>
  <c r="AS473" i="5"/>
  <c r="A473" i="5"/>
  <c r="AR472" i="5"/>
  <c r="A472" i="5"/>
  <c r="AS471" i="5"/>
  <c r="A471" i="5"/>
  <c r="AS470" i="5"/>
  <c r="AT470" i="5" s="1"/>
  <c r="A470" i="5"/>
  <c r="A469" i="5"/>
  <c r="AO468" i="5"/>
  <c r="AN468" i="5"/>
  <c r="AH468" i="5"/>
  <c r="A468" i="5"/>
  <c r="A467" i="5"/>
  <c r="A466" i="5"/>
  <c r="A465" i="5"/>
  <c r="A464" i="5"/>
  <c r="A463" i="5"/>
  <c r="AQ462" i="5"/>
  <c r="A462" i="5"/>
  <c r="A461" i="5"/>
  <c r="AQ460" i="5"/>
  <c r="A460" i="5"/>
  <c r="AQ459" i="5"/>
  <c r="AH459" i="5"/>
  <c r="A459" i="5"/>
  <c r="A458" i="5"/>
  <c r="A457" i="5"/>
  <c r="AH456" i="5"/>
  <c r="AI456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Q444" i="5"/>
  <c r="A444" i="5"/>
  <c r="AQ443" i="5"/>
  <c r="A443" i="5"/>
  <c r="A442" i="5"/>
  <c r="A440" i="5"/>
  <c r="AQ439" i="5"/>
  <c r="A439" i="5"/>
  <c r="AQ438" i="5"/>
  <c r="A438" i="5"/>
  <c r="A437" i="5"/>
  <c r="A436" i="5"/>
  <c r="AQ435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395" i="5"/>
  <c r="S394" i="5"/>
  <c r="A394" i="5"/>
  <c r="A393" i="5"/>
  <c r="A392" i="5"/>
  <c r="A391" i="5"/>
  <c r="A390" i="5"/>
  <c r="S389" i="5"/>
  <c r="A389" i="5"/>
  <c r="A388" i="5"/>
  <c r="S387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S349" i="5"/>
  <c r="N349" i="5"/>
  <c r="A349" i="5"/>
  <c r="A348" i="5"/>
  <c r="N347" i="5"/>
  <c r="A347" i="5"/>
  <c r="A346" i="5"/>
  <c r="S345" i="5"/>
  <c r="N345" i="5"/>
  <c r="A345" i="5"/>
  <c r="A344" i="5"/>
  <c r="A343" i="5"/>
  <c r="S343" i="5" s="1"/>
  <c r="A342" i="5"/>
  <c r="N341" i="5"/>
  <c r="A341" i="5"/>
  <c r="S340" i="5"/>
  <c r="N340" i="5"/>
  <c r="A340" i="5"/>
  <c r="N339" i="5"/>
  <c r="A339" i="5"/>
  <c r="S339" i="5" s="1"/>
  <c r="S338" i="5"/>
  <c r="N338" i="5"/>
  <c r="A338" i="5"/>
  <c r="N337" i="5"/>
  <c r="A337" i="5"/>
  <c r="S337" i="5" s="1"/>
  <c r="S336" i="5"/>
  <c r="A336" i="5"/>
  <c r="S335" i="5"/>
  <c r="A335" i="5"/>
  <c r="S334" i="5"/>
  <c r="N334" i="5"/>
  <c r="A334" i="5"/>
  <c r="A333" i="5"/>
  <c r="A332" i="5"/>
  <c r="A331" i="5"/>
  <c r="A330" i="5"/>
  <c r="N329" i="5"/>
  <c r="S329" i="5"/>
  <c r="A329" i="5"/>
  <c r="A328" i="5"/>
  <c r="A327" i="5"/>
  <c r="S327" i="5" s="1"/>
  <c r="S326" i="5"/>
  <c r="A326" i="5"/>
  <c r="A325" i="5"/>
  <c r="S324" i="5"/>
  <c r="N324" i="5"/>
  <c r="A324" i="5"/>
  <c r="A323" i="5"/>
  <c r="S322" i="5"/>
  <c r="A322" i="5"/>
  <c r="N322" i="5" s="1"/>
  <c r="S321" i="5"/>
  <c r="N321" i="5"/>
  <c r="A321" i="5"/>
  <c r="A320" i="5"/>
  <c r="S320" i="5" s="1"/>
  <c r="A319" i="5"/>
  <c r="A318" i="5"/>
  <c r="A317" i="5"/>
  <c r="A316" i="5"/>
  <c r="A315" i="5"/>
  <c r="A314" i="5"/>
  <c r="P313" i="5"/>
  <c r="K313" i="5"/>
  <c r="M313" i="5"/>
  <c r="E313" i="5"/>
  <c r="A313" i="5"/>
  <c r="A312" i="5"/>
  <c r="A311" i="5"/>
  <c r="A310" i="5"/>
  <c r="N309" i="5"/>
  <c r="E309" i="5"/>
  <c r="A309" i="5"/>
  <c r="M308" i="5"/>
  <c r="K308" i="5"/>
  <c r="E308" i="5"/>
  <c r="A308" i="5"/>
  <c r="S308" i="5" s="1"/>
  <c r="A307" i="5"/>
  <c r="A306" i="5"/>
  <c r="A305" i="5"/>
  <c r="K304" i="5"/>
  <c r="A304" i="5"/>
  <c r="K303" i="5"/>
  <c r="N303" i="5"/>
  <c r="E303" i="5"/>
  <c r="A303" i="5"/>
  <c r="S302" i="5"/>
  <c r="K302" i="5"/>
  <c r="A302" i="5"/>
  <c r="N301" i="5"/>
  <c r="A301" i="5"/>
  <c r="M300" i="5"/>
  <c r="K300" i="5"/>
  <c r="E300" i="5"/>
  <c r="A300" i="5"/>
  <c r="S300" i="5" s="1"/>
  <c r="S299" i="5"/>
  <c r="K299" i="5"/>
  <c r="A299" i="5"/>
  <c r="A298" i="5"/>
  <c r="R298" i="5" s="1"/>
  <c r="N297" i="5"/>
  <c r="J305" i="5"/>
  <c r="A297" i="5"/>
  <c r="E297" i="5" s="1"/>
  <c r="N296" i="5"/>
  <c r="M296" i="5"/>
  <c r="K296" i="5"/>
  <c r="E296" i="5"/>
  <c r="A296" i="5"/>
  <c r="A295" i="5"/>
  <c r="S285" i="5"/>
  <c r="A285" i="5"/>
  <c r="S284" i="5"/>
  <c r="A284" i="5"/>
  <c r="S283" i="5"/>
  <c r="N283" i="5"/>
  <c r="A283" i="5"/>
  <c r="S282" i="5"/>
  <c r="A282" i="5"/>
  <c r="S281" i="5"/>
  <c r="A281" i="5"/>
  <c r="N280" i="5"/>
  <c r="A280" i="5"/>
  <c r="S280" i="5" s="1"/>
  <c r="A279" i="5"/>
  <c r="N278" i="5"/>
  <c r="A278" i="5"/>
  <c r="A277" i="5"/>
  <c r="S276" i="5"/>
  <c r="A276" i="5"/>
  <c r="S275" i="5"/>
  <c r="A275" i="5"/>
  <c r="A274" i="5"/>
  <c r="S273" i="5"/>
  <c r="A273" i="5"/>
  <c r="A272" i="5"/>
  <c r="N271" i="5"/>
  <c r="A271" i="5"/>
  <c r="S270" i="5"/>
  <c r="A270" i="5"/>
  <c r="A269" i="5"/>
  <c r="S269" i="5" s="1"/>
  <c r="A268" i="5"/>
  <c r="A267" i="5"/>
  <c r="A266" i="5"/>
  <c r="S265" i="5"/>
  <c r="K288" i="5"/>
  <c r="N265" i="5"/>
  <c r="A265" i="5"/>
  <c r="A264" i="5"/>
  <c r="A263" i="5"/>
  <c r="A262" i="5"/>
  <c r="N261" i="5"/>
  <c r="A261" i="5"/>
  <c r="S260" i="5"/>
  <c r="N260" i="5"/>
  <c r="A260" i="5"/>
  <c r="S259" i="5"/>
  <c r="N259" i="5"/>
  <c r="A259" i="5"/>
  <c r="A258" i="5"/>
  <c r="S257" i="5"/>
  <c r="A257" i="5"/>
  <c r="A256" i="5"/>
  <c r="A255" i="5"/>
  <c r="A254" i="5"/>
  <c r="A253" i="5"/>
  <c r="A252" i="5"/>
  <c r="A251" i="5"/>
  <c r="A250" i="5"/>
  <c r="S249" i="5"/>
  <c r="Q249" i="5"/>
  <c r="N249" i="5"/>
  <c r="F249" i="5"/>
  <c r="A249" i="5"/>
  <c r="R248" i="5"/>
  <c r="N248" i="5"/>
  <c r="M248" i="5"/>
  <c r="A248" i="5"/>
  <c r="A247" i="5"/>
  <c r="A246" i="5"/>
  <c r="L251" i="5"/>
  <c r="A245" i="5"/>
  <c r="R245" i="5" s="1"/>
  <c r="A244" i="5"/>
  <c r="A243" i="5"/>
  <c r="A242" i="5"/>
  <c r="A241" i="5"/>
  <c r="A240" i="5"/>
  <c r="A229" i="5"/>
  <c r="S228" i="5"/>
  <c r="A228" i="5"/>
  <c r="S227" i="5"/>
  <c r="A227" i="5"/>
  <c r="S226" i="5"/>
  <c r="N226" i="5"/>
  <c r="A226" i="5"/>
  <c r="A225" i="5"/>
  <c r="N225" i="5" s="1"/>
  <c r="S224" i="5"/>
  <c r="A224" i="5"/>
  <c r="A223" i="5"/>
  <c r="A222" i="5"/>
  <c r="N221" i="5"/>
  <c r="A221" i="5"/>
  <c r="S220" i="5"/>
  <c r="N220" i="5"/>
  <c r="A220" i="5"/>
  <c r="A219" i="5"/>
  <c r="A218" i="5"/>
  <c r="S217" i="5"/>
  <c r="A217" i="5"/>
  <c r="A216" i="5"/>
  <c r="N216" i="5" s="1"/>
  <c r="A215" i="5"/>
  <c r="A214" i="5"/>
  <c r="N213" i="5"/>
  <c r="A213" i="5"/>
  <c r="S213" i="5" s="1"/>
  <c r="A212" i="5"/>
  <c r="L211" i="5"/>
  <c r="A211" i="5"/>
  <c r="A210" i="5"/>
  <c r="N209" i="5"/>
  <c r="A209" i="5"/>
  <c r="S208" i="5"/>
  <c r="N208" i="5"/>
  <c r="A208" i="5"/>
  <c r="S207" i="5"/>
  <c r="N207" i="5"/>
  <c r="A207" i="5"/>
  <c r="N206" i="5"/>
  <c r="A206" i="5"/>
  <c r="S206" i="5" s="1"/>
  <c r="A205" i="5"/>
  <c r="N204" i="5"/>
  <c r="S204" i="5"/>
  <c r="A204" i="5"/>
  <c r="A203" i="5"/>
  <c r="A202" i="5"/>
  <c r="N202" i="5" s="1"/>
  <c r="A201" i="5"/>
  <c r="N200" i="5"/>
  <c r="A200" i="5"/>
  <c r="A199" i="5"/>
  <c r="A198" i="5"/>
  <c r="A197" i="5"/>
  <c r="A196" i="5"/>
  <c r="A195" i="5"/>
  <c r="A194" i="5"/>
  <c r="L193" i="5"/>
  <c r="A193" i="5"/>
  <c r="F193" i="5"/>
  <c r="A192" i="5"/>
  <c r="Q193" i="5" s="1"/>
  <c r="A191" i="5"/>
  <c r="F190" i="5"/>
  <c r="A190" i="5"/>
  <c r="R189" i="5"/>
  <c r="Q190" i="5"/>
  <c r="M189" i="5"/>
  <c r="A189" i="5"/>
  <c r="A188" i="5"/>
  <c r="A187" i="5"/>
  <c r="A186" i="5"/>
  <c r="A185" i="5"/>
  <c r="A184" i="5"/>
  <c r="M183" i="5"/>
  <c r="A183" i="5"/>
  <c r="N182" i="5"/>
  <c r="L183" i="5"/>
  <c r="M182" i="5"/>
  <c r="A182" i="5"/>
  <c r="A181" i="5"/>
  <c r="R180" i="5"/>
  <c r="A180" i="5"/>
  <c r="S179" i="5"/>
  <c r="R179" i="5"/>
  <c r="L180" i="5"/>
  <c r="M179" i="5"/>
  <c r="A179" i="5"/>
  <c r="A178" i="5"/>
  <c r="A177" i="5"/>
  <c r="N176" i="5"/>
  <c r="F177" i="5"/>
  <c r="A176" i="5"/>
  <c r="A175" i="5"/>
  <c r="A174" i="5"/>
  <c r="J186" i="5"/>
  <c r="A173" i="5"/>
  <c r="A172" i="5"/>
  <c r="V163" i="5"/>
  <c r="N163" i="5"/>
  <c r="A163" i="5"/>
  <c r="A162" i="5"/>
  <c r="S161" i="5"/>
  <c r="N161" i="5"/>
  <c r="A161" i="5"/>
  <c r="N160" i="5"/>
  <c r="V160" i="5"/>
  <c r="A160" i="5"/>
  <c r="N159" i="5"/>
  <c r="A159" i="5"/>
  <c r="A158" i="5"/>
  <c r="A157" i="5"/>
  <c r="A156" i="5"/>
  <c r="A155" i="5"/>
  <c r="A154" i="5"/>
  <c r="A153" i="5"/>
  <c r="N152" i="5"/>
  <c r="A152" i="5"/>
  <c r="S151" i="5"/>
  <c r="A151" i="5"/>
  <c r="S150" i="5"/>
  <c r="N150" i="5"/>
  <c r="A150" i="5"/>
  <c r="S149" i="5"/>
  <c r="N149" i="5"/>
  <c r="A149" i="5"/>
  <c r="A148" i="5"/>
  <c r="N148" i="5" s="1"/>
  <c r="S147" i="5"/>
  <c r="N147" i="5"/>
  <c r="A147" i="5"/>
  <c r="S146" i="5"/>
  <c r="A146" i="5"/>
  <c r="N145" i="5"/>
  <c r="A145" i="5"/>
  <c r="S144" i="5"/>
  <c r="A144" i="5"/>
  <c r="A143" i="5"/>
  <c r="N143" i="5" s="1"/>
  <c r="A142" i="5"/>
  <c r="S141" i="5"/>
  <c r="N141" i="5"/>
  <c r="A141" i="5"/>
  <c r="A140" i="5"/>
  <c r="N139" i="5"/>
  <c r="A139" i="5"/>
  <c r="S138" i="5"/>
  <c r="A138" i="5"/>
  <c r="N137" i="5"/>
  <c r="A137" i="5"/>
  <c r="A136" i="5"/>
  <c r="S135" i="5"/>
  <c r="A135" i="5"/>
  <c r="N134" i="5"/>
  <c r="A134" i="5"/>
  <c r="A133" i="5"/>
  <c r="A132" i="5"/>
  <c r="S131" i="5"/>
  <c r="A131" i="5"/>
  <c r="A130" i="5"/>
  <c r="N129" i="5"/>
  <c r="A129" i="5"/>
  <c r="A128" i="5"/>
  <c r="A127" i="5"/>
  <c r="A126" i="5"/>
  <c r="N126" i="5" s="1"/>
  <c r="S125" i="5"/>
  <c r="N125" i="5"/>
  <c r="A125" i="5"/>
  <c r="S124" i="5"/>
  <c r="N124" i="5"/>
  <c r="L136" i="5"/>
  <c r="A124" i="5"/>
  <c r="A123" i="5"/>
  <c r="N122" i="5"/>
  <c r="A122" i="5"/>
  <c r="S121" i="5"/>
  <c r="A121" i="5"/>
  <c r="N120" i="5"/>
  <c r="A120" i="5"/>
  <c r="A119" i="5"/>
  <c r="S118" i="5"/>
  <c r="N118" i="5"/>
  <c r="A118" i="5"/>
  <c r="S117" i="5"/>
  <c r="N117" i="5"/>
  <c r="A117" i="5"/>
  <c r="K116" i="5"/>
  <c r="A116" i="5"/>
  <c r="N115" i="5"/>
  <c r="A115" i="5"/>
  <c r="A114" i="5"/>
  <c r="L123" i="5"/>
  <c r="A113" i="5"/>
  <c r="A112" i="5"/>
  <c r="A111" i="5"/>
  <c r="A110" i="5"/>
  <c r="X109" i="5"/>
  <c r="W109" i="5"/>
  <c r="A109" i="5"/>
  <c r="A108" i="5"/>
  <c r="A107" i="5"/>
  <c r="A106" i="5"/>
  <c r="A105" i="5"/>
  <c r="S104" i="5"/>
  <c r="N104" i="5"/>
  <c r="A104" i="5"/>
  <c r="Q106" i="5"/>
  <c r="K103" i="5"/>
  <c r="R103" i="5" s="1"/>
  <c r="A103" i="5"/>
  <c r="A102" i="5"/>
  <c r="P101" i="5"/>
  <c r="Y101" i="5"/>
  <c r="A101" i="5"/>
  <c r="A100" i="5"/>
  <c r="R99" i="5"/>
  <c r="B99" i="5"/>
  <c r="A99" i="5" s="1"/>
  <c r="A98" i="5"/>
  <c r="A97" i="5"/>
  <c r="K96" i="5"/>
  <c r="A96" i="5"/>
  <c r="K95" i="5"/>
  <c r="A95" i="5"/>
  <c r="J97" i="5"/>
  <c r="K121" i="5" s="1"/>
  <c r="A94" i="5"/>
  <c r="P94" i="5" s="1"/>
  <c r="A93" i="5"/>
  <c r="S89" i="5"/>
  <c r="B85" i="5"/>
  <c r="A85" i="5" s="1"/>
  <c r="B84" i="5"/>
  <c r="A84" i="5"/>
  <c r="B83" i="5"/>
  <c r="A83" i="5" s="1"/>
  <c r="V82" i="5"/>
  <c r="B82" i="5"/>
  <c r="A82" i="5"/>
  <c r="B81" i="5"/>
  <c r="A81" i="5" s="1"/>
  <c r="B80" i="5"/>
  <c r="A80" i="5" s="1"/>
  <c r="B79" i="5"/>
  <c r="A79" i="5"/>
  <c r="B78" i="5"/>
  <c r="A78" i="5"/>
  <c r="B77" i="5"/>
  <c r="A77" i="5"/>
  <c r="B76" i="5"/>
  <c r="A76" i="5"/>
  <c r="S75" i="5"/>
  <c r="N75" i="5"/>
  <c r="B75" i="5"/>
  <c r="A75" i="5"/>
  <c r="B74" i="5"/>
  <c r="A74" i="5"/>
  <c r="B73" i="5"/>
  <c r="A73" i="5"/>
  <c r="B72" i="5"/>
  <c r="A72" i="5"/>
  <c r="B71" i="5"/>
  <c r="A71" i="5"/>
  <c r="B70" i="5"/>
  <c r="B69" i="5"/>
  <c r="A69" i="5"/>
  <c r="B68" i="5"/>
  <c r="A68" i="5"/>
  <c r="B67" i="5"/>
  <c r="A67" i="5"/>
  <c r="N66" i="5"/>
  <c r="B66" i="5"/>
  <c r="A66" i="5"/>
  <c r="B65" i="5"/>
  <c r="B64" i="5"/>
  <c r="A64" i="5"/>
  <c r="B63" i="5"/>
  <c r="B62" i="5"/>
  <c r="A62" i="5"/>
  <c r="S61" i="5"/>
  <c r="N61" i="5"/>
  <c r="B61" i="5"/>
  <c r="A61" i="5"/>
  <c r="B60" i="5"/>
  <c r="A60" i="5"/>
  <c r="B59" i="5"/>
  <c r="B58" i="5"/>
  <c r="B57" i="5"/>
  <c r="A57" i="5"/>
  <c r="N56" i="5"/>
  <c r="B56" i="5"/>
  <c r="A56" i="5"/>
  <c r="N55" i="5"/>
  <c r="B55" i="5"/>
  <c r="A55" i="5"/>
  <c r="B54" i="5"/>
  <c r="A54" i="5" s="1"/>
  <c r="B53" i="5"/>
  <c r="A53" i="5"/>
  <c r="B52" i="5"/>
  <c r="A52" i="5"/>
  <c r="B51" i="5"/>
  <c r="A51" i="5"/>
  <c r="N50" i="5"/>
  <c r="B50" i="5"/>
  <c r="A50" i="5"/>
  <c r="N49" i="5"/>
  <c r="B49" i="5"/>
  <c r="A49" i="5"/>
  <c r="S48" i="5"/>
  <c r="B48" i="5"/>
  <c r="A48" i="5"/>
  <c r="N47" i="5"/>
  <c r="B47" i="5"/>
  <c r="A47" i="5"/>
  <c r="B46" i="5"/>
  <c r="N45" i="5"/>
  <c r="B45" i="5"/>
  <c r="A45" i="5"/>
  <c r="B44" i="5"/>
  <c r="B43" i="5"/>
  <c r="A43" i="5"/>
  <c r="B42" i="5"/>
  <c r="A42" i="5"/>
  <c r="B41" i="5"/>
  <c r="A41" i="5"/>
  <c r="B40" i="5"/>
  <c r="B39" i="5"/>
  <c r="A39" i="5"/>
  <c r="B38" i="5"/>
  <c r="A38" i="5"/>
  <c r="N37" i="5"/>
  <c r="B37" i="5"/>
  <c r="A37" i="5"/>
  <c r="B36" i="5"/>
  <c r="A36" i="5"/>
  <c r="B35" i="5"/>
  <c r="A35" i="5"/>
  <c r="B34" i="5"/>
  <c r="A34" i="5"/>
  <c r="B33" i="5"/>
  <c r="A33" i="5"/>
  <c r="B32" i="5"/>
  <c r="S32" i="5" s="1"/>
  <c r="A32" i="5"/>
  <c r="B31" i="5"/>
  <c r="B30" i="5"/>
  <c r="A30" i="5"/>
  <c r="B29" i="5"/>
  <c r="A29" i="5"/>
  <c r="B28" i="5"/>
  <c r="A28" i="5" s="1"/>
  <c r="X27" i="5"/>
  <c r="W27" i="5"/>
  <c r="B27" i="5"/>
  <c r="A27" i="5"/>
  <c r="B26" i="5"/>
  <c r="A26" i="5"/>
  <c r="B25" i="5"/>
  <c r="A25" i="5" s="1"/>
  <c r="B24" i="5"/>
  <c r="A24" i="5"/>
  <c r="B23" i="5"/>
  <c r="A23" i="5" s="1"/>
  <c r="B22" i="5"/>
  <c r="B21" i="5"/>
  <c r="A21" i="5"/>
  <c r="B20" i="5"/>
  <c r="A20" i="5" s="1"/>
  <c r="B19" i="5"/>
  <c r="B18" i="5"/>
  <c r="A18" i="5"/>
  <c r="B17" i="5"/>
  <c r="B16" i="5"/>
  <c r="A16" i="5"/>
  <c r="Y15" i="5"/>
  <c r="B15" i="5"/>
  <c r="A15" i="5"/>
  <c r="B14" i="5"/>
  <c r="A14" i="5" s="1"/>
  <c r="B13" i="5"/>
  <c r="A13" i="5"/>
  <c r="B12" i="5"/>
  <c r="A12" i="5"/>
  <c r="B11" i="5"/>
  <c r="S11" i="5" s="1"/>
  <c r="A11" i="5"/>
  <c r="K10" i="5"/>
  <c r="B10" i="5"/>
  <c r="A10" i="5"/>
  <c r="B9" i="5"/>
  <c r="A9" i="5"/>
  <c r="M8" i="5"/>
  <c r="E8" i="5"/>
  <c r="B8" i="5"/>
  <c r="A8" i="5"/>
  <c r="M7" i="5"/>
  <c r="K7" i="5"/>
  <c r="B7" i="5"/>
  <c r="A7" i="5"/>
  <c r="N7" i="5" s="1"/>
  <c r="S6" i="5"/>
  <c r="K6" i="5"/>
  <c r="B6" i="5"/>
  <c r="A6" i="5"/>
  <c r="B5" i="5"/>
  <c r="A5" i="5"/>
  <c r="A500" i="15"/>
  <c r="A499" i="15"/>
  <c r="AO498" i="15"/>
  <c r="AN498" i="15"/>
  <c r="A498" i="15"/>
  <c r="AR497" i="15"/>
  <c r="AI497" i="15"/>
  <c r="A497" i="15"/>
  <c r="AO496" i="15"/>
  <c r="A496" i="15"/>
  <c r="AR495" i="15"/>
  <c r="A495" i="15"/>
  <c r="AI495" i="15" s="1"/>
  <c r="AR494" i="15"/>
  <c r="AH494" i="15"/>
  <c r="AI494" i="15"/>
  <c r="A494" i="15"/>
  <c r="AR493" i="15"/>
  <c r="A493" i="15"/>
  <c r="A492" i="15"/>
  <c r="A491" i="15"/>
  <c r="A490" i="15"/>
  <c r="A489" i="15"/>
  <c r="A488" i="15"/>
  <c r="A487" i="15"/>
  <c r="A485" i="15"/>
  <c r="A484" i="15"/>
  <c r="AO483" i="15"/>
  <c r="AN483" i="15"/>
  <c r="A483" i="15"/>
  <c r="AQ482" i="15"/>
  <c r="A482" i="15"/>
  <c r="AS481" i="15"/>
  <c r="A481" i="15"/>
  <c r="AS480" i="15"/>
  <c r="A480" i="15"/>
  <c r="AS479" i="15"/>
  <c r="A479" i="15"/>
  <c r="AR478" i="15"/>
  <c r="AS478" i="15" s="1"/>
  <c r="AT478" i="15" s="1"/>
  <c r="A478" i="15"/>
  <c r="AS477" i="15"/>
  <c r="A477" i="15"/>
  <c r="AS476" i="15"/>
  <c r="A476" i="15"/>
  <c r="AS475" i="15"/>
  <c r="A475" i="15"/>
  <c r="AS474" i="15"/>
  <c r="A474" i="15"/>
  <c r="AS473" i="15"/>
  <c r="A473" i="15"/>
  <c r="AS472" i="15"/>
  <c r="AR472" i="15"/>
  <c r="AR482" i="15" s="1"/>
  <c r="A472" i="15"/>
  <c r="AS471" i="15"/>
  <c r="A471" i="15"/>
  <c r="AS470" i="15"/>
  <c r="AT470" i="15" s="1"/>
  <c r="A470" i="15"/>
  <c r="A469" i="15"/>
  <c r="AO468" i="15"/>
  <c r="AN468" i="15"/>
  <c r="AH468" i="15"/>
  <c r="A468" i="15"/>
  <c r="A467" i="15"/>
  <c r="A466" i="15"/>
  <c r="A465" i="15"/>
  <c r="A464" i="15"/>
  <c r="A463" i="15"/>
  <c r="AQ462" i="15"/>
  <c r="AO462" i="15"/>
  <c r="AH462" i="15"/>
  <c r="AN462" i="15"/>
  <c r="AI462" i="15"/>
  <c r="A462" i="15"/>
  <c r="A461" i="15"/>
  <c r="AQ460" i="15"/>
  <c r="A460" i="15"/>
  <c r="AQ459" i="15"/>
  <c r="A459" i="15"/>
  <c r="A458" i="15"/>
  <c r="A457" i="15"/>
  <c r="AI457" i="15" s="1"/>
  <c r="A456" i="15"/>
  <c r="A455" i="15"/>
  <c r="A454" i="15"/>
  <c r="A453" i="15"/>
  <c r="A452" i="15"/>
  <c r="A451" i="15"/>
  <c r="A450" i="15"/>
  <c r="A449" i="15"/>
  <c r="AQ448" i="15"/>
  <c r="A448" i="15"/>
  <c r="A447" i="15"/>
  <c r="A446" i="15"/>
  <c r="A445" i="15"/>
  <c r="AQ444" i="15"/>
  <c r="A444" i="15"/>
  <c r="AQ443" i="15"/>
  <c r="A443" i="15"/>
  <c r="A442" i="15"/>
  <c r="A440" i="15"/>
  <c r="A439" i="15"/>
  <c r="AQ438" i="15"/>
  <c r="A438" i="15"/>
  <c r="A437" i="15"/>
  <c r="AQ436" i="15"/>
  <c r="A436" i="15"/>
  <c r="AQ435" i="15"/>
  <c r="A435" i="15"/>
  <c r="A434" i="15"/>
  <c r="A433" i="15"/>
  <c r="A432" i="15"/>
  <c r="A431" i="15"/>
  <c r="A430" i="15"/>
  <c r="A429" i="15"/>
  <c r="A428" i="15"/>
  <c r="A427" i="15"/>
  <c r="A426" i="15"/>
  <c r="A425" i="15"/>
  <c r="A424" i="15"/>
  <c r="A423" i="15"/>
  <c r="A422" i="15"/>
  <c r="A421" i="15"/>
  <c r="A420" i="15"/>
  <c r="A419" i="15"/>
  <c r="A418" i="15"/>
  <c r="A417" i="15"/>
  <c r="A416" i="15"/>
  <c r="A415" i="15"/>
  <c r="A414" i="15"/>
  <c r="A413" i="15"/>
  <c r="A412" i="15"/>
  <c r="A411" i="15"/>
  <c r="A410" i="15"/>
  <c r="A409" i="15"/>
  <c r="A408" i="15"/>
  <c r="A407" i="15"/>
  <c r="A406" i="15"/>
  <c r="A405" i="15"/>
  <c r="S395" i="15"/>
  <c r="A395" i="15"/>
  <c r="S394" i="15"/>
  <c r="A394" i="15"/>
  <c r="S393" i="15"/>
  <c r="A393" i="15"/>
  <c r="S392" i="15"/>
  <c r="A392" i="15"/>
  <c r="S391" i="15"/>
  <c r="A391" i="15"/>
  <c r="S390" i="15"/>
  <c r="A390" i="15"/>
  <c r="S389" i="15"/>
  <c r="A389" i="15"/>
  <c r="S388" i="15"/>
  <c r="A388" i="15"/>
  <c r="S387" i="15"/>
  <c r="A387" i="15"/>
  <c r="S386" i="15"/>
  <c r="A386" i="15"/>
  <c r="S385" i="15"/>
  <c r="A385" i="15"/>
  <c r="S384" i="15"/>
  <c r="A384" i="15"/>
  <c r="S383" i="15"/>
  <c r="A383" i="15"/>
  <c r="S382" i="15"/>
  <c r="A382" i="15"/>
  <c r="S381" i="15"/>
  <c r="A381" i="15"/>
  <c r="S380" i="15"/>
  <c r="A380" i="15"/>
  <c r="Q396" i="15"/>
  <c r="A379" i="15"/>
  <c r="F396" i="15" s="1"/>
  <c r="E396" i="15" s="1"/>
  <c r="A378" i="15"/>
  <c r="S377" i="15"/>
  <c r="A377" i="15"/>
  <c r="A376" i="15"/>
  <c r="S375" i="15"/>
  <c r="A375" i="15"/>
  <c r="A374" i="15"/>
  <c r="S373" i="15"/>
  <c r="A373" i="15"/>
  <c r="S372" i="15"/>
  <c r="A372" i="15"/>
  <c r="S371" i="15"/>
  <c r="A371" i="15"/>
  <c r="A370" i="15"/>
  <c r="S369" i="15"/>
  <c r="A369" i="15"/>
  <c r="A368" i="15"/>
  <c r="S367" i="15"/>
  <c r="A367" i="15"/>
  <c r="F378" i="15"/>
  <c r="A366" i="15"/>
  <c r="A365" i="15"/>
  <c r="A364" i="15"/>
  <c r="L363" i="15"/>
  <c r="J363" i="15"/>
  <c r="K363" i="15" s="1"/>
  <c r="D363" i="15"/>
  <c r="E363" i="15" s="1"/>
  <c r="A363" i="15"/>
  <c r="A362" i="15"/>
  <c r="Q363" i="15"/>
  <c r="S363" i="15" s="1"/>
  <c r="P361" i="15"/>
  <c r="K361" i="15"/>
  <c r="F363" i="15"/>
  <c r="A361" i="15"/>
  <c r="A360" i="15"/>
  <c r="A349" i="15"/>
  <c r="A348" i="15"/>
  <c r="A347" i="15"/>
  <c r="N346" i="15"/>
  <c r="A346" i="15"/>
  <c r="A345" i="15"/>
  <c r="N344" i="15"/>
  <c r="S344" i="15"/>
  <c r="A344" i="15"/>
  <c r="S343" i="15"/>
  <c r="N343" i="15"/>
  <c r="A343" i="15"/>
  <c r="S342" i="15"/>
  <c r="A342" i="15"/>
  <c r="N342" i="15" s="1"/>
  <c r="S341" i="15"/>
  <c r="A341" i="15"/>
  <c r="S340" i="15"/>
  <c r="A340" i="15"/>
  <c r="N339" i="15"/>
  <c r="A339" i="15"/>
  <c r="S339" i="15" s="1"/>
  <c r="A338" i="15"/>
  <c r="A337" i="15"/>
  <c r="S336" i="15"/>
  <c r="A336" i="15"/>
  <c r="A335" i="15"/>
  <c r="A334" i="15"/>
  <c r="N333" i="15"/>
  <c r="S333" i="15"/>
  <c r="A333" i="15"/>
  <c r="A332" i="15"/>
  <c r="A331" i="15"/>
  <c r="A330" i="15"/>
  <c r="S329" i="15"/>
  <c r="N329" i="15"/>
  <c r="A329" i="15"/>
  <c r="A328" i="15"/>
  <c r="A327" i="15"/>
  <c r="N327" i="15" s="1"/>
  <c r="A326" i="15"/>
  <c r="N325" i="15"/>
  <c r="A325" i="15"/>
  <c r="A324" i="15"/>
  <c r="N323" i="15"/>
  <c r="S323" i="15"/>
  <c r="A323" i="15"/>
  <c r="S322" i="15"/>
  <c r="A322" i="15"/>
  <c r="A321" i="15"/>
  <c r="S321" i="15" s="1"/>
  <c r="A320" i="15"/>
  <c r="S320" i="15" s="1"/>
  <c r="S319" i="15"/>
  <c r="A319" i="15"/>
  <c r="A318" i="15"/>
  <c r="A317" i="15"/>
  <c r="A316" i="15"/>
  <c r="A315" i="15"/>
  <c r="A314" i="15"/>
  <c r="P313" i="15"/>
  <c r="M313" i="15"/>
  <c r="N313" i="15"/>
  <c r="K313" i="15"/>
  <c r="E313" i="15"/>
  <c r="A313" i="15"/>
  <c r="A312" i="15"/>
  <c r="A311" i="15"/>
  <c r="A310" i="15"/>
  <c r="R309" i="15"/>
  <c r="N309" i="15"/>
  <c r="K309" i="15"/>
  <c r="A309" i="15"/>
  <c r="M308" i="15"/>
  <c r="N308" i="15"/>
  <c r="A308" i="15"/>
  <c r="S308" i="15" s="1"/>
  <c r="A307" i="15"/>
  <c r="A306" i="15"/>
  <c r="A305" i="15"/>
  <c r="K304" i="15"/>
  <c r="A304" i="15"/>
  <c r="N303" i="15"/>
  <c r="K303" i="15"/>
  <c r="E303" i="15"/>
  <c r="A303" i="15"/>
  <c r="K302" i="15"/>
  <c r="A302" i="15"/>
  <c r="N302" i="15" s="1"/>
  <c r="K301" i="15"/>
  <c r="A301" i="15"/>
  <c r="S300" i="15"/>
  <c r="N300" i="15"/>
  <c r="A300" i="15"/>
  <c r="M299" i="15"/>
  <c r="K299" i="15"/>
  <c r="A299" i="15"/>
  <c r="A298" i="15"/>
  <c r="S297" i="15"/>
  <c r="N297" i="15"/>
  <c r="E297" i="15"/>
  <c r="A297" i="15"/>
  <c r="K296" i="15"/>
  <c r="A296" i="15"/>
  <c r="A295" i="15"/>
  <c r="A285" i="15"/>
  <c r="A284" i="15"/>
  <c r="A283" i="15"/>
  <c r="N282" i="15"/>
  <c r="A282" i="15"/>
  <c r="S281" i="15"/>
  <c r="N281" i="15"/>
  <c r="A281" i="15"/>
  <c r="S280" i="15"/>
  <c r="N280" i="15"/>
  <c r="A280" i="15"/>
  <c r="S279" i="15"/>
  <c r="A279" i="15"/>
  <c r="S278" i="15"/>
  <c r="N278" i="15"/>
  <c r="A278" i="15"/>
  <c r="N277" i="15"/>
  <c r="A277" i="15"/>
  <c r="A276" i="15"/>
  <c r="A275" i="15"/>
  <c r="S275" i="15" s="1"/>
  <c r="A274" i="15"/>
  <c r="S273" i="15"/>
  <c r="N273" i="15"/>
  <c r="A273" i="15"/>
  <c r="S272" i="15"/>
  <c r="A272" i="15"/>
  <c r="S271" i="15"/>
  <c r="N271" i="15"/>
  <c r="A271" i="15"/>
  <c r="N270" i="15"/>
  <c r="A270" i="15"/>
  <c r="A269" i="15"/>
  <c r="N268" i="15"/>
  <c r="A268" i="15"/>
  <c r="K267" i="15"/>
  <c r="A267" i="15"/>
  <c r="A266" i="15"/>
  <c r="N265" i="15"/>
  <c r="K288" i="15"/>
  <c r="A265" i="15"/>
  <c r="A264" i="15"/>
  <c r="S264" i="15" s="1"/>
  <c r="A263" i="15"/>
  <c r="A262" i="15"/>
  <c r="A261" i="15"/>
  <c r="S261" i="15" s="1"/>
  <c r="S260" i="15"/>
  <c r="A260" i="15"/>
  <c r="N259" i="15"/>
  <c r="A259" i="15"/>
  <c r="S258" i="15"/>
  <c r="N258" i="15"/>
  <c r="A258" i="15"/>
  <c r="A257" i="15"/>
  <c r="S256" i="15"/>
  <c r="A256" i="15"/>
  <c r="N255" i="15"/>
  <c r="S255" i="15"/>
  <c r="A255" i="15"/>
  <c r="A254" i="15"/>
  <c r="A253" i="15"/>
  <c r="A252" i="15"/>
  <c r="K251" i="15"/>
  <c r="L252" i="15" s="1"/>
  <c r="A251" i="15"/>
  <c r="A250" i="15"/>
  <c r="S249" i="15"/>
  <c r="Q249" i="15"/>
  <c r="N249" i="15"/>
  <c r="L249" i="15"/>
  <c r="F249" i="15"/>
  <c r="A249" i="15"/>
  <c r="S248" i="15"/>
  <c r="R248" i="15"/>
  <c r="N248" i="15"/>
  <c r="M248" i="15"/>
  <c r="A248" i="15"/>
  <c r="A247" i="15"/>
  <c r="A246" i="15"/>
  <c r="L246" i="15"/>
  <c r="A245" i="15"/>
  <c r="P251" i="15" s="1"/>
  <c r="A244" i="15"/>
  <c r="A243" i="15"/>
  <c r="L243" i="15"/>
  <c r="M242" i="15"/>
  <c r="A242" i="15"/>
  <c r="A241" i="15"/>
  <c r="A240" i="15"/>
  <c r="S229" i="15"/>
  <c r="A229" i="15"/>
  <c r="N229" i="15" s="1"/>
  <c r="A228" i="15"/>
  <c r="N227" i="15"/>
  <c r="A227" i="15"/>
  <c r="N226" i="15"/>
  <c r="A226" i="15"/>
  <c r="S226" i="15" s="1"/>
  <c r="A225" i="15"/>
  <c r="S225" i="15" s="1"/>
  <c r="N224" i="15"/>
  <c r="A224" i="15"/>
  <c r="S224" i="15" s="1"/>
  <c r="A223" i="15"/>
  <c r="S223" i="15" s="1"/>
  <c r="A222" i="15"/>
  <c r="N221" i="15"/>
  <c r="A221" i="15"/>
  <c r="A220" i="15"/>
  <c r="S220" i="15" s="1"/>
  <c r="A219" i="15"/>
  <c r="N218" i="15"/>
  <c r="S218" i="15"/>
  <c r="A218" i="15"/>
  <c r="S217" i="15"/>
  <c r="A217" i="15"/>
  <c r="N216" i="15"/>
  <c r="S216" i="15"/>
  <c r="A216" i="15"/>
  <c r="N215" i="15"/>
  <c r="A215" i="15"/>
  <c r="A214" i="15"/>
  <c r="S213" i="15"/>
  <c r="A213" i="15"/>
  <c r="A212" i="15"/>
  <c r="A211" i="15"/>
  <c r="A210" i="15"/>
  <c r="S210" i="15" s="1"/>
  <c r="S209" i="15"/>
  <c r="N209" i="15"/>
  <c r="A209" i="15"/>
  <c r="S208" i="15"/>
  <c r="A208" i="15"/>
  <c r="A207" i="15"/>
  <c r="S206" i="15"/>
  <c r="A206" i="15"/>
  <c r="N206" i="15" s="1"/>
  <c r="N205" i="15"/>
  <c r="A205" i="15"/>
  <c r="S204" i="15"/>
  <c r="N204" i="15"/>
  <c r="A204" i="15"/>
  <c r="S203" i="15"/>
  <c r="A203" i="15"/>
  <c r="N203" i="15" s="1"/>
  <c r="A202" i="15"/>
  <c r="N201" i="15"/>
  <c r="A201" i="15"/>
  <c r="S201" i="15" s="1"/>
  <c r="N200" i="15"/>
  <c r="A200" i="15"/>
  <c r="S199" i="15"/>
  <c r="N199" i="15"/>
  <c r="A199" i="15"/>
  <c r="A198" i="15"/>
  <c r="A197" i="15"/>
  <c r="A196" i="15"/>
  <c r="A195" i="15"/>
  <c r="A194" i="15"/>
  <c r="L193" i="15"/>
  <c r="F193" i="15"/>
  <c r="A193" i="15"/>
  <c r="A192" i="15"/>
  <c r="Q193" i="15" s="1"/>
  <c r="A191" i="15"/>
  <c r="A190" i="15"/>
  <c r="R189" i="15"/>
  <c r="Q190" i="15"/>
  <c r="N189" i="15"/>
  <c r="L190" i="15"/>
  <c r="F190" i="15"/>
  <c r="M189" i="15"/>
  <c r="A189" i="15"/>
  <c r="A188" i="15"/>
  <c r="A187" i="15"/>
  <c r="L186" i="15"/>
  <c r="E186" i="15"/>
  <c r="E195" i="15" s="1"/>
  <c r="A186" i="15"/>
  <c r="N185" i="15"/>
  <c r="S185" i="15"/>
  <c r="A185" i="15"/>
  <c r="A184" i="15"/>
  <c r="Q183" i="15"/>
  <c r="M183" i="15"/>
  <c r="L183" i="15"/>
  <c r="A183" i="15"/>
  <c r="S182" i="15"/>
  <c r="R182" i="15"/>
  <c r="M182" i="15"/>
  <c r="A182" i="15"/>
  <c r="A181" i="15"/>
  <c r="R180" i="15"/>
  <c r="A180" i="15"/>
  <c r="Q180" i="15"/>
  <c r="N179" i="15"/>
  <c r="M179" i="15"/>
  <c r="R179" i="15"/>
  <c r="F180" i="15"/>
  <c r="A179" i="15"/>
  <c r="A178" i="15"/>
  <c r="A177" i="15"/>
  <c r="R176" i="15"/>
  <c r="L177" i="15"/>
  <c r="A176" i="15"/>
  <c r="E175" i="15"/>
  <c r="A175" i="15"/>
  <c r="A174" i="15"/>
  <c r="S173" i="15"/>
  <c r="R173" i="15"/>
  <c r="N173" i="15"/>
  <c r="A173" i="15"/>
  <c r="A172" i="15"/>
  <c r="A163" i="15"/>
  <c r="N162" i="15"/>
  <c r="A162" i="15"/>
  <c r="S161" i="15"/>
  <c r="A161" i="15"/>
  <c r="V160" i="15"/>
  <c r="N160" i="15"/>
  <c r="S160" i="15"/>
  <c r="A160" i="15"/>
  <c r="A159" i="15"/>
  <c r="Q164" i="15"/>
  <c r="N158" i="15"/>
  <c r="A158" i="15"/>
  <c r="A157" i="15"/>
  <c r="A156" i="15"/>
  <c r="A155" i="15"/>
  <c r="A154" i="15"/>
  <c r="A153" i="15"/>
  <c r="S152" i="15"/>
  <c r="N152" i="15"/>
  <c r="A152" i="15"/>
  <c r="A151" i="15"/>
  <c r="S150" i="15"/>
  <c r="N150" i="15"/>
  <c r="A150" i="15"/>
  <c r="S149" i="15"/>
  <c r="A149" i="15"/>
  <c r="S148" i="15"/>
  <c r="N148" i="15"/>
  <c r="A148" i="15"/>
  <c r="A147" i="15"/>
  <c r="S146" i="15"/>
  <c r="A146" i="15"/>
  <c r="S145" i="15"/>
  <c r="A145" i="15"/>
  <c r="N144" i="15"/>
  <c r="A144" i="15"/>
  <c r="A143" i="15"/>
  <c r="N142" i="15"/>
  <c r="A142" i="15"/>
  <c r="A141" i="15"/>
  <c r="S140" i="15"/>
  <c r="A140" i="15"/>
  <c r="A139" i="15"/>
  <c r="A138" i="15"/>
  <c r="A137" i="15"/>
  <c r="A136" i="15"/>
  <c r="S135" i="15"/>
  <c r="A135" i="15"/>
  <c r="A134" i="15"/>
  <c r="A133" i="15"/>
  <c r="S132" i="15"/>
  <c r="A132" i="15"/>
  <c r="N132" i="15" s="1"/>
  <c r="A131" i="15"/>
  <c r="A130" i="15"/>
  <c r="A129" i="15"/>
  <c r="S129" i="15" s="1"/>
  <c r="A128" i="15"/>
  <c r="S127" i="15"/>
  <c r="N127" i="15"/>
  <c r="A127" i="15"/>
  <c r="S126" i="15"/>
  <c r="N126" i="15"/>
  <c r="A126" i="15"/>
  <c r="A125" i="15"/>
  <c r="S125" i="15" s="1"/>
  <c r="N124" i="15"/>
  <c r="A124" i="15"/>
  <c r="A123" i="15"/>
  <c r="A122" i="15"/>
  <c r="A121" i="15"/>
  <c r="S120" i="15"/>
  <c r="N120" i="15"/>
  <c r="A120" i="15"/>
  <c r="A119" i="15"/>
  <c r="N118" i="15"/>
  <c r="A118" i="15"/>
  <c r="A117" i="15"/>
  <c r="S116" i="15"/>
  <c r="N116" i="15"/>
  <c r="A116" i="15"/>
  <c r="N115" i="15"/>
  <c r="A115" i="15"/>
  <c r="J114" i="15"/>
  <c r="A114" i="15"/>
  <c r="N113" i="15"/>
  <c r="A113" i="15"/>
  <c r="A112" i="15"/>
  <c r="A111" i="15"/>
  <c r="A110" i="15"/>
  <c r="X109" i="15"/>
  <c r="W109" i="15"/>
  <c r="A109" i="15"/>
  <c r="A108" i="15"/>
  <c r="A107" i="15"/>
  <c r="Y106" i="15"/>
  <c r="L106" i="15"/>
  <c r="A106" i="15"/>
  <c r="N105" i="15"/>
  <c r="A105" i="15"/>
  <c r="S104" i="15"/>
  <c r="A104" i="15"/>
  <c r="S103" i="15"/>
  <c r="A103" i="15"/>
  <c r="A102" i="15"/>
  <c r="Y101" i="15"/>
  <c r="N101" i="15"/>
  <c r="A101" i="15"/>
  <c r="E101" i="15" s="1"/>
  <c r="A100" i="15"/>
  <c r="R99" i="15"/>
  <c r="E99" i="15"/>
  <c r="B99" i="15"/>
  <c r="A99" i="15"/>
  <c r="S99" i="15" s="1"/>
  <c r="A98" i="15"/>
  <c r="L97" i="15"/>
  <c r="A97" i="15"/>
  <c r="M96" i="15"/>
  <c r="K96" i="15"/>
  <c r="A96" i="15"/>
  <c r="K95" i="15"/>
  <c r="A95" i="15"/>
  <c r="N94" i="15"/>
  <c r="J97" i="15"/>
  <c r="A94" i="15"/>
  <c r="A93" i="15"/>
  <c r="B85" i="15"/>
  <c r="A85" i="15"/>
  <c r="B84" i="15"/>
  <c r="A84" i="15"/>
  <c r="B83" i="15"/>
  <c r="A83" i="15"/>
  <c r="B82" i="15"/>
  <c r="A82" i="15"/>
  <c r="B81" i="15"/>
  <c r="B80" i="15"/>
  <c r="A80" i="15"/>
  <c r="N79" i="15"/>
  <c r="B79" i="15"/>
  <c r="A79" i="15"/>
  <c r="B78" i="15"/>
  <c r="B77" i="15"/>
  <c r="A77" i="15"/>
  <c r="B76" i="15"/>
  <c r="B75" i="15"/>
  <c r="A75" i="15"/>
  <c r="B74" i="15"/>
  <c r="A74" i="15" s="1"/>
  <c r="B73" i="15"/>
  <c r="A73" i="15"/>
  <c r="B72" i="15"/>
  <c r="A72" i="15"/>
  <c r="B71" i="15"/>
  <c r="B70" i="15"/>
  <c r="A70" i="15"/>
  <c r="S69" i="15"/>
  <c r="N69" i="15"/>
  <c r="B69" i="15"/>
  <c r="A69" i="15"/>
  <c r="B68" i="15"/>
  <c r="B67" i="15"/>
  <c r="A67" i="15"/>
  <c r="B66" i="15"/>
  <c r="B65" i="15"/>
  <c r="A65" i="15"/>
  <c r="B64" i="15"/>
  <c r="A64" i="15"/>
  <c r="B63" i="15"/>
  <c r="B62" i="15"/>
  <c r="A62" i="15"/>
  <c r="B61" i="15"/>
  <c r="A61" i="15"/>
  <c r="B60" i="15"/>
  <c r="B59" i="15"/>
  <c r="A59" i="15"/>
  <c r="B58" i="15"/>
  <c r="A58" i="15"/>
  <c r="B57" i="15"/>
  <c r="B56" i="15"/>
  <c r="A56" i="15"/>
  <c r="B55" i="15"/>
  <c r="A55" i="15"/>
  <c r="B54" i="15"/>
  <c r="A54" i="15"/>
  <c r="B53" i="15"/>
  <c r="A53" i="15"/>
  <c r="B52" i="15"/>
  <c r="A52" i="15"/>
  <c r="B51" i="15"/>
  <c r="S51" i="15" s="1"/>
  <c r="A51" i="15"/>
  <c r="N51" i="15" s="1"/>
  <c r="B50" i="15"/>
  <c r="B49" i="15"/>
  <c r="A49" i="15"/>
  <c r="S48" i="15"/>
  <c r="N48" i="15"/>
  <c r="B48" i="15"/>
  <c r="A48" i="15"/>
  <c r="B47" i="15"/>
  <c r="A47" i="15"/>
  <c r="B46" i="15"/>
  <c r="A46" i="15"/>
  <c r="B45" i="15"/>
  <c r="S45" i="15" s="1"/>
  <c r="A45" i="15"/>
  <c r="B44" i="15"/>
  <c r="A44" i="15"/>
  <c r="B43" i="15"/>
  <c r="A43" i="15"/>
  <c r="S42" i="15"/>
  <c r="N42" i="15"/>
  <c r="B42" i="15"/>
  <c r="A42" i="15"/>
  <c r="B41" i="15"/>
  <c r="A41" i="15"/>
  <c r="B40" i="15"/>
  <c r="A40" i="15" s="1"/>
  <c r="B39" i="15"/>
  <c r="A39" i="15"/>
  <c r="B38" i="15"/>
  <c r="A38" i="15"/>
  <c r="B37" i="15"/>
  <c r="A37" i="15" s="1"/>
  <c r="B36" i="15"/>
  <c r="A36" i="15"/>
  <c r="B35" i="15"/>
  <c r="A35" i="15"/>
  <c r="B34" i="15"/>
  <c r="B33" i="15"/>
  <c r="A33" i="15"/>
  <c r="B32" i="15"/>
  <c r="A32" i="15"/>
  <c r="B31" i="15"/>
  <c r="B30" i="15"/>
  <c r="A30" i="15" s="1"/>
  <c r="B29" i="15"/>
  <c r="A29" i="15"/>
  <c r="B28" i="15"/>
  <c r="A28" i="15" s="1"/>
  <c r="X27" i="15"/>
  <c r="W27" i="15"/>
  <c r="B27" i="15"/>
  <c r="A27" i="15"/>
  <c r="B26" i="15"/>
  <c r="A26" i="15"/>
  <c r="B25" i="15"/>
  <c r="A25" i="15"/>
  <c r="B24" i="15"/>
  <c r="A24" i="15"/>
  <c r="S23" i="15"/>
  <c r="B23" i="15"/>
  <c r="A23" i="15"/>
  <c r="S22" i="15"/>
  <c r="B22" i="15"/>
  <c r="A22" i="15"/>
  <c r="B21" i="15"/>
  <c r="A21" i="15"/>
  <c r="Q24" i="15" s="1"/>
  <c r="B20" i="15"/>
  <c r="A20" i="15" s="1"/>
  <c r="B19" i="15"/>
  <c r="B18" i="15"/>
  <c r="A18" i="15"/>
  <c r="B17" i="15"/>
  <c r="B16" i="15"/>
  <c r="A16" i="15"/>
  <c r="X15" i="15"/>
  <c r="E15" i="15"/>
  <c r="B15" i="15"/>
  <c r="A15" i="15"/>
  <c r="B14" i="15"/>
  <c r="A14" i="15" s="1"/>
  <c r="B13" i="15"/>
  <c r="A13" i="15"/>
  <c r="B12" i="15"/>
  <c r="R11" i="15"/>
  <c r="P11" i="15"/>
  <c r="K11" i="15"/>
  <c r="N11" i="15"/>
  <c r="E11" i="15"/>
  <c r="B11" i="15"/>
  <c r="A11" i="15"/>
  <c r="M11" i="15" s="1"/>
  <c r="B10" i="15"/>
  <c r="A10" i="15"/>
  <c r="E10" i="15" s="1"/>
  <c r="R9" i="15"/>
  <c r="E9" i="15"/>
  <c r="B9" i="15"/>
  <c r="A9" i="15" s="1"/>
  <c r="P9" i="15" s="1"/>
  <c r="B8" i="15"/>
  <c r="N7" i="15"/>
  <c r="M7" i="15"/>
  <c r="E7" i="15"/>
  <c r="B7" i="15"/>
  <c r="A7" i="15"/>
  <c r="R6" i="15"/>
  <c r="E6" i="15"/>
  <c r="B6" i="15"/>
  <c r="A6" i="15"/>
  <c r="B5" i="15"/>
  <c r="A5" i="15"/>
  <c r="AO443" i="6" l="1"/>
  <c r="M315" i="6"/>
  <c r="F85" i="6"/>
  <c r="Z484" i="6"/>
  <c r="N74" i="6"/>
  <c r="P74" i="6"/>
  <c r="F402" i="6"/>
  <c r="Z407" i="6"/>
  <c r="Y449" i="6" s="1"/>
  <c r="Z490" i="6"/>
  <c r="N85" i="6"/>
  <c r="N28" i="6"/>
  <c r="AL408" i="6"/>
  <c r="S28" i="6"/>
  <c r="Q85" i="6"/>
  <c r="P54" i="6"/>
  <c r="R315" i="6"/>
  <c r="P315" i="6"/>
  <c r="AL407" i="6"/>
  <c r="S85" i="6"/>
  <c r="S74" i="6"/>
  <c r="L402" i="6"/>
  <c r="N354" i="6"/>
  <c r="AN469" i="6"/>
  <c r="AH469" i="6"/>
  <c r="AI469" i="6" s="1"/>
  <c r="AD469" i="6"/>
  <c r="AG414" i="6"/>
  <c r="AG415" i="6"/>
  <c r="AM415" i="6"/>
  <c r="AF484" i="6"/>
  <c r="AH408" i="6"/>
  <c r="AI408" i="6" s="1"/>
  <c r="AL469" i="6"/>
  <c r="AO420" i="6"/>
  <c r="X467" i="6"/>
  <c r="X469" i="6"/>
  <c r="S316" i="6"/>
  <c r="Q354" i="6"/>
  <c r="S354" i="6" s="1"/>
  <c r="P331" i="6"/>
  <c r="P352" i="6"/>
  <c r="P350" i="6"/>
  <c r="X453" i="6"/>
  <c r="X420" i="6"/>
  <c r="S364" i="15"/>
  <c r="K40" i="5"/>
  <c r="E11" i="5"/>
  <c r="P11" i="5"/>
  <c r="N15" i="5"/>
  <c r="S15" i="5"/>
  <c r="A22" i="5"/>
  <c r="A31" i="5"/>
  <c r="AF480" i="5"/>
  <c r="A46" i="5"/>
  <c r="N48" i="5"/>
  <c r="K15" i="5"/>
  <c r="S35" i="5"/>
  <c r="S39" i="5"/>
  <c r="K39" i="5"/>
  <c r="A44" i="5"/>
  <c r="S60" i="5"/>
  <c r="N60" i="5"/>
  <c r="M6" i="5"/>
  <c r="E7" i="5"/>
  <c r="S57" i="5"/>
  <c r="N57" i="5"/>
  <c r="S66" i="5"/>
  <c r="S76" i="5"/>
  <c r="S83" i="5" s="1"/>
  <c r="N76" i="5"/>
  <c r="S80" i="5"/>
  <c r="Q83" i="5"/>
  <c r="L41" i="5"/>
  <c r="N51" i="5"/>
  <c r="A63" i="5"/>
  <c r="K11" i="5"/>
  <c r="E6" i="5"/>
  <c r="P10" i="5"/>
  <c r="M11" i="5"/>
  <c r="S51" i="5"/>
  <c r="F83" i="5"/>
  <c r="N94" i="5"/>
  <c r="S56" i="5"/>
  <c r="N8" i="5"/>
  <c r="S9" i="5"/>
  <c r="S10" i="5"/>
  <c r="N11" i="5"/>
  <c r="S23" i="5"/>
  <c r="S33" i="5"/>
  <c r="S37" i="5"/>
  <c r="N39" i="5"/>
  <c r="N52" i="5"/>
  <c r="N64" i="5"/>
  <c r="S64" i="5"/>
  <c r="A58" i="5"/>
  <c r="N67" i="5"/>
  <c r="S67" i="5"/>
  <c r="S77" i="5"/>
  <c r="N81" i="5"/>
  <c r="N95" i="5"/>
  <c r="Q97" i="5"/>
  <c r="N36" i="5"/>
  <c r="A40" i="5"/>
  <c r="S49" i="5"/>
  <c r="S52" i="5"/>
  <c r="A65" i="5"/>
  <c r="N68" i="5"/>
  <c r="S81" i="5"/>
  <c r="O114" i="5"/>
  <c r="E99" i="5"/>
  <c r="P9" i="5"/>
  <c r="E9" i="5"/>
  <c r="P12" i="5"/>
  <c r="E12" i="5"/>
  <c r="S71" i="5"/>
  <c r="N71" i="5"/>
  <c r="S78" i="5"/>
  <c r="N78" i="5"/>
  <c r="S95" i="5"/>
  <c r="L24" i="5"/>
  <c r="S21" i="5"/>
  <c r="N21" i="5"/>
  <c r="N42" i="5"/>
  <c r="N53" i="5"/>
  <c r="S53" i="5"/>
  <c r="L72" i="5"/>
  <c r="A59" i="5"/>
  <c r="S68" i="5"/>
  <c r="S103" i="5"/>
  <c r="L156" i="5"/>
  <c r="S12" i="5"/>
  <c r="S47" i="5"/>
  <c r="N10" i="5"/>
  <c r="N12" i="5"/>
  <c r="A17" i="5"/>
  <c r="D53" i="5"/>
  <c r="P6" i="5"/>
  <c r="N9" i="5"/>
  <c r="N32" i="5"/>
  <c r="S55" i="5"/>
  <c r="AL443" i="5"/>
  <c r="N62" i="5"/>
  <c r="N23" i="5"/>
  <c r="L13" i="5"/>
  <c r="K38" i="5"/>
  <c r="R6" i="5"/>
  <c r="M9" i="5"/>
  <c r="S43" i="5"/>
  <c r="N43" i="5"/>
  <c r="N69" i="5"/>
  <c r="S69" i="5"/>
  <c r="S79" i="5"/>
  <c r="N79" i="5"/>
  <c r="N82" i="5"/>
  <c r="S82" i="5"/>
  <c r="L97" i="5"/>
  <c r="J113" i="5" s="1"/>
  <c r="K101" i="5"/>
  <c r="R101" i="5"/>
  <c r="F136" i="5"/>
  <c r="N136" i="5" s="1"/>
  <c r="S129" i="5"/>
  <c r="S45" i="5"/>
  <c r="S50" i="5"/>
  <c r="M96" i="5"/>
  <c r="N101" i="5"/>
  <c r="J310" i="5"/>
  <c r="S96" i="5"/>
  <c r="S137" i="5"/>
  <c r="S153" i="5"/>
  <c r="E186" i="5"/>
  <c r="E175" i="5"/>
  <c r="S176" i="5"/>
  <c r="Q177" i="5"/>
  <c r="S218" i="5"/>
  <c r="N218" i="5"/>
  <c r="K114" i="5"/>
  <c r="O13" i="5"/>
  <c r="K8" i="5"/>
  <c r="N35" i="5"/>
  <c r="A70" i="5"/>
  <c r="E94" i="5"/>
  <c r="R94" i="5"/>
  <c r="N103" i="5"/>
  <c r="N114" i="5"/>
  <c r="S127" i="5"/>
  <c r="N127" i="5"/>
  <c r="N130" i="5"/>
  <c r="S215" i="5"/>
  <c r="N215" i="5"/>
  <c r="S94" i="5"/>
  <c r="S130" i="5"/>
  <c r="S133" i="5"/>
  <c r="N119" i="5"/>
  <c r="S119" i="5"/>
  <c r="N142" i="5"/>
  <c r="S142" i="5"/>
  <c r="V403" i="5"/>
  <c r="V486" i="5"/>
  <c r="A486" i="5" s="1"/>
  <c r="AF410" i="5"/>
  <c r="AF451" i="5"/>
  <c r="C237" i="5"/>
  <c r="C292" i="5"/>
  <c r="C357" i="5" s="1"/>
  <c r="AL413" i="5"/>
  <c r="C169" i="5"/>
  <c r="S7" i="5"/>
  <c r="L83" i="5"/>
  <c r="K118" i="5"/>
  <c r="K117" i="5"/>
  <c r="J106" i="5"/>
  <c r="K105" i="5"/>
  <c r="R105" i="5" s="1"/>
  <c r="K122" i="5"/>
  <c r="K119" i="5"/>
  <c r="K113" i="5"/>
  <c r="L106" i="5"/>
  <c r="N113" i="5"/>
  <c r="S114" i="5"/>
  <c r="S116" i="5"/>
  <c r="S122" i="5"/>
  <c r="P181" i="5"/>
  <c r="Q180" i="5"/>
  <c r="Q286" i="5"/>
  <c r="N272" i="5"/>
  <c r="AO486" i="5"/>
  <c r="S357" i="5"/>
  <c r="AO403" i="5"/>
  <c r="S292" i="5"/>
  <c r="S169" i="5"/>
  <c r="S237" i="5"/>
  <c r="P8" i="5"/>
  <c r="K9" i="5"/>
  <c r="R10" i="5"/>
  <c r="N33" i="5"/>
  <c r="N80" i="5"/>
  <c r="C89" i="5"/>
  <c r="AF427" i="5" s="1"/>
  <c r="K94" i="5"/>
  <c r="F106" i="5"/>
  <c r="D114" i="5" s="1"/>
  <c r="N116" i="5"/>
  <c r="N121" i="5"/>
  <c r="W160" i="5"/>
  <c r="S101" i="5"/>
  <c r="S105" i="5"/>
  <c r="J109" i="5"/>
  <c r="S128" i="5"/>
  <c r="N128" i="5"/>
  <c r="M94" i="5"/>
  <c r="N105" i="5"/>
  <c r="S113" i="5"/>
  <c r="S205" i="5"/>
  <c r="N205" i="5"/>
  <c r="S8" i="5"/>
  <c r="AL448" i="5"/>
  <c r="N96" i="5"/>
  <c r="E101" i="5"/>
  <c r="K115" i="5"/>
  <c r="K120" i="5"/>
  <c r="Q123" i="5"/>
  <c r="Q154" i="5"/>
  <c r="F154" i="5"/>
  <c r="N6" i="5"/>
  <c r="M95" i="5"/>
  <c r="K97" i="5"/>
  <c r="K104" i="5"/>
  <c r="R104" i="5" s="1"/>
  <c r="S120" i="5"/>
  <c r="S126" i="5"/>
  <c r="N132" i="5"/>
  <c r="S132" i="5"/>
  <c r="F174" i="5"/>
  <c r="S134" i="5"/>
  <c r="S139" i="5"/>
  <c r="N144" i="5"/>
  <c r="S148" i="5"/>
  <c r="N153" i="5"/>
  <c r="S115" i="5"/>
  <c r="S163" i="5"/>
  <c r="S222" i="5"/>
  <c r="N222" i="5"/>
  <c r="S268" i="5"/>
  <c r="N140" i="5"/>
  <c r="S159" i="5"/>
  <c r="K175" i="5"/>
  <c r="S229" i="5"/>
  <c r="N229" i="5"/>
  <c r="R303" i="5"/>
  <c r="P303" i="5"/>
  <c r="N138" i="5"/>
  <c r="K187" i="5"/>
  <c r="S189" i="5"/>
  <c r="N189" i="5"/>
  <c r="L190" i="5"/>
  <c r="S219" i="5"/>
  <c r="S258" i="5"/>
  <c r="N258" i="5"/>
  <c r="N135" i="5"/>
  <c r="S145" i="5"/>
  <c r="N151" i="5"/>
  <c r="L154" i="5"/>
  <c r="L164" i="5"/>
  <c r="W163" i="5"/>
  <c r="M173" i="5"/>
  <c r="K186" i="5"/>
  <c r="S182" i="5"/>
  <c r="L230" i="5"/>
  <c r="L232" i="5" s="1"/>
  <c r="N223" i="5"/>
  <c r="S277" i="5"/>
  <c r="S143" i="5"/>
  <c r="L174" i="5"/>
  <c r="L186" i="5"/>
  <c r="N173" i="5"/>
  <c r="S203" i="5"/>
  <c r="S212" i="5"/>
  <c r="N131" i="5"/>
  <c r="N133" i="5"/>
  <c r="Q267" i="5"/>
  <c r="Q288" i="5" s="1"/>
  <c r="N262" i="5"/>
  <c r="N266" i="5"/>
  <c r="S266" i="5"/>
  <c r="S298" i="5"/>
  <c r="P175" i="5"/>
  <c r="L177" i="5"/>
  <c r="M176" i="5"/>
  <c r="F180" i="5"/>
  <c r="N180" i="5" s="1"/>
  <c r="F243" i="5"/>
  <c r="S274" i="5"/>
  <c r="N274" i="5"/>
  <c r="S368" i="5"/>
  <c r="Q186" i="5"/>
  <c r="Q174" i="5"/>
  <c r="N227" i="5"/>
  <c r="N146" i="5"/>
  <c r="S152" i="5"/>
  <c r="N158" i="5"/>
  <c r="S162" i="5"/>
  <c r="N162" i="5"/>
  <c r="R173" i="5"/>
  <c r="S256" i="5"/>
  <c r="N256" i="5"/>
  <c r="S313" i="5"/>
  <c r="R313" i="5" s="1"/>
  <c r="N313" i="5"/>
  <c r="S158" i="5"/>
  <c r="S160" i="5"/>
  <c r="S173" i="5"/>
  <c r="F183" i="5"/>
  <c r="S185" i="5"/>
  <c r="S201" i="5"/>
  <c r="N210" i="5"/>
  <c r="N214" i="5"/>
  <c r="P286" i="5"/>
  <c r="P267" i="5"/>
  <c r="S246" i="5"/>
  <c r="Q246" i="5"/>
  <c r="Q251" i="5"/>
  <c r="S251" i="5" s="1"/>
  <c r="P288" i="5"/>
  <c r="M297" i="5"/>
  <c r="K297" i="5"/>
  <c r="N179" i="5"/>
  <c r="Q230" i="5"/>
  <c r="S221" i="5"/>
  <c r="R242" i="5"/>
  <c r="S261" i="5"/>
  <c r="S263" i="5"/>
  <c r="N276" i="5"/>
  <c r="M298" i="5"/>
  <c r="K298" i="5"/>
  <c r="S309" i="5"/>
  <c r="S323" i="5"/>
  <c r="S330" i="5"/>
  <c r="N330" i="5"/>
  <c r="D363" i="5"/>
  <c r="E363" i="5" s="1"/>
  <c r="R176" i="5"/>
  <c r="R182" i="5"/>
  <c r="S200" i="5"/>
  <c r="S202" i="5"/>
  <c r="S209" i="5"/>
  <c r="S216" i="5"/>
  <c r="S223" i="5"/>
  <c r="S225" i="5"/>
  <c r="P251" i="5"/>
  <c r="P298" i="5"/>
  <c r="E301" i="5"/>
  <c r="N308" i="5"/>
  <c r="S374" i="5"/>
  <c r="K251" i="5"/>
  <c r="L252" i="5" s="1"/>
  <c r="S262" i="5"/>
  <c r="N264" i="5"/>
  <c r="L305" i="5"/>
  <c r="K305" i="5" s="1"/>
  <c r="S328" i="5"/>
  <c r="N328" i="5"/>
  <c r="N348" i="5"/>
  <c r="S348" i="5"/>
  <c r="S157" i="5"/>
  <c r="P178" i="5"/>
  <c r="Q183" i="5"/>
  <c r="E251" i="5"/>
  <c r="L286" i="5"/>
  <c r="K286" i="5" s="1"/>
  <c r="N268" i="5"/>
  <c r="N270" i="5"/>
  <c r="N281" i="5"/>
  <c r="N285" i="5"/>
  <c r="M301" i="5"/>
  <c r="K301" i="5"/>
  <c r="E304" i="5"/>
  <c r="S304" i="5"/>
  <c r="N304" i="5"/>
  <c r="R308" i="5"/>
  <c r="P308" i="5"/>
  <c r="M242" i="5"/>
  <c r="F251" i="5"/>
  <c r="S264" i="5"/>
  <c r="S279" i="5"/>
  <c r="N319" i="5"/>
  <c r="S342" i="5"/>
  <c r="N342" i="5"/>
  <c r="F186" i="5"/>
  <c r="N201" i="5"/>
  <c r="N203" i="5"/>
  <c r="N219" i="5"/>
  <c r="N224" i="5"/>
  <c r="N228" i="5"/>
  <c r="S248" i="5"/>
  <c r="N275" i="5"/>
  <c r="N277" i="5"/>
  <c r="N279" i="5"/>
  <c r="N299" i="5"/>
  <c r="L331" i="5"/>
  <c r="S332" i="5"/>
  <c r="Q350" i="5"/>
  <c r="F246" i="5"/>
  <c r="S255" i="5"/>
  <c r="R297" i="5"/>
  <c r="P297" i="5"/>
  <c r="S301" i="5"/>
  <c r="S346" i="5"/>
  <c r="N346" i="5"/>
  <c r="AH460" i="5"/>
  <c r="AI460" i="5" s="1"/>
  <c r="N217" i="5"/>
  <c r="S245" i="5"/>
  <c r="L246" i="5"/>
  <c r="N282" i="5"/>
  <c r="N302" i="5"/>
  <c r="S319" i="5"/>
  <c r="S325" i="5"/>
  <c r="S242" i="5"/>
  <c r="L243" i="5"/>
  <c r="M245" i="5"/>
  <c r="L249" i="5"/>
  <c r="N257" i="5"/>
  <c r="N263" i="5"/>
  <c r="S271" i="5"/>
  <c r="N273" i="5"/>
  <c r="N300" i="5"/>
  <c r="M309" i="5"/>
  <c r="K309" i="5"/>
  <c r="S333" i="5"/>
  <c r="S210" i="5"/>
  <c r="N245" i="5"/>
  <c r="N246" i="5" s="1"/>
  <c r="K267" i="5"/>
  <c r="N269" i="5"/>
  <c r="N344" i="5"/>
  <c r="S344" i="5"/>
  <c r="S367" i="5"/>
  <c r="N242" i="5"/>
  <c r="L267" i="5"/>
  <c r="S278" i="5"/>
  <c r="N284" i="5"/>
  <c r="F305" i="5"/>
  <c r="F310" i="5" s="1"/>
  <c r="F315" i="5" s="1"/>
  <c r="R300" i="5"/>
  <c r="P300" i="5"/>
  <c r="S303" i="5"/>
  <c r="N320" i="5"/>
  <c r="L396" i="5"/>
  <c r="K396" i="5" s="1"/>
  <c r="N326" i="5"/>
  <c r="N336" i="5"/>
  <c r="S377" i="5"/>
  <c r="S380" i="5"/>
  <c r="S390" i="5"/>
  <c r="AI457" i="5"/>
  <c r="AO457" i="5"/>
  <c r="S384" i="5"/>
  <c r="AH454" i="5"/>
  <c r="AO494" i="5"/>
  <c r="AI494" i="5"/>
  <c r="N323" i="5"/>
  <c r="F331" i="5"/>
  <c r="N333" i="5"/>
  <c r="N335" i="5"/>
  <c r="J363" i="5"/>
  <c r="K363" i="5" s="1"/>
  <c r="K361" i="5"/>
  <c r="S391" i="5"/>
  <c r="AN454" i="5"/>
  <c r="AO458" i="5"/>
  <c r="AN460" i="5"/>
  <c r="AO460" i="5" s="1"/>
  <c r="AN494" i="5"/>
  <c r="L363" i="5"/>
  <c r="S361" i="5"/>
  <c r="S371" i="5"/>
  <c r="S381" i="5"/>
  <c r="S388" i="5"/>
  <c r="AO455" i="5"/>
  <c r="S296" i="5"/>
  <c r="N325" i="5"/>
  <c r="N327" i="5"/>
  <c r="L378" i="5"/>
  <c r="S395" i="5"/>
  <c r="AH455" i="5"/>
  <c r="S297" i="5"/>
  <c r="N343" i="5"/>
  <c r="S372" i="5"/>
  <c r="S375" i="5"/>
  <c r="S385" i="5"/>
  <c r="AN458" i="5"/>
  <c r="AO478" i="5"/>
  <c r="L350" i="5"/>
  <c r="S341" i="5"/>
  <c r="S347" i="5"/>
  <c r="S382" i="5"/>
  <c r="S392" i="5"/>
  <c r="AN455" i="5"/>
  <c r="AR482" i="5"/>
  <c r="AS472" i="5"/>
  <c r="AH492" i="5"/>
  <c r="AI492" i="5" s="1"/>
  <c r="AH495" i="5"/>
  <c r="N332" i="5"/>
  <c r="S369" i="5"/>
  <c r="S376" i="5"/>
  <c r="Q396" i="5"/>
  <c r="P396" i="5" s="1"/>
  <c r="AI459" i="5"/>
  <c r="S386" i="5"/>
  <c r="S393" i="5"/>
  <c r="AN459" i="5"/>
  <c r="AO459" i="5" s="1"/>
  <c r="S370" i="5"/>
  <c r="S373" i="5"/>
  <c r="S383" i="5"/>
  <c r="AN456" i="5"/>
  <c r="AO456" i="5" s="1"/>
  <c r="AN496" i="5"/>
  <c r="AR492" i="5"/>
  <c r="AN495" i="5"/>
  <c r="AI497" i="5"/>
  <c r="AH493" i="5"/>
  <c r="AH461" i="5"/>
  <c r="AN497" i="5"/>
  <c r="AO497" i="5" s="1"/>
  <c r="O32" i="15"/>
  <c r="K121" i="15"/>
  <c r="K115" i="15"/>
  <c r="K113" i="15"/>
  <c r="K118" i="15"/>
  <c r="K103" i="15"/>
  <c r="R103" i="15" s="1"/>
  <c r="K104" i="15"/>
  <c r="R104" i="15" s="1"/>
  <c r="J109" i="15"/>
  <c r="K117" i="15"/>
  <c r="K120" i="15"/>
  <c r="K97" i="15"/>
  <c r="K122" i="15"/>
  <c r="K119" i="15"/>
  <c r="J106" i="15"/>
  <c r="K116" i="15"/>
  <c r="K114" i="15"/>
  <c r="K105" i="15"/>
  <c r="R105" i="15" s="1"/>
  <c r="K12" i="15"/>
  <c r="K7" i="15"/>
  <c r="D53" i="15"/>
  <c r="M6" i="15"/>
  <c r="Y15" i="15"/>
  <c r="S15" i="15"/>
  <c r="N15" i="15"/>
  <c r="N23" i="15"/>
  <c r="AF413" i="15"/>
  <c r="A34" i="15"/>
  <c r="A76" i="15"/>
  <c r="L83" i="15"/>
  <c r="S138" i="15"/>
  <c r="N138" i="15"/>
  <c r="S32" i="15"/>
  <c r="S47" i="15"/>
  <c r="S59" i="15"/>
  <c r="N59" i="15"/>
  <c r="P7" i="15"/>
  <c r="M9" i="15"/>
  <c r="M15" i="15"/>
  <c r="N22" i="15"/>
  <c r="L54" i="15"/>
  <c r="S62" i="15"/>
  <c r="N62" i="15"/>
  <c r="S70" i="15"/>
  <c r="N99" i="15"/>
  <c r="F106" i="15"/>
  <c r="AL448" i="15"/>
  <c r="V403" i="15"/>
  <c r="AF445" i="15"/>
  <c r="Z445" i="15"/>
  <c r="AF436" i="15"/>
  <c r="AF440" i="15"/>
  <c r="AF474" i="15"/>
  <c r="C292" i="15"/>
  <c r="C357" i="15" s="1"/>
  <c r="V486" i="15"/>
  <c r="A486" i="15" s="1"/>
  <c r="AF430" i="15"/>
  <c r="C237" i="15"/>
  <c r="C169" i="15"/>
  <c r="AF443" i="15" s="1"/>
  <c r="C89" i="15"/>
  <c r="AF415" i="15" s="1"/>
  <c r="AF480" i="15"/>
  <c r="AO403" i="15"/>
  <c r="AO486" i="15"/>
  <c r="S237" i="15"/>
  <c r="S357" i="15"/>
  <c r="S292" i="15"/>
  <c r="S89" i="15"/>
  <c r="K6" i="15"/>
  <c r="K17" i="15"/>
  <c r="N32" i="15"/>
  <c r="S49" i="15"/>
  <c r="N49" i="15"/>
  <c r="S65" i="15"/>
  <c r="S67" i="15"/>
  <c r="N70" i="15"/>
  <c r="S169" i="15"/>
  <c r="K9" i="15"/>
  <c r="S38" i="15"/>
  <c r="K38" i="15"/>
  <c r="AF410" i="15"/>
  <c r="A31" i="15"/>
  <c r="N38" i="15"/>
  <c r="N47" i="15"/>
  <c r="A50" i="15"/>
  <c r="A57" i="15"/>
  <c r="A68" i="15"/>
  <c r="S77" i="15"/>
  <c r="N77" i="15"/>
  <c r="L109" i="15"/>
  <c r="J113" i="15"/>
  <c r="Y97" i="15"/>
  <c r="S97" i="15"/>
  <c r="N103" i="15"/>
  <c r="S139" i="15"/>
  <c r="S153" i="15"/>
  <c r="N67" i="15"/>
  <c r="N6" i="15"/>
  <c r="A60" i="15"/>
  <c r="L72" i="15"/>
  <c r="A71" i="15"/>
  <c r="P94" i="15"/>
  <c r="E94" i="15"/>
  <c r="Q97" i="15"/>
  <c r="O113" i="15" s="1"/>
  <c r="Q106" i="15"/>
  <c r="N64" i="15"/>
  <c r="S64" i="15"/>
  <c r="P10" i="15"/>
  <c r="R7" i="15"/>
  <c r="S36" i="15"/>
  <c r="S7" i="15"/>
  <c r="F24" i="15"/>
  <c r="D32" i="15" s="1"/>
  <c r="S37" i="15"/>
  <c r="S39" i="15"/>
  <c r="N45" i="15"/>
  <c r="S52" i="15"/>
  <c r="N52" i="15"/>
  <c r="A63" i="15"/>
  <c r="AF444" i="15"/>
  <c r="N65" i="15"/>
  <c r="S147" i="15"/>
  <c r="N147" i="15"/>
  <c r="A8" i="15"/>
  <c r="N35" i="15"/>
  <c r="S35" i="15"/>
  <c r="A66" i="15"/>
  <c r="AF447" i="15"/>
  <c r="S80" i="15"/>
  <c r="N80" i="15"/>
  <c r="K94" i="15"/>
  <c r="R94" i="15"/>
  <c r="N106" i="15"/>
  <c r="N107" i="15" s="1"/>
  <c r="S106" i="15"/>
  <c r="S114" i="15"/>
  <c r="L24" i="15"/>
  <c r="J32" i="15" s="1"/>
  <c r="K39" i="15"/>
  <c r="A78" i="15"/>
  <c r="A81" i="15"/>
  <c r="R101" i="15"/>
  <c r="M101" i="15"/>
  <c r="K101" i="15"/>
  <c r="N104" i="15"/>
  <c r="N122" i="15"/>
  <c r="L154" i="15"/>
  <c r="N37" i="15"/>
  <c r="S43" i="15"/>
  <c r="N43" i="15"/>
  <c r="N55" i="15"/>
  <c r="S55" i="15"/>
  <c r="N119" i="15"/>
  <c r="S119" i="15"/>
  <c r="S122" i="15"/>
  <c r="K8" i="15"/>
  <c r="A12" i="15"/>
  <c r="S21" i="15"/>
  <c r="N44" i="15"/>
  <c r="S53" i="15"/>
  <c r="N53" i="15"/>
  <c r="N58" i="15"/>
  <c r="S58" i="15"/>
  <c r="Q123" i="15"/>
  <c r="N129" i="15"/>
  <c r="S134" i="15"/>
  <c r="N134" i="15"/>
  <c r="S268" i="15"/>
  <c r="J13" i="15"/>
  <c r="J24" i="15" s="1"/>
  <c r="K15" i="15"/>
  <c r="A17" i="15"/>
  <c r="N61" i="15"/>
  <c r="S61" i="15"/>
  <c r="Z481" i="15"/>
  <c r="S82" i="15"/>
  <c r="N95" i="15"/>
  <c r="S95" i="15"/>
  <c r="Q136" i="15"/>
  <c r="S151" i="15"/>
  <c r="L187" i="15"/>
  <c r="L195" i="15"/>
  <c r="N186" i="15"/>
  <c r="N187" i="15" s="1"/>
  <c r="P267" i="15"/>
  <c r="Q246" i="15"/>
  <c r="P288" i="15"/>
  <c r="P286" i="15"/>
  <c r="Q251" i="15"/>
  <c r="S246" i="15"/>
  <c r="S46" i="15"/>
  <c r="N46" i="15"/>
  <c r="AL436" i="15"/>
  <c r="N56" i="15"/>
  <c r="S75" i="15"/>
  <c r="N75" i="15"/>
  <c r="V82" i="15"/>
  <c r="M95" i="15"/>
  <c r="N130" i="15"/>
  <c r="S130" i="15"/>
  <c r="W160" i="15"/>
  <c r="P101" i="15"/>
  <c r="S137" i="15"/>
  <c r="S144" i="15"/>
  <c r="N146" i="15"/>
  <c r="P175" i="15"/>
  <c r="P186" i="15"/>
  <c r="P195" i="15" s="1"/>
  <c r="N212" i="15"/>
  <c r="L230" i="15"/>
  <c r="S212" i="15"/>
  <c r="Q243" i="15"/>
  <c r="S242" i="15"/>
  <c r="Q305" i="15"/>
  <c r="P300" i="15"/>
  <c r="R300" i="15"/>
  <c r="S79" i="15"/>
  <c r="S96" i="15"/>
  <c r="Y99" i="15"/>
  <c r="S113" i="15"/>
  <c r="L136" i="15"/>
  <c r="N140" i="15"/>
  <c r="S142" i="15"/>
  <c r="S158" i="15"/>
  <c r="Q174" i="15"/>
  <c r="Q186" i="15"/>
  <c r="S186" i="15" s="1"/>
  <c r="P184" i="15"/>
  <c r="S121" i="15"/>
  <c r="S128" i="15"/>
  <c r="V163" i="15"/>
  <c r="W163" i="15" s="1"/>
  <c r="S163" i="15"/>
  <c r="S200" i="15"/>
  <c r="S94" i="15"/>
  <c r="S101" i="15"/>
  <c r="S115" i="15"/>
  <c r="S118" i="15"/>
  <c r="N121" i="15"/>
  <c r="S124" i="15"/>
  <c r="N128" i="15"/>
  <c r="N151" i="15"/>
  <c r="N153" i="15"/>
  <c r="N161" i="15"/>
  <c r="N163" i="15"/>
  <c r="Q177" i="15"/>
  <c r="S176" i="15"/>
  <c r="N182" i="15"/>
  <c r="F183" i="15"/>
  <c r="F186" i="15"/>
  <c r="F174" i="15"/>
  <c r="P181" i="15"/>
  <c r="N210" i="15"/>
  <c r="N125" i="15"/>
  <c r="S133" i="15"/>
  <c r="N139" i="15"/>
  <c r="N141" i="15"/>
  <c r="N143" i="15"/>
  <c r="N145" i="15"/>
  <c r="N149" i="15"/>
  <c r="J186" i="15"/>
  <c r="K187" i="15" s="1"/>
  <c r="S207" i="15"/>
  <c r="N207" i="15"/>
  <c r="S214" i="15"/>
  <c r="S262" i="15"/>
  <c r="N131" i="15"/>
  <c r="N133" i="15"/>
  <c r="N135" i="15"/>
  <c r="S143" i="15"/>
  <c r="S159" i="15"/>
  <c r="K186" i="15"/>
  <c r="K175" i="15"/>
  <c r="M173" i="15"/>
  <c r="P178" i="15"/>
  <c r="E302" i="15"/>
  <c r="M302" i="15"/>
  <c r="N114" i="15"/>
  <c r="L123" i="15"/>
  <c r="N137" i="15"/>
  <c r="D186" i="15"/>
  <c r="N298" i="15"/>
  <c r="E298" i="15"/>
  <c r="S298" i="15"/>
  <c r="S141" i="15"/>
  <c r="L164" i="15"/>
  <c r="S179" i="15"/>
  <c r="N263" i="15"/>
  <c r="S263" i="15"/>
  <c r="K286" i="15"/>
  <c r="S105" i="15"/>
  <c r="S11" i="15"/>
  <c r="N96" i="15"/>
  <c r="S131" i="15"/>
  <c r="S162" i="15"/>
  <c r="O186" i="15"/>
  <c r="N176" i="15"/>
  <c r="F177" i="15"/>
  <c r="F211" i="15"/>
  <c r="Q211" i="15"/>
  <c r="N214" i="15"/>
  <c r="N220" i="15"/>
  <c r="N257" i="15"/>
  <c r="N261" i="15"/>
  <c r="M300" i="15"/>
  <c r="K300" i="15"/>
  <c r="S330" i="15"/>
  <c r="S334" i="15"/>
  <c r="S338" i="15"/>
  <c r="S222" i="15"/>
  <c r="Q267" i="15"/>
  <c r="S265" i="15"/>
  <c r="L267" i="15"/>
  <c r="S283" i="15"/>
  <c r="N283" i="15"/>
  <c r="S299" i="15"/>
  <c r="R303" i="15"/>
  <c r="P303" i="15"/>
  <c r="E308" i="15"/>
  <c r="AI454" i="15"/>
  <c r="AN493" i="15"/>
  <c r="N202" i="15"/>
  <c r="N222" i="15"/>
  <c r="S228" i="15"/>
  <c r="S257" i="15"/>
  <c r="N274" i="15"/>
  <c r="S274" i="15"/>
  <c r="N320" i="15"/>
  <c r="L174" i="15"/>
  <c r="L180" i="15"/>
  <c r="N180" i="15" s="1"/>
  <c r="S189" i="15"/>
  <c r="L211" i="15"/>
  <c r="N228" i="15"/>
  <c r="K298" i="15"/>
  <c r="N304" i="15"/>
  <c r="E304" i="15"/>
  <c r="S304" i="15"/>
  <c r="S328" i="15"/>
  <c r="S332" i="15"/>
  <c r="S345" i="15"/>
  <c r="M176" i="15"/>
  <c r="S324" i="15"/>
  <c r="Q350" i="15"/>
  <c r="S374" i="15"/>
  <c r="N157" i="15"/>
  <c r="N159" i="15"/>
  <c r="S202" i="15"/>
  <c r="N208" i="15"/>
  <c r="N213" i="15"/>
  <c r="S215" i="15"/>
  <c r="F230" i="15"/>
  <c r="R245" i="15"/>
  <c r="N262" i="15"/>
  <c r="N264" i="15"/>
  <c r="L286" i="15"/>
  <c r="S270" i="15"/>
  <c r="N275" i="15"/>
  <c r="S277" i="15"/>
  <c r="E296" i="15"/>
  <c r="N301" i="15"/>
  <c r="E301" i="15"/>
  <c r="P308" i="15"/>
  <c r="R308" i="15"/>
  <c r="N219" i="15"/>
  <c r="N223" i="15"/>
  <c r="N225" i="15"/>
  <c r="S245" i="15"/>
  <c r="N256" i="15"/>
  <c r="S266" i="15"/>
  <c r="N266" i="15"/>
  <c r="N272" i="15"/>
  <c r="N279" i="15"/>
  <c r="N284" i="15"/>
  <c r="J305" i="15"/>
  <c r="M297" i="15"/>
  <c r="K297" i="15"/>
  <c r="M301" i="15"/>
  <c r="N217" i="15"/>
  <c r="N260" i="15"/>
  <c r="S284" i="15"/>
  <c r="AI460" i="15"/>
  <c r="S157" i="15"/>
  <c r="S221" i="15"/>
  <c r="L251" i="15"/>
  <c r="S282" i="15"/>
  <c r="N285" i="15"/>
  <c r="L305" i="15"/>
  <c r="M309" i="15"/>
  <c r="S326" i="15"/>
  <c r="N326" i="15"/>
  <c r="S205" i="15"/>
  <c r="S219" i="15"/>
  <c r="S227" i="15"/>
  <c r="R242" i="15"/>
  <c r="S285" i="15"/>
  <c r="M296" i="15"/>
  <c r="E300" i="15"/>
  <c r="S347" i="15"/>
  <c r="N269" i="15"/>
  <c r="N286" i="15" s="1"/>
  <c r="S269" i="15"/>
  <c r="N276" i="15"/>
  <c r="S276" i="15"/>
  <c r="P297" i="15"/>
  <c r="R297" i="15"/>
  <c r="S348" i="15"/>
  <c r="R361" i="15"/>
  <c r="O363" i="15"/>
  <c r="L396" i="15"/>
  <c r="K396" i="15" s="1"/>
  <c r="S379" i="15"/>
  <c r="S396" i="15" s="1"/>
  <c r="AN457" i="15"/>
  <c r="AH457" i="15"/>
  <c r="S303" i="15"/>
  <c r="N322" i="15"/>
  <c r="N324" i="15"/>
  <c r="S325" i="15"/>
  <c r="S327" i="15"/>
  <c r="N332" i="15"/>
  <c r="N334" i="15"/>
  <c r="S337" i="15"/>
  <c r="N345" i="15"/>
  <c r="L350" i="15"/>
  <c r="S376" i="15"/>
  <c r="AO460" i="15"/>
  <c r="AO493" i="15"/>
  <c r="P309" i="15"/>
  <c r="N348" i="15"/>
  <c r="P396" i="15"/>
  <c r="AH421" i="15"/>
  <c r="AI421" i="15" s="1"/>
  <c r="AN421" i="15"/>
  <c r="AO421" i="15" s="1"/>
  <c r="AH460" i="15"/>
  <c r="K308" i="15"/>
  <c r="E309" i="15"/>
  <c r="S313" i="15"/>
  <c r="R313" i="15" s="1"/>
  <c r="N319" i="15"/>
  <c r="N321" i="15"/>
  <c r="N336" i="15"/>
  <c r="N338" i="15"/>
  <c r="N340" i="15"/>
  <c r="S370" i="15"/>
  <c r="AH454" i="15"/>
  <c r="AO494" i="15"/>
  <c r="AN494" i="15"/>
  <c r="L331" i="15"/>
  <c r="E378" i="15"/>
  <c r="S368" i="15"/>
  <c r="AO461" i="15"/>
  <c r="AH470" i="15"/>
  <c r="AI470" i="15" s="1"/>
  <c r="S301" i="15"/>
  <c r="S366" i="15"/>
  <c r="F398" i="15"/>
  <c r="E398" i="15" s="1"/>
  <c r="AI455" i="15"/>
  <c r="AH458" i="15"/>
  <c r="AI458" i="15" s="1"/>
  <c r="AN461" i="15"/>
  <c r="AN478" i="15"/>
  <c r="AO478" i="15" s="1"/>
  <c r="S302" i="15"/>
  <c r="N328" i="15"/>
  <c r="N330" i="15"/>
  <c r="S346" i="15"/>
  <c r="E361" i="15"/>
  <c r="AH455" i="15"/>
  <c r="AN458" i="15"/>
  <c r="AO458" i="15" s="1"/>
  <c r="S349" i="15"/>
  <c r="Q378" i="15"/>
  <c r="AN455" i="15"/>
  <c r="AO455" i="15" s="1"/>
  <c r="S335" i="15"/>
  <c r="N337" i="15"/>
  <c r="N341" i="15"/>
  <c r="N349" i="15"/>
  <c r="AH459" i="15"/>
  <c r="AI459" i="15" s="1"/>
  <c r="S296" i="15"/>
  <c r="N335" i="15"/>
  <c r="N347" i="15"/>
  <c r="AI456" i="15"/>
  <c r="AH456" i="15"/>
  <c r="S361" i="15"/>
  <c r="AN459" i="15"/>
  <c r="AO459" i="15" s="1"/>
  <c r="AI492" i="15"/>
  <c r="L378" i="15"/>
  <c r="AN456" i="15"/>
  <c r="AO456" i="15" s="1"/>
  <c r="AH492" i="15"/>
  <c r="AO457" i="15"/>
  <c r="AN496" i="15"/>
  <c r="AN492" i="15"/>
  <c r="AH495" i="15"/>
  <c r="AN460" i="15"/>
  <c r="AR496" i="15"/>
  <c r="AR492" i="15"/>
  <c r="AH461" i="15"/>
  <c r="AH497" i="15"/>
  <c r="AH478" i="15"/>
  <c r="AI478" i="15" s="1"/>
  <c r="AN497" i="15"/>
  <c r="AO497" i="15" s="1"/>
  <c r="L403" i="6" l="1"/>
  <c r="Y484" i="6"/>
  <c r="AJ453" i="6"/>
  <c r="AJ469" i="6"/>
  <c r="AJ408" i="6"/>
  <c r="AL484" i="6"/>
  <c r="AN484" i="6" s="1"/>
  <c r="AJ420" i="6"/>
  <c r="AJ467" i="6"/>
  <c r="AJ434" i="6"/>
  <c r="AO469" i="6"/>
  <c r="AN408" i="6"/>
  <c r="AO408" i="6" s="1"/>
  <c r="Y490" i="6"/>
  <c r="Z499" i="6"/>
  <c r="Y499" i="6" s="1"/>
  <c r="Z489" i="6"/>
  <c r="Y489" i="6" s="1"/>
  <c r="AH484" i="6"/>
  <c r="AI484" i="6" s="1"/>
  <c r="AE484" i="6"/>
  <c r="AF490" i="6"/>
  <c r="AK484" i="6"/>
  <c r="S13" i="5"/>
  <c r="S243" i="15"/>
  <c r="S164" i="15"/>
  <c r="P23" i="5"/>
  <c r="P21" i="5"/>
  <c r="Q109" i="5"/>
  <c r="P123" i="5" s="1"/>
  <c r="O113" i="5"/>
  <c r="E331" i="5"/>
  <c r="F195" i="5"/>
  <c r="F187" i="5"/>
  <c r="AT480" i="5"/>
  <c r="P154" i="5"/>
  <c r="AL429" i="5"/>
  <c r="AH494" i="5"/>
  <c r="N350" i="5"/>
  <c r="R309" i="5"/>
  <c r="P309" i="5"/>
  <c r="L352" i="5"/>
  <c r="N331" i="5"/>
  <c r="F211" i="5"/>
  <c r="AF450" i="5"/>
  <c r="AL442" i="5"/>
  <c r="AF413" i="5"/>
  <c r="Z423" i="5"/>
  <c r="AF466" i="5"/>
  <c r="Z448" i="5"/>
  <c r="AL449" i="5"/>
  <c r="AL423" i="5"/>
  <c r="AF472" i="5"/>
  <c r="AL431" i="5"/>
  <c r="AF430" i="5"/>
  <c r="E96" i="5"/>
  <c r="Z444" i="5"/>
  <c r="AL444" i="5"/>
  <c r="M299" i="5"/>
  <c r="E299" i="5"/>
  <c r="Q305" i="5"/>
  <c r="N298" i="5"/>
  <c r="Q211" i="5"/>
  <c r="S199" i="5"/>
  <c r="S106" i="5"/>
  <c r="S107" i="5" s="1"/>
  <c r="N106" i="5"/>
  <c r="N107" i="5" s="1"/>
  <c r="Y106" i="5"/>
  <c r="AL477" i="5"/>
  <c r="AO477" i="5" s="1"/>
  <c r="AF428" i="5"/>
  <c r="AF415" i="5"/>
  <c r="AF475" i="5"/>
  <c r="Z474" i="5"/>
  <c r="Z425" i="5"/>
  <c r="AL474" i="5"/>
  <c r="AO474" i="5" s="1"/>
  <c r="AF433" i="5"/>
  <c r="O97" i="5"/>
  <c r="P95" i="5"/>
  <c r="N63" i="5"/>
  <c r="N22" i="5"/>
  <c r="F286" i="5"/>
  <c r="E286" i="5" s="1"/>
  <c r="Q378" i="5"/>
  <c r="R301" i="5"/>
  <c r="P301" i="5"/>
  <c r="AI455" i="5"/>
  <c r="E298" i="5"/>
  <c r="E302" i="5"/>
  <c r="M302" i="5"/>
  <c r="AO454" i="5"/>
  <c r="L195" i="5"/>
  <c r="L187" i="5"/>
  <c r="S186" i="5"/>
  <c r="N186" i="5"/>
  <c r="N187" i="5" s="1"/>
  <c r="AL441" i="5"/>
  <c r="AO441" i="5" s="1"/>
  <c r="AL437" i="5"/>
  <c r="AF419" i="5"/>
  <c r="Z481" i="5"/>
  <c r="AL476" i="5"/>
  <c r="AO476" i="5" s="1"/>
  <c r="AF479" i="5"/>
  <c r="Z477" i="5"/>
  <c r="Z440" i="5"/>
  <c r="AF440" i="5"/>
  <c r="F123" i="5"/>
  <c r="S38" i="5"/>
  <c r="F13" i="5"/>
  <c r="Q13" i="5"/>
  <c r="R296" i="5"/>
  <c r="P296" i="5"/>
  <c r="O305" i="5"/>
  <c r="AO462" i="5"/>
  <c r="AN462" i="5"/>
  <c r="F252" i="5"/>
  <c r="M251" i="5" s="1"/>
  <c r="S164" i="5"/>
  <c r="AN492" i="5"/>
  <c r="AO492" i="5" s="1"/>
  <c r="AT472" i="5"/>
  <c r="AI461" i="5"/>
  <c r="AH458" i="5"/>
  <c r="AI458" i="5" s="1"/>
  <c r="Q331" i="5"/>
  <c r="S331" i="5" s="1"/>
  <c r="R299" i="5"/>
  <c r="P299" i="5"/>
  <c r="F350" i="5"/>
  <c r="E350" i="5" s="1"/>
  <c r="AI454" i="5"/>
  <c r="P361" i="5"/>
  <c r="Q363" i="5"/>
  <c r="S363" i="5" s="1"/>
  <c r="S154" i="5"/>
  <c r="N154" i="5"/>
  <c r="J114" i="5"/>
  <c r="Q136" i="5"/>
  <c r="Q156" i="5" s="1"/>
  <c r="R95" i="5"/>
  <c r="AF444" i="5"/>
  <c r="AF471" i="5"/>
  <c r="AF449" i="5"/>
  <c r="AF425" i="5"/>
  <c r="Z411" i="5"/>
  <c r="AF481" i="5"/>
  <c r="AF474" i="5"/>
  <c r="AF414" i="5"/>
  <c r="AL411" i="5"/>
  <c r="AF443" i="5"/>
  <c r="N185" i="5"/>
  <c r="Z439" i="5"/>
  <c r="AL439" i="5"/>
  <c r="N77" i="5"/>
  <c r="N83" i="5" s="1"/>
  <c r="AL416" i="5"/>
  <c r="K17" i="5"/>
  <c r="N59" i="5"/>
  <c r="S59" i="5"/>
  <c r="Y24" i="5"/>
  <c r="AL452" i="5"/>
  <c r="AO452" i="5" s="1"/>
  <c r="S62" i="5"/>
  <c r="AF446" i="5"/>
  <c r="Z416" i="5"/>
  <c r="AH470" i="5"/>
  <c r="AI470" i="5" s="1"/>
  <c r="AF422" i="5"/>
  <c r="Z473" i="5"/>
  <c r="Z449" i="5"/>
  <c r="AL430" i="5"/>
  <c r="AF423" i="5"/>
  <c r="Z412" i="5"/>
  <c r="Z431" i="5"/>
  <c r="Z437" i="5"/>
  <c r="AF477" i="5"/>
  <c r="K12" i="5"/>
  <c r="M12" i="5"/>
  <c r="R12" i="5"/>
  <c r="M10" i="5"/>
  <c r="E10" i="5"/>
  <c r="D13" i="5"/>
  <c r="AL424" i="5"/>
  <c r="Z424" i="5"/>
  <c r="AF416" i="5"/>
  <c r="S42" i="5"/>
  <c r="AH421" i="5"/>
  <c r="AI421" i="5" s="1"/>
  <c r="N286" i="5"/>
  <c r="E361" i="5"/>
  <c r="F363" i="5"/>
  <c r="N251" i="5"/>
  <c r="N252" i="5" s="1"/>
  <c r="AH462" i="5"/>
  <c r="AI462" i="5" s="1"/>
  <c r="F396" i="5"/>
  <c r="E396" i="5" s="1"/>
  <c r="D186" i="5"/>
  <c r="S286" i="5"/>
  <c r="R361" i="5"/>
  <c r="O363" i="5"/>
  <c r="O186" i="5"/>
  <c r="S140" i="5"/>
  <c r="Q164" i="5"/>
  <c r="Z447" i="5"/>
  <c r="Z436" i="5"/>
  <c r="AF431" i="5"/>
  <c r="AF411" i="5"/>
  <c r="AF420" i="5" s="1"/>
  <c r="AL450" i="5"/>
  <c r="AO450" i="5" s="1"/>
  <c r="Z432" i="5"/>
  <c r="AF426" i="5"/>
  <c r="AL432" i="5"/>
  <c r="AL422" i="5"/>
  <c r="AL479" i="5"/>
  <c r="AO479" i="5" s="1"/>
  <c r="Z476" i="5"/>
  <c r="Z438" i="5"/>
  <c r="AL438" i="5"/>
  <c r="M13" i="5"/>
  <c r="AO421" i="5"/>
  <c r="AN421" i="5"/>
  <c r="AN461" i="5"/>
  <c r="AO461" i="5" s="1"/>
  <c r="Q290" i="5"/>
  <c r="Q252" i="5"/>
  <c r="R251" i="5" s="1"/>
  <c r="S252" i="5" s="1"/>
  <c r="K378" i="5"/>
  <c r="S378" i="5"/>
  <c r="L398" i="5"/>
  <c r="AN457" i="5"/>
  <c r="AN467" i="5" s="1"/>
  <c r="R304" i="5"/>
  <c r="P304" i="5"/>
  <c r="S230" i="5"/>
  <c r="K230" i="5"/>
  <c r="F164" i="5"/>
  <c r="N157" i="5"/>
  <c r="N164" i="5" s="1"/>
  <c r="K109" i="5"/>
  <c r="Z442" i="5"/>
  <c r="AL445" i="5"/>
  <c r="Z413" i="5"/>
  <c r="AF429" i="5"/>
  <c r="AF435" i="5"/>
  <c r="AF441" i="5"/>
  <c r="AF447" i="5"/>
  <c r="AL412" i="5"/>
  <c r="S70" i="5"/>
  <c r="N70" i="5"/>
  <c r="E195" i="5"/>
  <c r="J315" i="5"/>
  <c r="Y13" i="5"/>
  <c r="L27" i="5"/>
  <c r="K72" i="5" s="1"/>
  <c r="AL417" i="5"/>
  <c r="Z417" i="5"/>
  <c r="R96" i="5"/>
  <c r="P96" i="5"/>
  <c r="AH457" i="5"/>
  <c r="L288" i="5"/>
  <c r="N267" i="5"/>
  <c r="S267" i="5"/>
  <c r="S366" i="5"/>
  <c r="F267" i="5"/>
  <c r="N255" i="5"/>
  <c r="L310" i="5"/>
  <c r="K310" i="5" s="1"/>
  <c r="N305" i="5"/>
  <c r="N306" i="5" s="1"/>
  <c r="S305" i="5"/>
  <c r="N199" i="5"/>
  <c r="D305" i="5"/>
  <c r="K106" i="5"/>
  <c r="AF452" i="5"/>
  <c r="Z415" i="5"/>
  <c r="AL471" i="5"/>
  <c r="AF439" i="5"/>
  <c r="AF432" i="5"/>
  <c r="AL436" i="5"/>
  <c r="AF412" i="5"/>
  <c r="AL425" i="5"/>
  <c r="AF417" i="5"/>
  <c r="K156" i="5"/>
  <c r="N38" i="5"/>
  <c r="J31" i="5"/>
  <c r="R8" i="5"/>
  <c r="S46" i="5"/>
  <c r="N46" i="5"/>
  <c r="N34" i="5"/>
  <c r="N99" i="5"/>
  <c r="Y99" i="5"/>
  <c r="S99" i="5"/>
  <c r="AH497" i="5"/>
  <c r="N243" i="5"/>
  <c r="S243" i="5"/>
  <c r="Q243" i="5"/>
  <c r="S272" i="5"/>
  <c r="S214" i="5"/>
  <c r="P186" i="5"/>
  <c r="P195" i="5" s="1"/>
  <c r="N13" i="5"/>
  <c r="AL435" i="5"/>
  <c r="AF418" i="5"/>
  <c r="AL414" i="5"/>
  <c r="AF476" i="5"/>
  <c r="AL440" i="5"/>
  <c r="Z435" i="5"/>
  <c r="Z414" i="5"/>
  <c r="AF473" i="5"/>
  <c r="AL451" i="5"/>
  <c r="AO451" i="5" s="1"/>
  <c r="Z427" i="5"/>
  <c r="AI427" i="5" s="1"/>
  <c r="R9" i="5"/>
  <c r="M101" i="5"/>
  <c r="E15" i="5"/>
  <c r="D24" i="5"/>
  <c r="E36" i="5" s="1"/>
  <c r="E32" i="5"/>
  <c r="J32" i="5"/>
  <c r="M15" i="5"/>
  <c r="S34" i="5"/>
  <c r="AK413" i="5"/>
  <c r="Z429" i="5"/>
  <c r="AL447" i="5"/>
  <c r="S379" i="5"/>
  <c r="S396" i="5" s="1"/>
  <c r="F378" i="5"/>
  <c r="N212" i="5"/>
  <c r="F230" i="5"/>
  <c r="E230" i="5" s="1"/>
  <c r="Q195" i="5"/>
  <c r="J13" i="5"/>
  <c r="AF438" i="5"/>
  <c r="AF436" i="5"/>
  <c r="AF437" i="5"/>
  <c r="AF442" i="5"/>
  <c r="Z445" i="5"/>
  <c r="AF445" i="5"/>
  <c r="AL419" i="5"/>
  <c r="Z479" i="5"/>
  <c r="AF465" i="5"/>
  <c r="AF424" i="5"/>
  <c r="Y97" i="5"/>
  <c r="L109" i="5"/>
  <c r="K154" i="5" s="1"/>
  <c r="S97" i="5"/>
  <c r="S98" i="5" s="1"/>
  <c r="O24" i="5"/>
  <c r="P36" i="5" s="1"/>
  <c r="P15" i="5"/>
  <c r="N17" i="5"/>
  <c r="M17" i="5"/>
  <c r="S17" i="5"/>
  <c r="P17" i="5"/>
  <c r="F24" i="5"/>
  <c r="N24" i="5" s="1"/>
  <c r="N25" i="5" s="1"/>
  <c r="L54" i="5"/>
  <c r="L74" i="5" s="1"/>
  <c r="AN470" i="5"/>
  <c r="AO470" i="5" s="1"/>
  <c r="R302" i="5"/>
  <c r="P302" i="5"/>
  <c r="L400" i="5"/>
  <c r="S350" i="5"/>
  <c r="P184" i="5"/>
  <c r="K195" i="5"/>
  <c r="AF407" i="5" s="1"/>
  <c r="M186" i="5"/>
  <c r="Z441" i="5"/>
  <c r="AI441" i="5" s="1"/>
  <c r="Z443" i="5"/>
  <c r="AL473" i="5"/>
  <c r="AO473" i="5" s="1"/>
  <c r="AL415" i="5"/>
  <c r="AF464" i="5"/>
  <c r="AF448" i="5"/>
  <c r="Z422" i="5"/>
  <c r="Z465" i="5"/>
  <c r="AI465" i="5" s="1"/>
  <c r="Z471" i="5"/>
  <c r="Z430" i="5"/>
  <c r="P7" i="5"/>
  <c r="R7" i="5"/>
  <c r="R13" i="5" s="1"/>
  <c r="R14" i="5" s="1"/>
  <c r="Y17" i="5"/>
  <c r="S123" i="5"/>
  <c r="Z446" i="5"/>
  <c r="AL446" i="5"/>
  <c r="D97" i="5"/>
  <c r="E95" i="5"/>
  <c r="R11" i="5"/>
  <c r="F97" i="5"/>
  <c r="F109" i="5" s="1"/>
  <c r="R15" i="5"/>
  <c r="S36" i="5"/>
  <c r="AT480" i="15"/>
  <c r="AE415" i="15"/>
  <c r="AE410" i="15"/>
  <c r="AE413" i="15"/>
  <c r="K24" i="15"/>
  <c r="K35" i="15"/>
  <c r="K37" i="15"/>
  <c r="K33" i="15"/>
  <c r="K36" i="15"/>
  <c r="K32" i="15"/>
  <c r="AN470" i="15"/>
  <c r="AO470" i="15" s="1"/>
  <c r="P378" i="15"/>
  <c r="Q398" i="15"/>
  <c r="S251" i="15"/>
  <c r="L232" i="15"/>
  <c r="S211" i="15"/>
  <c r="N211" i="15"/>
  <c r="K211" i="15"/>
  <c r="Q13" i="15"/>
  <c r="P6" i="15"/>
  <c r="F154" i="15"/>
  <c r="N82" i="15"/>
  <c r="AL442" i="15"/>
  <c r="AF411" i="15"/>
  <c r="Z426" i="15"/>
  <c r="AI426" i="15" s="1"/>
  <c r="AL446" i="15"/>
  <c r="AF448" i="15"/>
  <c r="AF473" i="15"/>
  <c r="Z477" i="15"/>
  <c r="R96" i="15"/>
  <c r="P96" i="15"/>
  <c r="S81" i="15"/>
  <c r="N81" i="15"/>
  <c r="E96" i="15"/>
  <c r="S33" i="15"/>
  <c r="D114" i="15"/>
  <c r="AL437" i="15"/>
  <c r="Z437" i="15"/>
  <c r="K10" i="15"/>
  <c r="R10" i="15"/>
  <c r="M10" i="15"/>
  <c r="Z446" i="15"/>
  <c r="AF416" i="15"/>
  <c r="AF424" i="15"/>
  <c r="Z442" i="15"/>
  <c r="AL477" i="15"/>
  <c r="AO477" i="15" s="1"/>
  <c r="Z448" i="15"/>
  <c r="Z474" i="15"/>
  <c r="AL429" i="15"/>
  <c r="AL438" i="15"/>
  <c r="AF477" i="15"/>
  <c r="J310" i="15"/>
  <c r="K305" i="15"/>
  <c r="N164" i="15"/>
  <c r="Q331" i="15"/>
  <c r="L234" i="15"/>
  <c r="AL426" i="15"/>
  <c r="AO426" i="15" s="1"/>
  <c r="Z433" i="15"/>
  <c r="AI433" i="15" s="1"/>
  <c r="Z471" i="15"/>
  <c r="AL471" i="15"/>
  <c r="N33" i="15"/>
  <c r="N60" i="15"/>
  <c r="S10" i="15"/>
  <c r="N10" i="15"/>
  <c r="AF427" i="15"/>
  <c r="AF433" i="15"/>
  <c r="AL443" i="15"/>
  <c r="AN443" i="15" s="1"/>
  <c r="Z429" i="15"/>
  <c r="Z498" i="15"/>
  <c r="AF464" i="15"/>
  <c r="AL476" i="15"/>
  <c r="AO476" i="15" s="1"/>
  <c r="Z431" i="15"/>
  <c r="Z415" i="15"/>
  <c r="AF414" i="15"/>
  <c r="AL441" i="15"/>
  <c r="AO441" i="15" s="1"/>
  <c r="N12" i="15"/>
  <c r="S12" i="15"/>
  <c r="S78" i="15"/>
  <c r="F13" i="15"/>
  <c r="S8" i="15"/>
  <c r="AL440" i="15"/>
  <c r="AN440" i="15" s="1"/>
  <c r="Z440" i="15"/>
  <c r="AH440" i="15" s="1"/>
  <c r="AF437" i="15"/>
  <c r="Z411" i="15"/>
  <c r="AF466" i="15"/>
  <c r="AF481" i="15"/>
  <c r="AL432" i="15"/>
  <c r="AF422" i="15"/>
  <c r="Z416" i="15"/>
  <c r="Z443" i="15"/>
  <c r="AH443" i="15" s="1"/>
  <c r="S44" i="15"/>
  <c r="S71" i="15"/>
  <c r="N71" i="15"/>
  <c r="AL424" i="15"/>
  <c r="L352" i="15"/>
  <c r="S331" i="15"/>
  <c r="R298" i="15"/>
  <c r="P298" i="15"/>
  <c r="F267" i="15"/>
  <c r="F350" i="15"/>
  <c r="S259" i="15"/>
  <c r="F136" i="15"/>
  <c r="N117" i="15"/>
  <c r="M94" i="15"/>
  <c r="P15" i="15"/>
  <c r="AL412" i="15"/>
  <c r="Z441" i="15"/>
  <c r="AI441" i="15" s="1"/>
  <c r="AL450" i="15"/>
  <c r="AO450" i="15" s="1"/>
  <c r="Z432" i="15"/>
  <c r="AL416" i="15"/>
  <c r="AF475" i="15"/>
  <c r="AF438" i="15"/>
  <c r="AF425" i="15"/>
  <c r="Z450" i="15"/>
  <c r="AI450" i="15" s="1"/>
  <c r="AF418" i="15"/>
  <c r="AH445" i="15"/>
  <c r="AI445" i="15" s="1"/>
  <c r="P363" i="15"/>
  <c r="R363" i="15"/>
  <c r="F400" i="15"/>
  <c r="AO492" i="15"/>
  <c r="S309" i="15"/>
  <c r="F331" i="15"/>
  <c r="N230" i="15"/>
  <c r="S230" i="15"/>
  <c r="K230" i="15"/>
  <c r="N17" i="15"/>
  <c r="S117" i="15"/>
  <c r="N154" i="15"/>
  <c r="K154" i="15"/>
  <c r="S9" i="15"/>
  <c r="N9" i="15"/>
  <c r="AL418" i="15"/>
  <c r="AL428" i="15"/>
  <c r="AO428" i="15" s="1"/>
  <c r="AL411" i="15"/>
  <c r="Z452" i="15"/>
  <c r="AI452" i="15" s="1"/>
  <c r="AL433" i="15"/>
  <c r="AF423" i="15"/>
  <c r="AF412" i="15"/>
  <c r="AL439" i="15"/>
  <c r="AF428" i="15"/>
  <c r="Z465" i="15"/>
  <c r="AI465" i="15" s="1"/>
  <c r="AL451" i="15"/>
  <c r="AO451" i="15" s="1"/>
  <c r="Z436" i="15"/>
  <c r="S76" i="15"/>
  <c r="S83" i="15" s="1"/>
  <c r="L13" i="15"/>
  <c r="N267" i="15"/>
  <c r="L288" i="15"/>
  <c r="S267" i="15"/>
  <c r="R186" i="15"/>
  <c r="S187" i="15" s="1"/>
  <c r="P187" i="15"/>
  <c r="Q286" i="15"/>
  <c r="Q288" i="15" s="1"/>
  <c r="Q290" i="15" s="1"/>
  <c r="L398" i="15"/>
  <c r="S378" i="15"/>
  <c r="K378" i="15"/>
  <c r="S350" i="15"/>
  <c r="Q310" i="15"/>
  <c r="N350" i="15"/>
  <c r="P299" i="15"/>
  <c r="R299" i="15"/>
  <c r="F246" i="15"/>
  <c r="F251" i="15"/>
  <c r="N245" i="15"/>
  <c r="N246" i="15" s="1"/>
  <c r="P304" i="15"/>
  <c r="R304" i="15"/>
  <c r="M298" i="15"/>
  <c r="F164" i="15"/>
  <c r="K195" i="15"/>
  <c r="L196" i="15" s="1"/>
  <c r="M186" i="15"/>
  <c r="S136" i="15"/>
  <c r="N136" i="15"/>
  <c r="K136" i="15"/>
  <c r="Y17" i="15"/>
  <c r="S17" i="15"/>
  <c r="S107" i="15"/>
  <c r="O114" i="15"/>
  <c r="Z438" i="15"/>
  <c r="AL422" i="15"/>
  <c r="AF417" i="15"/>
  <c r="Z439" i="15"/>
  <c r="AF426" i="15"/>
  <c r="Z414" i="15"/>
  <c r="AF441" i="15"/>
  <c r="AF431" i="15"/>
  <c r="AF472" i="15"/>
  <c r="AF465" i="15"/>
  <c r="AH465" i="15" s="1"/>
  <c r="AF446" i="15"/>
  <c r="K109" i="15"/>
  <c r="AN474" i="15"/>
  <c r="AH474" i="15"/>
  <c r="AI474" i="15" s="1"/>
  <c r="AT474" i="15"/>
  <c r="E299" i="15"/>
  <c r="N299" i="15"/>
  <c r="E251" i="15"/>
  <c r="M245" i="15"/>
  <c r="F187" i="15"/>
  <c r="F195" i="15"/>
  <c r="E230" i="15" s="1"/>
  <c r="F123" i="15"/>
  <c r="R15" i="15"/>
  <c r="N24" i="15"/>
  <c r="N25" i="15" s="1"/>
  <c r="S24" i="15"/>
  <c r="S25" i="15" s="1"/>
  <c r="Y24" i="15"/>
  <c r="F97" i="15"/>
  <c r="Q109" i="15"/>
  <c r="S98" i="15"/>
  <c r="Y109" i="15"/>
  <c r="S109" i="15"/>
  <c r="N31" i="15"/>
  <c r="AL431" i="15"/>
  <c r="AF476" i="15"/>
  <c r="AF429" i="15"/>
  <c r="Z412" i="15"/>
  <c r="AL419" i="15"/>
  <c r="AL435" i="15"/>
  <c r="AL474" i="15"/>
  <c r="AO474" i="15" s="1"/>
  <c r="AL465" i="15"/>
  <c r="R301" i="15"/>
  <c r="P301" i="15"/>
  <c r="Q252" i="15"/>
  <c r="R251" i="15" s="1"/>
  <c r="S252" i="15" s="1"/>
  <c r="AL447" i="15"/>
  <c r="AN447" i="15" s="1"/>
  <c r="Z447" i="15"/>
  <c r="K31" i="15"/>
  <c r="L41" i="15"/>
  <c r="J31" i="15"/>
  <c r="AF450" i="15"/>
  <c r="AL452" i="15"/>
  <c r="AO452" i="15" s="1"/>
  <c r="Z480" i="15"/>
  <c r="AH480" i="15" s="1"/>
  <c r="AI480" i="15" s="1"/>
  <c r="AF442" i="15"/>
  <c r="AF432" i="15"/>
  <c r="AL417" i="15"/>
  <c r="Z422" i="15"/>
  <c r="AF451" i="15"/>
  <c r="AF479" i="15"/>
  <c r="AL480" i="15"/>
  <c r="AO480" i="15" s="1"/>
  <c r="Z476" i="15"/>
  <c r="N34" i="15"/>
  <c r="K34" i="15"/>
  <c r="S34" i="15"/>
  <c r="N21" i="15"/>
  <c r="Q230" i="15"/>
  <c r="Q195" i="15"/>
  <c r="Q187" i="15"/>
  <c r="R302" i="15"/>
  <c r="P302" i="15"/>
  <c r="S305" i="15"/>
  <c r="S306" i="15" s="1"/>
  <c r="L310" i="15"/>
  <c r="AO495" i="15"/>
  <c r="AN495" i="15"/>
  <c r="S63" i="15"/>
  <c r="N63" i="15"/>
  <c r="AL425" i="15"/>
  <c r="Z451" i="15"/>
  <c r="AI451" i="15" s="1"/>
  <c r="Z424" i="15"/>
  <c r="AL414" i="15"/>
  <c r="AL415" i="15"/>
  <c r="AN415" i="15" s="1"/>
  <c r="AF449" i="15"/>
  <c r="Z435" i="15"/>
  <c r="AF435" i="15"/>
  <c r="AL423" i="15"/>
  <c r="AL464" i="15"/>
  <c r="AL445" i="15"/>
  <c r="AN445" i="15" s="1"/>
  <c r="Z496" i="15"/>
  <c r="S40" i="15"/>
  <c r="N40" i="15"/>
  <c r="K40" i="15"/>
  <c r="S56" i="15"/>
  <c r="AH436" i="15"/>
  <c r="AN436" i="15"/>
  <c r="AO436" i="15" s="1"/>
  <c r="AI461" i="15"/>
  <c r="P296" i="15"/>
  <c r="O305" i="15"/>
  <c r="R296" i="15"/>
  <c r="F286" i="15"/>
  <c r="E286" i="15" s="1"/>
  <c r="F232" i="15"/>
  <c r="E232" i="15" s="1"/>
  <c r="E211" i="15"/>
  <c r="AI493" i="15"/>
  <c r="AH493" i="15"/>
  <c r="D305" i="15"/>
  <c r="M305" i="15" s="1"/>
  <c r="F305" i="15"/>
  <c r="F310" i="15" s="1"/>
  <c r="F315" i="15" s="1"/>
  <c r="N296" i="15"/>
  <c r="E95" i="15"/>
  <c r="P95" i="15"/>
  <c r="R95" i="15"/>
  <c r="O97" i="15"/>
  <c r="J27" i="15"/>
  <c r="W82" i="15" s="1"/>
  <c r="K23" i="15"/>
  <c r="R23" i="15" s="1"/>
  <c r="K21" i="15"/>
  <c r="R21" i="15" s="1"/>
  <c r="K13" i="15"/>
  <c r="K22" i="15"/>
  <c r="R22" i="15" s="1"/>
  <c r="N39" i="15"/>
  <c r="AN454" i="15"/>
  <c r="AN467" i="15" s="1"/>
  <c r="N242" i="15"/>
  <c r="N243" i="15" s="1"/>
  <c r="F243" i="15"/>
  <c r="L156" i="15"/>
  <c r="L166" i="15" s="1"/>
  <c r="S123" i="15"/>
  <c r="N123" i="15"/>
  <c r="K123" i="15"/>
  <c r="D97" i="15"/>
  <c r="E114" i="15" s="1"/>
  <c r="AL444" i="15"/>
  <c r="AN444" i="15" s="1"/>
  <c r="Z444" i="15"/>
  <c r="AH444" i="15" s="1"/>
  <c r="AL449" i="15"/>
  <c r="Z449" i="15"/>
  <c r="S6" i="15"/>
  <c r="Z418" i="15"/>
  <c r="Z427" i="15"/>
  <c r="AI427" i="15" s="1"/>
  <c r="AF419" i="15"/>
  <c r="Z423" i="15"/>
  <c r="AF452" i="15"/>
  <c r="AF439" i="15"/>
  <c r="Z425" i="15"/>
  <c r="AF471" i="15"/>
  <c r="N36" i="15"/>
  <c r="Q154" i="15"/>
  <c r="P154" i="15" s="1"/>
  <c r="K106" i="15"/>
  <c r="AL490" i="6" l="1"/>
  <c r="AO484" i="6"/>
  <c r="AF499" i="6"/>
  <c r="AN490" i="6"/>
  <c r="AF489" i="6"/>
  <c r="AH490" i="6"/>
  <c r="AI490" i="6" s="1"/>
  <c r="AE490" i="6"/>
  <c r="P230" i="15"/>
  <c r="K74" i="5"/>
  <c r="P156" i="5"/>
  <c r="S156" i="5"/>
  <c r="Y417" i="5"/>
  <c r="AI417" i="5"/>
  <c r="AK417" i="5"/>
  <c r="AO417" i="5"/>
  <c r="AE418" i="5"/>
  <c r="AO425" i="5"/>
  <c r="K315" i="5"/>
  <c r="AI442" i="5"/>
  <c r="K398" i="5"/>
  <c r="Y412" i="5"/>
  <c r="S44" i="5"/>
  <c r="S54" i="5" s="1"/>
  <c r="E34" i="5"/>
  <c r="AH414" i="5"/>
  <c r="AN414" i="5"/>
  <c r="AO414" i="5" s="1"/>
  <c r="AE414" i="5"/>
  <c r="AI440" i="5"/>
  <c r="P378" i="5"/>
  <c r="Q398" i="5"/>
  <c r="P398" i="5" s="1"/>
  <c r="AN448" i="5"/>
  <c r="AO448" i="5" s="1"/>
  <c r="AH448" i="5"/>
  <c r="P39" i="5"/>
  <c r="P33" i="5"/>
  <c r="P24" i="5"/>
  <c r="P35" i="5"/>
  <c r="P37" i="5"/>
  <c r="P32" i="5"/>
  <c r="AH437" i="5"/>
  <c r="AN437" i="5"/>
  <c r="AL453" i="5"/>
  <c r="Z450" i="5"/>
  <c r="AI450" i="5" s="1"/>
  <c r="AN451" i="5"/>
  <c r="F54" i="5"/>
  <c r="E54" i="5" s="1"/>
  <c r="AI447" i="5"/>
  <c r="M14" i="5"/>
  <c r="E21" i="5"/>
  <c r="E13" i="5"/>
  <c r="E22" i="5"/>
  <c r="D27" i="5"/>
  <c r="E23" i="5"/>
  <c r="AH423" i="5"/>
  <c r="AI423" i="5" s="1"/>
  <c r="AN423" i="5"/>
  <c r="Z428" i="5"/>
  <c r="AI428" i="5" s="1"/>
  <c r="AT475" i="5"/>
  <c r="AN475" i="5"/>
  <c r="AH475" i="5"/>
  <c r="AI475" i="5" s="1"/>
  <c r="S306" i="5"/>
  <c r="Q310" i="5"/>
  <c r="S310" i="5" s="1"/>
  <c r="AE413" i="5"/>
  <c r="AN413" i="5"/>
  <c r="AO413" i="5" s="1"/>
  <c r="AH413" i="5"/>
  <c r="E154" i="5"/>
  <c r="F234" i="5"/>
  <c r="F196" i="5"/>
  <c r="E103" i="5"/>
  <c r="E105" i="5"/>
  <c r="E97" i="5"/>
  <c r="E104" i="5"/>
  <c r="E120" i="5"/>
  <c r="E115" i="5"/>
  <c r="E118" i="5"/>
  <c r="E121" i="5"/>
  <c r="D106" i="5"/>
  <c r="M97" i="5"/>
  <c r="M98" i="5" s="1"/>
  <c r="E122" i="5"/>
  <c r="D109" i="5"/>
  <c r="E119" i="5"/>
  <c r="E116" i="5"/>
  <c r="E114" i="5"/>
  <c r="E117" i="5"/>
  <c r="AF467" i="5"/>
  <c r="N97" i="5"/>
  <c r="N98" i="5" s="1"/>
  <c r="AH436" i="5"/>
  <c r="AI436" i="5" s="1"/>
  <c r="AN436" i="5"/>
  <c r="Z419" i="5"/>
  <c r="AH412" i="5"/>
  <c r="AI412" i="5" s="1"/>
  <c r="AN412" i="5"/>
  <c r="AO412" i="5" s="1"/>
  <c r="AE412" i="5"/>
  <c r="K41" i="5"/>
  <c r="AN474" i="5"/>
  <c r="AH474" i="5"/>
  <c r="AI474" i="5" s="1"/>
  <c r="AT474" i="5"/>
  <c r="S14" i="5"/>
  <c r="AN479" i="5"/>
  <c r="AH479" i="5"/>
  <c r="AI479" i="5" s="1"/>
  <c r="AT479" i="5"/>
  <c r="L234" i="5"/>
  <c r="S195" i="5"/>
  <c r="S196" i="5" s="1"/>
  <c r="N195" i="5"/>
  <c r="N196" i="5" s="1"/>
  <c r="L196" i="5"/>
  <c r="K211" i="5"/>
  <c r="AH415" i="5"/>
  <c r="AE415" i="5"/>
  <c r="AN415" i="5"/>
  <c r="AO415" i="5" s="1"/>
  <c r="N65" i="5"/>
  <c r="AO442" i="5"/>
  <c r="K232" i="5"/>
  <c r="R17" i="5"/>
  <c r="AN481" i="5"/>
  <c r="AO481" i="5" s="1"/>
  <c r="AH481" i="5"/>
  <c r="AI481" i="5" s="1"/>
  <c r="AT481" i="5"/>
  <c r="N14" i="5"/>
  <c r="F27" i="5"/>
  <c r="AL426" i="5"/>
  <c r="AO426" i="5" s="1"/>
  <c r="Q24" i="5"/>
  <c r="S22" i="5"/>
  <c r="S65" i="5"/>
  <c r="AN450" i="5"/>
  <c r="F352" i="5"/>
  <c r="AN442" i="5"/>
  <c r="AH442" i="5"/>
  <c r="AK415" i="5"/>
  <c r="AO436" i="5"/>
  <c r="N310" i="5"/>
  <c r="N311" i="5" s="1"/>
  <c r="L315" i="5"/>
  <c r="AH432" i="5"/>
  <c r="AN432" i="5"/>
  <c r="R186" i="5"/>
  <c r="S187" i="5" s="1"/>
  <c r="P187" i="5"/>
  <c r="P34" i="5"/>
  <c r="AK416" i="5"/>
  <c r="Y411" i="5"/>
  <c r="S364" i="5"/>
  <c r="Q400" i="5"/>
  <c r="S400" i="5" s="1"/>
  <c r="E211" i="5"/>
  <c r="F232" i="5"/>
  <c r="N211" i="5"/>
  <c r="AH438" i="5"/>
  <c r="AN438" i="5"/>
  <c r="L166" i="5"/>
  <c r="N109" i="5"/>
  <c r="N110" i="5" s="1"/>
  <c r="S109" i="5"/>
  <c r="S110" i="5" s="1"/>
  <c r="Y109" i="5"/>
  <c r="K123" i="5"/>
  <c r="K136" i="5"/>
  <c r="K21" i="5"/>
  <c r="R21" i="5" s="1"/>
  <c r="K13" i="5"/>
  <c r="K23" i="5"/>
  <c r="R23" i="5" s="1"/>
  <c r="J27" i="5"/>
  <c r="K22" i="5"/>
  <c r="R22" i="5" s="1"/>
  <c r="J24" i="5"/>
  <c r="AI443" i="5"/>
  <c r="Q187" i="5"/>
  <c r="AN473" i="5"/>
  <c r="AH473" i="5"/>
  <c r="AI473" i="5" s="1"/>
  <c r="AT473" i="5"/>
  <c r="AN439" i="5"/>
  <c r="AO439" i="5" s="1"/>
  <c r="AH439" i="5"/>
  <c r="E267" i="5"/>
  <c r="F288" i="5"/>
  <c r="N58" i="5"/>
  <c r="AK412" i="5"/>
  <c r="AO432" i="5"/>
  <c r="R363" i="5"/>
  <c r="P363" i="5"/>
  <c r="AN422" i="5"/>
  <c r="AO422" i="5" s="1"/>
  <c r="AH422" i="5"/>
  <c r="AF434" i="5"/>
  <c r="AF469" i="5" s="1"/>
  <c r="P40" i="5"/>
  <c r="S40" i="5"/>
  <c r="AL464" i="5"/>
  <c r="AL433" i="5"/>
  <c r="AL466" i="5"/>
  <c r="AL465" i="5"/>
  <c r="AL418" i="5"/>
  <c r="AN418" i="5" s="1"/>
  <c r="AL480" i="5"/>
  <c r="AL482" i="5" s="1"/>
  <c r="AL427" i="5"/>
  <c r="P38" i="5"/>
  <c r="S63" i="5"/>
  <c r="AN430" i="5"/>
  <c r="AO430" i="5" s="1"/>
  <c r="AH430" i="5"/>
  <c r="Q166" i="5"/>
  <c r="K54" i="5"/>
  <c r="AN424" i="5"/>
  <c r="AO424" i="5" s="1"/>
  <c r="AH424" i="5"/>
  <c r="AI424" i="5" s="1"/>
  <c r="Q196" i="5"/>
  <c r="AI414" i="5"/>
  <c r="Y414" i="5"/>
  <c r="S58" i="5"/>
  <c r="AN447" i="5"/>
  <c r="AH447" i="5"/>
  <c r="E40" i="5"/>
  <c r="N40" i="5"/>
  <c r="Z452" i="5"/>
  <c r="AI452" i="5" s="1"/>
  <c r="Z480" i="5"/>
  <c r="AH480" i="5" s="1"/>
  <c r="AI480" i="5" s="1"/>
  <c r="Z464" i="5"/>
  <c r="Z433" i="5"/>
  <c r="AI433" i="5" s="1"/>
  <c r="Z496" i="5"/>
  <c r="Z451" i="5"/>
  <c r="Z498" i="5"/>
  <c r="Z466" i="5"/>
  <c r="AI466" i="5" s="1"/>
  <c r="AN425" i="5"/>
  <c r="AH425" i="5"/>
  <c r="E38" i="5"/>
  <c r="AE410" i="5"/>
  <c r="AO447" i="5"/>
  <c r="AH465" i="5"/>
  <c r="Y415" i="5"/>
  <c r="AI415" i="5"/>
  <c r="AN441" i="5"/>
  <c r="AH441" i="5"/>
  <c r="N230" i="5"/>
  <c r="AI439" i="5"/>
  <c r="AH449" i="5"/>
  <c r="AI449" i="5" s="1"/>
  <c r="AN449" i="5"/>
  <c r="AO449" i="5" s="1"/>
  <c r="Z426" i="5"/>
  <c r="AI426" i="5" s="1"/>
  <c r="AN472" i="5"/>
  <c r="AO472" i="5" s="1"/>
  <c r="AH472" i="5"/>
  <c r="AI472" i="5" s="1"/>
  <c r="P230" i="5"/>
  <c r="O27" i="5"/>
  <c r="AI422" i="5"/>
  <c r="D32" i="5"/>
  <c r="AN452" i="5"/>
  <c r="AF453" i="5"/>
  <c r="AN435" i="5"/>
  <c r="AH435" i="5"/>
  <c r="AI435" i="5" s="1"/>
  <c r="AI432" i="5"/>
  <c r="Q54" i="5"/>
  <c r="AH477" i="5"/>
  <c r="AI477" i="5" s="1"/>
  <c r="AT477" i="5"/>
  <c r="AN477" i="5"/>
  <c r="Y416" i="5"/>
  <c r="AH471" i="5"/>
  <c r="AI471" i="5" s="1"/>
  <c r="AF482" i="5"/>
  <c r="AN471" i="5"/>
  <c r="AO471" i="5" s="1"/>
  <c r="AT471" i="5"/>
  <c r="D113" i="5"/>
  <c r="AN419" i="5"/>
  <c r="AE419" i="5"/>
  <c r="O109" i="5"/>
  <c r="P105" i="5"/>
  <c r="O106" i="5"/>
  <c r="P106" i="5" s="1"/>
  <c r="P121" i="5"/>
  <c r="P103" i="5"/>
  <c r="P97" i="5"/>
  <c r="P104" i="5"/>
  <c r="R97" i="5"/>
  <c r="R98" i="5" s="1"/>
  <c r="P114" i="5"/>
  <c r="P119" i="5"/>
  <c r="P117" i="5"/>
  <c r="P113" i="5"/>
  <c r="P122" i="5"/>
  <c r="P116" i="5"/>
  <c r="P118" i="5"/>
  <c r="P115" i="5"/>
  <c r="P120" i="5"/>
  <c r="AO423" i="5"/>
  <c r="AI430" i="5"/>
  <c r="AT476" i="5"/>
  <c r="AN476" i="5"/>
  <c r="AH476" i="5"/>
  <c r="AI476" i="5" s="1"/>
  <c r="S288" i="5"/>
  <c r="N288" i="5"/>
  <c r="L290" i="5"/>
  <c r="N27" i="5"/>
  <c r="L85" i="5"/>
  <c r="Y27" i="5"/>
  <c r="AH429" i="5"/>
  <c r="AI429" i="5" s="1"/>
  <c r="AN429" i="5"/>
  <c r="AO429" i="5" s="1"/>
  <c r="Z418" i="5"/>
  <c r="AH418" i="5" s="1"/>
  <c r="AN446" i="5"/>
  <c r="AO446" i="5" s="1"/>
  <c r="AH446" i="5"/>
  <c r="AI446" i="5" s="1"/>
  <c r="AN444" i="5"/>
  <c r="AO444" i="5" s="1"/>
  <c r="AH444" i="5"/>
  <c r="AI444" i="5" s="1"/>
  <c r="E113" i="5"/>
  <c r="AO437" i="5"/>
  <c r="F72" i="5"/>
  <c r="E72" i="5" s="1"/>
  <c r="S352" i="5"/>
  <c r="N352" i="5"/>
  <c r="K352" i="5"/>
  <c r="AH427" i="5"/>
  <c r="P13" i="5"/>
  <c r="AO419" i="5"/>
  <c r="AK419" i="5"/>
  <c r="E17" i="5"/>
  <c r="AN445" i="5"/>
  <c r="AH445" i="5"/>
  <c r="AI445" i="5" s="1"/>
  <c r="E378" i="5"/>
  <c r="F398" i="5"/>
  <c r="E398" i="5" s="1"/>
  <c r="E24" i="5"/>
  <c r="E39" i="5"/>
  <c r="E37" i="5"/>
  <c r="E35" i="5"/>
  <c r="E33" i="5"/>
  <c r="E136" i="5"/>
  <c r="AI413" i="5"/>
  <c r="Y413" i="5"/>
  <c r="AO438" i="5"/>
  <c r="AE411" i="5"/>
  <c r="AH411" i="5"/>
  <c r="AI411" i="5" s="1"/>
  <c r="AN411" i="5"/>
  <c r="AO411" i="5" s="1"/>
  <c r="AN416" i="5"/>
  <c r="AO416" i="5" s="1"/>
  <c r="AH416" i="5"/>
  <c r="AI416" i="5" s="1"/>
  <c r="AE416" i="5"/>
  <c r="AI437" i="5"/>
  <c r="AH443" i="5"/>
  <c r="AN443" i="5"/>
  <c r="AO443" i="5" s="1"/>
  <c r="E123" i="5"/>
  <c r="F156" i="5"/>
  <c r="N123" i="5"/>
  <c r="E31" i="5"/>
  <c r="D31" i="5"/>
  <c r="F41" i="5"/>
  <c r="Z410" i="5"/>
  <c r="N31" i="5"/>
  <c r="AI448" i="5"/>
  <c r="AK414" i="5"/>
  <c r="AE417" i="5"/>
  <c r="AN417" i="5"/>
  <c r="AH417" i="5"/>
  <c r="D310" i="5"/>
  <c r="E305" i="5"/>
  <c r="M305" i="5"/>
  <c r="AO445" i="5"/>
  <c r="AI438" i="5"/>
  <c r="AN431" i="5"/>
  <c r="AO431" i="5" s="1"/>
  <c r="AH431" i="5"/>
  <c r="AI431" i="5" s="1"/>
  <c r="N44" i="5"/>
  <c r="N54" i="5" s="1"/>
  <c r="AK411" i="5"/>
  <c r="P136" i="5"/>
  <c r="S136" i="5"/>
  <c r="Q352" i="5"/>
  <c r="O310" i="5"/>
  <c r="P305" i="5"/>
  <c r="R305" i="5"/>
  <c r="AN440" i="5"/>
  <c r="AO440" i="5" s="1"/>
  <c r="AH440" i="5"/>
  <c r="AI425" i="5"/>
  <c r="Q232" i="5"/>
  <c r="Q234" i="5" s="1"/>
  <c r="P211" i="5"/>
  <c r="S211" i="5"/>
  <c r="P31" i="5"/>
  <c r="Q41" i="5"/>
  <c r="O31" i="5"/>
  <c r="S31" i="5"/>
  <c r="AL410" i="5"/>
  <c r="AH466" i="5"/>
  <c r="AL428" i="5"/>
  <c r="AO428" i="5" s="1"/>
  <c r="Q72" i="5"/>
  <c r="P22" i="5"/>
  <c r="S54" i="15"/>
  <c r="AI447" i="15"/>
  <c r="F354" i="15"/>
  <c r="AI424" i="15"/>
  <c r="AN452" i="15"/>
  <c r="AH452" i="15"/>
  <c r="Q196" i="15"/>
  <c r="R195" i="15" s="1"/>
  <c r="AH451" i="15"/>
  <c r="AN451" i="15"/>
  <c r="AI436" i="15"/>
  <c r="P8" i="15"/>
  <c r="O13" i="15"/>
  <c r="AK417" i="15" s="1"/>
  <c r="R8" i="15"/>
  <c r="R13" i="15" s="1"/>
  <c r="AI415" i="15"/>
  <c r="Y415" i="15"/>
  <c r="AM415" i="15" s="1"/>
  <c r="S50" i="15"/>
  <c r="AL430" i="15"/>
  <c r="Z466" i="15"/>
  <c r="AI466" i="15" s="1"/>
  <c r="AH447" i="15"/>
  <c r="AI496" i="15"/>
  <c r="AH496" i="15"/>
  <c r="AH424" i="15"/>
  <c r="AN424" i="15"/>
  <c r="AO424" i="15" s="1"/>
  <c r="Q27" i="15"/>
  <c r="AO447" i="15"/>
  <c r="AO419" i="15"/>
  <c r="S110" i="15"/>
  <c r="K398" i="15"/>
  <c r="S398" i="15"/>
  <c r="L400" i="15"/>
  <c r="AN418" i="15"/>
  <c r="AH418" i="15"/>
  <c r="AE418" i="15"/>
  <c r="AI416" i="15"/>
  <c r="S60" i="15"/>
  <c r="AH416" i="15"/>
  <c r="AE416" i="15"/>
  <c r="AN416" i="15"/>
  <c r="AN411" i="15"/>
  <c r="AH411" i="15"/>
  <c r="AE411" i="15"/>
  <c r="AN446" i="15"/>
  <c r="AO446" i="15" s="1"/>
  <c r="AH446" i="15"/>
  <c r="K156" i="15"/>
  <c r="N156" i="15"/>
  <c r="AN432" i="15"/>
  <c r="AH432" i="15"/>
  <c r="F109" i="15"/>
  <c r="D113" i="15"/>
  <c r="N97" i="15"/>
  <c r="N98" i="15" s="1"/>
  <c r="AN472" i="15"/>
  <c r="AO472" i="15" s="1"/>
  <c r="AH472" i="15"/>
  <c r="AI472" i="15" s="1"/>
  <c r="AT472" i="15"/>
  <c r="AN428" i="15"/>
  <c r="F352" i="15"/>
  <c r="E352" i="15" s="1"/>
  <c r="E331" i="15"/>
  <c r="N331" i="15"/>
  <c r="AH422" i="15"/>
  <c r="AN422" i="15"/>
  <c r="AO422" i="15" s="1"/>
  <c r="AF434" i="15"/>
  <c r="F27" i="15"/>
  <c r="N14" i="15"/>
  <c r="AF467" i="15"/>
  <c r="N195" i="15"/>
  <c r="N196" i="15" s="1"/>
  <c r="AI446" i="15"/>
  <c r="E8" i="15"/>
  <c r="M8" i="15"/>
  <c r="D13" i="15"/>
  <c r="AN442" i="15"/>
  <c r="AO442" i="15" s="1"/>
  <c r="AH442" i="15"/>
  <c r="AI442" i="15" s="1"/>
  <c r="AN429" i="15"/>
  <c r="AO429" i="15" s="1"/>
  <c r="AH429" i="15"/>
  <c r="N66" i="15"/>
  <c r="AH431" i="15"/>
  <c r="AN431" i="15"/>
  <c r="AO431" i="15" s="1"/>
  <c r="F252" i="15"/>
  <c r="M251" i="15" s="1"/>
  <c r="AH425" i="15"/>
  <c r="AN425" i="15"/>
  <c r="AO425" i="15" s="1"/>
  <c r="F72" i="15"/>
  <c r="AO432" i="15"/>
  <c r="N78" i="15"/>
  <c r="AI498" i="15"/>
  <c r="AH498" i="15"/>
  <c r="S195" i="15"/>
  <c r="S196" i="15" s="1"/>
  <c r="AH477" i="15"/>
  <c r="AI477" i="15" s="1"/>
  <c r="AN477" i="15"/>
  <c r="AT477" i="15"/>
  <c r="N57" i="15"/>
  <c r="N68" i="15"/>
  <c r="AI422" i="15"/>
  <c r="AO417" i="15"/>
  <c r="AI418" i="15"/>
  <c r="R305" i="15"/>
  <c r="O310" i="15"/>
  <c r="P305" i="15"/>
  <c r="S13" i="15"/>
  <c r="S14" i="15" s="1"/>
  <c r="AF453" i="15"/>
  <c r="AN435" i="15"/>
  <c r="AH435" i="15"/>
  <c r="N305" i="15"/>
  <c r="N306" i="15" s="1"/>
  <c r="AH476" i="15"/>
  <c r="AI476" i="15" s="1"/>
  <c r="AN476" i="15"/>
  <c r="AT476" i="15"/>
  <c r="S66" i="15"/>
  <c r="AO454" i="15"/>
  <c r="AH441" i="15"/>
  <c r="AN441" i="15"/>
  <c r="AH412" i="15"/>
  <c r="AI412" i="15" s="1"/>
  <c r="AN412" i="15"/>
  <c r="AE412" i="15"/>
  <c r="S154" i="15"/>
  <c r="AH438" i="15"/>
  <c r="AN438" i="15"/>
  <c r="AO438" i="15" s="1"/>
  <c r="N352" i="15"/>
  <c r="K352" i="15"/>
  <c r="AN481" i="15"/>
  <c r="AO481" i="15" s="1"/>
  <c r="AH481" i="15"/>
  <c r="AI481" i="15" s="1"/>
  <c r="AT481" i="15"/>
  <c r="AI429" i="15"/>
  <c r="S57" i="15"/>
  <c r="K232" i="15"/>
  <c r="N232" i="15"/>
  <c r="S68" i="15"/>
  <c r="P136" i="15"/>
  <c r="AH415" i="15"/>
  <c r="Q156" i="15"/>
  <c r="P156" i="15" s="1"/>
  <c r="AE419" i="15"/>
  <c r="AN419" i="15"/>
  <c r="O106" i="15"/>
  <c r="P106" i="15" s="1"/>
  <c r="P105" i="15"/>
  <c r="O109" i="15"/>
  <c r="P103" i="15"/>
  <c r="P104" i="15"/>
  <c r="P118" i="15"/>
  <c r="P97" i="15"/>
  <c r="P115" i="15"/>
  <c r="P120" i="15"/>
  <c r="P114" i="15"/>
  <c r="P121" i="15"/>
  <c r="P122" i="15"/>
  <c r="R97" i="15"/>
  <c r="R98" i="15" s="1"/>
  <c r="P119" i="15"/>
  <c r="P116" i="15"/>
  <c r="P113" i="15"/>
  <c r="Z453" i="15"/>
  <c r="L315" i="15"/>
  <c r="S310" i="15"/>
  <c r="S311" i="15" s="1"/>
  <c r="N310" i="15"/>
  <c r="N311" i="15" s="1"/>
  <c r="Y414" i="15"/>
  <c r="AN423" i="15"/>
  <c r="AO423" i="15" s="1"/>
  <c r="AH423" i="15"/>
  <c r="AT475" i="15"/>
  <c r="AN475" i="15"/>
  <c r="AO475" i="15" s="1"/>
  <c r="AH475" i="15"/>
  <c r="AI475" i="15" s="1"/>
  <c r="E117" i="15"/>
  <c r="AO443" i="15"/>
  <c r="Q352" i="15"/>
  <c r="Z479" i="15"/>
  <c r="AH479" i="15" s="1"/>
  <c r="AI479" i="15" s="1"/>
  <c r="P123" i="15"/>
  <c r="AI431" i="15"/>
  <c r="AN426" i="15"/>
  <c r="AH426" i="15"/>
  <c r="S288" i="15"/>
  <c r="P117" i="15"/>
  <c r="AO416" i="15"/>
  <c r="AI411" i="15"/>
  <c r="Y411" i="15"/>
  <c r="AH433" i="15"/>
  <c r="AI471" i="15"/>
  <c r="L290" i="15"/>
  <c r="Q54" i="15"/>
  <c r="AG415" i="15"/>
  <c r="AL466" i="15"/>
  <c r="AL467" i="15" s="1"/>
  <c r="AO467" i="15" s="1"/>
  <c r="AI444" i="15"/>
  <c r="D310" i="15"/>
  <c r="M310" i="15" s="1"/>
  <c r="E305" i="15"/>
  <c r="AO415" i="15"/>
  <c r="F41" i="15"/>
  <c r="N41" i="15" s="1"/>
  <c r="D31" i="15"/>
  <c r="Z410" i="15"/>
  <c r="AI432" i="15"/>
  <c r="AN437" i="15"/>
  <c r="AO437" i="15" s="1"/>
  <c r="AH437" i="15"/>
  <c r="AI437" i="15" s="1"/>
  <c r="Q72" i="15"/>
  <c r="AH427" i="15"/>
  <c r="P12" i="15"/>
  <c r="R12" i="15"/>
  <c r="AT473" i="15"/>
  <c r="N251" i="15"/>
  <c r="N252" i="15" s="1"/>
  <c r="AI423" i="15"/>
  <c r="K27" i="15"/>
  <c r="AN450" i="15"/>
  <c r="AH450" i="15"/>
  <c r="AH471" i="15"/>
  <c r="AF482" i="15"/>
  <c r="AN471" i="15"/>
  <c r="AO471" i="15" s="1"/>
  <c r="AT471" i="15"/>
  <c r="AO444" i="15"/>
  <c r="L74" i="15"/>
  <c r="K41" i="15"/>
  <c r="AL413" i="15"/>
  <c r="AN417" i="15"/>
  <c r="AE417" i="15"/>
  <c r="Q315" i="15"/>
  <c r="Y13" i="15"/>
  <c r="L27" i="15"/>
  <c r="AO411" i="15"/>
  <c r="E17" i="15"/>
  <c r="M17" i="15"/>
  <c r="E350" i="15"/>
  <c r="AI440" i="15"/>
  <c r="AL479" i="15"/>
  <c r="AO479" i="15" s="1"/>
  <c r="Z464" i="15"/>
  <c r="Z419" i="15"/>
  <c r="AH419" i="15" s="1"/>
  <c r="Z417" i="15"/>
  <c r="S286" i="15"/>
  <c r="Z428" i="15"/>
  <c r="AI428" i="15" s="1"/>
  <c r="P398" i="15"/>
  <c r="Q400" i="15"/>
  <c r="AI443" i="15"/>
  <c r="AN449" i="15"/>
  <c r="AO449" i="15" s="1"/>
  <c r="AH449" i="15"/>
  <c r="AI449" i="15" s="1"/>
  <c r="O31" i="15"/>
  <c r="Q41" i="15"/>
  <c r="AL410" i="15"/>
  <c r="S31" i="15"/>
  <c r="Z413" i="15"/>
  <c r="F156" i="15"/>
  <c r="E156" i="15" s="1"/>
  <c r="F83" i="15"/>
  <c r="Z473" i="15"/>
  <c r="AH473" i="15" s="1"/>
  <c r="AI473" i="15" s="1"/>
  <c r="P17" i="15"/>
  <c r="R17" i="15"/>
  <c r="AO440" i="15"/>
  <c r="AN448" i="15"/>
  <c r="AO448" i="15" s="1"/>
  <c r="AH448" i="15"/>
  <c r="AI448" i="15" s="1"/>
  <c r="AN480" i="15"/>
  <c r="Q232" i="15"/>
  <c r="P232" i="15" s="1"/>
  <c r="AL453" i="15"/>
  <c r="AO445" i="15"/>
  <c r="AI425" i="15"/>
  <c r="AN439" i="15"/>
  <c r="AO439" i="15" s="1"/>
  <c r="AH439" i="15"/>
  <c r="AI439" i="15" s="1"/>
  <c r="E97" i="15"/>
  <c r="E103" i="15"/>
  <c r="E105" i="15"/>
  <c r="E115" i="15"/>
  <c r="E104" i="15"/>
  <c r="D106" i="15"/>
  <c r="E121" i="15"/>
  <c r="E118" i="15"/>
  <c r="D109" i="15"/>
  <c r="E122" i="15"/>
  <c r="E119" i="15"/>
  <c r="E120" i="15"/>
  <c r="M97" i="15"/>
  <c r="M98" i="15" s="1"/>
  <c r="E113" i="15"/>
  <c r="E116" i="15"/>
  <c r="AT479" i="15"/>
  <c r="F234" i="15"/>
  <c r="N234" i="15" s="1"/>
  <c r="F196" i="15"/>
  <c r="M195" i="15" s="1"/>
  <c r="AI438" i="15"/>
  <c r="Q83" i="15"/>
  <c r="AL473" i="15"/>
  <c r="AN473" i="15" s="1"/>
  <c r="AO418" i="15"/>
  <c r="N76" i="15"/>
  <c r="N83" i="15" s="1"/>
  <c r="AO412" i="15"/>
  <c r="F288" i="15"/>
  <c r="E288" i="15" s="1"/>
  <c r="E267" i="15"/>
  <c r="N8" i="15"/>
  <c r="N13" i="15" s="1"/>
  <c r="AE414" i="15"/>
  <c r="AN414" i="15"/>
  <c r="AO414" i="15" s="1"/>
  <c r="AH414" i="15"/>
  <c r="AI414" i="15" s="1"/>
  <c r="N50" i="15"/>
  <c r="N54" i="15" s="1"/>
  <c r="Z430" i="15"/>
  <c r="F54" i="15"/>
  <c r="E54" i="15" s="1"/>
  <c r="E12" i="15"/>
  <c r="M12" i="15"/>
  <c r="K310" i="15"/>
  <c r="J315" i="15"/>
  <c r="AL427" i="15"/>
  <c r="AO427" i="15" s="1"/>
  <c r="E154" i="15"/>
  <c r="AF420" i="15"/>
  <c r="P211" i="15"/>
  <c r="AH489" i="6" l="1"/>
  <c r="AI489" i="6" s="1"/>
  <c r="AE489" i="6"/>
  <c r="AF512" i="6"/>
  <c r="AG512" i="6" s="1"/>
  <c r="AE499" i="6"/>
  <c r="AF503" i="6"/>
  <c r="AH499" i="6"/>
  <c r="AI499" i="6" s="1"/>
  <c r="AF505" i="6"/>
  <c r="AO490" i="6"/>
  <c r="AL489" i="6"/>
  <c r="AL499" i="6"/>
  <c r="AK490" i="6"/>
  <c r="AK411" i="15"/>
  <c r="P54" i="15"/>
  <c r="S232" i="15"/>
  <c r="AN453" i="5"/>
  <c r="AK419" i="15"/>
  <c r="AK418" i="15"/>
  <c r="P72" i="15"/>
  <c r="S72" i="5"/>
  <c r="AK412" i="15"/>
  <c r="AK415" i="15"/>
  <c r="AK414" i="15"/>
  <c r="AN428" i="5"/>
  <c r="S400" i="15"/>
  <c r="AK410" i="5"/>
  <c r="AL420" i="5"/>
  <c r="AN410" i="5"/>
  <c r="AO410" i="5" s="1"/>
  <c r="O315" i="5"/>
  <c r="P310" i="5"/>
  <c r="R310" i="5"/>
  <c r="AI410" i="5"/>
  <c r="Z420" i="5"/>
  <c r="Y410" i="5"/>
  <c r="AH410" i="5"/>
  <c r="AL434" i="5"/>
  <c r="AN434" i="5" s="1"/>
  <c r="Z453" i="5"/>
  <c r="AI451" i="5"/>
  <c r="AH451" i="5"/>
  <c r="AH428" i="5"/>
  <c r="N234" i="5"/>
  <c r="S234" i="5"/>
  <c r="AM412" i="5"/>
  <c r="AG412" i="5"/>
  <c r="F400" i="5"/>
  <c r="AO480" i="5"/>
  <c r="AN480" i="5"/>
  <c r="E109" i="5"/>
  <c r="M109" i="5"/>
  <c r="M110" i="5" s="1"/>
  <c r="Y419" i="5"/>
  <c r="AM419" i="5" s="1"/>
  <c r="AI419" i="5"/>
  <c r="AI496" i="5"/>
  <c r="AH496" i="5"/>
  <c r="AI464" i="5"/>
  <c r="Z467" i="5"/>
  <c r="AO482" i="5"/>
  <c r="O32" i="5"/>
  <c r="S24" i="5"/>
  <c r="S25" i="5" s="1"/>
  <c r="AH433" i="5"/>
  <c r="E156" i="5"/>
  <c r="N156" i="5"/>
  <c r="N28" i="5"/>
  <c r="AH452" i="5"/>
  <c r="AH453" i="5" s="1"/>
  <c r="AI453" i="5" s="1"/>
  <c r="AN426" i="5"/>
  <c r="AM410" i="5"/>
  <c r="AG410" i="5"/>
  <c r="M24" i="5"/>
  <c r="K37" i="5"/>
  <c r="K33" i="5"/>
  <c r="K24" i="5"/>
  <c r="K34" i="5"/>
  <c r="K32" i="5"/>
  <c r="K31" i="5"/>
  <c r="K35" i="5"/>
  <c r="K36" i="5"/>
  <c r="Z408" i="5"/>
  <c r="F85" i="5"/>
  <c r="AG415" i="5"/>
  <c r="AM415" i="5"/>
  <c r="Q27" i="5"/>
  <c r="P72" i="5" s="1"/>
  <c r="E106" i="5"/>
  <c r="M106" i="5"/>
  <c r="AO435" i="5"/>
  <c r="Q74" i="5"/>
  <c r="P41" i="5"/>
  <c r="S41" i="5"/>
  <c r="AS482" i="5"/>
  <c r="AN482" i="5"/>
  <c r="AH482" i="5"/>
  <c r="AI482" i="5" s="1"/>
  <c r="AD482" i="5"/>
  <c r="N72" i="5"/>
  <c r="AO453" i="5"/>
  <c r="S166" i="5"/>
  <c r="AL467" i="5"/>
  <c r="AO467" i="5" s="1"/>
  <c r="E288" i="5"/>
  <c r="F290" i="5"/>
  <c r="N290" i="5" s="1"/>
  <c r="R27" i="5"/>
  <c r="R28" i="5" s="1"/>
  <c r="M27" i="5"/>
  <c r="M28" i="5" s="1"/>
  <c r="K27" i="5"/>
  <c r="W82" i="5"/>
  <c r="AQ467" i="5"/>
  <c r="E27" i="5"/>
  <c r="F166" i="5"/>
  <c r="N166" i="5" s="1"/>
  <c r="Z482" i="5"/>
  <c r="AO427" i="5"/>
  <c r="AN427" i="5"/>
  <c r="L354" i="5"/>
  <c r="N315" i="5"/>
  <c r="N316" i="5" s="1"/>
  <c r="K331" i="5"/>
  <c r="K350" i="5"/>
  <c r="AM414" i="5"/>
  <c r="AG414" i="5"/>
  <c r="AM411" i="5"/>
  <c r="AG411" i="5"/>
  <c r="AD453" i="5"/>
  <c r="AQ453" i="5"/>
  <c r="P232" i="5"/>
  <c r="S232" i="5"/>
  <c r="AH426" i="5"/>
  <c r="AG417" i="5"/>
  <c r="AM417" i="5"/>
  <c r="AF408" i="5"/>
  <c r="AD469" i="5" s="1"/>
  <c r="S290" i="5"/>
  <c r="P109" i="5"/>
  <c r="R109" i="5"/>
  <c r="R110" i="5" s="1"/>
  <c r="E352" i="5"/>
  <c r="F354" i="5"/>
  <c r="F402" i="5" s="1"/>
  <c r="M195" i="5"/>
  <c r="R195" i="5"/>
  <c r="AH464" i="5"/>
  <c r="AH467" i="5" s="1"/>
  <c r="AG413" i="5"/>
  <c r="AM413" i="5"/>
  <c r="Z434" i="5"/>
  <c r="F74" i="5"/>
  <c r="E41" i="5"/>
  <c r="N41" i="5"/>
  <c r="N85" i="5" s="1"/>
  <c r="AO418" i="5"/>
  <c r="AK418" i="5"/>
  <c r="D315" i="5"/>
  <c r="E310" i="5"/>
  <c r="M310" i="5"/>
  <c r="AG419" i="5"/>
  <c r="P27" i="5"/>
  <c r="AG416" i="5"/>
  <c r="AM416" i="5"/>
  <c r="AH419" i="5"/>
  <c r="AH434" i="5"/>
  <c r="AI434" i="5" s="1"/>
  <c r="AD434" i="5"/>
  <c r="E232" i="5"/>
  <c r="N232" i="5"/>
  <c r="AH450" i="5"/>
  <c r="S311" i="5"/>
  <c r="Q315" i="5"/>
  <c r="P352" i="5" s="1"/>
  <c r="AI418" i="5"/>
  <c r="Y418" i="5"/>
  <c r="AM418" i="5" s="1"/>
  <c r="AI498" i="5"/>
  <c r="AH498" i="5"/>
  <c r="S398" i="5"/>
  <c r="Q354" i="15"/>
  <c r="P350" i="15"/>
  <c r="Z420" i="15"/>
  <c r="Y410" i="15"/>
  <c r="AH410" i="15"/>
  <c r="AI410" i="15" s="1"/>
  <c r="R310" i="15"/>
  <c r="P310" i="15"/>
  <c r="O315" i="15"/>
  <c r="E109" i="15"/>
  <c r="M109" i="15"/>
  <c r="M110" i="15" s="1"/>
  <c r="AL434" i="15"/>
  <c r="AG414" i="15"/>
  <c r="AM414" i="15"/>
  <c r="N288" i="15"/>
  <c r="E106" i="15"/>
  <c r="M106" i="15"/>
  <c r="Z482" i="15"/>
  <c r="X482" i="15" s="1"/>
  <c r="AM418" i="15"/>
  <c r="AG418" i="15"/>
  <c r="AL408" i="15"/>
  <c r="AN427" i="15"/>
  <c r="Z408" i="15"/>
  <c r="AG411" i="15"/>
  <c r="AM411" i="15"/>
  <c r="AN479" i="15"/>
  <c r="AF408" i="15"/>
  <c r="AD453" i="15" s="1"/>
  <c r="L85" i="15"/>
  <c r="Y27" i="15"/>
  <c r="S27" i="15"/>
  <c r="S85" i="15" s="1"/>
  <c r="N27" i="15"/>
  <c r="K54" i="15"/>
  <c r="K72" i="15"/>
  <c r="K74" i="15"/>
  <c r="Z434" i="15"/>
  <c r="X434" i="15" s="1"/>
  <c r="E72" i="15"/>
  <c r="AN434" i="15"/>
  <c r="AH434" i="15"/>
  <c r="AI434" i="15" s="1"/>
  <c r="AD434" i="15"/>
  <c r="R14" i="15"/>
  <c r="F402" i="15"/>
  <c r="K315" i="15"/>
  <c r="AF407" i="15"/>
  <c r="Y413" i="15"/>
  <c r="AH413" i="15"/>
  <c r="AI413" i="15" s="1"/>
  <c r="E310" i="15"/>
  <c r="D315" i="15"/>
  <c r="P109" i="15"/>
  <c r="R109" i="15"/>
  <c r="R110" i="15" s="1"/>
  <c r="AH453" i="15"/>
  <c r="AI453" i="15" s="1"/>
  <c r="F166" i="15"/>
  <c r="N166" i="15" s="1"/>
  <c r="N109" i="15"/>
  <c r="N110" i="15" s="1"/>
  <c r="O27" i="15"/>
  <c r="P23" i="15"/>
  <c r="P22" i="15"/>
  <c r="P21" i="15"/>
  <c r="P13" i="15"/>
  <c r="O24" i="15"/>
  <c r="S72" i="15"/>
  <c r="AM412" i="15"/>
  <c r="AG412" i="15"/>
  <c r="AN453" i="15"/>
  <c r="AO453" i="15" s="1"/>
  <c r="E13" i="15"/>
  <c r="E21" i="15"/>
  <c r="E23" i="15"/>
  <c r="D27" i="15"/>
  <c r="E22" i="15"/>
  <c r="D24" i="15"/>
  <c r="Y412" i="15"/>
  <c r="AK410" i="15"/>
  <c r="AL420" i="15"/>
  <c r="AN410" i="15"/>
  <c r="AO410" i="15" s="1"/>
  <c r="P331" i="15"/>
  <c r="AQ453" i="15"/>
  <c r="N72" i="15"/>
  <c r="M13" i="15"/>
  <c r="M14" i="15" s="1"/>
  <c r="AG416" i="15"/>
  <c r="Y417" i="15"/>
  <c r="AM417" i="15" s="1"/>
  <c r="AI417" i="15"/>
  <c r="AI464" i="15"/>
  <c r="Z467" i="15"/>
  <c r="AG417" i="15"/>
  <c r="E136" i="15"/>
  <c r="P352" i="15"/>
  <c r="AH430" i="15"/>
  <c r="AI430" i="15" s="1"/>
  <c r="AH417" i="15"/>
  <c r="AK416" i="15"/>
  <c r="F290" i="15"/>
  <c r="N290" i="15" s="1"/>
  <c r="Q166" i="15"/>
  <c r="S166" i="15" s="1"/>
  <c r="AS482" i="15"/>
  <c r="AN482" i="15"/>
  <c r="AD482" i="15"/>
  <c r="AK413" i="15"/>
  <c r="AN413" i="15"/>
  <c r="AO413" i="15" s="1"/>
  <c r="S290" i="15"/>
  <c r="AH466" i="15"/>
  <c r="L354" i="15"/>
  <c r="S315" i="15"/>
  <c r="S316" i="15" s="1"/>
  <c r="N315" i="15"/>
  <c r="N316" i="15" s="1"/>
  <c r="K331" i="15"/>
  <c r="K350" i="15"/>
  <c r="AH428" i="15"/>
  <c r="S156" i="15"/>
  <c r="Q234" i="15"/>
  <c r="S234" i="15" s="1"/>
  <c r="AO473" i="15"/>
  <c r="AL482" i="15"/>
  <c r="AF469" i="15"/>
  <c r="AH420" i="15"/>
  <c r="AI420" i="15" s="1"/>
  <c r="AD420" i="15"/>
  <c r="AM419" i="15"/>
  <c r="AG419" i="15"/>
  <c r="F74" i="15"/>
  <c r="E74" i="15" s="1"/>
  <c r="E41" i="15"/>
  <c r="AQ467" i="15"/>
  <c r="AN430" i="15"/>
  <c r="AO430" i="15" s="1"/>
  <c r="AI419" i="15"/>
  <c r="Y419" i="15"/>
  <c r="P41" i="15"/>
  <c r="Q74" i="15"/>
  <c r="P74" i="15" s="1"/>
  <c r="AO435" i="15"/>
  <c r="E123" i="15"/>
  <c r="S41" i="15"/>
  <c r="AI435" i="15"/>
  <c r="S352" i="15"/>
  <c r="Y418" i="15"/>
  <c r="AH464" i="15"/>
  <c r="Y416" i="15"/>
  <c r="AM416" i="15" s="1"/>
  <c r="AK499" i="6" l="1"/>
  <c r="AN499" i="6"/>
  <c r="AO499" i="6" s="1"/>
  <c r="AK489" i="6"/>
  <c r="AN489" i="6"/>
  <c r="AO489" i="6" s="1"/>
  <c r="S315" i="5"/>
  <c r="P54" i="5"/>
  <c r="S28" i="15"/>
  <c r="X420" i="5"/>
  <c r="Z469" i="5"/>
  <c r="AH420" i="5"/>
  <c r="AI420" i="5" s="1"/>
  <c r="X467" i="5"/>
  <c r="AI467" i="5"/>
  <c r="P315" i="5"/>
  <c r="R315" i="5"/>
  <c r="AL407" i="5"/>
  <c r="Z484" i="5"/>
  <c r="L402" i="5"/>
  <c r="L403" i="5" s="1"/>
  <c r="N354" i="5"/>
  <c r="X482" i="5"/>
  <c r="P74" i="5"/>
  <c r="S74" i="5"/>
  <c r="AL469" i="5"/>
  <c r="AN420" i="5"/>
  <c r="AO420" i="5" s="1"/>
  <c r="X453" i="5"/>
  <c r="X434" i="5"/>
  <c r="AG418" i="5"/>
  <c r="AO434" i="5"/>
  <c r="E315" i="5"/>
  <c r="Z407" i="5"/>
  <c r="Y449" i="5" s="1"/>
  <c r="M315" i="5"/>
  <c r="Q354" i="5"/>
  <c r="S354" i="5" s="1"/>
  <c r="S316" i="5"/>
  <c r="P350" i="5"/>
  <c r="P331" i="5"/>
  <c r="E74" i="5"/>
  <c r="N74" i="5"/>
  <c r="AF484" i="5"/>
  <c r="AH408" i="5"/>
  <c r="AI408" i="5" s="1"/>
  <c r="AD420" i="5"/>
  <c r="AD467" i="5"/>
  <c r="AL408" i="5"/>
  <c r="AN408" i="5" s="1"/>
  <c r="Q85" i="5"/>
  <c r="S27" i="5"/>
  <c r="S85" i="5" s="1"/>
  <c r="X467" i="15"/>
  <c r="N85" i="15"/>
  <c r="N28" i="15"/>
  <c r="AL469" i="15"/>
  <c r="AL484" i="15" s="1"/>
  <c r="N354" i="15"/>
  <c r="L402" i="15"/>
  <c r="L403" i="15" s="1"/>
  <c r="S354" i="15"/>
  <c r="E24" i="15"/>
  <c r="E40" i="15"/>
  <c r="E32" i="15"/>
  <c r="E35" i="15"/>
  <c r="E37" i="15"/>
  <c r="E38" i="15"/>
  <c r="E39" i="15"/>
  <c r="E33" i="15"/>
  <c r="M24" i="15"/>
  <c r="E36" i="15"/>
  <c r="E31" i="15"/>
  <c r="E34" i="15"/>
  <c r="AM410" i="15"/>
  <c r="AG410" i="15"/>
  <c r="E315" i="15"/>
  <c r="Z407" i="15"/>
  <c r="Y449" i="15" s="1"/>
  <c r="AD469" i="15"/>
  <c r="N74" i="15"/>
  <c r="R315" i="15"/>
  <c r="P315" i="15"/>
  <c r="AL407" i="15"/>
  <c r="AJ408" i="15" s="1"/>
  <c r="AN420" i="15"/>
  <c r="AO420" i="15" s="1"/>
  <c r="AO482" i="15"/>
  <c r="AG413" i="15"/>
  <c r="AM413" i="15"/>
  <c r="S74" i="15"/>
  <c r="F85" i="15"/>
  <c r="Z469" i="15"/>
  <c r="X469" i="15" s="1"/>
  <c r="X420" i="15"/>
  <c r="AJ469" i="15"/>
  <c r="AJ453" i="15"/>
  <c r="AJ467" i="15"/>
  <c r="AJ420" i="15"/>
  <c r="AJ434" i="15"/>
  <c r="P39" i="15"/>
  <c r="P24" i="15"/>
  <c r="P32" i="15"/>
  <c r="P35" i="15"/>
  <c r="P38" i="15"/>
  <c r="P36" i="15"/>
  <c r="P37" i="15"/>
  <c r="P33" i="15"/>
  <c r="P40" i="15"/>
  <c r="P31" i="15"/>
  <c r="P34" i="15"/>
  <c r="P27" i="15"/>
  <c r="R27" i="15"/>
  <c r="R28" i="15" s="1"/>
  <c r="AN408" i="15"/>
  <c r="AO408" i="15" s="1"/>
  <c r="AF484" i="15"/>
  <c r="AH408" i="15"/>
  <c r="AI408" i="15" s="1"/>
  <c r="M315" i="15"/>
  <c r="AH467" i="15"/>
  <c r="AI467" i="15" s="1"/>
  <c r="E27" i="15"/>
  <c r="M27" i="15"/>
  <c r="M28" i="15" s="1"/>
  <c r="AD467" i="15"/>
  <c r="Z484" i="15"/>
  <c r="X453" i="15"/>
  <c r="AH482" i="15"/>
  <c r="AI482" i="15" s="1"/>
  <c r="Q85" i="15"/>
  <c r="AO434" i="15"/>
  <c r="Z490" i="5" l="1"/>
  <c r="Y484" i="5"/>
  <c r="AN469" i="5"/>
  <c r="AO469" i="5" s="1"/>
  <c r="AF490" i="5"/>
  <c r="AH484" i="5"/>
  <c r="AI484" i="5" s="1"/>
  <c r="AE484" i="5"/>
  <c r="S28" i="5"/>
  <c r="X469" i="5"/>
  <c r="AH469" i="5"/>
  <c r="AI469" i="5" s="1"/>
  <c r="AL484" i="5"/>
  <c r="AN484" i="5" s="1"/>
  <c r="AJ434" i="5"/>
  <c r="AO408" i="5"/>
  <c r="AJ453" i="5"/>
  <c r="AJ469" i="5"/>
  <c r="AJ420" i="5"/>
  <c r="AJ467" i="5"/>
  <c r="AJ408" i="5"/>
  <c r="AL490" i="15"/>
  <c r="Z490" i="15"/>
  <c r="Y484" i="15"/>
  <c r="AF490" i="15"/>
  <c r="AH484" i="15"/>
  <c r="AI484" i="15" s="1"/>
  <c r="AE484" i="15"/>
  <c r="AN484" i="15"/>
  <c r="AO484" i="15" s="1"/>
  <c r="AH469" i="15"/>
  <c r="AI469" i="15" s="1"/>
  <c r="AN469" i="15"/>
  <c r="AO469" i="15" s="1"/>
  <c r="AK484" i="15"/>
  <c r="AK490" i="15"/>
  <c r="AK484" i="5" l="1"/>
  <c r="AF499" i="5"/>
  <c r="AE490" i="5"/>
  <c r="AH490" i="5"/>
  <c r="AI490" i="5" s="1"/>
  <c r="AF489" i="5"/>
  <c r="AL490" i="5"/>
  <c r="AO484" i="5"/>
  <c r="Z489" i="5"/>
  <c r="Y489" i="5" s="1"/>
  <c r="Z499" i="5"/>
  <c r="Y499" i="5" s="1"/>
  <c r="Y490" i="5"/>
  <c r="AF499" i="15"/>
  <c r="AE490" i="15"/>
  <c r="AH490" i="15"/>
  <c r="AI490" i="15" s="1"/>
  <c r="AF489" i="15"/>
  <c r="AN490" i="15"/>
  <c r="Z489" i="15"/>
  <c r="Y489" i="15" s="1"/>
  <c r="Z499" i="15"/>
  <c r="Y499" i="15" s="1"/>
  <c r="Y490" i="15"/>
  <c r="AO490" i="15"/>
  <c r="AL499" i="15"/>
  <c r="AL489" i="15"/>
  <c r="AL489" i="5" l="1"/>
  <c r="AL499" i="5"/>
  <c r="AN499" i="5" s="1"/>
  <c r="AK490" i="5"/>
  <c r="AE489" i="5"/>
  <c r="AN489" i="5"/>
  <c r="AH489" i="5"/>
  <c r="AI489" i="5" s="1"/>
  <c r="AN490" i="5"/>
  <c r="AO490" i="5" s="1"/>
  <c r="AF512" i="5"/>
  <c r="AG512" i="5" s="1"/>
  <c r="AE499" i="5"/>
  <c r="AF503" i="5"/>
  <c r="AH499" i="5"/>
  <c r="AI499" i="5" s="1"/>
  <c r="AF505" i="5"/>
  <c r="AK489" i="15"/>
  <c r="AK499" i="15"/>
  <c r="AE489" i="15"/>
  <c r="AN489" i="15"/>
  <c r="AO489" i="15" s="1"/>
  <c r="AH489" i="15"/>
  <c r="AI489" i="15" s="1"/>
  <c r="AF512" i="15"/>
  <c r="AG512" i="15" s="1"/>
  <c r="AE499" i="15"/>
  <c r="AF503" i="15"/>
  <c r="AN499" i="15"/>
  <c r="AO499" i="15" s="1"/>
  <c r="AH499" i="15"/>
  <c r="AI499" i="15" s="1"/>
  <c r="AF505" i="15"/>
  <c r="AO499" i="5" l="1"/>
  <c r="AK499" i="5"/>
  <c r="AO489" i="5"/>
  <c r="AK489" i="5"/>
  <c r="V486" i="1" l="1"/>
  <c r="V403" i="1" l="1"/>
  <c r="C169" i="1"/>
  <c r="C292" i="1"/>
  <c r="A499" i="1"/>
  <c r="A408" i="1" l="1"/>
  <c r="A407" i="1"/>
  <c r="A110" i="1"/>
  <c r="A109" i="1"/>
  <c r="R99" i="1" l="1"/>
  <c r="Q99" i="1"/>
  <c r="I99" i="1"/>
  <c r="F99" i="1"/>
  <c r="A99" i="1"/>
  <c r="A100" i="1"/>
  <c r="A101" i="1"/>
  <c r="D101" i="1"/>
  <c r="F101" i="1"/>
  <c r="G101" i="1"/>
  <c r="I101" i="1"/>
  <c r="O101" i="1"/>
  <c r="Q101" i="1"/>
  <c r="A102" i="1"/>
  <c r="A103" i="1"/>
  <c r="D103" i="1"/>
  <c r="E103" i="1" s="1"/>
  <c r="F103" i="1"/>
  <c r="G103" i="1"/>
  <c r="H103" i="1" s="1"/>
  <c r="I103" i="1"/>
  <c r="J103" i="1"/>
  <c r="K103" i="1" s="1"/>
  <c r="O103" i="1"/>
  <c r="P103" i="1" s="1"/>
  <c r="Q103" i="1"/>
  <c r="A104" i="1"/>
  <c r="D104" i="1"/>
  <c r="E104" i="1" s="1"/>
  <c r="F104" i="1"/>
  <c r="G104" i="1"/>
  <c r="H104" i="1" s="1"/>
  <c r="I104" i="1"/>
  <c r="J104" i="1"/>
  <c r="K104" i="1" s="1"/>
  <c r="O104" i="1"/>
  <c r="P104" i="1" s="1"/>
  <c r="Q104" i="1"/>
  <c r="A105" i="1"/>
  <c r="D105" i="1"/>
  <c r="F105" i="1"/>
  <c r="G105" i="1"/>
  <c r="H105" i="1" s="1"/>
  <c r="I105" i="1"/>
  <c r="J105" i="1"/>
  <c r="O105" i="1"/>
  <c r="Q105" i="1"/>
  <c r="A106" i="1"/>
  <c r="D106" i="1"/>
  <c r="E106" i="1" s="1"/>
  <c r="G106" i="1"/>
  <c r="H106" i="1"/>
  <c r="J106" i="1"/>
  <c r="K106" i="1"/>
  <c r="M106" i="1"/>
  <c r="O106" i="1"/>
  <c r="P106" i="1" s="1"/>
  <c r="A107" i="1"/>
  <c r="A108" i="1"/>
  <c r="A111" i="1"/>
  <c r="A112" i="1"/>
  <c r="A113" i="1"/>
  <c r="F113" i="1"/>
  <c r="I113" i="1"/>
  <c r="G113" i="1" s="1"/>
  <c r="Q113" i="1"/>
  <c r="O113" i="1" s="1"/>
  <c r="A114" i="1"/>
  <c r="F114" i="1"/>
  <c r="I114" i="1"/>
  <c r="Q114" i="1"/>
  <c r="A115" i="1"/>
  <c r="F115" i="1"/>
  <c r="I115" i="1"/>
  <c r="Q115" i="1"/>
  <c r="A116" i="1"/>
  <c r="F116" i="1"/>
  <c r="I116" i="1"/>
  <c r="Q116" i="1"/>
  <c r="A117" i="1"/>
  <c r="F117" i="1"/>
  <c r="I117" i="1"/>
  <c r="Q117" i="1"/>
  <c r="A118" i="1"/>
  <c r="F118" i="1"/>
  <c r="I118" i="1"/>
  <c r="Q118" i="1"/>
  <c r="A119" i="1"/>
  <c r="F119" i="1"/>
  <c r="I119" i="1"/>
  <c r="Q119" i="1"/>
  <c r="A120" i="1"/>
  <c r="F120" i="1"/>
  <c r="I120" i="1"/>
  <c r="Q120" i="1"/>
  <c r="A121" i="1"/>
  <c r="F121" i="1"/>
  <c r="I121" i="1"/>
  <c r="Q121" i="1"/>
  <c r="A122" i="1"/>
  <c r="F122" i="1"/>
  <c r="I122" i="1"/>
  <c r="Q122" i="1"/>
  <c r="A123" i="1"/>
  <c r="A124" i="1"/>
  <c r="F124" i="1"/>
  <c r="I124" i="1"/>
  <c r="Q124" i="1"/>
  <c r="A125" i="1"/>
  <c r="F125" i="1"/>
  <c r="I125" i="1"/>
  <c r="Q125" i="1"/>
  <c r="A126" i="1"/>
  <c r="F126" i="1"/>
  <c r="I126" i="1"/>
  <c r="Q126" i="1"/>
  <c r="A127" i="1"/>
  <c r="F127" i="1"/>
  <c r="I127" i="1"/>
  <c r="Q127" i="1"/>
  <c r="A128" i="1"/>
  <c r="F128" i="1"/>
  <c r="I128" i="1"/>
  <c r="Q128" i="1"/>
  <c r="A129" i="1"/>
  <c r="F129" i="1"/>
  <c r="I129" i="1"/>
  <c r="Q129" i="1"/>
  <c r="A130" i="1"/>
  <c r="F130" i="1"/>
  <c r="I130" i="1"/>
  <c r="Q130" i="1"/>
  <c r="A131" i="1"/>
  <c r="F131" i="1"/>
  <c r="I131" i="1"/>
  <c r="Q131" i="1"/>
  <c r="A132" i="1"/>
  <c r="F132" i="1"/>
  <c r="I132" i="1"/>
  <c r="Q132" i="1"/>
  <c r="A133" i="1"/>
  <c r="F133" i="1"/>
  <c r="I133" i="1"/>
  <c r="Q133" i="1"/>
  <c r="A134" i="1"/>
  <c r="F134" i="1"/>
  <c r="I134" i="1"/>
  <c r="Q134" i="1"/>
  <c r="A135" i="1"/>
  <c r="F135" i="1"/>
  <c r="I135" i="1"/>
  <c r="Q135" i="1"/>
  <c r="A136" i="1"/>
  <c r="A137" i="1"/>
  <c r="F137" i="1"/>
  <c r="I137" i="1"/>
  <c r="Q137" i="1"/>
  <c r="A138" i="1"/>
  <c r="F138" i="1"/>
  <c r="I138" i="1"/>
  <c r="Q138" i="1"/>
  <c r="A139" i="1"/>
  <c r="F139" i="1"/>
  <c r="I139" i="1"/>
  <c r="Q139" i="1"/>
  <c r="A140" i="1"/>
  <c r="F140" i="1"/>
  <c r="I140" i="1"/>
  <c r="Q140" i="1"/>
  <c r="A141" i="1"/>
  <c r="F141" i="1"/>
  <c r="I141" i="1"/>
  <c r="Q141" i="1"/>
  <c r="A142" i="1"/>
  <c r="F142" i="1"/>
  <c r="I142" i="1"/>
  <c r="Q142" i="1"/>
  <c r="A143" i="1"/>
  <c r="F143" i="1"/>
  <c r="I143" i="1"/>
  <c r="Q143" i="1"/>
  <c r="A144" i="1"/>
  <c r="F144" i="1"/>
  <c r="I144" i="1"/>
  <c r="Q144" i="1"/>
  <c r="A145" i="1"/>
  <c r="F145" i="1"/>
  <c r="I145" i="1"/>
  <c r="Q145" i="1"/>
  <c r="A146" i="1"/>
  <c r="F146" i="1"/>
  <c r="I146" i="1"/>
  <c r="Q146" i="1"/>
  <c r="A147" i="1"/>
  <c r="F147" i="1"/>
  <c r="I147" i="1"/>
  <c r="Q147" i="1"/>
  <c r="A148" i="1"/>
  <c r="F148" i="1"/>
  <c r="I148" i="1"/>
  <c r="Q148" i="1"/>
  <c r="A149" i="1"/>
  <c r="F149" i="1"/>
  <c r="I149" i="1"/>
  <c r="Q149" i="1"/>
  <c r="A150" i="1"/>
  <c r="F150" i="1"/>
  <c r="I150" i="1"/>
  <c r="Q150" i="1"/>
  <c r="A151" i="1"/>
  <c r="F151" i="1"/>
  <c r="I151" i="1"/>
  <c r="Q151" i="1"/>
  <c r="A152" i="1"/>
  <c r="F152" i="1"/>
  <c r="I152" i="1"/>
  <c r="Q152" i="1"/>
  <c r="A153" i="1"/>
  <c r="F153" i="1"/>
  <c r="I153" i="1"/>
  <c r="Q153" i="1"/>
  <c r="A154" i="1"/>
  <c r="A155" i="1"/>
  <c r="A156" i="1"/>
  <c r="A157" i="1"/>
  <c r="F157" i="1"/>
  <c r="I157" i="1"/>
  <c r="Q157" i="1"/>
  <c r="A158" i="1"/>
  <c r="F158" i="1"/>
  <c r="I158" i="1"/>
  <c r="Q158" i="1"/>
  <c r="A159" i="1"/>
  <c r="F159" i="1"/>
  <c r="I159" i="1"/>
  <c r="Q159" i="1"/>
  <c r="A160" i="1"/>
  <c r="F160" i="1"/>
  <c r="I160" i="1"/>
  <c r="Q160" i="1"/>
  <c r="A161" i="1"/>
  <c r="F161" i="1"/>
  <c r="I161" i="1"/>
  <c r="Q161" i="1"/>
  <c r="A162" i="1"/>
  <c r="F162" i="1"/>
  <c r="I162" i="1"/>
  <c r="Q162" i="1"/>
  <c r="A163" i="1"/>
  <c r="F163" i="1"/>
  <c r="I163" i="1"/>
  <c r="Q163" i="1"/>
  <c r="A172" i="1"/>
  <c r="A173" i="1"/>
  <c r="D173" i="1"/>
  <c r="E173" i="1"/>
  <c r="F173" i="1"/>
  <c r="G173" i="1"/>
  <c r="H173" i="1"/>
  <c r="H175" i="1" s="1"/>
  <c r="I173" i="1"/>
  <c r="O173" i="1"/>
  <c r="P173" i="1"/>
  <c r="Q173" i="1"/>
  <c r="A174" i="1"/>
  <c r="A175" i="1"/>
  <c r="A176" i="1"/>
  <c r="D176" i="1"/>
  <c r="E176" i="1"/>
  <c r="F176" i="1"/>
  <c r="G176" i="1"/>
  <c r="H176" i="1"/>
  <c r="I176" i="1"/>
  <c r="O176" i="1"/>
  <c r="P176" i="1"/>
  <c r="Q176" i="1"/>
  <c r="A177" i="1"/>
  <c r="A178" i="1"/>
  <c r="A179" i="1"/>
  <c r="D179" i="1"/>
  <c r="E179" i="1"/>
  <c r="F179" i="1"/>
  <c r="G179" i="1"/>
  <c r="H179" i="1"/>
  <c r="I179" i="1"/>
  <c r="O179" i="1"/>
  <c r="P179" i="1"/>
  <c r="Q179" i="1"/>
  <c r="A180" i="1"/>
  <c r="R180" i="1"/>
  <c r="A181" i="1"/>
  <c r="A182" i="1"/>
  <c r="D182" i="1"/>
  <c r="E182" i="1"/>
  <c r="F182" i="1"/>
  <c r="G182" i="1"/>
  <c r="H182" i="1"/>
  <c r="I182" i="1"/>
  <c r="O182" i="1"/>
  <c r="P182" i="1"/>
  <c r="Q182" i="1"/>
  <c r="A183" i="1"/>
  <c r="M183" i="1"/>
  <c r="A184" i="1"/>
  <c r="A185" i="1"/>
  <c r="F185" i="1"/>
  <c r="I185" i="1"/>
  <c r="Q185" i="1"/>
  <c r="A186" i="1"/>
  <c r="R186" i="1"/>
  <c r="S187" i="1" s="1"/>
  <c r="A187" i="1"/>
  <c r="A188" i="1"/>
  <c r="A189" i="1"/>
  <c r="E189" i="1"/>
  <c r="F189" i="1"/>
  <c r="H189" i="1"/>
  <c r="I189" i="1"/>
  <c r="P189" i="1"/>
  <c r="Q189" i="1"/>
  <c r="R189" i="1"/>
  <c r="A190" i="1"/>
  <c r="A191" i="1"/>
  <c r="A192" i="1"/>
  <c r="E192" i="1"/>
  <c r="F192" i="1"/>
  <c r="F193" i="1" s="1"/>
  <c r="H192" i="1"/>
  <c r="I192" i="1"/>
  <c r="I193" i="1" s="1"/>
  <c r="L192" i="1"/>
  <c r="L193" i="1" s="1"/>
  <c r="P192" i="1"/>
  <c r="Q192" i="1"/>
  <c r="Q193" i="1" s="1"/>
  <c r="A193" i="1"/>
  <c r="A194" i="1"/>
  <c r="A195" i="1"/>
  <c r="A196" i="1"/>
  <c r="A197" i="1"/>
  <c r="A198" i="1"/>
  <c r="A199" i="1"/>
  <c r="F199" i="1"/>
  <c r="I199" i="1"/>
  <c r="Q199" i="1"/>
  <c r="A200" i="1"/>
  <c r="F200" i="1"/>
  <c r="I200" i="1"/>
  <c r="Q200" i="1"/>
  <c r="A201" i="1"/>
  <c r="F201" i="1"/>
  <c r="I201" i="1"/>
  <c r="Q201" i="1"/>
  <c r="A202" i="1"/>
  <c r="F202" i="1"/>
  <c r="I202" i="1"/>
  <c r="Q202" i="1"/>
  <c r="A203" i="1"/>
  <c r="F203" i="1"/>
  <c r="I203" i="1"/>
  <c r="Q203" i="1"/>
  <c r="A204" i="1"/>
  <c r="F204" i="1"/>
  <c r="I204" i="1"/>
  <c r="Q204" i="1"/>
  <c r="A205" i="1"/>
  <c r="F205" i="1"/>
  <c r="I205" i="1"/>
  <c r="Q205" i="1"/>
  <c r="A206" i="1"/>
  <c r="F206" i="1"/>
  <c r="I206" i="1"/>
  <c r="Q206" i="1"/>
  <c r="A207" i="1"/>
  <c r="F207" i="1"/>
  <c r="I207" i="1"/>
  <c r="Q207" i="1"/>
  <c r="A208" i="1"/>
  <c r="F208" i="1"/>
  <c r="I208" i="1"/>
  <c r="Q208" i="1"/>
  <c r="A209" i="1"/>
  <c r="F209" i="1"/>
  <c r="I209" i="1"/>
  <c r="Q209" i="1"/>
  <c r="A210" i="1"/>
  <c r="F210" i="1"/>
  <c r="I210" i="1"/>
  <c r="Q210" i="1"/>
  <c r="A211" i="1"/>
  <c r="A212" i="1"/>
  <c r="F212" i="1"/>
  <c r="I212" i="1"/>
  <c r="Q212" i="1"/>
  <c r="A213" i="1"/>
  <c r="F213" i="1"/>
  <c r="I213" i="1"/>
  <c r="Q213" i="1"/>
  <c r="A214" i="1"/>
  <c r="F214" i="1"/>
  <c r="I214" i="1"/>
  <c r="Q214" i="1"/>
  <c r="A215" i="1"/>
  <c r="F215" i="1"/>
  <c r="I215" i="1"/>
  <c r="Q215" i="1"/>
  <c r="A216" i="1"/>
  <c r="F216" i="1"/>
  <c r="I216" i="1"/>
  <c r="Q216" i="1"/>
  <c r="A217" i="1"/>
  <c r="F217" i="1"/>
  <c r="I217" i="1"/>
  <c r="Q217" i="1"/>
  <c r="A218" i="1"/>
  <c r="F218" i="1"/>
  <c r="I218" i="1"/>
  <c r="Q218" i="1"/>
  <c r="A219" i="1"/>
  <c r="F219" i="1"/>
  <c r="I219" i="1"/>
  <c r="Q219" i="1"/>
  <c r="A220" i="1"/>
  <c r="F220" i="1"/>
  <c r="I220" i="1"/>
  <c r="Q220" i="1"/>
  <c r="A221" i="1"/>
  <c r="F221" i="1"/>
  <c r="I221" i="1"/>
  <c r="Q221" i="1"/>
  <c r="A222" i="1"/>
  <c r="F222" i="1"/>
  <c r="I222" i="1"/>
  <c r="Q222" i="1"/>
  <c r="A223" i="1"/>
  <c r="F223" i="1"/>
  <c r="I223" i="1"/>
  <c r="Q223" i="1"/>
  <c r="A224" i="1"/>
  <c r="F224" i="1"/>
  <c r="I224" i="1"/>
  <c r="Q224" i="1"/>
  <c r="A225" i="1"/>
  <c r="F225" i="1"/>
  <c r="I225" i="1"/>
  <c r="Q225" i="1"/>
  <c r="A226" i="1"/>
  <c r="F226" i="1"/>
  <c r="I226" i="1"/>
  <c r="Q226" i="1"/>
  <c r="A227" i="1"/>
  <c r="F227" i="1"/>
  <c r="I227" i="1"/>
  <c r="Q227" i="1"/>
  <c r="F228" i="1"/>
  <c r="I228" i="1"/>
  <c r="Q228" i="1"/>
  <c r="A229" i="1"/>
  <c r="F229" i="1"/>
  <c r="I229" i="1"/>
  <c r="Q229" i="1"/>
  <c r="N233" i="1"/>
  <c r="C237" i="1"/>
  <c r="A240" i="1"/>
  <c r="A241" i="1"/>
  <c r="A242" i="1"/>
  <c r="D242" i="1"/>
  <c r="E242" i="1"/>
  <c r="F242" i="1"/>
  <c r="G242" i="1"/>
  <c r="H242" i="1"/>
  <c r="I242" i="1"/>
  <c r="O242" i="1"/>
  <c r="P242" i="1"/>
  <c r="Q242" i="1"/>
  <c r="A243" i="1"/>
  <c r="A244" i="1"/>
  <c r="A245" i="1"/>
  <c r="D245" i="1"/>
  <c r="E245" i="1"/>
  <c r="F245" i="1"/>
  <c r="G245" i="1"/>
  <c r="H245" i="1"/>
  <c r="I245" i="1"/>
  <c r="O245" i="1"/>
  <c r="R245" i="1" s="1"/>
  <c r="P245" i="1"/>
  <c r="Q245" i="1"/>
  <c r="S246" i="1" s="1"/>
  <c r="A246" i="1"/>
  <c r="A247" i="1"/>
  <c r="A248" i="1"/>
  <c r="D248" i="1"/>
  <c r="E248" i="1"/>
  <c r="F248" i="1"/>
  <c r="G248" i="1"/>
  <c r="H248" i="1"/>
  <c r="I248" i="1"/>
  <c r="O248" i="1"/>
  <c r="R248" i="1" s="1"/>
  <c r="P248" i="1"/>
  <c r="Q248" i="1"/>
  <c r="A249" i="1"/>
  <c r="A250" i="1"/>
  <c r="A251" i="1"/>
  <c r="A252" i="1"/>
  <c r="A253" i="1"/>
  <c r="A254" i="1"/>
  <c r="A255" i="1"/>
  <c r="F255" i="1"/>
  <c r="I255" i="1"/>
  <c r="Q255" i="1"/>
  <c r="A256" i="1"/>
  <c r="F256" i="1"/>
  <c r="I256" i="1"/>
  <c r="Q256" i="1"/>
  <c r="A257" i="1"/>
  <c r="F257" i="1"/>
  <c r="I257" i="1"/>
  <c r="Q257" i="1"/>
  <c r="A258" i="1"/>
  <c r="F258" i="1"/>
  <c r="I258" i="1"/>
  <c r="Q258" i="1"/>
  <c r="A259" i="1"/>
  <c r="F259" i="1"/>
  <c r="I259" i="1"/>
  <c r="Q259" i="1"/>
  <c r="A260" i="1"/>
  <c r="F260" i="1"/>
  <c r="I260" i="1"/>
  <c r="Q260" i="1"/>
  <c r="A261" i="1"/>
  <c r="F261" i="1"/>
  <c r="I261" i="1"/>
  <c r="Q261" i="1"/>
  <c r="A262" i="1"/>
  <c r="F262" i="1"/>
  <c r="I262" i="1"/>
  <c r="Q262" i="1"/>
  <c r="A263" i="1"/>
  <c r="F263" i="1"/>
  <c r="I263" i="1"/>
  <c r="Q263" i="1"/>
  <c r="A264" i="1"/>
  <c r="F264" i="1"/>
  <c r="I264" i="1"/>
  <c r="Q264" i="1"/>
  <c r="A265" i="1"/>
  <c r="F265" i="1"/>
  <c r="I265" i="1"/>
  <c r="Q265" i="1"/>
  <c r="A266" i="1"/>
  <c r="F266" i="1"/>
  <c r="I266" i="1"/>
  <c r="Q266" i="1"/>
  <c r="A267" i="1"/>
  <c r="A268" i="1"/>
  <c r="F268" i="1"/>
  <c r="I268" i="1"/>
  <c r="Q268" i="1"/>
  <c r="A269" i="1"/>
  <c r="F269" i="1"/>
  <c r="I269" i="1"/>
  <c r="Q269" i="1"/>
  <c r="A270" i="1"/>
  <c r="F270" i="1"/>
  <c r="I270" i="1"/>
  <c r="Q270" i="1"/>
  <c r="A271" i="1"/>
  <c r="F271" i="1"/>
  <c r="I271" i="1"/>
  <c r="Q271" i="1"/>
  <c r="A272" i="1"/>
  <c r="F272" i="1"/>
  <c r="I272" i="1"/>
  <c r="Q272" i="1"/>
  <c r="A273" i="1"/>
  <c r="F273" i="1"/>
  <c r="I273" i="1"/>
  <c r="Q273" i="1"/>
  <c r="A274" i="1"/>
  <c r="F274" i="1"/>
  <c r="I274" i="1"/>
  <c r="Q274" i="1"/>
  <c r="A275" i="1"/>
  <c r="F275" i="1"/>
  <c r="I275" i="1"/>
  <c r="Q275" i="1"/>
  <c r="A276" i="1"/>
  <c r="F276" i="1"/>
  <c r="I276" i="1"/>
  <c r="Q276" i="1"/>
  <c r="A277" i="1"/>
  <c r="F277" i="1"/>
  <c r="I277" i="1"/>
  <c r="Q277" i="1"/>
  <c r="A278" i="1"/>
  <c r="F278" i="1"/>
  <c r="I278" i="1"/>
  <c r="Q278" i="1"/>
  <c r="A279" i="1"/>
  <c r="F279" i="1"/>
  <c r="I279" i="1"/>
  <c r="Q279" i="1"/>
  <c r="A280" i="1"/>
  <c r="F280" i="1"/>
  <c r="I280" i="1"/>
  <c r="Q280" i="1"/>
  <c r="A281" i="1"/>
  <c r="F281" i="1"/>
  <c r="I281" i="1"/>
  <c r="Q281" i="1"/>
  <c r="A282" i="1"/>
  <c r="F282" i="1"/>
  <c r="I282" i="1"/>
  <c r="Q282" i="1"/>
  <c r="A283" i="1"/>
  <c r="F283" i="1"/>
  <c r="I283" i="1"/>
  <c r="Q283" i="1"/>
  <c r="A284" i="1"/>
  <c r="F284" i="1"/>
  <c r="I284" i="1"/>
  <c r="Q284" i="1"/>
  <c r="A285" i="1"/>
  <c r="F285" i="1"/>
  <c r="I285" i="1"/>
  <c r="Q285" i="1"/>
  <c r="N289" i="1"/>
  <c r="C357" i="1"/>
  <c r="A295" i="1"/>
  <c r="A296" i="1"/>
  <c r="D296" i="1"/>
  <c r="F296" i="1"/>
  <c r="G296" i="1"/>
  <c r="H296" i="1" s="1"/>
  <c r="I296" i="1"/>
  <c r="O296" i="1"/>
  <c r="Q296" i="1"/>
  <c r="A297" i="1"/>
  <c r="D297" i="1"/>
  <c r="F297" i="1"/>
  <c r="G297" i="1"/>
  <c r="H297" i="1" s="1"/>
  <c r="I297" i="1"/>
  <c r="O297" i="1"/>
  <c r="Q297" i="1"/>
  <c r="A298" i="1"/>
  <c r="D298" i="1"/>
  <c r="F298" i="1"/>
  <c r="G298" i="1"/>
  <c r="H298" i="1" s="1"/>
  <c r="I298" i="1"/>
  <c r="O298" i="1"/>
  <c r="Q298" i="1"/>
  <c r="A299" i="1"/>
  <c r="D299" i="1"/>
  <c r="F299" i="1"/>
  <c r="G299" i="1"/>
  <c r="H299" i="1" s="1"/>
  <c r="I299" i="1"/>
  <c r="O299" i="1"/>
  <c r="Q299" i="1"/>
  <c r="A300" i="1"/>
  <c r="D300" i="1"/>
  <c r="F300" i="1"/>
  <c r="G300" i="1"/>
  <c r="H300" i="1" s="1"/>
  <c r="I300" i="1"/>
  <c r="O300" i="1"/>
  <c r="Q300" i="1"/>
  <c r="A301" i="1"/>
  <c r="D301" i="1"/>
  <c r="F301" i="1"/>
  <c r="G301" i="1"/>
  <c r="H301" i="1" s="1"/>
  <c r="I301" i="1"/>
  <c r="O301" i="1"/>
  <c r="Q301" i="1"/>
  <c r="A302" i="1"/>
  <c r="D302" i="1"/>
  <c r="E302" i="1" s="1"/>
  <c r="F302" i="1"/>
  <c r="G302" i="1"/>
  <c r="H302" i="1" s="1"/>
  <c r="I302" i="1"/>
  <c r="O302" i="1"/>
  <c r="P302" i="1" s="1"/>
  <c r="Q302" i="1"/>
  <c r="A303" i="1"/>
  <c r="D303" i="1"/>
  <c r="E303" i="1" s="1"/>
  <c r="F303" i="1"/>
  <c r="G303" i="1"/>
  <c r="H303" i="1" s="1"/>
  <c r="I303" i="1"/>
  <c r="O303" i="1"/>
  <c r="P303" i="1" s="1"/>
  <c r="Q303" i="1"/>
  <c r="A304" i="1"/>
  <c r="D304" i="1"/>
  <c r="F304" i="1"/>
  <c r="G304" i="1"/>
  <c r="H304" i="1" s="1"/>
  <c r="I304" i="1"/>
  <c r="O304" i="1"/>
  <c r="P304" i="1" s="1"/>
  <c r="Q304" i="1"/>
  <c r="A305" i="1"/>
  <c r="A306" i="1"/>
  <c r="A307" i="1"/>
  <c r="A308" i="1"/>
  <c r="D308" i="1"/>
  <c r="F308" i="1"/>
  <c r="G308" i="1"/>
  <c r="H308" i="1" s="1"/>
  <c r="I308" i="1"/>
  <c r="O308" i="1"/>
  <c r="Q308" i="1"/>
  <c r="A309" i="1"/>
  <c r="D309" i="1"/>
  <c r="F309" i="1"/>
  <c r="G309" i="1"/>
  <c r="H309" i="1" s="1"/>
  <c r="I309" i="1"/>
  <c r="O309" i="1"/>
  <c r="Q309" i="1"/>
  <c r="A310" i="1"/>
  <c r="A311" i="1"/>
  <c r="A312" i="1"/>
  <c r="D312" i="1"/>
  <c r="E312" i="1" s="1"/>
  <c r="F312" i="1"/>
  <c r="G312" i="1"/>
  <c r="H312" i="1" s="1"/>
  <c r="I312" i="1"/>
  <c r="J312" i="1"/>
  <c r="K312" i="1" s="1"/>
  <c r="L312" i="1"/>
  <c r="O312" i="1"/>
  <c r="P312" i="1" s="1"/>
  <c r="Q312" i="1"/>
  <c r="A313" i="1"/>
  <c r="D313" i="1"/>
  <c r="E313" i="1" s="1"/>
  <c r="F313" i="1"/>
  <c r="M313" i="1" s="1"/>
  <c r="G313" i="1"/>
  <c r="H313" i="1" s="1"/>
  <c r="I313" i="1"/>
  <c r="O313" i="1"/>
  <c r="P313" i="1" s="1"/>
  <c r="Q313" i="1"/>
  <c r="A314" i="1"/>
  <c r="A315" i="1"/>
  <c r="A316" i="1"/>
  <c r="A317" i="1"/>
  <c r="A318" i="1"/>
  <c r="A319" i="1"/>
  <c r="F319" i="1"/>
  <c r="I319" i="1"/>
  <c r="Q319" i="1"/>
  <c r="A320" i="1"/>
  <c r="F320" i="1"/>
  <c r="I320" i="1"/>
  <c r="Q320" i="1"/>
  <c r="A321" i="1"/>
  <c r="F321" i="1"/>
  <c r="I321" i="1"/>
  <c r="Q321" i="1"/>
  <c r="A322" i="1"/>
  <c r="F322" i="1"/>
  <c r="I322" i="1"/>
  <c r="Q322" i="1"/>
  <c r="A323" i="1"/>
  <c r="F323" i="1"/>
  <c r="I323" i="1"/>
  <c r="Q323" i="1"/>
  <c r="A324" i="1"/>
  <c r="F324" i="1"/>
  <c r="I324" i="1"/>
  <c r="Q324" i="1"/>
  <c r="A325" i="1"/>
  <c r="F325" i="1"/>
  <c r="I325" i="1"/>
  <c r="Q325" i="1"/>
  <c r="A326" i="1"/>
  <c r="F326" i="1"/>
  <c r="I326" i="1"/>
  <c r="Q326" i="1"/>
  <c r="A327" i="1"/>
  <c r="F327" i="1"/>
  <c r="I327" i="1"/>
  <c r="Q327" i="1"/>
  <c r="A328" i="1"/>
  <c r="F328" i="1"/>
  <c r="I328" i="1"/>
  <c r="Q328" i="1"/>
  <c r="A329" i="1"/>
  <c r="F329" i="1"/>
  <c r="I329" i="1"/>
  <c r="Q329" i="1"/>
  <c r="A330" i="1"/>
  <c r="F330" i="1"/>
  <c r="I330" i="1"/>
  <c r="Q330" i="1"/>
  <c r="A331" i="1"/>
  <c r="A332" i="1"/>
  <c r="F332" i="1"/>
  <c r="I332" i="1"/>
  <c r="Q332" i="1"/>
  <c r="A333" i="1"/>
  <c r="F333" i="1"/>
  <c r="I333" i="1"/>
  <c r="Q333" i="1"/>
  <c r="A334" i="1"/>
  <c r="F334" i="1"/>
  <c r="I334" i="1"/>
  <c r="Q334" i="1"/>
  <c r="A335" i="1"/>
  <c r="F335" i="1"/>
  <c r="I335" i="1"/>
  <c r="Q335" i="1"/>
  <c r="A336" i="1"/>
  <c r="F336" i="1"/>
  <c r="I336" i="1"/>
  <c r="Q336" i="1"/>
  <c r="A337" i="1"/>
  <c r="F337" i="1"/>
  <c r="I337" i="1"/>
  <c r="Q337" i="1"/>
  <c r="A338" i="1"/>
  <c r="F338" i="1"/>
  <c r="I338" i="1"/>
  <c r="Q338" i="1"/>
  <c r="A339" i="1"/>
  <c r="F339" i="1"/>
  <c r="I339" i="1"/>
  <c r="Q339" i="1"/>
  <c r="A340" i="1"/>
  <c r="F340" i="1"/>
  <c r="I340" i="1"/>
  <c r="Q340" i="1"/>
  <c r="A341" i="1"/>
  <c r="F341" i="1"/>
  <c r="I341" i="1"/>
  <c r="Q341" i="1"/>
  <c r="A342" i="1"/>
  <c r="F342" i="1"/>
  <c r="I342" i="1"/>
  <c r="Q342" i="1"/>
  <c r="A343" i="1"/>
  <c r="F343" i="1"/>
  <c r="I343" i="1"/>
  <c r="Q343" i="1"/>
  <c r="A344" i="1"/>
  <c r="F344" i="1"/>
  <c r="I344" i="1"/>
  <c r="Q344" i="1"/>
  <c r="A345" i="1"/>
  <c r="F345" i="1"/>
  <c r="I345" i="1"/>
  <c r="Q345" i="1"/>
  <c r="A346" i="1"/>
  <c r="F346" i="1"/>
  <c r="I346" i="1"/>
  <c r="Q346" i="1"/>
  <c r="A347" i="1"/>
  <c r="F347" i="1"/>
  <c r="I347" i="1"/>
  <c r="Q347" i="1"/>
  <c r="A348" i="1"/>
  <c r="F348" i="1"/>
  <c r="I348" i="1"/>
  <c r="Q348" i="1"/>
  <c r="A349" i="1"/>
  <c r="F349" i="1"/>
  <c r="I349" i="1"/>
  <c r="Q349" i="1"/>
  <c r="N353" i="1"/>
  <c r="A360" i="1"/>
  <c r="A361" i="1"/>
  <c r="D361" i="1"/>
  <c r="D363" i="1" s="1"/>
  <c r="E363" i="1" s="1"/>
  <c r="F361" i="1"/>
  <c r="F363" i="1" s="1"/>
  <c r="G361" i="1"/>
  <c r="G363" i="1" s="1"/>
  <c r="H363" i="1" s="1"/>
  <c r="I361" i="1"/>
  <c r="I363" i="1" s="1"/>
  <c r="O361" i="1"/>
  <c r="Q361" i="1"/>
  <c r="Q363" i="1" s="1"/>
  <c r="S364" i="1" s="1"/>
  <c r="A362" i="1"/>
  <c r="A363" i="1"/>
  <c r="A364" i="1"/>
  <c r="A365" i="1"/>
  <c r="A366" i="1"/>
  <c r="F366" i="1"/>
  <c r="I366" i="1"/>
  <c r="L366" i="1"/>
  <c r="Q366" i="1"/>
  <c r="A367" i="1"/>
  <c r="F367" i="1"/>
  <c r="I367" i="1"/>
  <c r="Q367" i="1"/>
  <c r="A368" i="1"/>
  <c r="F368" i="1"/>
  <c r="I368" i="1"/>
  <c r="Q368" i="1"/>
  <c r="A369" i="1"/>
  <c r="F369" i="1"/>
  <c r="I369" i="1"/>
  <c r="Q369" i="1"/>
  <c r="A370" i="1"/>
  <c r="F370" i="1"/>
  <c r="I370" i="1"/>
  <c r="Q370" i="1"/>
  <c r="A371" i="1"/>
  <c r="F371" i="1"/>
  <c r="I371" i="1"/>
  <c r="Q371" i="1"/>
  <c r="A372" i="1"/>
  <c r="F372" i="1"/>
  <c r="I372" i="1"/>
  <c r="Q372" i="1"/>
  <c r="A373" i="1"/>
  <c r="F373" i="1"/>
  <c r="I373" i="1"/>
  <c r="Q373" i="1"/>
  <c r="A374" i="1"/>
  <c r="F374" i="1"/>
  <c r="I374" i="1"/>
  <c r="Q374" i="1"/>
  <c r="A375" i="1"/>
  <c r="F375" i="1"/>
  <c r="I375" i="1"/>
  <c r="Q375" i="1"/>
  <c r="A376" i="1"/>
  <c r="F376" i="1"/>
  <c r="I376" i="1"/>
  <c r="Q376" i="1"/>
  <c r="A377" i="1"/>
  <c r="F377" i="1"/>
  <c r="I377" i="1"/>
  <c r="Q377" i="1"/>
  <c r="A378" i="1"/>
  <c r="A379" i="1"/>
  <c r="F379" i="1"/>
  <c r="I379" i="1"/>
  <c r="Q379" i="1"/>
  <c r="A380" i="1"/>
  <c r="F380" i="1"/>
  <c r="I380" i="1"/>
  <c r="Q380" i="1"/>
  <c r="A381" i="1"/>
  <c r="F381" i="1"/>
  <c r="I381" i="1"/>
  <c r="Q381" i="1"/>
  <c r="A382" i="1"/>
  <c r="F382" i="1"/>
  <c r="I382" i="1"/>
  <c r="Q382" i="1"/>
  <c r="A383" i="1"/>
  <c r="F383" i="1"/>
  <c r="I383" i="1"/>
  <c r="Q383" i="1"/>
  <c r="A384" i="1"/>
  <c r="F384" i="1"/>
  <c r="I384" i="1"/>
  <c r="Q384" i="1"/>
  <c r="A385" i="1"/>
  <c r="F385" i="1"/>
  <c r="I385" i="1"/>
  <c r="Q385" i="1"/>
  <c r="A386" i="1"/>
  <c r="F386" i="1"/>
  <c r="I386" i="1"/>
  <c r="Q386" i="1"/>
  <c r="A387" i="1"/>
  <c r="F387" i="1"/>
  <c r="I387" i="1"/>
  <c r="Q387" i="1"/>
  <c r="A388" i="1"/>
  <c r="F388" i="1"/>
  <c r="I388" i="1"/>
  <c r="Q388" i="1"/>
  <c r="A389" i="1"/>
  <c r="F389" i="1"/>
  <c r="I389" i="1"/>
  <c r="Q389" i="1"/>
  <c r="A390" i="1"/>
  <c r="F390" i="1"/>
  <c r="I390" i="1"/>
  <c r="Q390" i="1"/>
  <c r="A391" i="1"/>
  <c r="F391" i="1"/>
  <c r="I391" i="1"/>
  <c r="Q391" i="1"/>
  <c r="A392" i="1"/>
  <c r="F392" i="1"/>
  <c r="I392" i="1"/>
  <c r="Q392" i="1"/>
  <c r="A393" i="1"/>
  <c r="F393" i="1"/>
  <c r="I393" i="1"/>
  <c r="Q393" i="1"/>
  <c r="A394" i="1"/>
  <c r="F394" i="1"/>
  <c r="I394" i="1"/>
  <c r="Q394" i="1"/>
  <c r="A395" i="1"/>
  <c r="F395" i="1"/>
  <c r="I395" i="1"/>
  <c r="Q395" i="1"/>
  <c r="A405" i="1"/>
  <c r="A406" i="1"/>
  <c r="A409" i="1"/>
  <c r="A410" i="1"/>
  <c r="Z410" i="1"/>
  <c r="AC410" i="1"/>
  <c r="AB410" i="1" s="1"/>
  <c r="A411" i="1"/>
  <c r="Z411" i="1"/>
  <c r="AC411" i="1"/>
  <c r="AB411" i="1" s="1"/>
  <c r="A412" i="1"/>
  <c r="Z412" i="1"/>
  <c r="AC412" i="1"/>
  <c r="AB412" i="1" s="1"/>
  <c r="A413" i="1"/>
  <c r="Z413" i="1"/>
  <c r="AC413" i="1"/>
  <c r="AB413" i="1" s="1"/>
  <c r="A414" i="1"/>
  <c r="Z414" i="1"/>
  <c r="AC414" i="1"/>
  <c r="AB414" i="1" s="1"/>
  <c r="A415" i="1"/>
  <c r="Z415" i="1"/>
  <c r="AC415" i="1"/>
  <c r="AB415" i="1" s="1"/>
  <c r="A416" i="1"/>
  <c r="Z416" i="1"/>
  <c r="AC416" i="1"/>
  <c r="AB416" i="1" s="1"/>
  <c r="A417" i="1"/>
  <c r="Z417" i="1"/>
  <c r="AC417" i="1"/>
  <c r="AB417" i="1" s="1"/>
  <c r="AO417" i="1"/>
  <c r="A418" i="1"/>
  <c r="Z418" i="1"/>
  <c r="AC418" i="1"/>
  <c r="AB418" i="1" s="1"/>
  <c r="AO418" i="1"/>
  <c r="A419" i="1"/>
  <c r="Z419" i="1"/>
  <c r="AC419" i="1"/>
  <c r="AB419" i="1" s="1"/>
  <c r="AO419" i="1"/>
  <c r="A420" i="1"/>
  <c r="A421" i="1"/>
  <c r="Z421" i="1"/>
  <c r="AC421" i="1"/>
  <c r="AB421" i="1" s="1"/>
  <c r="AL421" i="1"/>
  <c r="A422" i="1"/>
  <c r="Z422" i="1"/>
  <c r="AC422" i="1"/>
  <c r="A423" i="1"/>
  <c r="Z423" i="1"/>
  <c r="AC423" i="1"/>
  <c r="AB423" i="1" s="1"/>
  <c r="A424" i="1"/>
  <c r="Z424" i="1"/>
  <c r="AC424" i="1"/>
  <c r="AB424" i="1" s="1"/>
  <c r="A425" i="1"/>
  <c r="Z425" i="1"/>
  <c r="AC425" i="1"/>
  <c r="AB425" i="1" s="1"/>
  <c r="A426" i="1"/>
  <c r="Z426" i="1"/>
  <c r="AI426" i="1" s="1"/>
  <c r="AC426" i="1"/>
  <c r="AB426" i="1" s="1"/>
  <c r="AO426" i="1"/>
  <c r="A427" i="1"/>
  <c r="Z427" i="1"/>
  <c r="AI427" i="1" s="1"/>
  <c r="AC427" i="1"/>
  <c r="AB427" i="1" s="1"/>
  <c r="AO427" i="1"/>
  <c r="A428" i="1"/>
  <c r="Z428" i="1"/>
  <c r="AC428" i="1"/>
  <c r="AB428" i="1" s="1"/>
  <c r="AO428" i="1"/>
  <c r="A429" i="1"/>
  <c r="Z429" i="1"/>
  <c r="AC429" i="1"/>
  <c r="AB429" i="1" s="1"/>
  <c r="A430" i="1"/>
  <c r="Z430" i="1"/>
  <c r="AC430" i="1"/>
  <c r="AB430" i="1" s="1"/>
  <c r="A431" i="1"/>
  <c r="Z431" i="1"/>
  <c r="AC431" i="1"/>
  <c r="AB431" i="1" s="1"/>
  <c r="A432" i="1"/>
  <c r="Z432" i="1"/>
  <c r="AC432" i="1"/>
  <c r="AB432" i="1" s="1"/>
  <c r="A433" i="1"/>
  <c r="Z433" i="1"/>
  <c r="AI433" i="1" s="1"/>
  <c r="AC433" i="1"/>
  <c r="AB433" i="1" s="1"/>
  <c r="A434" i="1"/>
  <c r="A435" i="1"/>
  <c r="Z435" i="1"/>
  <c r="AC435" i="1"/>
  <c r="AB435" i="1" s="1"/>
  <c r="A436" i="1"/>
  <c r="Z436" i="1"/>
  <c r="AC436" i="1"/>
  <c r="AB436" i="1" s="1"/>
  <c r="A437" i="1"/>
  <c r="Z437" i="1"/>
  <c r="AC437" i="1"/>
  <c r="AB437" i="1" s="1"/>
  <c r="A438" i="1"/>
  <c r="Z438" i="1"/>
  <c r="AC438" i="1"/>
  <c r="AB438" i="1" s="1"/>
  <c r="A439" i="1"/>
  <c r="Z439" i="1"/>
  <c r="AC439" i="1"/>
  <c r="AB439" i="1" s="1"/>
  <c r="A440" i="1"/>
  <c r="Z440" i="1"/>
  <c r="AC440" i="1"/>
  <c r="AB440" i="1" s="1"/>
  <c r="Z441" i="1"/>
  <c r="AC441" i="1"/>
  <c r="AB441" i="1" s="1"/>
  <c r="A442" i="1"/>
  <c r="Z442" i="1"/>
  <c r="AC442" i="1"/>
  <c r="AB442" i="1" s="1"/>
  <c r="A443" i="1"/>
  <c r="Z443" i="1"/>
  <c r="AC443" i="1"/>
  <c r="AB443" i="1" s="1"/>
  <c r="A444" i="1"/>
  <c r="Z444" i="1"/>
  <c r="AC444" i="1"/>
  <c r="AB444" i="1" s="1"/>
  <c r="A445" i="1"/>
  <c r="Z445" i="1"/>
  <c r="AC445" i="1"/>
  <c r="AB445" i="1" s="1"/>
  <c r="A446" i="1"/>
  <c r="Z446" i="1"/>
  <c r="AC446" i="1"/>
  <c r="AB446" i="1" s="1"/>
  <c r="A447" i="1"/>
  <c r="Z447" i="1"/>
  <c r="AC447" i="1"/>
  <c r="AB447" i="1" s="1"/>
  <c r="A448" i="1"/>
  <c r="Z448" i="1"/>
  <c r="AC448" i="1"/>
  <c r="AB448" i="1" s="1"/>
  <c r="A449" i="1"/>
  <c r="Z449" i="1"/>
  <c r="AC449" i="1"/>
  <c r="AB449" i="1" s="1"/>
  <c r="AL449" i="1"/>
  <c r="A450" i="1"/>
  <c r="Z450" i="1"/>
  <c r="AI450" i="1" s="1"/>
  <c r="AC450" i="1"/>
  <c r="AB450" i="1" s="1"/>
  <c r="A451" i="1"/>
  <c r="Z451" i="1"/>
  <c r="AC451" i="1"/>
  <c r="AB451" i="1" s="1"/>
  <c r="AO451" i="1"/>
  <c r="A452" i="1"/>
  <c r="Z452" i="1"/>
  <c r="AC452" i="1"/>
  <c r="AB452" i="1" s="1"/>
  <c r="AO452" i="1"/>
  <c r="A453" i="1"/>
  <c r="AC453" i="1"/>
  <c r="A454" i="1"/>
  <c r="Z454" i="1"/>
  <c r="AC454" i="1"/>
  <c r="AB454" i="1" s="1"/>
  <c r="AL454" i="1"/>
  <c r="A455" i="1"/>
  <c r="Z455" i="1"/>
  <c r="AC455" i="1"/>
  <c r="AB455" i="1" s="1"/>
  <c r="AL455" i="1"/>
  <c r="A456" i="1"/>
  <c r="Z456" i="1"/>
  <c r="AC456" i="1"/>
  <c r="AL456" i="1"/>
  <c r="A457" i="1"/>
  <c r="Z457" i="1"/>
  <c r="AI457" i="1" s="1"/>
  <c r="AC457" i="1"/>
  <c r="AB457" i="1" s="1"/>
  <c r="AL457" i="1"/>
  <c r="A458" i="1"/>
  <c r="Z458" i="1"/>
  <c r="AC458" i="1"/>
  <c r="AB458" i="1" s="1"/>
  <c r="AL458" i="1"/>
  <c r="A459" i="1"/>
  <c r="Z459" i="1"/>
  <c r="AC459" i="1"/>
  <c r="AB459" i="1" s="1"/>
  <c r="AL459" i="1"/>
  <c r="A460" i="1"/>
  <c r="Z460" i="1"/>
  <c r="AC460" i="1"/>
  <c r="AB460" i="1" s="1"/>
  <c r="AL460" i="1"/>
  <c r="A461" i="1"/>
  <c r="Z461" i="1"/>
  <c r="AC461" i="1"/>
  <c r="AB461" i="1" s="1"/>
  <c r="AL461" i="1"/>
  <c r="A462" i="1"/>
  <c r="Z462" i="1"/>
  <c r="AC462" i="1"/>
  <c r="AB462" i="1" s="1"/>
  <c r="AL462" i="1"/>
  <c r="A463" i="1"/>
  <c r="Z463" i="1"/>
  <c r="AC463" i="1"/>
  <c r="AB463" i="1" s="1"/>
  <c r="AF463" i="1"/>
  <c r="AL463" i="1"/>
  <c r="A464" i="1"/>
  <c r="Z464" i="1"/>
  <c r="AI464" i="1" s="1"/>
  <c r="AC464" i="1"/>
  <c r="AF464" i="1"/>
  <c r="AL464" i="1"/>
  <c r="A465" i="1"/>
  <c r="Z465" i="1"/>
  <c r="AI465" i="1" s="1"/>
  <c r="AC465" i="1"/>
  <c r="AL465" i="1"/>
  <c r="A466" i="1"/>
  <c r="Z466" i="1"/>
  <c r="AI466" i="1" s="1"/>
  <c r="AC466" i="1"/>
  <c r="AL466" i="1"/>
  <c r="A467" i="1"/>
  <c r="A468" i="1"/>
  <c r="AH468" i="1"/>
  <c r="AN468" i="1"/>
  <c r="AO468" i="1"/>
  <c r="A469" i="1"/>
  <c r="A470" i="1"/>
  <c r="Z470" i="1"/>
  <c r="AC470" i="1"/>
  <c r="AB470" i="1" s="1"/>
  <c r="AL470" i="1"/>
  <c r="A471" i="1"/>
  <c r="Z471" i="1"/>
  <c r="AC471" i="1"/>
  <c r="AB471" i="1" s="1"/>
  <c r="AL471" i="1"/>
  <c r="A472" i="1"/>
  <c r="Z472" i="1"/>
  <c r="AC472" i="1"/>
  <c r="AB472" i="1" s="1"/>
  <c r="AL472" i="1"/>
  <c r="A473" i="1"/>
  <c r="Z473" i="1"/>
  <c r="AC473" i="1"/>
  <c r="AB473" i="1" s="1"/>
  <c r="AL473" i="1"/>
  <c r="AO473" i="1" s="1"/>
  <c r="A474" i="1"/>
  <c r="Z474" i="1"/>
  <c r="AC474" i="1"/>
  <c r="AB474" i="1" s="1"/>
  <c r="AL474" i="1"/>
  <c r="A475" i="1"/>
  <c r="Z475" i="1"/>
  <c r="AC475" i="1"/>
  <c r="AB475" i="1" s="1"/>
  <c r="AL475" i="1"/>
  <c r="A476" i="1"/>
  <c r="Z476" i="1"/>
  <c r="AC476" i="1"/>
  <c r="AB476" i="1" s="1"/>
  <c r="AL476" i="1"/>
  <c r="A477" i="1"/>
  <c r="Z477" i="1"/>
  <c r="AC477" i="1"/>
  <c r="AB477" i="1" s="1"/>
  <c r="AL477" i="1"/>
  <c r="AO477" i="1" s="1"/>
  <c r="A478" i="1"/>
  <c r="Z478" i="1"/>
  <c r="AC478" i="1"/>
  <c r="AB478" i="1" s="1"/>
  <c r="AL478" i="1"/>
  <c r="A479" i="1"/>
  <c r="Z479" i="1"/>
  <c r="AC479" i="1"/>
  <c r="AB479" i="1" s="1"/>
  <c r="AL479" i="1"/>
  <c r="AO479" i="1" s="1"/>
  <c r="A480" i="1"/>
  <c r="Z480" i="1"/>
  <c r="AC480" i="1"/>
  <c r="AB480" i="1" s="1"/>
  <c r="AL480" i="1"/>
  <c r="A481" i="1"/>
  <c r="Z481" i="1"/>
  <c r="AC481" i="1"/>
  <c r="AB481" i="1" s="1"/>
  <c r="AL481" i="1"/>
  <c r="A482" i="1"/>
  <c r="A483" i="1"/>
  <c r="AN483" i="1"/>
  <c r="AO483" i="1"/>
  <c r="A484" i="1"/>
  <c r="A485" i="1"/>
  <c r="A486" i="1"/>
  <c r="A487" i="1"/>
  <c r="A488" i="1"/>
  <c r="A489" i="1"/>
  <c r="A490" i="1"/>
  <c r="A491" i="1"/>
  <c r="A492" i="1"/>
  <c r="Z492" i="1"/>
  <c r="AC492" i="1"/>
  <c r="AB492" i="1" s="1"/>
  <c r="AL492" i="1"/>
  <c r="A493" i="1"/>
  <c r="Z493" i="1"/>
  <c r="AI493" i="1" s="1"/>
  <c r="AC493" i="1"/>
  <c r="AB493" i="1" s="1"/>
  <c r="AL493" i="1"/>
  <c r="AO493" i="1" s="1"/>
  <c r="A494" i="1"/>
  <c r="Z494" i="1"/>
  <c r="AI494" i="1" s="1"/>
  <c r="AC494" i="1"/>
  <c r="AB494" i="1" s="1"/>
  <c r="AL494" i="1"/>
  <c r="AO494" i="1" s="1"/>
  <c r="A495" i="1"/>
  <c r="Z495" i="1"/>
  <c r="AI495" i="1" s="1"/>
  <c r="AC495" i="1"/>
  <c r="AB495" i="1" s="1"/>
  <c r="AL495" i="1"/>
  <c r="AO495" i="1" s="1"/>
  <c r="A496" i="1"/>
  <c r="Z496" i="1"/>
  <c r="AC496" i="1"/>
  <c r="AB496" i="1" s="1"/>
  <c r="AL496" i="1"/>
  <c r="AO496" i="1" s="1"/>
  <c r="A497" i="1"/>
  <c r="Z497" i="1"/>
  <c r="AI497" i="1" s="1"/>
  <c r="AC497" i="1"/>
  <c r="AB497" i="1" s="1"/>
  <c r="AL497" i="1"/>
  <c r="A498" i="1"/>
  <c r="Z498" i="1"/>
  <c r="AC498" i="1"/>
  <c r="AB498" i="1" s="1"/>
  <c r="AL498" i="1"/>
  <c r="AO498" i="1" s="1"/>
  <c r="A500" i="1"/>
  <c r="B19" i="1"/>
  <c r="A19" i="1" s="1"/>
  <c r="F19" i="1"/>
  <c r="I19" i="1"/>
  <c r="L19" i="1"/>
  <c r="Q19" i="1"/>
  <c r="R19" i="1"/>
  <c r="N19" i="1" l="1"/>
  <c r="Q180" i="1"/>
  <c r="F177" i="1"/>
  <c r="I174" i="1"/>
  <c r="I183" i="1"/>
  <c r="E101" i="1"/>
  <c r="P267" i="1"/>
  <c r="R302" i="1"/>
  <c r="I246" i="1"/>
  <c r="Q183" i="1"/>
  <c r="I106" i="1"/>
  <c r="Q190" i="1"/>
  <c r="P308" i="1"/>
  <c r="Q243" i="1"/>
  <c r="I190" i="1"/>
  <c r="F180" i="1"/>
  <c r="R104" i="1"/>
  <c r="F190" i="1"/>
  <c r="I180" i="1"/>
  <c r="F183" i="1"/>
  <c r="Q106" i="1"/>
  <c r="O114" i="1" s="1"/>
  <c r="P101" i="1"/>
  <c r="E301" i="1"/>
  <c r="E296" i="1"/>
  <c r="F249" i="1"/>
  <c r="Q251" i="1"/>
  <c r="I136" i="1"/>
  <c r="H136" i="1" s="1"/>
  <c r="F251" i="1"/>
  <c r="AI452" i="1"/>
  <c r="S19" i="1"/>
  <c r="P298" i="1"/>
  <c r="Q246" i="1"/>
  <c r="P105" i="1"/>
  <c r="I396" i="1"/>
  <c r="H396" i="1" s="1"/>
  <c r="Z467" i="1"/>
  <c r="E299" i="1"/>
  <c r="I305" i="1"/>
  <c r="I310" i="1" s="1"/>
  <c r="I315" i="1" s="1"/>
  <c r="I177" i="1"/>
  <c r="P251" i="1"/>
  <c r="Q177" i="1"/>
  <c r="Q211" i="1"/>
  <c r="P211" i="1" s="1"/>
  <c r="P361" i="1"/>
  <c r="P296" i="1"/>
  <c r="E308" i="1"/>
  <c r="F123" i="1"/>
  <c r="F106" i="1"/>
  <c r="D113" i="1" s="1"/>
  <c r="Q230" i="1"/>
  <c r="P230" i="1" s="1"/>
  <c r="AL482" i="1"/>
  <c r="AC434" i="1"/>
  <c r="Z420" i="1"/>
  <c r="I350" i="1"/>
  <c r="H350" i="1" s="1"/>
  <c r="F136" i="1"/>
  <c r="E136" i="1" s="1"/>
  <c r="E300" i="1"/>
  <c r="S249" i="1"/>
  <c r="E304" i="1"/>
  <c r="Z482" i="1"/>
  <c r="S366" i="1"/>
  <c r="Q267" i="1"/>
  <c r="I251" i="1"/>
  <c r="E251" i="1"/>
  <c r="I186" i="1"/>
  <c r="I195" i="1" s="1"/>
  <c r="P186" i="1"/>
  <c r="P195" i="1" s="1"/>
  <c r="I154" i="1"/>
  <c r="H154" i="1" s="1"/>
  <c r="Q305" i="1"/>
  <c r="Q310" i="1" s="1"/>
  <c r="Q249" i="1"/>
  <c r="P297" i="1"/>
  <c r="H251" i="1"/>
  <c r="F211" i="1"/>
  <c r="E211" i="1" s="1"/>
  <c r="H186" i="1"/>
  <c r="I230" i="1"/>
  <c r="H230" i="1" s="1"/>
  <c r="AC467" i="1"/>
  <c r="E361" i="1"/>
  <c r="Q378" i="1"/>
  <c r="P378" i="1" s="1"/>
  <c r="P299" i="1"/>
  <c r="I249" i="1"/>
  <c r="F186" i="1"/>
  <c r="F195" i="1" s="1"/>
  <c r="F164" i="1"/>
  <c r="P300" i="1"/>
  <c r="G305" i="1"/>
  <c r="G310" i="1" s="1"/>
  <c r="E309" i="1"/>
  <c r="Q164" i="1"/>
  <c r="F350" i="1"/>
  <c r="E350" i="1" s="1"/>
  <c r="I331" i="1"/>
  <c r="H331" i="1" s="1"/>
  <c r="F331" i="1"/>
  <c r="E331" i="1" s="1"/>
  <c r="F243" i="1"/>
  <c r="E105" i="1"/>
  <c r="AH464" i="1"/>
  <c r="AC420" i="1"/>
  <c r="Q396" i="1"/>
  <c r="P396" i="1" s="1"/>
  <c r="Q186" i="1"/>
  <c r="Q174" i="1"/>
  <c r="E175" i="1"/>
  <c r="E186" i="1"/>
  <c r="E195" i="1" s="1"/>
  <c r="E298" i="1"/>
  <c r="F154" i="1"/>
  <c r="E154" i="1" s="1"/>
  <c r="AI498" i="1"/>
  <c r="AI441" i="1"/>
  <c r="AI417" i="1"/>
  <c r="P309" i="1"/>
  <c r="AI419" i="1"/>
  <c r="I286" i="1"/>
  <c r="H286" i="1" s="1"/>
  <c r="AB456" i="1"/>
  <c r="Z453" i="1"/>
  <c r="F230" i="1"/>
  <c r="AB422" i="1"/>
  <c r="H361" i="1"/>
  <c r="AC482" i="1"/>
  <c r="AI451" i="1"/>
  <c r="Z434" i="1"/>
  <c r="I378" i="1"/>
  <c r="R303" i="1"/>
  <c r="I164" i="1"/>
  <c r="I123" i="1"/>
  <c r="G114" i="1"/>
  <c r="AO457" i="1"/>
  <c r="F305" i="1"/>
  <c r="F310" i="1" s="1"/>
  <c r="F315" i="1" s="1"/>
  <c r="AI418" i="1"/>
  <c r="F378" i="1"/>
  <c r="P301" i="1"/>
  <c r="I267" i="1"/>
  <c r="F396" i="1"/>
  <c r="E396" i="1" s="1"/>
  <c r="Q286" i="1"/>
  <c r="P286" i="1" s="1"/>
  <c r="P175" i="1"/>
  <c r="AL467" i="1"/>
  <c r="Q350" i="1"/>
  <c r="P350" i="1" s="1"/>
  <c r="E297" i="1"/>
  <c r="I211" i="1"/>
  <c r="K105" i="1"/>
  <c r="R105" i="1" s="1"/>
  <c r="Q154" i="1"/>
  <c r="P154" i="1" s="1"/>
  <c r="Q136" i="1"/>
  <c r="P136" i="1" s="1"/>
  <c r="Q123" i="1"/>
  <c r="R361" i="1"/>
  <c r="O363" i="1"/>
  <c r="O305" i="1"/>
  <c r="H101" i="1"/>
  <c r="Q331" i="1"/>
  <c r="D305" i="1"/>
  <c r="F286" i="1"/>
  <c r="E286" i="1" s="1"/>
  <c r="F267" i="1"/>
  <c r="F174" i="1"/>
  <c r="F246" i="1"/>
  <c r="I243" i="1"/>
  <c r="R304" i="1"/>
  <c r="R103" i="1"/>
  <c r="Q252" i="1" l="1"/>
  <c r="Q232" i="1"/>
  <c r="P232" i="1" s="1"/>
  <c r="F252" i="1"/>
  <c r="F156" i="1"/>
  <c r="E156" i="1" s="1"/>
  <c r="F196" i="1"/>
  <c r="F232" i="1"/>
  <c r="F234" i="1" s="1"/>
  <c r="E123" i="1"/>
  <c r="I352" i="1"/>
  <c r="H352" i="1" s="1"/>
  <c r="D114" i="1"/>
  <c r="I187" i="1"/>
  <c r="I252" i="1"/>
  <c r="F352" i="1"/>
  <c r="E352" i="1" s="1"/>
  <c r="H195" i="1"/>
  <c r="I196" i="1" s="1"/>
  <c r="F187" i="1"/>
  <c r="H305" i="1"/>
  <c r="AC469" i="1"/>
  <c r="O310" i="1"/>
  <c r="P305" i="1"/>
  <c r="I398" i="1"/>
  <c r="H378" i="1"/>
  <c r="Q315" i="1"/>
  <c r="H211" i="1"/>
  <c r="I232" i="1"/>
  <c r="H232" i="1" s="1"/>
  <c r="Q398" i="1"/>
  <c r="AA420" i="1"/>
  <c r="H267" i="1"/>
  <c r="I288" i="1"/>
  <c r="E230" i="1"/>
  <c r="Z469" i="1"/>
  <c r="P363" i="1"/>
  <c r="R363" i="1"/>
  <c r="E267" i="1"/>
  <c r="F288" i="1"/>
  <c r="D310" i="1"/>
  <c r="E305" i="1"/>
  <c r="F398" i="1"/>
  <c r="E378" i="1"/>
  <c r="I156" i="1"/>
  <c r="H123" i="1"/>
  <c r="Q288" i="1"/>
  <c r="P331" i="1"/>
  <c r="Q352" i="1"/>
  <c r="P352" i="1" s="1"/>
  <c r="Q156" i="1"/>
  <c r="P123" i="1"/>
  <c r="H310" i="1"/>
  <c r="G315" i="1"/>
  <c r="H315" i="1" s="1"/>
  <c r="Q187" i="1"/>
  <c r="Q195" i="1"/>
  <c r="I354" i="1" l="1"/>
  <c r="E232" i="1"/>
  <c r="F354" i="1"/>
  <c r="I234" i="1"/>
  <c r="AA482" i="1"/>
  <c r="E288" i="1"/>
  <c r="F290" i="1"/>
  <c r="Q354" i="1"/>
  <c r="P288" i="1"/>
  <c r="Q290" i="1"/>
  <c r="P398" i="1"/>
  <c r="Q400" i="1"/>
  <c r="P156" i="1"/>
  <c r="Q234" i="1"/>
  <c r="Q196" i="1"/>
  <c r="H288" i="1"/>
  <c r="I290" i="1"/>
  <c r="H156" i="1"/>
  <c r="I166" i="1"/>
  <c r="P310" i="1"/>
  <c r="O315" i="1"/>
  <c r="AA469" i="1"/>
  <c r="H398" i="1"/>
  <c r="I400" i="1"/>
  <c r="E310" i="1"/>
  <c r="D315" i="1"/>
  <c r="E398" i="1"/>
  <c r="F400" i="1"/>
  <c r="AA453" i="1"/>
  <c r="AC484" i="1"/>
  <c r="AA467" i="1"/>
  <c r="AA434" i="1"/>
  <c r="AB484" i="1" l="1"/>
  <c r="AC490" i="1"/>
  <c r="E315" i="1"/>
  <c r="P315" i="1"/>
  <c r="AB490" i="1" l="1"/>
  <c r="S1" i="1" l="1"/>
  <c r="S357" i="1" l="1"/>
  <c r="S169" i="1"/>
  <c r="S237" i="1"/>
  <c r="AO486" i="1"/>
  <c r="S292" i="1"/>
  <c r="AO403" i="1"/>
  <c r="S89" i="1"/>
  <c r="D96" i="1" l="1"/>
  <c r="F96" i="1"/>
  <c r="G96" i="1"/>
  <c r="H96" i="1" s="1"/>
  <c r="I96" i="1"/>
  <c r="A96" i="1"/>
  <c r="E96" i="1" l="1"/>
  <c r="O96" i="1" l="1"/>
  <c r="Q96" i="1"/>
  <c r="P96" i="1" l="1"/>
  <c r="Q11" i="2" l="1"/>
  <c r="P11" i="2"/>
  <c r="O11" i="2"/>
  <c r="N11" i="2"/>
  <c r="K11" i="2"/>
  <c r="J11" i="2"/>
  <c r="I11" i="2"/>
  <c r="H11" i="2"/>
  <c r="G11" i="2"/>
  <c r="F11" i="2"/>
  <c r="E11" i="2"/>
  <c r="D11" i="2"/>
  <c r="C11" i="2"/>
  <c r="B11" i="2"/>
  <c r="K12" i="2" l="1"/>
  <c r="L12" i="2" l="1"/>
  <c r="N12" i="2"/>
  <c r="O12" i="2"/>
  <c r="J12" i="2"/>
  <c r="C12" i="2" l="1"/>
  <c r="P12" i="2"/>
  <c r="F12" i="2"/>
  <c r="B12" i="2"/>
  <c r="D12" i="2"/>
  <c r="G12" i="2" l="1"/>
  <c r="H12" i="2"/>
  <c r="M12" i="2"/>
  <c r="Q12" i="2" l="1"/>
  <c r="E12" i="2" l="1"/>
  <c r="I12" i="2"/>
  <c r="F93" i="1" l="1"/>
  <c r="Q95" i="1" l="1"/>
  <c r="O95" i="1"/>
  <c r="Q94" i="1"/>
  <c r="O94" i="1"/>
  <c r="I95" i="1"/>
  <c r="G95" i="1"/>
  <c r="I94" i="1"/>
  <c r="G94" i="1"/>
  <c r="F95" i="1"/>
  <c r="F94" i="1"/>
  <c r="D95" i="1"/>
  <c r="D94" i="1"/>
  <c r="Q93" i="1"/>
  <c r="I93" i="1"/>
  <c r="Q82" i="1"/>
  <c r="Q81" i="1"/>
  <c r="Q80" i="1"/>
  <c r="Q79" i="1"/>
  <c r="Q78" i="1"/>
  <c r="Q77" i="1"/>
  <c r="Q76" i="1"/>
  <c r="Q75" i="1"/>
  <c r="I82" i="1"/>
  <c r="I81" i="1"/>
  <c r="I80" i="1"/>
  <c r="I79" i="1"/>
  <c r="I78" i="1"/>
  <c r="I77" i="1"/>
  <c r="I76" i="1"/>
  <c r="I75" i="1"/>
  <c r="F82" i="1"/>
  <c r="F81" i="1"/>
  <c r="F80" i="1"/>
  <c r="F79" i="1"/>
  <c r="F78" i="1"/>
  <c r="F77" i="1"/>
  <c r="F76" i="1"/>
  <c r="F75" i="1"/>
  <c r="I97" i="1" l="1"/>
  <c r="G97" i="1"/>
  <c r="D97" i="1"/>
  <c r="F97" i="1"/>
  <c r="F109" i="1" s="1"/>
  <c r="F166" i="1" s="1"/>
  <c r="Q97" i="1"/>
  <c r="Q109" i="1" s="1"/>
  <c r="Q166" i="1" s="1"/>
  <c r="O97" i="1"/>
  <c r="O109" i="1" s="1"/>
  <c r="H94" i="1"/>
  <c r="P94" i="1"/>
  <c r="H95" i="1"/>
  <c r="P95" i="1"/>
  <c r="Q83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L69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Q53" i="1"/>
  <c r="Q52" i="1"/>
  <c r="Q51" i="1"/>
  <c r="Q50" i="1"/>
  <c r="Q49" i="1"/>
  <c r="Q48" i="1"/>
  <c r="Q47" i="1"/>
  <c r="Q46" i="1"/>
  <c r="Q45" i="1"/>
  <c r="Q44" i="1"/>
  <c r="Q43" i="1"/>
  <c r="Q42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Q40" i="1"/>
  <c r="Q39" i="1"/>
  <c r="Q38" i="1"/>
  <c r="Q37" i="1"/>
  <c r="Q36" i="1"/>
  <c r="Q35" i="1"/>
  <c r="Q34" i="1"/>
  <c r="Q33" i="1"/>
  <c r="Q32" i="1"/>
  <c r="Q31" i="1"/>
  <c r="I40" i="1"/>
  <c r="I39" i="1"/>
  <c r="I38" i="1"/>
  <c r="I37" i="1"/>
  <c r="I36" i="1"/>
  <c r="I35" i="1"/>
  <c r="I34" i="1"/>
  <c r="I33" i="1"/>
  <c r="I32" i="1"/>
  <c r="I31" i="1"/>
  <c r="F40" i="1"/>
  <c r="F39" i="1"/>
  <c r="F38" i="1"/>
  <c r="F37" i="1"/>
  <c r="F36" i="1"/>
  <c r="F35" i="1"/>
  <c r="F34" i="1"/>
  <c r="F33" i="1"/>
  <c r="F32" i="1"/>
  <c r="F31" i="1"/>
  <c r="Q23" i="1"/>
  <c r="Q22" i="1"/>
  <c r="Q21" i="1"/>
  <c r="I23" i="1"/>
  <c r="I22" i="1"/>
  <c r="I21" i="1"/>
  <c r="F23" i="1"/>
  <c r="F22" i="1"/>
  <c r="F21" i="1"/>
  <c r="Q17" i="1"/>
  <c r="O17" i="1"/>
  <c r="I17" i="1"/>
  <c r="G17" i="1"/>
  <c r="F17" i="1"/>
  <c r="D17" i="1"/>
  <c r="Q15" i="1"/>
  <c r="O15" i="1"/>
  <c r="I15" i="1"/>
  <c r="G15" i="1"/>
  <c r="F15" i="1"/>
  <c r="D15" i="1"/>
  <c r="Q12" i="1"/>
  <c r="Q11" i="1"/>
  <c r="Q10" i="1"/>
  <c r="Q9" i="1"/>
  <c r="Q8" i="1"/>
  <c r="Q7" i="1"/>
  <c r="Q6" i="1"/>
  <c r="O12" i="1"/>
  <c r="O11" i="1"/>
  <c r="O10" i="1"/>
  <c r="O9" i="1"/>
  <c r="O8" i="1"/>
  <c r="O7" i="1"/>
  <c r="O6" i="1"/>
  <c r="I12" i="1"/>
  <c r="I11" i="1"/>
  <c r="I10" i="1"/>
  <c r="I9" i="1"/>
  <c r="I8" i="1"/>
  <c r="I7" i="1"/>
  <c r="I6" i="1"/>
  <c r="G12" i="1"/>
  <c r="G11" i="1"/>
  <c r="G10" i="1"/>
  <c r="G9" i="1"/>
  <c r="G8" i="1"/>
  <c r="G7" i="1"/>
  <c r="G6" i="1"/>
  <c r="F12" i="1"/>
  <c r="F11" i="1"/>
  <c r="F10" i="1"/>
  <c r="F9" i="1"/>
  <c r="F8" i="1"/>
  <c r="F7" i="1"/>
  <c r="F6" i="1"/>
  <c r="D12" i="1"/>
  <c r="D11" i="1"/>
  <c r="D10" i="1"/>
  <c r="D9" i="1"/>
  <c r="D8" i="1"/>
  <c r="D7" i="1"/>
  <c r="D6" i="1"/>
  <c r="Q5" i="1"/>
  <c r="AL407" i="1" s="1"/>
  <c r="I5" i="1"/>
  <c r="F5" i="1"/>
  <c r="Z407" i="1" s="1"/>
  <c r="P109" i="1" l="1"/>
  <c r="D109" i="1"/>
  <c r="E109" i="1" s="1"/>
  <c r="E117" i="1"/>
  <c r="E116" i="1"/>
  <c r="E114" i="1"/>
  <c r="E120" i="1"/>
  <c r="E113" i="1"/>
  <c r="E119" i="1"/>
  <c r="E115" i="1"/>
  <c r="E122" i="1"/>
  <c r="E118" i="1"/>
  <c r="E121" i="1"/>
  <c r="AJ467" i="1"/>
  <c r="H97" i="1"/>
  <c r="H121" i="1"/>
  <c r="H116" i="1"/>
  <c r="H113" i="1"/>
  <c r="H120" i="1"/>
  <c r="H118" i="1"/>
  <c r="H115" i="1"/>
  <c r="H119" i="1"/>
  <c r="H114" i="1"/>
  <c r="H122" i="1"/>
  <c r="H117" i="1"/>
  <c r="N69" i="1"/>
  <c r="S69" i="1"/>
  <c r="O13" i="2" l="1"/>
  <c r="O10" i="2" l="1"/>
  <c r="N13" i="2"/>
  <c r="J13" i="2"/>
  <c r="J10" i="2" l="1"/>
  <c r="N10" i="2"/>
  <c r="C13" i="2"/>
  <c r="F13" i="2"/>
  <c r="L13" i="2"/>
  <c r="G13" i="2"/>
  <c r="B13" i="2"/>
  <c r="B10" i="2" s="1"/>
  <c r="F10" i="2" l="1"/>
  <c r="G10" i="2"/>
  <c r="P13" i="2"/>
  <c r="P10" i="2" l="1"/>
  <c r="D13" i="2"/>
  <c r="H13" i="2"/>
  <c r="Q13" i="2"/>
  <c r="H10" i="2" l="1"/>
  <c r="Q10" i="2"/>
  <c r="I13" i="2"/>
  <c r="E13" i="2"/>
  <c r="H98" i="1"/>
  <c r="A98" i="1"/>
  <c r="A97" i="1"/>
  <c r="A95" i="1"/>
  <c r="A94" i="1"/>
  <c r="A93" i="1"/>
  <c r="B85" i="1"/>
  <c r="A85" i="1" s="1"/>
  <c r="B84" i="1"/>
  <c r="A84" i="1" s="1"/>
  <c r="B83" i="1"/>
  <c r="A83" i="1" s="1"/>
  <c r="B82" i="1"/>
  <c r="B81" i="1"/>
  <c r="B80" i="1"/>
  <c r="B79" i="1"/>
  <c r="B78" i="1"/>
  <c r="B77" i="1"/>
  <c r="B76" i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I72" i="1" s="1"/>
  <c r="Q72" i="1"/>
  <c r="B55" i="1"/>
  <c r="A55" i="1" s="1"/>
  <c r="B54" i="1"/>
  <c r="A54" i="1" s="1"/>
  <c r="B53" i="1"/>
  <c r="A53" i="1" s="1"/>
  <c r="B52" i="1"/>
  <c r="B51" i="1"/>
  <c r="A51" i="1" s="1"/>
  <c r="B50" i="1"/>
  <c r="A50" i="1" s="1"/>
  <c r="B49" i="1"/>
  <c r="A49" i="1" s="1"/>
  <c r="B48" i="1"/>
  <c r="A48" i="1" s="1"/>
  <c r="B47" i="1"/>
  <c r="A47" i="1" s="1"/>
  <c r="B46" i="1"/>
  <c r="B45" i="1"/>
  <c r="A45" i="1" s="1"/>
  <c r="B44" i="1"/>
  <c r="B43" i="1"/>
  <c r="A43" i="1" s="1"/>
  <c r="B42" i="1"/>
  <c r="B41" i="1"/>
  <c r="A41" i="1" s="1"/>
  <c r="B40" i="1"/>
  <c r="A40" i="1" s="1"/>
  <c r="B39" i="1"/>
  <c r="B38" i="1"/>
  <c r="A38" i="1" s="1"/>
  <c r="B37" i="1"/>
  <c r="A37" i="1" s="1"/>
  <c r="B36" i="1"/>
  <c r="A36" i="1" s="1"/>
  <c r="B35" i="1"/>
  <c r="B34" i="1"/>
  <c r="A34" i="1" s="1"/>
  <c r="B33" i="1"/>
  <c r="B32" i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B22" i="1"/>
  <c r="A22" i="1" s="1"/>
  <c r="E22" i="1" s="1"/>
  <c r="H21" i="1"/>
  <c r="B21" i="1"/>
  <c r="B20" i="1"/>
  <c r="A20" i="1" s="1"/>
  <c r="B18" i="1"/>
  <c r="A18" i="1" s="1"/>
  <c r="P17" i="1"/>
  <c r="E17" i="1"/>
  <c r="B17" i="1"/>
  <c r="A17" i="1" s="1"/>
  <c r="B16" i="1"/>
  <c r="A16" i="1" s="1"/>
  <c r="B15" i="1"/>
  <c r="P15" i="1" s="1"/>
  <c r="B14" i="1"/>
  <c r="A14" i="1" s="1"/>
  <c r="O13" i="1"/>
  <c r="B13" i="1"/>
  <c r="A13" i="1" s="1"/>
  <c r="P12" i="1"/>
  <c r="B12" i="1"/>
  <c r="A12" i="1" s="1"/>
  <c r="P11" i="1"/>
  <c r="B11" i="1"/>
  <c r="P10" i="1"/>
  <c r="B10" i="1"/>
  <c r="A10" i="1" s="1"/>
  <c r="P9" i="1"/>
  <c r="B9" i="1"/>
  <c r="P8" i="1"/>
  <c r="B8" i="1"/>
  <c r="A8" i="1" s="1"/>
  <c r="B7" i="1"/>
  <c r="P7" i="1" s="1"/>
  <c r="B6" i="1"/>
  <c r="A6" i="1" s="1"/>
  <c r="B5" i="1"/>
  <c r="A5" i="1" s="1"/>
  <c r="AK418" i="1" l="1"/>
  <c r="AK433" i="1"/>
  <c r="AK419" i="1"/>
  <c r="AK417" i="1"/>
  <c r="AK498" i="1"/>
  <c r="A7" i="1"/>
  <c r="I10" i="2"/>
  <c r="A21" i="1"/>
  <c r="A23" i="1"/>
  <c r="O24" i="1"/>
  <c r="A33" i="1"/>
  <c r="A15" i="1"/>
  <c r="P6" i="1"/>
  <c r="H6" i="1"/>
  <c r="H22" i="1"/>
  <c r="A32" i="1"/>
  <c r="A44" i="1"/>
  <c r="A52" i="1"/>
  <c r="A76" i="1"/>
  <c r="E95" i="1"/>
  <c r="C89" i="1"/>
  <c r="A81" i="1"/>
  <c r="P21" i="1"/>
  <c r="A9" i="1"/>
  <c r="H17" i="1"/>
  <c r="E21" i="1"/>
  <c r="I24" i="1"/>
  <c r="E23" i="1"/>
  <c r="A39" i="1"/>
  <c r="P39" i="1"/>
  <c r="Q54" i="1"/>
  <c r="A46" i="1"/>
  <c r="F72" i="1"/>
  <c r="A78" i="1"/>
  <c r="P97" i="1"/>
  <c r="E12" i="1"/>
  <c r="A11" i="1"/>
  <c r="F24" i="1"/>
  <c r="D32" i="1" s="1"/>
  <c r="H23" i="1"/>
  <c r="A35" i="1"/>
  <c r="A80" i="1"/>
  <c r="E94" i="1"/>
  <c r="A77" i="1"/>
  <c r="Q24" i="1"/>
  <c r="O32" i="1" s="1"/>
  <c r="A42" i="1"/>
  <c r="A82" i="1"/>
  <c r="E10" i="1"/>
  <c r="O27" i="1"/>
  <c r="P23" i="1"/>
  <c r="A79" i="1"/>
  <c r="AL450" i="1" l="1"/>
  <c r="AL441" i="1"/>
  <c r="AL431" i="1"/>
  <c r="AL422" i="1"/>
  <c r="AL413" i="1"/>
  <c r="AL416" i="1"/>
  <c r="AL447" i="1"/>
  <c r="AL430" i="1"/>
  <c r="AL446" i="1"/>
  <c r="AL445" i="1"/>
  <c r="AL411" i="1"/>
  <c r="AL415" i="1"/>
  <c r="AL438" i="1"/>
  <c r="AL423" i="1"/>
  <c r="AL412" i="1"/>
  <c r="AL429" i="1"/>
  <c r="AL414" i="1"/>
  <c r="AL436" i="1"/>
  <c r="AL443" i="1"/>
  <c r="AL410" i="1"/>
  <c r="AL437" i="1"/>
  <c r="AL440" i="1"/>
  <c r="AL425" i="1"/>
  <c r="AL444" i="1"/>
  <c r="AL424" i="1"/>
  <c r="AL439" i="1"/>
  <c r="AL442" i="1"/>
  <c r="AL435" i="1"/>
  <c r="AL432" i="1"/>
  <c r="AL448" i="1"/>
  <c r="P38" i="1"/>
  <c r="P40" i="1"/>
  <c r="P32" i="1"/>
  <c r="P35" i="1"/>
  <c r="P33" i="1"/>
  <c r="P36" i="1"/>
  <c r="P34" i="1"/>
  <c r="P31" i="1"/>
  <c r="P37" i="1"/>
  <c r="H12" i="1"/>
  <c r="H15" i="1"/>
  <c r="I13" i="1"/>
  <c r="E11" i="1"/>
  <c r="H7" i="1"/>
  <c r="H8" i="1"/>
  <c r="P22" i="1"/>
  <c r="E7" i="1"/>
  <c r="E15" i="1"/>
  <c r="P24" i="1"/>
  <c r="E6" i="1"/>
  <c r="E9" i="1"/>
  <c r="G13" i="1"/>
  <c r="E8" i="1"/>
  <c r="H10" i="1"/>
  <c r="E97" i="1"/>
  <c r="F41" i="1"/>
  <c r="Q41" i="1"/>
  <c r="Q13" i="1"/>
  <c r="F13" i="1"/>
  <c r="AK411" i="1" l="1"/>
  <c r="AL420" i="1"/>
  <c r="AK410" i="1"/>
  <c r="AK416" i="1"/>
  <c r="AK413" i="1"/>
  <c r="AL453" i="1"/>
  <c r="AJ453" i="1" s="1"/>
  <c r="AL434" i="1"/>
  <c r="AK414" i="1"/>
  <c r="AK412" i="1"/>
  <c r="AK415" i="1"/>
  <c r="AO450" i="1"/>
  <c r="F27" i="1"/>
  <c r="Z408" i="1" s="1"/>
  <c r="D31" i="1"/>
  <c r="O31" i="1"/>
  <c r="N9" i="2"/>
  <c r="N8" i="2" s="1"/>
  <c r="G27" i="1"/>
  <c r="H13" i="1"/>
  <c r="G24" i="1"/>
  <c r="H39" i="1" s="1"/>
  <c r="I54" i="1"/>
  <c r="I27" i="1"/>
  <c r="F54" i="1"/>
  <c r="D13" i="1"/>
  <c r="H11" i="1"/>
  <c r="Q27" i="1"/>
  <c r="AL408" i="1" s="1"/>
  <c r="P13" i="1"/>
  <c r="Q74" i="1"/>
  <c r="H9" i="1"/>
  <c r="I83" i="1"/>
  <c r="F83" i="1"/>
  <c r="I41" i="1"/>
  <c r="E41" i="1" l="1"/>
  <c r="AJ434" i="1"/>
  <c r="AJ420" i="1"/>
  <c r="AL469" i="1"/>
  <c r="AJ408" i="1"/>
  <c r="AL484" i="1"/>
  <c r="Y416" i="1"/>
  <c r="Y412" i="1"/>
  <c r="Y417" i="1"/>
  <c r="Y411" i="1"/>
  <c r="Y413" i="1"/>
  <c r="Y414" i="1"/>
  <c r="Y415" i="1"/>
  <c r="Y410" i="1"/>
  <c r="Y418" i="1"/>
  <c r="Y419" i="1"/>
  <c r="X434" i="1"/>
  <c r="X469" i="1"/>
  <c r="X467" i="1"/>
  <c r="X482" i="1"/>
  <c r="Z484" i="1"/>
  <c r="X420" i="1"/>
  <c r="X453" i="1"/>
  <c r="P41" i="1"/>
  <c r="E54" i="1"/>
  <c r="E72" i="1"/>
  <c r="H35" i="1"/>
  <c r="H32" i="1"/>
  <c r="P74" i="1"/>
  <c r="H54" i="1"/>
  <c r="Q85" i="1"/>
  <c r="P72" i="1"/>
  <c r="P27" i="1"/>
  <c r="P54" i="1"/>
  <c r="I74" i="1"/>
  <c r="I85" i="1" s="1"/>
  <c r="H41" i="1"/>
  <c r="G9" i="2"/>
  <c r="G8" i="2" s="1"/>
  <c r="H72" i="1"/>
  <c r="H33" i="1"/>
  <c r="H40" i="1"/>
  <c r="H24" i="1"/>
  <c r="H37" i="1"/>
  <c r="H38" i="1"/>
  <c r="H34" i="1"/>
  <c r="H31" i="1"/>
  <c r="H36" i="1"/>
  <c r="F74" i="1"/>
  <c r="D27" i="1"/>
  <c r="E13" i="1"/>
  <c r="D24" i="1"/>
  <c r="H27" i="1"/>
  <c r="AJ469" i="1" l="1"/>
  <c r="Z490" i="1"/>
  <c r="Z499" i="1" s="1"/>
  <c r="Y499" i="1" s="1"/>
  <c r="Y484" i="1"/>
  <c r="AK484" i="1"/>
  <c r="AL490" i="1"/>
  <c r="AL499" i="1" s="1"/>
  <c r="J9" i="2"/>
  <c r="J8" i="2" s="1"/>
  <c r="O9" i="2"/>
  <c r="O8" i="2" s="1"/>
  <c r="E27" i="1"/>
  <c r="C10" i="2"/>
  <c r="E74" i="1"/>
  <c r="F85" i="1"/>
  <c r="E40" i="1"/>
  <c r="E24" i="1"/>
  <c r="E34" i="1"/>
  <c r="E36" i="1"/>
  <c r="E38" i="1"/>
  <c r="E37" i="1"/>
  <c r="E31" i="1"/>
  <c r="E33" i="1"/>
  <c r="E35" i="1"/>
  <c r="E32" i="1"/>
  <c r="E39" i="1"/>
  <c r="F9" i="2"/>
  <c r="F8" i="2" s="1"/>
  <c r="H74" i="1"/>
  <c r="AK499" i="1" l="1"/>
  <c r="Y490" i="1"/>
  <c r="Z489" i="1"/>
  <c r="Y489" i="1" s="1"/>
  <c r="AL489" i="1"/>
  <c r="AK489" i="1" s="1"/>
  <c r="AK490" i="1"/>
  <c r="C9" i="2"/>
  <c r="C8" i="2" s="1"/>
  <c r="P9" i="2"/>
  <c r="P8" i="2" s="1"/>
  <c r="B9" i="2"/>
  <c r="H9" i="2" l="1"/>
  <c r="H8" i="2" s="1"/>
  <c r="D9" i="2"/>
  <c r="B8" i="2"/>
  <c r="Q9" i="2" l="1"/>
  <c r="D10" i="2"/>
  <c r="D8" i="2" s="1"/>
  <c r="I9" i="2" l="1"/>
  <c r="I8" i="2" s="1"/>
  <c r="Q8" i="2"/>
  <c r="E9" i="2"/>
  <c r="E10" i="2" l="1"/>
  <c r="E8" i="2" s="1"/>
  <c r="L11" i="2" l="1"/>
  <c r="L10" i="2" l="1"/>
  <c r="M11" i="2" l="1"/>
  <c r="L9" i="2" l="1"/>
  <c r="L8" i="2" s="1"/>
  <c r="R297" i="1" l="1"/>
  <c r="L93" i="1" l="1"/>
  <c r="K192" i="1"/>
  <c r="J245" i="1"/>
  <c r="J248" i="1"/>
  <c r="J242" i="1"/>
  <c r="R242" i="1" s="1"/>
  <c r="L12" i="1" l="1"/>
  <c r="L32" i="1"/>
  <c r="J12" i="1"/>
  <c r="L255" i="1"/>
  <c r="L122" i="1"/>
  <c r="L382" i="1"/>
  <c r="S382" i="1" s="1"/>
  <c r="L369" i="1"/>
  <c r="S369" i="1" s="1"/>
  <c r="L152" i="1"/>
  <c r="L149" i="1"/>
  <c r="L387" i="1"/>
  <c r="S387" i="1" s="1"/>
  <c r="L298" i="1"/>
  <c r="L207" i="1"/>
  <c r="L81" i="1"/>
  <c r="L163" i="1"/>
  <c r="L31" i="1"/>
  <c r="L104" i="1"/>
  <c r="L330" i="1"/>
  <c r="L277" i="1"/>
  <c r="L53" i="1"/>
  <c r="L327" i="1"/>
  <c r="J182" i="1"/>
  <c r="R182" i="1" s="1"/>
  <c r="L339" i="1"/>
  <c r="L395" i="1"/>
  <c r="S395" i="1" s="1"/>
  <c r="AF494" i="1"/>
  <c r="L361" i="1"/>
  <c r="J302" i="1"/>
  <c r="L50" i="1"/>
  <c r="L56" i="1"/>
  <c r="L51" i="1"/>
  <c r="L65" i="1"/>
  <c r="L281" i="1"/>
  <c r="L52" i="1"/>
  <c r="L39" i="1"/>
  <c r="L158" i="1"/>
  <c r="L162" i="1"/>
  <c r="L328" i="1"/>
  <c r="L220" i="1"/>
  <c r="L94" i="1"/>
  <c r="L200" i="1"/>
  <c r="L128" i="1"/>
  <c r="L117" i="1"/>
  <c r="L334" i="1"/>
  <c r="L300" i="1"/>
  <c r="L96" i="1"/>
  <c r="L332" i="1"/>
  <c r="L185" i="1"/>
  <c r="L367" i="1"/>
  <c r="AF455" i="1"/>
  <c r="AF456" i="1"/>
  <c r="J296" i="1"/>
  <c r="J308" i="1"/>
  <c r="L99" i="1"/>
  <c r="L44" i="1"/>
  <c r="L271" i="1"/>
  <c r="L118" i="1"/>
  <c r="AF462" i="1"/>
  <c r="J313" i="1"/>
  <c r="K313" i="1" s="1"/>
  <c r="L15" i="1"/>
  <c r="L392" i="1"/>
  <c r="S392" i="1" s="1"/>
  <c r="L8" i="1"/>
  <c r="L151" i="1"/>
  <c r="L210" i="1"/>
  <c r="J303" i="1"/>
  <c r="K303" i="1" s="1"/>
  <c r="J8" i="1"/>
  <c r="L43" i="1"/>
  <c r="L37" i="1"/>
  <c r="J179" i="1"/>
  <c r="R179" i="1" s="1"/>
  <c r="L349" i="1"/>
  <c r="AF461" i="1"/>
  <c r="L33" i="1"/>
  <c r="L176" i="1"/>
  <c r="L336" i="1"/>
  <c r="J96" i="1"/>
  <c r="L282" i="1"/>
  <c r="L130" i="1"/>
  <c r="J94" i="1"/>
  <c r="L324" i="1"/>
  <c r="L275" i="1"/>
  <c r="L262" i="1"/>
  <c r="L217" i="1"/>
  <c r="L204" i="1"/>
  <c r="J95" i="1"/>
  <c r="L373" i="1"/>
  <c r="S373" i="1" s="1"/>
  <c r="L159" i="1"/>
  <c r="L371" i="1"/>
  <c r="S371" i="1" s="1"/>
  <c r="L245" i="1"/>
  <c r="L77" i="1"/>
  <c r="AF493" i="1"/>
  <c r="AF478" i="1"/>
  <c r="J361" i="1"/>
  <c r="J363" i="1" s="1"/>
  <c r="K363" i="1" s="1"/>
  <c r="J304" i="1"/>
  <c r="K304" i="1" s="1"/>
  <c r="L22" i="1"/>
  <c r="L76" i="1"/>
  <c r="L265" i="1"/>
  <c r="L47" i="1"/>
  <c r="L248" i="1"/>
  <c r="L161" i="1"/>
  <c r="L374" i="1"/>
  <c r="S374" i="1" s="1"/>
  <c r="L285" i="1"/>
  <c r="L296" i="1"/>
  <c r="L199" i="1"/>
  <c r="L103" i="1"/>
  <c r="L348" i="1"/>
  <c r="L341" i="1"/>
  <c r="L272" i="1"/>
  <c r="L258" i="1"/>
  <c r="L209" i="1"/>
  <c r="J101" i="1"/>
  <c r="L385" i="1"/>
  <c r="S385" i="1" s="1"/>
  <c r="L205" i="1"/>
  <c r="L386" i="1"/>
  <c r="S386" i="1" s="1"/>
  <c r="L256" i="1"/>
  <c r="L228" i="1"/>
  <c r="AF458" i="1"/>
  <c r="AF457" i="1"/>
  <c r="K176" i="1"/>
  <c r="M176" i="1" s="1"/>
  <c r="L71" i="1"/>
  <c r="L60" i="1"/>
  <c r="L7" i="1"/>
  <c r="L45" i="1"/>
  <c r="L105" i="1"/>
  <c r="L322" i="1"/>
  <c r="L222" i="1"/>
  <c r="L36" i="1"/>
  <c r="L48" i="1"/>
  <c r="L301" i="1"/>
  <c r="L203" i="1"/>
  <c r="L115" i="1"/>
  <c r="L380" i="1"/>
  <c r="S380" i="1" s="1"/>
  <c r="L345" i="1"/>
  <c r="L299" i="1"/>
  <c r="L297" i="1"/>
  <c r="L214" i="1"/>
  <c r="L141" i="1"/>
  <c r="L375" i="1"/>
  <c r="S375" i="1" s="1"/>
  <c r="L218" i="1"/>
  <c r="L38" i="1"/>
  <c r="L260" i="1"/>
  <c r="L264" i="1"/>
  <c r="AF454" i="1"/>
  <c r="AF460" i="1"/>
  <c r="K173" i="1"/>
  <c r="K245" i="1"/>
  <c r="L343" i="1"/>
  <c r="L173" i="1"/>
  <c r="L157" i="1"/>
  <c r="L335" i="1"/>
  <c r="L138" i="1"/>
  <c r="L160" i="1"/>
  <c r="L46" i="1"/>
  <c r="K179" i="1"/>
  <c r="M179" i="1" s="1"/>
  <c r="L75" i="1"/>
  <c r="L150" i="1"/>
  <c r="L273" i="1"/>
  <c r="L42" i="1"/>
  <c r="L82" i="1"/>
  <c r="L78" i="1"/>
  <c r="L126" i="1"/>
  <c r="J173" i="1"/>
  <c r="R173" i="1" s="1"/>
  <c r="L113" i="1"/>
  <c r="L269" i="1"/>
  <c r="L63" i="1"/>
  <c r="L70" i="1"/>
  <c r="L303" i="1"/>
  <c r="L216" i="1"/>
  <c r="L120" i="1"/>
  <c r="L393" i="1"/>
  <c r="S393" i="1" s="1"/>
  <c r="L388" i="1"/>
  <c r="S388" i="1" s="1"/>
  <c r="L320" i="1"/>
  <c r="L377" i="1"/>
  <c r="S377" i="1" s="1"/>
  <c r="L284" i="1"/>
  <c r="L148" i="1"/>
  <c r="L390" i="1"/>
  <c r="S390" i="1" s="1"/>
  <c r="L221" i="1"/>
  <c r="L114" i="1"/>
  <c r="L276" i="1"/>
  <c r="L346" i="1"/>
  <c r="M13" i="2"/>
  <c r="M10" i="2" s="1"/>
  <c r="AF498" i="1"/>
  <c r="AF495" i="1"/>
  <c r="J309" i="1"/>
  <c r="K182" i="1"/>
  <c r="M182" i="1" s="1"/>
  <c r="L11" i="1"/>
  <c r="L95" i="1"/>
  <c r="L370" i="1"/>
  <c r="S370" i="1" s="1"/>
  <c r="L208" i="1"/>
  <c r="L302" i="1"/>
  <c r="AF492" i="1"/>
  <c r="J6" i="1"/>
  <c r="L206" i="1"/>
  <c r="L212" i="1"/>
  <c r="L279" i="1"/>
  <c r="L144" i="1"/>
  <c r="L55" i="1"/>
  <c r="L127" i="1"/>
  <c r="L59" i="1"/>
  <c r="L64" i="1"/>
  <c r="L21" i="1"/>
  <c r="J17" i="1"/>
  <c r="J7" i="1"/>
  <c r="L145" i="1"/>
  <c r="L153" i="1"/>
  <c r="L142" i="1"/>
  <c r="L67" i="1"/>
  <c r="L119" i="1"/>
  <c r="L309" i="1"/>
  <c r="L223" i="1"/>
  <c r="L139" i="1"/>
  <c r="J11" i="1"/>
  <c r="L116" i="1"/>
  <c r="L329" i="1"/>
  <c r="L381" i="1"/>
  <c r="S381" i="1" s="1"/>
  <c r="L313" i="1"/>
  <c r="J176" i="1"/>
  <c r="R176" i="1" s="1"/>
  <c r="L9" i="1"/>
  <c r="L224" i="1"/>
  <c r="L125" i="1"/>
  <c r="L280" i="1"/>
  <c r="L372" i="1"/>
  <c r="S372" i="1" s="1"/>
  <c r="J298" i="1"/>
  <c r="K242" i="1"/>
  <c r="M242" i="1" s="1"/>
  <c r="L17" i="1"/>
  <c r="L278" i="1"/>
  <c r="L219" i="1"/>
  <c r="L121" i="1"/>
  <c r="L202" i="1"/>
  <c r="J10" i="1"/>
  <c r="L57" i="1"/>
  <c r="L213" i="1"/>
  <c r="L308" i="1"/>
  <c r="AF496" i="1"/>
  <c r="L304" i="1"/>
  <c r="L283" i="1"/>
  <c r="L189" i="1"/>
  <c r="L368" i="1"/>
  <c r="S368" i="1" s="1"/>
  <c r="AF497" i="1"/>
  <c r="J300" i="1"/>
  <c r="L80" i="1"/>
  <c r="L23" i="1"/>
  <c r="J15" i="1"/>
  <c r="L62" i="1"/>
  <c r="L347" i="1"/>
  <c r="L326" i="1"/>
  <c r="L225" i="1"/>
  <c r="L215" i="1"/>
  <c r="L129" i="1"/>
  <c r="L143" i="1"/>
  <c r="L333" i="1"/>
  <c r="L257" i="1"/>
  <c r="L147" i="1"/>
  <c r="L34" i="1"/>
  <c r="L124" i="1"/>
  <c r="L337" i="1"/>
  <c r="L389" i="1"/>
  <c r="S389" i="1" s="1"/>
  <c r="L321" i="1"/>
  <c r="L179" i="1"/>
  <c r="L35" i="1"/>
  <c r="L263" i="1"/>
  <c r="L132" i="1"/>
  <c r="L319" i="1"/>
  <c r="L376" i="1"/>
  <c r="S376" i="1" s="1"/>
  <c r="AF459" i="1"/>
  <c r="AF421" i="1"/>
  <c r="J297" i="1"/>
  <c r="L133" i="1"/>
  <c r="L135" i="1"/>
  <c r="L338" i="1"/>
  <c r="L391" i="1"/>
  <c r="S391" i="1" s="1"/>
  <c r="K248" i="1"/>
  <c r="M248" i="1" s="1"/>
  <c r="L137" i="1"/>
  <c r="L270" i="1"/>
  <c r="L227" i="1"/>
  <c r="J9" i="1"/>
  <c r="L342" i="1"/>
  <c r="L68" i="1"/>
  <c r="L201" i="1"/>
  <c r="L274" i="1"/>
  <c r="L226" i="1"/>
  <c r="L266" i="1"/>
  <c r="L242" i="1"/>
  <c r="L58" i="1"/>
  <c r="J301" i="1"/>
  <c r="L101" i="1"/>
  <c r="L66" i="1"/>
  <c r="L6" i="1"/>
  <c r="L61" i="1"/>
  <c r="L229" i="1"/>
  <c r="L10" i="1"/>
  <c r="L340" i="1"/>
  <c r="L79" i="1"/>
  <c r="L134" i="1"/>
  <c r="L146" i="1"/>
  <c r="L344" i="1"/>
  <c r="L261" i="1"/>
  <c r="L182" i="1"/>
  <c r="L40" i="1"/>
  <c r="L131" i="1"/>
  <c r="L384" i="1"/>
  <c r="S384" i="1" s="1"/>
  <c r="L394" i="1"/>
  <c r="S394" i="1" s="1"/>
  <c r="L325" i="1"/>
  <c r="L259" i="1"/>
  <c r="L49" i="1"/>
  <c r="L268" i="1"/>
  <c r="L140" i="1"/>
  <c r="L323" i="1"/>
  <c r="L383" i="1"/>
  <c r="S383" i="1" s="1"/>
  <c r="AF470" i="1"/>
  <c r="L5" i="1"/>
  <c r="K189" i="1"/>
  <c r="M189" i="1" s="1"/>
  <c r="J299" i="1"/>
  <c r="AF424" i="1" l="1"/>
  <c r="N52" i="1"/>
  <c r="S52" i="1"/>
  <c r="N259" i="1"/>
  <c r="S259" i="1"/>
  <c r="S344" i="1"/>
  <c r="N344" i="1"/>
  <c r="N340" i="1"/>
  <c r="S340" i="1"/>
  <c r="N119" i="1"/>
  <c r="S119" i="1"/>
  <c r="S48" i="1"/>
  <c r="N48" i="1"/>
  <c r="N330" i="1"/>
  <c r="S330" i="1"/>
  <c r="K297" i="1"/>
  <c r="M297" i="1"/>
  <c r="S125" i="1"/>
  <c r="N125" i="1"/>
  <c r="S127" i="1"/>
  <c r="N127" i="1"/>
  <c r="S70" i="1"/>
  <c r="N70" i="1"/>
  <c r="AF479" i="1"/>
  <c r="N227" i="1"/>
  <c r="S227" i="1"/>
  <c r="AF414" i="1"/>
  <c r="N337" i="1"/>
  <c r="S337" i="1"/>
  <c r="S147" i="1"/>
  <c r="N147" i="1"/>
  <c r="N129" i="1"/>
  <c r="S129" i="1"/>
  <c r="N347" i="1"/>
  <c r="S347" i="1"/>
  <c r="S23" i="1"/>
  <c r="N23" i="1"/>
  <c r="N212" i="1"/>
  <c r="L230" i="1"/>
  <c r="S212" i="1"/>
  <c r="AN492" i="1"/>
  <c r="AO492" i="1" s="1"/>
  <c r="AH492" i="1"/>
  <c r="AI492" i="1" s="1"/>
  <c r="N95" i="1"/>
  <c r="S95" i="1"/>
  <c r="AH495" i="1"/>
  <c r="AN495" i="1"/>
  <c r="N82" i="1"/>
  <c r="S82" i="1"/>
  <c r="S157" i="1"/>
  <c r="N157" i="1"/>
  <c r="L164" i="1"/>
  <c r="N105" i="1"/>
  <c r="S105" i="1"/>
  <c r="N282" i="1"/>
  <c r="S282" i="1"/>
  <c r="M8" i="1"/>
  <c r="R8" i="1"/>
  <c r="K8" i="1"/>
  <c r="N8" i="1"/>
  <c r="S8" i="1"/>
  <c r="S99" i="1"/>
  <c r="N99" i="1"/>
  <c r="S334" i="1"/>
  <c r="N334" i="1"/>
  <c r="N94" i="1"/>
  <c r="L97" i="1"/>
  <c r="S94" i="1"/>
  <c r="N56" i="1"/>
  <c r="S56" i="1"/>
  <c r="S122" i="1"/>
  <c r="N122" i="1"/>
  <c r="AH470" i="1"/>
  <c r="AI470" i="1" s="1"/>
  <c r="AN470" i="1"/>
  <c r="AO470" i="1" s="1"/>
  <c r="N325" i="1"/>
  <c r="S325" i="1"/>
  <c r="N146" i="1"/>
  <c r="S146" i="1"/>
  <c r="N10" i="1"/>
  <c r="S10" i="1"/>
  <c r="AF480" i="1"/>
  <c r="N6" i="1"/>
  <c r="S6" i="1"/>
  <c r="L13" i="1"/>
  <c r="M301" i="1"/>
  <c r="R301" i="1"/>
  <c r="K301" i="1"/>
  <c r="N266" i="1"/>
  <c r="S266" i="1"/>
  <c r="S68" i="1"/>
  <c r="N68" i="1"/>
  <c r="AH496" i="1"/>
  <c r="AI496" i="1" s="1"/>
  <c r="AN496" i="1"/>
  <c r="S219" i="1"/>
  <c r="N219" i="1"/>
  <c r="K298" i="1"/>
  <c r="R298" i="1"/>
  <c r="M298" i="1"/>
  <c r="N139" i="1"/>
  <c r="S139" i="1"/>
  <c r="N67" i="1"/>
  <c r="S67" i="1"/>
  <c r="AF475" i="1"/>
  <c r="M245" i="1"/>
  <c r="K251" i="1"/>
  <c r="L252" i="1" s="1"/>
  <c r="S218" i="1"/>
  <c r="N218" i="1"/>
  <c r="N297" i="1"/>
  <c r="S297" i="1"/>
  <c r="S115" i="1"/>
  <c r="N115" i="1"/>
  <c r="S36" i="1"/>
  <c r="N36" i="1"/>
  <c r="AF440" i="1"/>
  <c r="N272" i="1"/>
  <c r="S272" i="1"/>
  <c r="S204" i="1"/>
  <c r="N204" i="1"/>
  <c r="N324" i="1"/>
  <c r="S324" i="1"/>
  <c r="AN456" i="1"/>
  <c r="AO456" i="1" s="1"/>
  <c r="AH456" i="1"/>
  <c r="AI456" i="1" s="1"/>
  <c r="L350" i="1"/>
  <c r="K350" i="1" s="1"/>
  <c r="N332" i="1"/>
  <c r="S332" i="1"/>
  <c r="N158" i="1"/>
  <c r="S158" i="1"/>
  <c r="S281" i="1"/>
  <c r="N281" i="1"/>
  <c r="N327" i="1"/>
  <c r="S327" i="1"/>
  <c r="N104" i="1"/>
  <c r="S104" i="1"/>
  <c r="AF473" i="1"/>
  <c r="N298" i="1"/>
  <c r="S298" i="1"/>
  <c r="AF442" i="1"/>
  <c r="N35" i="1"/>
  <c r="S35" i="1"/>
  <c r="N304" i="1"/>
  <c r="S304" i="1"/>
  <c r="S313" i="1"/>
  <c r="R313" i="1" s="1"/>
  <c r="N313" i="1"/>
  <c r="N21" i="1"/>
  <c r="S21" i="1"/>
  <c r="L24" i="1"/>
  <c r="N205" i="1"/>
  <c r="S205" i="1"/>
  <c r="K40" i="1"/>
  <c r="S40" i="1"/>
  <c r="N40" i="1"/>
  <c r="N145" i="1"/>
  <c r="S145" i="1"/>
  <c r="S276" i="1"/>
  <c r="N276" i="1"/>
  <c r="N46" i="1"/>
  <c r="S46" i="1"/>
  <c r="AF428" i="1"/>
  <c r="AF441" i="1"/>
  <c r="S33" i="1"/>
  <c r="N33" i="1"/>
  <c r="N118" i="1"/>
  <c r="S118" i="1"/>
  <c r="AF436" i="1"/>
  <c r="AH494" i="1"/>
  <c r="AN494" i="1"/>
  <c r="N149" i="1"/>
  <c r="S149" i="1"/>
  <c r="AF411" i="1"/>
  <c r="L183" i="1"/>
  <c r="S182" i="1"/>
  <c r="N182" i="1"/>
  <c r="AF426" i="1"/>
  <c r="AF450" i="1"/>
  <c r="S270" i="1"/>
  <c r="N270" i="1"/>
  <c r="S132" i="1"/>
  <c r="N132" i="1"/>
  <c r="N179" i="1"/>
  <c r="S179" i="1"/>
  <c r="L180" i="1"/>
  <c r="N180" i="1" s="1"/>
  <c r="S124" i="1"/>
  <c r="L136" i="1"/>
  <c r="N124" i="1"/>
  <c r="N257" i="1"/>
  <c r="S257" i="1"/>
  <c r="S215" i="1"/>
  <c r="N215" i="1"/>
  <c r="N62" i="1"/>
  <c r="S62" i="1"/>
  <c r="S80" i="1"/>
  <c r="N80" i="1"/>
  <c r="S189" i="1"/>
  <c r="L190" i="1"/>
  <c r="N189" i="1"/>
  <c r="R10" i="1"/>
  <c r="M10" i="1"/>
  <c r="K10" i="1"/>
  <c r="N329" i="1"/>
  <c r="S329" i="1"/>
  <c r="AF445" i="1"/>
  <c r="S11" i="1"/>
  <c r="N11" i="1"/>
  <c r="AF444" i="1"/>
  <c r="AF481" i="1"/>
  <c r="S264" i="1"/>
  <c r="N264" i="1"/>
  <c r="AF415" i="1"/>
  <c r="S45" i="1"/>
  <c r="N45" i="1"/>
  <c r="N71" i="1"/>
  <c r="S71" i="1"/>
  <c r="R101" i="1"/>
  <c r="M101" i="1"/>
  <c r="K101" i="1"/>
  <c r="S161" i="1"/>
  <c r="N161" i="1"/>
  <c r="N77" i="1"/>
  <c r="S77" i="1"/>
  <c r="S159" i="1"/>
  <c r="N159" i="1"/>
  <c r="M96" i="1"/>
  <c r="K96" i="1"/>
  <c r="R96" i="1"/>
  <c r="S37" i="1"/>
  <c r="N37" i="1"/>
  <c r="N117" i="1"/>
  <c r="S117" i="1"/>
  <c r="N81" i="1"/>
  <c r="S81" i="1"/>
  <c r="S255" i="1"/>
  <c r="N255" i="1"/>
  <c r="L267" i="1"/>
  <c r="AF452" i="1"/>
  <c r="S101" i="1"/>
  <c r="N101" i="1"/>
  <c r="S242" i="1"/>
  <c r="S243" i="1" s="1"/>
  <c r="L243" i="1"/>
  <c r="N242" i="1"/>
  <c r="N243" i="1" s="1"/>
  <c r="N143" i="1"/>
  <c r="S143" i="1"/>
  <c r="AH497" i="1"/>
  <c r="AN497" i="1"/>
  <c r="AO497" i="1" s="1"/>
  <c r="R11" i="1"/>
  <c r="M11" i="1"/>
  <c r="K11" i="1"/>
  <c r="L123" i="1"/>
  <c r="J113" i="1"/>
  <c r="N113" i="1"/>
  <c r="S113" i="1"/>
  <c r="S38" i="1"/>
  <c r="N38" i="1"/>
  <c r="K38" i="1"/>
  <c r="N322" i="1"/>
  <c r="S322" i="1"/>
  <c r="M95" i="1"/>
  <c r="R95" i="1"/>
  <c r="J97" i="1"/>
  <c r="K95" i="1"/>
  <c r="S130" i="1"/>
  <c r="N130" i="1"/>
  <c r="N151" i="1"/>
  <c r="S151" i="1"/>
  <c r="AF471" i="1"/>
  <c r="N343" i="1"/>
  <c r="S343" i="1"/>
  <c r="N214" i="1"/>
  <c r="S214" i="1"/>
  <c r="N258" i="1"/>
  <c r="S258" i="1"/>
  <c r="N148" i="1"/>
  <c r="S148" i="1"/>
  <c r="AN458" i="1"/>
  <c r="AO458" i="1" s="1"/>
  <c r="AH458" i="1"/>
  <c r="AI458" i="1" s="1"/>
  <c r="S47" i="1"/>
  <c r="N47" i="1"/>
  <c r="S22" i="1"/>
  <c r="N22" i="1"/>
  <c r="AN493" i="1"/>
  <c r="AH493" i="1"/>
  <c r="AN462" i="1"/>
  <c r="AO462" i="1" s="1"/>
  <c r="AH462" i="1"/>
  <c r="AI462" i="1" s="1"/>
  <c r="K361" i="1"/>
  <c r="S361" i="1"/>
  <c r="L363" i="1"/>
  <c r="N32" i="1"/>
  <c r="S32" i="1"/>
  <c r="AF437" i="1"/>
  <c r="S224" i="1"/>
  <c r="N224" i="1"/>
  <c r="N64" i="1"/>
  <c r="S64" i="1"/>
  <c r="N120" i="1"/>
  <c r="S120" i="1"/>
  <c r="S134" i="1"/>
  <c r="N134" i="1"/>
  <c r="AF425" i="1"/>
  <c r="S341" i="1"/>
  <c r="N341" i="1"/>
  <c r="K299" i="1"/>
  <c r="R299" i="1"/>
  <c r="M299" i="1"/>
  <c r="S66" i="1"/>
  <c r="N66" i="1"/>
  <c r="S58" i="1"/>
  <c r="N58" i="1"/>
  <c r="N342" i="1"/>
  <c r="S342" i="1"/>
  <c r="N135" i="1"/>
  <c r="S135" i="1"/>
  <c r="N308" i="1"/>
  <c r="S308" i="1"/>
  <c r="N9" i="1"/>
  <c r="S9" i="1"/>
  <c r="N142" i="1"/>
  <c r="S142" i="1"/>
  <c r="S216" i="1"/>
  <c r="N216" i="1"/>
  <c r="S126" i="1"/>
  <c r="N126" i="1"/>
  <c r="S42" i="1"/>
  <c r="N42" i="1"/>
  <c r="L54" i="1"/>
  <c r="N75" i="1"/>
  <c r="S75" i="1"/>
  <c r="L83" i="1"/>
  <c r="L174" i="1"/>
  <c r="L186" i="1"/>
  <c r="N173" i="1"/>
  <c r="S173" i="1"/>
  <c r="S256" i="1"/>
  <c r="N256" i="1"/>
  <c r="AF416" i="1"/>
  <c r="N15" i="1"/>
  <c r="S15" i="1"/>
  <c r="S271" i="1"/>
  <c r="N271" i="1"/>
  <c r="N96" i="1"/>
  <c r="S96" i="1"/>
  <c r="N39" i="1"/>
  <c r="S39" i="1"/>
  <c r="K39" i="1"/>
  <c r="N152" i="1"/>
  <c r="S152" i="1"/>
  <c r="S12" i="1"/>
  <c r="N12" i="1"/>
  <c r="AF439" i="1"/>
  <c r="N335" i="1"/>
  <c r="S335" i="1"/>
  <c r="AF432" i="1"/>
  <c r="AF418" i="1"/>
  <c r="N273" i="1"/>
  <c r="S273" i="1"/>
  <c r="AF427" i="1"/>
  <c r="AF476" i="1"/>
  <c r="AF419" i="1"/>
  <c r="S223" i="1"/>
  <c r="N223" i="1"/>
  <c r="N206" i="1"/>
  <c r="S206" i="1"/>
  <c r="S302" i="1"/>
  <c r="N302" i="1"/>
  <c r="AH498" i="1"/>
  <c r="AE498" i="1"/>
  <c r="M9" i="2"/>
  <c r="M8" i="2" s="1"/>
  <c r="AN498" i="1"/>
  <c r="K175" i="1"/>
  <c r="M173" i="1"/>
  <c r="K186" i="1"/>
  <c r="N299" i="1"/>
  <c r="S299" i="1"/>
  <c r="S203" i="1"/>
  <c r="N203" i="1"/>
  <c r="AF412" i="1"/>
  <c r="AN455" i="1"/>
  <c r="AO455" i="1" s="1"/>
  <c r="AH455" i="1"/>
  <c r="AI455" i="1" s="1"/>
  <c r="N220" i="1"/>
  <c r="S220" i="1"/>
  <c r="S50" i="1"/>
  <c r="N50" i="1"/>
  <c r="S53" i="1"/>
  <c r="N53" i="1"/>
  <c r="S49" i="1"/>
  <c r="N49" i="1"/>
  <c r="AF451" i="1"/>
  <c r="N229" i="1"/>
  <c r="S229" i="1"/>
  <c r="AF447" i="1"/>
  <c r="AF438" i="1"/>
  <c r="N137" i="1"/>
  <c r="L154" i="1"/>
  <c r="S137" i="1"/>
  <c r="AN459" i="1"/>
  <c r="AO459" i="1" s="1"/>
  <c r="AH459" i="1"/>
  <c r="AI459" i="1" s="1"/>
  <c r="S263" i="1"/>
  <c r="N263" i="1"/>
  <c r="N333" i="1"/>
  <c r="S333" i="1"/>
  <c r="N225" i="1"/>
  <c r="S225" i="1"/>
  <c r="AF443" i="1"/>
  <c r="M300" i="1"/>
  <c r="K300" i="1"/>
  <c r="R300" i="1"/>
  <c r="S116" i="1"/>
  <c r="N116" i="1"/>
  <c r="K17" i="1"/>
  <c r="R17" i="1"/>
  <c r="M17" i="1"/>
  <c r="S144" i="1"/>
  <c r="N144" i="1"/>
  <c r="N221" i="1"/>
  <c r="S221" i="1"/>
  <c r="S269" i="1"/>
  <c r="N269" i="1"/>
  <c r="N138" i="1"/>
  <c r="S138" i="1"/>
  <c r="N260" i="1"/>
  <c r="S260" i="1"/>
  <c r="S222" i="1"/>
  <c r="N222" i="1"/>
  <c r="L305" i="1"/>
  <c r="S296" i="1"/>
  <c r="N296" i="1"/>
  <c r="N249" i="1"/>
  <c r="N248" i="1"/>
  <c r="L249" i="1"/>
  <c r="S248" i="1"/>
  <c r="S76" i="1"/>
  <c r="N76" i="1"/>
  <c r="N210" i="1"/>
  <c r="S210" i="1"/>
  <c r="N128" i="1"/>
  <c r="S128" i="1"/>
  <c r="AF446" i="1"/>
  <c r="N207" i="1"/>
  <c r="S207" i="1"/>
  <c r="N61" i="1"/>
  <c r="S61" i="1"/>
  <c r="AF431" i="1"/>
  <c r="AF465" i="1"/>
  <c r="AH465" i="1" s="1"/>
  <c r="S201" i="1"/>
  <c r="N201" i="1"/>
  <c r="S121" i="1"/>
  <c r="N121" i="1"/>
  <c r="S60" i="1"/>
  <c r="N60" i="1"/>
  <c r="S103" i="1"/>
  <c r="N103" i="1"/>
  <c r="L106" i="1"/>
  <c r="S285" i="1"/>
  <c r="N285" i="1"/>
  <c r="N275" i="1"/>
  <c r="S275" i="1"/>
  <c r="S176" i="1"/>
  <c r="L177" i="1"/>
  <c r="N176" i="1"/>
  <c r="S349" i="1"/>
  <c r="N349" i="1"/>
  <c r="N140" i="1"/>
  <c r="S140" i="1"/>
  <c r="AH454" i="1"/>
  <c r="AN454" i="1"/>
  <c r="S268" i="1"/>
  <c r="L286" i="1"/>
  <c r="N268" i="1"/>
  <c r="AF448" i="1"/>
  <c r="M7" i="1"/>
  <c r="K7" i="1"/>
  <c r="R7" i="1"/>
  <c r="N114" i="1"/>
  <c r="S114" i="1"/>
  <c r="J114" i="1"/>
  <c r="N284" i="1"/>
  <c r="S284" i="1"/>
  <c r="S63" i="1"/>
  <c r="N63" i="1"/>
  <c r="N150" i="1"/>
  <c r="S150" i="1"/>
  <c r="S160" i="1"/>
  <c r="N160" i="1"/>
  <c r="N228" i="1"/>
  <c r="S228" i="1"/>
  <c r="S199" i="1"/>
  <c r="N199" i="1"/>
  <c r="L211" i="1"/>
  <c r="N265" i="1"/>
  <c r="S265" i="1"/>
  <c r="AF466" i="1"/>
  <c r="AH466" i="1" s="1"/>
  <c r="N226" i="1"/>
  <c r="S226" i="1"/>
  <c r="N278" i="1"/>
  <c r="S278" i="1"/>
  <c r="AF474" i="1"/>
  <c r="S217" i="1"/>
  <c r="N217" i="1"/>
  <c r="R308" i="1"/>
  <c r="K308" i="1"/>
  <c r="M308" i="1"/>
  <c r="AF429" i="1"/>
  <c r="S261" i="1"/>
  <c r="N261" i="1"/>
  <c r="S79" i="1"/>
  <c r="N79" i="1"/>
  <c r="AF433" i="1"/>
  <c r="AH433" i="1" s="1"/>
  <c r="S274" i="1"/>
  <c r="N274" i="1"/>
  <c r="S321" i="1"/>
  <c r="N321" i="1"/>
  <c r="N34" i="1"/>
  <c r="S34" i="1"/>
  <c r="R15" i="1"/>
  <c r="M15" i="1"/>
  <c r="K15" i="1"/>
  <c r="S283" i="1"/>
  <c r="N283" i="1"/>
  <c r="N202" i="1"/>
  <c r="S202" i="1"/>
  <c r="S17" i="1"/>
  <c r="N17" i="1"/>
  <c r="S309" i="1"/>
  <c r="N309" i="1"/>
  <c r="S59" i="1"/>
  <c r="N59" i="1"/>
  <c r="M6" i="1"/>
  <c r="K6" i="1"/>
  <c r="J13" i="1"/>
  <c r="J24" i="1" s="1"/>
  <c r="R6" i="1"/>
  <c r="S208" i="1"/>
  <c r="N208" i="1"/>
  <c r="N320" i="1"/>
  <c r="S320" i="1"/>
  <c r="AF422" i="1"/>
  <c r="AF472" i="1"/>
  <c r="N141" i="1"/>
  <c r="S141" i="1"/>
  <c r="S345" i="1"/>
  <c r="N345" i="1"/>
  <c r="N301" i="1"/>
  <c r="S301" i="1"/>
  <c r="S7" i="1"/>
  <c r="N7" i="1"/>
  <c r="N209" i="1"/>
  <c r="S209" i="1"/>
  <c r="S348" i="1"/>
  <c r="N348" i="1"/>
  <c r="AN478" i="1"/>
  <c r="AO478" i="1" s="1"/>
  <c r="AH478" i="1"/>
  <c r="AI478" i="1" s="1"/>
  <c r="S245" i="1"/>
  <c r="L246" i="1"/>
  <c r="K267" i="1"/>
  <c r="N245" i="1"/>
  <c r="N246" i="1" s="1"/>
  <c r="L251" i="1"/>
  <c r="S262" i="1"/>
  <c r="N262" i="1"/>
  <c r="S336" i="1"/>
  <c r="N336" i="1"/>
  <c r="AH461" i="1"/>
  <c r="AI461" i="1" s="1"/>
  <c r="AN461" i="1"/>
  <c r="AO461" i="1" s="1"/>
  <c r="L378" i="1"/>
  <c r="S367" i="1"/>
  <c r="S328" i="1"/>
  <c r="N328" i="1"/>
  <c r="AF430" i="1"/>
  <c r="S277" i="1"/>
  <c r="N277" i="1"/>
  <c r="AF410" i="1"/>
  <c r="R12" i="1"/>
  <c r="M12" i="1"/>
  <c r="K12" i="1"/>
  <c r="AF413" i="1"/>
  <c r="N326" i="1"/>
  <c r="S326" i="1"/>
  <c r="N279" i="1"/>
  <c r="S279" i="1"/>
  <c r="S200" i="1"/>
  <c r="N200" i="1"/>
  <c r="AF423" i="1"/>
  <c r="N185" i="1"/>
  <c r="S185" i="1"/>
  <c r="S162" i="1"/>
  <c r="N162" i="1"/>
  <c r="S319" i="1"/>
  <c r="N319" i="1"/>
  <c r="L331" i="1"/>
  <c r="N57" i="1"/>
  <c r="S57" i="1"/>
  <c r="S163" i="1"/>
  <c r="N163" i="1"/>
  <c r="AF449" i="1"/>
  <c r="S338" i="1"/>
  <c r="N338" i="1"/>
  <c r="AN421" i="1"/>
  <c r="AO421" i="1" s="1"/>
  <c r="AH421" i="1"/>
  <c r="AI421" i="1" s="1"/>
  <c r="L72" i="1"/>
  <c r="S55" i="1"/>
  <c r="N55" i="1"/>
  <c r="AF435" i="1"/>
  <c r="AF477" i="1"/>
  <c r="K94" i="1"/>
  <c r="M94" i="1"/>
  <c r="R94" i="1"/>
  <c r="S65" i="1"/>
  <c r="N65" i="1"/>
  <c r="N31" i="1"/>
  <c r="L41" i="1"/>
  <c r="S31" i="1"/>
  <c r="S323" i="1"/>
  <c r="N323" i="1"/>
  <c r="N131" i="1"/>
  <c r="S131" i="1"/>
  <c r="K9" i="1"/>
  <c r="M9" i="1"/>
  <c r="R9" i="1"/>
  <c r="S133" i="1"/>
  <c r="N133" i="1"/>
  <c r="N213" i="1"/>
  <c r="S213" i="1"/>
  <c r="N280" i="1"/>
  <c r="S280" i="1"/>
  <c r="N153" i="1"/>
  <c r="S153" i="1"/>
  <c r="M309" i="1"/>
  <c r="R309" i="1"/>
  <c r="K309" i="1"/>
  <c r="N346" i="1"/>
  <c r="S346" i="1"/>
  <c r="N303" i="1"/>
  <c r="S303" i="1"/>
  <c r="N78" i="1"/>
  <c r="S78" i="1"/>
  <c r="AH460" i="1"/>
  <c r="AI460" i="1" s="1"/>
  <c r="AN460" i="1"/>
  <c r="AO460" i="1" s="1"/>
  <c r="AN457" i="1"/>
  <c r="AH457" i="1"/>
  <c r="N43" i="1"/>
  <c r="S43" i="1"/>
  <c r="S44" i="1"/>
  <c r="N44" i="1"/>
  <c r="R296" i="1"/>
  <c r="J305" i="1"/>
  <c r="M296" i="1"/>
  <c r="K296" i="1"/>
  <c r="L379" i="1"/>
  <c r="N300" i="1"/>
  <c r="S300" i="1"/>
  <c r="N51" i="1"/>
  <c r="S51" i="1"/>
  <c r="K302" i="1"/>
  <c r="M302" i="1"/>
  <c r="N339" i="1"/>
  <c r="S339" i="1"/>
  <c r="AF417" i="1"/>
  <c r="L27" i="1" l="1"/>
  <c r="N27" i="1" s="1"/>
  <c r="AF434" i="1"/>
  <c r="AH434" i="1" s="1"/>
  <c r="AI434" i="1" s="1"/>
  <c r="AF467" i="1"/>
  <c r="AF482" i="1"/>
  <c r="AN482" i="1" s="1"/>
  <c r="AO482" i="1" s="1"/>
  <c r="M24" i="1"/>
  <c r="K24" i="1"/>
  <c r="K31" i="1"/>
  <c r="K35" i="1"/>
  <c r="K34" i="1"/>
  <c r="K37" i="1"/>
  <c r="K36" i="1"/>
  <c r="K32" i="1"/>
  <c r="K33" i="1"/>
  <c r="K120" i="1"/>
  <c r="P122" i="1"/>
  <c r="K115" i="1"/>
  <c r="K118" i="1"/>
  <c r="K122" i="1"/>
  <c r="P121" i="1"/>
  <c r="J109" i="1"/>
  <c r="P117" i="1"/>
  <c r="P114" i="1"/>
  <c r="K116" i="1"/>
  <c r="K121" i="1"/>
  <c r="K113" i="1"/>
  <c r="P115" i="1"/>
  <c r="P113" i="1"/>
  <c r="P119" i="1"/>
  <c r="K114" i="1"/>
  <c r="P118" i="1"/>
  <c r="P120" i="1"/>
  <c r="K119" i="1"/>
  <c r="R97" i="1"/>
  <c r="R98" i="1" s="1"/>
  <c r="P116" i="1"/>
  <c r="K97" i="1"/>
  <c r="K117" i="1"/>
  <c r="M97" i="1"/>
  <c r="M98" i="1" s="1"/>
  <c r="AH452" i="1"/>
  <c r="AN452" i="1"/>
  <c r="R251" i="1"/>
  <c r="S252" i="1" s="1"/>
  <c r="M251" i="1"/>
  <c r="AH472" i="1"/>
  <c r="AI472" i="1" s="1"/>
  <c r="AN472" i="1"/>
  <c r="AO472" i="1" s="1"/>
  <c r="AH446" i="1"/>
  <c r="AI446" i="1" s="1"/>
  <c r="AN446" i="1"/>
  <c r="AO446" i="1" s="1"/>
  <c r="AH443" i="1"/>
  <c r="AI443" i="1" s="1"/>
  <c r="AN443" i="1"/>
  <c r="AO443" i="1" s="1"/>
  <c r="AH481" i="1"/>
  <c r="AI481" i="1" s="1"/>
  <c r="AN481" i="1"/>
  <c r="AO481" i="1" s="1"/>
  <c r="AN419" i="1"/>
  <c r="AE419" i="1"/>
  <c r="AH419" i="1"/>
  <c r="K54" i="1"/>
  <c r="AH473" i="1"/>
  <c r="AI473" i="1" s="1"/>
  <c r="AN473" i="1"/>
  <c r="AN475" i="1"/>
  <c r="AO475" i="1" s="1"/>
  <c r="AH475" i="1"/>
  <c r="AI475" i="1" s="1"/>
  <c r="S164" i="1"/>
  <c r="N41" i="1"/>
  <c r="L74" i="1"/>
  <c r="S41" i="1"/>
  <c r="K41" i="1"/>
  <c r="AN416" i="1"/>
  <c r="AO416" i="1" s="1"/>
  <c r="AH416" i="1"/>
  <c r="AI416" i="1" s="1"/>
  <c r="AE416" i="1"/>
  <c r="N186" i="1"/>
  <c r="N187" i="1" s="1"/>
  <c r="L195" i="1"/>
  <c r="S186" i="1"/>
  <c r="L187" i="1"/>
  <c r="AH429" i="1"/>
  <c r="AI429" i="1" s="1"/>
  <c r="AN429" i="1"/>
  <c r="AO429" i="1" s="1"/>
  <c r="AN440" i="1"/>
  <c r="AO440" i="1" s="1"/>
  <c r="AH440" i="1"/>
  <c r="AI440" i="1" s="1"/>
  <c r="AH451" i="1"/>
  <c r="AN451" i="1"/>
  <c r="S24" i="1"/>
  <c r="S25" i="1" s="1"/>
  <c r="N24" i="1"/>
  <c r="N25" i="1" s="1"/>
  <c r="S13" i="1"/>
  <c r="S14" i="1" s="1"/>
  <c r="AE412" i="1"/>
  <c r="AH412" i="1"/>
  <c r="AI412" i="1" s="1"/>
  <c r="AN412" i="1"/>
  <c r="AO412" i="1" s="1"/>
  <c r="AH471" i="1"/>
  <c r="AI471" i="1" s="1"/>
  <c r="AN471" i="1"/>
  <c r="AO471" i="1" s="1"/>
  <c r="AH424" i="1"/>
  <c r="AI424" i="1" s="1"/>
  <c r="AN424" i="1"/>
  <c r="AO424" i="1" s="1"/>
  <c r="S72" i="1"/>
  <c r="AN413" i="1"/>
  <c r="AO413" i="1" s="1"/>
  <c r="AH413" i="1"/>
  <c r="AI413" i="1" s="1"/>
  <c r="AE413" i="1"/>
  <c r="K23" i="1"/>
  <c r="R23" i="1" s="1"/>
  <c r="K21" i="1"/>
  <c r="R21" i="1" s="1"/>
  <c r="J27" i="1"/>
  <c r="K13" i="1"/>
  <c r="K22" i="1"/>
  <c r="R22" i="1" s="1"/>
  <c r="K154" i="1"/>
  <c r="S154" i="1"/>
  <c r="N154" i="1"/>
  <c r="N83" i="1"/>
  <c r="AE411" i="1"/>
  <c r="AH411" i="1"/>
  <c r="AI411" i="1" s="1"/>
  <c r="AN411" i="1"/>
  <c r="AO411" i="1" s="1"/>
  <c r="AN480" i="1"/>
  <c r="AO480" i="1" s="1"/>
  <c r="AH480" i="1"/>
  <c r="AI480" i="1" s="1"/>
  <c r="N164" i="1"/>
  <c r="AN423" i="1"/>
  <c r="AO423" i="1" s="1"/>
  <c r="AH423" i="1"/>
  <c r="AI423" i="1" s="1"/>
  <c r="AN430" i="1"/>
  <c r="AO430" i="1" s="1"/>
  <c r="AH430" i="1"/>
  <c r="AI430" i="1" s="1"/>
  <c r="M13" i="1"/>
  <c r="M14" i="1" s="1"/>
  <c r="AH448" i="1"/>
  <c r="AI448" i="1" s="1"/>
  <c r="AN448" i="1"/>
  <c r="AO448" i="1" s="1"/>
  <c r="K13" i="2"/>
  <c r="K10" i="2" s="1"/>
  <c r="AN431" i="1"/>
  <c r="AO431" i="1" s="1"/>
  <c r="AH431" i="1"/>
  <c r="AI431" i="1" s="1"/>
  <c r="AN438" i="1"/>
  <c r="AO438" i="1" s="1"/>
  <c r="AH438" i="1"/>
  <c r="AI438" i="1" s="1"/>
  <c r="AH418" i="1"/>
  <c r="AE418" i="1"/>
  <c r="AN418" i="1"/>
  <c r="N54" i="1"/>
  <c r="S363" i="1"/>
  <c r="N267" i="1"/>
  <c r="S267" i="1"/>
  <c r="L288" i="1"/>
  <c r="AN450" i="1"/>
  <c r="AH450" i="1"/>
  <c r="AN414" i="1"/>
  <c r="AO414" i="1" s="1"/>
  <c r="AH414" i="1"/>
  <c r="AI414" i="1" s="1"/>
  <c r="AE414" i="1"/>
  <c r="AN435" i="1"/>
  <c r="AF453" i="1"/>
  <c r="AH435" i="1"/>
  <c r="AN425" i="1"/>
  <c r="AO425" i="1" s="1"/>
  <c r="AH425" i="1"/>
  <c r="AI425" i="1" s="1"/>
  <c r="AN442" i="1"/>
  <c r="AO442" i="1" s="1"/>
  <c r="AH442" i="1"/>
  <c r="AI442" i="1" s="1"/>
  <c r="AH445" i="1"/>
  <c r="AI445" i="1" s="1"/>
  <c r="AN445" i="1"/>
  <c r="AO445" i="1" s="1"/>
  <c r="R13" i="1"/>
  <c r="R14" i="1" s="1"/>
  <c r="AI454" i="1"/>
  <c r="AH467" i="1"/>
  <c r="AI467" i="1" s="1"/>
  <c r="J32" i="1"/>
  <c r="N106" i="1"/>
  <c r="N107" i="1" s="1"/>
  <c r="S106" i="1"/>
  <c r="S107" i="1" s="1"/>
  <c r="S305" i="1"/>
  <c r="S306" i="1" s="1"/>
  <c r="N305" i="1"/>
  <c r="N306" i="1" s="1"/>
  <c r="L310" i="1"/>
  <c r="S54" i="1"/>
  <c r="S331" i="1"/>
  <c r="N331" i="1"/>
  <c r="L352" i="1"/>
  <c r="K331" i="1"/>
  <c r="S350" i="1"/>
  <c r="AN436" i="1"/>
  <c r="AO436" i="1" s="1"/>
  <c r="AH436" i="1"/>
  <c r="AI436" i="1" s="1"/>
  <c r="AN479" i="1"/>
  <c r="AH479" i="1"/>
  <c r="AI479" i="1" s="1"/>
  <c r="AN427" i="1"/>
  <c r="AH427" i="1"/>
  <c r="S83" i="1"/>
  <c r="K230" i="1"/>
  <c r="S230" i="1"/>
  <c r="N230" i="1"/>
  <c r="AN477" i="1"/>
  <c r="AH477" i="1"/>
  <c r="AI477" i="1" s="1"/>
  <c r="AN444" i="1"/>
  <c r="AO444" i="1" s="1"/>
  <c r="AH444" i="1"/>
  <c r="AI444" i="1" s="1"/>
  <c r="AF420" i="1"/>
  <c r="AH410" i="1"/>
  <c r="AI410" i="1" s="1"/>
  <c r="AE410" i="1"/>
  <c r="AN410" i="1"/>
  <c r="AO410" i="1" s="1"/>
  <c r="AN428" i="1"/>
  <c r="AH428" i="1"/>
  <c r="AI428" i="1" s="1"/>
  <c r="L396" i="1"/>
  <c r="K396" i="1" s="1"/>
  <c r="S379" i="1"/>
  <c r="S396" i="1" s="1"/>
  <c r="S123" i="1"/>
  <c r="K123" i="1"/>
  <c r="N123" i="1"/>
  <c r="L156" i="1"/>
  <c r="N72" i="1"/>
  <c r="AH439" i="1"/>
  <c r="AI439" i="1" s="1"/>
  <c r="AN439" i="1"/>
  <c r="AO439" i="1" s="1"/>
  <c r="J310" i="1"/>
  <c r="K305" i="1"/>
  <c r="R305" i="1"/>
  <c r="M305" i="1"/>
  <c r="N251" i="1"/>
  <c r="N252" i="1" s="1"/>
  <c r="S251" i="1"/>
  <c r="AN417" i="1"/>
  <c r="AH417" i="1"/>
  <c r="AE417" i="1"/>
  <c r="J31" i="1"/>
  <c r="AN474" i="1"/>
  <c r="AO474" i="1" s="1"/>
  <c r="AH474" i="1"/>
  <c r="AI474" i="1" s="1"/>
  <c r="S211" i="1"/>
  <c r="K211" i="1"/>
  <c r="N211" i="1"/>
  <c r="L232" i="1"/>
  <c r="N286" i="1"/>
  <c r="AH447" i="1"/>
  <c r="AI447" i="1" s="1"/>
  <c r="AN447" i="1"/>
  <c r="AO447" i="1" s="1"/>
  <c r="AH476" i="1"/>
  <c r="AI476" i="1" s="1"/>
  <c r="AN476" i="1"/>
  <c r="AO476" i="1" s="1"/>
  <c r="AH415" i="1"/>
  <c r="AI415" i="1" s="1"/>
  <c r="AE415" i="1"/>
  <c r="AN415" i="1"/>
  <c r="AO415" i="1" s="1"/>
  <c r="S136" i="1"/>
  <c r="N136" i="1"/>
  <c r="K136" i="1"/>
  <c r="AN426" i="1"/>
  <c r="AH426" i="1"/>
  <c r="AH441" i="1"/>
  <c r="AN441" i="1"/>
  <c r="AO441" i="1" s="1"/>
  <c r="AH449" i="1"/>
  <c r="AI449" i="1" s="1"/>
  <c r="AN449" i="1"/>
  <c r="AO449" i="1" s="1"/>
  <c r="M186" i="1"/>
  <c r="K195" i="1"/>
  <c r="AH437" i="1"/>
  <c r="AI437" i="1" s="1"/>
  <c r="AN437" i="1"/>
  <c r="AO437" i="1" s="1"/>
  <c r="K378" i="1"/>
  <c r="S378" i="1"/>
  <c r="N350" i="1"/>
  <c r="AO454" i="1"/>
  <c r="AN467" i="1"/>
  <c r="AO467" i="1" s="1"/>
  <c r="N13" i="1"/>
  <c r="N14" i="1" s="1"/>
  <c r="AN422" i="1"/>
  <c r="AO422" i="1" s="1"/>
  <c r="AH422" i="1"/>
  <c r="AI422" i="1" s="1"/>
  <c r="K286" i="1"/>
  <c r="S286" i="1"/>
  <c r="AH432" i="1"/>
  <c r="AI432" i="1" s="1"/>
  <c r="AN432" i="1"/>
  <c r="AO432" i="1" s="1"/>
  <c r="L109" i="1"/>
  <c r="N97" i="1"/>
  <c r="N98" i="1" s="1"/>
  <c r="S97" i="1"/>
  <c r="S98" i="1" s="1"/>
  <c r="L398" i="1" l="1"/>
  <c r="L400" i="1" s="1"/>
  <c r="S400" i="1" s="1"/>
  <c r="K72" i="1"/>
  <c r="AN434" i="1"/>
  <c r="AO434" i="1" s="1"/>
  <c r="S27" i="1"/>
  <c r="S28" i="1" s="1"/>
  <c r="AH482" i="1"/>
  <c r="AI482" i="1" s="1"/>
  <c r="N109" i="1"/>
  <c r="N110" i="1" s="1"/>
  <c r="S109" i="1"/>
  <c r="S110" i="1" s="1"/>
  <c r="L166" i="1"/>
  <c r="AM410" i="1"/>
  <c r="AG410" i="1"/>
  <c r="K398" i="1"/>
  <c r="S398" i="1"/>
  <c r="N232" i="1"/>
  <c r="S232" i="1"/>
  <c r="K232" i="1"/>
  <c r="AN453" i="1"/>
  <c r="AO453" i="1" s="1"/>
  <c r="AO435" i="1"/>
  <c r="AG413" i="1"/>
  <c r="AM413" i="1"/>
  <c r="AM419" i="1"/>
  <c r="AG419" i="1"/>
  <c r="L196" i="1"/>
  <c r="N195" i="1"/>
  <c r="N196" i="1" s="1"/>
  <c r="S195" i="1"/>
  <c r="S196" i="1" s="1"/>
  <c r="L234" i="1"/>
  <c r="AM415" i="1"/>
  <c r="AG415" i="1"/>
  <c r="N156" i="1"/>
  <c r="K156" i="1"/>
  <c r="S156" i="1"/>
  <c r="L315" i="1"/>
  <c r="S310" i="1"/>
  <c r="S311" i="1" s="1"/>
  <c r="N310" i="1"/>
  <c r="N311" i="1" s="1"/>
  <c r="N28" i="1"/>
  <c r="N85" i="1"/>
  <c r="AG418" i="1"/>
  <c r="AM418" i="1"/>
  <c r="AM416" i="1"/>
  <c r="AG416" i="1"/>
  <c r="S74" i="1"/>
  <c r="N74" i="1"/>
  <c r="K74" i="1"/>
  <c r="AI435" i="1"/>
  <c r="AH453" i="1"/>
  <c r="AI453" i="1" s="1"/>
  <c r="AH420" i="1"/>
  <c r="AI420" i="1" s="1"/>
  <c r="AF469" i="1"/>
  <c r="AN420" i="1"/>
  <c r="AO420" i="1" s="1"/>
  <c r="AG414" i="1"/>
  <c r="AM414" i="1"/>
  <c r="AG411" i="1"/>
  <c r="AM411" i="1"/>
  <c r="M310" i="1"/>
  <c r="J315" i="1"/>
  <c r="R310" i="1"/>
  <c r="K310" i="1"/>
  <c r="L290" i="1"/>
  <c r="K288" i="1"/>
  <c r="S288" i="1"/>
  <c r="N288" i="1"/>
  <c r="K27" i="1"/>
  <c r="M27" i="1"/>
  <c r="M28" i="1" s="1"/>
  <c r="R27" i="1"/>
  <c r="R28" i="1" s="1"/>
  <c r="R109" i="1"/>
  <c r="R110" i="1" s="1"/>
  <c r="M109" i="1"/>
  <c r="M110" i="1" s="1"/>
  <c r="K109" i="1"/>
  <c r="AM412" i="1"/>
  <c r="AG412" i="1"/>
  <c r="L85" i="1"/>
  <c r="AM417" i="1"/>
  <c r="AG417" i="1"/>
  <c r="K352" i="1"/>
  <c r="S352" i="1"/>
  <c r="N352" i="1"/>
  <c r="S85" i="1" l="1"/>
  <c r="N290" i="1"/>
  <c r="S290" i="1"/>
  <c r="M195" i="1"/>
  <c r="R195" i="1"/>
  <c r="AF408" i="1"/>
  <c r="AD469" i="1" s="1"/>
  <c r="N315" i="1"/>
  <c r="N316" i="1" s="1"/>
  <c r="S315" i="1"/>
  <c r="S316" i="1" s="1"/>
  <c r="V315" i="1"/>
  <c r="L354" i="1"/>
  <c r="N166" i="1"/>
  <c r="S166" i="1"/>
  <c r="AH469" i="1"/>
  <c r="AI469" i="1" s="1"/>
  <c r="AN469" i="1"/>
  <c r="AO469" i="1" s="1"/>
  <c r="AF407" i="1"/>
  <c r="K9" i="2" s="1"/>
  <c r="K8" i="2" s="1"/>
  <c r="M315" i="1"/>
  <c r="K315" i="1"/>
  <c r="R315" i="1"/>
  <c r="N234" i="1"/>
  <c r="S234" i="1"/>
  <c r="AD420" i="1" l="1"/>
  <c r="AF484" i="1"/>
  <c r="AN408" i="1"/>
  <c r="AO408" i="1" s="1"/>
  <c r="AH408" i="1"/>
  <c r="AI408" i="1" s="1"/>
  <c r="AD434" i="1"/>
  <c r="AD482" i="1"/>
  <c r="AD467" i="1"/>
  <c r="AD453" i="1"/>
  <c r="S354" i="1"/>
  <c r="N354" i="1"/>
  <c r="AH484" i="1" l="1"/>
  <c r="AI484" i="1" s="1"/>
  <c r="AN484" i="1"/>
  <c r="AO484" i="1" s="1"/>
  <c r="AE484" i="1"/>
  <c r="AF490" i="1"/>
  <c r="AF499" i="1" l="1"/>
  <c r="AE490" i="1"/>
  <c r="AF489" i="1"/>
  <c r="AH490" i="1"/>
  <c r="AI490" i="1" s="1"/>
  <c r="AN490" i="1"/>
  <c r="AO490" i="1" s="1"/>
  <c r="AH489" i="1" l="1"/>
  <c r="AI489" i="1" s="1"/>
  <c r="AE489" i="1"/>
  <c r="AN489" i="1"/>
  <c r="AO489" i="1" s="1"/>
  <c r="AH499" i="1"/>
  <c r="AI499" i="1" s="1"/>
  <c r="AN499" i="1"/>
  <c r="AO499" i="1" s="1"/>
  <c r="AE49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440" authorId="0" shapeId="0" xr:uid="{085CC7BA-1CDD-4CF5-9B30-6398A1FB3B3F}">
      <text>
        <r>
          <rPr>
            <sz val="11"/>
            <color theme="1"/>
            <rFont val="Calibri"/>
            <scheme val="minor"/>
          </rPr>
          <t>======
ID#AAACIqhiJ7A
Maxime Allard    (2026-10-14 07:41:46)
outch</t>
        </r>
      </text>
    </comment>
  </commentList>
</comments>
</file>

<file path=xl/sharedStrings.xml><?xml version="1.0" encoding="utf-8"?>
<sst xmlns="http://schemas.openxmlformats.org/spreadsheetml/2006/main" count="3842" uniqueCount="290">
  <si>
    <t>Véhicules neufs</t>
  </si>
  <si>
    <t xml:space="preserve"> </t>
  </si>
  <si>
    <t>X</t>
  </si>
  <si>
    <t>O</t>
  </si>
  <si>
    <t>U</t>
  </si>
  <si>
    <t>BUDGET  ORIGINAL</t>
  </si>
  <si>
    <t>BUDGET  REVISE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</si>
  <si>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</si>
  <si>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</si>
  <si>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</si>
  <si>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</si>
  <si>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</si>
  <si>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</si>
  <si>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</si>
  <si>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</si>
  <si>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</si>
  <si>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</si>
  <si>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</si>
  <si>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</si>
  <si>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[...]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</si>
  <si>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</si>
  <si>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</si>
  <si>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</si>
  <si>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</si>
  <si>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</si>
  <si>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</si>
  <si>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</si>
  <si>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</si>
  <si>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</si>
  <si>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</si>
  <si>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</si>
  <si>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</si>
  <si>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</si>
  <si>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</si>
  <si>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</si>
  <si>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</si>
  <si>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</si>
  <si>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</si>
  <si>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</si>
  <si>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#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</si>
  <si>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</si>
  <si>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</si>
  <si>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</si>
  <si>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</si>
  <si>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</si>
  <si>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</si>
  <si>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</si>
  <si>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</si>
  <si>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</si>
  <si>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</si>
  <si>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</si>
  <si>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</si>
  <si>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</si>
  <si>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</si>
  <si>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</si>
  <si>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</si>
  <si>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</si>
  <si>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</si>
  <si>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</si>
  <si>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</si>
  <si>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</si>
  <si>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</si>
  <si>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</si>
  <si>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</si>
  <si>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</si>
  <si>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</si>
  <si>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</si>
  <si>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</si>
  <si>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</si>
  <si>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</si>
  <si>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</si>
  <si>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BUDGET  RÉVISÉ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</si>
  <si>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</si>
  <si>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</si>
  <si>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</si>
  <si>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</si>
  <si>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</si>
  <si>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</si>
  <si>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</si>
  <si>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</si>
  <si>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</si>
  <si>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</si>
  <si>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</si>
  <si>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</si>
  <si>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</si>
  <si>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</si>
  <si>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</si>
  <si>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</si>
  <si>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</si>
  <si>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</si>
  <si>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</si>
  <si>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</si>
  <si>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</si>
  <si>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Fournitures d'atelier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</si>
  <si>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</si>
  <si>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</si>
  <si>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</si>
  <si>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</si>
  <si>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</si>
  <si>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</si>
  <si>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</si>
  <si>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</si>
  <si>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</si>
  <si>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</si>
  <si>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</si>
  <si>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</si>
  <si>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</si>
  <si>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</si>
  <si>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</si>
  <si>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</si>
  <si>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</si>
  <si>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</si>
  <si>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</si>
  <si>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</si>
  <si>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</si>
  <si>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</si>
  <si>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</si>
  <si>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</si>
  <si>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ANNEE  PRECEDENTE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</si>
  <si>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</si>
  <si>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</si>
  <si>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</si>
  <si>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</si>
  <si>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</si>
  <si>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</si>
  <si>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</si>
  <si>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</si>
  <si>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</si>
  <si>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</si>
  <si>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</si>
  <si>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</si>
  <si>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</si>
  <si>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</si>
  <si>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</si>
  <si>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</si>
  <si>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</si>
  <si>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</si>
  <si>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</si>
  <si>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</si>
  <si>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</si>
  <si>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</si>
  <si>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</si>
  <si>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</si>
  <si>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</si>
  <si>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</si>
  <si>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</si>
  <si>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</si>
  <si>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</si>
  <si>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</si>
  <si>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</si>
  <si>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#28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</si>
  <si>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</si>
  <si>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</si>
  <si>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</si>
  <si>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</si>
  <si>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</si>
  <si>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</si>
  <si>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</si>
  <si>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</si>
  <si>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</si>
  <si>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</si>
  <si>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</si>
  <si>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</si>
  <si>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</si>
  <si>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</si>
  <si>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</si>
  <si>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</si>
  <si>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</si>
  <si>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</si>
  <si>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</si>
  <si>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</si>
  <si>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</si>
  <si>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</si>
  <si>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</si>
  <si>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</si>
  <si>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</si>
  <si>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</si>
  <si>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</si>
  <si>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</si>
  <si>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</si>
  <si>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</si>
  <si>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</si>
  <si>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</si>
  <si>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</si>
  <si>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</si>
  <si>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</si>
  <si>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</si>
  <si>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Programme neuf 2</t>
  </si>
  <si>
    <t>Facility Fund</t>
  </si>
  <si>
    <t>Pièces recond. MCPA</t>
  </si>
  <si>
    <t>Ventes</t>
  </si>
  <si>
    <t>Profits bruts</t>
  </si>
  <si>
    <t>BAIIA</t>
  </si>
  <si>
    <t>EBIT</t>
  </si>
  <si>
    <t>CONSO</t>
  </si>
  <si>
    <t>TOTAL</t>
  </si>
  <si>
    <t>CTRL</t>
  </si>
  <si>
    <t>BUDGET</t>
  </si>
  <si>
    <t>BUDGET RÉVISÉ</t>
  </si>
  <si>
    <t>ACTUAL</t>
  </si>
  <si>
    <t>LAST YEAR</t>
  </si>
  <si>
    <t>Mitsubishi</t>
  </si>
  <si>
    <t>Mois 1</t>
  </si>
  <si>
    <t>Mois 2</t>
  </si>
  <si>
    <t>Mois 3</t>
  </si>
  <si>
    <t>Quarter</t>
  </si>
  <si>
    <t>Autres marques</t>
  </si>
  <si>
    <t>Revenus d'intérêts Floor plan</t>
  </si>
  <si>
    <t>BAIIA Corpo</t>
  </si>
  <si>
    <t>BMW Sherbrooke</t>
  </si>
  <si>
    <t>NB</t>
  </si>
  <si>
    <t>$</t>
  </si>
  <si>
    <t>ÉCART réel / Budget</t>
  </si>
  <si>
    <t>ECART (réel/ Ann.Préc.)</t>
  </si>
  <si>
    <t>UNFTÉ</t>
  </si>
  <si>
    <t>RBSC neuf</t>
  </si>
  <si>
    <t>$PROFFTS</t>
  </si>
  <si>
    <t>RBSC used</t>
  </si>
  <si>
    <t>Programme 360</t>
  </si>
  <si>
    <t>$Ventes</t>
  </si>
  <si>
    <t>#14</t>
  </si>
  <si>
    <t>#16-17</t>
  </si>
  <si>
    <t>#18</t>
  </si>
  <si>
    <t>#26</t>
  </si>
  <si>
    <t>#27</t>
  </si>
  <si>
    <t>#29</t>
  </si>
  <si>
    <t>#16</t>
  </si>
  <si>
    <t>#52-53</t>
  </si>
  <si>
    <t>#69</t>
  </si>
  <si>
    <t>#71</t>
  </si>
  <si>
    <t>#70</t>
  </si>
  <si>
    <t>#75</t>
  </si>
  <si>
    <t>#78</t>
  </si>
  <si>
    <t>#72-77</t>
  </si>
  <si>
    <t>#76</t>
  </si>
  <si>
    <t>#73</t>
  </si>
  <si>
    <t>#90</t>
  </si>
  <si>
    <t>Impôt exigible</t>
  </si>
  <si>
    <t>Profit Net après impôt</t>
  </si>
  <si>
    <t>Pertes</t>
  </si>
  <si>
    <t>Bonis cadres</t>
  </si>
  <si>
    <t>Autres revenus</t>
  </si>
  <si>
    <t>Provision maladies</t>
  </si>
  <si>
    <t>Francis Pellerin - renouvellement Volks</t>
  </si>
  <si>
    <t>lgm</t>
  </si>
  <si>
    <t>Pas de claims à l'interne, ni réceptionniste temps partiel</t>
  </si>
  <si>
    <t>Livre des ventes + réserve</t>
  </si>
  <si>
    <t>Transport de véhicules</t>
  </si>
  <si>
    <t>Cafe client</t>
  </si>
  <si>
    <t>Ménage pour ménage BMW Canada</t>
  </si>
  <si>
    <t>Freins + link kit</t>
  </si>
  <si>
    <t>Abonnement Openlane Hawkesburry avril à juillet</t>
  </si>
  <si>
    <t>Ajust paiement Q2 2026</t>
  </si>
  <si>
    <t>Ajust claims</t>
  </si>
  <si>
    <t>Dépréciaton pneus courtoisies</t>
  </si>
  <si>
    <t>9.7k André + 3.3k Peachy + 900$ classement</t>
  </si>
  <si>
    <t>Factures service laser</t>
  </si>
  <si>
    <t>Frais retour de pièces</t>
  </si>
  <si>
    <t>2k café, crédit billets avions ?</t>
  </si>
  <si>
    <t>9.7k André + 3.3k Peachy + 900$ classement + 2k ménage supplémentaire</t>
  </si>
  <si>
    <t>Frais retour sur pièces</t>
  </si>
  <si>
    <t xml:space="preserve">Location bouteille oxigene </t>
  </si>
  <si>
    <t>BT 131146 - Batteries 48V - showroom</t>
  </si>
  <si>
    <t>Flat sur 50% des dossiers</t>
  </si>
  <si>
    <t>Claims 3.6k + André 1.5k</t>
  </si>
  <si>
    <t>Formation technicien</t>
  </si>
  <si>
    <t>Formation service</t>
  </si>
  <si>
    <t>Frais rep</t>
  </si>
  <si>
    <t>Réalisé, Juillet 2026</t>
  </si>
  <si>
    <t>Réalisé, Août 2026</t>
  </si>
  <si>
    <t>Q3 2026</t>
  </si>
  <si>
    <t>8256$ Réserve démos/courtoisies</t>
  </si>
  <si>
    <t>539$ Réserve neuf DYB</t>
  </si>
  <si>
    <t>Repas + café vente privée + Meeting Toronto</t>
  </si>
  <si>
    <t>Réparation porte garage</t>
  </si>
  <si>
    <t>Bonis trimestrielles ?</t>
  </si>
  <si>
    <t>Entretien inclus vendus par service</t>
  </si>
  <si>
    <t>Voir BT</t>
  </si>
  <si>
    <t>Suspension X5 2021 livré en aout</t>
  </si>
  <si>
    <t>BT service ?</t>
  </si>
  <si>
    <t>Pare-brise courtoisie</t>
  </si>
  <si>
    <t>Claims 3.6k  + André 2.9k + Réparation porte de garage</t>
  </si>
  <si>
    <t>Affichage de poste CCC + préposé pneus</t>
  </si>
  <si>
    <t>Frais de retour</t>
  </si>
  <si>
    <t>Gratuité service + ajust claims</t>
  </si>
  <si>
    <t>Inclut repas + café ventes privées + Toronto</t>
  </si>
  <si>
    <t>Claim +3.4k, André +2.9k, Rep Porte garage +6.8k, + vider drain + climatisation</t>
  </si>
  <si>
    <t>Affichage de poste service</t>
  </si>
  <si>
    <t>Int Gouv</t>
  </si>
  <si>
    <t>Réalisé, Septembre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</si>
</sst>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d\/mm\/yy_)"/>
    <numFmt numFmtId="165" formatCode="0.0%"/>
    <numFmt numFmtId="166" formatCode="0_)"/>
    <numFmt numFmtId="167" formatCode="_(* #,##0_);_(* \(#,##0\);_(* &quot;-&quot;??_);_(@_)"/>
    <numFmt numFmtId="168" formatCode="_-* #,##0.00\ _$_-;_-* #,##0.00\ _$\-;_-* &quot;-&quot;??\ _$_-;_-@_-"/>
    <numFmt numFmtId="169" formatCode="_-* #,##0.00\ &quot;$&quot;_-;_-* #,##0.00\ &quot;$&quot;\-;_-* &quot;-&quot;??\ &quot;$&quot;_-;_-@_-"/>
    <numFmt numFmtId="170" formatCode="0.00_)"/>
    <numFmt numFmtId="171" formatCode="#,##0\ &quot;$&quot;"/>
    <numFmt numFmtId="172" formatCode="&quot;$&quot;#,##0"/>
  </numFmts>
  <fonts count="4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8"/>
      <color theme="1"/>
      <name val="Arial mt"/>
    </font>
    <font>
      <b/>
      <sz val="28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6"/>
      <name val="Arial"/>
      <family val="2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b/>
      <sz val="16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theme="1"/>
      <name val="Arial mt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sz val="8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2"/>
      <name val="Arial MT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8"/>
      <name val="Arial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3"/>
      <color theme="1"/>
      <name val="Arial mt"/>
    </font>
    <font>
      <sz val="14"/>
      <color theme="1"/>
      <name val="Arial mt"/>
    </font>
    <font>
      <sz val="11"/>
      <color theme="1"/>
      <name val="Calibri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1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ck">
        <color indexed="8"/>
      </left>
      <right/>
      <top/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8"/>
      </bottom>
      <diagonal/>
    </border>
  </borders>
  <cellStyleXfs count="16">
    <xf numFmtId="0" fontId="0" fillId="0" borderId="0"/>
    <xf numFmtId="9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3" fillId="0" borderId="0"/>
    <xf numFmtId="0" fontId="31" fillId="0" borderId="0"/>
    <xf numFmtId="168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169" fontId="32" fillId="0" borderId="0" applyFont="0" applyFill="0" applyBorder="0" applyAlignment="0" applyProtection="0"/>
    <xf numFmtId="0" fontId="13" fillId="0" borderId="0"/>
    <xf numFmtId="0" fontId="2" fillId="0" borderId="0"/>
    <xf numFmtId="0" fontId="31" fillId="0" borderId="0"/>
    <xf numFmtId="43" fontId="3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516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1" xfId="0" applyFont="1" applyBorder="1"/>
    <xf numFmtId="0" fontId="9" fillId="0" borderId="0" xfId="0" applyFont="1"/>
    <xf numFmtId="0" fontId="9" fillId="0" borderId="6" xfId="0" applyFont="1" applyBorder="1"/>
    <xf numFmtId="3" fontId="9" fillId="0" borderId="7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8" xfId="0" applyNumberFormat="1" applyFont="1" applyBorder="1" applyAlignment="1">
      <alignment horizontal="center"/>
    </xf>
    <xf numFmtId="3" fontId="9" fillId="0" borderId="9" xfId="0" applyNumberFormat="1" applyFont="1" applyBorder="1" applyAlignment="1">
      <alignment horizontal="center"/>
    </xf>
    <xf numFmtId="3" fontId="9" fillId="0" borderId="10" xfId="0" applyNumberFormat="1" applyFont="1" applyBorder="1" applyAlignment="1">
      <alignment horizontal="center"/>
    </xf>
    <xf numFmtId="0" fontId="9" fillId="0" borderId="11" xfId="0" applyFont="1" applyBorder="1"/>
    <xf numFmtId="3" fontId="9" fillId="0" borderId="12" xfId="0" applyNumberFormat="1" applyFont="1" applyBorder="1" applyAlignment="1">
      <alignment horizontal="center"/>
    </xf>
    <xf numFmtId="3" fontId="9" fillId="0" borderId="13" xfId="0" applyNumberFormat="1" applyFont="1" applyBorder="1"/>
    <xf numFmtId="0" fontId="9" fillId="0" borderId="14" xfId="0" applyFont="1" applyBorder="1"/>
    <xf numFmtId="3" fontId="9" fillId="0" borderId="12" xfId="0" applyNumberFormat="1" applyFont="1" applyBorder="1" applyAlignment="1">
      <alignment horizontal="right"/>
    </xf>
    <xf numFmtId="3" fontId="9" fillId="0" borderId="15" xfId="0" applyNumberFormat="1" applyFont="1" applyBorder="1"/>
    <xf numFmtId="3" fontId="9" fillId="0" borderId="14" xfId="0" applyNumberFormat="1" applyFont="1" applyBorder="1" applyAlignment="1">
      <alignment horizontal="center"/>
    </xf>
    <xf numFmtId="3" fontId="9" fillId="0" borderId="16" xfId="0" applyNumberFormat="1" applyFont="1" applyBorder="1" applyAlignment="1">
      <alignment horizontal="center"/>
    </xf>
    <xf numFmtId="3" fontId="9" fillId="0" borderId="17" xfId="0" applyNumberFormat="1" applyFont="1" applyBorder="1" applyAlignment="1">
      <alignment horizontal="center"/>
    </xf>
    <xf numFmtId="0" fontId="9" fillId="0" borderId="18" xfId="0" applyFont="1" applyBorder="1"/>
    <xf numFmtId="3" fontId="9" fillId="0" borderId="0" xfId="0" applyNumberFormat="1" applyFont="1"/>
    <xf numFmtId="3" fontId="9" fillId="0" borderId="9" xfId="0" applyNumberFormat="1" applyFont="1" applyBorder="1"/>
    <xf numFmtId="3" fontId="12" fillId="0" borderId="8" xfId="0" applyNumberFormat="1" applyFont="1" applyBorder="1"/>
    <xf numFmtId="3" fontId="9" fillId="0" borderId="8" xfId="0" applyNumberFormat="1" applyFont="1" applyBorder="1"/>
    <xf numFmtId="3" fontId="9" fillId="0" borderId="10" xfId="0" applyNumberFormat="1" applyFont="1" applyBorder="1"/>
    <xf numFmtId="0" fontId="10" fillId="0" borderId="6" xfId="0" applyFont="1" applyBorder="1"/>
    <xf numFmtId="3" fontId="10" fillId="0" borderId="7" xfId="0" applyNumberFormat="1" applyFont="1" applyBorder="1"/>
    <xf numFmtId="3" fontId="10" fillId="0" borderId="19" xfId="0" applyNumberFormat="1" applyFont="1" applyBorder="1"/>
    <xf numFmtId="3" fontId="10" fillId="0" borderId="20" xfId="0" applyNumberFormat="1" applyFont="1" applyBorder="1"/>
    <xf numFmtId="3" fontId="10" fillId="0" borderId="21" xfId="0" applyNumberFormat="1" applyFont="1" applyBorder="1"/>
    <xf numFmtId="0" fontId="9" fillId="0" borderId="8" xfId="0" applyFont="1" applyBorder="1"/>
    <xf numFmtId="0" fontId="9" fillId="0" borderId="9" xfId="0" applyFont="1" applyBorder="1"/>
    <xf numFmtId="165" fontId="10" fillId="0" borderId="9" xfId="0" applyNumberFormat="1" applyFont="1" applyBorder="1"/>
    <xf numFmtId="165" fontId="10" fillId="0" borderId="8" xfId="0" applyNumberFormat="1" applyFont="1" applyBorder="1"/>
    <xf numFmtId="165" fontId="10" fillId="0" borderId="10" xfId="0" applyNumberFormat="1" applyFont="1" applyBorder="1"/>
    <xf numFmtId="0" fontId="10" fillId="0" borderId="22" xfId="0" applyFont="1" applyBorder="1"/>
    <xf numFmtId="3" fontId="9" fillId="0" borderId="23" xfId="0" applyNumberFormat="1" applyFont="1" applyBorder="1"/>
    <xf numFmtId="3" fontId="9" fillId="0" borderId="12" xfId="0" applyNumberFormat="1" applyFont="1" applyBorder="1"/>
    <xf numFmtId="3" fontId="9" fillId="0" borderId="16" xfId="0" applyNumberFormat="1" applyFont="1" applyBorder="1"/>
    <xf numFmtId="3" fontId="10" fillId="0" borderId="14" xfId="0" applyNumberFormat="1" applyFont="1" applyBorder="1"/>
    <xf numFmtId="3" fontId="10" fillId="0" borderId="12" xfId="0" applyNumberFormat="1" applyFont="1" applyBorder="1"/>
    <xf numFmtId="3" fontId="9" fillId="0" borderId="14" xfId="0" applyNumberFormat="1" applyFont="1" applyBorder="1"/>
    <xf numFmtId="3" fontId="9" fillId="0" borderId="17" xfId="0" applyNumberFormat="1" applyFont="1" applyBorder="1"/>
    <xf numFmtId="0" fontId="10" fillId="0" borderId="18" xfId="0" applyFont="1" applyBorder="1"/>
    <xf numFmtId="3" fontId="9" fillId="0" borderId="7" xfId="0" applyNumberFormat="1" applyFont="1" applyBorder="1"/>
    <xf numFmtId="3" fontId="9" fillId="0" borderId="19" xfId="0" applyNumberFormat="1" applyFont="1" applyBorder="1"/>
    <xf numFmtId="3" fontId="9" fillId="0" borderId="20" xfId="0" applyNumberFormat="1" applyFont="1" applyBorder="1"/>
    <xf numFmtId="3" fontId="9" fillId="0" borderId="21" xfId="0" applyNumberFormat="1" applyFont="1" applyBorder="1"/>
    <xf numFmtId="3" fontId="10" fillId="0" borderId="9" xfId="0" applyNumberFormat="1" applyFont="1" applyBorder="1"/>
    <xf numFmtId="37" fontId="9" fillId="0" borderId="8" xfId="0" applyNumberFormat="1" applyFont="1" applyBorder="1"/>
    <xf numFmtId="37" fontId="9" fillId="0" borderId="9" xfId="0" applyNumberFormat="1" applyFont="1" applyBorder="1"/>
    <xf numFmtId="0" fontId="9" fillId="0" borderId="10" xfId="0" applyFont="1" applyBorder="1"/>
    <xf numFmtId="0" fontId="10" fillId="2" borderId="24" xfId="0" applyFont="1" applyFill="1" applyBorder="1"/>
    <xf numFmtId="37" fontId="10" fillId="2" borderId="25" xfId="0" applyNumberFormat="1" applyFont="1" applyFill="1" applyBorder="1"/>
    <xf numFmtId="3" fontId="10" fillId="2" borderId="25" xfId="0" applyNumberFormat="1" applyFont="1" applyFill="1" applyBorder="1"/>
    <xf numFmtId="37" fontId="10" fillId="2" borderId="26" xfId="0" applyNumberFormat="1" applyFont="1" applyFill="1" applyBorder="1"/>
    <xf numFmtId="37" fontId="10" fillId="2" borderId="27" xfId="0" applyNumberFormat="1" applyFont="1" applyFill="1" applyBorder="1"/>
    <xf numFmtId="166" fontId="10" fillId="2" borderId="25" xfId="0" applyNumberFormat="1" applyFont="1" applyFill="1" applyBorder="1"/>
    <xf numFmtId="37" fontId="10" fillId="2" borderId="28" xfId="0" applyNumberFormat="1" applyFont="1" applyFill="1" applyBorder="1"/>
    <xf numFmtId="0" fontId="10" fillId="2" borderId="29" xfId="0" applyFont="1" applyFill="1" applyBorder="1"/>
    <xf numFmtId="0" fontId="10" fillId="2" borderId="30" xfId="0" applyFont="1" applyFill="1" applyBorder="1"/>
    <xf numFmtId="0" fontId="10" fillId="2" borderId="31" xfId="0" applyFont="1" applyFill="1" applyBorder="1"/>
    <xf numFmtId="0" fontId="10" fillId="2" borderId="32" xfId="0" applyFont="1" applyFill="1" applyBorder="1"/>
    <xf numFmtId="165" fontId="10" fillId="2" borderId="32" xfId="0" applyNumberFormat="1" applyFont="1" applyFill="1" applyBorder="1"/>
    <xf numFmtId="165" fontId="10" fillId="2" borderId="31" xfId="0" applyNumberFormat="1" applyFont="1" applyFill="1" applyBorder="1"/>
    <xf numFmtId="165" fontId="10" fillId="2" borderId="33" xfId="0" applyNumberFormat="1" applyFont="1" applyFill="1" applyBorder="1"/>
    <xf numFmtId="0" fontId="10" fillId="0" borderId="0" xfId="0" applyFont="1"/>
    <xf numFmtId="0" fontId="10" fillId="0" borderId="8" xfId="0" applyFont="1" applyBorder="1"/>
    <xf numFmtId="0" fontId="10" fillId="0" borderId="9" xfId="0" applyFont="1" applyBorder="1"/>
    <xf numFmtId="0" fontId="10" fillId="0" borderId="18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37" fontId="9" fillId="0" borderId="0" xfId="0" applyNumberFormat="1" applyFont="1"/>
    <xf numFmtId="0" fontId="9" fillId="0" borderId="9" xfId="0" applyFont="1" applyBorder="1" applyAlignment="1">
      <alignment horizontal="right"/>
    </xf>
    <xf numFmtId="165" fontId="9" fillId="0" borderId="9" xfId="1" applyNumberFormat="1" applyFont="1" applyFill="1" applyBorder="1"/>
    <xf numFmtId="37" fontId="9" fillId="0" borderId="10" xfId="0" applyNumberFormat="1" applyFont="1" applyBorder="1"/>
    <xf numFmtId="0" fontId="9" fillId="0" borderId="22" xfId="0" applyFont="1" applyBorder="1"/>
    <xf numFmtId="0" fontId="9" fillId="0" borderId="12" xfId="0" applyFont="1" applyBorder="1" applyAlignment="1">
      <alignment horizontal="right"/>
    </xf>
    <xf numFmtId="37" fontId="9" fillId="0" borderId="12" xfId="0" applyNumberFormat="1" applyFont="1" applyBorder="1"/>
    <xf numFmtId="0" fontId="9" fillId="0" borderId="14" xfId="0" applyFont="1" applyBorder="1" applyAlignment="1">
      <alignment horizontal="right"/>
    </xf>
    <xf numFmtId="37" fontId="9" fillId="0" borderId="15" xfId="0" applyNumberFormat="1" applyFont="1" applyBorder="1"/>
    <xf numFmtId="37" fontId="9" fillId="0" borderId="16" xfId="0" applyNumberFormat="1" applyFont="1" applyBorder="1"/>
    <xf numFmtId="37" fontId="9" fillId="0" borderId="17" xfId="0" applyNumberFormat="1" applyFont="1" applyBorder="1"/>
    <xf numFmtId="0" fontId="10" fillId="2" borderId="34" xfId="0" applyFont="1" applyFill="1" applyBorder="1"/>
    <xf numFmtId="0" fontId="10" fillId="2" borderId="35" xfId="0" applyFont="1" applyFill="1" applyBorder="1" applyAlignment="1">
      <alignment horizontal="center"/>
    </xf>
    <xf numFmtId="165" fontId="10" fillId="2" borderId="35" xfId="0" applyNumberFormat="1" applyFont="1" applyFill="1" applyBorder="1"/>
    <xf numFmtId="37" fontId="10" fillId="2" borderId="36" xfId="0" applyNumberFormat="1" applyFont="1" applyFill="1" applyBorder="1"/>
    <xf numFmtId="0" fontId="10" fillId="2" borderId="37" xfId="0" applyFont="1" applyFill="1" applyBorder="1" applyAlignment="1">
      <alignment horizontal="center"/>
    </xf>
    <xf numFmtId="0" fontId="9" fillId="2" borderId="38" xfId="0" applyFont="1" applyFill="1" applyBorder="1"/>
    <xf numFmtId="37" fontId="10" fillId="2" borderId="35" xfId="0" applyNumberFormat="1" applyFont="1" applyFill="1" applyBorder="1"/>
    <xf numFmtId="0" fontId="9" fillId="2" borderId="37" xfId="0" applyFont="1" applyFill="1" applyBorder="1"/>
    <xf numFmtId="37" fontId="10" fillId="2" borderId="39" xfId="0" applyNumberFormat="1" applyFont="1" applyFill="1" applyBorder="1"/>
    <xf numFmtId="0" fontId="14" fillId="0" borderId="18" xfId="0" applyFont="1" applyBorder="1"/>
    <xf numFmtId="0" fontId="14" fillId="0" borderId="22" xfId="0" applyFont="1" applyBorder="1"/>
    <xf numFmtId="0" fontId="9" fillId="0" borderId="7" xfId="0" applyFont="1" applyBorder="1" applyAlignment="1">
      <alignment horizontal="right"/>
    </xf>
    <xf numFmtId="0" fontId="9" fillId="0" borderId="7" xfId="0" applyFont="1" applyBorder="1"/>
    <xf numFmtId="0" fontId="9" fillId="0" borderId="20" xfId="0" applyFont="1" applyBorder="1" applyAlignment="1">
      <alignment horizontal="right"/>
    </xf>
    <xf numFmtId="0" fontId="9" fillId="0" borderId="20" xfId="0" applyFont="1" applyBorder="1"/>
    <xf numFmtId="3" fontId="9" fillId="0" borderId="40" xfId="0" applyNumberFormat="1" applyFont="1" applyBorder="1"/>
    <xf numFmtId="37" fontId="9" fillId="0" borderId="19" xfId="0" applyNumberFormat="1" applyFont="1" applyBorder="1"/>
    <xf numFmtId="37" fontId="9" fillId="0" borderId="21" xfId="0" applyNumberFormat="1" applyFont="1" applyBorder="1"/>
    <xf numFmtId="0" fontId="9" fillId="0" borderId="12" xfId="0" applyFont="1" applyBorder="1"/>
    <xf numFmtId="37" fontId="10" fillId="0" borderId="0" xfId="0" applyNumberFormat="1" applyFont="1"/>
    <xf numFmtId="37" fontId="10" fillId="2" borderId="16" xfId="0" applyNumberFormat="1" applyFont="1" applyFill="1" applyBorder="1"/>
    <xf numFmtId="37" fontId="10" fillId="2" borderId="17" xfId="0" applyNumberFormat="1" applyFont="1" applyFill="1" applyBorder="1"/>
    <xf numFmtId="0" fontId="10" fillId="3" borderId="18" xfId="0" applyFont="1" applyFill="1" applyBorder="1"/>
    <xf numFmtId="0" fontId="9" fillId="3" borderId="0" xfId="0" applyFont="1" applyFill="1"/>
    <xf numFmtId="0" fontId="10" fillId="3" borderId="0" xfId="0" applyFont="1" applyFill="1"/>
    <xf numFmtId="37" fontId="10" fillId="3" borderId="8" xfId="0" applyNumberFormat="1" applyFont="1" applyFill="1" applyBorder="1"/>
    <xf numFmtId="0" fontId="9" fillId="3" borderId="9" xfId="0" applyFont="1" applyFill="1" applyBorder="1"/>
    <xf numFmtId="0" fontId="9" fillId="3" borderId="14" xfId="0" applyFont="1" applyFill="1" applyBorder="1"/>
    <xf numFmtId="0" fontId="9" fillId="3" borderId="12" xfId="0" applyFont="1" applyFill="1" applyBorder="1"/>
    <xf numFmtId="37" fontId="10" fillId="3" borderId="16" xfId="0" applyNumberFormat="1" applyFont="1" applyFill="1" applyBorder="1"/>
    <xf numFmtId="37" fontId="10" fillId="3" borderId="17" xfId="0" applyNumberFormat="1" applyFont="1" applyFill="1" applyBorder="1"/>
    <xf numFmtId="0" fontId="10" fillId="2" borderId="41" xfId="0" applyFont="1" applyFill="1" applyBorder="1"/>
    <xf numFmtId="0" fontId="9" fillId="2" borderId="42" xfId="0" applyFont="1" applyFill="1" applyBorder="1"/>
    <xf numFmtId="0" fontId="10" fillId="2" borderId="42" xfId="0" applyFont="1" applyFill="1" applyBorder="1"/>
    <xf numFmtId="37" fontId="10" fillId="2" borderId="43" xfId="0" applyNumberFormat="1" applyFont="1" applyFill="1" applyBorder="1"/>
    <xf numFmtId="0" fontId="9" fillId="2" borderId="44" xfId="0" applyFont="1" applyFill="1" applyBorder="1"/>
    <xf numFmtId="37" fontId="10" fillId="2" borderId="45" xfId="0" applyNumberFormat="1" applyFont="1" applyFill="1" applyBorder="1"/>
    <xf numFmtId="0" fontId="15" fillId="0" borderId="0" xfId="0" applyFont="1"/>
    <xf numFmtId="0" fontId="16" fillId="0" borderId="0" xfId="0" applyFont="1"/>
    <xf numFmtId="37" fontId="16" fillId="0" borderId="0" xfId="0" applyNumberFormat="1" applyFont="1"/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39" fontId="9" fillId="0" borderId="0" xfId="0" applyNumberFormat="1" applyFont="1"/>
    <xf numFmtId="3" fontId="10" fillId="0" borderId="16" xfId="0" applyNumberFormat="1" applyFont="1" applyBorder="1"/>
    <xf numFmtId="3" fontId="10" fillId="0" borderId="17" xfId="0" applyNumberFormat="1" applyFont="1" applyBorder="1"/>
    <xf numFmtId="166" fontId="9" fillId="0" borderId="0" xfId="0" applyNumberFormat="1" applyFont="1"/>
    <xf numFmtId="165" fontId="17" fillId="4" borderId="46" xfId="0" applyNumberFormat="1" applyFont="1" applyFill="1" applyBorder="1"/>
    <xf numFmtId="37" fontId="9" fillId="0" borderId="13" xfId="0" applyNumberFormat="1" applyFont="1" applyBorder="1"/>
    <xf numFmtId="0" fontId="9" fillId="2" borderId="14" xfId="0" applyFont="1" applyFill="1" applyBorder="1"/>
    <xf numFmtId="165" fontId="9" fillId="0" borderId="0" xfId="0" applyNumberFormat="1" applyFont="1"/>
    <xf numFmtId="0" fontId="10" fillId="0" borderId="0" xfId="0" applyFont="1" applyAlignment="1">
      <alignment horizontal="center"/>
    </xf>
    <xf numFmtId="165" fontId="10" fillId="0" borderId="0" xfId="0" applyNumberFormat="1" applyFont="1"/>
    <xf numFmtId="0" fontId="10" fillId="0" borderId="9" xfId="0" applyFont="1" applyBorder="1" applyAlignment="1">
      <alignment horizontal="center"/>
    </xf>
    <xf numFmtId="0" fontId="9" fillId="2" borderId="42" xfId="0" applyFont="1" applyFill="1" applyBorder="1" applyAlignment="1">
      <alignment horizontal="right"/>
    </xf>
    <xf numFmtId="0" fontId="9" fillId="2" borderId="44" xfId="0" applyFont="1" applyFill="1" applyBorder="1" applyAlignment="1">
      <alignment horizontal="right"/>
    </xf>
    <xf numFmtId="0" fontId="10" fillId="2" borderId="44" xfId="0" applyFont="1" applyFill="1" applyBorder="1"/>
    <xf numFmtId="37" fontId="7" fillId="0" borderId="0" xfId="0" applyNumberFormat="1" applyFont="1"/>
    <xf numFmtId="1" fontId="9" fillId="0" borderId="9" xfId="0" applyNumberFormat="1" applyFont="1" applyBorder="1"/>
    <xf numFmtId="165" fontId="9" fillId="0" borderId="9" xfId="0" applyNumberFormat="1" applyFont="1" applyBorder="1"/>
    <xf numFmtId="165" fontId="9" fillId="0" borderId="8" xfId="0" applyNumberFormat="1" applyFont="1" applyBorder="1"/>
    <xf numFmtId="166" fontId="9" fillId="0" borderId="12" xfId="0" applyNumberFormat="1" applyFont="1" applyBorder="1"/>
    <xf numFmtId="165" fontId="9" fillId="0" borderId="16" xfId="0" applyNumberFormat="1" applyFont="1" applyBorder="1"/>
    <xf numFmtId="37" fontId="9" fillId="0" borderId="14" xfId="0" applyNumberFormat="1" applyFont="1" applyBorder="1"/>
    <xf numFmtId="165" fontId="9" fillId="0" borderId="14" xfId="0" applyNumberFormat="1" applyFont="1" applyBorder="1"/>
    <xf numFmtId="37" fontId="9" fillId="0" borderId="7" xfId="0" applyNumberFormat="1" applyFont="1" applyBorder="1"/>
    <xf numFmtId="37" fontId="9" fillId="0" borderId="20" xfId="0" applyNumberFormat="1" applyFont="1" applyBorder="1"/>
    <xf numFmtId="3" fontId="9" fillId="0" borderId="47" xfId="0" applyNumberFormat="1" applyFont="1" applyBorder="1"/>
    <xf numFmtId="2" fontId="9" fillId="0" borderId="0" xfId="0" applyNumberFormat="1" applyFont="1"/>
    <xf numFmtId="165" fontId="10" fillId="0" borderId="14" xfId="0" applyNumberFormat="1" applyFont="1" applyBorder="1"/>
    <xf numFmtId="165" fontId="10" fillId="0" borderId="16" xfId="0" applyNumberFormat="1" applyFont="1" applyBorder="1"/>
    <xf numFmtId="165" fontId="10" fillId="0" borderId="17" xfId="0" applyNumberFormat="1" applyFont="1" applyBorder="1"/>
    <xf numFmtId="166" fontId="9" fillId="0" borderId="15" xfId="0" applyNumberFormat="1" applyFont="1" applyBorder="1"/>
    <xf numFmtId="165" fontId="9" fillId="0" borderId="13" xfId="0" applyNumberFormat="1" applyFont="1" applyBorder="1"/>
    <xf numFmtId="37" fontId="9" fillId="0" borderId="23" xfId="0" applyNumberFormat="1" applyFont="1" applyBorder="1"/>
    <xf numFmtId="165" fontId="9" fillId="0" borderId="20" xfId="0" applyNumberFormat="1" applyFont="1" applyBorder="1"/>
    <xf numFmtId="166" fontId="10" fillId="0" borderId="0" xfId="0" applyNumberFormat="1" applyFont="1"/>
    <xf numFmtId="37" fontId="10" fillId="0" borderId="9" xfId="0" applyNumberFormat="1" applyFont="1" applyBorder="1"/>
    <xf numFmtId="37" fontId="10" fillId="0" borderId="8" xfId="0" applyNumberFormat="1" applyFont="1" applyBorder="1"/>
    <xf numFmtId="37" fontId="10" fillId="0" borderId="10" xfId="0" applyNumberFormat="1" applyFont="1" applyBorder="1"/>
    <xf numFmtId="0" fontId="10" fillId="0" borderId="12" xfId="0" applyFont="1" applyBorder="1"/>
    <xf numFmtId="166" fontId="10" fillId="0" borderId="12" xfId="0" applyNumberFormat="1" applyFont="1" applyBorder="1"/>
    <xf numFmtId="0" fontId="10" fillId="0" borderId="14" xfId="0" applyFont="1" applyBorder="1"/>
    <xf numFmtId="37" fontId="10" fillId="0" borderId="14" xfId="0" applyNumberFormat="1" applyFont="1" applyBorder="1"/>
    <xf numFmtId="37" fontId="10" fillId="0" borderId="16" xfId="0" applyNumberFormat="1" applyFont="1" applyBorder="1"/>
    <xf numFmtId="37" fontId="10" fillId="0" borderId="17" xfId="0" applyNumberFormat="1" applyFont="1" applyBorder="1"/>
    <xf numFmtId="37" fontId="9" fillId="0" borderId="44" xfId="0" applyNumberFormat="1" applyFont="1" applyBorder="1"/>
    <xf numFmtId="0" fontId="10" fillId="3" borderId="24" xfId="0" applyFont="1" applyFill="1" applyBorder="1"/>
    <xf numFmtId="37" fontId="10" fillId="3" borderId="25" xfId="0" applyNumberFormat="1" applyFont="1" applyFill="1" applyBorder="1"/>
    <xf numFmtId="37" fontId="10" fillId="3" borderId="26" xfId="0" applyNumberFormat="1" applyFont="1" applyFill="1" applyBorder="1"/>
    <xf numFmtId="37" fontId="10" fillId="3" borderId="27" xfId="0" applyNumberFormat="1" applyFont="1" applyFill="1" applyBorder="1"/>
    <xf numFmtId="165" fontId="10" fillId="3" borderId="27" xfId="0" applyNumberFormat="1" applyFont="1" applyFill="1" applyBorder="1"/>
    <xf numFmtId="37" fontId="10" fillId="3" borderId="28" xfId="0" applyNumberFormat="1" applyFont="1" applyFill="1" applyBorder="1"/>
    <xf numFmtId="0" fontId="10" fillId="3" borderId="22" xfId="0" applyFont="1" applyFill="1" applyBorder="1"/>
    <xf numFmtId="37" fontId="10" fillId="3" borderId="12" xfId="0" applyNumberFormat="1" applyFont="1" applyFill="1" applyBorder="1"/>
    <xf numFmtId="165" fontId="10" fillId="3" borderId="16" xfId="0" applyNumberFormat="1" applyFont="1" applyFill="1" applyBorder="1"/>
    <xf numFmtId="37" fontId="10" fillId="3" borderId="14" xfId="0" applyNumberFormat="1" applyFont="1" applyFill="1" applyBorder="1"/>
    <xf numFmtId="37" fontId="10" fillId="0" borderId="7" xfId="0" applyNumberFormat="1" applyFont="1" applyBorder="1"/>
    <xf numFmtId="166" fontId="10" fillId="0" borderId="7" xfId="0" applyNumberFormat="1" applyFont="1" applyBorder="1"/>
    <xf numFmtId="37" fontId="10" fillId="0" borderId="19" xfId="0" applyNumberFormat="1" applyFont="1" applyBorder="1"/>
    <xf numFmtId="37" fontId="10" fillId="0" borderId="20" xfId="0" applyNumberFormat="1" applyFont="1" applyBorder="1"/>
    <xf numFmtId="37" fontId="10" fillId="0" borderId="21" xfId="0" applyNumberFormat="1" applyFont="1" applyBorder="1"/>
    <xf numFmtId="0" fontId="10" fillId="3" borderId="6" xfId="0" applyFont="1" applyFill="1" applyBorder="1"/>
    <xf numFmtId="37" fontId="10" fillId="3" borderId="7" xfId="0" applyNumberFormat="1" applyFont="1" applyFill="1" applyBorder="1"/>
    <xf numFmtId="166" fontId="10" fillId="3" borderId="7" xfId="0" applyNumberFormat="1" applyFont="1" applyFill="1" applyBorder="1"/>
    <xf numFmtId="37" fontId="10" fillId="3" borderId="19" xfId="0" applyNumberFormat="1" applyFont="1" applyFill="1" applyBorder="1"/>
    <xf numFmtId="37" fontId="10" fillId="3" borderId="20" xfId="0" applyNumberFormat="1" applyFont="1" applyFill="1" applyBorder="1"/>
    <xf numFmtId="37" fontId="10" fillId="3" borderId="21" xfId="0" applyNumberFormat="1" applyFont="1" applyFill="1" applyBorder="1"/>
    <xf numFmtId="165" fontId="10" fillId="2" borderId="27" xfId="0" applyNumberFormat="1" applyFont="1" applyFill="1" applyBorder="1"/>
    <xf numFmtId="0" fontId="9" fillId="0" borderId="15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1" fontId="9" fillId="0" borderId="20" xfId="0" applyNumberFormat="1" applyFont="1" applyBorder="1"/>
    <xf numFmtId="2" fontId="9" fillId="0" borderId="12" xfId="0" applyNumberFormat="1" applyFont="1" applyBorder="1"/>
    <xf numFmtId="0" fontId="14" fillId="0" borderId="6" xfId="0" applyFont="1" applyBorder="1"/>
    <xf numFmtId="0" fontId="14" fillId="0" borderId="48" xfId="0" applyFont="1" applyBorder="1"/>
    <xf numFmtId="165" fontId="10" fillId="0" borderId="7" xfId="0" applyNumberFormat="1" applyFont="1" applyBorder="1"/>
    <xf numFmtId="165" fontId="10" fillId="0" borderId="20" xfId="0" applyNumberFormat="1" applyFont="1" applyBorder="1"/>
    <xf numFmtId="0" fontId="9" fillId="0" borderId="16" xfId="0" applyFont="1" applyBorder="1"/>
    <xf numFmtId="0" fontId="12" fillId="0" borderId="12" xfId="0" applyFont="1" applyBorder="1"/>
    <xf numFmtId="165" fontId="9" fillId="0" borderId="15" xfId="0" applyNumberFormat="1" applyFont="1" applyBorder="1"/>
    <xf numFmtId="165" fontId="9" fillId="0" borderId="12" xfId="0" applyNumberFormat="1" applyFont="1" applyBorder="1"/>
    <xf numFmtId="165" fontId="10" fillId="2" borderId="25" xfId="0" applyNumberFormat="1" applyFont="1" applyFill="1" applyBorder="1"/>
    <xf numFmtId="165" fontId="10" fillId="2" borderId="49" xfId="0" applyNumberFormat="1" applyFont="1" applyFill="1" applyBorder="1"/>
    <xf numFmtId="37" fontId="10" fillId="2" borderId="50" xfId="0" applyNumberFormat="1" applyFont="1" applyFill="1" applyBorder="1"/>
    <xf numFmtId="37" fontId="10" fillId="2" borderId="51" xfId="0" applyNumberFormat="1" applyFont="1" applyFill="1" applyBorder="1"/>
    <xf numFmtId="0" fontId="10" fillId="2" borderId="52" xfId="0" applyFont="1" applyFill="1" applyBorder="1"/>
    <xf numFmtId="37" fontId="10" fillId="2" borderId="53" xfId="0" applyNumberFormat="1" applyFont="1" applyFill="1" applyBorder="1"/>
    <xf numFmtId="166" fontId="10" fillId="2" borderId="53" xfId="0" applyNumberFormat="1" applyFont="1" applyFill="1" applyBorder="1"/>
    <xf numFmtId="37" fontId="10" fillId="2" borderId="54" xfId="0" applyNumberFormat="1" applyFont="1" applyFill="1" applyBorder="1"/>
    <xf numFmtId="37" fontId="10" fillId="2" borderId="55" xfId="0" applyNumberFormat="1" applyFont="1" applyFill="1" applyBorder="1"/>
    <xf numFmtId="0" fontId="9" fillId="2" borderId="32" xfId="0" applyFont="1" applyFill="1" applyBorder="1"/>
    <xf numFmtId="0" fontId="12" fillId="0" borderId="56" xfId="0" applyFont="1" applyBorder="1"/>
    <xf numFmtId="0" fontId="14" fillId="0" borderId="11" xfId="0" applyFont="1" applyBorder="1"/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44" xfId="0" applyFont="1" applyBorder="1" applyAlignment="1">
      <alignment horizontal="center"/>
    </xf>
    <xf numFmtId="37" fontId="9" fillId="4" borderId="0" xfId="0" applyNumberFormat="1" applyFont="1" applyFill="1"/>
    <xf numFmtId="165" fontId="10" fillId="2" borderId="0" xfId="0" applyNumberFormat="1" applyFont="1" applyFill="1"/>
    <xf numFmtId="37" fontId="9" fillId="4" borderId="5" xfId="0" applyNumberFormat="1" applyFont="1" applyFill="1" applyBorder="1"/>
    <xf numFmtId="3" fontId="9" fillId="4" borderId="1" xfId="0" applyNumberFormat="1" applyFont="1" applyFill="1" applyBorder="1"/>
    <xf numFmtId="3" fontId="9" fillId="4" borderId="3" xfId="0" applyNumberFormat="1" applyFont="1" applyFill="1" applyBorder="1"/>
    <xf numFmtId="37" fontId="17" fillId="0" borderId="0" xfId="0" applyNumberFormat="1" applyFont="1"/>
    <xf numFmtId="165" fontId="9" fillId="0" borderId="0" xfId="1" applyNumberFormat="1" applyFont="1" applyFill="1" applyBorder="1"/>
    <xf numFmtId="165" fontId="10" fillId="0" borderId="26" xfId="0" applyNumberFormat="1" applyFont="1" applyBorder="1"/>
    <xf numFmtId="0" fontId="12" fillId="0" borderId="0" xfId="0" applyFont="1"/>
    <xf numFmtId="165" fontId="9" fillId="0" borderId="8" xfId="1" applyNumberFormat="1" applyFont="1" applyFill="1" applyBorder="1"/>
    <xf numFmtId="0" fontId="10" fillId="0" borderId="10" xfId="0" applyFont="1" applyBorder="1"/>
    <xf numFmtId="0" fontId="18" fillId="0" borderId="0" xfId="0" applyFont="1"/>
    <xf numFmtId="0" fontId="10" fillId="2" borderId="37" xfId="0" applyFont="1" applyFill="1" applyBorder="1"/>
    <xf numFmtId="0" fontId="10" fillId="2" borderId="57" xfId="0" applyFont="1" applyFill="1" applyBorder="1"/>
    <xf numFmtId="0" fontId="10" fillId="2" borderId="58" xfId="0" applyFont="1" applyFill="1" applyBorder="1"/>
    <xf numFmtId="37" fontId="10" fillId="2" borderId="59" xfId="0" applyNumberFormat="1" applyFont="1" applyFill="1" applyBorder="1"/>
    <xf numFmtId="0" fontId="10" fillId="2" borderId="60" xfId="0" applyFont="1" applyFill="1" applyBorder="1"/>
    <xf numFmtId="0" fontId="9" fillId="2" borderId="60" xfId="0" applyFont="1" applyFill="1" applyBorder="1"/>
    <xf numFmtId="0" fontId="9" fillId="2" borderId="58" xfId="0" applyFont="1" applyFill="1" applyBorder="1"/>
    <xf numFmtId="37" fontId="10" fillId="2" borderId="61" xfId="0" applyNumberFormat="1" applyFont="1" applyFill="1" applyBorder="1"/>
    <xf numFmtId="0" fontId="5" fillId="0" borderId="0" xfId="0" applyFont="1" applyAlignment="1">
      <alignment horizontal="right" vertical="center"/>
    </xf>
    <xf numFmtId="0" fontId="19" fillId="0" borderId="0" xfId="0" applyFont="1" applyAlignment="1">
      <alignment horizontal="center" vertical="center"/>
    </xf>
    <xf numFmtId="0" fontId="9" fillId="0" borderId="62" xfId="0" applyFont="1" applyBorder="1" applyAlignment="1">
      <alignment horizontal="left"/>
    </xf>
    <xf numFmtId="0" fontId="10" fillId="0" borderId="63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67" xfId="0" applyFont="1" applyBorder="1" applyAlignment="1">
      <alignment horizontal="center"/>
    </xf>
    <xf numFmtId="0" fontId="9" fillId="0" borderId="68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14" fillId="0" borderId="12" xfId="0" applyFont="1" applyBorder="1"/>
    <xf numFmtId="37" fontId="14" fillId="0" borderId="67" xfId="0" applyNumberFormat="1" applyFont="1" applyBorder="1"/>
    <xf numFmtId="37" fontId="14" fillId="0" borderId="68" xfId="0" applyNumberFormat="1" applyFont="1" applyBorder="1"/>
    <xf numFmtId="37" fontId="14" fillId="0" borderId="12" xfId="0" applyNumberFormat="1" applyFont="1" applyBorder="1"/>
    <xf numFmtId="165" fontId="14" fillId="0" borderId="12" xfId="0" applyNumberFormat="1" applyFont="1" applyBorder="1"/>
    <xf numFmtId="37" fontId="14" fillId="0" borderId="69" xfId="0" applyNumberFormat="1" applyFont="1" applyBorder="1"/>
    <xf numFmtId="165" fontId="14" fillId="0" borderId="17" xfId="0" applyNumberFormat="1" applyFont="1" applyBorder="1"/>
    <xf numFmtId="0" fontId="19" fillId="2" borderId="22" xfId="0" applyFont="1" applyFill="1" applyBorder="1"/>
    <xf numFmtId="0" fontId="19" fillId="2" borderId="12" xfId="0" applyFont="1" applyFill="1" applyBorder="1"/>
    <xf numFmtId="37" fontId="19" fillId="2" borderId="67" xfId="0" applyNumberFormat="1" applyFont="1" applyFill="1" applyBorder="1"/>
    <xf numFmtId="37" fontId="19" fillId="2" borderId="68" xfId="0" applyNumberFormat="1" applyFont="1" applyFill="1" applyBorder="1"/>
    <xf numFmtId="37" fontId="19" fillId="2" borderId="12" xfId="0" applyNumberFormat="1" applyFont="1" applyFill="1" applyBorder="1"/>
    <xf numFmtId="165" fontId="19" fillId="2" borderId="12" xfId="0" applyNumberFormat="1" applyFont="1" applyFill="1" applyBorder="1"/>
    <xf numFmtId="37" fontId="19" fillId="2" borderId="69" xfId="0" applyNumberFormat="1" applyFont="1" applyFill="1" applyBorder="1"/>
    <xf numFmtId="165" fontId="19" fillId="2" borderId="17" xfId="0" applyNumberFormat="1" applyFont="1" applyFill="1" applyBorder="1"/>
    <xf numFmtId="0" fontId="19" fillId="0" borderId="18" xfId="0" applyFont="1" applyBorder="1"/>
    <xf numFmtId="0" fontId="14" fillId="0" borderId="0" xfId="0" applyFont="1"/>
    <xf numFmtId="37" fontId="14" fillId="0" borderId="70" xfId="0" applyNumberFormat="1" applyFont="1" applyBorder="1"/>
    <xf numFmtId="37" fontId="14" fillId="0" borderId="71" xfId="0" applyNumberFormat="1" applyFont="1" applyBorder="1"/>
    <xf numFmtId="37" fontId="14" fillId="0" borderId="0" xfId="0" applyNumberFormat="1" applyFont="1"/>
    <xf numFmtId="165" fontId="14" fillId="0" borderId="0" xfId="0" applyNumberFormat="1" applyFont="1"/>
    <xf numFmtId="37" fontId="14" fillId="0" borderId="72" xfId="0" applyNumberFormat="1" applyFont="1" applyBorder="1"/>
    <xf numFmtId="165" fontId="14" fillId="0" borderId="21" xfId="0" applyNumberFormat="1" applyFont="1" applyBorder="1"/>
    <xf numFmtId="0" fontId="14" fillId="0" borderId="0" xfId="0" applyFont="1" applyAlignment="1">
      <alignment horizontal="right"/>
    </xf>
    <xf numFmtId="166" fontId="14" fillId="0" borderId="0" xfId="0" applyNumberFormat="1" applyFont="1"/>
    <xf numFmtId="0" fontId="14" fillId="0" borderId="71" xfId="0" applyFont="1" applyBorder="1"/>
    <xf numFmtId="165" fontId="14" fillId="0" borderId="10" xfId="0" applyNumberFormat="1" applyFont="1" applyBorder="1"/>
    <xf numFmtId="0" fontId="14" fillId="0" borderId="12" xfId="0" applyFont="1" applyBorder="1" applyAlignment="1">
      <alignment horizontal="right"/>
    </xf>
    <xf numFmtId="166" fontId="14" fillId="0" borderId="12" xfId="0" applyNumberFormat="1" applyFont="1" applyBorder="1"/>
    <xf numFmtId="0" fontId="14" fillId="0" borderId="68" xfId="0" applyFont="1" applyBorder="1"/>
    <xf numFmtId="165" fontId="14" fillId="0" borderId="67" xfId="0" applyNumberFormat="1" applyFont="1" applyBorder="1"/>
    <xf numFmtId="165" fontId="14" fillId="0" borderId="73" xfId="0" applyNumberFormat="1" applyFont="1" applyBorder="1"/>
    <xf numFmtId="165" fontId="20" fillId="0" borderId="10" xfId="0" applyNumberFormat="1" applyFont="1" applyBorder="1"/>
    <xf numFmtId="0" fontId="19" fillId="2" borderId="34" xfId="0" applyFont="1" applyFill="1" applyBorder="1"/>
    <xf numFmtId="0" fontId="19" fillId="2" borderId="35" xfId="0" applyFont="1" applyFill="1" applyBorder="1"/>
    <xf numFmtId="165" fontId="19" fillId="2" borderId="35" xfId="0" applyNumberFormat="1" applyFont="1" applyFill="1" applyBorder="1"/>
    <xf numFmtId="37" fontId="19" fillId="2" borderId="74" xfId="0" applyNumberFormat="1" applyFont="1" applyFill="1" applyBorder="1"/>
    <xf numFmtId="165" fontId="19" fillId="2" borderId="38" xfId="0" applyNumberFormat="1" applyFont="1" applyFill="1" applyBorder="1"/>
    <xf numFmtId="0" fontId="19" fillId="2" borderId="38" xfId="0" applyFont="1" applyFill="1" applyBorder="1"/>
    <xf numFmtId="37" fontId="19" fillId="2" borderId="35" xfId="0" applyNumberFormat="1" applyFont="1" applyFill="1" applyBorder="1"/>
    <xf numFmtId="0" fontId="19" fillId="2" borderId="75" xfId="0" applyFont="1" applyFill="1" applyBorder="1"/>
    <xf numFmtId="43" fontId="7" fillId="0" borderId="0" xfId="0" applyNumberFormat="1" applyFont="1"/>
    <xf numFmtId="43" fontId="18" fillId="0" borderId="0" xfId="0" applyNumberFormat="1" applyFont="1"/>
    <xf numFmtId="165" fontId="14" fillId="0" borderId="70" xfId="0" applyNumberFormat="1" applyFont="1" applyBorder="1"/>
    <xf numFmtId="166" fontId="19" fillId="2" borderId="35" xfId="0" applyNumberFormat="1" applyFont="1" applyFill="1" applyBorder="1"/>
    <xf numFmtId="37" fontId="19" fillId="2" borderId="38" xfId="0" applyNumberFormat="1" applyFont="1" applyFill="1" applyBorder="1"/>
    <xf numFmtId="37" fontId="19" fillId="2" borderId="75" xfId="0" applyNumberFormat="1" applyFont="1" applyFill="1" applyBorder="1"/>
    <xf numFmtId="37" fontId="18" fillId="0" borderId="0" xfId="0" applyNumberFormat="1" applyFont="1"/>
    <xf numFmtId="0" fontId="14" fillId="0" borderId="7" xfId="0" applyFont="1" applyBorder="1" applyAlignment="1">
      <alignment horizontal="right"/>
    </xf>
    <xf numFmtId="0" fontId="14" fillId="0" borderId="7" xfId="0" applyFont="1" applyBorder="1"/>
    <xf numFmtId="37" fontId="14" fillId="0" borderId="76" xfId="0" applyNumberFormat="1" applyFont="1" applyBorder="1"/>
    <xf numFmtId="0" fontId="14" fillId="0" borderId="77" xfId="0" applyFont="1" applyBorder="1"/>
    <xf numFmtId="166" fontId="14" fillId="0" borderId="7" xfId="0" applyNumberFormat="1" applyFont="1" applyBorder="1"/>
    <xf numFmtId="37" fontId="14" fillId="0" borderId="7" xfId="0" applyNumberFormat="1" applyFont="1" applyBorder="1"/>
    <xf numFmtId="165" fontId="14" fillId="0" borderId="7" xfId="0" applyNumberFormat="1" applyFont="1" applyBorder="1"/>
    <xf numFmtId="37" fontId="14" fillId="0" borderId="78" xfId="0" applyNumberFormat="1" applyFont="1" applyBorder="1"/>
    <xf numFmtId="0" fontId="14" fillId="0" borderId="47" xfId="0" applyFont="1" applyBorder="1" applyAlignment="1">
      <alignment horizontal="right"/>
    </xf>
    <xf numFmtId="0" fontId="14" fillId="0" borderId="47" xfId="0" applyFont="1" applyBorder="1"/>
    <xf numFmtId="37" fontId="14" fillId="0" borderId="79" xfId="0" applyNumberFormat="1" applyFont="1" applyBorder="1"/>
    <xf numFmtId="0" fontId="14" fillId="0" borderId="80" xfId="0" applyFont="1" applyBorder="1"/>
    <xf numFmtId="166" fontId="14" fillId="0" borderId="47" xfId="0" applyNumberFormat="1" applyFont="1" applyBorder="1"/>
    <xf numFmtId="37" fontId="14" fillId="0" borderId="80" xfId="0" applyNumberFormat="1" applyFont="1" applyBorder="1"/>
    <xf numFmtId="37" fontId="14" fillId="0" borderId="47" xfId="0" applyNumberFormat="1" applyFont="1" applyBorder="1"/>
    <xf numFmtId="165" fontId="14" fillId="0" borderId="47" xfId="0" applyNumberFormat="1" applyFont="1" applyBorder="1"/>
    <xf numFmtId="37" fontId="14" fillId="0" borderId="81" xfId="0" applyNumberFormat="1" applyFont="1" applyBorder="1"/>
    <xf numFmtId="165" fontId="14" fillId="0" borderId="82" xfId="0" applyNumberFormat="1" applyFont="1" applyBorder="1"/>
    <xf numFmtId="167" fontId="18" fillId="0" borderId="0" xfId="0" applyNumberFormat="1" applyFont="1"/>
    <xf numFmtId="0" fontId="14" fillId="2" borderId="35" xfId="0" applyFont="1" applyFill="1" applyBorder="1"/>
    <xf numFmtId="165" fontId="19" fillId="2" borderId="39" xfId="0" applyNumberFormat="1" applyFont="1" applyFill="1" applyBorder="1"/>
    <xf numFmtId="165" fontId="19" fillId="0" borderId="0" xfId="0" applyNumberFormat="1" applyFont="1"/>
    <xf numFmtId="0" fontId="19" fillId="0" borderId="0" xfId="0" applyFont="1"/>
    <xf numFmtId="0" fontId="18" fillId="3" borderId="0" xfId="0" applyFont="1" applyFill="1"/>
    <xf numFmtId="165" fontId="14" fillId="0" borderId="76" xfId="0" applyNumberFormat="1" applyFont="1" applyBorder="1"/>
    <xf numFmtId="0" fontId="14" fillId="0" borderId="70" xfId="0" applyFont="1" applyBorder="1"/>
    <xf numFmtId="0" fontId="14" fillId="0" borderId="72" xfId="0" applyFont="1" applyBorder="1"/>
    <xf numFmtId="165" fontId="14" fillId="0" borderId="83" xfId="0" applyNumberFormat="1" applyFont="1" applyBorder="1"/>
    <xf numFmtId="165" fontId="19" fillId="0" borderId="7" xfId="0" applyNumberFormat="1" applyFont="1" applyBorder="1"/>
    <xf numFmtId="0" fontId="19" fillId="0" borderId="7" xfId="0" applyFont="1" applyBorder="1"/>
    <xf numFmtId="165" fontId="19" fillId="0" borderId="77" xfId="0" applyNumberFormat="1" applyFont="1" applyBorder="1"/>
    <xf numFmtId="37" fontId="19" fillId="0" borderId="77" xfId="0" applyNumberFormat="1" applyFont="1" applyBorder="1"/>
    <xf numFmtId="37" fontId="14" fillId="0" borderId="84" xfId="0" applyNumberFormat="1" applyFont="1" applyBorder="1"/>
    <xf numFmtId="37" fontId="19" fillId="0" borderId="7" xfId="0" applyNumberFormat="1" applyFont="1" applyBorder="1"/>
    <xf numFmtId="165" fontId="19" fillId="0" borderId="71" xfId="0" applyNumberFormat="1" applyFont="1" applyBorder="1"/>
    <xf numFmtId="37" fontId="19" fillId="0" borderId="71" xfId="0" applyNumberFormat="1" applyFont="1" applyBorder="1"/>
    <xf numFmtId="37" fontId="14" fillId="0" borderId="85" xfId="0" applyNumberFormat="1" applyFont="1" applyBorder="1"/>
    <xf numFmtId="37" fontId="19" fillId="0" borderId="0" xfId="0" applyNumberFormat="1" applyFont="1"/>
    <xf numFmtId="165" fontId="14" fillId="2" borderId="38" xfId="0" applyNumberFormat="1" applyFont="1" applyFill="1" applyBorder="1"/>
    <xf numFmtId="165" fontId="14" fillId="2" borderId="35" xfId="0" applyNumberFormat="1" applyFont="1" applyFill="1" applyBorder="1"/>
    <xf numFmtId="37" fontId="14" fillId="2" borderId="75" xfId="0" applyNumberFormat="1" applyFont="1" applyFill="1" applyBorder="1"/>
    <xf numFmtId="0" fontId="19" fillId="3" borderId="6" xfId="0" applyFont="1" applyFill="1" applyBorder="1"/>
    <xf numFmtId="0" fontId="19" fillId="3" borderId="7" xfId="0" applyFont="1" applyFill="1" applyBorder="1"/>
    <xf numFmtId="37" fontId="19" fillId="3" borderId="7" xfId="0" applyNumberFormat="1" applyFont="1" applyFill="1" applyBorder="1"/>
    <xf numFmtId="37" fontId="14" fillId="3" borderId="76" xfId="0" applyNumberFormat="1" applyFont="1" applyFill="1" applyBorder="1"/>
    <xf numFmtId="0" fontId="14" fillId="3" borderId="7" xfId="0" applyFont="1" applyFill="1" applyBorder="1"/>
    <xf numFmtId="37" fontId="14" fillId="3" borderId="7" xfId="0" applyNumberFormat="1" applyFont="1" applyFill="1" applyBorder="1"/>
    <xf numFmtId="37" fontId="14" fillId="3" borderId="77" xfId="0" applyNumberFormat="1" applyFont="1" applyFill="1" applyBorder="1"/>
    <xf numFmtId="37" fontId="14" fillId="3" borderId="0" xfId="0" applyNumberFormat="1" applyFont="1" applyFill="1"/>
    <xf numFmtId="165" fontId="14" fillId="3" borderId="0" xfId="0" applyNumberFormat="1" applyFont="1" applyFill="1"/>
    <xf numFmtId="165" fontId="14" fillId="3" borderId="77" xfId="0" applyNumberFormat="1" applyFont="1" applyFill="1" applyBorder="1"/>
    <xf numFmtId="165" fontId="14" fillId="3" borderId="7" xfId="0" applyNumberFormat="1" applyFont="1" applyFill="1" applyBorder="1"/>
    <xf numFmtId="37" fontId="14" fillId="3" borderId="78" xfId="0" applyNumberFormat="1" applyFont="1" applyFill="1" applyBorder="1"/>
    <xf numFmtId="165" fontId="14" fillId="0" borderId="45" xfId="0" applyNumberFormat="1" applyFont="1" applyBorder="1"/>
    <xf numFmtId="0" fontId="19" fillId="2" borderId="57" xfId="0" applyFont="1" applyFill="1" applyBorder="1"/>
    <xf numFmtId="0" fontId="19" fillId="2" borderId="58" xfId="0" applyFont="1" applyFill="1" applyBorder="1"/>
    <xf numFmtId="0" fontId="19" fillId="2" borderId="58" xfId="0" applyFont="1" applyFill="1" applyBorder="1" applyAlignment="1">
      <alignment horizontal="center"/>
    </xf>
    <xf numFmtId="165" fontId="19" fillId="2" borderId="58" xfId="0" applyNumberFormat="1" applyFont="1" applyFill="1" applyBorder="1"/>
    <xf numFmtId="37" fontId="19" fillId="2" borderId="86" xfId="0" applyNumberFormat="1" applyFont="1" applyFill="1" applyBorder="1"/>
    <xf numFmtId="37" fontId="19" fillId="2" borderId="58" xfId="0" applyNumberFormat="1" applyFont="1" applyFill="1" applyBorder="1"/>
    <xf numFmtId="37" fontId="19" fillId="2" borderId="87" xfId="0" applyNumberFormat="1" applyFont="1" applyFill="1" applyBorder="1"/>
    <xf numFmtId="165" fontId="19" fillId="2" borderId="88" xfId="0" applyNumberFormat="1" applyFont="1" applyFill="1" applyBorder="1"/>
    <xf numFmtId="0" fontId="19" fillId="2" borderId="87" xfId="0" applyFont="1" applyFill="1" applyBorder="1" applyAlignment="1">
      <alignment horizontal="center"/>
    </xf>
    <xf numFmtId="37" fontId="19" fillId="2" borderId="89" xfId="0" applyNumberFormat="1" applyFont="1" applyFill="1" applyBorder="1"/>
    <xf numFmtId="165" fontId="19" fillId="2" borderId="46" xfId="0" applyNumberFormat="1" applyFont="1" applyFill="1" applyBorder="1"/>
    <xf numFmtId="39" fontId="14" fillId="0" borderId="0" xfId="0" applyNumberFormat="1" applyFont="1"/>
    <xf numFmtId="0" fontId="19" fillId="2" borderId="90" xfId="0" applyFont="1" applyFill="1" applyBorder="1"/>
    <xf numFmtId="0" fontId="19" fillId="2" borderId="91" xfId="0" applyFont="1" applyFill="1" applyBorder="1"/>
    <xf numFmtId="0" fontId="19" fillId="2" borderId="91" xfId="0" applyFont="1" applyFill="1" applyBorder="1" applyAlignment="1">
      <alignment horizontal="center"/>
    </xf>
    <xf numFmtId="165" fontId="19" fillId="2" borderId="91" xfId="0" applyNumberFormat="1" applyFont="1" applyFill="1" applyBorder="1"/>
    <xf numFmtId="37" fontId="19" fillId="2" borderId="92" xfId="0" applyNumberFormat="1" applyFont="1" applyFill="1" applyBorder="1"/>
    <xf numFmtId="37" fontId="19" fillId="2" borderId="91" xfId="0" applyNumberFormat="1" applyFont="1" applyFill="1" applyBorder="1"/>
    <xf numFmtId="37" fontId="19" fillId="2" borderId="93" xfId="0" applyNumberFormat="1" applyFont="1" applyFill="1" applyBorder="1"/>
    <xf numFmtId="37" fontId="19" fillId="2" borderId="94" xfId="0" applyNumberFormat="1" applyFont="1" applyFill="1" applyBorder="1"/>
    <xf numFmtId="37" fontId="19" fillId="2" borderId="63" xfId="0" applyNumberFormat="1" applyFont="1" applyFill="1" applyBorder="1"/>
    <xf numFmtId="165" fontId="19" fillId="2" borderId="66" xfId="0" applyNumberFormat="1" applyFont="1" applyFill="1" applyBorder="1"/>
    <xf numFmtId="0" fontId="18" fillId="0" borderId="18" xfId="0" applyFont="1" applyBorder="1"/>
    <xf numFmtId="37" fontId="18" fillId="0" borderId="70" xfId="0" applyNumberFormat="1" applyFont="1" applyBorder="1"/>
    <xf numFmtId="0" fontId="18" fillId="0" borderId="70" xfId="0" applyFont="1" applyBorder="1"/>
    <xf numFmtId="0" fontId="18" fillId="0" borderId="85" xfId="0" applyFont="1" applyBorder="1"/>
    <xf numFmtId="0" fontId="18" fillId="0" borderId="72" xfId="0" applyFont="1" applyBorder="1"/>
    <xf numFmtId="0" fontId="18" fillId="0" borderId="10" xfId="0" applyFont="1" applyBorder="1"/>
    <xf numFmtId="0" fontId="7" fillId="0" borderId="72" xfId="0" applyFont="1" applyBorder="1"/>
    <xf numFmtId="165" fontId="19" fillId="2" borderId="61" xfId="0" applyNumberFormat="1" applyFont="1" applyFill="1" applyBorder="1"/>
    <xf numFmtId="0" fontId="21" fillId="0" borderId="0" xfId="0" applyFont="1"/>
    <xf numFmtId="37" fontId="21" fillId="0" borderId="0" xfId="0" applyNumberFormat="1" applyFont="1"/>
    <xf numFmtId="0" fontId="21" fillId="3" borderId="0" xfId="0" applyFont="1" applyFill="1"/>
    <xf numFmtId="37" fontId="18" fillId="3" borderId="0" xfId="0" applyNumberFormat="1" applyFont="1" applyFill="1"/>
    <xf numFmtId="0" fontId="22" fillId="3" borderId="0" xfId="0" applyFont="1" applyFill="1"/>
    <xf numFmtId="37" fontId="21" fillId="3" borderId="0" xfId="0" applyNumberFormat="1" applyFont="1" applyFill="1"/>
    <xf numFmtId="0" fontId="23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164" fontId="24" fillId="3" borderId="0" xfId="0" applyNumberFormat="1" applyFont="1" applyFill="1" applyAlignment="1">
      <alignment horizontal="right"/>
    </xf>
    <xf numFmtId="0" fontId="21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0" fontId="24" fillId="3" borderId="0" xfId="0" applyFont="1" applyFill="1"/>
    <xf numFmtId="165" fontId="18" fillId="3" borderId="0" xfId="0" applyNumberFormat="1" applyFont="1" applyFill="1"/>
    <xf numFmtId="9" fontId="18" fillId="3" borderId="0" xfId="0" applyNumberFormat="1" applyFont="1" applyFill="1"/>
    <xf numFmtId="165" fontId="21" fillId="3" borderId="0" xfId="0" applyNumberFormat="1" applyFont="1" applyFill="1"/>
    <xf numFmtId="0" fontId="25" fillId="3" borderId="0" xfId="0" applyFont="1" applyFill="1"/>
    <xf numFmtId="0" fontId="23" fillId="3" borderId="0" xfId="0" applyFont="1" applyFill="1" applyAlignment="1">
      <alignment horizontal="center"/>
    </xf>
    <xf numFmtId="164" fontId="18" fillId="3" borderId="0" xfId="0" applyNumberFormat="1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4" fillId="3" borderId="0" xfId="0" applyFont="1" applyFill="1" applyAlignment="1">
      <alignment horizontal="left"/>
    </xf>
    <xf numFmtId="0" fontId="27" fillId="3" borderId="0" xfId="0" applyFont="1" applyFill="1"/>
    <xf numFmtId="0" fontId="29" fillId="0" borderId="96" xfId="0" applyFont="1" applyBorder="1" applyAlignment="1">
      <alignment vertical="center"/>
    </xf>
    <xf numFmtId="0" fontId="0" fillId="0" borderId="0" xfId="0" applyAlignment="1">
      <alignment vertical="center"/>
    </xf>
    <xf numFmtId="0" fontId="30" fillId="0" borderId="96" xfId="0" applyFont="1" applyBorder="1" applyAlignment="1">
      <alignment vertical="center"/>
    </xf>
    <xf numFmtId="0" fontId="30" fillId="0" borderId="97" xfId="0" applyFont="1" applyBorder="1" applyAlignment="1">
      <alignment vertical="center"/>
    </xf>
    <xf numFmtId="37" fontId="30" fillId="0" borderId="98" xfId="0" applyNumberFormat="1" applyFont="1" applyBorder="1" applyAlignment="1">
      <alignment horizontal="center" vertical="center"/>
    </xf>
    <xf numFmtId="3" fontId="0" fillId="0" borderId="98" xfId="0" applyNumberFormat="1" applyBorder="1" applyAlignment="1">
      <alignment horizontal="center" vertical="center"/>
    </xf>
    <xf numFmtId="3" fontId="0" fillId="0" borderId="99" xfId="0" applyNumberFormat="1" applyBorder="1" applyAlignment="1">
      <alignment horizontal="center" vertical="center"/>
    </xf>
    <xf numFmtId="3" fontId="0" fillId="0" borderId="100" xfId="0" applyNumberFormat="1" applyBorder="1" applyAlignment="1">
      <alignment horizontal="center" vertical="center"/>
    </xf>
    <xf numFmtId="0" fontId="30" fillId="7" borderId="95" xfId="0" applyFont="1" applyFill="1" applyBorder="1" applyAlignment="1">
      <alignment horizontal="center"/>
    </xf>
    <xf numFmtId="0" fontId="30" fillId="8" borderId="95" xfId="0" applyFont="1" applyFill="1" applyBorder="1" applyAlignment="1">
      <alignment horizontal="center"/>
    </xf>
    <xf numFmtId="0" fontId="30" fillId="5" borderId="95" xfId="0" applyFont="1" applyFill="1" applyBorder="1" applyAlignment="1">
      <alignment horizontal="center"/>
    </xf>
    <xf numFmtId="3" fontId="29" fillId="0" borderId="98" xfId="0" applyNumberFormat="1" applyFont="1" applyBorder="1" applyAlignment="1">
      <alignment horizontal="center" vertical="center"/>
    </xf>
    <xf numFmtId="0" fontId="0" fillId="0" borderId="98" xfId="0" applyBorder="1" applyAlignment="1">
      <alignment vertical="center"/>
    </xf>
    <xf numFmtId="0" fontId="0" fillId="0" borderId="99" xfId="0" applyBorder="1" applyAlignment="1">
      <alignment vertical="center"/>
    </xf>
    <xf numFmtId="0" fontId="0" fillId="0" borderId="100" xfId="0" applyBorder="1" applyAlignment="1">
      <alignment vertical="center"/>
    </xf>
    <xf numFmtId="37" fontId="30" fillId="0" borderId="100" xfId="0" applyNumberFormat="1" applyFont="1" applyBorder="1" applyAlignment="1">
      <alignment horizontal="center" vertical="center"/>
    </xf>
    <xf numFmtId="3" fontId="29" fillId="6" borderId="98" xfId="0" applyNumberFormat="1" applyFont="1" applyFill="1" applyBorder="1" applyAlignment="1">
      <alignment horizontal="center" vertical="center"/>
    </xf>
    <xf numFmtId="3" fontId="0" fillId="6" borderId="98" xfId="0" applyNumberFormat="1" applyFill="1" applyBorder="1" applyAlignment="1">
      <alignment horizontal="center" vertical="center"/>
    </xf>
    <xf numFmtId="3" fontId="0" fillId="6" borderId="99" xfId="0" applyNumberFormat="1" applyFill="1" applyBorder="1" applyAlignment="1">
      <alignment horizontal="center" vertical="center"/>
    </xf>
    <xf numFmtId="3" fontId="0" fillId="6" borderId="100" xfId="0" applyNumberFormat="1" applyFill="1" applyBorder="1" applyAlignment="1">
      <alignment horizontal="center" vertical="center"/>
    </xf>
    <xf numFmtId="0" fontId="30" fillId="6" borderId="95" xfId="0" applyFont="1" applyFill="1" applyBorder="1" applyAlignment="1">
      <alignment horizontal="center"/>
    </xf>
    <xf numFmtId="3" fontId="7" fillId="0" borderId="0" xfId="0" applyNumberFormat="1" applyFont="1"/>
    <xf numFmtId="0" fontId="13" fillId="0" borderId="0" xfId="0" applyFont="1"/>
    <xf numFmtId="0" fontId="34" fillId="0" borderId="0" xfId="0" applyFont="1" applyAlignment="1">
      <alignment horizontal="center"/>
    </xf>
    <xf numFmtId="3" fontId="34" fillId="0" borderId="0" xfId="0" applyNumberFormat="1" applyFont="1" applyAlignment="1">
      <alignment horizontal="center"/>
    </xf>
    <xf numFmtId="39" fontId="10" fillId="3" borderId="12" xfId="0" applyNumberFormat="1" applyFont="1" applyFill="1" applyBorder="1"/>
    <xf numFmtId="0" fontId="19" fillId="2" borderId="101" xfId="0" applyFont="1" applyFill="1" applyBorder="1"/>
    <xf numFmtId="0" fontId="19" fillId="2" borderId="102" xfId="0" applyFont="1" applyFill="1" applyBorder="1"/>
    <xf numFmtId="0" fontId="19" fillId="2" borderId="102" xfId="0" applyFont="1" applyFill="1" applyBorder="1" applyAlignment="1">
      <alignment horizontal="center"/>
    </xf>
    <xf numFmtId="165" fontId="19" fillId="2" borderId="102" xfId="0" applyNumberFormat="1" applyFont="1" applyFill="1" applyBorder="1"/>
    <xf numFmtId="37" fontId="19" fillId="2" borderId="103" xfId="0" applyNumberFormat="1" applyFont="1" applyFill="1" applyBorder="1"/>
    <xf numFmtId="37" fontId="19" fillId="2" borderId="102" xfId="0" applyNumberFormat="1" applyFont="1" applyFill="1" applyBorder="1"/>
    <xf numFmtId="37" fontId="19" fillId="2" borderId="104" xfId="0" applyNumberFormat="1" applyFont="1" applyFill="1" applyBorder="1"/>
    <xf numFmtId="37" fontId="19" fillId="2" borderId="105" xfId="0" applyNumberFormat="1" applyFont="1" applyFill="1" applyBorder="1"/>
    <xf numFmtId="165" fontId="19" fillId="2" borderId="106" xfId="0" applyNumberFormat="1" applyFont="1" applyFill="1" applyBorder="1"/>
    <xf numFmtId="170" fontId="9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8" fillId="0" borderId="0" xfId="0" quotePrefix="1" applyFont="1"/>
    <xf numFmtId="3" fontId="9" fillId="0" borderId="107" xfId="0" applyNumberFormat="1" applyFont="1" applyBorder="1"/>
    <xf numFmtId="3" fontId="9" fillId="0" borderId="108" xfId="0" applyNumberFormat="1" applyFont="1" applyBorder="1"/>
    <xf numFmtId="3" fontId="9" fillId="0" borderId="109" xfId="0" applyNumberFormat="1" applyFont="1" applyBorder="1"/>
    <xf numFmtId="0" fontId="9" fillId="0" borderId="0" xfId="0" quotePrefix="1" applyFont="1"/>
    <xf numFmtId="0" fontId="9" fillId="2" borderId="110" xfId="0" applyFont="1" applyFill="1" applyBorder="1"/>
    <xf numFmtId="37" fontId="10" fillId="2" borderId="111" xfId="0" applyNumberFormat="1" applyFont="1" applyFill="1" applyBorder="1"/>
    <xf numFmtId="39" fontId="12" fillId="0" borderId="112" xfId="0" applyNumberFormat="1" applyFont="1" applyBorder="1"/>
    <xf numFmtId="2" fontId="10" fillId="0" borderId="8" xfId="0" applyNumberFormat="1" applyFont="1" applyBorder="1"/>
    <xf numFmtId="0" fontId="9" fillId="0" borderId="23" xfId="0" applyFont="1" applyBorder="1"/>
    <xf numFmtId="0" fontId="9" fillId="0" borderId="15" xfId="0" applyFont="1" applyBorder="1"/>
    <xf numFmtId="37" fontId="9" fillId="0" borderId="73" xfId="0" applyNumberFormat="1" applyFont="1" applyBorder="1"/>
    <xf numFmtId="10" fontId="9" fillId="0" borderId="8" xfId="0" applyNumberFormat="1" applyFont="1" applyBorder="1"/>
    <xf numFmtId="0" fontId="9" fillId="0" borderId="13" xfId="0" applyFont="1" applyBorder="1" applyAlignment="1">
      <alignment horizontal="center"/>
    </xf>
    <xf numFmtId="1" fontId="0" fillId="0" borderId="0" xfId="0" applyNumberFormat="1"/>
    <xf numFmtId="171" fontId="0" fillId="0" borderId="0" xfId="0" applyNumberFormat="1"/>
    <xf numFmtId="10" fontId="18" fillId="0" borderId="0" xfId="0" applyNumberFormat="1" applyFont="1"/>
    <xf numFmtId="1" fontId="18" fillId="0" borderId="0" xfId="0" applyNumberFormat="1" applyFont="1"/>
    <xf numFmtId="10" fontId="18" fillId="0" borderId="0" xfId="0" applyNumberFormat="1" applyFont="1" applyAlignment="1">
      <alignment horizontal="center"/>
    </xf>
    <xf numFmtId="171" fontId="18" fillId="0" borderId="0" xfId="0" applyNumberFormat="1" applyFont="1"/>
    <xf numFmtId="1" fontId="21" fillId="0" borderId="0" xfId="0" applyNumberFormat="1" applyFont="1"/>
    <xf numFmtId="10" fontId="21" fillId="0" borderId="0" xfId="0" applyNumberFormat="1" applyFont="1"/>
    <xf numFmtId="171" fontId="21" fillId="0" borderId="0" xfId="0" applyNumberFormat="1" applyFont="1"/>
    <xf numFmtId="3" fontId="37" fillId="0" borderId="0" xfId="0" applyNumberFormat="1" applyFont="1"/>
    <xf numFmtId="3" fontId="18" fillId="0" borderId="0" xfId="0" applyNumberFormat="1" applyFont="1"/>
    <xf numFmtId="10" fontId="18" fillId="0" borderId="0" xfId="0" quotePrefix="1" applyNumberFormat="1" applyFont="1"/>
    <xf numFmtId="1" fontId="18" fillId="0" borderId="0" xfId="0" quotePrefix="1" applyNumberFormat="1" applyFont="1"/>
    <xf numFmtId="0" fontId="18" fillId="0" borderId="0" xfId="0" quotePrefix="1" applyFont="1"/>
    <xf numFmtId="165" fontId="19" fillId="2" borderId="86" xfId="0" applyNumberFormat="1" applyFont="1" applyFill="1" applyBorder="1"/>
    <xf numFmtId="10" fontId="19" fillId="0" borderId="0" xfId="0" applyNumberFormat="1" applyFont="1"/>
    <xf numFmtId="10" fontId="8" fillId="0" borderId="0" xfId="0" applyNumberFormat="1" applyFont="1"/>
    <xf numFmtId="37" fontId="8" fillId="0" borderId="0" xfId="0" applyNumberFormat="1" applyFont="1"/>
    <xf numFmtId="1" fontId="9" fillId="0" borderId="0" xfId="0" applyNumberFormat="1" applyFont="1"/>
    <xf numFmtId="1" fontId="9" fillId="0" borderId="12" xfId="0" applyNumberFormat="1" applyFont="1" applyBorder="1"/>
    <xf numFmtId="1" fontId="9" fillId="0" borderId="7" xfId="0" applyNumberFormat="1" applyFont="1" applyBorder="1"/>
    <xf numFmtId="165" fontId="19" fillId="2" borderId="103" xfId="0" applyNumberFormat="1" applyFont="1" applyFill="1" applyBorder="1"/>
    <xf numFmtId="0" fontId="38" fillId="0" borderId="0" xfId="0" applyFont="1"/>
    <xf numFmtId="0" fontId="10" fillId="0" borderId="11" xfId="0" applyFont="1" applyBorder="1"/>
    <xf numFmtId="3" fontId="9" fillId="0" borderId="73" xfId="0" applyNumberFormat="1" applyFont="1" applyBorder="1"/>
    <xf numFmtId="172" fontId="38" fillId="0" borderId="0" xfId="0" quotePrefix="1" applyNumberFormat="1" applyFont="1"/>
    <xf numFmtId="10" fontId="7" fillId="0" borderId="0" xfId="0" applyNumberFormat="1" applyFont="1"/>
    <xf numFmtId="0" fontId="18" fillId="9" borderId="0" xfId="0" applyFont="1" applyFill="1"/>
    <xf numFmtId="0" fontId="38" fillId="0" borderId="0" xfId="0" quotePrefix="1" applyFont="1"/>
    <xf numFmtId="0" fontId="39" fillId="0" borderId="0" xfId="0" applyFont="1"/>
    <xf numFmtId="37" fontId="39" fillId="0" borderId="0" xfId="0" applyNumberFormat="1" applyFont="1"/>
    <xf numFmtId="37" fontId="14" fillId="10" borderId="79" xfId="0" applyNumberFormat="1" applyFont="1" applyFill="1" applyBorder="1"/>
    <xf numFmtId="3" fontId="8" fillId="0" borderId="0" xfId="0" applyNumberFormat="1" applyFont="1"/>
    <xf numFmtId="0" fontId="30" fillId="7" borderId="95" xfId="0" applyFont="1" applyFill="1" applyBorder="1" applyAlignment="1">
      <alignment horizontal="center" vertical="center"/>
    </xf>
    <xf numFmtId="0" fontId="30" fillId="8" borderId="95" xfId="0" applyFont="1" applyFill="1" applyBorder="1" applyAlignment="1">
      <alignment horizontal="center" vertical="center"/>
    </xf>
    <xf numFmtId="0" fontId="30" fillId="6" borderId="95" xfId="0" applyFont="1" applyFill="1" applyBorder="1" applyAlignment="1">
      <alignment horizontal="center" vertical="center"/>
    </xf>
    <xf numFmtId="0" fontId="30" fillId="5" borderId="95" xfId="0" applyFont="1" applyFill="1" applyBorder="1" applyAlignment="1">
      <alignment horizontal="center" vertical="center"/>
    </xf>
    <xf numFmtId="0" fontId="10" fillId="0" borderId="49" xfId="0" applyFont="1" applyBorder="1" applyAlignment="1">
      <alignment horizontal="center"/>
    </xf>
    <xf numFmtId="0" fontId="11" fillId="0" borderId="50" xfId="0" applyFont="1" applyBorder="1"/>
    <xf numFmtId="0" fontId="10" fillId="0" borderId="2" xfId="0" applyFont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4" xfId="0" applyFont="1" applyBorder="1" applyAlignment="1">
      <alignment horizontal="center"/>
    </xf>
    <xf numFmtId="0" fontId="11" fillId="0" borderId="5" xfId="0" applyFont="1" applyBorder="1"/>
    <xf numFmtId="0" fontId="10" fillId="0" borderId="65" xfId="0" applyFont="1" applyBorder="1" applyAlignment="1">
      <alignment horizontal="center" vertical="center"/>
    </xf>
    <xf numFmtId="0" fontId="11" fillId="0" borderId="63" xfId="0" applyFont="1" applyBorder="1"/>
    <xf numFmtId="0" fontId="11" fillId="0" borderId="66" xfId="0" applyFont="1" applyBorder="1"/>
    <xf numFmtId="0" fontId="10" fillId="0" borderId="63" xfId="0" applyFont="1" applyBorder="1" applyAlignment="1">
      <alignment horizontal="center" vertical="center"/>
    </xf>
    <xf numFmtId="0" fontId="11" fillId="0" borderId="64" xfId="0" applyFont="1" applyBorder="1"/>
  </cellXfs>
  <cellStyles count="16">
    <cellStyle name="Milliers 2" xfId="6" xr:uid="{00000000-0005-0000-0000-000001000000}"/>
    <cellStyle name="Milliers 3" xfId="12" xr:uid="{2971D271-07C3-42EA-AF54-CA19A237EB8E}"/>
    <cellStyle name="Monétaire 2" xfId="3" xr:uid="{00000000-0005-0000-0000-000002000000}"/>
    <cellStyle name="Monétaire 3" xfId="8" xr:uid="{00000000-0005-0000-0000-000003000000}"/>
    <cellStyle name="Normal" xfId="0" builtinId="0"/>
    <cellStyle name="Normal 12" xfId="15" xr:uid="{38AAD80B-D2B1-4EDC-AF3A-6BEE5BDF1226}"/>
    <cellStyle name="Normal 2" xfId="2" xr:uid="{00000000-0005-0000-0000-000005000000}"/>
    <cellStyle name="Normal 3" xfId="4" xr:uid="{00000000-0005-0000-0000-000006000000}"/>
    <cellStyle name="Normal 4" xfId="5" xr:uid="{00000000-0005-0000-0000-000007000000}"/>
    <cellStyle name="Normal 5" xfId="10" xr:uid="{51C4BCB6-FF3C-47B5-9E50-8775982480A2}"/>
    <cellStyle name="Normal 6" xfId="11" xr:uid="{C658EC4B-DAA5-46C8-9908-7D394852AE7F}"/>
    <cellStyle name="Normal 7" xfId="9" xr:uid="{22EAD058-5ED6-4E84-8564-A06058AFEAAD}"/>
    <cellStyle name="Normal 8" xfId="13" xr:uid="{E59814D8-4C8E-4B6D-8DEB-9295B6A31C96}"/>
    <cellStyle name="Pourcentage" xfId="1" builtinId="5"/>
    <cellStyle name="Pourcentage 2" xfId="7" xr:uid="{00000000-0005-0000-0000-000009000000}"/>
    <cellStyle name="Pourcentage 3" xfId="14" xr:uid="{B09CCB1C-0232-46FA-AAFA-AA26EA7AA4F5}"/>
  </cellStyles>
  <dxfs count="550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3:Q13"/>
  <sheetViews>
    <sheetView workbookViewId="0">
      <selection activeCell="C4" sqref="C4"/>
    </sheetView>
  </sheetViews>
  <sheetFormatPr baseColWidth="10" defaultRowHeight="13.8"/>
  <cols>
    <col min="1" max="1" width="14.8984375" customWidth="1"/>
    <col min="2" max="2" width="15.5" bestFit="1" customWidth="1"/>
    <col min="3" max="3" width="12.09765625" customWidth="1"/>
    <col min="4" max="5" width="11.09765625" customWidth="1"/>
    <col min="6" max="6" width="11.5" hidden="1" customWidth="1"/>
    <col min="7" max="7" width="12.59765625" hidden="1" customWidth="1"/>
    <col min="8" max="9" width="11" hidden="1" customWidth="1"/>
    <col min="10" max="10" width="11.5" bestFit="1" customWidth="1"/>
    <col min="11" max="11" width="11.69921875" customWidth="1"/>
    <col min="12" max="12" width="11" customWidth="1"/>
    <col min="14" max="14" width="11.5" bestFit="1" customWidth="1"/>
  </cols>
  <sheetData>
    <row r="3" spans="1:17">
      <c r="B3" t="s">
        <v>205</v>
      </c>
      <c r="C3" s="437" t="s">
        <v>270</v>
      </c>
      <c r="P3" s="438"/>
      <c r="Q3" s="439"/>
    </row>
    <row r="5" spans="1:17" s="416" customFormat="1" ht="16.5" customHeight="1"/>
    <row r="6" spans="1:17" s="416" customFormat="1" ht="16.5" customHeight="1">
      <c r="B6" s="500" t="s">
        <v>197</v>
      </c>
      <c r="C6" s="500"/>
      <c r="D6" s="500"/>
      <c r="E6" s="500"/>
      <c r="F6" s="501" t="s">
        <v>198</v>
      </c>
      <c r="G6" s="501"/>
      <c r="H6" s="501"/>
      <c r="I6" s="501"/>
      <c r="J6" s="502" t="s">
        <v>199</v>
      </c>
      <c r="K6" s="502"/>
      <c r="L6" s="502"/>
      <c r="M6" s="502"/>
      <c r="N6" s="503" t="s">
        <v>200</v>
      </c>
      <c r="O6" s="503"/>
      <c r="P6" s="503"/>
      <c r="Q6" s="503"/>
    </row>
    <row r="7" spans="1:17" s="416" customFormat="1" ht="16.5" customHeight="1">
      <c r="A7"/>
      <c r="B7" s="423" t="s">
        <v>190</v>
      </c>
      <c r="C7" s="423" t="s">
        <v>191</v>
      </c>
      <c r="D7" s="423" t="s">
        <v>192</v>
      </c>
      <c r="E7" s="423" t="s">
        <v>193</v>
      </c>
      <c r="F7" s="424" t="s">
        <v>190</v>
      </c>
      <c r="G7" s="424" t="s">
        <v>191</v>
      </c>
      <c r="H7" s="424" t="s">
        <v>192</v>
      </c>
      <c r="I7" s="424" t="s">
        <v>193</v>
      </c>
      <c r="J7" s="435" t="s">
        <v>190</v>
      </c>
      <c r="K7" s="435" t="s">
        <v>191</v>
      </c>
      <c r="L7" s="435" t="s">
        <v>192</v>
      </c>
      <c r="M7" s="435" t="s">
        <v>193</v>
      </c>
      <c r="N7" s="425" t="s">
        <v>190</v>
      </c>
      <c r="O7" s="425" t="s">
        <v>191</v>
      </c>
      <c r="P7" s="425" t="s">
        <v>192</v>
      </c>
      <c r="Q7" s="425" t="s">
        <v>193</v>
      </c>
    </row>
    <row r="8" spans="1:17" s="416" customFormat="1" ht="16.5" customHeight="1">
      <c r="A8" s="415" t="s">
        <v>196</v>
      </c>
      <c r="B8" s="426" t="e">
        <f t="shared" ref="B8:Q8" si="0">+B9-B10</f>
        <v>#VALUE!</v>
      </c>
      <c r="C8" s="426">
        <f t="shared" si="0"/>
        <v>0</v>
      </c>
      <c r="D8" s="426">
        <f t="shared" si="0"/>
        <v>0</v>
      </c>
      <c r="E8" s="426">
        <f t="shared" si="0"/>
        <v>0</v>
      </c>
      <c r="F8" s="426" t="e">
        <f t="shared" si="0"/>
        <v>#VALUE!</v>
      </c>
      <c r="G8" s="426">
        <f t="shared" si="0"/>
        <v>0</v>
      </c>
      <c r="H8" s="426">
        <f t="shared" si="0"/>
        <v>0</v>
      </c>
      <c r="I8" s="426">
        <f t="shared" si="0"/>
        <v>0</v>
      </c>
      <c r="J8" s="431" t="e">
        <f t="shared" si="0"/>
        <v>#VALUE!</v>
      </c>
      <c r="K8" s="431">
        <f t="shared" si="0"/>
        <v>0</v>
      </c>
      <c r="L8" s="431">
        <f t="shared" si="0"/>
        <v>0</v>
      </c>
      <c r="M8" s="431">
        <f t="shared" si="0"/>
        <v>0</v>
      </c>
      <c r="N8" s="426" t="e">
        <f t="shared" si="0"/>
        <v>#VALUE!</v>
      </c>
      <c r="O8" s="426">
        <f t="shared" si="0"/>
        <v>0</v>
      </c>
      <c r="P8" s="426">
        <f t="shared" si="0"/>
        <v>0</v>
      </c>
      <c r="Q8" s="426">
        <f t="shared" si="0"/>
        <v>0</v>
      </c>
    </row>
    <row r="9" spans="1:17" s="416" customFormat="1" ht="16.5" customHeight="1">
      <c r="A9" s="417" t="s">
        <v>194</v>
      </c>
      <c r="B9" s="419" t="str">
        <f>+Conso!$Z$406</f>
        <v>$TOTAL</v>
      </c>
      <c r="C9" s="419">
        <f>+Conso!$Z$407</f>
        <v>14165095.583268691</v>
      </c>
      <c r="D9" s="419">
        <f>+Conso!$Z$483</f>
        <v>0</v>
      </c>
      <c r="E9" s="419">
        <f>+Conso!$Z$498</f>
        <v>0</v>
      </c>
      <c r="F9" s="419" t="str">
        <f>+Conso!$AC$406</f>
        <v>$TOTAL</v>
      </c>
      <c r="G9" s="419">
        <f>+Conso!$AC$407</f>
        <v>0</v>
      </c>
      <c r="H9" s="419">
        <f>+Conso!$AC$483</f>
        <v>0</v>
      </c>
      <c r="I9" s="419">
        <f>+Conso!$AC$498</f>
        <v>0</v>
      </c>
      <c r="J9" s="419" t="str">
        <f>+Conso!$AF$406</f>
        <v>$TOTAL</v>
      </c>
      <c r="K9" s="419">
        <f>+Conso!$AF$407</f>
        <v>15141214.09</v>
      </c>
      <c r="L9" s="419">
        <f>+Conso!$AF$483</f>
        <v>0</v>
      </c>
      <c r="M9" s="419">
        <f>+Conso!$AF$498</f>
        <v>0</v>
      </c>
      <c r="N9" s="419" t="str">
        <f>+Conso!$AL$406</f>
        <v>$TOTAL</v>
      </c>
      <c r="O9" s="419">
        <f>+Conso!$AL$407</f>
        <v>9932882.1999999899</v>
      </c>
      <c r="P9" s="419">
        <f>+Conso!$AL$483</f>
        <v>0</v>
      </c>
      <c r="Q9" s="419">
        <f>+Conso!$AL$498</f>
        <v>0</v>
      </c>
    </row>
    <row r="10" spans="1:17" s="416" customFormat="1" ht="16.5" customHeight="1">
      <c r="A10" s="418" t="s">
        <v>195</v>
      </c>
      <c r="B10" s="430">
        <f>+SUM(B11:B13)</f>
        <v>0</v>
      </c>
      <c r="C10" s="430">
        <f t="shared" ref="C10:Q10" si="1">+SUM(C11:C13)</f>
        <v>14165095.583268687</v>
      </c>
      <c r="D10" s="430">
        <f t="shared" si="1"/>
        <v>0</v>
      </c>
      <c r="E10" s="430">
        <f t="shared" si="1"/>
        <v>0</v>
      </c>
      <c r="F10" s="430">
        <f t="shared" si="1"/>
        <v>0</v>
      </c>
      <c r="G10" s="430">
        <f t="shared" si="1"/>
        <v>0</v>
      </c>
      <c r="H10" s="430">
        <f t="shared" si="1"/>
        <v>0</v>
      </c>
      <c r="I10" s="430">
        <f t="shared" si="1"/>
        <v>0</v>
      </c>
      <c r="J10" s="430">
        <f t="shared" si="1"/>
        <v>0</v>
      </c>
      <c r="K10" s="430">
        <f t="shared" si="1"/>
        <v>15141214.090000004</v>
      </c>
      <c r="L10" s="430">
        <f t="shared" si="1"/>
        <v>0</v>
      </c>
      <c r="M10" s="430">
        <f t="shared" si="1"/>
        <v>0</v>
      </c>
      <c r="N10" s="430">
        <f t="shared" si="1"/>
        <v>0</v>
      </c>
      <c r="O10" s="430">
        <f t="shared" si="1"/>
        <v>9932882.1999999881</v>
      </c>
      <c r="P10" s="430">
        <f t="shared" si="1"/>
        <v>0</v>
      </c>
      <c r="Q10" s="430">
        <f t="shared" si="1"/>
        <v>0</v>
      </c>
    </row>
    <row r="11" spans="1:17" s="416" customFormat="1" ht="16.5" customHeight="1">
      <c r="A11" s="427" t="s">
        <v>202</v>
      </c>
      <c r="B11" s="420" t="str">
        <f>+'Mois 1'!$Z$406</f>
        <v>$TOTAL</v>
      </c>
      <c r="C11" s="420">
        <f>+'Mois 1'!$Z$407</f>
        <v>4439642.332058968</v>
      </c>
      <c r="D11" s="420">
        <f>+'Mois 1'!$Z$483</f>
        <v>0</v>
      </c>
      <c r="E11" s="420">
        <f>+'Mois 1'!$Z$498</f>
        <v>0</v>
      </c>
      <c r="F11" s="420">
        <f>+'Mois 1'!$AC$406</f>
        <v>0</v>
      </c>
      <c r="G11" s="420">
        <f>+'Mois 1'!$AC$407</f>
        <v>0</v>
      </c>
      <c r="H11" s="420">
        <f>+'Mois 1'!$AC$483</f>
        <v>0</v>
      </c>
      <c r="I11" s="420">
        <f>+'Mois 1'!$AC$498</f>
        <v>0</v>
      </c>
      <c r="J11" s="432" t="str">
        <f>+'Mois 1'!$AF$406</f>
        <v>$TOTAL</v>
      </c>
      <c r="K11" s="432">
        <f>+'Mois 1'!$AF$407</f>
        <v>5110733.7100000009</v>
      </c>
      <c r="L11" s="432">
        <f>+'Mois 1'!$AF$483</f>
        <v>0</v>
      </c>
      <c r="M11" s="432">
        <f>+'Mois 1'!$AF$498</f>
        <v>0</v>
      </c>
      <c r="N11" s="420" t="str">
        <f>+'Mois 1'!$AL$406</f>
        <v>$TOTAL</v>
      </c>
      <c r="O11" s="420">
        <f>+'Mois 1'!$AL$407</f>
        <v>3552385.36</v>
      </c>
      <c r="P11" s="420">
        <f>+'Mois 1'!$AL$483</f>
        <v>0</v>
      </c>
      <c r="Q11" s="420">
        <f>+'Mois 1'!$AL$498</f>
        <v>0</v>
      </c>
    </row>
    <row r="12" spans="1:17" s="416" customFormat="1" ht="16.5" customHeight="1">
      <c r="A12" s="428" t="s">
        <v>203</v>
      </c>
      <c r="B12" s="421" t="str">
        <f>+'Mois 2'!$Z$406</f>
        <v>$TOTAL</v>
      </c>
      <c r="C12" s="421">
        <f>+'Mois 2'!$Z$407</f>
        <v>4445529.2934459886</v>
      </c>
      <c r="D12" s="421">
        <f>+'Mois 2'!$Z$483</f>
        <v>0</v>
      </c>
      <c r="E12" s="421">
        <f>+'Mois 2'!$Z$498</f>
        <v>0</v>
      </c>
      <c r="F12" s="421">
        <f>+'Mois 2'!$AC$406</f>
        <v>0</v>
      </c>
      <c r="G12" s="421">
        <f>+'Mois 2'!$AC$407</f>
        <v>0</v>
      </c>
      <c r="H12" s="421">
        <f>+'Mois 2'!$AC$483</f>
        <v>0</v>
      </c>
      <c r="I12" s="421">
        <f>+'Mois 2'!$AC$498</f>
        <v>0</v>
      </c>
      <c r="J12" s="433" t="str">
        <f>+'Mois 2'!$AF$406</f>
        <v>$TOTAL</v>
      </c>
      <c r="K12" s="433">
        <f>+'Mois 2'!$AF$407</f>
        <v>4686630.53</v>
      </c>
      <c r="L12" s="433">
        <f>+'Mois 2'!$AF$483</f>
        <v>0</v>
      </c>
      <c r="M12" s="433">
        <f>+'Mois 2'!$AF$498</f>
        <v>0</v>
      </c>
      <c r="N12" s="421" t="str">
        <f>+'Mois 2'!$AL$406</f>
        <v>$TOTAL</v>
      </c>
      <c r="O12" s="421">
        <f>+'Mois 2'!$AL$407</f>
        <v>3709615.7899999898</v>
      </c>
      <c r="P12" s="421">
        <f>+'Mois 2'!$AL$483</f>
        <v>0</v>
      </c>
      <c r="Q12" s="421">
        <f>+'Mois 2'!$AL$498</f>
        <v>0</v>
      </c>
    </row>
    <row r="13" spans="1:17">
      <c r="A13" s="429" t="s">
        <v>204</v>
      </c>
      <c r="B13" s="422" t="str">
        <f>+'Mois 3'!$Z$406</f>
        <v>$TOTAL</v>
      </c>
      <c r="C13" s="422">
        <f>+'Mois 3'!$Z$407</f>
        <v>5279923.9577637324</v>
      </c>
      <c r="D13" s="422">
        <f>+'Mois 3'!$Z$483</f>
        <v>0</v>
      </c>
      <c r="E13" s="422">
        <f>+'Mois 3'!$Z$498</f>
        <v>0</v>
      </c>
      <c r="F13" s="422">
        <f>+'Mois 3'!$AC$406</f>
        <v>0</v>
      </c>
      <c r="G13" s="422">
        <f>+'Mois 3'!$AC$407</f>
        <v>0</v>
      </c>
      <c r="H13" s="422">
        <f>+'Mois 3'!$AC$483</f>
        <v>0</v>
      </c>
      <c r="I13" s="422">
        <f>+'Mois 3'!$AC$498</f>
        <v>0</v>
      </c>
      <c r="J13" s="434" t="str">
        <f>+'Mois 3'!$AF$406</f>
        <v>$TOTAL</v>
      </c>
      <c r="K13" s="434">
        <f>+'Mois 3'!$AF$407</f>
        <v>5343849.8500000006</v>
      </c>
      <c r="L13" s="434">
        <f>+'Mois 3'!$AF$483</f>
        <v>0</v>
      </c>
      <c r="M13" s="434">
        <f>+'Mois 3'!$AF$498</f>
        <v>0</v>
      </c>
      <c r="N13" s="422" t="str">
        <f>+'Mois 3'!$AL$406</f>
        <v>$TOTAL</v>
      </c>
      <c r="O13" s="422">
        <f>+'Mois 3'!$AL$407</f>
        <v>2670881.0499999998</v>
      </c>
      <c r="P13" s="422">
        <f>+'Mois 3'!$AL$483</f>
        <v>0</v>
      </c>
      <c r="Q13" s="422">
        <f>+'Mois 3'!$AL$498</f>
        <v>0</v>
      </c>
    </row>
  </sheetData>
  <mergeCells count="4">
    <mergeCell ref="B6:E6"/>
    <mergeCell ref="F6:I6"/>
    <mergeCell ref="J6:M6"/>
    <mergeCell ref="N6:Q6"/>
  </mergeCells>
  <phoneticPr fontId="3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/>
  <dimension ref="A1:BJ703"/>
  <sheetViews>
    <sheetView tabSelected="1" view="pageBreakPreview" topLeftCell="AD453" zoomScale="60" zoomScaleNormal="70" workbookViewId="0">
      <selection activeCell="AF512" sqref="AF512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489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209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tr">
        <f>CONCATENATE("Réalisé"," ",Paramètre!$C$2," ",Paramètre!$C$3)</f>
        <v>Réalisé  Q3 2026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399999999999999" thickBot="1">
      <c r="B2" s="7"/>
      <c r="C2" s="8"/>
      <c r="D2" s="451" t="s">
        <v>2</v>
      </c>
      <c r="E2" s="451" t="s">
        <v>3</v>
      </c>
      <c r="F2" s="451" t="s">
        <v>4</v>
      </c>
      <c r="G2" s="451" t="s">
        <v>2</v>
      </c>
      <c r="H2" s="451" t="s">
        <v>3</v>
      </c>
      <c r="I2" s="451" t="s">
        <v>4</v>
      </c>
      <c r="J2" s="451"/>
      <c r="K2" s="451"/>
      <c r="L2" s="451"/>
      <c r="M2" s="452"/>
      <c r="N2" s="452"/>
      <c r="O2" s="451"/>
      <c r="P2" s="451"/>
      <c r="Q2" s="451"/>
      <c r="R2" s="10"/>
      <c r="S2" s="10"/>
      <c r="T2" s="10"/>
      <c r="U2" s="10"/>
    </row>
    <row r="3" spans="1:40" ht="21.6" thickTop="1">
      <c r="B3" s="11"/>
      <c r="C3" s="12"/>
      <c r="D3" s="506" t="s">
        <v>5</v>
      </c>
      <c r="E3" s="507"/>
      <c r="F3" s="508"/>
      <c r="G3" s="509" t="s">
        <v>6</v>
      </c>
      <c r="H3" s="507"/>
      <c r="I3" s="508"/>
      <c r="J3" s="509" t="s">
        <v>7</v>
      </c>
      <c r="K3" s="507"/>
      <c r="L3" s="508"/>
      <c r="M3" s="509" t="s">
        <v>212</v>
      </c>
      <c r="N3" s="508"/>
      <c r="O3" s="506" t="s">
        <v>8</v>
      </c>
      <c r="P3" s="507"/>
      <c r="Q3" s="508"/>
      <c r="R3" s="504" t="s">
        <v>213</v>
      </c>
      <c r="S3" s="505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 t="s">
        <v>10</v>
      </c>
      <c r="H4" s="16" t="s">
        <v>11</v>
      </c>
      <c r="I4" s="17" t="s">
        <v>12</v>
      </c>
      <c r="J4" s="18" t="s">
        <v>10</v>
      </c>
      <c r="K4" s="16" t="s">
        <v>13</v>
      </c>
      <c r="L4" s="17" t="s">
        <v>12</v>
      </c>
      <c r="M4" s="18" t="s">
        <v>214</v>
      </c>
      <c r="N4" s="17" t="s">
        <v>12</v>
      </c>
      <c r="O4" s="16" t="s">
        <v>10</v>
      </c>
      <c r="P4" s="16" t="s">
        <v>13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f>+SUM(START:END!F5)</f>
        <v>7133479.0196078438</v>
      </c>
      <c r="G5" s="23"/>
      <c r="H5" s="21"/>
      <c r="I5" s="24">
        <f>+SUM(START:END!I5)</f>
        <v>0</v>
      </c>
      <c r="J5" s="23"/>
      <c r="K5" s="25"/>
      <c r="L5" s="22">
        <f>+SUM(START:END!L5)</f>
        <v>8436704.040000001</v>
      </c>
      <c r="M5" s="26"/>
      <c r="N5" s="27"/>
      <c r="O5" s="23"/>
      <c r="P5" s="25"/>
      <c r="Q5" s="22">
        <f>+SUM(START:END!Q5)</f>
        <v>4999737.17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:A85" si="1">+B6&amp;C6</f>
        <v>Véhicules neufsAutos détail</v>
      </c>
      <c r="B6" s="11" t="str">
        <f t="shared" si="0"/>
        <v>Véhicules neufs</v>
      </c>
      <c r="C6" s="29" t="s">
        <v>15</v>
      </c>
      <c r="D6" s="30">
        <f>+SUM(START:END!D6)</f>
        <v>21</v>
      </c>
      <c r="E6" s="30">
        <f>IF(D6=0,0,F6/D6)</f>
        <v>4701.1764705882351</v>
      </c>
      <c r="F6" s="30">
        <f>+SUM(START:END!F6)</f>
        <v>98724.705882352937</v>
      </c>
      <c r="G6" s="31">
        <f>+SUM(START:END!G6)</f>
        <v>0</v>
      </c>
      <c r="H6" s="30">
        <f>IF(G6=0,0,I6/G6)</f>
        <v>0</v>
      </c>
      <c r="I6" s="30">
        <f>+SUM(START:END!I6)</f>
        <v>0</v>
      </c>
      <c r="J6" s="31">
        <f>+SUM(START:END!J6)</f>
        <v>23</v>
      </c>
      <c r="K6" s="30">
        <f>IF(J6=0,0,L6/J6)</f>
        <v>5566.2426086956411</v>
      </c>
      <c r="L6" s="32">
        <f>+SUM(START:END!L6)</f>
        <v>128023.57999999975</v>
      </c>
      <c r="M6" s="31">
        <f t="shared" ref="M6:M12" si="2">J6-D6</f>
        <v>2</v>
      </c>
      <c r="N6" s="33">
        <f t="shared" ref="N6:N12" si="3">L6-F6</f>
        <v>29298.874117646817</v>
      </c>
      <c r="O6" s="31">
        <f>+SUM(START:END!O6)</f>
        <v>19</v>
      </c>
      <c r="P6" s="30">
        <f>IF(O6=0,0,Q6/O6)</f>
        <v>4921.2936842105219</v>
      </c>
      <c r="Q6" s="32">
        <f>+SUM(START:END!Q6)</f>
        <v>93504.579999999914</v>
      </c>
      <c r="R6" s="31">
        <f>J6-O6</f>
        <v>4</v>
      </c>
      <c r="S6" s="34">
        <f>L6-Q6</f>
        <v>34518.99999999984</v>
      </c>
      <c r="T6" s="13"/>
      <c r="U6" s="13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 t="shared" si="1"/>
        <v>Véhicules neufsCamions détail</v>
      </c>
      <c r="B7" s="11" t="str">
        <f t="shared" si="0"/>
        <v>Véhicules neufs</v>
      </c>
      <c r="C7" s="29" t="s">
        <v>16</v>
      </c>
      <c r="D7" s="30">
        <f>+SUM(START:END!D7)</f>
        <v>46</v>
      </c>
      <c r="E7" s="30">
        <f t="shared" ref="E7:E12" si="4">IF(D7=0,0,F7/D7)</f>
        <v>3928.5</v>
      </c>
      <c r="F7" s="30">
        <f>+SUM(START:END!F7)</f>
        <v>180711</v>
      </c>
      <c r="G7" s="31">
        <f>+SUM(START:END!G7)</f>
        <v>0</v>
      </c>
      <c r="H7" s="30">
        <f t="shared" ref="H7:H12" si="5">IF(G7=0,0,I7/G7)</f>
        <v>0</v>
      </c>
      <c r="I7" s="30">
        <f>+SUM(START:END!I7)</f>
        <v>0</v>
      </c>
      <c r="J7" s="31">
        <f>+SUM(START:END!J7)</f>
        <v>56</v>
      </c>
      <c r="K7" s="30">
        <f t="shared" ref="K7:K12" si="6">IF(J7=0,0,L7/J7)</f>
        <v>4318.0326785714351</v>
      </c>
      <c r="L7" s="32">
        <f>+SUM(START:END!L7)</f>
        <v>241809.83000000037</v>
      </c>
      <c r="M7" s="31">
        <f t="shared" si="2"/>
        <v>10</v>
      </c>
      <c r="N7" s="33">
        <f t="shared" si="3"/>
        <v>61098.830000000366</v>
      </c>
      <c r="O7" s="31">
        <f>+SUM(START:END!O7)</f>
        <v>27</v>
      </c>
      <c r="P7" s="30">
        <f t="shared" ref="P7:P12" si="7">IF(O7=0,0,Q7/O7)</f>
        <v>3322.0740740740703</v>
      </c>
      <c r="Q7" s="32">
        <f>+SUM(START:END!Q7)</f>
        <v>89695.999999999898</v>
      </c>
      <c r="R7" s="31">
        <f t="shared" ref="R7:R12" si="8">J7-O7</f>
        <v>29</v>
      </c>
      <c r="S7" s="34">
        <f t="shared" ref="S7:S12" si="9">L7-Q7</f>
        <v>152113.83000000048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 t="shared" si="1"/>
        <v>Véhicules neufsSprinter</v>
      </c>
      <c r="B8" s="11" t="str">
        <f t="shared" si="0"/>
        <v>Véhicules neufs</v>
      </c>
      <c r="C8" s="29" t="s">
        <v>17</v>
      </c>
      <c r="D8" s="30">
        <f>+SUM(START:END!D8)</f>
        <v>0</v>
      </c>
      <c r="E8" s="30">
        <f t="shared" si="4"/>
        <v>0</v>
      </c>
      <c r="F8" s="30">
        <f>+SUM(START:END!F8)</f>
        <v>0</v>
      </c>
      <c r="G8" s="31">
        <f>+SUM(START:END!G8)</f>
        <v>0</v>
      </c>
      <c r="H8" s="30">
        <f t="shared" si="5"/>
        <v>0</v>
      </c>
      <c r="I8" s="30">
        <f>+SUM(START:END!I8)</f>
        <v>0</v>
      </c>
      <c r="J8" s="31">
        <f>+SUM(START:END!J8)</f>
        <v>0</v>
      </c>
      <c r="K8" s="30">
        <f t="shared" si="6"/>
        <v>0</v>
      </c>
      <c r="L8" s="32">
        <f>+SUM(START:END!L8)</f>
        <v>0</v>
      </c>
      <c r="M8" s="31">
        <f t="shared" si="2"/>
        <v>0</v>
      </c>
      <c r="N8" s="33">
        <f t="shared" si="3"/>
        <v>0</v>
      </c>
      <c r="O8" s="31">
        <f>+SUM(START:END!O8)</f>
        <v>0</v>
      </c>
      <c r="P8" s="30">
        <f t="shared" si="7"/>
        <v>0</v>
      </c>
      <c r="Q8" s="32">
        <f>+SUM(START:END!Q8)</f>
        <v>0</v>
      </c>
      <c r="R8" s="31">
        <f t="shared" si="8"/>
        <v>0</v>
      </c>
      <c r="S8" s="34">
        <f t="shared" si="9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 t="shared" si="1"/>
        <v>Véhicules neufsMoto détail</v>
      </c>
      <c r="B9" s="11" t="str">
        <f t="shared" si="0"/>
        <v>Véhicules neufs</v>
      </c>
      <c r="C9" s="29" t="s">
        <v>18</v>
      </c>
      <c r="D9" s="30">
        <f>+SUM(START:END!D9)</f>
        <v>0</v>
      </c>
      <c r="E9" s="30">
        <f t="shared" si="4"/>
        <v>0</v>
      </c>
      <c r="F9" s="30">
        <f>+SUM(START:END!F9)</f>
        <v>0</v>
      </c>
      <c r="G9" s="31">
        <f>+SUM(START:END!G9)</f>
        <v>0</v>
      </c>
      <c r="H9" s="30">
        <f t="shared" si="5"/>
        <v>0</v>
      </c>
      <c r="I9" s="30">
        <f>+SUM(START:END!I9)</f>
        <v>0</v>
      </c>
      <c r="J9" s="31">
        <f>+SUM(START:END!J9)</f>
        <v>0</v>
      </c>
      <c r="K9" s="30">
        <f t="shared" si="6"/>
        <v>0</v>
      </c>
      <c r="L9" s="32">
        <f>+SUM(START:END!L9)</f>
        <v>0</v>
      </c>
      <c r="M9" s="31">
        <f t="shared" si="2"/>
        <v>0</v>
      </c>
      <c r="N9" s="33">
        <f t="shared" si="3"/>
        <v>0</v>
      </c>
      <c r="O9" s="31">
        <f>+SUM(START:END!O9)</f>
        <v>0</v>
      </c>
      <c r="P9" s="30">
        <f t="shared" si="7"/>
        <v>0</v>
      </c>
      <c r="Q9" s="32">
        <f>+SUM(START:END!Q9)</f>
        <v>0</v>
      </c>
      <c r="R9" s="31">
        <f t="shared" si="8"/>
        <v>0</v>
      </c>
      <c r="S9" s="34">
        <f t="shared" si="9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 t="shared" si="1"/>
        <v>Véhicules neufs[...]</v>
      </c>
      <c r="B10" s="11" t="str">
        <f t="shared" si="0"/>
        <v>Véhicules neufs</v>
      </c>
      <c r="C10" s="29" t="s">
        <v>19</v>
      </c>
      <c r="D10" s="30">
        <f>+SUM(START:END!D10)</f>
        <v>0</v>
      </c>
      <c r="E10" s="30">
        <f t="shared" si="4"/>
        <v>0</v>
      </c>
      <c r="F10" s="30">
        <f>+SUM(START:END!F10)</f>
        <v>0</v>
      </c>
      <c r="G10" s="31">
        <f>+SUM(START:END!G10)</f>
        <v>0</v>
      </c>
      <c r="H10" s="30">
        <f t="shared" si="5"/>
        <v>0</v>
      </c>
      <c r="I10" s="30">
        <f>+SUM(START:END!I10)</f>
        <v>0</v>
      </c>
      <c r="J10" s="31">
        <f>+SUM(START:END!J10)</f>
        <v>0</v>
      </c>
      <c r="K10" s="30">
        <f t="shared" si="6"/>
        <v>0</v>
      </c>
      <c r="L10" s="32">
        <f>+SUM(START:END!L10)</f>
        <v>0</v>
      </c>
      <c r="M10" s="31">
        <f t="shared" si="2"/>
        <v>0</v>
      </c>
      <c r="N10" s="33">
        <f t="shared" si="3"/>
        <v>0</v>
      </c>
      <c r="O10" s="31">
        <f>+SUM(START:END!O10)</f>
        <v>0</v>
      </c>
      <c r="P10" s="30">
        <f t="shared" si="7"/>
        <v>0</v>
      </c>
      <c r="Q10" s="32">
        <f>+SUM(START:END!Q10)</f>
        <v>0</v>
      </c>
      <c r="R10" s="31">
        <f t="shared" si="8"/>
        <v>0</v>
      </c>
      <c r="S10" s="34">
        <f t="shared" si="9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 t="shared" si="1"/>
        <v>Véhicules neufs[...]</v>
      </c>
      <c r="B11" s="11" t="str">
        <f t="shared" si="0"/>
        <v>Véhicules neufs</v>
      </c>
      <c r="C11" s="29" t="s">
        <v>19</v>
      </c>
      <c r="D11" s="30">
        <f>+SUM(START:END!D11)</f>
        <v>0</v>
      </c>
      <c r="E11" s="30">
        <f t="shared" si="4"/>
        <v>0</v>
      </c>
      <c r="F11" s="30">
        <f>+SUM(START:END!F11)</f>
        <v>0</v>
      </c>
      <c r="G11" s="31">
        <f>+SUM(START:END!G11)</f>
        <v>0</v>
      </c>
      <c r="H11" s="30">
        <f t="shared" si="5"/>
        <v>0</v>
      </c>
      <c r="I11" s="30">
        <f>+SUM(START:END!I11)</f>
        <v>0</v>
      </c>
      <c r="J11" s="31">
        <f>+SUM(START:END!J11)</f>
        <v>0</v>
      </c>
      <c r="K11" s="30">
        <f t="shared" si="6"/>
        <v>0</v>
      </c>
      <c r="L11" s="32">
        <f>+SUM(START:END!L11)</f>
        <v>0</v>
      </c>
      <c r="M11" s="31">
        <f t="shared" si="2"/>
        <v>0</v>
      </c>
      <c r="N11" s="33">
        <f t="shared" si="3"/>
        <v>0</v>
      </c>
      <c r="O11" s="31">
        <f>+SUM(START:END!O11)</f>
        <v>0</v>
      </c>
      <c r="P11" s="30">
        <f t="shared" si="7"/>
        <v>0</v>
      </c>
      <c r="Q11" s="32">
        <f>+SUM(START:END!Q11)</f>
        <v>0</v>
      </c>
      <c r="R11" s="31">
        <f t="shared" si="8"/>
        <v>0</v>
      </c>
      <c r="S11" s="34">
        <f t="shared" si="9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si="1"/>
        <v>Véhicules neufs[...]</v>
      </c>
      <c r="B12" s="11" t="str">
        <f t="shared" si="0"/>
        <v>Véhicules neufs</v>
      </c>
      <c r="C12" s="29" t="s">
        <v>19</v>
      </c>
      <c r="D12" s="30">
        <f>+SUM(START:END!D12)</f>
        <v>0</v>
      </c>
      <c r="E12" s="30">
        <f t="shared" si="4"/>
        <v>0</v>
      </c>
      <c r="F12" s="30">
        <f>+SUM(START:END!F12)</f>
        <v>0</v>
      </c>
      <c r="G12" s="31">
        <f>+SUM(START:END!G12)</f>
        <v>0</v>
      </c>
      <c r="H12" s="30">
        <f t="shared" si="5"/>
        <v>0</v>
      </c>
      <c r="I12" s="30">
        <f>+SUM(START:END!I12)</f>
        <v>0</v>
      </c>
      <c r="J12" s="31">
        <f>+SUM(START:END!J12)</f>
        <v>0</v>
      </c>
      <c r="K12" s="30">
        <f t="shared" si="6"/>
        <v>0</v>
      </c>
      <c r="L12" s="32">
        <f>+SUM(START:END!L12)</f>
        <v>0</v>
      </c>
      <c r="M12" s="31">
        <f t="shared" si="2"/>
        <v>0</v>
      </c>
      <c r="N12" s="33">
        <f t="shared" si="3"/>
        <v>0</v>
      </c>
      <c r="O12" s="31">
        <f>+SUM(START:END!O12)</f>
        <v>0</v>
      </c>
      <c r="P12" s="30">
        <f t="shared" si="7"/>
        <v>0</v>
      </c>
      <c r="Q12" s="32">
        <f>+SUM(START:END!Q12)</f>
        <v>0</v>
      </c>
      <c r="R12" s="31">
        <f t="shared" si="8"/>
        <v>0</v>
      </c>
      <c r="S12" s="34">
        <f t="shared" si="9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1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67</v>
      </c>
      <c r="E13" s="36">
        <f>IF(D13&lt;=0,0,F13/D13)</f>
        <v>4170.6821773485517</v>
      </c>
      <c r="F13" s="37">
        <f>+SUM(F6:F12)</f>
        <v>279435.70588235295</v>
      </c>
      <c r="G13" s="38">
        <f>+SUM(G6:G12)</f>
        <v>0</v>
      </c>
      <c r="H13" s="36">
        <f>IF(G13&lt;=0,0,I13/G13)</f>
        <v>0</v>
      </c>
      <c r="I13" s="37">
        <f>+SUM(I6:I12)</f>
        <v>0</v>
      </c>
      <c r="J13" s="38">
        <f>+SUM(J6:J12)</f>
        <v>79</v>
      </c>
      <c r="K13" s="36">
        <f>IF(J13&lt;=0,0,L13/J13)</f>
        <v>4681.4355696202547</v>
      </c>
      <c r="L13" s="37">
        <f>+SUM(L6:L12)</f>
        <v>369833.41000000015</v>
      </c>
      <c r="M13" s="38">
        <f>+SUM(M6:M12)</f>
        <v>12</v>
      </c>
      <c r="N13" s="37">
        <f>+SUM(N6:N12)</f>
        <v>90397.704117647183</v>
      </c>
      <c r="O13" s="38">
        <f>+SUM(O6:O12)</f>
        <v>46</v>
      </c>
      <c r="P13" s="36">
        <f>IF(O13&lt;=0,0,Q13/O13)</f>
        <v>3982.6213043478219</v>
      </c>
      <c r="Q13" s="37">
        <f>+SUM(Q6:Q12)</f>
        <v>183200.57999999981</v>
      </c>
      <c r="R13" s="38">
        <f>+SUM(R6:R12)</f>
        <v>33</v>
      </c>
      <c r="S13" s="39">
        <f>+SUM(S6:S12)</f>
        <v>186632.83000000031</v>
      </c>
      <c r="T13" s="13"/>
      <c r="U13" s="13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1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0.17910447761194029</v>
      </c>
      <c r="N14" s="43">
        <f>IF(F13=0,0,N13/F13)</f>
        <v>0.32350090634339373</v>
      </c>
      <c r="O14" s="41"/>
      <c r="P14" s="30"/>
      <c r="Q14" s="40"/>
      <c r="R14" s="42">
        <f>R13/O13</f>
        <v>0.71739130434782605</v>
      </c>
      <c r="S14" s="44">
        <f>IF(Q13=0,0,(S13/Q13))</f>
        <v>1.0187349297693298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1"/>
        <v>Véhicules neufsEx-Démos et courtoisies</v>
      </c>
      <c r="B15" s="11" t="str">
        <f t="shared" si="0"/>
        <v>Véhicules neufs</v>
      </c>
      <c r="C15" s="45" t="s">
        <v>21</v>
      </c>
      <c r="D15" s="25">
        <f>+SUM(START:END!D15)</f>
        <v>10</v>
      </c>
      <c r="E15" s="25">
        <f>IF(D15=0,0,F15/D15)</f>
        <v>1200</v>
      </c>
      <c r="F15" s="22">
        <f>+SUM(START:END!F15)</f>
        <v>12000</v>
      </c>
      <c r="G15" s="46">
        <f>+SUM(START:END!G15)</f>
        <v>0</v>
      </c>
      <c r="H15" s="47">
        <f>IF(G15=0,0,I15/G15)</f>
        <v>0</v>
      </c>
      <c r="I15" s="48">
        <f>+SUM(START:END!I15)</f>
        <v>0</v>
      </c>
      <c r="J15" s="49">
        <f>+SUM(START:END!J15)</f>
        <v>9</v>
      </c>
      <c r="K15" s="50">
        <f>IF(J15=0,0,L15/J15)</f>
        <v>2010.8244444444395</v>
      </c>
      <c r="L15" s="50">
        <f>+SUM(START:END!L15)</f>
        <v>18097.419999999955</v>
      </c>
      <c r="M15" s="51">
        <f>J15-D15</f>
        <v>-1</v>
      </c>
      <c r="N15" s="48">
        <f>L15-F15</f>
        <v>6097.4199999999546</v>
      </c>
      <c r="O15" s="49">
        <f>+SUM(START:END!O15)</f>
        <v>9</v>
      </c>
      <c r="P15" s="50">
        <f>IF(O15=0,0,Q15/O15)</f>
        <v>2338.0988888888864</v>
      </c>
      <c r="Q15" s="50">
        <f>+SUM(START:END!Q15)</f>
        <v>21042.889999999978</v>
      </c>
      <c r="R15" s="51">
        <f>J15-O15</f>
        <v>0</v>
      </c>
      <c r="S15" s="52">
        <f>L15-Q15</f>
        <v>-2945.470000000023</v>
      </c>
      <c r="T15" s="13"/>
      <c r="U15" s="13"/>
      <c r="W15" s="453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1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1"/>
        <v>Véhicules neufsFlottes</v>
      </c>
      <c r="B17" s="11" t="str">
        <f t="shared" si="0"/>
        <v>Véhicules neufs</v>
      </c>
      <c r="C17" s="53" t="s">
        <v>22</v>
      </c>
      <c r="D17" s="30">
        <f>+SUM(START:END!D17)</f>
        <v>5</v>
      </c>
      <c r="E17" s="30">
        <f>IF(D17=0,0,F17/D17)</f>
        <v>750</v>
      </c>
      <c r="F17" s="30">
        <f>+SUM(START:END!F17)</f>
        <v>3750</v>
      </c>
      <c r="G17" s="31">
        <f>+SUM(START:END!G17)</f>
        <v>0</v>
      </c>
      <c r="H17" s="30">
        <f>IF(G17=0,0,I17/G17)</f>
        <v>0</v>
      </c>
      <c r="I17" s="30">
        <f>+SUM(START:END!I17)</f>
        <v>0</v>
      </c>
      <c r="J17" s="51">
        <f>+SUM(START:END!J17)</f>
        <v>5</v>
      </c>
      <c r="K17" s="30">
        <f>IF(J17=0,0,L17/J17)</f>
        <v>2047.9059999999997</v>
      </c>
      <c r="L17" s="33">
        <f>+SUM(START:END!L17)</f>
        <v>10239.529999999999</v>
      </c>
      <c r="M17" s="51">
        <f>J17-D17</f>
        <v>0</v>
      </c>
      <c r="N17" s="33">
        <f>L17-F17</f>
        <v>6489.5299999999988</v>
      </c>
      <c r="O17" s="51">
        <f>+SUM(START:END!O17)</f>
        <v>1</v>
      </c>
      <c r="P17" s="30">
        <f>IF(O17=0,0,Q17/O17)</f>
        <v>2881.0099999999902</v>
      </c>
      <c r="Q17" s="33">
        <f>+SUM(START:END!Q17)</f>
        <v>2881.0099999999902</v>
      </c>
      <c r="R17" s="31">
        <f>J17-O17</f>
        <v>4</v>
      </c>
      <c r="S17" s="34">
        <f>L17-Q17</f>
        <v>7358.5200000000086</v>
      </c>
      <c r="T17" s="13"/>
      <c r="U17" s="13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1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56"/>
      <c r="K18" s="54"/>
      <c r="L18" s="55"/>
      <c r="M18" s="56"/>
      <c r="N18" s="55"/>
      <c r="O18" s="56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A19" t="str">
        <f t="shared" si="1"/>
        <v>Véhicules neufsRachat bail</v>
      </c>
      <c r="B19" s="11" t="str">
        <f t="shared" si="0"/>
        <v>Véhicules neufs</v>
      </c>
      <c r="C19" s="490" t="s">
        <v>23</v>
      </c>
      <c r="D19" s="25"/>
      <c r="E19" s="25"/>
      <c r="F19" s="22">
        <f>+SUM(START:END!F19)</f>
        <v>0</v>
      </c>
      <c r="G19" s="46"/>
      <c r="H19" s="25"/>
      <c r="I19" s="22">
        <f>+SUM(START:END!I19)</f>
        <v>0</v>
      </c>
      <c r="J19" s="46"/>
      <c r="K19" s="25"/>
      <c r="L19" s="22">
        <f>+SUM(START:END!L19)</f>
        <v>0</v>
      </c>
      <c r="M19" s="46"/>
      <c r="N19" s="22">
        <f>L19-F19</f>
        <v>0</v>
      </c>
      <c r="O19" s="46"/>
      <c r="P19" s="25"/>
      <c r="Q19" s="22">
        <f>+SUM(START:END!Q19)</f>
        <v>0</v>
      </c>
      <c r="R19" s="46">
        <f>O19-K19</f>
        <v>0</v>
      </c>
      <c r="S19" s="491">
        <f>L19-Q19</f>
        <v>0</v>
      </c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1"/>
        <v>Véhicules neufs</v>
      </c>
      <c r="B20" s="11" t="str">
        <f t="shared" si="0"/>
        <v>Véhicules neufs</v>
      </c>
      <c r="C20" s="53"/>
      <c r="D20" s="30"/>
      <c r="E20" s="30"/>
      <c r="F20" s="33"/>
      <c r="G20" s="31"/>
      <c r="H20" s="30"/>
      <c r="I20" s="33"/>
      <c r="J20" s="31"/>
      <c r="K20" s="30"/>
      <c r="L20" s="33"/>
      <c r="M20" s="31"/>
      <c r="N20" s="33"/>
      <c r="O20" s="31"/>
      <c r="P20" s="30"/>
      <c r="Q20" s="33"/>
      <c r="R20" s="31"/>
      <c r="S20" s="34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1"/>
        <v>Véhicules neufsRev. Finances</v>
      </c>
      <c r="B21" s="11" t="str">
        <f t="shared" si="0"/>
        <v>Véhicules neufs</v>
      </c>
      <c r="C21" s="29" t="s">
        <v>24</v>
      </c>
      <c r="D21" s="30">
        <v>0</v>
      </c>
      <c r="E21" s="30">
        <f>IF(D21=0,0,F21/D21)</f>
        <v>0</v>
      </c>
      <c r="F21" s="30">
        <f>+SUM(START:END!F21)</f>
        <v>539</v>
      </c>
      <c r="G21" s="41">
        <v>0</v>
      </c>
      <c r="H21" s="30">
        <f>IF(G21=0,0,I21/G21)</f>
        <v>0</v>
      </c>
      <c r="I21" s="30">
        <f>+SUM(START:END!I21)</f>
        <v>0</v>
      </c>
      <c r="J21" s="31"/>
      <c r="K21" s="30">
        <f>IF(J13=0,0,L21/(J13+J15))</f>
        <v>0</v>
      </c>
      <c r="L21" s="33">
        <f>+SUM(START:END!L21)</f>
        <v>0</v>
      </c>
      <c r="M21" s="31"/>
      <c r="N21" s="33">
        <f>L21-F21</f>
        <v>-539</v>
      </c>
      <c r="O21" s="31"/>
      <c r="P21" s="30">
        <f>IF(O13=0,0,Q21/(O13+O15))</f>
        <v>0</v>
      </c>
      <c r="Q21" s="33">
        <f>+SUM(START:END!Q21)</f>
        <v>0</v>
      </c>
      <c r="R21" s="31">
        <f>O21-K21</f>
        <v>0</v>
      </c>
      <c r="S21" s="34">
        <f>L21-Q21</f>
        <v>0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1"/>
        <v>Véhicules neufsRev. Protections</v>
      </c>
      <c r="B22" s="11" t="str">
        <f t="shared" si="0"/>
        <v>Véhicules neufs</v>
      </c>
      <c r="C22" s="29" t="s">
        <v>25</v>
      </c>
      <c r="D22" s="30">
        <v>0</v>
      </c>
      <c r="E22" s="30">
        <f>IF(D22=0,0,F22/D22)</f>
        <v>0</v>
      </c>
      <c r="F22" s="30">
        <f>+SUM(START:END!F22)</f>
        <v>88550</v>
      </c>
      <c r="G22" s="41">
        <v>0</v>
      </c>
      <c r="H22" s="30">
        <f>IF(G22=0,0,I22/G22)</f>
        <v>0</v>
      </c>
      <c r="I22" s="30">
        <f>+SUM(START:END!I22)</f>
        <v>0</v>
      </c>
      <c r="J22" s="31"/>
      <c r="K22" s="30">
        <f>IF(J13=0,0,L22/(J13+J15))</f>
        <v>402.34090909090907</v>
      </c>
      <c r="L22" s="33">
        <f>+SUM(START:END!L22)</f>
        <v>35406</v>
      </c>
      <c r="M22" s="31"/>
      <c r="N22" s="33">
        <f>L22-F22</f>
        <v>-53144</v>
      </c>
      <c r="O22" s="31"/>
      <c r="P22" s="30">
        <f>IF(O13=0,0,Q22/(O13+O15))</f>
        <v>1281.1845454545435</v>
      </c>
      <c r="Q22" s="33">
        <f>+SUM(START:END!Q22)</f>
        <v>70465.149999999892</v>
      </c>
      <c r="R22" s="31">
        <f>O22-K22</f>
        <v>-402.34090909090907</v>
      </c>
      <c r="S22" s="34">
        <f>L22-Q22</f>
        <v>-35059.149999999892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1"/>
        <v>Véhicules neufsRev. Autres</v>
      </c>
      <c r="B23" s="11" t="str">
        <f t="shared" si="0"/>
        <v>Véhicules neufs</v>
      </c>
      <c r="C23" s="29" t="s">
        <v>26</v>
      </c>
      <c r="D23" s="30">
        <v>0</v>
      </c>
      <c r="E23" s="30">
        <f>IF(D23=0,0,F23/D23)</f>
        <v>0</v>
      </c>
      <c r="F23" s="30">
        <f>+SUM(START:END!F23)</f>
        <v>34111</v>
      </c>
      <c r="G23" s="41">
        <v>0</v>
      </c>
      <c r="H23" s="30">
        <f>IF(G23=0,0,I23/G23)</f>
        <v>0</v>
      </c>
      <c r="I23" s="30">
        <f>+SUM(START:END!I23)</f>
        <v>0</v>
      </c>
      <c r="J23" s="31"/>
      <c r="K23" s="30">
        <f>IF(J13=0,0,L23/(J13+J15))</f>
        <v>515.82340909090908</v>
      </c>
      <c r="L23" s="33">
        <f>+SUM(START:END!L23)</f>
        <v>45392.46</v>
      </c>
      <c r="M23" s="51"/>
      <c r="N23" s="33">
        <f>L23-F23</f>
        <v>11281.46</v>
      </c>
      <c r="O23" s="31"/>
      <c r="P23" s="30">
        <f>IF(O13=0,0,Q23/(O13+O15))</f>
        <v>762.66854545454544</v>
      </c>
      <c r="Q23" s="33">
        <f>+SUM(START:END!Q23)</f>
        <v>41946.77</v>
      </c>
      <c r="R23" s="31">
        <f>O23-K23</f>
        <v>-515.82340909090908</v>
      </c>
      <c r="S23" s="34">
        <f>L23-Q23</f>
        <v>3445.6900000000023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1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77</v>
      </c>
      <c r="E24" s="36">
        <f>IF(D24&lt;=0,0,F24/D24)</f>
        <v>1600</v>
      </c>
      <c r="F24" s="37">
        <f>F21+F22+F23</f>
        <v>123200</v>
      </c>
      <c r="G24" s="38">
        <f>+G15+G13</f>
        <v>0</v>
      </c>
      <c r="H24" s="36">
        <f>IF(G24&lt;=0,0,I24/G24)</f>
        <v>0</v>
      </c>
      <c r="I24" s="37">
        <f>I21+I22+I23</f>
        <v>0</v>
      </c>
      <c r="J24" s="38">
        <f>+J15+J13</f>
        <v>88</v>
      </c>
      <c r="K24" s="36">
        <f>IF(J24&lt;=0,0,L24/J24)</f>
        <v>918.16431818181809</v>
      </c>
      <c r="L24" s="37">
        <f>L21+L22+L23</f>
        <v>80798.459999999992</v>
      </c>
      <c r="M24" s="58">
        <f>J24-D24</f>
        <v>11</v>
      </c>
      <c r="N24" s="37">
        <f>L24-F24</f>
        <v>-42401.540000000008</v>
      </c>
      <c r="O24" s="38">
        <f>+O15+O13</f>
        <v>55</v>
      </c>
      <c r="P24" s="36">
        <f>IF(O24&lt;=0,0,Q24/O24)</f>
        <v>2043.8530909090891</v>
      </c>
      <c r="Q24" s="37">
        <f>Q21+Q22+Q23</f>
        <v>112411.9199999999</v>
      </c>
      <c r="R24" s="56"/>
      <c r="S24" s="39">
        <f>L24-Q24</f>
        <v>-31613.459999999905</v>
      </c>
      <c r="T24" s="13"/>
      <c r="U24" s="13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1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-0.34416834415584424</v>
      </c>
      <c r="O25" s="41"/>
      <c r="P25" s="13"/>
      <c r="Q25" s="59"/>
      <c r="R25" s="60"/>
      <c r="S25" s="44">
        <f>IF(Q24=0,0,(S24/Q24))</f>
        <v>-0.28122871666990418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1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82</v>
      </c>
      <c r="E27" s="64">
        <f>IF(D27&lt;=0,0,F27/D27)</f>
        <v>5102.2647058823532</v>
      </c>
      <c r="F27" s="65">
        <f>F13+F17+F24+F19+F15</f>
        <v>418385.70588235295</v>
      </c>
      <c r="G27" s="66">
        <f>+G13+G15+G17</f>
        <v>0</v>
      </c>
      <c r="H27" s="67">
        <f>IF(G27&lt;=0,0,I27/G27)</f>
        <v>0</v>
      </c>
      <c r="I27" s="65">
        <f>I13+I17+I24+I19+I15</f>
        <v>0</v>
      </c>
      <c r="J27" s="66">
        <f>+J13+J15+J17</f>
        <v>93</v>
      </c>
      <c r="K27" s="67">
        <f>IF(J27&lt;=0,0,L27/J27)</f>
        <v>5150.2023655913981</v>
      </c>
      <c r="L27" s="65">
        <f>L13+L17+L24+L19+L15</f>
        <v>478968.82000000007</v>
      </c>
      <c r="M27" s="66">
        <f>J27-D27</f>
        <v>11</v>
      </c>
      <c r="N27" s="65">
        <f>L27-F27</f>
        <v>60583.114117647114</v>
      </c>
      <c r="O27" s="66">
        <f>+O13+O15+O17</f>
        <v>56</v>
      </c>
      <c r="P27" s="67">
        <f>IF(O27&lt;=0,0,Q27/O27)</f>
        <v>5706.0071428571364</v>
      </c>
      <c r="Q27" s="65">
        <f>Q13+Q17+Q24+Q19+Q15</f>
        <v>319536.39999999962</v>
      </c>
      <c r="R27" s="66">
        <f>J27-O27</f>
        <v>37</v>
      </c>
      <c r="S27" s="68">
        <f>L27-Q27</f>
        <v>159432.42000000045</v>
      </c>
      <c r="T27" s="13"/>
      <c r="U27" s="13"/>
      <c r="W27" s="11"/>
      <c r="X27" s="484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1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0.13414634146341464</v>
      </c>
      <c r="N28" s="74">
        <f>N27/F27</f>
        <v>0.14480206485515701</v>
      </c>
      <c r="O28" s="72"/>
      <c r="P28" s="70"/>
      <c r="Q28" s="71"/>
      <c r="R28" s="73">
        <f>R27/O27</f>
        <v>0.6607142857142857</v>
      </c>
      <c r="S28" s="75">
        <f>IF(Q27=0,0,S27/Q27)</f>
        <v>0.4989491651029449</v>
      </c>
      <c r="T28" s="13"/>
      <c r="U28" s="13"/>
      <c r="W28" s="11"/>
      <c r="X28" s="484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1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1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1"/>
        <v>Véhicules neufsComm. vendeurs</v>
      </c>
      <c r="B31" s="11" t="str">
        <f t="shared" si="0"/>
        <v>Véhicules neufs</v>
      </c>
      <c r="C31" s="29" t="s">
        <v>30</v>
      </c>
      <c r="D31" s="147">
        <f>F31/(F13+F15)</f>
        <v>0.28481206767663803</v>
      </c>
      <c r="E31" s="82">
        <f t="shared" ref="E31:E40" si="10">F31/D$24</f>
        <v>1077.9792985344609</v>
      </c>
      <c r="F31" s="30">
        <f>+SUM(START:END!F31)</f>
        <v>83004.405987153485</v>
      </c>
      <c r="G31" s="156"/>
      <c r="H31" s="82" t="e">
        <f t="shared" ref="H31:H40" si="11">I31/G$24</f>
        <v>#DIV/0!</v>
      </c>
      <c r="I31" s="30">
        <f>+SUM(START:END!I31)</f>
        <v>0</v>
      </c>
      <c r="J31" s="156">
        <f>L31/(L13+L15)</f>
        <v>0.26343894863937467</v>
      </c>
      <c r="K31" s="82">
        <f t="shared" ref="K31:K40" si="12">IF(L31=0,0,L31/J$24)</f>
        <v>1161.3192045454546</v>
      </c>
      <c r="L31" s="30">
        <f>+SUM(START:END!L31)</f>
        <v>102196.09</v>
      </c>
      <c r="M31" s="41"/>
      <c r="N31" s="59">
        <f t="shared" ref="N31:N53" si="13">L31-F31</f>
        <v>19191.684012846512</v>
      </c>
      <c r="O31" s="156">
        <f>Q31/(Q13+Q15+Q17)</f>
        <v>0.28037564656770686</v>
      </c>
      <c r="P31" s="82">
        <f t="shared" ref="P31:P40" si="14">IF(Q31=0,0,Q31/O$24)</f>
        <v>1055.8665454545455</v>
      </c>
      <c r="Q31" s="33">
        <f>+SUM(START:END!Q31)</f>
        <v>58072.66</v>
      </c>
      <c r="R31" s="41"/>
      <c r="S31" s="85">
        <f t="shared" ref="S31:S53" si="15">L31-Q31</f>
        <v>44123.429999999993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1"/>
        <v>Véhicules neufsComm. F&amp;I</v>
      </c>
      <c r="B32" s="11" t="str">
        <f t="shared" si="0"/>
        <v>Véhicules neufs</v>
      </c>
      <c r="C32" s="86" t="s">
        <v>31</v>
      </c>
      <c r="D32" s="217">
        <f>F32/F24</f>
        <v>0.30499999999999999</v>
      </c>
      <c r="E32" s="88">
        <f t="shared" si="10"/>
        <v>488</v>
      </c>
      <c r="F32" s="22">
        <f>+SUM(START:END!F32)</f>
        <v>37576</v>
      </c>
      <c r="G32" s="161"/>
      <c r="H32" s="90" t="e">
        <f t="shared" si="11"/>
        <v>#DIV/0!</v>
      </c>
      <c r="I32" s="22">
        <f>+SUM(START:END!I32)</f>
        <v>0</v>
      </c>
      <c r="J32" s="161">
        <f>L32/L24</f>
        <v>0.20147475583074234</v>
      </c>
      <c r="K32" s="88">
        <f t="shared" si="12"/>
        <v>184.98693181818183</v>
      </c>
      <c r="L32" s="22">
        <f>+SUM(START:END!L32)</f>
        <v>16278.85</v>
      </c>
      <c r="M32" s="23"/>
      <c r="N32" s="91">
        <f t="shared" si="13"/>
        <v>-21297.15</v>
      </c>
      <c r="O32" s="161">
        <f>Q32/Q24</f>
        <v>0.27776956393948282</v>
      </c>
      <c r="P32" s="88">
        <f t="shared" si="14"/>
        <v>567.7201818181818</v>
      </c>
      <c r="Q32" s="22">
        <f>+SUM(START:END!Q32)</f>
        <v>31224.61</v>
      </c>
      <c r="R32" s="23"/>
      <c r="S32" s="92">
        <f t="shared" si="15"/>
        <v>-14945.76</v>
      </c>
      <c r="T32" s="13"/>
      <c r="U32" s="13"/>
      <c r="V32" s="495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1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120</v>
      </c>
      <c r="F33" s="30">
        <f>+SUM(START:END!F33)</f>
        <v>9240</v>
      </c>
      <c r="G33" s="83"/>
      <c r="H33" s="82" t="e">
        <f t="shared" si="11"/>
        <v>#DIV/0!</v>
      </c>
      <c r="I33" s="30">
        <f>+SUM(START:END!I33)</f>
        <v>0</v>
      </c>
      <c r="J33" s="41"/>
      <c r="K33" s="82">
        <f t="shared" si="12"/>
        <v>202.00193181818179</v>
      </c>
      <c r="L33" s="30">
        <f>+SUM(START:END!L33)</f>
        <v>17776.169999999998</v>
      </c>
      <c r="M33" s="41"/>
      <c r="N33" s="59">
        <f t="shared" si="13"/>
        <v>8536.1699999999983</v>
      </c>
      <c r="O33" s="41"/>
      <c r="P33" s="82">
        <f t="shared" si="14"/>
        <v>208.6721818181818</v>
      </c>
      <c r="Q33" s="33">
        <f>+SUM(START:END!Q33)</f>
        <v>11476.97</v>
      </c>
      <c r="R33" s="41"/>
      <c r="S33" s="85">
        <f t="shared" si="15"/>
        <v>6299.1999999999989</v>
      </c>
      <c r="T33" s="13"/>
      <c r="U33" s="13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1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35</v>
      </c>
      <c r="F34" s="30">
        <f>+SUM(START:END!F34)</f>
        <v>2695</v>
      </c>
      <c r="G34" s="83"/>
      <c r="H34" s="82" t="e">
        <f t="shared" si="11"/>
        <v>#DIV/0!</v>
      </c>
      <c r="I34" s="30">
        <f>+SUM(START:END!I34)</f>
        <v>0</v>
      </c>
      <c r="J34" s="41"/>
      <c r="K34" s="82">
        <f t="shared" si="12"/>
        <v>38.365227272727275</v>
      </c>
      <c r="L34" s="30">
        <f>+SUM(START:END!L34)</f>
        <v>3376.14</v>
      </c>
      <c r="M34" s="41"/>
      <c r="N34" s="59">
        <f t="shared" si="13"/>
        <v>681.13999999999987</v>
      </c>
      <c r="O34" s="41"/>
      <c r="P34" s="82">
        <f t="shared" si="14"/>
        <v>23.322181818181818</v>
      </c>
      <c r="Q34" s="33">
        <f>+SUM(START:END!Q34)</f>
        <v>1282.72</v>
      </c>
      <c r="R34" s="41"/>
      <c r="S34" s="85">
        <f t="shared" si="15"/>
        <v>2093.42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1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98.324675324675326</v>
      </c>
      <c r="F35" s="22">
        <f>+SUM(START:END!F35)</f>
        <v>7571</v>
      </c>
      <c r="G35" s="89"/>
      <c r="H35" s="90" t="e">
        <f t="shared" si="11"/>
        <v>#DIV/0!</v>
      </c>
      <c r="I35" s="22">
        <f>+SUM(START:END!I35)</f>
        <v>0</v>
      </c>
      <c r="J35" s="23"/>
      <c r="K35" s="88">
        <f t="shared" si="12"/>
        <v>62.071136363636363</v>
      </c>
      <c r="L35" s="22">
        <f>+SUM(START:END!L35)</f>
        <v>5462.26</v>
      </c>
      <c r="M35" s="23"/>
      <c r="N35" s="91">
        <f t="shared" si="13"/>
        <v>-2108.7399999999998</v>
      </c>
      <c r="O35" s="23"/>
      <c r="P35" s="88">
        <f t="shared" si="14"/>
        <v>144.44399999999999</v>
      </c>
      <c r="Q35" s="33">
        <f>+SUM(START:END!Q35)</f>
        <v>7944.42</v>
      </c>
      <c r="R35" s="23"/>
      <c r="S35" s="92">
        <f t="shared" si="15"/>
        <v>-2482.16</v>
      </c>
      <c r="T35" s="13"/>
      <c r="U35" s="1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1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234.88787878787878</v>
      </c>
      <c r="F36" s="30">
        <f>+SUM(START:END!F36)</f>
        <v>18086.366666666665</v>
      </c>
      <c r="G36" s="83"/>
      <c r="H36" s="82" t="e">
        <f t="shared" si="11"/>
        <v>#DIV/0!</v>
      </c>
      <c r="I36" s="30">
        <f>+SUM(START:END!I36)</f>
        <v>0</v>
      </c>
      <c r="J36" s="41"/>
      <c r="K36" s="82">
        <f t="shared" si="12"/>
        <v>172.02454545454546</v>
      </c>
      <c r="L36" s="454">
        <f>+SUM(START:END!L36)</f>
        <v>15138.160000000002</v>
      </c>
      <c r="M36" s="13"/>
      <c r="N36" s="59">
        <f t="shared" si="13"/>
        <v>-2948.2066666666633</v>
      </c>
      <c r="O36" s="41"/>
      <c r="P36" s="82">
        <f t="shared" si="14"/>
        <v>617.82181818181823</v>
      </c>
      <c r="Q36" s="55">
        <f>+SUM(START:END!Q36)</f>
        <v>33980.200000000004</v>
      </c>
      <c r="R36" s="41"/>
      <c r="S36" s="85">
        <f t="shared" si="15"/>
        <v>-18842.04</v>
      </c>
      <c r="T36" s="13"/>
      <c r="U36" s="13"/>
      <c r="W36" s="489"/>
      <c r="X36" s="453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 t="shared" si="1"/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880.88681386295207</v>
      </c>
      <c r="F37" s="30">
        <f>+SUM(START:END!F37)</f>
        <v>67828.284667447311</v>
      </c>
      <c r="G37" s="83"/>
      <c r="H37" s="82" t="e">
        <f t="shared" si="11"/>
        <v>#DIV/0!</v>
      </c>
      <c r="I37" s="30">
        <f>+SUM(START:END!I37)</f>
        <v>0</v>
      </c>
      <c r="J37" s="41"/>
      <c r="K37" s="82">
        <f t="shared" si="12"/>
        <v>832.03579545454556</v>
      </c>
      <c r="L37" s="455">
        <f>+SUM(START:END!L37)</f>
        <v>73219.150000000009</v>
      </c>
      <c r="M37" s="13"/>
      <c r="N37" s="59">
        <f t="shared" si="13"/>
        <v>5390.8653325526975</v>
      </c>
      <c r="O37" s="41"/>
      <c r="P37" s="82">
        <f t="shared" si="14"/>
        <v>1207.6954545454546</v>
      </c>
      <c r="Q37" s="33">
        <f>+SUM(START:END!Q37)</f>
        <v>66423.25</v>
      </c>
      <c r="R37" s="41"/>
      <c r="S37" s="85">
        <f>L37-Q37</f>
        <v>6795.9000000000087</v>
      </c>
      <c r="T37" s="13"/>
      <c r="U37" s="13"/>
      <c r="W37" s="49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 t="shared" si="1"/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f>+SUM(START:END!F38)</f>
        <v>0</v>
      </c>
      <c r="G38" s="83"/>
      <c r="H38" s="82" t="e">
        <f t="shared" si="11"/>
        <v>#DIV/0!</v>
      </c>
      <c r="I38" s="30">
        <f>+SUM(START:END!I38)</f>
        <v>0</v>
      </c>
      <c r="J38" s="41"/>
      <c r="K38" s="82">
        <f t="shared" si="12"/>
        <v>0</v>
      </c>
      <c r="L38" s="455">
        <f>+SUM(START:END!L38)</f>
        <v>0</v>
      </c>
      <c r="M38" s="13"/>
      <c r="N38" s="59">
        <f t="shared" si="13"/>
        <v>0</v>
      </c>
      <c r="O38" s="41"/>
      <c r="P38" s="82">
        <f t="shared" si="14"/>
        <v>0</v>
      </c>
      <c r="Q38" s="33">
        <f>+SUM(START:END!Q38)</f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 t="shared" si="1"/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f>+SUM(START:END!F39)</f>
        <v>0</v>
      </c>
      <c r="G39" s="83"/>
      <c r="H39" s="82" t="e">
        <f t="shared" si="11"/>
        <v>#DIV/0!</v>
      </c>
      <c r="I39" s="30">
        <f>+SUM(START:END!I39)</f>
        <v>0</v>
      </c>
      <c r="J39" s="41"/>
      <c r="K39" s="82">
        <f t="shared" si="12"/>
        <v>0</v>
      </c>
      <c r="L39" s="455">
        <f>+SUM(START:END!L39)</f>
        <v>0</v>
      </c>
      <c r="M39" s="13"/>
      <c r="N39" s="59">
        <f t="shared" si="13"/>
        <v>0</v>
      </c>
      <c r="O39" s="41"/>
      <c r="P39" s="82">
        <f t="shared" si="14"/>
        <v>0</v>
      </c>
      <c r="Q39" s="33">
        <f>+SUM(START:END!Q39)</f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si="1"/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f>+SUM(START:END!F40)</f>
        <v>0</v>
      </c>
      <c r="G40" s="83"/>
      <c r="H40" s="82" t="e">
        <f t="shared" si="11"/>
        <v>#DIV/0!</v>
      </c>
      <c r="I40" s="30">
        <f>+SUM(START:END!I40)</f>
        <v>0</v>
      </c>
      <c r="J40" s="41"/>
      <c r="K40" s="82">
        <f t="shared" si="12"/>
        <v>0</v>
      </c>
      <c r="L40" s="456">
        <f>+SUM(START:END!L40)</f>
        <v>0</v>
      </c>
      <c r="M40" s="13"/>
      <c r="N40" s="59">
        <f t="shared" si="13"/>
        <v>0</v>
      </c>
      <c r="O40" s="41"/>
      <c r="P40" s="82">
        <f t="shared" si="14"/>
        <v>0</v>
      </c>
      <c r="Q40" s="33">
        <f>+SUM(START:END!Q40)</f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0.54017394510322325</v>
      </c>
      <c r="F41" s="96">
        <f>SUM(F31:F40)</f>
        <v>226001.05732126744</v>
      </c>
      <c r="G41" s="97" t="s">
        <v>38</v>
      </c>
      <c r="H41" s="95" t="e">
        <f>I41/I$27</f>
        <v>#DIV/0!</v>
      </c>
      <c r="I41" s="96">
        <f>SUM(I31:I40)</f>
        <v>0</v>
      </c>
      <c r="J41" s="97" t="s">
        <v>38</v>
      </c>
      <c r="K41" s="95">
        <f>L41/L$27</f>
        <v>0.48739460744020868</v>
      </c>
      <c r="L41" s="96">
        <f>SUM(L31:L40)</f>
        <v>233446.82</v>
      </c>
      <c r="M41" s="98"/>
      <c r="N41" s="96">
        <f t="shared" si="13"/>
        <v>7445.7626787325717</v>
      </c>
      <c r="O41" s="97" t="s">
        <v>38</v>
      </c>
      <c r="P41" s="95">
        <f>Q41/Q$27</f>
        <v>0.65846905078732898</v>
      </c>
      <c r="Q41" s="99">
        <f>SUM(Q31:Q40)</f>
        <v>210404.83000000002</v>
      </c>
      <c r="R41" s="100"/>
      <c r="S41" s="101">
        <f t="shared" si="15"/>
        <v>23041.989999999991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f>+SUM(START:END!F42)</f>
        <v>37198.692151067327</v>
      </c>
      <c r="G42" s="41"/>
      <c r="H42" s="13"/>
      <c r="I42" s="30">
        <f>+SUM(START:END!I42)</f>
        <v>0</v>
      </c>
      <c r="J42" s="41"/>
      <c r="K42" s="13"/>
      <c r="L42" s="33">
        <f>+SUM(START:END!L42)</f>
        <v>36615.919999999998</v>
      </c>
      <c r="M42" s="41"/>
      <c r="N42" s="59">
        <f t="shared" si="13"/>
        <v>-582.7721510673291</v>
      </c>
      <c r="O42" s="41"/>
      <c r="P42" s="13"/>
      <c r="Q42" s="33">
        <f>+SUM(START:END!Q42)</f>
        <v>32911.379999999997</v>
      </c>
      <c r="R42" s="41"/>
      <c r="S42" s="85">
        <f t="shared" si="15"/>
        <v>3704.5400000000009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f>+SUM(START:END!F43)</f>
        <v>15393.256367816091</v>
      </c>
      <c r="G43" s="83"/>
      <c r="H43" s="13"/>
      <c r="I43" s="22">
        <f>+SUM(START:END!I43)</f>
        <v>0</v>
      </c>
      <c r="J43" s="41"/>
      <c r="K43" s="13"/>
      <c r="L43" s="33">
        <f>+SUM(START:END!L43)</f>
        <v>10707.62</v>
      </c>
      <c r="M43" s="41"/>
      <c r="N43" s="59">
        <f t="shared" si="13"/>
        <v>-4685.6363678160906</v>
      </c>
      <c r="O43" s="41"/>
      <c r="P43" s="13"/>
      <c r="Q43" s="33">
        <f>+SUM(START:END!Q43)</f>
        <v>27423.21</v>
      </c>
      <c r="R43" s="41"/>
      <c r="S43" s="85">
        <f t="shared" si="15"/>
        <v>-16715.589999999997</v>
      </c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f>+SUM(START:END!F44)</f>
        <v>0</v>
      </c>
      <c r="G44" s="106"/>
      <c r="H44" s="105"/>
      <c r="I44" s="30">
        <f>+SUM(START:END!I44)</f>
        <v>0</v>
      </c>
      <c r="J44" s="107"/>
      <c r="K44" s="105"/>
      <c r="L44" s="108">
        <f>+SUM(START:END!L44)</f>
        <v>880</v>
      </c>
      <c r="M44" s="107"/>
      <c r="N44" s="109">
        <f t="shared" si="13"/>
        <v>880</v>
      </c>
      <c r="O44" s="107"/>
      <c r="P44" s="105"/>
      <c r="Q44" s="108">
        <f>+SUM(START:END!Q44)</f>
        <v>1026</v>
      </c>
      <c r="R44" s="107"/>
      <c r="S44" s="110">
        <f t="shared" si="15"/>
        <v>-146</v>
      </c>
      <c r="T44" s="13"/>
      <c r="U44" s="13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f>+SUM(START:END!F45)</f>
        <v>0</v>
      </c>
      <c r="G45" s="83"/>
      <c r="H45" s="13"/>
      <c r="I45" s="30">
        <f>+SUM(START:END!I45)</f>
        <v>0</v>
      </c>
      <c r="J45" s="41"/>
      <c r="K45" s="13"/>
      <c r="L45" s="33">
        <f>+SUM(START:END!L45)</f>
        <v>0</v>
      </c>
      <c r="M45" s="41"/>
      <c r="N45" s="59">
        <f t="shared" si="13"/>
        <v>0</v>
      </c>
      <c r="O45" s="41"/>
      <c r="P45" s="13"/>
      <c r="Q45" s="33">
        <f>+SUM(START:END!Q45)</f>
        <v>0</v>
      </c>
      <c r="R45" s="41"/>
      <c r="S45" s="85">
        <f t="shared" si="15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 t="shared" si="1"/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f>+SUM(START:END!F46)</f>
        <v>0</v>
      </c>
      <c r="G46" s="83"/>
      <c r="H46" s="13"/>
      <c r="I46" s="30">
        <f>+SUM(START:END!I46)</f>
        <v>0</v>
      </c>
      <c r="J46" s="41"/>
      <c r="K46" s="13"/>
      <c r="L46" s="33">
        <f>+SUM(START:END!L46)</f>
        <v>0</v>
      </c>
      <c r="M46" s="41"/>
      <c r="N46" s="59">
        <f t="shared" si="13"/>
        <v>0</v>
      </c>
      <c r="O46" s="41"/>
      <c r="P46" s="13"/>
      <c r="Q46" s="33">
        <f>+SUM(START:END!Q46)</f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 t="shared" si="1"/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f>+SUM(START:END!F47)</f>
        <v>0</v>
      </c>
      <c r="G47" s="83"/>
      <c r="H47" s="13"/>
      <c r="I47" s="30">
        <f>+SUM(START:END!I47)</f>
        <v>0</v>
      </c>
      <c r="J47" s="41"/>
      <c r="K47" s="13"/>
      <c r="L47" s="33">
        <f>+SUM(START:END!L47)</f>
        <v>0</v>
      </c>
      <c r="M47" s="41"/>
      <c r="N47" s="59">
        <f t="shared" si="13"/>
        <v>0</v>
      </c>
      <c r="O47" s="41"/>
      <c r="P47" s="13"/>
      <c r="Q47" s="33">
        <f>+SUM(START:END!Q47)</f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 t="shared" si="1"/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f>+SUM(START:END!F48)</f>
        <v>0</v>
      </c>
      <c r="G48" s="83"/>
      <c r="H48" s="13"/>
      <c r="I48" s="30">
        <f>+SUM(START:END!I48)</f>
        <v>0</v>
      </c>
      <c r="J48" s="41"/>
      <c r="K48" s="13"/>
      <c r="L48" s="33">
        <f>+SUM(START:END!L48)</f>
        <v>0</v>
      </c>
      <c r="M48" s="41"/>
      <c r="N48" s="59">
        <f t="shared" si="13"/>
        <v>0</v>
      </c>
      <c r="O48" s="41"/>
      <c r="P48" s="13"/>
      <c r="Q48" s="33">
        <f>+SUM(START:END!Q48)</f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si="1"/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f>+SUM(START:END!F49)</f>
        <v>23442.862401338454</v>
      </c>
      <c r="G49" s="83"/>
      <c r="H49" s="13"/>
      <c r="I49" s="22">
        <f>+SUM(START:END!I49)</f>
        <v>0</v>
      </c>
      <c r="J49" s="41"/>
      <c r="K49" s="13"/>
      <c r="L49" s="22">
        <f>+SUM(START:END!L49)</f>
        <v>20356.57</v>
      </c>
      <c r="M49" s="41"/>
      <c r="N49" s="59">
        <f t="shared" si="13"/>
        <v>-3086.2924013384545</v>
      </c>
      <c r="O49" s="41"/>
      <c r="P49" s="13"/>
      <c r="Q49" s="22">
        <f>+SUM(START:END!Q49)</f>
        <v>23215.439999999999</v>
      </c>
      <c r="R49" s="41"/>
      <c r="S49" s="85">
        <f t="shared" si="15"/>
        <v>-2858.869999999999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f>+SUM(START:END!F50)</f>
        <v>23802.408605976772</v>
      </c>
      <c r="G50" s="106"/>
      <c r="H50" s="105"/>
      <c r="I50" s="30">
        <f>+SUM(START:END!I50)</f>
        <v>0</v>
      </c>
      <c r="J50" s="107"/>
      <c r="K50" s="105"/>
      <c r="L50" s="33">
        <f>+SUM(START:END!L50)</f>
        <v>19973.560000000001</v>
      </c>
      <c r="M50" s="107"/>
      <c r="N50" s="109">
        <f t="shared" si="13"/>
        <v>-3828.8486059767711</v>
      </c>
      <c r="O50" s="107"/>
      <c r="P50" s="105"/>
      <c r="Q50" s="33">
        <f>+SUM(START:END!Q50)</f>
        <v>21470.39</v>
      </c>
      <c r="R50" s="107"/>
      <c r="S50" s="110">
        <f t="shared" si="15"/>
        <v>-1496.8299999999981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f>+SUM(START:END!F51)</f>
        <v>16928.93159399087</v>
      </c>
      <c r="G51" s="83"/>
      <c r="H51" s="13"/>
      <c r="I51" s="30">
        <f>+SUM(START:END!I51)</f>
        <v>0</v>
      </c>
      <c r="J51" s="41"/>
      <c r="K51" s="13"/>
      <c r="L51" s="33">
        <f>+SUM(START:END!L51)</f>
        <v>10738.93</v>
      </c>
      <c r="M51" s="41"/>
      <c r="N51" s="59">
        <f t="shared" si="13"/>
        <v>-6190.0015939908699</v>
      </c>
      <c r="O51" s="41"/>
      <c r="P51" s="13"/>
      <c r="Q51" s="33">
        <f>+SUM(START:END!Q51)</f>
        <v>14008.890000000001</v>
      </c>
      <c r="R51" s="41"/>
      <c r="S51" s="85">
        <f t="shared" si="15"/>
        <v>-3269.9600000000009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f>+SUM(START:END!F52)</f>
        <v>4740.1008463174439</v>
      </c>
      <c r="G52" s="83"/>
      <c r="H52" s="13"/>
      <c r="I52" s="30">
        <f>+SUM(START:END!I52)</f>
        <v>0</v>
      </c>
      <c r="J52" s="41"/>
      <c r="K52" s="13"/>
      <c r="L52" s="33">
        <f>+SUM(START:END!L52)</f>
        <v>3232.04</v>
      </c>
      <c r="M52" s="41"/>
      <c r="N52" s="59">
        <f t="shared" si="13"/>
        <v>-1508.060846317444</v>
      </c>
      <c r="O52" s="41"/>
      <c r="P52" s="13"/>
      <c r="Q52" s="33">
        <f>+SUM(START:END!Q52)</f>
        <v>2798.73</v>
      </c>
      <c r="R52" s="41"/>
      <c r="S52" s="85">
        <f t="shared" si="15"/>
        <v>433.30999999999995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"/>
        <v>Véhicules neufs[...]</v>
      </c>
      <c r="B53" s="11" t="str">
        <f t="shared" si="0"/>
        <v>Véhicules neufs</v>
      </c>
      <c r="C53" s="29" t="s">
        <v>19</v>
      </c>
      <c r="D53" s="87"/>
      <c r="E53" s="111"/>
      <c r="F53" s="30">
        <f>+SUM(START:END!F53)</f>
        <v>0</v>
      </c>
      <c r="G53" s="89"/>
      <c r="H53" s="111"/>
      <c r="I53" s="30">
        <f>+SUM(START:END!I53)</f>
        <v>0</v>
      </c>
      <c r="J53" s="23"/>
      <c r="K53" s="111"/>
      <c r="L53" s="33">
        <f>+SUM(START:END!L53)</f>
        <v>0</v>
      </c>
      <c r="M53" s="23"/>
      <c r="N53" s="91">
        <f t="shared" si="13"/>
        <v>0</v>
      </c>
      <c r="O53" s="23"/>
      <c r="P53" s="111"/>
      <c r="Q53" s="33">
        <f>+SUM(START:END!Q53)</f>
        <v>0</v>
      </c>
      <c r="R53" s="23"/>
      <c r="S53" s="92">
        <f t="shared" si="15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0.29041683369716664</v>
      </c>
      <c r="F54" s="96">
        <f>+SUM(F42:F53)</f>
        <v>121506.25196650697</v>
      </c>
      <c r="G54" s="97" t="s">
        <v>38</v>
      </c>
      <c r="H54" s="95" t="e">
        <f>I54/I$27</f>
        <v>#DIV/0!</v>
      </c>
      <c r="I54" s="96">
        <f>+SUM(I42:I53)</f>
        <v>0</v>
      </c>
      <c r="J54" s="97" t="s">
        <v>38</v>
      </c>
      <c r="K54" s="95">
        <f>L54/L$27</f>
        <v>0.21401109157794443</v>
      </c>
      <c r="L54" s="96">
        <f>+SUM(L42:L53)</f>
        <v>102504.64</v>
      </c>
      <c r="M54" s="100"/>
      <c r="N54" s="96">
        <f>+SUM(N42:N53)</f>
        <v>-19001.611966506956</v>
      </c>
      <c r="O54" s="97" t="s">
        <v>38</v>
      </c>
      <c r="P54" s="95">
        <f>Q54/Q$27</f>
        <v>0.38447588443757941</v>
      </c>
      <c r="Q54" s="96">
        <f>+SUM(Q42:Q53)</f>
        <v>122854.04</v>
      </c>
      <c r="R54" s="100"/>
      <c r="S54" s="101">
        <f>+SUM(S42:S53)</f>
        <v>-20349.399999999991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1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f>+SUM(START:END!F55)</f>
        <v>0</v>
      </c>
      <c r="G55" s="83"/>
      <c r="H55" s="13"/>
      <c r="I55" s="30">
        <f>+SUM(START:END!I55)</f>
        <v>0</v>
      </c>
      <c r="J55" s="41"/>
      <c r="K55" s="13"/>
      <c r="L55" s="33">
        <f>+SUM(START:END!L55)</f>
        <v>0</v>
      </c>
      <c r="M55" s="41"/>
      <c r="N55" s="59">
        <f t="shared" ref="N55:N71" si="16">L55-F55</f>
        <v>0</v>
      </c>
      <c r="O55" s="41"/>
      <c r="P55" s="13"/>
      <c r="Q55" s="33">
        <f>+SUM(START:END!Q55)</f>
        <v>0</v>
      </c>
      <c r="R55" s="41"/>
      <c r="S55" s="85">
        <f t="shared" ref="S55:S71" si="17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1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f>+SUM(START:END!F56)</f>
        <v>0</v>
      </c>
      <c r="G56" s="83"/>
      <c r="H56" s="13"/>
      <c r="I56" s="30">
        <f>+SUM(START:END!I56)</f>
        <v>0</v>
      </c>
      <c r="J56" s="41"/>
      <c r="K56" s="13"/>
      <c r="L56" s="33">
        <f>+SUM(START:END!L56)</f>
        <v>0</v>
      </c>
      <c r="M56" s="41"/>
      <c r="N56" s="59">
        <f t="shared" si="16"/>
        <v>0</v>
      </c>
      <c r="O56" s="41"/>
      <c r="P56" s="13"/>
      <c r="Q56" s="33">
        <f>+SUM(START:END!Q56)</f>
        <v>0</v>
      </c>
      <c r="R56" s="41"/>
      <c r="S56" s="85">
        <f t="shared" si="17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f>+SUM(START:END!F57)</f>
        <v>6109.5</v>
      </c>
      <c r="G57" s="89"/>
      <c r="H57" s="111"/>
      <c r="I57" s="22">
        <f>+SUM(START:END!I57)</f>
        <v>0</v>
      </c>
      <c r="J57" s="23"/>
      <c r="K57" s="111"/>
      <c r="L57" s="22">
        <f>+SUM(START:END!L57)</f>
        <v>3150.91</v>
      </c>
      <c r="M57" s="23"/>
      <c r="N57" s="91">
        <f t="shared" si="16"/>
        <v>-2958.59</v>
      </c>
      <c r="O57" s="23"/>
      <c r="P57" s="111"/>
      <c r="Q57" s="22">
        <f>+SUM(START:END!Q57)</f>
        <v>24686.71</v>
      </c>
      <c r="R57" s="23"/>
      <c r="S57" s="92">
        <f t="shared" si="17"/>
        <v>-21535.8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f>+SUM(START:END!F58)</f>
        <v>27586.056500000002</v>
      </c>
      <c r="G58" s="83"/>
      <c r="H58" s="13"/>
      <c r="I58" s="30">
        <f>+SUM(START:END!I58)</f>
        <v>0</v>
      </c>
      <c r="J58" s="41"/>
      <c r="K58" s="13"/>
      <c r="L58" s="33">
        <f>+SUM(START:END!L58)</f>
        <v>28039.5</v>
      </c>
      <c r="M58" s="41"/>
      <c r="N58" s="59">
        <f t="shared" si="16"/>
        <v>453.44349999999758</v>
      </c>
      <c r="O58" s="41"/>
      <c r="P58" s="13"/>
      <c r="Q58" s="33">
        <f>+SUM(START:END!Q58)</f>
        <v>13593.06</v>
      </c>
      <c r="R58" s="41"/>
      <c r="S58" s="85">
        <f t="shared" si="17"/>
        <v>14446.44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f>+SUM(START:END!F59)</f>
        <v>3990</v>
      </c>
      <c r="G59" s="83"/>
      <c r="H59" s="13"/>
      <c r="I59" s="30">
        <f>+SUM(START:END!I59)</f>
        <v>0</v>
      </c>
      <c r="J59" s="41"/>
      <c r="K59" s="13"/>
      <c r="L59" s="33">
        <f>+SUM(START:END!L59)</f>
        <v>11042.93</v>
      </c>
      <c r="M59" s="41"/>
      <c r="N59" s="59">
        <f t="shared" si="16"/>
        <v>7052.93</v>
      </c>
      <c r="O59" s="41"/>
      <c r="P59" s="13"/>
      <c r="Q59" s="33">
        <f>+SUM(START:END!Q59)</f>
        <v>1015.2199999999998</v>
      </c>
      <c r="R59" s="41"/>
      <c r="S59" s="85">
        <f t="shared" si="17"/>
        <v>10027.710000000001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f>+SUM(START:END!F60)</f>
        <v>8017.0810000000001</v>
      </c>
      <c r="G60" s="89"/>
      <c r="H60" s="111"/>
      <c r="I60" s="22">
        <f>+SUM(START:END!I60)</f>
        <v>0</v>
      </c>
      <c r="J60" s="23"/>
      <c r="K60" s="111"/>
      <c r="L60" s="22">
        <f>+SUM(START:END!L60)</f>
        <v>11572.47</v>
      </c>
      <c r="M60" s="23"/>
      <c r="N60" s="91">
        <f t="shared" si="16"/>
        <v>3555.3889999999992</v>
      </c>
      <c r="O60" s="23"/>
      <c r="P60" s="111"/>
      <c r="Q60" s="22">
        <f>+SUM(START:END!Q60)</f>
        <v>8959.73</v>
      </c>
      <c r="R60" s="23"/>
      <c r="S60" s="92">
        <f t="shared" si="17"/>
        <v>2612.7399999999998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f>+SUM(START:END!F61)</f>
        <v>225</v>
      </c>
      <c r="G61" s="83"/>
      <c r="H61" s="13"/>
      <c r="I61" s="30">
        <f>+SUM(START:END!I61)</f>
        <v>0</v>
      </c>
      <c r="J61" s="41"/>
      <c r="K61" s="13"/>
      <c r="L61" s="33">
        <f>+SUM(START:END!L61)</f>
        <v>278.47000000000003</v>
      </c>
      <c r="M61" s="41"/>
      <c r="N61" s="59">
        <f t="shared" si="16"/>
        <v>53.470000000000027</v>
      </c>
      <c r="O61" s="41"/>
      <c r="P61" s="13"/>
      <c r="Q61" s="33">
        <f>+SUM(START:END!Q61)</f>
        <v>174.81</v>
      </c>
      <c r="R61" s="41"/>
      <c r="S61" s="85">
        <f t="shared" si="17"/>
        <v>103.66000000000003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f>+SUM(START:END!F62)</f>
        <v>90</v>
      </c>
      <c r="G62" s="83"/>
      <c r="H62" s="13"/>
      <c r="I62" s="30">
        <f>+SUM(START:END!I62)</f>
        <v>0</v>
      </c>
      <c r="J62" s="41"/>
      <c r="K62" s="13"/>
      <c r="L62" s="33">
        <f>+SUM(START:END!L62)</f>
        <v>186.48</v>
      </c>
      <c r="M62" s="41"/>
      <c r="N62" s="59">
        <f t="shared" si="16"/>
        <v>96.47999999999999</v>
      </c>
      <c r="O62" s="41"/>
      <c r="P62" s="13"/>
      <c r="Q62" s="33">
        <f>+SUM(START:END!Q62)</f>
        <v>0</v>
      </c>
      <c r="R62" s="41"/>
      <c r="S62" s="85">
        <f t="shared" si="17"/>
        <v>186.48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f>+SUM(START:END!F63)</f>
        <v>1740</v>
      </c>
      <c r="G63" s="83"/>
      <c r="H63" s="13"/>
      <c r="I63" s="30">
        <f>+SUM(START:END!I63)</f>
        <v>0</v>
      </c>
      <c r="J63" s="41"/>
      <c r="K63" s="13"/>
      <c r="L63" s="32">
        <f>+SUM(START:END!L63)</f>
        <v>1331.98</v>
      </c>
      <c r="M63" s="41"/>
      <c r="N63" s="59">
        <f t="shared" si="16"/>
        <v>-408.02</v>
      </c>
      <c r="O63" s="41"/>
      <c r="P63" s="13"/>
      <c r="Q63" s="32">
        <f>+SUM(START:END!Q63)</f>
        <v>1729.13</v>
      </c>
      <c r="R63" s="41"/>
      <c r="S63" s="85">
        <f t="shared" si="17"/>
        <v>-397.15000000000009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f>+SUM(START:END!F64)</f>
        <v>472.79999999999995</v>
      </c>
      <c r="G64" s="83"/>
      <c r="H64" s="13"/>
      <c r="I64" s="30">
        <f>+SUM(START:END!I64)</f>
        <v>0</v>
      </c>
      <c r="J64" s="41"/>
      <c r="K64" s="13"/>
      <c r="L64" s="33">
        <f>+SUM(START:END!L64)</f>
        <v>569.54999999999995</v>
      </c>
      <c r="M64" s="41"/>
      <c r="N64" s="59">
        <f t="shared" si="16"/>
        <v>96.75</v>
      </c>
      <c r="O64" s="41"/>
      <c r="P64" s="13"/>
      <c r="Q64" s="33">
        <f>+SUM(START:END!Q64)</f>
        <v>566.45000000000005</v>
      </c>
      <c r="R64" s="41"/>
      <c r="S64" s="85">
        <f t="shared" si="17"/>
        <v>3.0999999999999091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f>+SUM(START:END!F65)</f>
        <v>680</v>
      </c>
      <c r="G65" s="83"/>
      <c r="H65" s="13"/>
      <c r="I65" s="30">
        <f>+SUM(START:END!I65)</f>
        <v>0</v>
      </c>
      <c r="J65" s="41"/>
      <c r="K65" s="13"/>
      <c r="L65" s="33">
        <f>+SUM(START:END!L65)</f>
        <v>492.59</v>
      </c>
      <c r="M65" s="41"/>
      <c r="N65" s="59">
        <f t="shared" si="16"/>
        <v>-187.41000000000003</v>
      </c>
      <c r="O65" s="41"/>
      <c r="P65" s="13"/>
      <c r="Q65" s="33">
        <f>+SUM(START:END!Q65)</f>
        <v>306.21999999999997</v>
      </c>
      <c r="R65" s="41"/>
      <c r="S65" s="85">
        <f t="shared" si="17"/>
        <v>186.37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f>+SUM(START:END!F66)</f>
        <v>1887.2499999999998</v>
      </c>
      <c r="G66" s="83"/>
      <c r="H66" s="13"/>
      <c r="I66" s="30">
        <f>+SUM(START:END!I66)</f>
        <v>0</v>
      </c>
      <c r="J66" s="41"/>
      <c r="K66" s="13"/>
      <c r="L66" s="33">
        <f>+SUM(START:END!L66)</f>
        <v>1661.63</v>
      </c>
      <c r="M66" s="41"/>
      <c r="N66" s="59">
        <f t="shared" si="16"/>
        <v>-225.61999999999966</v>
      </c>
      <c r="O66" s="41"/>
      <c r="P66" s="13"/>
      <c r="Q66" s="33">
        <f>+SUM(START:END!Q66)</f>
        <v>3148.5699999999997</v>
      </c>
      <c r="R66" s="41"/>
      <c r="S66" s="85">
        <f t="shared" si="17"/>
        <v>-1486.9399999999996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 t="shared" si="1"/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f>+SUM(START:END!F67)</f>
        <v>964.78400000000033</v>
      </c>
      <c r="G67" s="83"/>
      <c r="H67" s="13"/>
      <c r="I67" s="30">
        <f>+SUM(START:END!I67)</f>
        <v>0</v>
      </c>
      <c r="J67" s="41"/>
      <c r="K67" s="13"/>
      <c r="L67" s="33">
        <f>+SUM(START:END!L67)</f>
        <v>-132.92000000000007</v>
      </c>
      <c r="M67" s="41"/>
      <c r="N67" s="59">
        <f t="shared" si="16"/>
        <v>-1097.7040000000004</v>
      </c>
      <c r="O67" s="41"/>
      <c r="P67" s="13"/>
      <c r="Q67" s="33">
        <f>+SUM(START:END!Q67)</f>
        <v>1070.4000000000001</v>
      </c>
      <c r="R67" s="41"/>
      <c r="S67" s="85">
        <f>L67-Q67</f>
        <v>-1203.3200000000002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 t="shared" si="1"/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f>+SUM(START:END!F68)</f>
        <v>10268.868819953457</v>
      </c>
      <c r="G68" s="83"/>
      <c r="H68" s="13"/>
      <c r="I68" s="30">
        <f>+SUM(START:END!I68)</f>
        <v>0</v>
      </c>
      <c r="J68" s="41"/>
      <c r="K68" s="13"/>
      <c r="L68" s="32">
        <f>+SUM(START:END!L68)</f>
        <v>8577.25</v>
      </c>
      <c r="M68" s="41"/>
      <c r="N68" s="59">
        <f t="shared" si="16"/>
        <v>-1691.6188199534572</v>
      </c>
      <c r="O68" s="41"/>
      <c r="P68" s="13"/>
      <c r="Q68" s="33">
        <f>+SUM(START:END!Q68)</f>
        <v>7368.4000000000005</v>
      </c>
      <c r="R68" s="41"/>
      <c r="S68" s="85">
        <f>L68-Q68</f>
        <v>1208.8499999999995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 t="shared" si="1"/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f>+SUM(START:END!F69)</f>
        <v>0</v>
      </c>
      <c r="G69" s="83"/>
      <c r="H69" s="13"/>
      <c r="I69" s="30">
        <f>+SUM(START:END!I69)</f>
        <v>0</v>
      </c>
      <c r="J69" s="41"/>
      <c r="K69" s="13"/>
      <c r="L69" s="33">
        <f>+SUM(START:END!L69)</f>
        <v>0</v>
      </c>
      <c r="M69" s="41"/>
      <c r="N69" s="59">
        <f t="shared" si="16"/>
        <v>0</v>
      </c>
      <c r="O69" s="41"/>
      <c r="P69" s="13"/>
      <c r="Q69" s="33">
        <f>+SUM(START:END!Q69)</f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si="1"/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f>+SUM(START:END!F70)</f>
        <v>0</v>
      </c>
      <c r="G70" s="83"/>
      <c r="H70" s="13"/>
      <c r="I70" s="30">
        <f>+SUM(START:END!I70)</f>
        <v>0</v>
      </c>
      <c r="J70" s="41"/>
      <c r="K70" s="13"/>
      <c r="L70" s="33">
        <f>+SUM(START:END!L70)</f>
        <v>0</v>
      </c>
      <c r="M70" s="41"/>
      <c r="N70" s="59">
        <f t="shared" si="16"/>
        <v>0</v>
      </c>
      <c r="O70" s="41"/>
      <c r="P70" s="13"/>
      <c r="Q70" s="33">
        <f>+SUM(START:END!Q70)</f>
        <v>0</v>
      </c>
      <c r="R70" s="41"/>
      <c r="S70" s="85">
        <f t="shared" si="17"/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f>+SUM(START:END!F71)</f>
        <v>0</v>
      </c>
      <c r="G71" s="83"/>
      <c r="H71" s="13"/>
      <c r="I71" s="30">
        <f>+SUM(START:END!I71)</f>
        <v>0</v>
      </c>
      <c r="J71" s="41"/>
      <c r="K71" s="13"/>
      <c r="L71" s="33">
        <f>+SUM(START:END!L71)</f>
        <v>0</v>
      </c>
      <c r="M71" s="41"/>
      <c r="N71" s="59">
        <f t="shared" si="16"/>
        <v>0</v>
      </c>
      <c r="O71" s="41"/>
      <c r="P71" s="13"/>
      <c r="Q71" s="33">
        <f>+SUM(START:END!Q71)</f>
        <v>0</v>
      </c>
      <c r="R71" s="41"/>
      <c r="S71" s="85">
        <f t="shared" si="17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0.14826352680747709</v>
      </c>
      <c r="F72" s="96">
        <f>+SUM(F55:F71)</f>
        <v>62031.340319953466</v>
      </c>
      <c r="G72" s="97" t="s">
        <v>38</v>
      </c>
      <c r="H72" s="95" t="e">
        <f>I72/I$27</f>
        <v>#DIV/0!</v>
      </c>
      <c r="I72" s="96">
        <f>+SUM(I55:I71)</f>
        <v>0</v>
      </c>
      <c r="J72" s="97" t="s">
        <v>38</v>
      </c>
      <c r="K72" s="95">
        <f>L72/L$27</f>
        <v>0.13940540012604577</v>
      </c>
      <c r="L72" s="96">
        <f>+SUM(L55:L71)</f>
        <v>66770.84</v>
      </c>
      <c r="M72" s="100"/>
      <c r="N72" s="96">
        <f>+SUM(N55:N71)</f>
        <v>4739.4996800465397</v>
      </c>
      <c r="O72" s="97" t="s">
        <v>38</v>
      </c>
      <c r="P72" s="95">
        <f>Q72/Q$27</f>
        <v>0.19596734519134618</v>
      </c>
      <c r="Q72" s="96">
        <f>+SUM(Q55:Q71)</f>
        <v>62618.7</v>
      </c>
      <c r="R72" s="100"/>
      <c r="S72" s="101">
        <f>+SUM(S55:S71)</f>
        <v>4152.1400000000012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0.9788543056078669</v>
      </c>
      <c r="F74" s="96">
        <f>F41+F54+F72</f>
        <v>409538.64960772783</v>
      </c>
      <c r="G74" s="97" t="s">
        <v>38</v>
      </c>
      <c r="H74" s="95" t="e">
        <f>I74/I$27</f>
        <v>#DIV/0!</v>
      </c>
      <c r="I74" s="96">
        <f>I41+I54+I72</f>
        <v>0</v>
      </c>
      <c r="J74" s="97" t="s">
        <v>38</v>
      </c>
      <c r="K74" s="95">
        <f>L74/L$27</f>
        <v>0.84081109914419894</v>
      </c>
      <c r="L74" s="96">
        <f>L41+L54+L72</f>
        <v>402722.30000000005</v>
      </c>
      <c r="M74" s="100"/>
      <c r="N74" s="113">
        <f t="shared" ref="N74:N82" si="18">L74-F74</f>
        <v>-6816.3496077277814</v>
      </c>
      <c r="O74" s="97" t="s">
        <v>38</v>
      </c>
      <c r="P74" s="95">
        <f>Q74/Q$27</f>
        <v>1.2389122804162545</v>
      </c>
      <c r="Q74" s="96">
        <f>Q41+Q54+Q72</f>
        <v>395877.57</v>
      </c>
      <c r="R74" s="100"/>
      <c r="S74" s="114">
        <f>L74-Q74</f>
        <v>6844.7300000000396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1"/>
        <v>Véhicules neufsRBSC neuf</v>
      </c>
      <c r="B75" s="11" t="str">
        <f t="shared" si="0"/>
        <v>Véhicules neufs</v>
      </c>
      <c r="C75" s="29" t="s">
        <v>215</v>
      </c>
      <c r="D75" s="81"/>
      <c r="E75" s="13"/>
      <c r="F75" s="30">
        <f>+SUM(START:END!F75)</f>
        <v>113047.01571428572</v>
      </c>
      <c r="G75" s="83"/>
      <c r="H75" s="13"/>
      <c r="I75" s="30">
        <f>+SUM(START:END!I75)</f>
        <v>0</v>
      </c>
      <c r="J75" s="41"/>
      <c r="K75" s="13"/>
      <c r="L75" s="32">
        <f>+SUM(START:END!L75)</f>
        <v>167457.51</v>
      </c>
      <c r="M75" s="41"/>
      <c r="N75" s="59">
        <f t="shared" si="18"/>
        <v>54410.494285714289</v>
      </c>
      <c r="O75" s="41"/>
      <c r="P75" s="13"/>
      <c r="Q75" s="32">
        <f>+SUM(START:END!Q75)</f>
        <v>75981.91</v>
      </c>
      <c r="R75" s="41"/>
      <c r="S75" s="85">
        <f>L75-Q75</f>
        <v>91475.6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1"/>
        <v>Véhicules neufsProgramme neuf 2</v>
      </c>
      <c r="B76" s="11" t="str">
        <f t="shared" si="0"/>
        <v>Véhicules neufs</v>
      </c>
      <c r="C76" s="29" t="s">
        <v>187</v>
      </c>
      <c r="D76" s="81"/>
      <c r="E76" s="13"/>
      <c r="F76" s="30">
        <f>+SUM(START:END!F76)</f>
        <v>0</v>
      </c>
      <c r="G76" s="83"/>
      <c r="H76" s="13"/>
      <c r="I76" s="30">
        <f>+SUM(START:END!I76)</f>
        <v>0</v>
      </c>
      <c r="J76" s="41"/>
      <c r="K76" s="13"/>
      <c r="L76" s="32">
        <f>+SUM(START:END!L76)</f>
        <v>0</v>
      </c>
      <c r="M76" s="41"/>
      <c r="N76" s="59">
        <f t="shared" si="18"/>
        <v>0</v>
      </c>
      <c r="O76" s="41"/>
      <c r="P76" s="13"/>
      <c r="Q76" s="32">
        <f>+SUM(START:END!Q76)</f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f>+SUM(START:END!F77)</f>
        <v>0</v>
      </c>
      <c r="G77" s="83"/>
      <c r="H77" s="13"/>
      <c r="I77" s="30">
        <f>+SUM(START:END!I77)</f>
        <v>0</v>
      </c>
      <c r="J77" s="41"/>
      <c r="K77" s="13"/>
      <c r="L77" s="32">
        <f>+SUM(START:END!L77)</f>
        <v>0</v>
      </c>
      <c r="M77" s="41"/>
      <c r="N77" s="59">
        <f t="shared" si="18"/>
        <v>0</v>
      </c>
      <c r="O77" s="41"/>
      <c r="P77" s="13"/>
      <c r="Q77" s="32">
        <f>+SUM(START:END!Q77)</f>
        <v>0</v>
      </c>
      <c r="R77" s="41"/>
      <c r="S77" s="85">
        <f t="shared" ref="S77:S82" si="19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f>+SUM(START:END!F78)</f>
        <v>137026.68571428573</v>
      </c>
      <c r="G78" s="83"/>
      <c r="H78" s="13"/>
      <c r="I78" s="30">
        <f>+SUM(START:END!I78)</f>
        <v>0</v>
      </c>
      <c r="J78" s="41"/>
      <c r="K78" s="13"/>
      <c r="L78" s="33">
        <f>+SUM(START:END!L78)</f>
        <v>151861</v>
      </c>
      <c r="M78" s="41"/>
      <c r="N78" s="59">
        <f t="shared" si="18"/>
        <v>14834.314285714267</v>
      </c>
      <c r="O78" s="41"/>
      <c r="P78" s="13"/>
      <c r="Q78" s="32">
        <f>+SUM(START:END!Q78)</f>
        <v>82883.199999999997</v>
      </c>
      <c r="R78" s="41"/>
      <c r="S78" s="85">
        <f t="shared" si="19"/>
        <v>68977.8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 t="shared" si="1"/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f>+SUM(START:END!F79)</f>
        <v>0</v>
      </c>
      <c r="G79" s="83"/>
      <c r="H79" s="13"/>
      <c r="I79" s="30">
        <f>+SUM(START:END!I79)</f>
        <v>0</v>
      </c>
      <c r="J79" s="41"/>
      <c r="K79" s="13"/>
      <c r="L79" s="33">
        <f>+SUM(START:END!L79)</f>
        <v>0</v>
      </c>
      <c r="M79" s="41"/>
      <c r="N79" s="59">
        <f t="shared" si="18"/>
        <v>0</v>
      </c>
      <c r="O79" s="41"/>
      <c r="P79" s="13"/>
      <c r="Q79" s="32">
        <f>+SUM(START:END!Q79)</f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 t="shared" si="1"/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f>+SUM(START:END!F80)</f>
        <v>0</v>
      </c>
      <c r="G80" s="83"/>
      <c r="H80" s="13"/>
      <c r="I80" s="30">
        <f>+SUM(START:END!I80)</f>
        <v>0</v>
      </c>
      <c r="J80" s="41"/>
      <c r="K80" s="13"/>
      <c r="L80" s="33">
        <f>+SUM(START:END!L80)</f>
        <v>0</v>
      </c>
      <c r="M80" s="41"/>
      <c r="N80" s="59">
        <f t="shared" si="18"/>
        <v>0</v>
      </c>
      <c r="O80" s="41"/>
      <c r="P80" s="13"/>
      <c r="Q80" s="32">
        <f>+SUM(START:END!Q80)</f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 t="shared" si="1"/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f>+SUM(START:END!F81)</f>
        <v>0</v>
      </c>
      <c r="G81" s="83"/>
      <c r="H81" s="13"/>
      <c r="I81" s="30">
        <f>+SUM(START:END!I81)</f>
        <v>0</v>
      </c>
      <c r="J81" s="41"/>
      <c r="K81" s="13"/>
      <c r="L81" s="33">
        <f>+SUM(START:END!L81)</f>
        <v>0</v>
      </c>
      <c r="M81" s="41"/>
      <c r="N81" s="59">
        <f t="shared" si="18"/>
        <v>0</v>
      </c>
      <c r="O81" s="41"/>
      <c r="P81" s="13"/>
      <c r="Q81" s="32">
        <f>+SUM(START:END!Q81)</f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si="1"/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f>+SUM(START:END!F82)</f>
        <v>44898.7</v>
      </c>
      <c r="G82" s="83"/>
      <c r="H82" s="13"/>
      <c r="I82" s="30">
        <f>+SUM(START:END!I82)</f>
        <v>0</v>
      </c>
      <c r="J82" s="41"/>
      <c r="K82" s="13"/>
      <c r="L82" s="32">
        <f>+SUM(START:END!L82)</f>
        <v>54145</v>
      </c>
      <c r="M82" s="41"/>
      <c r="N82" s="59">
        <f t="shared" si="18"/>
        <v>9246.3000000000029</v>
      </c>
      <c r="O82" s="41"/>
      <c r="P82" s="13"/>
      <c r="Q82" s="32">
        <f>+SUM(START:END!Q82)</f>
        <v>33320</v>
      </c>
      <c r="R82" s="41"/>
      <c r="S82" s="85">
        <f t="shared" si="19"/>
        <v>20825</v>
      </c>
      <c r="T82" s="13"/>
      <c r="U82" s="13"/>
      <c r="W82" s="483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1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294972.40142857144</v>
      </c>
      <c r="G83" s="97"/>
      <c r="H83" s="95"/>
      <c r="I83" s="96">
        <f>+SUM(I75:I82)</f>
        <v>0</v>
      </c>
      <c r="J83" s="97"/>
      <c r="K83" s="95"/>
      <c r="L83" s="96">
        <f>+SUM(L75:L82)</f>
        <v>373463.51</v>
      </c>
      <c r="M83" s="100"/>
      <c r="N83" s="96">
        <f>+SUM(N75:N82)</f>
        <v>78491.108571428558</v>
      </c>
      <c r="O83" s="97"/>
      <c r="P83" s="95"/>
      <c r="Q83" s="96">
        <f>+SUM(Q75:Q82)</f>
        <v>192185.11</v>
      </c>
      <c r="R83" s="100"/>
      <c r="S83" s="101">
        <f>+SUM(S75:S82)</f>
        <v>181278.40000000002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1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1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303819.45770319656</v>
      </c>
      <c r="G85" s="128"/>
      <c r="H85" s="126"/>
      <c r="I85" s="127">
        <f>I27-I74+I83</f>
        <v>0</v>
      </c>
      <c r="J85" s="128"/>
      <c r="K85" s="125"/>
      <c r="L85" s="127">
        <f>L27-L74+L83</f>
        <v>449710.03</v>
      </c>
      <c r="M85" s="128"/>
      <c r="N85" s="127">
        <f>N27-N41-N54-N72+N83</f>
        <v>145890.57229680353</v>
      </c>
      <c r="O85" s="128"/>
      <c r="P85" s="125"/>
      <c r="Q85" s="127">
        <f>Q27-Q74+Q83</f>
        <v>115843.93999999959</v>
      </c>
      <c r="R85" s="128"/>
      <c r="S85" s="129">
        <f>S27-S41-S54-S72+S83</f>
        <v>333866.09000000043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8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  Q3 2026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399999999999999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06" t="s">
        <v>5</v>
      </c>
      <c r="E91" s="507"/>
      <c r="F91" s="508"/>
      <c r="G91" s="509" t="s">
        <v>71</v>
      </c>
      <c r="H91" s="507"/>
      <c r="I91" s="508"/>
      <c r="J91" s="509" t="s">
        <v>7</v>
      </c>
      <c r="K91" s="507"/>
      <c r="L91" s="508"/>
      <c r="M91" s="509" t="s">
        <v>212</v>
      </c>
      <c r="N91" s="508"/>
      <c r="O91" s="506" t="s">
        <v>8</v>
      </c>
      <c r="P91" s="507"/>
      <c r="Q91" s="508"/>
      <c r="R91" s="504" t="s">
        <v>213</v>
      </c>
      <c r="S91" s="505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 t="s">
        <v>10</v>
      </c>
      <c r="H92" s="80" t="s">
        <v>11</v>
      </c>
      <c r="I92" s="134" t="s">
        <v>12</v>
      </c>
      <c r="J92" s="135" t="s">
        <v>10</v>
      </c>
      <c r="K92" s="80" t="s">
        <v>13</v>
      </c>
      <c r="L92" s="134" t="s">
        <v>12</v>
      </c>
      <c r="M92" s="135" t="s">
        <v>214</v>
      </c>
      <c r="N92" s="134" t="s">
        <v>216</v>
      </c>
      <c r="O92" s="80" t="s">
        <v>10</v>
      </c>
      <c r="P92" s="80" t="s">
        <v>13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99" si="20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f>+SUM(START:END!F93)</f>
        <v>5329644.2680214848</v>
      </c>
      <c r="G93" s="46"/>
      <c r="H93" s="25"/>
      <c r="I93" s="22">
        <f>+SUM(START:END!I93)</f>
        <v>0</v>
      </c>
      <c r="J93" s="23"/>
      <c r="K93" s="25"/>
      <c r="L93" s="22">
        <f>+SUM(START:END!L93)</f>
        <v>5150856.51</v>
      </c>
      <c r="M93" s="137"/>
      <c r="N93" s="138"/>
      <c r="O93" s="23"/>
      <c r="P93" s="25"/>
      <c r="Q93" s="22">
        <f>+SUM(START:END!Q93)</f>
        <v>3515379.8599999901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0"/>
        <v>Véhicules usagésCertifié</v>
      </c>
      <c r="B94" s="11" t="s">
        <v>70</v>
      </c>
      <c r="C94" s="29" t="s">
        <v>72</v>
      </c>
      <c r="D94" s="30">
        <f>+SUM(START:END!D94)</f>
        <v>38</v>
      </c>
      <c r="E94" s="30">
        <f>IF(D94=0,0,F94/D94)</f>
        <v>2400</v>
      </c>
      <c r="F94" s="30">
        <f>+SUM(START:END!F94)</f>
        <v>91200</v>
      </c>
      <c r="G94" s="31">
        <f>+SUM(START:END!G94)</f>
        <v>0</v>
      </c>
      <c r="H94" s="30">
        <f t="shared" ref="H94:H98" si="21">IF(G94=0,0,I94/G94)</f>
        <v>0</v>
      </c>
      <c r="I94" s="30">
        <f>+SUM(START:END!I94)</f>
        <v>0</v>
      </c>
      <c r="J94" s="31">
        <f>+SUM(START:END!J94)</f>
        <v>33</v>
      </c>
      <c r="K94" s="30">
        <f>IF(J94=0,0,L94/J94)</f>
        <v>2232.6872727272716</v>
      </c>
      <c r="L94" s="33">
        <f>+SUM(START:END!L94)</f>
        <v>73678.679999999964</v>
      </c>
      <c r="M94" s="31">
        <f>J94-D94</f>
        <v>-5</v>
      </c>
      <c r="N94" s="33">
        <f>L94-F94</f>
        <v>-17521.320000000036</v>
      </c>
      <c r="O94" s="31">
        <f>+SUM(START:END!O94)</f>
        <v>16</v>
      </c>
      <c r="P94" s="30">
        <f>IF(O94=0,0,Q94/O94)</f>
        <v>1934.9012499999926</v>
      </c>
      <c r="Q94" s="33">
        <f>+SUM(START:END!Q94)</f>
        <v>30958.419999999882</v>
      </c>
      <c r="R94" s="31">
        <f>J94-O94</f>
        <v>17</v>
      </c>
      <c r="S94" s="34">
        <f>L94-Q94</f>
        <v>42720.260000000082</v>
      </c>
      <c r="T94" s="13"/>
      <c r="U94" s="13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399999999999999">
      <c r="A95" t="str">
        <f t="shared" si="20"/>
        <v>Véhicules usagésNon Certifié</v>
      </c>
      <c r="B95" s="11" t="s">
        <v>70</v>
      </c>
      <c r="C95" s="29" t="s">
        <v>73</v>
      </c>
      <c r="D95" s="30">
        <f>+SUM(START:END!D95)</f>
        <v>9</v>
      </c>
      <c r="E95" s="30">
        <f>IF(D95=0,0,F95/D95)</f>
        <v>1400</v>
      </c>
      <c r="F95" s="30">
        <f>+SUM(START:END!F95)</f>
        <v>12600</v>
      </c>
      <c r="G95" s="31">
        <f>+SUM(START:END!G95)</f>
        <v>0</v>
      </c>
      <c r="H95" s="30">
        <f t="shared" si="21"/>
        <v>0</v>
      </c>
      <c r="I95" s="30">
        <f>+SUM(START:END!I95)</f>
        <v>0</v>
      </c>
      <c r="J95" s="31">
        <f>+SUM(START:END!J95)</f>
        <v>22</v>
      </c>
      <c r="K95" s="30">
        <f>IF(J95=0,0,L95/J95)</f>
        <v>2723.9663636363666</v>
      </c>
      <c r="L95" s="32">
        <f>+SUM(START:END!L95)</f>
        <v>59927.260000000068</v>
      </c>
      <c r="M95" s="31">
        <f>J95-D95</f>
        <v>13</v>
      </c>
      <c r="N95" s="33">
        <f>L95-F95</f>
        <v>47327.260000000068</v>
      </c>
      <c r="O95" s="31">
        <f>+SUM(START:END!O95)</f>
        <v>13</v>
      </c>
      <c r="P95" s="30">
        <f>IF(O95=0,0,Q95/O95)</f>
        <v>1331.8299999999992</v>
      </c>
      <c r="Q95" s="32">
        <f>+SUM(START:END!Q95)</f>
        <v>17313.78999999999</v>
      </c>
      <c r="R95" s="31">
        <f>J95-O95</f>
        <v>9</v>
      </c>
      <c r="S95" s="34">
        <f>L95-Q95</f>
        <v>42613.470000000074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399999999999999">
      <c r="A96" t="str">
        <f>+B96&amp;C96</f>
        <v>Véhicules usagésAutres marques</v>
      </c>
      <c r="B96" s="11" t="s">
        <v>70</v>
      </c>
      <c r="C96" s="29" t="s">
        <v>206</v>
      </c>
      <c r="D96" s="30">
        <f>+SUM(START:END!D96)</f>
        <v>15</v>
      </c>
      <c r="E96" s="25">
        <f>IF(D96=0,0,F96/D96)</f>
        <v>1500</v>
      </c>
      <c r="F96" s="30">
        <f>+SUM(START:END!F96)</f>
        <v>22500</v>
      </c>
      <c r="G96" s="31">
        <f>+SUM(START:END!G96)</f>
        <v>0</v>
      </c>
      <c r="H96" s="30">
        <f t="shared" si="21"/>
        <v>0</v>
      </c>
      <c r="I96" s="30">
        <f>+SUM(START:END!I96)</f>
        <v>0</v>
      </c>
      <c r="J96" s="31">
        <f>+SUM(START:END!J96)</f>
        <v>9</v>
      </c>
      <c r="K96" s="30">
        <f>IF(J96=0,0,L96/J96)</f>
        <v>2541.6844444444455</v>
      </c>
      <c r="L96" s="32">
        <f>+SUM(START:END!L96)</f>
        <v>22875.160000000011</v>
      </c>
      <c r="M96" s="31">
        <f>J96-D96</f>
        <v>-6</v>
      </c>
      <c r="N96" s="33">
        <f>L96-F96</f>
        <v>375.16000000001077</v>
      </c>
      <c r="O96" s="31">
        <f>+SUM(START:END!O96)</f>
        <v>15</v>
      </c>
      <c r="P96" s="30">
        <f>IF(O96=0,0,Q96/O96)</f>
        <v>1266.665999999999</v>
      </c>
      <c r="Q96" s="32">
        <f>+SUM(START:END!Q96)</f>
        <v>18999.989999999987</v>
      </c>
      <c r="R96" s="31">
        <f>J96-O96</f>
        <v>-6</v>
      </c>
      <c r="S96" s="34">
        <f>L96-Q96</f>
        <v>3875.1700000000237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0"/>
        <v>Véhicules usagésTotal Usagés</v>
      </c>
      <c r="B97" s="11" t="s">
        <v>70</v>
      </c>
      <c r="C97" s="35" t="s">
        <v>74</v>
      </c>
      <c r="D97" s="36">
        <f>+D95+D94+D96</f>
        <v>62</v>
      </c>
      <c r="E97" s="30">
        <f>IF(D97=0,0,F97/D97)</f>
        <v>2037.0967741935483</v>
      </c>
      <c r="F97" s="37">
        <f>+F94+F95+F96</f>
        <v>126300</v>
      </c>
      <c r="G97" s="38">
        <f>+G95+G94+G96</f>
        <v>0</v>
      </c>
      <c r="H97" s="36">
        <f t="shared" si="21"/>
        <v>0</v>
      </c>
      <c r="I97" s="37">
        <f>+I94+I95+I96</f>
        <v>0</v>
      </c>
      <c r="J97" s="38">
        <f>+J95+J94+J96</f>
        <v>64</v>
      </c>
      <c r="K97" s="36">
        <f>IF(J97=0,0,L97/J97)</f>
        <v>2445.0171875000005</v>
      </c>
      <c r="L97" s="37">
        <f>+L94+L95+L96</f>
        <v>156481.10000000003</v>
      </c>
      <c r="M97" s="38">
        <f>J97-D97</f>
        <v>2</v>
      </c>
      <c r="N97" s="37">
        <f>L97-F97</f>
        <v>30181.100000000035</v>
      </c>
      <c r="O97" s="38">
        <f>+O95+O94+O96</f>
        <v>44</v>
      </c>
      <c r="P97" s="36">
        <f>IF(O97&lt;=0,0,Q97/O97)</f>
        <v>1528.9136363636333</v>
      </c>
      <c r="Q97" s="37">
        <f>+Q94+Q95+Q96</f>
        <v>67272.199999999866</v>
      </c>
      <c r="R97" s="38">
        <f>J97-O97</f>
        <v>20</v>
      </c>
      <c r="S97" s="39">
        <f>L97-Q97</f>
        <v>89208.900000000169</v>
      </c>
      <c r="T97" s="13"/>
      <c r="U97" s="13"/>
      <c r="W97" s="457"/>
      <c r="X97" s="13"/>
      <c r="Y97" s="13"/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0"/>
        <v>Véhicules usagés</v>
      </c>
      <c r="B98" s="11" t="s">
        <v>70</v>
      </c>
      <c r="C98" s="29"/>
      <c r="D98" s="13"/>
      <c r="E98" s="30"/>
      <c r="F98" s="40"/>
      <c r="G98" s="41"/>
      <c r="H98" s="13">
        <f t="shared" si="21"/>
        <v>0</v>
      </c>
      <c r="I98" s="40"/>
      <c r="J98" s="41"/>
      <c r="K98" s="13"/>
      <c r="L98" s="40"/>
      <c r="M98" s="42">
        <f>M97/D97</f>
        <v>3.2258064516129031E-2</v>
      </c>
      <c r="N98" s="43">
        <f>N97/F97</f>
        <v>0.2389635787806812</v>
      </c>
      <c r="O98" s="41"/>
      <c r="P98" s="13"/>
      <c r="Q98" s="40"/>
      <c r="R98" s="42">
        <f>R97/O97</f>
        <v>0.45454545454545453</v>
      </c>
      <c r="S98" s="44">
        <f>IF(Q97=0,0,(S97/Q97))</f>
        <v>1.326088636910943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1">
      <c r="A99" t="str">
        <f t="shared" si="20"/>
        <v>Véhicules usagésRachat bail</v>
      </c>
      <c r="B99" s="11" t="s">
        <v>70</v>
      </c>
      <c r="C99" s="53" t="s">
        <v>23</v>
      </c>
      <c r="D99" s="30"/>
      <c r="E99" s="30"/>
      <c r="F99" s="30">
        <f>+SUM(START:END!F99)</f>
        <v>5463.3298370614675</v>
      </c>
      <c r="G99" s="31"/>
      <c r="H99" s="30"/>
      <c r="I99" s="30">
        <f>+SUM(START:END!I99)</f>
        <v>0</v>
      </c>
      <c r="J99" s="31"/>
      <c r="K99" s="30"/>
      <c r="L99" s="33">
        <f>+SUM(START:END!L99)</f>
        <v>4996</v>
      </c>
      <c r="M99" s="31"/>
      <c r="N99" s="33">
        <f>L99-F99</f>
        <v>-467.32983706146752</v>
      </c>
      <c r="O99" s="31"/>
      <c r="P99" s="30"/>
      <c r="Q99" s="33">
        <f>+SUM(START:END!Q99)</f>
        <v>7028</v>
      </c>
      <c r="R99" s="31">
        <f>O99-K99</f>
        <v>0</v>
      </c>
      <c r="S99" s="34">
        <f>L99-Q99</f>
        <v>-2032</v>
      </c>
      <c r="T99" s="13"/>
      <c r="U99" s="13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spans="1:40" ht="20.399999999999999">
      <c r="A100" t="str">
        <f t="shared" ref="A100" si="22">+B100&amp;C100</f>
        <v>Véhicules usagés</v>
      </c>
      <c r="B100" s="11" t="s">
        <v>70</v>
      </c>
      <c r="C100" s="29"/>
      <c r="D100" s="30"/>
      <c r="E100" s="30"/>
      <c r="F100" s="30"/>
      <c r="G100" s="4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13"/>
      <c r="X100" s="13"/>
      <c r="Y100" s="13"/>
      <c r="Z100" s="13"/>
      <c r="AA100" s="13"/>
      <c r="AB100" s="13"/>
      <c r="AC100" s="11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20.399999999999999">
      <c r="A101" t="str">
        <f t="shared" ref="A101" si="23">+B101&amp;C101</f>
        <v>Véhicules usagésVentes au Gros</v>
      </c>
      <c r="B101" s="11" t="s">
        <v>70</v>
      </c>
      <c r="C101" s="29" t="s">
        <v>75</v>
      </c>
      <c r="D101" s="30">
        <f>+SUM(START:END!D101)</f>
        <v>65</v>
      </c>
      <c r="E101" s="30">
        <f>IF(D101=0,0,F101/D101)</f>
        <v>500</v>
      </c>
      <c r="F101" s="30">
        <f>+SUM(START:END!F101)</f>
        <v>32500</v>
      </c>
      <c r="G101" s="31">
        <f>+SUM(START:END!G101)</f>
        <v>0</v>
      </c>
      <c r="H101" s="30">
        <f t="shared" ref="H101" si="24">IF(G101=0,0,I101/G101)</f>
        <v>0</v>
      </c>
      <c r="I101" s="30">
        <f>+SUM(START:END!I101)</f>
        <v>0</v>
      </c>
      <c r="J101" s="31">
        <f>+SUM(START:END!J101)</f>
        <v>69</v>
      </c>
      <c r="K101" s="30">
        <f>IF(J101=0,0,L101/J101)</f>
        <v>1045.4957971014496</v>
      </c>
      <c r="L101" s="33">
        <f>+SUM(START:END!L101)</f>
        <v>72139.210000000021</v>
      </c>
      <c r="M101" s="31">
        <f>J101-D101</f>
        <v>4</v>
      </c>
      <c r="N101" s="33">
        <f>L101-F101</f>
        <v>39639.210000000021</v>
      </c>
      <c r="O101" s="31">
        <f>+SUM(START:END!O101)</f>
        <v>48</v>
      </c>
      <c r="P101" s="30">
        <f>IF(O101=0,0,Q101/O101)</f>
        <v>446.47041666666672</v>
      </c>
      <c r="Q101" s="33">
        <f>+SUM(START:END!Q101)</f>
        <v>21430.58</v>
      </c>
      <c r="R101" s="31">
        <f>J101-O101</f>
        <v>21</v>
      </c>
      <c r="S101" s="34">
        <f>L101-Q101</f>
        <v>50708.630000000019</v>
      </c>
      <c r="T101" s="13"/>
      <c r="U101" s="13"/>
      <c r="W101" s="457"/>
      <c r="X101" s="13"/>
      <c r="Y101" s="13"/>
      <c r="Z101" s="13"/>
      <c r="AA101" s="13"/>
      <c r="AB101" s="13"/>
      <c r="AC101" s="82"/>
      <c r="AD101" s="13"/>
      <c r="AE101" s="13"/>
      <c r="AF101" s="140"/>
      <c r="AG101" s="13"/>
      <c r="AH101" s="13"/>
      <c r="AI101" s="13"/>
      <c r="AJ101" s="13"/>
      <c r="AK101" s="13"/>
      <c r="AL101" s="13"/>
      <c r="AM101" s="13"/>
      <c r="AN101" s="13"/>
    </row>
    <row r="102" spans="1:40" ht="21">
      <c r="A102" t="str">
        <f t="shared" ref="A102" si="25">+B102&amp;C102</f>
        <v>Véhicules usagés</v>
      </c>
      <c r="B102" s="11" t="s">
        <v>70</v>
      </c>
      <c r="C102" s="86"/>
      <c r="D102" s="25"/>
      <c r="E102" s="25"/>
      <c r="F102" s="48"/>
      <c r="G102" s="51"/>
      <c r="H102" s="47"/>
      <c r="I102" s="48"/>
      <c r="J102" s="51"/>
      <c r="K102" s="47"/>
      <c r="L102" s="48"/>
      <c r="M102" s="49"/>
      <c r="N102" s="141"/>
      <c r="O102" s="51"/>
      <c r="P102" s="47"/>
      <c r="Q102" s="48"/>
      <c r="R102" s="49"/>
      <c r="S102" s="142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40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ref="A103" si="26">+B103&amp;C103</f>
        <v>Véhicules usagésRev. Finances</v>
      </c>
      <c r="B103" s="11" t="s">
        <v>70</v>
      </c>
      <c r="C103" s="29" t="s">
        <v>24</v>
      </c>
      <c r="D103" s="30">
        <f>+SUM(START:END!D103)</f>
        <v>0</v>
      </c>
      <c r="E103" s="30">
        <f>IF(D103=0,0,F103/D103)</f>
        <v>0</v>
      </c>
      <c r="F103" s="33">
        <f>+SUM(START:END!F103)</f>
        <v>21700</v>
      </c>
      <c r="G103" s="31">
        <f>+SUM(START:END!G103)</f>
        <v>0</v>
      </c>
      <c r="H103" s="30">
        <f>IF(G103=0,0,I103/G103)</f>
        <v>0</v>
      </c>
      <c r="I103" s="30">
        <f>+SUM(START:END!I103)</f>
        <v>0</v>
      </c>
      <c r="J103" s="31">
        <f>+SUM(START:END!J103)</f>
        <v>0</v>
      </c>
      <c r="K103" s="30">
        <f>IF(J103=0,0,L103/J103)</f>
        <v>0</v>
      </c>
      <c r="L103" s="33">
        <f>+SUM(START:END!L103)</f>
        <v>17770.7</v>
      </c>
      <c r="M103" s="31"/>
      <c r="N103" s="33">
        <f>L103-F103</f>
        <v>-3929.2999999999993</v>
      </c>
      <c r="O103" s="31">
        <f>+SUM(START:END!O103)</f>
        <v>0</v>
      </c>
      <c r="P103" s="30">
        <f>IF(O103=0,0,Q103/O103)</f>
        <v>0</v>
      </c>
      <c r="Q103" s="33">
        <f>+SUM(START:END!Q103)</f>
        <v>4758.8400000000011</v>
      </c>
      <c r="R103" s="31">
        <f>O103-K103</f>
        <v>0</v>
      </c>
      <c r="S103" s="34">
        <f>L103-Q103</f>
        <v>13011.86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ref="A104" si="27">+B104&amp;C104</f>
        <v>Véhicules usagésRev. Protections</v>
      </c>
      <c r="B104" s="11" t="s">
        <v>70</v>
      </c>
      <c r="C104" s="29" t="s">
        <v>25</v>
      </c>
      <c r="D104" s="30">
        <f>+SUM(START:END!D104)</f>
        <v>0</v>
      </c>
      <c r="E104" s="30">
        <f>IF(D104=0,0,F104/D104)</f>
        <v>0</v>
      </c>
      <c r="F104" s="33">
        <f>+SUM(START:END!F104)</f>
        <v>58900</v>
      </c>
      <c r="G104" s="31">
        <f>+SUM(START:END!G104)</f>
        <v>0</v>
      </c>
      <c r="H104" s="30">
        <f>IF(G104=0,0,I104/G104)</f>
        <v>0</v>
      </c>
      <c r="I104" s="30">
        <f>+SUM(START:END!I104)</f>
        <v>0</v>
      </c>
      <c r="J104" s="31">
        <f>+SUM(START:END!J104)</f>
        <v>0</v>
      </c>
      <c r="K104" s="30">
        <f>IF(J104=0,0,L104/J104)</f>
        <v>0</v>
      </c>
      <c r="L104" s="33">
        <f>+SUM(START:END!L104)</f>
        <v>23401</v>
      </c>
      <c r="M104" s="31"/>
      <c r="N104" s="33">
        <f>L104-F104</f>
        <v>-35499</v>
      </c>
      <c r="O104" s="31">
        <f>+SUM(START:END!O104)</f>
        <v>0</v>
      </c>
      <c r="P104" s="30">
        <f>IF(O104=0,0,Q104/O104)</f>
        <v>0</v>
      </c>
      <c r="Q104" s="33">
        <f>+SUM(START:END!Q104)</f>
        <v>37693.859999999986</v>
      </c>
      <c r="R104" s="31">
        <f>O104-K104</f>
        <v>0</v>
      </c>
      <c r="S104" s="34">
        <f>L104-Q104</f>
        <v>-14292.859999999986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399999999999999">
      <c r="A105" t="str">
        <f t="shared" ref="A105" si="28">+B105&amp;C105</f>
        <v>Véhicules usagésRev. Autres</v>
      </c>
      <c r="B105" s="11" t="s">
        <v>70</v>
      </c>
      <c r="C105" s="29" t="s">
        <v>26</v>
      </c>
      <c r="D105" s="30">
        <f>+SUM(START:END!D105)</f>
        <v>0</v>
      </c>
      <c r="E105" s="47">
        <f>IF(D105=0,0,F105/D105)</f>
        <v>0</v>
      </c>
      <c r="F105" s="33">
        <f>+SUM(START:END!F105)</f>
        <v>12400</v>
      </c>
      <c r="G105" s="31">
        <f>+SUM(START:END!G105)</f>
        <v>0</v>
      </c>
      <c r="H105" s="47">
        <f>IF(G105=0,0,I105/G105)</f>
        <v>0</v>
      </c>
      <c r="I105" s="30">
        <f>+SUM(START:END!I105)</f>
        <v>0</v>
      </c>
      <c r="J105" s="31">
        <f>+SUM(START:END!J105)</f>
        <v>0</v>
      </c>
      <c r="K105" s="47">
        <f>IF(J105=0,0,L105/J105)</f>
        <v>0</v>
      </c>
      <c r="L105" s="33">
        <f>+SUM(START:END!L105)</f>
        <v>1590.5299999999997</v>
      </c>
      <c r="M105" s="51"/>
      <c r="N105" s="33">
        <f>L105-F105</f>
        <v>-10809.470000000001</v>
      </c>
      <c r="O105" s="31">
        <f>+SUM(START:END!O105)</f>
        <v>0</v>
      </c>
      <c r="P105" s="47">
        <f>IF(O105=0,0,Q105/O105)</f>
        <v>0</v>
      </c>
      <c r="Q105" s="33">
        <f>+SUM(START:END!Q105)</f>
        <v>16785.429999999898</v>
      </c>
      <c r="R105" s="31">
        <f>O105-K105</f>
        <v>0</v>
      </c>
      <c r="S105" s="34">
        <f>L105-Q105</f>
        <v>-15194.8999999999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ref="A106" si="29">+B106&amp;C106</f>
        <v>Véhicules usagésTotal F&amp;I</v>
      </c>
      <c r="B106" s="11" t="s">
        <v>70</v>
      </c>
      <c r="C106" s="35" t="s">
        <v>27</v>
      </c>
      <c r="D106" s="36">
        <f>D98</f>
        <v>0</v>
      </c>
      <c r="E106" s="30">
        <f>IF(D106=0,0,F106/D106)</f>
        <v>0</v>
      </c>
      <c r="F106" s="37">
        <f>F103+F104+F105</f>
        <v>93000</v>
      </c>
      <c r="G106" s="38">
        <f>G98</f>
        <v>0</v>
      </c>
      <c r="H106" s="36">
        <f>IF(G106=0,0,I106/G106)</f>
        <v>0</v>
      </c>
      <c r="I106" s="37">
        <f>I103+I104+I105</f>
        <v>0</v>
      </c>
      <c r="J106" s="38">
        <f>J98</f>
        <v>0</v>
      </c>
      <c r="K106" s="36">
        <f>IF(J106&lt;=0,0,L106/J106)</f>
        <v>0</v>
      </c>
      <c r="L106" s="37">
        <f>L103+L104+L105</f>
        <v>42762.229999999996</v>
      </c>
      <c r="M106" s="31">
        <f>J106-D106</f>
        <v>0</v>
      </c>
      <c r="N106" s="37">
        <f>L106-F106</f>
        <v>-50237.770000000004</v>
      </c>
      <c r="O106" s="38">
        <f>O98</f>
        <v>0</v>
      </c>
      <c r="P106" s="36">
        <f>IF(O106&lt;=0,0,Q106/O106)</f>
        <v>0</v>
      </c>
      <c r="Q106" s="37">
        <f>Q103+Q104+Q105</f>
        <v>59238.129999999888</v>
      </c>
      <c r="R106" s="56"/>
      <c r="S106" s="39">
        <f>L106-Q106</f>
        <v>-16475.899999999892</v>
      </c>
      <c r="T106" s="13"/>
      <c r="U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>
      <c r="A107" t="str">
        <f t="shared" ref="A107" si="30">+B107&amp;C107</f>
        <v>Véhicules usagés</v>
      </c>
      <c r="B107" s="11" t="s">
        <v>70</v>
      </c>
      <c r="C107" s="29"/>
      <c r="D107" s="13"/>
      <c r="E107" s="13"/>
      <c r="F107" s="59"/>
      <c r="G107" s="41"/>
      <c r="H107" s="143"/>
      <c r="I107" s="59"/>
      <c r="J107" s="41"/>
      <c r="K107" s="13"/>
      <c r="L107" s="59"/>
      <c r="M107" s="42"/>
      <c r="N107" s="43">
        <f>N106/F106</f>
        <v>-0.54019107526881727</v>
      </c>
      <c r="O107" s="41"/>
      <c r="P107" s="13"/>
      <c r="Q107" s="59"/>
      <c r="R107" s="60"/>
      <c r="S107" s="44">
        <f>IF(Q106=0,0,(S106/Q106))</f>
        <v>-0.27812998148320894</v>
      </c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Bot="1">
      <c r="A108" t="str">
        <f t="shared" ref="A108:A110" si="31">+B108&amp;C108</f>
        <v>Véhicules usagés</v>
      </c>
      <c r="B108" s="11" t="s">
        <v>70</v>
      </c>
      <c r="C108" s="29"/>
      <c r="D108" s="13"/>
      <c r="E108" s="13"/>
      <c r="F108" s="59"/>
      <c r="G108" s="41"/>
      <c r="H108" s="143"/>
      <c r="I108" s="59"/>
      <c r="J108" s="41"/>
      <c r="K108" s="13"/>
      <c r="L108" s="59"/>
      <c r="M108" s="42"/>
      <c r="N108" s="43"/>
      <c r="O108" s="41"/>
      <c r="P108" s="13"/>
      <c r="Q108" s="59"/>
      <c r="R108" s="60"/>
      <c r="S108" s="44"/>
      <c r="T108" s="13"/>
      <c r="U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Top="1">
      <c r="A109" t="str">
        <f t="shared" si="31"/>
        <v>Véhicules usagésTotal Dépt. Usagés</v>
      </c>
      <c r="B109" s="11" t="s">
        <v>70</v>
      </c>
      <c r="C109" s="62" t="s">
        <v>76</v>
      </c>
      <c r="D109" s="63">
        <f>D97+D101</f>
        <v>127</v>
      </c>
      <c r="E109" s="67">
        <f>IF(D109&lt;=0,0,F109/D109)</f>
        <v>2025.6955105280431</v>
      </c>
      <c r="F109" s="65">
        <f>F97+F106+F101+F99</f>
        <v>257263.32983706146</v>
      </c>
      <c r="G109" s="66"/>
      <c r="H109" s="67"/>
      <c r="I109" s="65"/>
      <c r="J109" s="66">
        <f>J97+J101</f>
        <v>133</v>
      </c>
      <c r="K109" s="67">
        <f>IF(J109&lt;=0,0,L109/J109)</f>
        <v>2078.034135338346</v>
      </c>
      <c r="L109" s="65">
        <f>L97+L106+L101+L99</f>
        <v>276378.54000000004</v>
      </c>
      <c r="M109" s="66">
        <f>J109-D109</f>
        <v>6</v>
      </c>
      <c r="N109" s="65">
        <f>L109-F109</f>
        <v>19115.210162938572</v>
      </c>
      <c r="O109" s="66">
        <f>O97+O101</f>
        <v>92</v>
      </c>
      <c r="P109" s="67">
        <f>IF(O109&lt;=0,0,Q109/O109)</f>
        <v>1684.4446739130406</v>
      </c>
      <c r="Q109" s="65">
        <f>Q97+Q106+Q101+Q99</f>
        <v>154968.90999999974</v>
      </c>
      <c r="R109" s="66">
        <f>J109-O109</f>
        <v>41</v>
      </c>
      <c r="S109" s="68">
        <f>L109-Q109</f>
        <v>121409.6300000003</v>
      </c>
      <c r="T109" s="13"/>
      <c r="U109" s="13"/>
      <c r="W109" s="11"/>
      <c r="X109" s="484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Bot="1">
      <c r="A110" t="str">
        <f t="shared" si="31"/>
        <v>Véhicules usagés</v>
      </c>
      <c r="B110" s="11" t="s">
        <v>70</v>
      </c>
      <c r="C110" s="69"/>
      <c r="D110" s="70"/>
      <c r="E110" s="70"/>
      <c r="F110" s="71"/>
      <c r="G110" s="72"/>
      <c r="H110" s="70"/>
      <c r="I110" s="71"/>
      <c r="J110" s="72"/>
      <c r="K110" s="70"/>
      <c r="L110" s="71"/>
      <c r="M110" s="73">
        <f>M109/D109</f>
        <v>4.7244094488188976E-2</v>
      </c>
      <c r="N110" s="74">
        <f>N109/F109</f>
        <v>7.4302117503669302E-2</v>
      </c>
      <c r="O110" s="72"/>
      <c r="P110" s="70"/>
      <c r="Q110" s="71"/>
      <c r="R110" s="73">
        <f>O109/R109</f>
        <v>2.2439024390243905</v>
      </c>
      <c r="S110" s="144">
        <f>IF(Q109=0,0,(S109/Q109))</f>
        <v>0.7834450794033494</v>
      </c>
      <c r="T110" s="13"/>
      <c r="U110" s="13"/>
      <c r="W110" s="13"/>
      <c r="X110" s="30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.6" thickTop="1">
      <c r="A111" t="str">
        <f t="shared" ref="A111" si="32">+B111&amp;C111</f>
        <v>Véhicules usagés</v>
      </c>
      <c r="B111" s="11" t="s">
        <v>70</v>
      </c>
      <c r="C111" s="53"/>
      <c r="D111" s="76"/>
      <c r="E111" s="76"/>
      <c r="F111" s="77"/>
      <c r="G111" s="78"/>
      <c r="H111" s="76"/>
      <c r="I111" s="77"/>
      <c r="J111" s="78"/>
      <c r="K111" s="76"/>
      <c r="L111" s="77"/>
      <c r="M111" s="42"/>
      <c r="N111" s="43"/>
      <c r="O111" s="78"/>
      <c r="P111" s="76"/>
      <c r="Q111" s="77"/>
      <c r="R111" s="42"/>
      <c r="S111" s="44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1">
      <c r="A112" t="str">
        <f t="shared" ref="A112" si="33">+B112&amp;C112</f>
        <v>Véhicules usagésDEPENSES</v>
      </c>
      <c r="B112" s="11" t="s">
        <v>70</v>
      </c>
      <c r="C112" s="79" t="s">
        <v>29</v>
      </c>
      <c r="D112" s="13"/>
      <c r="E112" s="80"/>
      <c r="F112" s="59"/>
      <c r="G112" s="41"/>
      <c r="H112" s="80"/>
      <c r="I112" s="59"/>
      <c r="J112" s="41"/>
      <c r="K112" s="80"/>
      <c r="L112" s="40"/>
      <c r="M112" s="41"/>
      <c r="N112" s="40"/>
      <c r="O112" s="41"/>
      <c r="P112" s="80"/>
      <c r="Q112" s="40"/>
      <c r="R112" s="41"/>
      <c r="S112" s="61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ref="A113" si="34">+B113&amp;C113</f>
        <v>Véhicules usagésComm. vendeurs</v>
      </c>
      <c r="B113" s="11" t="s">
        <v>70</v>
      </c>
      <c r="C113" s="29" t="s">
        <v>30</v>
      </c>
      <c r="D113" s="147">
        <f>F113/(F98+F106)</f>
        <v>0.47038393572563186</v>
      </c>
      <c r="E113" s="82">
        <f>F113/D$97</f>
        <v>705.57590358844777</v>
      </c>
      <c r="F113" s="30">
        <f>+SUM(START:END!F113)</f>
        <v>43745.706022483762</v>
      </c>
      <c r="G113" s="156" t="e">
        <f>I113/I98</f>
        <v>#DIV/0!</v>
      </c>
      <c r="H113" s="82" t="e">
        <f>I113/G$97</f>
        <v>#DIV/0!</v>
      </c>
      <c r="I113" s="30">
        <f>+SUM(START:END!I113)</f>
        <v>0</v>
      </c>
      <c r="J113" s="156" t="e">
        <f>L113/L98</f>
        <v>#DIV/0!</v>
      </c>
      <c r="K113" s="82">
        <f>IF($J$97=0,0,L113/(J$94+J$95))</f>
        <v>1109.332909090909</v>
      </c>
      <c r="L113" s="33">
        <f>+SUM(START:END!L113)</f>
        <v>61013.31</v>
      </c>
      <c r="M113" s="41"/>
      <c r="N113" s="59">
        <f t="shared" ref="N113:N131" si="35">L113-F113</f>
        <v>17267.603977516235</v>
      </c>
      <c r="O113" s="156" t="e">
        <f>Q113/Q98</f>
        <v>#DIV/0!</v>
      </c>
      <c r="P113" s="82">
        <f>IF($J$97=0,0,Q113/(O$94+O$95))</f>
        <v>675.35724137931038</v>
      </c>
      <c r="Q113" s="33">
        <f>+SUM(START:END!Q113)</f>
        <v>19585.36</v>
      </c>
      <c r="R113" s="41"/>
      <c r="S113" s="85">
        <f t="shared" ref="S113:S118" si="36">L113-Q113</f>
        <v>41427.949999999997</v>
      </c>
      <c r="T113" s="13"/>
      <c r="U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ref="A114" si="37">+B114&amp;C114</f>
        <v>Véhicules usagésComm. F&amp;I</v>
      </c>
      <c r="B114" s="11" t="s">
        <v>70</v>
      </c>
      <c r="C114" s="86" t="s">
        <v>31</v>
      </c>
      <c r="D114" s="217">
        <f>F114/(F106+F20)</f>
        <v>0.27</v>
      </c>
      <c r="E114" s="88">
        <f>F114/D$97</f>
        <v>405</v>
      </c>
      <c r="F114" s="22">
        <f>+SUM(START:END!F114)</f>
        <v>25110</v>
      </c>
      <c r="G114" s="161" t="e">
        <f>I114/I99</f>
        <v>#DIV/0!</v>
      </c>
      <c r="H114" s="88" t="e">
        <f>I114/G$97</f>
        <v>#DIV/0!</v>
      </c>
      <c r="I114" s="22">
        <f>+SUM(START:END!I114)</f>
        <v>0</v>
      </c>
      <c r="J114" s="161">
        <f>L114/L106</f>
        <v>0.15747214305708568</v>
      </c>
      <c r="K114" s="88">
        <f>IF($J$97=0,0,L114/(J$94+J$95))</f>
        <v>122.4338181818182</v>
      </c>
      <c r="L114" s="33">
        <f>+SUM(START:END!L114)</f>
        <v>6733.8600000000006</v>
      </c>
      <c r="M114" s="23"/>
      <c r="N114" s="91">
        <f t="shared" si="35"/>
        <v>-18376.14</v>
      </c>
      <c r="O114" s="161">
        <f>Q114/(Q106+Q20)</f>
        <v>0.23312248377860723</v>
      </c>
      <c r="P114" s="88">
        <f>IF($J$97=0,0,Q114/(O$94+O$95))</f>
        <v>476.19793103448274</v>
      </c>
      <c r="Q114" s="33">
        <f>+SUM(START:END!Q114)</f>
        <v>13809.74</v>
      </c>
      <c r="R114" s="23"/>
      <c r="S114" s="92">
        <f t="shared" si="36"/>
        <v>-7075.8799999999992</v>
      </c>
      <c r="T114" s="13"/>
      <c r="U114" s="13"/>
      <c r="V114" s="4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ref="A115" si="38">+B115&amp;C115</f>
        <v>Véhicules usagésFrais de livraison</v>
      </c>
      <c r="B115" s="11" t="s">
        <v>70</v>
      </c>
      <c r="C115" s="29" t="s">
        <v>32</v>
      </c>
      <c r="D115" s="81"/>
      <c r="E115" s="82">
        <f>F115/D$97</f>
        <v>85</v>
      </c>
      <c r="F115" s="30">
        <f>+SUM(START:END!F115)</f>
        <v>5270</v>
      </c>
      <c r="G115" s="83"/>
      <c r="H115" s="82" t="e">
        <f>I115/G$97</f>
        <v>#DIV/0!</v>
      </c>
      <c r="I115" s="30">
        <f>+SUM(START:END!I115)</f>
        <v>0</v>
      </c>
      <c r="J115" s="41"/>
      <c r="K115" s="82">
        <f>IF($J$97=0,0,L115/(J$94+J$95))</f>
        <v>38.589454545454544</v>
      </c>
      <c r="L115" s="108">
        <f>+SUM(START:END!L115)</f>
        <v>2122.42</v>
      </c>
      <c r="M115" s="41"/>
      <c r="N115" s="59">
        <f t="shared" si="35"/>
        <v>-3147.58</v>
      </c>
      <c r="O115" s="41"/>
      <c r="P115" s="82">
        <f>IF($J$97=0,0,Q115/(O$94+O$95))</f>
        <v>136.09931034482759</v>
      </c>
      <c r="Q115" s="108">
        <f>+SUM(START:END!Q115)</f>
        <v>3946.88</v>
      </c>
      <c r="R115" s="41"/>
      <c r="S115" s="85">
        <f t="shared" si="36"/>
        <v>-1824.46</v>
      </c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ref="A116" si="39">+B116&amp;C116</f>
        <v>Véhicules usagésService gratuit 1</v>
      </c>
      <c r="B116" s="11" t="s">
        <v>70</v>
      </c>
      <c r="C116" s="29" t="s">
        <v>33</v>
      </c>
      <c r="D116" s="81"/>
      <c r="E116" s="82">
        <f t="shared" ref="E116:E122" si="40">F116/D$97</f>
        <v>80</v>
      </c>
      <c r="F116" s="30">
        <f>+SUM(START:END!F116)</f>
        <v>4960</v>
      </c>
      <c r="G116" s="83"/>
      <c r="H116" s="82" t="e">
        <f t="shared" ref="H116:H122" si="41">I116/G$97</f>
        <v>#DIV/0!</v>
      </c>
      <c r="I116" s="30">
        <f>+SUM(START:END!I116)</f>
        <v>0</v>
      </c>
      <c r="J116" s="41"/>
      <c r="K116" s="82">
        <f t="shared" ref="K116:K122" si="42">IF($J$97=0,0,L116/(J$94+J$95))</f>
        <v>158.12236363636362</v>
      </c>
      <c r="L116" s="33">
        <f>+SUM(START:END!L116)</f>
        <v>8696.73</v>
      </c>
      <c r="M116" s="41"/>
      <c r="N116" s="59">
        <f t="shared" si="35"/>
        <v>3736.7299999999996</v>
      </c>
      <c r="O116" s="41"/>
      <c r="P116" s="82">
        <f t="shared" ref="P116:P122" si="43">IF($J$97=0,0,Q116/(O$94+O$95))</f>
        <v>83.28896551724138</v>
      </c>
      <c r="Q116" s="33">
        <f>+SUM(START:END!Q116)</f>
        <v>2415.38</v>
      </c>
      <c r="R116" s="41"/>
      <c r="S116" s="85">
        <f t="shared" si="36"/>
        <v>6281.3499999999995</v>
      </c>
      <c r="T116" s="13"/>
      <c r="U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ref="A117" si="44">+B117&amp;C117</f>
        <v>Véhicules usagésEntretien stock</v>
      </c>
      <c r="B117" s="11" t="s">
        <v>70</v>
      </c>
      <c r="C117" s="86" t="s">
        <v>34</v>
      </c>
      <c r="D117" s="87"/>
      <c r="E117" s="88">
        <f t="shared" si="40"/>
        <v>48.467741935483872</v>
      </c>
      <c r="F117" s="22">
        <f>+SUM(START:END!F117)</f>
        <v>3005</v>
      </c>
      <c r="G117" s="89"/>
      <c r="H117" s="88" t="e">
        <f t="shared" si="41"/>
        <v>#DIV/0!</v>
      </c>
      <c r="I117" s="22">
        <f>+SUM(START:END!I117)</f>
        <v>0</v>
      </c>
      <c r="J117" s="23"/>
      <c r="K117" s="88">
        <f t="shared" si="42"/>
        <v>45.70781818181819</v>
      </c>
      <c r="L117" s="48">
        <f>+SUM(START:END!L117)</f>
        <v>2513.9300000000003</v>
      </c>
      <c r="M117" s="23"/>
      <c r="N117" s="91">
        <f t="shared" si="35"/>
        <v>-491.06999999999971</v>
      </c>
      <c r="O117" s="23"/>
      <c r="P117" s="88">
        <f t="shared" si="43"/>
        <v>355.99103448275866</v>
      </c>
      <c r="Q117" s="48">
        <f>+SUM(START:END!Q117)</f>
        <v>10323.740000000002</v>
      </c>
      <c r="R117" s="23"/>
      <c r="S117" s="92">
        <f t="shared" si="36"/>
        <v>-7809.8100000000013</v>
      </c>
      <c r="T117" s="13"/>
      <c r="U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 t="shared" ref="A118" si="45">+B118&amp;C118</f>
        <v>Véhicules usagésPublicité 1</v>
      </c>
      <c r="B118" s="11" t="s">
        <v>70</v>
      </c>
      <c r="C118" s="29" t="s">
        <v>35</v>
      </c>
      <c r="D118" s="81"/>
      <c r="E118" s="82">
        <f t="shared" si="40"/>
        <v>51.16935483870968</v>
      </c>
      <c r="F118" s="30">
        <f>+SUM(START:END!F118)</f>
        <v>3172.5</v>
      </c>
      <c r="G118" s="83"/>
      <c r="H118" s="82" t="e">
        <f t="shared" si="41"/>
        <v>#DIV/0!</v>
      </c>
      <c r="I118" s="30">
        <f>+SUM(START:END!I118)</f>
        <v>0</v>
      </c>
      <c r="J118" s="41"/>
      <c r="K118" s="82">
        <f t="shared" si="42"/>
        <v>53.494727272727253</v>
      </c>
      <c r="L118" s="33">
        <f>+SUM(START:END!L118)</f>
        <v>2942.2099999999991</v>
      </c>
      <c r="M118" s="41"/>
      <c r="N118" s="59">
        <f t="shared" si="35"/>
        <v>-230.29000000000087</v>
      </c>
      <c r="O118" s="41"/>
      <c r="P118" s="82">
        <f t="shared" si="43"/>
        <v>485.10206896551728</v>
      </c>
      <c r="Q118" s="33">
        <f>+SUM(START:END!Q118)</f>
        <v>14067.960000000001</v>
      </c>
      <c r="R118" s="41"/>
      <c r="S118" s="85">
        <f t="shared" si="36"/>
        <v>-11125.750000000002</v>
      </c>
      <c r="T118" s="13"/>
      <c r="U118" s="13"/>
      <c r="W118" s="48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>
      <c r="A119" t="str">
        <f t="shared" ref="A119" si="46">+B119&amp;C119</f>
        <v>Véhicules usagésIntérêt de gros</v>
      </c>
      <c r="B119" s="11" t="s">
        <v>70</v>
      </c>
      <c r="C119" s="29" t="s">
        <v>36</v>
      </c>
      <c r="D119" s="81"/>
      <c r="E119" s="82">
        <f t="shared" si="40"/>
        <v>354.27016710735046</v>
      </c>
      <c r="F119" s="30">
        <f>+SUM(START:END!F119)</f>
        <v>21964.750360655729</v>
      </c>
      <c r="G119" s="83"/>
      <c r="H119" s="82" t="e">
        <f t="shared" si="41"/>
        <v>#DIV/0!</v>
      </c>
      <c r="I119" s="30">
        <f>+SUM(START:END!I119)</f>
        <v>0</v>
      </c>
      <c r="J119" s="41"/>
      <c r="K119" s="82">
        <f t="shared" si="42"/>
        <v>336.87090909090909</v>
      </c>
      <c r="L119" s="33">
        <f>+SUM(START:END!L119)</f>
        <v>18527.900000000001</v>
      </c>
      <c r="M119" s="41"/>
      <c r="N119" s="59">
        <f t="shared" si="35"/>
        <v>-3436.8503606557279</v>
      </c>
      <c r="O119" s="41"/>
      <c r="P119" s="82">
        <f t="shared" si="43"/>
        <v>364.48310344827587</v>
      </c>
      <c r="Q119" s="33">
        <f>+SUM(START:END!Q119)</f>
        <v>10570.01</v>
      </c>
      <c r="R119" s="41"/>
      <c r="S119" s="85">
        <f>L119-Q119</f>
        <v>7957.8900000000012</v>
      </c>
      <c r="T119" s="13"/>
      <c r="U119" s="13"/>
      <c r="W119" s="49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 t="shared" ref="A120" si="47">+B120&amp;C120</f>
        <v>Véhicules usagés[...]</v>
      </c>
      <c r="B120" s="11" t="s">
        <v>70</v>
      </c>
      <c r="C120" s="29" t="s">
        <v>19</v>
      </c>
      <c r="D120" s="81"/>
      <c r="E120" s="82">
        <f t="shared" si="40"/>
        <v>0</v>
      </c>
      <c r="F120" s="30">
        <f>+SUM(START:END!F120)</f>
        <v>0</v>
      </c>
      <c r="G120" s="83"/>
      <c r="H120" s="82" t="e">
        <f t="shared" si="41"/>
        <v>#DIV/0!</v>
      </c>
      <c r="I120" s="30">
        <f>+SUM(START:END!I120)</f>
        <v>0</v>
      </c>
      <c r="J120" s="41"/>
      <c r="K120" s="82">
        <f t="shared" si="42"/>
        <v>0</v>
      </c>
      <c r="L120" s="33">
        <f>+SUM(START:END!L120)</f>
        <v>0</v>
      </c>
      <c r="M120" s="41"/>
      <c r="N120" s="59">
        <f t="shared" si="35"/>
        <v>0</v>
      </c>
      <c r="O120" s="41"/>
      <c r="P120" s="82">
        <f t="shared" si="43"/>
        <v>0</v>
      </c>
      <c r="Q120" s="33">
        <f>+SUM(START:END!Q120)</f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 t="shared" ref="A121" si="48">+B121&amp;C121</f>
        <v>Véhicules usagés[...]</v>
      </c>
      <c r="B121" s="11" t="s">
        <v>70</v>
      </c>
      <c r="C121" s="29" t="s">
        <v>19</v>
      </c>
      <c r="D121" s="81"/>
      <c r="E121" s="82">
        <f t="shared" si="40"/>
        <v>0</v>
      </c>
      <c r="F121" s="30">
        <f>+SUM(START:END!F121)</f>
        <v>0</v>
      </c>
      <c r="G121" s="83"/>
      <c r="H121" s="82" t="e">
        <f t="shared" si="41"/>
        <v>#DIV/0!</v>
      </c>
      <c r="I121" s="30">
        <f>+SUM(START:END!I121)</f>
        <v>0</v>
      </c>
      <c r="J121" s="41"/>
      <c r="K121" s="82">
        <f t="shared" si="42"/>
        <v>0</v>
      </c>
      <c r="L121" s="33">
        <f>+SUM(START:END!L121)</f>
        <v>0</v>
      </c>
      <c r="M121" s="41"/>
      <c r="N121" s="59">
        <f t="shared" si="35"/>
        <v>0</v>
      </c>
      <c r="O121" s="41"/>
      <c r="P121" s="82">
        <f t="shared" si="43"/>
        <v>0</v>
      </c>
      <c r="Q121" s="33">
        <f>+SUM(START:END!Q121)</f>
        <v>0</v>
      </c>
      <c r="R121" s="41"/>
      <c r="S121" s="85">
        <f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399999999999999" hidden="1">
      <c r="A122" t="str">
        <f t="shared" ref="A122" si="49">+B122&amp;C122</f>
        <v>Véhicules usagés[...]</v>
      </c>
      <c r="B122" s="11" t="s">
        <v>70</v>
      </c>
      <c r="C122" s="29" t="s">
        <v>19</v>
      </c>
      <c r="D122" s="81"/>
      <c r="E122" s="82">
        <f t="shared" si="40"/>
        <v>0</v>
      </c>
      <c r="F122" s="30">
        <f>+SUM(START:END!F122)</f>
        <v>0</v>
      </c>
      <c r="G122" s="83"/>
      <c r="H122" s="82" t="e">
        <f t="shared" si="41"/>
        <v>#DIV/0!</v>
      </c>
      <c r="I122" s="30">
        <f>+SUM(START:END!I122)</f>
        <v>0</v>
      </c>
      <c r="J122" s="41"/>
      <c r="K122" s="82">
        <f t="shared" si="42"/>
        <v>0</v>
      </c>
      <c r="L122" s="33">
        <f>+SUM(START:END!L122)</f>
        <v>0</v>
      </c>
      <c r="M122" s="41"/>
      <c r="N122" s="59">
        <f t="shared" si="35"/>
        <v>0</v>
      </c>
      <c r="O122" s="41"/>
      <c r="P122" s="82">
        <f t="shared" si="43"/>
        <v>0</v>
      </c>
      <c r="Q122" s="33">
        <f>+SUM(START:END!Q122)</f>
        <v>0</v>
      </c>
      <c r="R122" s="41"/>
      <c r="S122" s="85">
        <f t="shared" ref="S122:S127" si="50">L122-Q122</f>
        <v>0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1">
      <c r="A123" t="str">
        <f t="shared" ref="A123" si="51">+B123&amp;C123</f>
        <v>Véhicules usagésTOTAL VARIABLES</v>
      </c>
      <c r="B123" s="11" t="s">
        <v>70</v>
      </c>
      <c r="C123" s="93" t="s">
        <v>37</v>
      </c>
      <c r="D123" s="94" t="s">
        <v>38</v>
      </c>
      <c r="E123" s="95" t="e">
        <f>F123/F$108</f>
        <v>#DIV/0!</v>
      </c>
      <c r="F123" s="96">
        <f>SUM(F113:F122)</f>
        <v>107227.95638313949</v>
      </c>
      <c r="G123" s="97" t="s">
        <v>38</v>
      </c>
      <c r="H123" s="95" t="e">
        <f>I123/I$108</f>
        <v>#DIV/0!</v>
      </c>
      <c r="I123" s="96">
        <f>SUM(I113:I122)</f>
        <v>0</v>
      </c>
      <c r="J123" s="97" t="s">
        <v>38</v>
      </c>
      <c r="K123" s="95" t="e">
        <f>L123/L$108</f>
        <v>#DIV/0!</v>
      </c>
      <c r="L123" s="96">
        <f>SUM(L113:L122)</f>
        <v>102550.35999999999</v>
      </c>
      <c r="M123" s="100"/>
      <c r="N123" s="96">
        <f t="shared" si="35"/>
        <v>-4677.5963831395056</v>
      </c>
      <c r="O123" s="97" t="s">
        <v>38</v>
      </c>
      <c r="P123" s="95" t="e">
        <f>Q123/Q$108</f>
        <v>#DIV/0!</v>
      </c>
      <c r="Q123" s="96">
        <f>SUM(Q113:Q122)</f>
        <v>74719.069999999992</v>
      </c>
      <c r="R123" s="100"/>
      <c r="S123" s="101">
        <f t="shared" si="50"/>
        <v>27831.289999999994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ref="A124" si="52">+B124&amp;C124</f>
        <v>Véhicules usagésSalaires cadres</v>
      </c>
      <c r="B124" s="11" t="s">
        <v>70</v>
      </c>
      <c r="C124" s="102" t="s">
        <v>40</v>
      </c>
      <c r="D124" s="13"/>
      <c r="E124" s="13"/>
      <c r="F124" s="30">
        <f>+SUM(START:END!F124)</f>
        <v>19290.439149425285</v>
      </c>
      <c r="G124" s="41"/>
      <c r="H124" s="13"/>
      <c r="I124" s="30">
        <f>+SUM(START:END!I124)</f>
        <v>0</v>
      </c>
      <c r="J124" s="41"/>
      <c r="K124" s="13"/>
      <c r="L124" s="33">
        <f>+SUM(START:END!L124)</f>
        <v>23533.58</v>
      </c>
      <c r="M124" s="41"/>
      <c r="N124" s="59">
        <f t="shared" si="35"/>
        <v>4243.1408505747168</v>
      </c>
      <c r="O124" s="41"/>
      <c r="P124" s="13"/>
      <c r="Q124" s="33">
        <f>+SUM(START:END!Q124)</f>
        <v>9330.369999999999</v>
      </c>
      <c r="R124" s="41"/>
      <c r="S124" s="85">
        <f t="shared" si="50"/>
        <v>14203.210000000003</v>
      </c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ref="A125" si="53">+B125&amp;C125</f>
        <v>Véhicules usagésSalaires commis</v>
      </c>
      <c r="B125" s="11" t="s">
        <v>70</v>
      </c>
      <c r="C125" s="103" t="s">
        <v>41</v>
      </c>
      <c r="D125" s="81"/>
      <c r="E125" s="13"/>
      <c r="F125" s="22">
        <f>+SUM(START:END!F125)</f>
        <v>5912.1837816091938</v>
      </c>
      <c r="G125" s="83"/>
      <c r="H125" s="13"/>
      <c r="I125" s="22">
        <f>+SUM(START:END!I125)</f>
        <v>0</v>
      </c>
      <c r="J125" s="41"/>
      <c r="K125" s="13"/>
      <c r="L125" s="22">
        <f>+SUM(START:END!L125)</f>
        <v>4015.3700000000003</v>
      </c>
      <c r="M125" s="41"/>
      <c r="N125" s="59">
        <f t="shared" si="35"/>
        <v>-1896.8137816091935</v>
      </c>
      <c r="O125" s="41"/>
      <c r="P125" s="13"/>
      <c r="Q125" s="22">
        <f>+SUM(START:END!Q125)</f>
        <v>8989.98</v>
      </c>
      <c r="R125" s="41"/>
      <c r="S125" s="85">
        <f t="shared" si="50"/>
        <v>-4974.6099999999988</v>
      </c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>
      <c r="A126" t="str">
        <f t="shared" ref="A126" si="54">+B126&amp;C126</f>
        <v>Véhicules usagésSalaires autres</v>
      </c>
      <c r="B126" s="11" t="s">
        <v>70</v>
      </c>
      <c r="C126" s="102" t="s">
        <v>42</v>
      </c>
      <c r="D126" s="104"/>
      <c r="E126" s="105"/>
      <c r="F126" s="30">
        <f>+SUM(START:END!F126)</f>
        <v>0</v>
      </c>
      <c r="G126" s="106"/>
      <c r="H126" s="105"/>
      <c r="I126" s="30">
        <f>+SUM(START:END!I126)</f>
        <v>0</v>
      </c>
      <c r="J126" s="107"/>
      <c r="K126" s="105"/>
      <c r="L126" s="33">
        <f>+SUM(START:END!L126)</f>
        <v>0</v>
      </c>
      <c r="M126" s="107"/>
      <c r="N126" s="109">
        <f t="shared" si="35"/>
        <v>0</v>
      </c>
      <c r="O126" s="107"/>
      <c r="P126" s="105"/>
      <c r="Q126" s="33">
        <f>+SUM(START:END!Q126)</f>
        <v>8427</v>
      </c>
      <c r="R126" s="107"/>
      <c r="S126" s="110">
        <f t="shared" si="50"/>
        <v>-8427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 t="shared" ref="A127" si="55">+B127&amp;C127</f>
        <v>Véhicules usagésSalaires spécialistes</v>
      </c>
      <c r="B127" s="11" t="s">
        <v>70</v>
      </c>
      <c r="C127" s="102" t="s">
        <v>43</v>
      </c>
      <c r="D127" s="81"/>
      <c r="E127" s="13"/>
      <c r="F127" s="30">
        <f>+SUM(START:END!F127)</f>
        <v>0</v>
      </c>
      <c r="G127" s="83"/>
      <c r="H127" s="13"/>
      <c r="I127" s="30">
        <f>+SUM(START:END!I127)</f>
        <v>0</v>
      </c>
      <c r="J127" s="41"/>
      <c r="K127" s="13"/>
      <c r="L127" s="33">
        <f>+SUM(START:END!L127)</f>
        <v>0</v>
      </c>
      <c r="M127" s="41"/>
      <c r="N127" s="59">
        <f t="shared" si="35"/>
        <v>0</v>
      </c>
      <c r="O127" s="41"/>
      <c r="P127" s="13"/>
      <c r="Q127" s="33">
        <f>+SUM(START:END!Q127)</f>
        <v>0</v>
      </c>
      <c r="R127" s="41"/>
      <c r="S127" s="85">
        <f t="shared" si="50"/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 t="shared" ref="A128" si="56"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f>+SUM(START:END!F128)</f>
        <v>0</v>
      </c>
      <c r="G128" s="83"/>
      <c r="H128" s="13"/>
      <c r="I128" s="30">
        <f>+SUM(START:END!I128)</f>
        <v>0</v>
      </c>
      <c r="J128" s="41"/>
      <c r="K128" s="13"/>
      <c r="L128" s="33">
        <f>+SUM(START:END!L128)</f>
        <v>0</v>
      </c>
      <c r="M128" s="41"/>
      <c r="N128" s="59">
        <f t="shared" si="35"/>
        <v>0</v>
      </c>
      <c r="O128" s="41"/>
      <c r="P128" s="13"/>
      <c r="Q128" s="33">
        <f>+SUM(START:END!Q128)</f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 t="shared" ref="A129" si="57"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f>+SUM(START:END!F129)</f>
        <v>0</v>
      </c>
      <c r="G129" s="83"/>
      <c r="H129" s="13"/>
      <c r="I129" s="30">
        <f>+SUM(START:END!I129)</f>
        <v>0</v>
      </c>
      <c r="J129" s="41"/>
      <c r="K129" s="13"/>
      <c r="L129" s="33">
        <f>+SUM(START:END!L129)</f>
        <v>0</v>
      </c>
      <c r="M129" s="41"/>
      <c r="N129" s="59">
        <f t="shared" si="35"/>
        <v>0</v>
      </c>
      <c r="O129" s="41"/>
      <c r="P129" s="13"/>
      <c r="Q129" s="33">
        <f>+SUM(START:END!Q129)</f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 hidden="1">
      <c r="A130" t="str">
        <f t="shared" ref="A130" si="58">+B130&amp;C130</f>
        <v>Véhicules usagés[...]</v>
      </c>
      <c r="B130" s="11" t="s">
        <v>70</v>
      </c>
      <c r="C130" s="102" t="s">
        <v>19</v>
      </c>
      <c r="D130" s="81"/>
      <c r="E130" s="13"/>
      <c r="F130" s="30">
        <f>+SUM(START:END!F130)</f>
        <v>0</v>
      </c>
      <c r="G130" s="83"/>
      <c r="H130" s="13"/>
      <c r="I130" s="30">
        <f>+SUM(START:END!I130)</f>
        <v>0</v>
      </c>
      <c r="J130" s="41"/>
      <c r="K130" s="13"/>
      <c r="L130" s="33">
        <f>+SUM(START:END!L130)</f>
        <v>0</v>
      </c>
      <c r="M130" s="41"/>
      <c r="N130" s="59">
        <f t="shared" si="35"/>
        <v>0</v>
      </c>
      <c r="O130" s="41"/>
      <c r="P130" s="13"/>
      <c r="Q130" s="33">
        <f>+SUM(START:END!Q130)</f>
        <v>0</v>
      </c>
      <c r="R130" s="41"/>
      <c r="S130" s="85">
        <f>L130-Q130</f>
        <v>0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ref="A131" si="59">+B131&amp;C131</f>
        <v>Véhicules usagésSalaires en absences</v>
      </c>
      <c r="B131" s="11" t="s">
        <v>70</v>
      </c>
      <c r="C131" s="103" t="s">
        <v>44</v>
      </c>
      <c r="D131" s="81"/>
      <c r="E131" s="13"/>
      <c r="F131" s="30">
        <f>+SUM(START:END!F131)</f>
        <v>12231.090715919432</v>
      </c>
      <c r="G131" s="83"/>
      <c r="H131" s="13"/>
      <c r="I131" s="30">
        <f>+SUM(START:END!I131)</f>
        <v>0</v>
      </c>
      <c r="J131" s="41"/>
      <c r="K131" s="13"/>
      <c r="L131" s="33">
        <f>+SUM(START:END!L131)</f>
        <v>10435.68</v>
      </c>
      <c r="M131" s="41"/>
      <c r="N131" s="59">
        <f t="shared" si="35"/>
        <v>-1795.4107159194318</v>
      </c>
      <c r="O131" s="41"/>
      <c r="P131" s="13"/>
      <c r="Q131" s="33">
        <f>+SUM(START:END!Q131)</f>
        <v>10358.509999999998</v>
      </c>
      <c r="R131" s="41"/>
      <c r="S131" s="85">
        <f>L131-Q131</f>
        <v>77.170000000001892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ref="A132" si="60">+B132&amp;C132</f>
        <v>Véhicules usagésDéduction à la source</v>
      </c>
      <c r="B132" s="11" t="s">
        <v>70</v>
      </c>
      <c r="C132" s="102" t="s">
        <v>45</v>
      </c>
      <c r="D132" s="104"/>
      <c r="E132" s="105"/>
      <c r="F132" s="54">
        <f>+SUM(START:END!F132)</f>
        <v>12565.893970483854</v>
      </c>
      <c r="G132" s="106"/>
      <c r="H132" s="105"/>
      <c r="I132" s="54">
        <f>+SUM(START:END!I132)</f>
        <v>0</v>
      </c>
      <c r="J132" s="107"/>
      <c r="K132" s="105"/>
      <c r="L132" s="55">
        <f>+SUM(START:END!L132)</f>
        <v>10413.23</v>
      </c>
      <c r="M132" s="107"/>
      <c r="N132" s="109">
        <f t="shared" ref="N132:N154" si="61">L132-F132</f>
        <v>-2152.6639704838544</v>
      </c>
      <c r="O132" s="107"/>
      <c r="P132" s="105"/>
      <c r="Q132" s="55">
        <f>+SUM(START:END!Q132)</f>
        <v>7787.3099999999995</v>
      </c>
      <c r="R132" s="107"/>
      <c r="S132" s="110">
        <f t="shared" ref="S132:S149" si="62">L132-Q132</f>
        <v>2625.92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ref="A133" si="63">+B133&amp;C133</f>
        <v>Véhicules usagésBénéfices marginaux</v>
      </c>
      <c r="B133" s="11" t="s">
        <v>70</v>
      </c>
      <c r="C133" s="102" t="s">
        <v>46</v>
      </c>
      <c r="D133" s="81"/>
      <c r="E133" s="13"/>
      <c r="F133" s="30">
        <f>+SUM(START:END!F133)</f>
        <v>8896.2352489500881</v>
      </c>
      <c r="G133" s="83"/>
      <c r="H133" s="13"/>
      <c r="I133" s="30">
        <f>+SUM(START:END!I133)</f>
        <v>0</v>
      </c>
      <c r="J133" s="41"/>
      <c r="K133" s="13"/>
      <c r="L133" s="33">
        <f>+SUM(START:END!L133)</f>
        <v>5146.25</v>
      </c>
      <c r="M133" s="41"/>
      <c r="N133" s="59">
        <f t="shared" si="61"/>
        <v>-3749.9852489500881</v>
      </c>
      <c r="O133" s="41"/>
      <c r="P133" s="13"/>
      <c r="Q133" s="33">
        <f>+SUM(START:END!Q133)</f>
        <v>6712.41</v>
      </c>
      <c r="R133" s="41"/>
      <c r="S133" s="85">
        <f t="shared" si="62"/>
        <v>-1566.1599999999999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>
      <c r="A134" t="str">
        <f t="shared" ref="A134" si="64">+B134&amp;C134</f>
        <v>Véhicules usagésCsst</v>
      </c>
      <c r="B134" s="11" t="s">
        <v>70</v>
      </c>
      <c r="C134" s="102" t="s">
        <v>47</v>
      </c>
      <c r="D134" s="81"/>
      <c r="E134" s="13"/>
      <c r="F134" s="30">
        <f>+SUM(START:END!F134)</f>
        <v>2490.9458697060245</v>
      </c>
      <c r="G134" s="83"/>
      <c r="H134" s="13"/>
      <c r="I134" s="30">
        <f>+SUM(START:END!I134)</f>
        <v>0</v>
      </c>
      <c r="J134" s="41"/>
      <c r="K134" s="13"/>
      <c r="L134" s="33">
        <f>+SUM(START:END!L134)</f>
        <v>1632.0900000000001</v>
      </c>
      <c r="M134" s="41"/>
      <c r="N134" s="59">
        <f t="shared" si="61"/>
        <v>-858.85586970602435</v>
      </c>
      <c r="O134" s="41"/>
      <c r="P134" s="13"/>
      <c r="Q134" s="33">
        <f>+SUM(START:END!Q134)</f>
        <v>1206.0500000000002</v>
      </c>
      <c r="R134" s="41"/>
      <c r="S134" s="85">
        <f t="shared" si="62"/>
        <v>426.03999999999996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399999999999999" hidden="1">
      <c r="A135" t="str">
        <f t="shared" ref="A135" si="65">+B135&amp;C135</f>
        <v>Véhicules usagés[...]</v>
      </c>
      <c r="B135" s="11" t="s">
        <v>70</v>
      </c>
      <c r="C135" s="29" t="s">
        <v>19</v>
      </c>
      <c r="D135" s="87"/>
      <c r="E135" s="111"/>
      <c r="F135" s="30">
        <f>+SUM(START:END!F135)</f>
        <v>0</v>
      </c>
      <c r="G135" s="89"/>
      <c r="H135" s="111"/>
      <c r="I135" s="30">
        <f>+SUM(START:END!I135)</f>
        <v>0</v>
      </c>
      <c r="J135" s="23"/>
      <c r="K135" s="111"/>
      <c r="L135" s="33">
        <f>+SUM(START:END!L135)</f>
        <v>0</v>
      </c>
      <c r="M135" s="41"/>
      <c r="N135" s="59">
        <f t="shared" si="61"/>
        <v>0</v>
      </c>
      <c r="O135" s="23"/>
      <c r="P135" s="111"/>
      <c r="Q135" s="33">
        <f>+SUM(START:END!Q135)</f>
        <v>0</v>
      </c>
      <c r="R135" s="23"/>
      <c r="S135" s="92">
        <f t="shared" si="62"/>
        <v>0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1">
      <c r="A136" t="str">
        <f t="shared" ref="A136" si="66">+B136&amp;C136</f>
        <v>Véhicules usagésTOTAL PERSONNEL</v>
      </c>
      <c r="B136" s="11" t="s">
        <v>70</v>
      </c>
      <c r="C136" s="93" t="s">
        <v>48</v>
      </c>
      <c r="D136" s="94" t="s">
        <v>38</v>
      </c>
      <c r="E136" s="95" t="e">
        <f>F136/F$108</f>
        <v>#DIV/0!</v>
      </c>
      <c r="F136" s="96">
        <f>+SUM(F124:F135)</f>
        <v>61386.788736093884</v>
      </c>
      <c r="G136" s="97" t="s">
        <v>38</v>
      </c>
      <c r="H136" s="95" t="e">
        <f>I136/I$108</f>
        <v>#DIV/0!</v>
      </c>
      <c r="I136" s="96">
        <f>+SUM(I124:I135)</f>
        <v>0</v>
      </c>
      <c r="J136" s="97" t="s">
        <v>38</v>
      </c>
      <c r="K136" s="95" t="e">
        <f>L136/L$108</f>
        <v>#DIV/0!</v>
      </c>
      <c r="L136" s="96">
        <f>SUM(L124:L135)</f>
        <v>55176.2</v>
      </c>
      <c r="M136" s="458"/>
      <c r="N136" s="459">
        <f t="shared" si="61"/>
        <v>-6210.5887360938868</v>
      </c>
      <c r="O136" s="97" t="s">
        <v>38</v>
      </c>
      <c r="P136" s="95" t="e">
        <f>Q136/Q$108</f>
        <v>#DIV/0!</v>
      </c>
      <c r="Q136" s="96">
        <f>SUM(Q124:Q135)</f>
        <v>52811.630000000005</v>
      </c>
      <c r="R136" s="146"/>
      <c r="S136" s="114">
        <f t="shared" si="62"/>
        <v>2364.5699999999924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ref="A137" si="67">+B137&amp;C137</f>
        <v>Véhicules usagésPublicité 2</v>
      </c>
      <c r="B137" s="11" t="s">
        <v>70</v>
      </c>
      <c r="C137" s="29" t="s">
        <v>49</v>
      </c>
      <c r="D137" s="81"/>
      <c r="E137" s="13"/>
      <c r="F137" s="30">
        <f>+SUM(START:END!F137)</f>
        <v>0</v>
      </c>
      <c r="G137" s="83"/>
      <c r="H137" s="13"/>
      <c r="I137" s="30">
        <f>+SUM(START:END!I137)</f>
        <v>0</v>
      </c>
      <c r="J137" s="41"/>
      <c r="K137" s="13"/>
      <c r="L137" s="33">
        <f>+SUM(START:END!L137)</f>
        <v>0</v>
      </c>
      <c r="M137" s="41"/>
      <c r="N137" s="59">
        <f t="shared" si="61"/>
        <v>0</v>
      </c>
      <c r="O137" s="41"/>
      <c r="P137" s="13"/>
      <c r="Q137" s="33">
        <f>+SUM(START:END!Q137)</f>
        <v>0</v>
      </c>
      <c r="R137" s="41"/>
      <c r="S137" s="85">
        <f t="shared" si="62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 hidden="1">
      <c r="A138" t="str">
        <f t="shared" ref="A138" si="68">+B138&amp;C138</f>
        <v>Véhicules usagésService gratuit 2</v>
      </c>
      <c r="B138" s="11" t="s">
        <v>70</v>
      </c>
      <c r="C138" s="29" t="s">
        <v>50</v>
      </c>
      <c r="D138" s="81"/>
      <c r="E138" s="13"/>
      <c r="F138" s="30">
        <f>+SUM(START:END!F138)</f>
        <v>0</v>
      </c>
      <c r="G138" s="83"/>
      <c r="H138" s="13"/>
      <c r="I138" s="30">
        <f>+SUM(START:END!I138)</f>
        <v>0</v>
      </c>
      <c r="J138" s="41"/>
      <c r="K138" s="13"/>
      <c r="L138" s="33">
        <f>+SUM(START:END!L138)</f>
        <v>0</v>
      </c>
      <c r="M138" s="41"/>
      <c r="N138" s="59">
        <f t="shared" si="61"/>
        <v>0</v>
      </c>
      <c r="O138" s="41"/>
      <c r="P138" s="13"/>
      <c r="Q138" s="33">
        <f>+SUM(START:END!Q138)</f>
        <v>0</v>
      </c>
      <c r="R138" s="41"/>
      <c r="S138" s="85">
        <f t="shared" si="62"/>
        <v>0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ref="A139" si="69">+B139&amp;C139</f>
        <v>Véhicules usagésFrais véhicules de cie</v>
      </c>
      <c r="B139" s="11" t="s">
        <v>70</v>
      </c>
      <c r="C139" s="86" t="s">
        <v>51</v>
      </c>
      <c r="D139" s="87"/>
      <c r="E139" s="111"/>
      <c r="F139" s="22">
        <f>+SUM(START:END!F139)</f>
        <v>2290.75</v>
      </c>
      <c r="G139" s="89"/>
      <c r="H139" s="111"/>
      <c r="I139" s="22">
        <f>+SUM(START:END!I139)</f>
        <v>0</v>
      </c>
      <c r="J139" s="23"/>
      <c r="K139" s="111"/>
      <c r="L139" s="22">
        <f>+SUM(START:END!L139)</f>
        <v>1075.17</v>
      </c>
      <c r="M139" s="23"/>
      <c r="N139" s="91">
        <f t="shared" si="61"/>
        <v>-1215.58</v>
      </c>
      <c r="O139" s="23"/>
      <c r="P139" s="111"/>
      <c r="Q139" s="22">
        <f>+SUM(START:END!Q139)</f>
        <v>3104.84</v>
      </c>
      <c r="R139" s="23"/>
      <c r="S139" s="92">
        <f t="shared" si="62"/>
        <v>-2029.67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ref="A140" si="70">+B140&amp;C140</f>
        <v>Véhicules usagésInformatique</v>
      </c>
      <c r="B140" s="11" t="s">
        <v>70</v>
      </c>
      <c r="C140" s="29" t="s">
        <v>52</v>
      </c>
      <c r="D140" s="81"/>
      <c r="E140" s="13"/>
      <c r="F140" s="30">
        <f>+SUM(START:END!F140)</f>
        <v>12253.545</v>
      </c>
      <c r="G140" s="83"/>
      <c r="H140" s="13"/>
      <c r="I140" s="30">
        <f>+SUM(START:END!I140)</f>
        <v>0</v>
      </c>
      <c r="J140" s="41"/>
      <c r="K140" s="13"/>
      <c r="L140" s="33">
        <f>+SUM(START:END!L140)</f>
        <v>14412.84</v>
      </c>
      <c r="M140" s="41"/>
      <c r="N140" s="59">
        <f t="shared" si="61"/>
        <v>2159.2950000000001</v>
      </c>
      <c r="O140" s="41"/>
      <c r="P140" s="13"/>
      <c r="Q140" s="33">
        <f>+SUM(START:END!Q140)</f>
        <v>4209</v>
      </c>
      <c r="R140" s="41"/>
      <c r="S140" s="85">
        <f t="shared" si="62"/>
        <v>10203.84</v>
      </c>
      <c r="T140" s="13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ref="A141" si="71">+B141&amp;C141</f>
        <v>Véhicules usagésFrais de déplacement</v>
      </c>
      <c r="B141" s="11" t="s">
        <v>70</v>
      </c>
      <c r="C141" s="29" t="s">
        <v>53</v>
      </c>
      <c r="D141" s="81"/>
      <c r="E141" s="13"/>
      <c r="F141" s="30">
        <f>+SUM(START:END!F141)</f>
        <v>1496.25</v>
      </c>
      <c r="G141" s="83"/>
      <c r="H141" s="13"/>
      <c r="I141" s="30">
        <f>+SUM(START:END!I141)</f>
        <v>0</v>
      </c>
      <c r="J141" s="41"/>
      <c r="K141" s="13"/>
      <c r="L141" s="33">
        <f>+SUM(START:END!L141)</f>
        <v>3177.3100000000004</v>
      </c>
      <c r="M141" s="41"/>
      <c r="N141" s="59">
        <f t="shared" si="61"/>
        <v>1681.0600000000004</v>
      </c>
      <c r="O141" s="41"/>
      <c r="P141" s="13"/>
      <c r="Q141" s="33">
        <f>+SUM(START:END!Q141)</f>
        <v>315.37</v>
      </c>
      <c r="R141" s="41"/>
      <c r="S141" s="85">
        <f t="shared" si="62"/>
        <v>2861.9400000000005</v>
      </c>
      <c r="T141" s="147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ref="A142" si="72">+B142&amp;C142</f>
        <v>Véhicules usagésServices extérieurs</v>
      </c>
      <c r="B142" s="11" t="s">
        <v>70</v>
      </c>
      <c r="C142" s="86" t="s">
        <v>54</v>
      </c>
      <c r="D142" s="87"/>
      <c r="E142" s="111"/>
      <c r="F142" s="22">
        <f>+SUM(START:END!F142)</f>
        <v>8693.6710000000003</v>
      </c>
      <c r="G142" s="89"/>
      <c r="H142" s="111"/>
      <c r="I142" s="22">
        <f>+SUM(START:END!I142)</f>
        <v>0</v>
      </c>
      <c r="J142" s="23"/>
      <c r="K142" s="111"/>
      <c r="L142" s="22">
        <f>+SUM(START:END!L142)</f>
        <v>11374.08</v>
      </c>
      <c r="M142" s="23"/>
      <c r="N142" s="91">
        <f t="shared" si="61"/>
        <v>2680.4089999999997</v>
      </c>
      <c r="O142" s="23"/>
      <c r="P142" s="111"/>
      <c r="Q142" s="22">
        <f>+SUM(START:END!Q142)</f>
        <v>2059.0600000000004</v>
      </c>
      <c r="R142" s="23"/>
      <c r="S142" s="92">
        <f t="shared" si="62"/>
        <v>9315.02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ref="A143" si="73">+B143&amp;C143</f>
        <v>Véhicules usagésFournitures autres</v>
      </c>
      <c r="B143" s="11" t="s">
        <v>70</v>
      </c>
      <c r="C143" s="29" t="s">
        <v>55</v>
      </c>
      <c r="D143" s="81"/>
      <c r="E143" s="13"/>
      <c r="F143" s="30">
        <f>+SUM(START:END!F143)</f>
        <v>41.25</v>
      </c>
      <c r="G143" s="83"/>
      <c r="H143" s="13"/>
      <c r="I143" s="30">
        <f>+SUM(START:END!I143)</f>
        <v>0</v>
      </c>
      <c r="J143" s="41"/>
      <c r="K143" s="13"/>
      <c r="L143" s="33">
        <f>+SUM(START:END!L143)</f>
        <v>127.70999999999998</v>
      </c>
      <c r="M143" s="41"/>
      <c r="N143" s="59">
        <f t="shared" si="61"/>
        <v>86.45999999999998</v>
      </c>
      <c r="O143" s="41"/>
      <c r="P143" s="13"/>
      <c r="Q143" s="33">
        <f>+SUM(START:END!Q143)</f>
        <v>38.129999999999995</v>
      </c>
      <c r="R143" s="41"/>
      <c r="S143" s="85">
        <f t="shared" si="62"/>
        <v>89.579999999999984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ref="A144" si="74">+B144&amp;C144</f>
        <v>Véhicules usagésUniformes</v>
      </c>
      <c r="B144" s="11" t="s">
        <v>70</v>
      </c>
      <c r="C144" s="29" t="s">
        <v>56</v>
      </c>
      <c r="D144" s="81"/>
      <c r="E144" s="13"/>
      <c r="F144" s="30">
        <f>+SUM(START:END!F144)</f>
        <v>22.5</v>
      </c>
      <c r="G144" s="83"/>
      <c r="H144" s="13"/>
      <c r="I144" s="30">
        <f>+SUM(START:END!I144)</f>
        <v>0</v>
      </c>
      <c r="J144" s="41"/>
      <c r="K144" s="13"/>
      <c r="L144" s="33">
        <f>+SUM(START:END!L144)</f>
        <v>69.930000000000007</v>
      </c>
      <c r="M144" s="41"/>
      <c r="N144" s="59">
        <f t="shared" si="61"/>
        <v>47.430000000000007</v>
      </c>
      <c r="O144" s="41"/>
      <c r="P144" s="13"/>
      <c r="Q144" s="33">
        <f>+SUM(START:END!Q144)</f>
        <v>0</v>
      </c>
      <c r="R144" s="41"/>
      <c r="S144" s="85">
        <f t="shared" si="62"/>
        <v>69.930000000000007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ref="A145" si="75">+B145&amp;C145</f>
        <v>Véhicules usagésPapeterie</v>
      </c>
      <c r="B145" s="11" t="s">
        <v>70</v>
      </c>
      <c r="C145" s="29" t="s">
        <v>57</v>
      </c>
      <c r="D145" s="81"/>
      <c r="E145" s="13"/>
      <c r="F145" s="30">
        <f>+SUM(START:END!F145)</f>
        <v>652.5</v>
      </c>
      <c r="G145" s="83"/>
      <c r="H145" s="13"/>
      <c r="I145" s="30">
        <f>+SUM(START:END!I145)</f>
        <v>0</v>
      </c>
      <c r="J145" s="41"/>
      <c r="K145" s="13"/>
      <c r="L145" s="32">
        <f>+SUM(START:END!L145)</f>
        <v>735.3</v>
      </c>
      <c r="M145" s="41"/>
      <c r="N145" s="59">
        <f t="shared" si="61"/>
        <v>82.799999999999955</v>
      </c>
      <c r="O145" s="41"/>
      <c r="P145" s="13"/>
      <c r="Q145" s="32">
        <f>+SUM(START:END!Q145)</f>
        <v>540.12</v>
      </c>
      <c r="R145" s="41"/>
      <c r="S145" s="85">
        <f t="shared" si="62"/>
        <v>195.17999999999995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ref="A146" si="76">+B146&amp;C146</f>
        <v>Véhicules usagésTéléphone</v>
      </c>
      <c r="B146" s="11" t="s">
        <v>70</v>
      </c>
      <c r="C146" s="29" t="s">
        <v>58</v>
      </c>
      <c r="D146" s="81"/>
      <c r="E146" s="13"/>
      <c r="F146" s="30">
        <f>+SUM(START:END!F146)</f>
        <v>190.05</v>
      </c>
      <c r="G146" s="83"/>
      <c r="H146" s="13"/>
      <c r="I146" s="30">
        <f>+SUM(START:END!I146)</f>
        <v>0</v>
      </c>
      <c r="J146" s="41"/>
      <c r="K146" s="13"/>
      <c r="L146" s="33">
        <f>+SUM(START:END!L146)</f>
        <v>238.97000000000003</v>
      </c>
      <c r="M146" s="41"/>
      <c r="N146" s="59">
        <f t="shared" si="61"/>
        <v>48.920000000000016</v>
      </c>
      <c r="O146" s="41"/>
      <c r="P146" s="13"/>
      <c r="Q146" s="33">
        <f>+SUM(START:END!Q146)</f>
        <v>192.26999999999998</v>
      </c>
      <c r="R146" s="41"/>
      <c r="S146" s="85">
        <f t="shared" si="62"/>
        <v>46.700000000000045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ref="A147" si="77">+B147&amp;C147</f>
        <v>Véhicules usagésFrais postaux</v>
      </c>
      <c r="B147" s="11" t="s">
        <v>70</v>
      </c>
      <c r="C147" s="29" t="s">
        <v>59</v>
      </c>
      <c r="D147" s="81"/>
      <c r="E147" s="13"/>
      <c r="F147" s="30">
        <f>+SUM(START:END!F147)</f>
        <v>254.99999999999994</v>
      </c>
      <c r="G147" s="83"/>
      <c r="H147" s="13"/>
      <c r="I147" s="30">
        <f>+SUM(START:END!I147)</f>
        <v>0</v>
      </c>
      <c r="J147" s="41"/>
      <c r="K147" s="13"/>
      <c r="L147" s="33">
        <f>+SUM(START:END!L147)</f>
        <v>327.35999999999996</v>
      </c>
      <c r="M147" s="41"/>
      <c r="N147" s="59">
        <f t="shared" si="61"/>
        <v>72.360000000000014</v>
      </c>
      <c r="O147" s="41"/>
      <c r="P147" s="13"/>
      <c r="Q147" s="33">
        <f>+SUM(START:END!Q147)</f>
        <v>432.43000000000006</v>
      </c>
      <c r="R147" s="41"/>
      <c r="S147" s="85">
        <f t="shared" si="62"/>
        <v>-105.07000000000011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ref="A148" si="78">+B148&amp;C148</f>
        <v>Véhicules usagésDivers</v>
      </c>
      <c r="B148" s="11" t="s">
        <v>70</v>
      </c>
      <c r="C148" s="29" t="s">
        <v>60</v>
      </c>
      <c r="D148" s="81"/>
      <c r="E148" s="13"/>
      <c r="F148" s="30">
        <f>+SUM(START:END!F148)</f>
        <v>716.74999999999989</v>
      </c>
      <c r="G148" s="83"/>
      <c r="H148" s="13"/>
      <c r="I148" s="30">
        <f>+SUM(START:END!I148)</f>
        <v>0</v>
      </c>
      <c r="J148" s="41"/>
      <c r="K148" s="13"/>
      <c r="L148" s="33">
        <f>+SUM(START:END!L148)</f>
        <v>623.14</v>
      </c>
      <c r="M148" s="41"/>
      <c r="N148" s="59">
        <f t="shared" si="61"/>
        <v>-93.6099999999999</v>
      </c>
      <c r="O148" s="41"/>
      <c r="P148" s="13"/>
      <c r="Q148" s="33">
        <f>+SUM(START:END!Q148)</f>
        <v>699.67000000000007</v>
      </c>
      <c r="R148" s="41"/>
      <c r="S148" s="85">
        <f t="shared" si="62"/>
        <v>-76.530000000000086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 t="shared" ref="A149" si="79">+B149&amp;C149</f>
        <v>Véhicules usagésFormation</v>
      </c>
      <c r="B149" s="11" t="s">
        <v>70</v>
      </c>
      <c r="C149" s="29" t="s">
        <v>61</v>
      </c>
      <c r="D149" s="81"/>
      <c r="E149" s="13"/>
      <c r="F149" s="30">
        <f>+SUM(START:END!F149)</f>
        <v>343.0440000000001</v>
      </c>
      <c r="G149" s="83"/>
      <c r="H149" s="13"/>
      <c r="I149" s="30">
        <f>+SUM(START:END!I149)</f>
        <v>0</v>
      </c>
      <c r="J149" s="41"/>
      <c r="K149" s="13"/>
      <c r="L149" s="59">
        <f>+SUM(START:END!L149)</f>
        <v>-49.849999999999994</v>
      </c>
      <c r="M149" s="41"/>
      <c r="N149" s="59">
        <f t="shared" si="61"/>
        <v>-392.89400000000012</v>
      </c>
      <c r="O149" s="41"/>
      <c r="P149" s="13"/>
      <c r="Q149" s="33">
        <f>+SUM(START:END!Q149)</f>
        <v>113.97</v>
      </c>
      <c r="R149" s="41"/>
      <c r="S149" s="85">
        <f t="shared" si="62"/>
        <v>-163.82</v>
      </c>
      <c r="T149" s="13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>
      <c r="A150" t="str">
        <f t="shared" ref="A150" si="80">+B150&amp;C150</f>
        <v>Véhicules usagésFrais bancaires</v>
      </c>
      <c r="B150" s="11" t="s">
        <v>70</v>
      </c>
      <c r="C150" s="29" t="s">
        <v>62</v>
      </c>
      <c r="D150" s="81"/>
      <c r="E150" s="13"/>
      <c r="F150" s="30">
        <f>+SUM(START:END!F150)</f>
        <v>3850.8258074825458</v>
      </c>
      <c r="G150" s="83"/>
      <c r="H150" s="13"/>
      <c r="I150" s="30">
        <f>+SUM(START:END!I150)</f>
        <v>0</v>
      </c>
      <c r="J150" s="41"/>
      <c r="K150" s="13"/>
      <c r="L150" s="33">
        <f>+SUM(START:END!L150)</f>
        <v>3178.4700000000003</v>
      </c>
      <c r="M150" s="41"/>
      <c r="N150" s="59">
        <f t="shared" si="61"/>
        <v>-672.35580748254552</v>
      </c>
      <c r="O150" s="41"/>
      <c r="P150" s="13"/>
      <c r="Q150" s="33">
        <f>+SUM(START:END!Q150)</f>
        <v>1637.42</v>
      </c>
      <c r="R150" s="41"/>
      <c r="S150" s="85">
        <f>L150-Q150</f>
        <v>1541.0500000000002</v>
      </c>
      <c r="T150" s="82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 t="shared" ref="A151" si="81"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f>+SUM(START:END!F151)</f>
        <v>0</v>
      </c>
      <c r="G151" s="83"/>
      <c r="H151" s="13"/>
      <c r="I151" s="30">
        <f>+SUM(START:END!I151)</f>
        <v>0</v>
      </c>
      <c r="J151" s="41"/>
      <c r="K151" s="13"/>
      <c r="L151" s="33">
        <f>+SUM(START:END!L151)</f>
        <v>0</v>
      </c>
      <c r="M151" s="41"/>
      <c r="N151" s="59">
        <f t="shared" si="61"/>
        <v>0</v>
      </c>
      <c r="O151" s="41"/>
      <c r="P151" s="13"/>
      <c r="Q151" s="33">
        <f>+SUM(START:END!Q151)</f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 t="shared" ref="A152" si="82"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f>+SUM(START:END!F152)</f>
        <v>0</v>
      </c>
      <c r="G152" s="83"/>
      <c r="H152" s="13"/>
      <c r="I152" s="30">
        <f>+SUM(START:END!I152)</f>
        <v>0</v>
      </c>
      <c r="J152" s="41"/>
      <c r="K152" s="13"/>
      <c r="L152" s="33">
        <f>+SUM(START:END!L152)</f>
        <v>0</v>
      </c>
      <c r="M152" s="41"/>
      <c r="N152" s="59">
        <f t="shared" si="61"/>
        <v>0</v>
      </c>
      <c r="O152" s="41"/>
      <c r="P152" s="13"/>
      <c r="Q152" s="33">
        <f>+SUM(START:END!Q152)</f>
        <v>0</v>
      </c>
      <c r="R152" s="41"/>
      <c r="S152" s="85">
        <f>L152-Q152</f>
        <v>0</v>
      </c>
      <c r="T152" s="13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399999999999999" hidden="1">
      <c r="A153" t="str">
        <f t="shared" ref="A153" si="83">+B153&amp;C153</f>
        <v>Véhicules usagés[...]</v>
      </c>
      <c r="B153" s="11" t="s">
        <v>70</v>
      </c>
      <c r="C153" s="29" t="s">
        <v>19</v>
      </c>
      <c r="D153" s="81"/>
      <c r="E153" s="13"/>
      <c r="F153" s="30">
        <f>+SUM(START:END!F153)</f>
        <v>0</v>
      </c>
      <c r="G153" s="83"/>
      <c r="H153" s="13"/>
      <c r="I153" s="30">
        <f>+SUM(START:END!I153)</f>
        <v>0</v>
      </c>
      <c r="J153" s="41"/>
      <c r="K153" s="13"/>
      <c r="L153" s="33">
        <f>+SUM(START:END!L153)</f>
        <v>0</v>
      </c>
      <c r="M153" s="41"/>
      <c r="N153" s="59">
        <f t="shared" si="61"/>
        <v>0</v>
      </c>
      <c r="O153" s="41"/>
      <c r="P153" s="13"/>
      <c r="Q153" s="33">
        <f>+SUM(START:END!Q153)</f>
        <v>0</v>
      </c>
      <c r="R153" s="41"/>
      <c r="S153" s="85">
        <f>L153-Q153</f>
        <v>0</v>
      </c>
      <c r="T153" s="8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ref="A154" si="84">+B154&amp;C154</f>
        <v>Véhicules usagésTOTAL SEMI-FIXES</v>
      </c>
      <c r="B154" s="11" t="s">
        <v>70</v>
      </c>
      <c r="C154" s="93" t="s">
        <v>63</v>
      </c>
      <c r="D154" s="94" t="s">
        <v>38</v>
      </c>
      <c r="E154" s="95" t="e">
        <f>F154/F$108</f>
        <v>#DIV/0!</v>
      </c>
      <c r="F154" s="96">
        <f>+SUM(F137:F153)</f>
        <v>30806.135807482548</v>
      </c>
      <c r="G154" s="97" t="s">
        <v>38</v>
      </c>
      <c r="H154" s="95" t="e">
        <f>I154/I$108</f>
        <v>#DIV/0!</v>
      </c>
      <c r="I154" s="96">
        <f>+SUM(I137:I153)</f>
        <v>0</v>
      </c>
      <c r="J154" s="97" t="s">
        <v>38</v>
      </c>
      <c r="K154" s="95" t="e">
        <f>L154/L$108</f>
        <v>#DIV/0!</v>
      </c>
      <c r="L154" s="96">
        <f>+SUM(L137:L153)</f>
        <v>35290.43</v>
      </c>
      <c r="M154" s="100"/>
      <c r="N154" s="96">
        <f t="shared" si="61"/>
        <v>4484.2941925174528</v>
      </c>
      <c r="O154" s="97" t="s">
        <v>38</v>
      </c>
      <c r="P154" s="95" t="e">
        <f>Q154/Q$108</f>
        <v>#DIV/0!</v>
      </c>
      <c r="Q154" s="96">
        <f>+SUM(Q137:Q153)</f>
        <v>13342.28</v>
      </c>
      <c r="R154" s="100"/>
      <c r="S154" s="101">
        <f>L154-Q154</f>
        <v>21948.15</v>
      </c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ref="A155" si="85">+B155&amp;C155</f>
        <v>Véhicules usagés</v>
      </c>
      <c r="B155" s="11" t="s">
        <v>70</v>
      </c>
      <c r="C155" s="86"/>
      <c r="D155" s="87"/>
      <c r="E155" s="111"/>
      <c r="F155" s="59"/>
      <c r="G155" s="89"/>
      <c r="H155" s="111"/>
      <c r="I155" s="59"/>
      <c r="J155" s="23"/>
      <c r="K155" s="111"/>
      <c r="L155" s="91"/>
      <c r="M155" s="23"/>
      <c r="N155" s="91"/>
      <c r="O155" s="23"/>
      <c r="P155" s="111"/>
      <c r="Q155" s="91"/>
      <c r="R155" s="23"/>
      <c r="S155" s="92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ref="A156" si="86">+B156&amp;C156</f>
        <v>Véhicules usagésTOTAL DES DÉPENSES</v>
      </c>
      <c r="B156" s="11" t="s">
        <v>70</v>
      </c>
      <c r="C156" s="93" t="s">
        <v>64</v>
      </c>
      <c r="D156" s="94" t="s">
        <v>38</v>
      </c>
      <c r="E156" s="95" t="e">
        <f>F156/F$108</f>
        <v>#DIV/0!</v>
      </c>
      <c r="F156" s="96">
        <f>F123+F136+F154</f>
        <v>199420.88092671594</v>
      </c>
      <c r="G156" s="97" t="s">
        <v>38</v>
      </c>
      <c r="H156" s="95" t="e">
        <f>I156/I$108</f>
        <v>#DIV/0!</v>
      </c>
      <c r="I156" s="96">
        <f>I123+I136+I154</f>
        <v>0</v>
      </c>
      <c r="J156" s="97" t="s">
        <v>38</v>
      </c>
      <c r="K156" s="95" t="e">
        <f>L156/L$108</f>
        <v>#DIV/0!</v>
      </c>
      <c r="L156" s="96">
        <f>L123+L136+L154</f>
        <v>193016.99</v>
      </c>
      <c r="M156" s="100"/>
      <c r="N156" s="113">
        <f t="shared" ref="N156:N163" si="87">L156-F156</f>
        <v>-6403.890926715947</v>
      </c>
      <c r="O156" s="97" t="s">
        <v>38</v>
      </c>
      <c r="P156" s="95" t="e">
        <f>Q156/Q$108</f>
        <v>#DIV/0!</v>
      </c>
      <c r="Q156" s="96">
        <f>Q123+Q136+Q154</f>
        <v>140872.98000000001</v>
      </c>
      <c r="R156" s="100"/>
      <c r="S156" s="114">
        <f t="shared" ref="S156:S163" si="88">L156-Q156</f>
        <v>52144.00999999998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ref="A157" si="89">+B157&amp;C157</f>
        <v>Véhicules usagésRBSC used</v>
      </c>
      <c r="B157" s="11" t="s">
        <v>70</v>
      </c>
      <c r="C157" s="29" t="s">
        <v>217</v>
      </c>
      <c r="D157" s="148"/>
      <c r="E157" s="149"/>
      <c r="F157" s="30">
        <f>+SUM(START:END!F157)</f>
        <v>14250</v>
      </c>
      <c r="G157" s="150"/>
      <c r="H157" s="149"/>
      <c r="I157" s="30">
        <f>+SUM(START:END!I157)</f>
        <v>0</v>
      </c>
      <c r="J157" s="150"/>
      <c r="K157" s="149"/>
      <c r="L157" s="32">
        <f>+SUM(START:END!L157)</f>
        <v>13725</v>
      </c>
      <c r="M157" s="41"/>
      <c r="N157" s="59">
        <f t="shared" si="87"/>
        <v>-525</v>
      </c>
      <c r="O157" s="150"/>
      <c r="P157" s="149"/>
      <c r="Q157" s="33">
        <f>+SUM(START:END!Q157)</f>
        <v>5625</v>
      </c>
      <c r="R157" s="41"/>
      <c r="S157" s="85">
        <f t="shared" si="88"/>
        <v>8100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>
      <c r="A158" t="str">
        <f t="shared" ref="A158" si="90">+B158&amp;C158</f>
        <v>Véhicules usagésProgramme 360</v>
      </c>
      <c r="B158" s="11" t="s">
        <v>70</v>
      </c>
      <c r="C158" s="29" t="s">
        <v>218</v>
      </c>
      <c r="D158" s="148"/>
      <c r="E158" s="149"/>
      <c r="F158" s="30">
        <f>+SUM(START:END!F158)</f>
        <v>0</v>
      </c>
      <c r="G158" s="150"/>
      <c r="H158" s="149"/>
      <c r="I158" s="30">
        <f>+SUM(START:END!I158)</f>
        <v>0</v>
      </c>
      <c r="J158" s="150"/>
      <c r="K158" s="149"/>
      <c r="L158" s="33">
        <f>+SUM(START:END!L158)</f>
        <v>-925</v>
      </c>
      <c r="M158" s="41"/>
      <c r="N158" s="59">
        <f t="shared" si="87"/>
        <v>-925</v>
      </c>
      <c r="O158" s="150"/>
      <c r="P158" s="149"/>
      <c r="Q158" s="33">
        <f>+SUM(START:END!Q158)</f>
        <v>100</v>
      </c>
      <c r="R158" s="41"/>
      <c r="S158" s="85">
        <f t="shared" si="88"/>
        <v>-1025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 hidden="1">
      <c r="A159" t="str">
        <f t="shared" ref="A159" si="91">+B159&amp;C159</f>
        <v>Véhicules usagésProgramme used 3</v>
      </c>
      <c r="B159" s="11" t="s">
        <v>70</v>
      </c>
      <c r="C159" s="29" t="s">
        <v>77</v>
      </c>
      <c r="D159" s="81"/>
      <c r="E159" s="13"/>
      <c r="F159" s="30">
        <f>+SUM(START:END!F159)</f>
        <v>0</v>
      </c>
      <c r="G159" s="83"/>
      <c r="H159" s="13"/>
      <c r="I159" s="30">
        <f>+SUM(START:END!I159)</f>
        <v>0</v>
      </c>
      <c r="J159" s="41"/>
      <c r="K159" s="13"/>
      <c r="L159" s="33">
        <f>+SUM(START:END!L159)</f>
        <v>0</v>
      </c>
      <c r="M159" s="41"/>
      <c r="N159" s="59">
        <f t="shared" si="87"/>
        <v>0</v>
      </c>
      <c r="O159" s="41"/>
      <c r="P159" s="13"/>
      <c r="Q159" s="33">
        <f>+SUM(START:END!Q159)</f>
        <v>0</v>
      </c>
      <c r="R159" s="41"/>
      <c r="S159" s="85">
        <f t="shared" si="88"/>
        <v>0</v>
      </c>
      <c r="T159" s="112"/>
      <c r="U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usagésFrais administration</v>
      </c>
      <c r="B160" s="11" t="s">
        <v>70</v>
      </c>
      <c r="C160" s="29" t="s">
        <v>67</v>
      </c>
      <c r="D160" s="81"/>
      <c r="E160" s="13"/>
      <c r="F160" s="30">
        <f>+SUM(START:END!F160)</f>
        <v>0</v>
      </c>
      <c r="G160" s="83"/>
      <c r="H160" s="13"/>
      <c r="I160" s="30">
        <f>+SUM(START:END!I160)</f>
        <v>0</v>
      </c>
      <c r="J160" s="41"/>
      <c r="K160" s="13"/>
      <c r="L160" s="32">
        <f>+SUM(START:END!L160)</f>
        <v>0</v>
      </c>
      <c r="M160" s="41"/>
      <c r="N160" s="59">
        <f t="shared" si="87"/>
        <v>0</v>
      </c>
      <c r="O160" s="41"/>
      <c r="P160" s="13"/>
      <c r="Q160" s="33">
        <f>+SUM(START:END!Q160)</f>
        <v>0</v>
      </c>
      <c r="R160" s="41"/>
      <c r="S160" s="85">
        <f t="shared" si="88"/>
        <v>0</v>
      </c>
      <c r="T160" s="112"/>
      <c r="U160" s="13"/>
      <c r="W160" s="48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f>+SUM(START:END!F161)</f>
        <v>0</v>
      </c>
      <c r="G161" s="83"/>
      <c r="H161" s="13"/>
      <c r="I161" s="30">
        <f>+SUM(START:END!I161)</f>
        <v>0</v>
      </c>
      <c r="J161" s="41"/>
      <c r="K161" s="13"/>
      <c r="L161" s="32">
        <f>+SUM(START:END!L161)</f>
        <v>0</v>
      </c>
      <c r="M161" s="41"/>
      <c r="N161" s="59">
        <f t="shared" si="87"/>
        <v>0</v>
      </c>
      <c r="O161" s="41"/>
      <c r="P161" s="13"/>
      <c r="Q161" s="33">
        <f>+SUM(START:END!Q161)</f>
        <v>0</v>
      </c>
      <c r="R161" s="41"/>
      <c r="S161" s="85">
        <f t="shared" si="88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29" t="s">
        <v>19</v>
      </c>
      <c r="D162" s="81"/>
      <c r="E162" s="13"/>
      <c r="F162" s="30">
        <f>+SUM(START:END!F162)</f>
        <v>0</v>
      </c>
      <c r="G162" s="83"/>
      <c r="H162" s="13"/>
      <c r="I162" s="30">
        <f>+SUM(START:END!I162)</f>
        <v>0</v>
      </c>
      <c r="J162" s="41"/>
      <c r="K162" s="13"/>
      <c r="L162" s="32">
        <f>+SUM(START:END!L162)</f>
        <v>0</v>
      </c>
      <c r="M162" s="41"/>
      <c r="N162" s="59">
        <f t="shared" si="87"/>
        <v>0</v>
      </c>
      <c r="O162" s="41"/>
      <c r="P162" s="13"/>
      <c r="Q162" s="33">
        <f>+SUM(START:END!Q162)</f>
        <v>0</v>
      </c>
      <c r="R162" s="41"/>
      <c r="S162" s="85">
        <f t="shared" si="88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A163" t="str">
        <f>+B163&amp;C163</f>
        <v>Véhicules usagés[...]</v>
      </c>
      <c r="B163" s="11" t="s">
        <v>70</v>
      </c>
      <c r="C163" s="86" t="s">
        <v>19</v>
      </c>
      <c r="D163" s="87"/>
      <c r="E163" s="111"/>
      <c r="F163" s="30">
        <f>+SUM(START:END!F163)</f>
        <v>31356.5</v>
      </c>
      <c r="G163" s="83"/>
      <c r="H163" s="13"/>
      <c r="I163" s="30">
        <f>+SUM(START:END!I163)</f>
        <v>0</v>
      </c>
      <c r="J163" s="41"/>
      <c r="K163" s="13"/>
      <c r="L163" s="32">
        <f>+SUM(START:END!L163)</f>
        <v>35105</v>
      </c>
      <c r="M163" s="41"/>
      <c r="N163" s="59">
        <f t="shared" si="87"/>
        <v>3748.5</v>
      </c>
      <c r="O163" s="41"/>
      <c r="P163" s="13"/>
      <c r="Q163" s="33">
        <f>+SUM(START:END!Q163)</f>
        <v>17255</v>
      </c>
      <c r="R163" s="41"/>
      <c r="S163" s="85">
        <f t="shared" si="88"/>
        <v>17850</v>
      </c>
      <c r="T163" s="112"/>
      <c r="U163" s="13"/>
      <c r="W163" s="48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93" t="s">
        <v>68</v>
      </c>
      <c r="D164" s="94"/>
      <c r="E164" s="95"/>
      <c r="F164" s="96">
        <f>+SUM(F157:F163)</f>
        <v>45606.5</v>
      </c>
      <c r="G164" s="97"/>
      <c r="H164" s="95"/>
      <c r="I164" s="96">
        <f>+SUM(I157:I163)</f>
        <v>0</v>
      </c>
      <c r="J164" s="97"/>
      <c r="K164" s="95"/>
      <c r="L164" s="96">
        <f>+SUM(L157:L163)</f>
        <v>47905</v>
      </c>
      <c r="M164" s="100"/>
      <c r="N164" s="96">
        <f>SUM(N157:N160)</f>
        <v>-1450</v>
      </c>
      <c r="O164" s="97"/>
      <c r="P164" s="95"/>
      <c r="Q164" s="96">
        <f>+SUM(Q157:Q163)</f>
        <v>22980</v>
      </c>
      <c r="R164" s="100"/>
      <c r="S164" s="101">
        <f>+SUM(S157:S163)</f>
        <v>24925</v>
      </c>
      <c r="T164" s="112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>
      <c r="B165" s="11"/>
      <c r="C165" s="29"/>
      <c r="D165" s="81"/>
      <c r="E165" s="13"/>
      <c r="F165" s="59"/>
      <c r="G165" s="83"/>
      <c r="H165" s="13"/>
      <c r="I165" s="59"/>
      <c r="J165" s="41"/>
      <c r="K165" s="13"/>
      <c r="L165" s="59"/>
      <c r="M165" s="41"/>
      <c r="N165" s="59"/>
      <c r="O165" s="41"/>
      <c r="P165" s="13"/>
      <c r="Q165" s="59"/>
      <c r="R165" s="41"/>
      <c r="S165" s="85"/>
      <c r="T165" s="149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.6" thickBot="1">
      <c r="B166" s="11"/>
      <c r="C166" s="124" t="s">
        <v>69</v>
      </c>
      <c r="D166" s="151"/>
      <c r="E166" s="125"/>
      <c r="F166" s="127">
        <f>F109-F156+F164</f>
        <v>103448.94891034553</v>
      </c>
      <c r="G166" s="152"/>
      <c r="H166" s="125"/>
      <c r="I166" s="127">
        <f>I109-I156+I164</f>
        <v>0</v>
      </c>
      <c r="J166" s="153"/>
      <c r="K166" s="126"/>
      <c r="L166" s="127">
        <f>L109-L156+L164</f>
        <v>131266.55000000005</v>
      </c>
      <c r="M166" s="153"/>
      <c r="N166" s="127">
        <f>L166-F166</f>
        <v>27817.601089654519</v>
      </c>
      <c r="O166" s="153"/>
      <c r="P166" s="126"/>
      <c r="Q166" s="127">
        <f>Q109-Q156+Q164</f>
        <v>37075.929999999731</v>
      </c>
      <c r="R166" s="153"/>
      <c r="S166" s="129">
        <f>L166-Q166</f>
        <v>94190.620000000315</v>
      </c>
      <c r="T166" s="82"/>
      <c r="U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1" thickTop="1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54"/>
      <c r="M167" s="10"/>
      <c r="N167" s="10"/>
      <c r="O167" s="10"/>
      <c r="P167" s="10"/>
      <c r="Q167" s="10"/>
      <c r="R167" s="10"/>
      <c r="S167" s="10"/>
      <c r="T167" s="154"/>
      <c r="U167" s="10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20.399999999999999"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54"/>
      <c r="U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5.4">
      <c r="B169" s="11"/>
      <c r="C169" s="6" t="str">
        <f>C1</f>
        <v>BMW Sherbrooke</v>
      </c>
      <c r="D169" s="2"/>
      <c r="E169" s="2"/>
      <c r="F169" s="2"/>
      <c r="G169" s="2"/>
      <c r="H169" s="1"/>
      <c r="I169" s="1"/>
      <c r="J169" s="1"/>
      <c r="K169" s="3" t="s">
        <v>78</v>
      </c>
      <c r="L169" s="2"/>
      <c r="M169" s="2"/>
      <c r="N169" s="1"/>
      <c r="O169" s="1"/>
      <c r="P169" s="2"/>
      <c r="Q169" s="1"/>
      <c r="R169" s="2"/>
      <c r="S169" s="5" t="str">
        <f>$S$1</f>
        <v>Réalisé  Q3 2026</v>
      </c>
      <c r="T169" s="2"/>
      <c r="U169" s="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t="36" thickBot="1">
      <c r="B170" s="11"/>
      <c r="C170" s="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21.6" thickTop="1">
      <c r="B171" s="11"/>
      <c r="C171" s="12"/>
      <c r="D171" s="506" t="s">
        <v>5</v>
      </c>
      <c r="E171" s="507"/>
      <c r="F171" s="508"/>
      <c r="G171" s="509" t="s">
        <v>71</v>
      </c>
      <c r="H171" s="507"/>
      <c r="I171" s="508"/>
      <c r="J171" s="509" t="s">
        <v>7</v>
      </c>
      <c r="K171" s="507"/>
      <c r="L171" s="508"/>
      <c r="M171" s="509" t="s">
        <v>212</v>
      </c>
      <c r="N171" s="508"/>
      <c r="O171" s="506" t="s">
        <v>8</v>
      </c>
      <c r="P171" s="507"/>
      <c r="Q171" s="508"/>
      <c r="R171" s="504" t="s">
        <v>213</v>
      </c>
      <c r="S171" s="505"/>
      <c r="T171" s="148"/>
      <c r="U171" s="13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t="20.399999999999999">
      <c r="A172" t="str">
        <f t="shared" ref="A172:A178" si="92">+B172&amp;C172</f>
        <v>Service</v>
      </c>
      <c r="B172" s="11" t="s">
        <v>78</v>
      </c>
      <c r="C172" s="29"/>
      <c r="D172" s="80" t="s">
        <v>39</v>
      </c>
      <c r="E172" s="80" t="s">
        <v>79</v>
      </c>
      <c r="F172" s="134" t="s">
        <v>12</v>
      </c>
      <c r="G172" s="135" t="s">
        <v>39</v>
      </c>
      <c r="H172" s="80" t="s">
        <v>79</v>
      </c>
      <c r="I172" s="134" t="s">
        <v>12</v>
      </c>
      <c r="J172" s="135" t="s">
        <v>39</v>
      </c>
      <c r="K172" s="80" t="s">
        <v>79</v>
      </c>
      <c r="L172" s="134" t="s">
        <v>12</v>
      </c>
      <c r="M172" s="135" t="s">
        <v>219</v>
      </c>
      <c r="N172" s="134" t="s">
        <v>216</v>
      </c>
      <c r="O172" s="80" t="s">
        <v>39</v>
      </c>
      <c r="P172" s="80" t="s">
        <v>79</v>
      </c>
      <c r="Q172" s="134" t="s">
        <v>12</v>
      </c>
      <c r="R172" s="135" t="s">
        <v>80</v>
      </c>
      <c r="S172" s="136" t="s">
        <v>12</v>
      </c>
      <c r="T172" s="80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92"/>
        <v>ServiceM/O Client</v>
      </c>
      <c r="B173" s="11" t="s">
        <v>78</v>
      </c>
      <c r="C173" s="29" t="s">
        <v>81</v>
      </c>
      <c r="D173" s="485">
        <f>+SUM(START:END!D173)</f>
        <v>553.14252310357961</v>
      </c>
      <c r="E173" s="82">
        <f>+SUM(START:END!E173)</f>
        <v>196365.5957017708</v>
      </c>
      <c r="F173" s="82">
        <f>+SUM(START:END!F173)</f>
        <v>155128.8206043989</v>
      </c>
      <c r="G173" s="155">
        <f>+SUM(START:END!G173)</f>
        <v>0</v>
      </c>
      <c r="H173" s="82">
        <f>+SUM(START:END!H173)</f>
        <v>0</v>
      </c>
      <c r="I173" s="82">
        <f>+SUM(START:END!I173)</f>
        <v>0</v>
      </c>
      <c r="J173" s="60">
        <f>+SUM(START:END!J173)</f>
        <v>490</v>
      </c>
      <c r="K173" s="30">
        <f>+SUM(START:END!K173)</f>
        <v>210864.18</v>
      </c>
      <c r="L173" s="33">
        <f>+SUM(START:END!L173)</f>
        <v>165098.80000000002</v>
      </c>
      <c r="M173" s="156">
        <f>(K173-E173)/E173</f>
        <v>7.3834646269954757E-2</v>
      </c>
      <c r="N173" s="59">
        <f>L173-F173</f>
        <v>9969.9793956011126</v>
      </c>
      <c r="O173" s="60">
        <f>+SUM(START:END!O173)</f>
        <v>469</v>
      </c>
      <c r="P173" s="30">
        <f>+SUM(START:END!P173)</f>
        <v>167246.25</v>
      </c>
      <c r="Q173" s="33">
        <f>+SUM(START:END!Q173)</f>
        <v>131620.56</v>
      </c>
      <c r="R173" s="156">
        <f>IF(O173=0,0,J173/O173)</f>
        <v>1.044776119402985</v>
      </c>
      <c r="S173" s="85">
        <f>L173-Q173</f>
        <v>33478.24000000002</v>
      </c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92"/>
        <v>Service% profit / ventes</v>
      </c>
      <c r="B174" s="11" t="s">
        <v>78</v>
      </c>
      <c r="C174" s="29" t="s">
        <v>82</v>
      </c>
      <c r="D174" s="485"/>
      <c r="E174" s="143"/>
      <c r="F174" s="157">
        <f>F173/E173</f>
        <v>0.78999999999999981</v>
      </c>
      <c r="G174" s="41"/>
      <c r="H174" s="143"/>
      <c r="I174" s="157" t="e">
        <f>I173/H173</f>
        <v>#DIV/0!</v>
      </c>
      <c r="J174" s="60"/>
      <c r="K174" s="13"/>
      <c r="L174" s="157">
        <f>L173/K173</f>
        <v>0.78296275830252449</v>
      </c>
      <c r="M174" s="156"/>
      <c r="N174" s="59"/>
      <c r="O174" s="60"/>
      <c r="P174" s="13"/>
      <c r="Q174" s="157">
        <f>Q173/P173</f>
        <v>0.78698661404964232</v>
      </c>
      <c r="R174" s="60"/>
      <c r="S174" s="85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92"/>
        <v>Service</v>
      </c>
      <c r="B175" s="11" t="s">
        <v>78</v>
      </c>
      <c r="C175" s="86"/>
      <c r="D175" s="486"/>
      <c r="E175" s="158">
        <f>IFERROR(E173/D173,0)</f>
        <v>355.00000000000006</v>
      </c>
      <c r="F175" s="159"/>
      <c r="G175" s="23"/>
      <c r="H175" s="158">
        <f>IFERROR(H173/G173,0)</f>
        <v>0</v>
      </c>
      <c r="I175" s="159"/>
      <c r="J175" s="160"/>
      <c r="K175" s="460">
        <f>IFERROR(K173/J173,0)</f>
        <v>430.33506122448978</v>
      </c>
      <c r="L175" s="159"/>
      <c r="M175" s="161"/>
      <c r="N175" s="91"/>
      <c r="O175" s="160"/>
      <c r="P175" s="460">
        <f>IFERROR(P173/O173,0)</f>
        <v>356.60181236673776</v>
      </c>
      <c r="Q175" s="159"/>
      <c r="R175" s="160"/>
      <c r="S175" s="92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399999999999999">
      <c r="A176" t="str">
        <f t="shared" si="92"/>
        <v>ServiceM/O Garantie</v>
      </c>
      <c r="B176" s="11" t="s">
        <v>78</v>
      </c>
      <c r="C176" s="14" t="s">
        <v>83</v>
      </c>
      <c r="D176" s="487">
        <f>+SUM(START:END!D176)</f>
        <v>711.30483700079185</v>
      </c>
      <c r="E176" s="82">
        <f>+SUM(START:END!E176)</f>
        <v>135147.91903015046</v>
      </c>
      <c r="F176" s="82">
        <f>+SUM(START:END!F176)</f>
        <v>89738.218236019908</v>
      </c>
      <c r="G176" s="163">
        <f>+SUM(START:END!G176)</f>
        <v>0</v>
      </c>
      <c r="H176" s="82">
        <f>+SUM(START:END!H176)</f>
        <v>0</v>
      </c>
      <c r="I176" s="82">
        <f>+SUM(START:END!I176)</f>
        <v>0</v>
      </c>
      <c r="J176" s="163">
        <f>+SUM(START:END!J176)</f>
        <v>632</v>
      </c>
      <c r="K176" s="164">
        <f>+SUM(START:END!K176)</f>
        <v>103761.47</v>
      </c>
      <c r="L176" s="33">
        <f>+SUM(START:END!L176)</f>
        <v>69949.929999999993</v>
      </c>
      <c r="M176" s="156">
        <f>(K176-E176)/E176</f>
        <v>-0.2322377529405272</v>
      </c>
      <c r="N176" s="109">
        <f>L176-F176</f>
        <v>-19788.288236019915</v>
      </c>
      <c r="O176" s="163">
        <f>+SUM(START:END!O176)</f>
        <v>712</v>
      </c>
      <c r="P176" s="164">
        <f>+SUM(START:END!P176)</f>
        <v>145170.2399999999</v>
      </c>
      <c r="Q176" s="33">
        <f>+SUM(START:END!Q176)</f>
        <v>97488.879999999801</v>
      </c>
      <c r="R176" s="156">
        <f>IF(O176=0,0,J176/O176)</f>
        <v>0.88764044943820219</v>
      </c>
      <c r="S176" s="85">
        <f>L176-Q176</f>
        <v>-27538.949999999808</v>
      </c>
      <c r="T176" s="82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92"/>
        <v>Service% profit / ventes</v>
      </c>
      <c r="B177" s="11" t="s">
        <v>78</v>
      </c>
      <c r="C177" s="29" t="s">
        <v>82</v>
      </c>
      <c r="D177" s="485"/>
      <c r="E177" s="13"/>
      <c r="F177" s="157">
        <f>F176/E176</f>
        <v>0.66400000000000003</v>
      </c>
      <c r="G177" s="41"/>
      <c r="H177" s="13"/>
      <c r="I177" s="157" t="e">
        <f>I176/H176</f>
        <v>#DIV/0!</v>
      </c>
      <c r="J177" s="41"/>
      <c r="K177" s="13"/>
      <c r="L177" s="157">
        <f>L176/K176</f>
        <v>0.67414166356741079</v>
      </c>
      <c r="M177" s="42"/>
      <c r="N177" s="43"/>
      <c r="O177" s="41"/>
      <c r="P177" s="13"/>
      <c r="Q177" s="157">
        <f>Q176/P176</f>
        <v>0.67154865900889782</v>
      </c>
      <c r="R177" s="42"/>
      <c r="S177" s="44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1">
      <c r="A178" t="str">
        <f t="shared" si="92"/>
        <v>Service</v>
      </c>
      <c r="B178" s="11" t="s">
        <v>78</v>
      </c>
      <c r="C178" s="86"/>
      <c r="D178" s="486"/>
      <c r="E178" s="111"/>
      <c r="F178" s="159"/>
      <c r="G178" s="23"/>
      <c r="H178" s="111"/>
      <c r="I178" s="159"/>
      <c r="J178" s="23"/>
      <c r="K178" s="165"/>
      <c r="L178" s="159"/>
      <c r="M178" s="166"/>
      <c r="N178" s="167"/>
      <c r="O178" s="23"/>
      <c r="P178" s="165"/>
      <c r="Q178" s="159"/>
      <c r="R178" s="166"/>
      <c r="S178" s="168"/>
      <c r="T178" s="13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ref="A179:A185" si="93">+B179&amp;C179</f>
        <v>ServiceM/O Interne</v>
      </c>
      <c r="B179" s="11" t="s">
        <v>78</v>
      </c>
      <c r="C179" s="29" t="s">
        <v>84</v>
      </c>
      <c r="D179" s="485">
        <f>+SUM(START:END!D179)</f>
        <v>540</v>
      </c>
      <c r="E179" s="82">
        <f>+SUM(START:END!E179)</f>
        <v>216000</v>
      </c>
      <c r="F179" s="82">
        <f>+SUM(START:END!F179)</f>
        <v>162648</v>
      </c>
      <c r="G179" s="41">
        <f>+SUM(START:END!G179)</f>
        <v>0</v>
      </c>
      <c r="H179" s="82">
        <f>+SUM(START:END!H179)</f>
        <v>0</v>
      </c>
      <c r="I179" s="82">
        <f>+SUM(START:END!I179)</f>
        <v>0</v>
      </c>
      <c r="J179" s="60">
        <f>+SUM(START:END!J179)</f>
        <v>607</v>
      </c>
      <c r="K179" s="164">
        <f>+SUM(START:END!K179)</f>
        <v>174051.39</v>
      </c>
      <c r="L179" s="33">
        <f>+SUM(START:END!L179)</f>
        <v>135175.85</v>
      </c>
      <c r="M179" s="156">
        <f>(K179-E179)/E179</f>
        <v>-0.19420652777777772</v>
      </c>
      <c r="N179" s="59">
        <f>L179-F179</f>
        <v>-27472.149999999994</v>
      </c>
      <c r="O179" s="60">
        <f>+SUM(START:END!O179)</f>
        <v>442</v>
      </c>
      <c r="P179" s="164">
        <f>+SUM(START:END!P179)</f>
        <v>161264.1399999999</v>
      </c>
      <c r="Q179" s="33">
        <f>+SUM(START:END!Q179)</f>
        <v>119390.7999999999</v>
      </c>
      <c r="R179" s="156">
        <f>IF(O179=0,0,J179/O179)</f>
        <v>1.3733031674208145</v>
      </c>
      <c r="S179" s="85">
        <f>L179-Q179</f>
        <v>15785.050000000105</v>
      </c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93"/>
        <v>Service% profit / ventes</v>
      </c>
      <c r="B180" s="11" t="s">
        <v>78</v>
      </c>
      <c r="C180" s="29" t="s">
        <v>82</v>
      </c>
      <c r="D180" s="485"/>
      <c r="E180" s="143"/>
      <c r="F180" s="157">
        <f>F179/E179</f>
        <v>0.753</v>
      </c>
      <c r="G180" s="41"/>
      <c r="H180" s="143"/>
      <c r="I180" s="157" t="e">
        <f>I179/H179</f>
        <v>#DIV/0!</v>
      </c>
      <c r="J180" s="60"/>
      <c r="K180" s="143"/>
      <c r="L180" s="157">
        <f>L179/K179</f>
        <v>0.77664332356093213</v>
      </c>
      <c r="M180" s="156"/>
      <c r="N180" s="59">
        <f>L180-F180</f>
        <v>2.3643323560932128E-2</v>
      </c>
      <c r="O180" s="60"/>
      <c r="P180" s="143"/>
      <c r="Q180" s="157">
        <f>Q179/P179</f>
        <v>0.74034314138282686</v>
      </c>
      <c r="R180" s="60">
        <f>O180-K180</f>
        <v>0</v>
      </c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93"/>
        <v>Service</v>
      </c>
      <c r="B181" s="11" t="s">
        <v>78</v>
      </c>
      <c r="C181" s="29"/>
      <c r="D181" s="485"/>
      <c r="E181" s="169"/>
      <c r="F181" s="170"/>
      <c r="G181" s="41"/>
      <c r="H181" s="169"/>
      <c r="I181" s="159"/>
      <c r="J181" s="60"/>
      <c r="K181" s="450"/>
      <c r="L181" s="157"/>
      <c r="M181" s="156"/>
      <c r="N181" s="59"/>
      <c r="O181" s="60"/>
      <c r="P181" s="450"/>
      <c r="Q181" s="157"/>
      <c r="R181" s="171"/>
      <c r="S181" s="85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399999999999999">
      <c r="A182" t="str">
        <f t="shared" si="93"/>
        <v>ServiceM/O Esthétique</v>
      </c>
      <c r="B182" s="11" t="s">
        <v>78</v>
      </c>
      <c r="C182" s="14" t="s">
        <v>85</v>
      </c>
      <c r="D182" s="487">
        <f>+SUM(START:END!D182)</f>
        <v>117.92736160390479</v>
      </c>
      <c r="E182" s="82">
        <f>+SUM(START:END!E182)</f>
        <v>32430.024441073809</v>
      </c>
      <c r="F182" s="82">
        <f>+SUM(START:END!F182)</f>
        <v>23219.897499808845</v>
      </c>
      <c r="G182" s="107">
        <f>+SUM(START:END!G182)</f>
        <v>0</v>
      </c>
      <c r="H182" s="82">
        <f>+SUM(START:END!H182)</f>
        <v>0</v>
      </c>
      <c r="I182" s="82">
        <f>+SUM(START:END!I182)</f>
        <v>0</v>
      </c>
      <c r="J182" s="163">
        <f>+SUM(START:END!J182)</f>
        <v>74</v>
      </c>
      <c r="K182" s="164">
        <f>+SUM(START:END!K182)</f>
        <v>13277.100000000002</v>
      </c>
      <c r="L182" s="108">
        <f>+SUM(START:END!L182)</f>
        <v>9778.11</v>
      </c>
      <c r="M182" s="172">
        <f>IF(E182=0,0,(K182-E182)/E182)</f>
        <v>-0.59059235295598267</v>
      </c>
      <c r="N182" s="109">
        <f>L182-F182</f>
        <v>-13441.787499808845</v>
      </c>
      <c r="O182" s="163">
        <f>+SUM(START:END!O182)</f>
        <v>110</v>
      </c>
      <c r="P182" s="164">
        <f>+SUM(START:END!P182)</f>
        <v>19825.39</v>
      </c>
      <c r="Q182" s="108">
        <f>+SUM(START:END!Q182)</f>
        <v>15333.67</v>
      </c>
      <c r="R182" s="156">
        <f>IF(O182=0,0,J182/O182)</f>
        <v>0.67272727272727273</v>
      </c>
      <c r="S182" s="110">
        <f>L182-Q182</f>
        <v>-5555.5599999999995</v>
      </c>
      <c r="T182" s="8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93"/>
        <v>Service% profit / ventes</v>
      </c>
      <c r="B183" s="11" t="s">
        <v>78</v>
      </c>
      <c r="C183" s="29" t="s">
        <v>82</v>
      </c>
      <c r="D183" s="76"/>
      <c r="E183" s="173"/>
      <c r="F183" s="157">
        <f>IFERROR(F182/E182,0)</f>
        <v>0.71599999999999997</v>
      </c>
      <c r="G183" s="78"/>
      <c r="H183" s="173"/>
      <c r="I183" s="157">
        <f>IFERROR(I182/H182,0)</f>
        <v>0</v>
      </c>
      <c r="J183" s="174"/>
      <c r="K183" s="173"/>
      <c r="L183" s="157">
        <f>IFERROR(L182/K182,0)</f>
        <v>0.73646428813521014</v>
      </c>
      <c r="M183" s="60">
        <f>J183-D183</f>
        <v>0</v>
      </c>
      <c r="N183" s="175"/>
      <c r="O183" s="174"/>
      <c r="P183" s="173"/>
      <c r="Q183" s="157">
        <f>IFERROR(Q182/P182,0)</f>
        <v>0.77343598284825676</v>
      </c>
      <c r="R183" s="41"/>
      <c r="S183" s="176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>
      <c r="A184" t="str">
        <f t="shared" si="93"/>
        <v>Service</v>
      </c>
      <c r="B184" s="11" t="s">
        <v>78</v>
      </c>
      <c r="C184" s="86"/>
      <c r="D184" s="177"/>
      <c r="E184" s="178"/>
      <c r="F184" s="159"/>
      <c r="G184" s="179"/>
      <c r="H184" s="178"/>
      <c r="I184" s="159"/>
      <c r="J184" s="180"/>
      <c r="K184" s="25"/>
      <c r="L184" s="159"/>
      <c r="M184" s="160"/>
      <c r="N184" s="181"/>
      <c r="O184" s="180"/>
      <c r="P184" s="25"/>
      <c r="Q184" s="159"/>
      <c r="R184" s="23"/>
      <c r="S184" s="182"/>
      <c r="T184" s="112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Bot="1">
      <c r="A185" t="str">
        <f t="shared" si="93"/>
        <v>ServiceAjustement M/O</v>
      </c>
      <c r="B185" s="11" t="s">
        <v>78</v>
      </c>
      <c r="C185" s="29" t="s">
        <v>86</v>
      </c>
      <c r="D185" s="13"/>
      <c r="E185" s="13"/>
      <c r="F185" s="59">
        <f>+SUM(START:END!F185)</f>
        <v>-8455.3603102605739</v>
      </c>
      <c r="G185" s="41"/>
      <c r="H185" s="82"/>
      <c r="I185" s="82">
        <f>+SUM(START:END!I185)</f>
        <v>0</v>
      </c>
      <c r="J185" s="60"/>
      <c r="K185" s="82"/>
      <c r="L185" s="82">
        <f>+SUM(START:END!L185)</f>
        <v>-7598.83</v>
      </c>
      <c r="M185" s="174"/>
      <c r="N185" s="59">
        <f>L185-F185</f>
        <v>856.53031026057397</v>
      </c>
      <c r="O185" s="60"/>
      <c r="P185" s="82"/>
      <c r="Q185" s="82">
        <f>+SUM(START:END!Q185)</f>
        <v>-7875.89</v>
      </c>
      <c r="R185" s="183"/>
      <c r="S185" s="85">
        <f>L185-Q185</f>
        <v>277.0600000000004</v>
      </c>
      <c r="T185" s="13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.6" thickTop="1">
      <c r="A186" t="str">
        <f t="shared" ref="A186:A192" si="94">+B186&amp;C186</f>
        <v>ServiceSous-total M/O</v>
      </c>
      <c r="B186" s="11" t="s">
        <v>78</v>
      </c>
      <c r="C186" s="184" t="s">
        <v>87</v>
      </c>
      <c r="D186" s="185"/>
      <c r="E186" s="185">
        <f>E173+E176+E179+E182+E185</f>
        <v>579943.53917299502</v>
      </c>
      <c r="F186" s="186">
        <f>F173+F176+F179+F182+F185</f>
        <v>422279.57602996711</v>
      </c>
      <c r="G186" s="187"/>
      <c r="H186" s="185">
        <f>H173+H176+H179+H182+H185</f>
        <v>0</v>
      </c>
      <c r="I186" s="186">
        <f>I173+I176+I179+I182+I185</f>
        <v>0</v>
      </c>
      <c r="J186" s="187"/>
      <c r="K186" s="185">
        <f>K173+K176+K179+K182+K185</f>
        <v>501954.14</v>
      </c>
      <c r="L186" s="186">
        <f>L173+L176+L179+L182+L185</f>
        <v>372403.86</v>
      </c>
      <c r="M186" s="188">
        <f>(K186-E186)/E186</f>
        <v>-0.13447757222057966</v>
      </c>
      <c r="N186" s="186">
        <f>L186-F186</f>
        <v>-49875.716029967123</v>
      </c>
      <c r="O186" s="187"/>
      <c r="P186" s="185">
        <f>P173+P176+P179+P182+P185</f>
        <v>493506.01999999979</v>
      </c>
      <c r="Q186" s="186">
        <f>Q173+Q176+Q179+Q182+Q185</f>
        <v>355958.01999999967</v>
      </c>
      <c r="R186" s="42">
        <f>IF(O186=0,0,J186/O186)</f>
        <v>0</v>
      </c>
      <c r="S186" s="189">
        <f>L186-Q186</f>
        <v>16445.840000000317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94"/>
        <v>Service% protit / ventes</v>
      </c>
      <c r="B187" s="11" t="s">
        <v>78</v>
      </c>
      <c r="C187" s="190" t="s">
        <v>88</v>
      </c>
      <c r="D187" s="191"/>
      <c r="E187" s="191"/>
      <c r="F187" s="192">
        <f>F186/E186</f>
        <v>0.72813911614937854</v>
      </c>
      <c r="G187" s="193"/>
      <c r="H187" s="191"/>
      <c r="I187" s="43" t="e">
        <f>I186/H186</f>
        <v>#DIV/0!</v>
      </c>
      <c r="J187" s="193"/>
      <c r="K187" s="440"/>
      <c r="L187" s="43">
        <f>L186/K186</f>
        <v>0.74190813527307486</v>
      </c>
      <c r="M187" s="193"/>
      <c r="N187" s="192">
        <f>N186/F186</f>
        <v>-0.11811065194975873</v>
      </c>
      <c r="O187" s="193"/>
      <c r="P187" s="440"/>
      <c r="Q187" s="43">
        <f>Q186/P186</f>
        <v>0.7212840483688524</v>
      </c>
      <c r="R187" s="193"/>
      <c r="S187" s="44">
        <f>IF(R186=0,0,S186/R186)</f>
        <v>0</v>
      </c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94"/>
        <v>Service</v>
      </c>
      <c r="B188" s="11" t="s">
        <v>78</v>
      </c>
      <c r="C188" s="35"/>
      <c r="D188" s="194"/>
      <c r="E188" s="195"/>
      <c r="F188" s="196"/>
      <c r="G188" s="197"/>
      <c r="H188" s="195"/>
      <c r="I188" s="196"/>
      <c r="J188" s="197"/>
      <c r="K188" s="195"/>
      <c r="L188" s="196"/>
      <c r="M188" s="197"/>
      <c r="N188" s="196"/>
      <c r="O188" s="197"/>
      <c r="P188" s="195"/>
      <c r="Q188" s="196"/>
      <c r="R188" s="197"/>
      <c r="S188" s="198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94"/>
        <v>ServiceSous-traitement</v>
      </c>
      <c r="B189" s="11" t="s">
        <v>78</v>
      </c>
      <c r="C189" s="29" t="s">
        <v>89</v>
      </c>
      <c r="D189" s="82"/>
      <c r="E189" s="82">
        <f>+SUM(START:END!E189)</f>
        <v>17996.620123681692</v>
      </c>
      <c r="F189" s="82">
        <f>+SUM(START:END!F189)</f>
        <v>2699.4930185522539</v>
      </c>
      <c r="G189" s="60"/>
      <c r="H189" s="82">
        <f>+SUM(START:END!H189)</f>
        <v>0</v>
      </c>
      <c r="I189" s="82">
        <f>+SUM(START:END!I189)</f>
        <v>0</v>
      </c>
      <c r="J189" s="60"/>
      <c r="K189" s="30">
        <f>+SUM(START:END!K189)</f>
        <v>25539.899999999998</v>
      </c>
      <c r="L189" s="33">
        <f>+SUM(START:END!L189)</f>
        <v>4295.4799999999977</v>
      </c>
      <c r="M189" s="84">
        <f>IF(E189=0,0,(K189-E189)/E189)</f>
        <v>0.41914980837941501</v>
      </c>
      <c r="N189" s="59">
        <f>L189-F189</f>
        <v>1595.9869814477438</v>
      </c>
      <c r="O189" s="60"/>
      <c r="P189" s="30">
        <f>+SUM(START:END!P189)</f>
        <v>29096.89</v>
      </c>
      <c r="Q189" s="33">
        <f>+SUM(START:END!Q189)</f>
        <v>3896.2500000000009</v>
      </c>
      <c r="R189" s="156">
        <f>IF(O189=0,0,J189/O189)</f>
        <v>0</v>
      </c>
      <c r="S189" s="85">
        <f>L189-Q189</f>
        <v>399.22999999999683</v>
      </c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>
      <c r="A190" t="str">
        <f t="shared" si="94"/>
        <v>Service% profit / ventes</v>
      </c>
      <c r="B190" s="11" t="s">
        <v>78</v>
      </c>
      <c r="C190" s="29" t="s">
        <v>82</v>
      </c>
      <c r="D190" s="13"/>
      <c r="E190" s="143"/>
      <c r="F190" s="157">
        <f>IFERROR(F189/E189,0)</f>
        <v>0.15</v>
      </c>
      <c r="G190" s="41"/>
      <c r="H190" s="143"/>
      <c r="I190" s="157">
        <f>IFERROR(I189/H189,0)</f>
        <v>0</v>
      </c>
      <c r="J190" s="174"/>
      <c r="K190" s="173"/>
      <c r="L190" s="157">
        <f>IFERROR(L189/K189,0)</f>
        <v>0.16818703283881292</v>
      </c>
      <c r="M190" s="174"/>
      <c r="N190" s="175"/>
      <c r="O190" s="174"/>
      <c r="P190" s="173"/>
      <c r="Q190" s="157">
        <f>IFERROR(Q189/P189,0)</f>
        <v>0.13390606350025727</v>
      </c>
      <c r="R190" s="174"/>
      <c r="S190" s="176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94"/>
        <v>Service</v>
      </c>
      <c r="B191" s="11" t="s">
        <v>78</v>
      </c>
      <c r="C191" s="29"/>
      <c r="D191" s="13"/>
      <c r="E191" s="143"/>
      <c r="F191" s="157"/>
      <c r="G191" s="41"/>
      <c r="H191" s="143"/>
      <c r="I191" s="157"/>
      <c r="J191" s="174"/>
      <c r="K191" s="173"/>
      <c r="L191" s="157"/>
      <c r="M191" s="174"/>
      <c r="N191" s="175"/>
      <c r="O191" s="174"/>
      <c r="P191" s="173"/>
      <c r="Q191" s="157"/>
      <c r="R191" s="174"/>
      <c r="S191" s="176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94"/>
        <v>ServiceM.O. Recond. MCPA</v>
      </c>
      <c r="B192" s="11" t="s">
        <v>78</v>
      </c>
      <c r="C192" s="29" t="s">
        <v>90</v>
      </c>
      <c r="D192" s="13"/>
      <c r="E192" s="82">
        <f>+SUM(START:END!E192)</f>
        <v>0</v>
      </c>
      <c r="F192" s="82">
        <f>+SUM(START:END!F192)</f>
        <v>0</v>
      </c>
      <c r="G192" s="41"/>
      <c r="H192" s="82">
        <f>+SUM(START:END!H192)</f>
        <v>0</v>
      </c>
      <c r="I192" s="82">
        <f>+SUM(START:END!I192)</f>
        <v>0</v>
      </c>
      <c r="J192" s="174"/>
      <c r="K192" s="30">
        <f>+SUM(START:END!K192)</f>
        <v>0</v>
      </c>
      <c r="L192" s="157">
        <f>+SUM(START:END!L192)</f>
        <v>0</v>
      </c>
      <c r="M192" s="174"/>
      <c r="N192" s="175"/>
      <c r="O192" s="174"/>
      <c r="P192" s="30">
        <f>+SUM(START:END!P192)</f>
        <v>0</v>
      </c>
      <c r="Q192" s="157">
        <f>+SUM(START:END!Q192)</f>
        <v>0</v>
      </c>
      <c r="R192" s="174"/>
      <c r="S192" s="176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hidden="1">
      <c r="A193" t="str">
        <f t="shared" ref="A193:A199" si="95">+B193&amp;C193</f>
        <v>Service% profit / ventes</v>
      </c>
      <c r="B193" s="11" t="s">
        <v>78</v>
      </c>
      <c r="C193" s="29" t="s">
        <v>82</v>
      </c>
      <c r="D193" s="13"/>
      <c r="E193" s="143"/>
      <c r="F193" s="157">
        <f>IF(F192=0,0,F192/E192)</f>
        <v>0</v>
      </c>
      <c r="G193" s="41"/>
      <c r="H193" s="143"/>
      <c r="I193" s="157">
        <f>IF(I192=0,0,I192/H192)</f>
        <v>0</v>
      </c>
      <c r="J193" s="174"/>
      <c r="K193" s="173"/>
      <c r="L193" s="157">
        <f>IF(L192=0,0,L192/K192)</f>
        <v>0</v>
      </c>
      <c r="M193" s="174"/>
      <c r="N193" s="175"/>
      <c r="O193" s="174"/>
      <c r="P193" s="173"/>
      <c r="Q193" s="157">
        <f>IF(Q192=0,0,Q192/P192)</f>
        <v>0</v>
      </c>
      <c r="R193" s="174"/>
      <c r="S193" s="176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Bot="1">
      <c r="A194" t="str">
        <f t="shared" si="95"/>
        <v>Service</v>
      </c>
      <c r="B194" s="11" t="s">
        <v>78</v>
      </c>
      <c r="C194" s="199"/>
      <c r="D194" s="200"/>
      <c r="E194" s="201"/>
      <c r="F194" s="202"/>
      <c r="G194" s="203"/>
      <c r="H194" s="201"/>
      <c r="I194" s="202"/>
      <c r="J194" s="203"/>
      <c r="K194" s="201"/>
      <c r="L194" s="202"/>
      <c r="M194" s="203"/>
      <c r="N194" s="202"/>
      <c r="O194" s="203"/>
      <c r="P194" s="201"/>
      <c r="Q194" s="202"/>
      <c r="R194" s="203"/>
      <c r="S194" s="204"/>
      <c r="T194" s="112"/>
      <c r="U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Top="1">
      <c r="A195" t="str">
        <f t="shared" si="95"/>
        <v>ServiceTotal Mécanique</v>
      </c>
      <c r="B195" s="11" t="s">
        <v>78</v>
      </c>
      <c r="C195" s="62" t="s">
        <v>91</v>
      </c>
      <c r="D195" s="63"/>
      <c r="E195" s="63">
        <f>E186+E189+E192</f>
        <v>597940.15929667675</v>
      </c>
      <c r="F195" s="65">
        <f>F186+F189+F192</f>
        <v>424979.06904851936</v>
      </c>
      <c r="G195" s="66"/>
      <c r="H195" s="63">
        <f>H186+H189+H192</f>
        <v>0</v>
      </c>
      <c r="I195" s="65">
        <f>I186+I189+I192</f>
        <v>0</v>
      </c>
      <c r="J195" s="66"/>
      <c r="K195" s="63">
        <f>K186+K189+K192</f>
        <v>527494.04</v>
      </c>
      <c r="L195" s="65">
        <f>L186+L189+L192</f>
        <v>376699.33999999997</v>
      </c>
      <c r="M195" s="205">
        <f>L196-F196</f>
        <v>3.3915784489365608E-3</v>
      </c>
      <c r="N195" s="65">
        <f>L195-F195</f>
        <v>-48279.729048519395</v>
      </c>
      <c r="O195" s="66"/>
      <c r="P195" s="63">
        <f>P186+P189+P192</f>
        <v>522602.9099999998</v>
      </c>
      <c r="Q195" s="65">
        <f>Q186+Q189+Q192</f>
        <v>359854.26999999967</v>
      </c>
      <c r="R195" s="205">
        <f>L196-Q196</f>
        <v>2.5549354741228325E-2</v>
      </c>
      <c r="S195" s="68">
        <f>L195-Q195</f>
        <v>16845.070000000298</v>
      </c>
      <c r="T195" s="112"/>
      <c r="U195" s="13"/>
      <c r="W195" s="11"/>
      <c r="X195" s="48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Bot="1">
      <c r="A196" t="str">
        <f t="shared" si="95"/>
        <v>Service</v>
      </c>
      <c r="B196" s="11" t="s">
        <v>78</v>
      </c>
      <c r="C196" s="69"/>
      <c r="D196" s="70"/>
      <c r="E196" s="70"/>
      <c r="F196" s="74">
        <f>F195/E195</f>
        <v>0.71073846176914801</v>
      </c>
      <c r="G196" s="72"/>
      <c r="H196" s="70"/>
      <c r="I196" s="74" t="e">
        <f>I195/H195</f>
        <v>#DIV/0!</v>
      </c>
      <c r="J196" s="72"/>
      <c r="K196" s="70"/>
      <c r="L196" s="74">
        <f>L195/K195</f>
        <v>0.71413004021808457</v>
      </c>
      <c r="M196" s="73"/>
      <c r="N196" s="74">
        <f>N195/F195</f>
        <v>-0.11360495743146201</v>
      </c>
      <c r="O196" s="72"/>
      <c r="P196" s="70"/>
      <c r="Q196" s="74">
        <f>Q195/P195</f>
        <v>0.68858068547685625</v>
      </c>
      <c r="R196" s="73"/>
      <c r="S196" s="75">
        <f>L195/S195</f>
        <v>22.362586798392247</v>
      </c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.6" thickTop="1">
      <c r="A197" t="str">
        <f t="shared" si="95"/>
        <v>Service</v>
      </c>
      <c r="B197" s="11" t="s">
        <v>78</v>
      </c>
      <c r="C197" s="53"/>
      <c r="D197" s="76"/>
      <c r="E197" s="76"/>
      <c r="F197" s="43"/>
      <c r="G197" s="78"/>
      <c r="H197" s="76"/>
      <c r="I197" s="43"/>
      <c r="J197" s="78"/>
      <c r="K197" s="76"/>
      <c r="L197" s="461"/>
      <c r="M197" s="42"/>
      <c r="N197" s="43"/>
      <c r="O197" s="78"/>
      <c r="P197" s="76"/>
      <c r="Q197" s="43"/>
      <c r="R197" s="42"/>
      <c r="S197" s="44"/>
      <c r="T197" s="76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1">
      <c r="A198" t="str">
        <f t="shared" si="95"/>
        <v>ServiceDEPENSES</v>
      </c>
      <c r="B198" s="11" t="s">
        <v>78</v>
      </c>
      <c r="C198" s="79" t="s">
        <v>29</v>
      </c>
      <c r="D198" s="13"/>
      <c r="E198" s="13"/>
      <c r="F198" s="59"/>
      <c r="G198" s="41"/>
      <c r="H198" s="13"/>
      <c r="I198" s="59"/>
      <c r="J198" s="41"/>
      <c r="K198" s="13"/>
      <c r="L198" s="40"/>
      <c r="M198" s="41"/>
      <c r="N198" s="40"/>
      <c r="O198" s="41"/>
      <c r="P198" s="13"/>
      <c r="Q198" s="40"/>
      <c r="R198" s="41"/>
      <c r="S198" s="61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95"/>
        <v>ServiceSalaires cadres</v>
      </c>
      <c r="B199" s="11" t="s">
        <v>78</v>
      </c>
      <c r="C199" s="102" t="s">
        <v>40</v>
      </c>
      <c r="D199" s="13"/>
      <c r="E199" s="13"/>
      <c r="F199" s="30">
        <f>+SUM(START:END!F199)</f>
        <v>32825.54389232945</v>
      </c>
      <c r="G199" s="41"/>
      <c r="H199" s="13"/>
      <c r="I199" s="30">
        <f>+SUM(START:END!I199)</f>
        <v>0</v>
      </c>
      <c r="J199" s="41"/>
      <c r="K199" s="13"/>
      <c r="L199" s="33">
        <f>+SUM(START:END!L199)</f>
        <v>29224.04</v>
      </c>
      <c r="M199" s="41"/>
      <c r="N199" s="59">
        <f t="shared" ref="N199:N230" si="96">L199-F199</f>
        <v>-3601.5038923294487</v>
      </c>
      <c r="O199" s="41"/>
      <c r="P199" s="13"/>
      <c r="Q199" s="33">
        <f>+SUM(START:END!Q199)</f>
        <v>37042.310000000005</v>
      </c>
      <c r="R199" s="41"/>
      <c r="S199" s="85">
        <f t="shared" ref="S199:S204" si="97">L199-Q199</f>
        <v>-7818.2700000000041</v>
      </c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ref="A200:A206" si="98">+B200&amp;C200</f>
        <v>ServiceSalaires commis</v>
      </c>
      <c r="B200" s="11" t="s">
        <v>78</v>
      </c>
      <c r="C200" s="103" t="s">
        <v>41</v>
      </c>
      <c r="D200" s="81"/>
      <c r="E200" s="13"/>
      <c r="F200" s="22">
        <f>+SUM(START:END!F200)</f>
        <v>15870.853786977068</v>
      </c>
      <c r="G200" s="83"/>
      <c r="H200" s="13"/>
      <c r="I200" s="22">
        <f>+SUM(START:END!I200)</f>
        <v>0</v>
      </c>
      <c r="J200" s="41"/>
      <c r="K200" s="13"/>
      <c r="L200" s="33">
        <f>+SUM(START:END!L200)</f>
        <v>6692.27</v>
      </c>
      <c r="M200" s="41"/>
      <c r="N200" s="59">
        <f t="shared" si="96"/>
        <v>-9178.5837869770676</v>
      </c>
      <c r="O200" s="41"/>
      <c r="P200" s="13"/>
      <c r="Q200" s="33">
        <f>+SUM(START:END!Q200)</f>
        <v>14537.449999999999</v>
      </c>
      <c r="R200" s="41"/>
      <c r="S200" s="85">
        <f t="shared" si="97"/>
        <v>-7845.1799999999985</v>
      </c>
      <c r="T200" s="13"/>
      <c r="U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98"/>
        <v>ServiceSalaires autres</v>
      </c>
      <c r="B201" s="11" t="s">
        <v>78</v>
      </c>
      <c r="C201" s="102" t="s">
        <v>42</v>
      </c>
      <c r="D201" s="104"/>
      <c r="E201" s="105"/>
      <c r="F201" s="30">
        <f>+SUM(START:END!F201)</f>
        <v>41649.790414737836</v>
      </c>
      <c r="G201" s="106"/>
      <c r="H201" s="105"/>
      <c r="I201" s="30">
        <f>+SUM(START:END!I201)</f>
        <v>0</v>
      </c>
      <c r="J201" s="107"/>
      <c r="K201" s="105"/>
      <c r="L201" s="108">
        <f>+SUM(START:END!L201)</f>
        <v>37440.68</v>
      </c>
      <c r="M201" s="107"/>
      <c r="N201" s="109">
        <f t="shared" si="96"/>
        <v>-4209.1104147378355</v>
      </c>
      <c r="O201" s="107"/>
      <c r="P201" s="105"/>
      <c r="Q201" s="108">
        <f>+SUM(START:END!Q201)</f>
        <v>15154.349999999999</v>
      </c>
      <c r="R201" s="107"/>
      <c r="S201" s="110">
        <f t="shared" si="97"/>
        <v>22286.33</v>
      </c>
      <c r="T201" s="13"/>
      <c r="U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>
      <c r="A202" t="str">
        <f t="shared" si="98"/>
        <v>ServiceSalaires spécialistes</v>
      </c>
      <c r="B202" s="11" t="s">
        <v>78</v>
      </c>
      <c r="C202" s="102" t="s">
        <v>43</v>
      </c>
      <c r="D202" s="81"/>
      <c r="E202" s="13"/>
      <c r="F202" s="30">
        <f>+SUM(START:END!F202)</f>
        <v>46027.45977011494</v>
      </c>
      <c r="G202" s="83"/>
      <c r="H202" s="13"/>
      <c r="I202" s="30">
        <f>+SUM(START:END!I202)</f>
        <v>0</v>
      </c>
      <c r="J202" s="41"/>
      <c r="K202" s="13"/>
      <c r="L202" s="33">
        <f>+SUM(START:END!L202)</f>
        <v>37244.229999999996</v>
      </c>
      <c r="M202" s="41"/>
      <c r="N202" s="59">
        <f t="shared" si="96"/>
        <v>-8783.2297701149437</v>
      </c>
      <c r="O202" s="41"/>
      <c r="P202" s="13"/>
      <c r="Q202" s="33">
        <f>+SUM(START:END!Q202)</f>
        <v>42786.59</v>
      </c>
      <c r="R202" s="41"/>
      <c r="S202" s="85">
        <f t="shared" si="97"/>
        <v>-5542.3600000000006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98"/>
        <v>Service[...]</v>
      </c>
      <c r="B203" s="11" t="s">
        <v>78</v>
      </c>
      <c r="C203" s="29" t="s">
        <v>19</v>
      </c>
      <c r="D203" s="81"/>
      <c r="E203" s="13"/>
      <c r="F203" s="30">
        <f>+SUM(START:END!F203)</f>
        <v>0</v>
      </c>
      <c r="G203" s="83"/>
      <c r="H203" s="13"/>
      <c r="I203" s="30">
        <f>+SUM(START:END!I203)</f>
        <v>0</v>
      </c>
      <c r="J203" s="41"/>
      <c r="K203" s="13"/>
      <c r="L203" s="33">
        <f>+SUM(START:END!L203)</f>
        <v>0</v>
      </c>
      <c r="M203" s="41"/>
      <c r="N203" s="59">
        <f t="shared" si="96"/>
        <v>0</v>
      </c>
      <c r="O203" s="41"/>
      <c r="P203" s="13"/>
      <c r="Q203" s="33">
        <f>+SUM(START:END!Q203)</f>
        <v>0</v>
      </c>
      <c r="R203" s="41"/>
      <c r="S203" s="85">
        <f t="shared" si="97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98"/>
        <v>Service[...]</v>
      </c>
      <c r="B204" s="11" t="s">
        <v>78</v>
      </c>
      <c r="C204" s="29" t="s">
        <v>19</v>
      </c>
      <c r="D204" s="81"/>
      <c r="E204" s="13"/>
      <c r="F204" s="30">
        <f>+SUM(START:END!F204)</f>
        <v>0</v>
      </c>
      <c r="G204" s="83"/>
      <c r="H204" s="13"/>
      <c r="I204" s="30">
        <f>+SUM(START:END!I204)</f>
        <v>0</v>
      </c>
      <c r="J204" s="41"/>
      <c r="K204" s="13"/>
      <c r="L204" s="33">
        <f>+SUM(START:END!L204)</f>
        <v>0</v>
      </c>
      <c r="M204" s="41"/>
      <c r="N204" s="59">
        <f t="shared" si="96"/>
        <v>0</v>
      </c>
      <c r="O204" s="41"/>
      <c r="P204" s="13"/>
      <c r="Q204" s="33">
        <f>+SUM(START:END!Q204)</f>
        <v>0</v>
      </c>
      <c r="R204" s="41"/>
      <c r="S204" s="85">
        <f t="shared" si="97"/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 hidden="1">
      <c r="A205" t="str">
        <f t="shared" si="98"/>
        <v>Service[...]</v>
      </c>
      <c r="B205" s="11" t="s">
        <v>78</v>
      </c>
      <c r="C205" s="29" t="s">
        <v>19</v>
      </c>
      <c r="D205" s="81"/>
      <c r="E205" s="13"/>
      <c r="F205" s="30">
        <f>+SUM(START:END!F205)</f>
        <v>0</v>
      </c>
      <c r="G205" s="83"/>
      <c r="H205" s="13"/>
      <c r="I205" s="30">
        <f>+SUM(START:END!I205)</f>
        <v>0</v>
      </c>
      <c r="J205" s="41"/>
      <c r="K205" s="13"/>
      <c r="L205" s="33">
        <f>+SUM(START:END!L205)</f>
        <v>0</v>
      </c>
      <c r="M205" s="41"/>
      <c r="N205" s="59">
        <f t="shared" si="96"/>
        <v>0</v>
      </c>
      <c r="O205" s="41"/>
      <c r="P205" s="13"/>
      <c r="Q205" s="33">
        <f>+SUM(START:END!Q205)</f>
        <v>0</v>
      </c>
      <c r="R205" s="41"/>
      <c r="S205" s="85">
        <f>L205-Q205</f>
        <v>0</v>
      </c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98"/>
        <v>ServiceSalaires en absences</v>
      </c>
      <c r="B206" s="11" t="s">
        <v>78</v>
      </c>
      <c r="C206" s="103" t="s">
        <v>44</v>
      </c>
      <c r="D206" s="81"/>
      <c r="E206" s="13"/>
      <c r="F206" s="30">
        <f>+SUM(START:END!F206)</f>
        <v>39398.893369648169</v>
      </c>
      <c r="G206" s="83"/>
      <c r="H206" s="13"/>
      <c r="I206" s="30">
        <f>+SUM(START:END!I206)</f>
        <v>0</v>
      </c>
      <c r="J206" s="41"/>
      <c r="K206" s="13"/>
      <c r="L206" s="33">
        <f>+SUM(START:END!L206)</f>
        <v>31591.620000000003</v>
      </c>
      <c r="M206" s="41"/>
      <c r="N206" s="59">
        <f t="shared" si="96"/>
        <v>-7807.2733696481664</v>
      </c>
      <c r="O206" s="41"/>
      <c r="P206" s="13"/>
      <c r="Q206" s="33">
        <f>+SUM(START:END!Q206)</f>
        <v>32930.740000000005</v>
      </c>
      <c r="R206" s="41"/>
      <c r="S206" s="85">
        <f>L206-Q206</f>
        <v>-1339.1200000000026</v>
      </c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ref="A207:A213" si="99">+B207&amp;C207</f>
        <v>ServiceDéduction à la source</v>
      </c>
      <c r="B207" s="11" t="s">
        <v>78</v>
      </c>
      <c r="C207" s="102" t="s">
        <v>45</v>
      </c>
      <c r="D207" s="104"/>
      <c r="E207" s="105"/>
      <c r="F207" s="55">
        <f>+SUM(START:END!F207)</f>
        <v>40212.930070157177</v>
      </c>
      <c r="G207" s="106"/>
      <c r="H207" s="105"/>
      <c r="I207" s="55">
        <f>+SUM(START:END!I207)</f>
        <v>0</v>
      </c>
      <c r="J207" s="107"/>
      <c r="K207" s="105"/>
      <c r="L207" s="108">
        <f>+SUM(START:END!L207)</f>
        <v>38610.54</v>
      </c>
      <c r="M207" s="107"/>
      <c r="N207" s="109">
        <f t="shared" si="96"/>
        <v>-1602.3900701571765</v>
      </c>
      <c r="O207" s="107"/>
      <c r="P207" s="105"/>
      <c r="Q207" s="108">
        <f>+SUM(START:END!Q207)</f>
        <v>41066.720000000001</v>
      </c>
      <c r="R207" s="107"/>
      <c r="S207" s="110">
        <f t="shared" ref="S207:S217" si="100">L207-Q207</f>
        <v>-2456.1800000000003</v>
      </c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99"/>
        <v>ServiceBénéfices marginaux</v>
      </c>
      <c r="B208" s="11" t="s">
        <v>78</v>
      </c>
      <c r="C208" s="102" t="s">
        <v>46</v>
      </c>
      <c r="D208" s="81"/>
      <c r="E208" s="13"/>
      <c r="F208" s="30">
        <f>+SUM(START:END!F208)</f>
        <v>30079.043012333161</v>
      </c>
      <c r="G208" s="83"/>
      <c r="H208" s="13"/>
      <c r="I208" s="30">
        <f>+SUM(START:END!I208)</f>
        <v>0</v>
      </c>
      <c r="J208" s="41"/>
      <c r="K208" s="13"/>
      <c r="L208" s="33">
        <f>+SUM(START:END!L208)</f>
        <v>17483.79</v>
      </c>
      <c r="M208" s="41"/>
      <c r="N208" s="59">
        <f t="shared" si="96"/>
        <v>-12595.25301233316</v>
      </c>
      <c r="O208" s="41"/>
      <c r="P208" s="13"/>
      <c r="Q208" s="33">
        <f>+SUM(START:END!Q208)</f>
        <v>19645.54</v>
      </c>
      <c r="R208" s="41"/>
      <c r="S208" s="85">
        <f t="shared" si="100"/>
        <v>-2161.75</v>
      </c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>
      <c r="A209" t="str">
        <f t="shared" si="99"/>
        <v>ServiceCsst</v>
      </c>
      <c r="B209" s="11" t="s">
        <v>78</v>
      </c>
      <c r="C209" s="102" t="s">
        <v>47</v>
      </c>
      <c r="D209" s="81"/>
      <c r="E209" s="13"/>
      <c r="F209" s="30">
        <f>+SUM(START:END!F209)</f>
        <v>7984.1446782466155</v>
      </c>
      <c r="G209" s="83"/>
      <c r="H209" s="13"/>
      <c r="I209" s="30">
        <f>+SUM(START:END!I209)</f>
        <v>0</v>
      </c>
      <c r="J209" s="41"/>
      <c r="K209" s="13"/>
      <c r="L209" s="33">
        <f>+SUM(START:END!L209)</f>
        <v>4858.2699999999995</v>
      </c>
      <c r="M209" s="462"/>
      <c r="N209" s="145">
        <f t="shared" si="96"/>
        <v>-3125.874678246616</v>
      </c>
      <c r="O209" s="462"/>
      <c r="P209" s="463"/>
      <c r="Q209" s="22">
        <f>+SUM(START:END!Q209)</f>
        <v>6893.85</v>
      </c>
      <c r="R209" s="462"/>
      <c r="S209" s="464">
        <f t="shared" si="100"/>
        <v>-2035.5800000000008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399999999999999" hidden="1">
      <c r="A210" t="str">
        <f t="shared" si="99"/>
        <v>Service[...]</v>
      </c>
      <c r="B210" s="11" t="s">
        <v>78</v>
      </c>
      <c r="C210" s="29" t="s">
        <v>19</v>
      </c>
      <c r="D210" s="87"/>
      <c r="E210" s="111"/>
      <c r="F210" s="30">
        <f>+SUM(START:END!F210)</f>
        <v>0</v>
      </c>
      <c r="G210" s="89"/>
      <c r="H210" s="111"/>
      <c r="I210" s="30">
        <f>+SUM(START:END!I210)</f>
        <v>0</v>
      </c>
      <c r="J210" s="23"/>
      <c r="K210" s="111"/>
      <c r="L210" s="33">
        <f>+SUM(START:END!L210)</f>
        <v>0</v>
      </c>
      <c r="M210" s="23"/>
      <c r="N210" s="91">
        <f t="shared" si="96"/>
        <v>0</v>
      </c>
      <c r="O210" s="23"/>
      <c r="P210" s="111"/>
      <c r="Q210" s="33">
        <f>+SUM(START:END!Q210)</f>
        <v>0</v>
      </c>
      <c r="R210" s="23"/>
      <c r="S210" s="92">
        <f t="shared" si="100"/>
        <v>0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1">
      <c r="A211" t="str">
        <f t="shared" si="99"/>
        <v>ServiceTOTAL PERSONNEL</v>
      </c>
      <c r="B211" s="11" t="s">
        <v>78</v>
      </c>
      <c r="C211" s="93" t="s">
        <v>48</v>
      </c>
      <c r="D211" s="94" t="s">
        <v>92</v>
      </c>
      <c r="E211" s="95" t="e">
        <f>F211/F$194</f>
        <v>#DIV/0!</v>
      </c>
      <c r="F211" s="96">
        <f>+SUM(F199:F210)</f>
        <v>254048.65899454438</v>
      </c>
      <c r="G211" s="97" t="s">
        <v>92</v>
      </c>
      <c r="H211" s="95" t="e">
        <f>I211/I$194</f>
        <v>#DIV/0!</v>
      </c>
      <c r="I211" s="96">
        <f>+SUM(I199:I210)</f>
        <v>0</v>
      </c>
      <c r="J211" s="97" t="s">
        <v>92</v>
      </c>
      <c r="K211" s="95" t="e">
        <f>L211/L$194</f>
        <v>#DIV/0!</v>
      </c>
      <c r="L211" s="96">
        <f>+SUM(L199:L210)</f>
        <v>203145.44</v>
      </c>
      <c r="M211" s="146"/>
      <c r="N211" s="113">
        <f t="shared" si="96"/>
        <v>-50903.218994544382</v>
      </c>
      <c r="O211" s="97" t="s">
        <v>92</v>
      </c>
      <c r="P211" s="95" t="e">
        <f>Q211/Q$194</f>
        <v>#DIV/0!</v>
      </c>
      <c r="Q211" s="96">
        <f>+SUM(Q199:Q210)</f>
        <v>210057.55000000002</v>
      </c>
      <c r="R211" s="146"/>
      <c r="S211" s="114">
        <f t="shared" si="100"/>
        <v>-6912.1100000000151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99"/>
        <v>ServicePublicité 2</v>
      </c>
      <c r="B212" s="11" t="s">
        <v>78</v>
      </c>
      <c r="C212" s="29" t="s">
        <v>49</v>
      </c>
      <c r="D212" s="81"/>
      <c r="E212" s="13"/>
      <c r="F212" s="30">
        <f>+SUM(START:END!F212)</f>
        <v>5167.031210300097</v>
      </c>
      <c r="G212" s="83"/>
      <c r="H212" s="13"/>
      <c r="I212" s="30">
        <f>+SUM(START:END!I212)</f>
        <v>0</v>
      </c>
      <c r="J212" s="41"/>
      <c r="K212" s="13"/>
      <c r="L212" s="33">
        <f>+SUM(START:END!L212)</f>
        <v>3297.15</v>
      </c>
      <c r="M212" s="41"/>
      <c r="N212" s="59">
        <f t="shared" si="96"/>
        <v>-1869.8812103000969</v>
      </c>
      <c r="O212" s="41"/>
      <c r="P212" s="13"/>
      <c r="Q212" s="33">
        <f>+SUM(START:END!Q212)</f>
        <v>13526.48</v>
      </c>
      <c r="R212" s="41"/>
      <c r="S212" s="85">
        <f t="shared" si="100"/>
        <v>-10229.33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99"/>
        <v>ServiceService gratuit 2</v>
      </c>
      <c r="B213" s="11" t="s">
        <v>78</v>
      </c>
      <c r="C213" s="29" t="s">
        <v>50</v>
      </c>
      <c r="D213" s="81"/>
      <c r="E213" s="13"/>
      <c r="F213" s="30">
        <f>+SUM(START:END!F213)</f>
        <v>11250</v>
      </c>
      <c r="G213" s="83"/>
      <c r="H213" s="13"/>
      <c r="I213" s="30">
        <f>+SUM(START:END!I213)</f>
        <v>0</v>
      </c>
      <c r="J213" s="41"/>
      <c r="K213" s="13"/>
      <c r="L213" s="33">
        <f>+SUM(START:END!L213)</f>
        <v>13093.7</v>
      </c>
      <c r="M213" s="41"/>
      <c r="N213" s="59">
        <f t="shared" si="96"/>
        <v>1843.7000000000007</v>
      </c>
      <c r="O213" s="41"/>
      <c r="P213" s="13"/>
      <c r="Q213" s="33">
        <f>+SUM(START:END!Q213)</f>
        <v>10036.48</v>
      </c>
      <c r="R213" s="41"/>
      <c r="S213" s="85">
        <f t="shared" si="100"/>
        <v>3057.2200000000012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ref="A214:A220" si="101">+B214&amp;C214</f>
        <v>ServiceFrais véhicules de cie</v>
      </c>
      <c r="B214" s="11" t="s">
        <v>78</v>
      </c>
      <c r="C214" s="86" t="s">
        <v>51</v>
      </c>
      <c r="D214" s="87"/>
      <c r="E214" s="111"/>
      <c r="F214" s="22">
        <f>+SUM(START:END!F214)</f>
        <v>22359.750000000004</v>
      </c>
      <c r="G214" s="89"/>
      <c r="H214" s="111"/>
      <c r="I214" s="22">
        <f>+SUM(START:END!I214)</f>
        <v>0</v>
      </c>
      <c r="J214" s="23"/>
      <c r="K214" s="111"/>
      <c r="L214" s="33">
        <f>+SUM(START:END!L214)</f>
        <v>24567.279999999999</v>
      </c>
      <c r="M214" s="23"/>
      <c r="N214" s="91">
        <f t="shared" si="96"/>
        <v>2207.5299999999952</v>
      </c>
      <c r="O214" s="23"/>
      <c r="P214" s="111"/>
      <c r="Q214" s="33">
        <f>+SUM(START:END!Q214)</f>
        <v>18402.96</v>
      </c>
      <c r="R214" s="23"/>
      <c r="S214" s="92">
        <f t="shared" si="100"/>
        <v>6164.32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101"/>
        <v>ServiceInformatique</v>
      </c>
      <c r="B215" s="11" t="s">
        <v>78</v>
      </c>
      <c r="C215" s="29" t="s">
        <v>52</v>
      </c>
      <c r="D215" s="81"/>
      <c r="E215" s="13"/>
      <c r="F215" s="30">
        <f>+SUM(START:END!F215)</f>
        <v>19909.232499999998</v>
      </c>
      <c r="G215" s="83"/>
      <c r="H215" s="13"/>
      <c r="I215" s="30">
        <f>+SUM(START:END!I215)</f>
        <v>0</v>
      </c>
      <c r="J215" s="41"/>
      <c r="K215" s="13"/>
      <c r="L215" s="108">
        <f>+SUM(START:END!L215)</f>
        <v>20370.23</v>
      </c>
      <c r="M215" s="41"/>
      <c r="N215" s="59">
        <f t="shared" si="96"/>
        <v>460.99750000000131</v>
      </c>
      <c r="O215" s="41"/>
      <c r="P215" s="13"/>
      <c r="Q215" s="108">
        <f>+SUM(START:END!Q215)</f>
        <v>19310.989999999998</v>
      </c>
      <c r="R215" s="41"/>
      <c r="S215" s="85">
        <f t="shared" si="100"/>
        <v>1059.2400000000016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101"/>
        <v>ServiceFrais de déplacement</v>
      </c>
      <c r="B216" s="11" t="s">
        <v>78</v>
      </c>
      <c r="C216" s="29" t="s">
        <v>53</v>
      </c>
      <c r="D216" s="81"/>
      <c r="E216" s="13"/>
      <c r="F216" s="30">
        <f>+SUM(START:END!F216)</f>
        <v>3993.75</v>
      </c>
      <c r="G216" s="83"/>
      <c r="H216" s="13"/>
      <c r="I216" s="30">
        <f>+SUM(START:END!I216)</f>
        <v>0</v>
      </c>
      <c r="J216" s="41"/>
      <c r="K216" s="13"/>
      <c r="L216" s="33">
        <f>+SUM(START:END!L216)</f>
        <v>6124.34</v>
      </c>
      <c r="M216" s="41"/>
      <c r="N216" s="59">
        <f t="shared" si="96"/>
        <v>2130.59</v>
      </c>
      <c r="O216" s="41"/>
      <c r="P216" s="13"/>
      <c r="Q216" s="33">
        <f>+SUM(START:END!Q216)</f>
        <v>1540.7500000000002</v>
      </c>
      <c r="R216" s="41"/>
      <c r="S216" s="85">
        <f t="shared" si="100"/>
        <v>4583.59</v>
      </c>
      <c r="T216" s="13"/>
      <c r="U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>
      <c r="A217" t="str">
        <f t="shared" si="101"/>
        <v>ServiceServices extérieurs</v>
      </c>
      <c r="B217" s="11" t="s">
        <v>78</v>
      </c>
      <c r="C217" s="86" t="s">
        <v>54</v>
      </c>
      <c r="D217" s="87"/>
      <c r="E217" s="111"/>
      <c r="F217" s="22">
        <f>+SUM(START:END!F217)</f>
        <v>6599.66</v>
      </c>
      <c r="G217" s="89"/>
      <c r="H217" s="111"/>
      <c r="I217" s="22">
        <f>+SUM(START:END!I217)</f>
        <v>0</v>
      </c>
      <c r="J217" s="23"/>
      <c r="K217" s="111"/>
      <c r="L217" s="22">
        <f>+SUM(START:END!L217)</f>
        <v>33914.270000000004</v>
      </c>
      <c r="M217" s="462"/>
      <c r="N217" s="145">
        <f t="shared" si="96"/>
        <v>27314.610000000004</v>
      </c>
      <c r="O217" s="462"/>
      <c r="P217" s="463"/>
      <c r="Q217" s="22">
        <f>+SUM(START:END!Q217)</f>
        <v>7894.6200000000008</v>
      </c>
      <c r="R217" s="23"/>
      <c r="S217" s="92">
        <f t="shared" si="100"/>
        <v>26019.65</v>
      </c>
      <c r="T217" s="13"/>
      <c r="U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 hidden="1">
      <c r="A218" t="str">
        <f t="shared" si="101"/>
        <v>ServiceFournitures d'atelier</v>
      </c>
      <c r="B218" s="11" t="s">
        <v>78</v>
      </c>
      <c r="C218" s="29" t="s">
        <v>93</v>
      </c>
      <c r="D218" s="81"/>
      <c r="E218" s="13"/>
      <c r="F218" s="30">
        <f>+SUM(START:END!F218)</f>
        <v>0</v>
      </c>
      <c r="G218" s="83"/>
      <c r="H218" s="13"/>
      <c r="I218" s="30">
        <f>+SUM(START:END!I218)</f>
        <v>0</v>
      </c>
      <c r="J218" s="41"/>
      <c r="K218" s="13"/>
      <c r="L218" s="33">
        <f>+SUM(START:END!L218)</f>
        <v>0</v>
      </c>
      <c r="M218" s="41"/>
      <c r="N218" s="59">
        <f t="shared" si="96"/>
        <v>0</v>
      </c>
      <c r="O218" s="41"/>
      <c r="P218" s="13"/>
      <c r="Q218" s="33">
        <f>+SUM(START:END!Q218)</f>
        <v>0</v>
      </c>
      <c r="R218" s="41"/>
      <c r="S218" s="85">
        <f>L218-Q218</f>
        <v>0</v>
      </c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101"/>
        <v>ServiceFournitures autres</v>
      </c>
      <c r="B219" s="11" t="s">
        <v>78</v>
      </c>
      <c r="C219" s="29" t="s">
        <v>55</v>
      </c>
      <c r="D219" s="81"/>
      <c r="E219" s="13"/>
      <c r="F219" s="30">
        <f>+SUM(START:END!F219)</f>
        <v>9750</v>
      </c>
      <c r="G219" s="83"/>
      <c r="H219" s="13"/>
      <c r="I219" s="30">
        <f>+SUM(START:END!I219)</f>
        <v>0</v>
      </c>
      <c r="J219" s="41"/>
      <c r="K219" s="13"/>
      <c r="L219" s="33">
        <f>+SUM(START:END!L219)</f>
        <v>7957.7900000000009</v>
      </c>
      <c r="M219" s="41"/>
      <c r="N219" s="59">
        <f t="shared" si="96"/>
        <v>-1792.2099999999991</v>
      </c>
      <c r="O219" s="41"/>
      <c r="P219" s="13"/>
      <c r="Q219" s="33">
        <f>+SUM(START:END!Q219)</f>
        <v>8003.3899999999994</v>
      </c>
      <c r="R219" s="41"/>
      <c r="S219" s="85">
        <f t="shared" ref="S219:S227" si="102">L219-Q219</f>
        <v>-45.599999999998545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101"/>
        <v>ServiceUniformes</v>
      </c>
      <c r="B220" s="11" t="s">
        <v>78</v>
      </c>
      <c r="C220" s="29" t="s">
        <v>56</v>
      </c>
      <c r="D220" s="81"/>
      <c r="E220" s="13"/>
      <c r="F220" s="30">
        <f>+SUM(START:END!F220)</f>
        <v>3975</v>
      </c>
      <c r="G220" s="83"/>
      <c r="H220" s="13"/>
      <c r="I220" s="30">
        <f>+SUM(START:END!I220)</f>
        <v>0</v>
      </c>
      <c r="J220" s="41"/>
      <c r="K220" s="13"/>
      <c r="L220" s="33">
        <f>+SUM(START:END!L220)</f>
        <v>2907.0299999999997</v>
      </c>
      <c r="M220" s="41"/>
      <c r="N220" s="59">
        <f t="shared" si="96"/>
        <v>-1067.9700000000003</v>
      </c>
      <c r="O220" s="41"/>
      <c r="P220" s="13"/>
      <c r="Q220" s="33">
        <f>+SUM(START:END!Q220)</f>
        <v>3043.52</v>
      </c>
      <c r="R220" s="41"/>
      <c r="S220" s="85">
        <f t="shared" si="102"/>
        <v>-136.49000000000024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ref="A221:A227" si="103">+B221&amp;C221</f>
        <v>ServicePapeterie</v>
      </c>
      <c r="B221" s="11" t="s">
        <v>78</v>
      </c>
      <c r="C221" s="29" t="s">
        <v>57</v>
      </c>
      <c r="D221" s="81"/>
      <c r="E221" s="13"/>
      <c r="F221" s="30">
        <f>+SUM(START:END!F221)</f>
        <v>1087.5</v>
      </c>
      <c r="G221" s="83"/>
      <c r="H221" s="13"/>
      <c r="I221" s="30">
        <f>+SUM(START:END!I221)</f>
        <v>0</v>
      </c>
      <c r="J221" s="41"/>
      <c r="K221" s="13"/>
      <c r="L221" s="32">
        <f>+SUM(START:END!L221)</f>
        <v>1576.0400000000002</v>
      </c>
      <c r="M221" s="41"/>
      <c r="N221" s="59">
        <f t="shared" si="96"/>
        <v>488.54000000000019</v>
      </c>
      <c r="O221" s="41"/>
      <c r="P221" s="13"/>
      <c r="Q221" s="32">
        <f>+SUM(START:END!Q221)</f>
        <v>1952.8</v>
      </c>
      <c r="R221" s="41"/>
      <c r="S221" s="85">
        <f t="shared" si="102"/>
        <v>-376.75999999999976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103"/>
        <v>ServiceTéléphone</v>
      </c>
      <c r="B222" s="11" t="s">
        <v>78</v>
      </c>
      <c r="C222" s="29" t="s">
        <v>58</v>
      </c>
      <c r="D222" s="81"/>
      <c r="E222" s="13"/>
      <c r="F222" s="30">
        <f>+SUM(START:END!F222)</f>
        <v>342.75</v>
      </c>
      <c r="G222" s="83"/>
      <c r="H222" s="13"/>
      <c r="I222" s="30">
        <f>+SUM(START:END!I222)</f>
        <v>0</v>
      </c>
      <c r="J222" s="41"/>
      <c r="K222" s="13"/>
      <c r="L222" s="33">
        <f>+SUM(START:END!L222)</f>
        <v>378.42</v>
      </c>
      <c r="M222" s="41"/>
      <c r="N222" s="59">
        <f t="shared" si="96"/>
        <v>35.670000000000016</v>
      </c>
      <c r="O222" s="41"/>
      <c r="P222" s="13"/>
      <c r="Q222" s="33">
        <f>+SUM(START:END!Q222)</f>
        <v>327.56</v>
      </c>
      <c r="R222" s="41"/>
      <c r="S222" s="85">
        <f t="shared" si="102"/>
        <v>50.860000000000014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103"/>
        <v>ServiceFrais postaux</v>
      </c>
      <c r="B223" s="11" t="s">
        <v>78</v>
      </c>
      <c r="C223" s="29" t="s">
        <v>59</v>
      </c>
      <c r="D223" s="81"/>
      <c r="E223" s="13"/>
      <c r="F223" s="30">
        <f>+SUM(START:END!F223)</f>
        <v>425</v>
      </c>
      <c r="G223" s="83"/>
      <c r="H223" s="13"/>
      <c r="I223" s="30">
        <f>+SUM(START:END!I223)</f>
        <v>0</v>
      </c>
      <c r="J223" s="41"/>
      <c r="K223" s="13"/>
      <c r="L223" s="33">
        <f>+SUM(START:END!L223)</f>
        <v>1147.96</v>
      </c>
      <c r="M223" s="41"/>
      <c r="N223" s="59">
        <f t="shared" si="96"/>
        <v>722.96</v>
      </c>
      <c r="O223" s="41"/>
      <c r="P223" s="13"/>
      <c r="Q223" s="33">
        <f>+SUM(START:END!Q223)</f>
        <v>592.46</v>
      </c>
      <c r="R223" s="41"/>
      <c r="S223" s="85">
        <f t="shared" si="102"/>
        <v>555.5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103"/>
        <v>ServiceDivers</v>
      </c>
      <c r="B224" s="11" t="s">
        <v>78</v>
      </c>
      <c r="C224" s="29" t="s">
        <v>60</v>
      </c>
      <c r="D224" s="81"/>
      <c r="E224" s="13"/>
      <c r="F224" s="30">
        <f>+SUM(START:END!F224)</f>
        <v>1145</v>
      </c>
      <c r="G224" s="83"/>
      <c r="H224" s="13"/>
      <c r="I224" s="30">
        <f>+SUM(START:END!I224)</f>
        <v>0</v>
      </c>
      <c r="J224" s="41"/>
      <c r="K224" s="13"/>
      <c r="L224" s="33">
        <f>+SUM(START:END!L224)</f>
        <v>1671.56</v>
      </c>
      <c r="M224" s="41"/>
      <c r="N224" s="59">
        <f t="shared" si="96"/>
        <v>526.55999999999995</v>
      </c>
      <c r="O224" s="41"/>
      <c r="P224" s="13"/>
      <c r="Q224" s="33">
        <f>+SUM(START:END!Q224)</f>
        <v>3749.2200000000003</v>
      </c>
      <c r="R224" s="41"/>
      <c r="S224" s="85">
        <f t="shared" si="102"/>
        <v>-2077.6600000000003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103"/>
        <v>ServiceFormation</v>
      </c>
      <c r="B225" s="11" t="s">
        <v>78</v>
      </c>
      <c r="C225" s="29" t="s">
        <v>61</v>
      </c>
      <c r="D225" s="81"/>
      <c r="E225" s="13"/>
      <c r="F225" s="30">
        <f>+SUM(START:END!F225)</f>
        <v>5346.7400000000007</v>
      </c>
      <c r="G225" s="83"/>
      <c r="H225" s="13"/>
      <c r="I225" s="30">
        <f>+SUM(START:END!I225)</f>
        <v>0</v>
      </c>
      <c r="J225" s="41"/>
      <c r="K225" s="13"/>
      <c r="L225" s="33">
        <f>+SUM(START:END!L225)</f>
        <v>7283.93</v>
      </c>
      <c r="M225" s="41"/>
      <c r="N225" s="59">
        <f t="shared" si="96"/>
        <v>1937.1899999999996</v>
      </c>
      <c r="O225" s="41"/>
      <c r="P225" s="13"/>
      <c r="Q225" s="33">
        <f>+SUM(START:END!Q225)</f>
        <v>4493.8900000000003</v>
      </c>
      <c r="R225" s="41"/>
      <c r="S225" s="85">
        <f t="shared" si="102"/>
        <v>2790.04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>
      <c r="A226" t="str">
        <f t="shared" si="103"/>
        <v>ServiceFrais bancaires</v>
      </c>
      <c r="B226" s="11" t="s">
        <v>78</v>
      </c>
      <c r="C226" s="29" t="s">
        <v>62</v>
      </c>
      <c r="D226" s="81"/>
      <c r="E226" s="13"/>
      <c r="F226" s="30">
        <f>+SUM(START:END!F226)</f>
        <v>6418.043012470911</v>
      </c>
      <c r="G226" s="83"/>
      <c r="H226" s="13"/>
      <c r="I226" s="30">
        <f>+SUM(START:END!I226)</f>
        <v>0</v>
      </c>
      <c r="J226" s="41"/>
      <c r="K226" s="13"/>
      <c r="L226" s="33">
        <f>+SUM(START:END!L226)</f>
        <v>6258.4</v>
      </c>
      <c r="M226" s="41"/>
      <c r="N226" s="59">
        <f t="shared" si="96"/>
        <v>-159.64301247091134</v>
      </c>
      <c r="O226" s="41"/>
      <c r="P226" s="13"/>
      <c r="Q226" s="33">
        <f>+SUM(START:END!Q226)</f>
        <v>4093.58</v>
      </c>
      <c r="R226" s="41"/>
      <c r="S226" s="85">
        <f t="shared" si="102"/>
        <v>2164.8199999999997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 t="shared" si="103"/>
        <v>Service[...]</v>
      </c>
      <c r="B227" s="11" t="s">
        <v>78</v>
      </c>
      <c r="C227" s="29" t="s">
        <v>19</v>
      </c>
      <c r="D227" s="81"/>
      <c r="E227" s="13"/>
      <c r="F227" s="30">
        <f>+SUM(START:END!F227)</f>
        <v>0</v>
      </c>
      <c r="G227" s="83"/>
      <c r="H227" s="13"/>
      <c r="I227" s="30">
        <f>+SUM(START:END!I227)</f>
        <v>0</v>
      </c>
      <c r="J227" s="41"/>
      <c r="K227" s="13"/>
      <c r="L227" s="33">
        <f>+SUM(START:END!L227)</f>
        <v>0</v>
      </c>
      <c r="M227" s="41"/>
      <c r="N227" s="59">
        <f t="shared" si="96"/>
        <v>0</v>
      </c>
      <c r="O227" s="41"/>
      <c r="P227" s="13"/>
      <c r="Q227" s="33">
        <f>+SUM(START:END!Q227)</f>
        <v>0</v>
      </c>
      <c r="R227" s="41"/>
      <c r="S227" s="85">
        <f t="shared" si="102"/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B228" s="11" t="s">
        <v>78</v>
      </c>
      <c r="C228" s="29" t="s">
        <v>19</v>
      </c>
      <c r="D228" s="81"/>
      <c r="E228" s="13"/>
      <c r="F228" s="30">
        <f>+SUM(START:END!F228)</f>
        <v>0</v>
      </c>
      <c r="G228" s="83"/>
      <c r="H228" s="13"/>
      <c r="I228" s="30">
        <f>+SUM(START:END!I228)</f>
        <v>0</v>
      </c>
      <c r="J228" s="41"/>
      <c r="K228" s="13"/>
      <c r="L228" s="33">
        <f>+SUM(START:END!L228)</f>
        <v>0</v>
      </c>
      <c r="M228" s="41"/>
      <c r="N228" s="59">
        <f t="shared" si="96"/>
        <v>0</v>
      </c>
      <c r="O228" s="41"/>
      <c r="P228" s="13"/>
      <c r="Q228" s="33">
        <f>+SUM(START:END!Q228)</f>
        <v>0</v>
      </c>
      <c r="R228" s="41"/>
      <c r="S228" s="85">
        <f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399999999999999" hidden="1">
      <c r="A229" t="str">
        <f t="shared" ref="A229" si="104">+B229&amp;C229</f>
        <v>Service[...]</v>
      </c>
      <c r="B229" s="11" t="s">
        <v>78</v>
      </c>
      <c r="C229" s="29" t="s">
        <v>19</v>
      </c>
      <c r="D229" s="81"/>
      <c r="E229" s="13"/>
      <c r="F229" s="30">
        <f>+SUM(START:END!F229)</f>
        <v>0</v>
      </c>
      <c r="G229" s="83"/>
      <c r="H229" s="13"/>
      <c r="I229" s="30">
        <f>+SUM(START:END!I229)</f>
        <v>0</v>
      </c>
      <c r="J229" s="41"/>
      <c r="K229" s="13"/>
      <c r="L229" s="33">
        <f>+SUM(START:END!L229)</f>
        <v>0</v>
      </c>
      <c r="M229" s="41"/>
      <c r="N229" s="59">
        <f t="shared" si="96"/>
        <v>0</v>
      </c>
      <c r="O229" s="41"/>
      <c r="P229" s="13"/>
      <c r="Q229" s="33">
        <f>+SUM(START:END!Q229)</f>
        <v>0</v>
      </c>
      <c r="R229" s="41"/>
      <c r="S229" s="85">
        <f t="shared" ref="S229" si="105">L229-Q229</f>
        <v>0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1">
      <c r="B230" s="11"/>
      <c r="C230" s="93" t="s">
        <v>63</v>
      </c>
      <c r="D230" s="94" t="s">
        <v>92</v>
      </c>
      <c r="E230" s="95" t="e">
        <f>F230/F$194</f>
        <v>#DIV/0!</v>
      </c>
      <c r="F230" s="96">
        <f>+SUM(F212:F229)</f>
        <v>97769.456722771021</v>
      </c>
      <c r="G230" s="97" t="s">
        <v>92</v>
      </c>
      <c r="H230" s="95" t="e">
        <f>I230/I$194</f>
        <v>#DIV/0!</v>
      </c>
      <c r="I230" s="96">
        <f>+SUM(I212:I229)</f>
        <v>0</v>
      </c>
      <c r="J230" s="97" t="s">
        <v>92</v>
      </c>
      <c r="K230" s="95" t="e">
        <f>L230/L$194</f>
        <v>#DIV/0!</v>
      </c>
      <c r="L230" s="96">
        <f>+SUM(L212:L229)</f>
        <v>130548.1</v>
      </c>
      <c r="M230" s="100"/>
      <c r="N230" s="96">
        <f t="shared" si="96"/>
        <v>32778.643277228985</v>
      </c>
      <c r="O230" s="97" t="s">
        <v>92</v>
      </c>
      <c r="P230" s="95" t="e">
        <f>Q230/Q$194</f>
        <v>#DIV/0!</v>
      </c>
      <c r="Q230" s="96">
        <f>+SUM(Q212:Q229)</f>
        <v>96968.700000000012</v>
      </c>
      <c r="R230" s="100"/>
      <c r="S230" s="101">
        <f>L230-Q230</f>
        <v>33579.399999999994</v>
      </c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399999999999999">
      <c r="B231" s="11"/>
      <c r="C231" s="86"/>
      <c r="D231" s="87"/>
      <c r="E231" s="111"/>
      <c r="F231" s="59"/>
      <c r="G231" s="89"/>
      <c r="H231" s="111"/>
      <c r="I231" s="59"/>
      <c r="J231" s="23"/>
      <c r="K231" s="111"/>
      <c r="L231" s="91"/>
      <c r="M231" s="23"/>
      <c r="N231" s="91"/>
      <c r="O231" s="23"/>
      <c r="P231" s="111"/>
      <c r="Q231" s="91"/>
      <c r="R231" s="23"/>
      <c r="S231" s="92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1">
      <c r="B232" s="11"/>
      <c r="C232" s="93" t="s">
        <v>64</v>
      </c>
      <c r="D232" s="94" t="s">
        <v>38</v>
      </c>
      <c r="E232" s="95" t="e">
        <f>F232/F$194</f>
        <v>#DIV/0!</v>
      </c>
      <c r="F232" s="96">
        <f>F211+F230</f>
        <v>351818.11571731541</v>
      </c>
      <c r="G232" s="97" t="s">
        <v>38</v>
      </c>
      <c r="H232" s="95" t="e">
        <f>I232/I$194</f>
        <v>#DIV/0!</v>
      </c>
      <c r="I232" s="96">
        <f>I211+I230</f>
        <v>0</v>
      </c>
      <c r="J232" s="97" t="s">
        <v>38</v>
      </c>
      <c r="K232" s="95" t="e">
        <f>L232/L$194</f>
        <v>#DIV/0!</v>
      </c>
      <c r="L232" s="96">
        <f>L211+L230</f>
        <v>333693.54000000004</v>
      </c>
      <c r="M232" s="100"/>
      <c r="N232" s="113">
        <f>L232-F232</f>
        <v>-18124.575717315369</v>
      </c>
      <c r="O232" s="97" t="s">
        <v>38</v>
      </c>
      <c r="P232" s="95" t="e">
        <f>Q232/Q$194</f>
        <v>#DIV/0!</v>
      </c>
      <c r="Q232" s="96">
        <f>Q211+Q230</f>
        <v>307026.25</v>
      </c>
      <c r="R232" s="100"/>
      <c r="S232" s="114">
        <f>L232-Q232</f>
        <v>26667.290000000037</v>
      </c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0.399999999999999">
      <c r="B233" s="11"/>
      <c r="C233" s="29"/>
      <c r="D233" s="81"/>
      <c r="E233" s="13"/>
      <c r="F233" s="59"/>
      <c r="G233" s="83"/>
      <c r="H233" s="13"/>
      <c r="I233" s="59"/>
      <c r="J233" s="41"/>
      <c r="K233" s="13"/>
      <c r="L233" s="59"/>
      <c r="M233" s="41"/>
      <c r="N233" s="59">
        <f>L233-F233</f>
        <v>0</v>
      </c>
      <c r="O233" s="41"/>
      <c r="P233" s="13"/>
      <c r="Q233" s="59"/>
      <c r="R233" s="41"/>
      <c r="S233" s="85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.6" thickBot="1">
      <c r="B234" s="11"/>
      <c r="C234" s="124" t="s">
        <v>69</v>
      </c>
      <c r="D234" s="151"/>
      <c r="E234" s="125"/>
      <c r="F234" s="127">
        <f>F195-F232</f>
        <v>73160.953331203957</v>
      </c>
      <c r="G234" s="152"/>
      <c r="H234" s="125"/>
      <c r="I234" s="127">
        <f>I195-I232</f>
        <v>0</v>
      </c>
      <c r="J234" s="153"/>
      <c r="K234" s="126"/>
      <c r="L234" s="127">
        <f>L195-L232</f>
        <v>43005.79999999993</v>
      </c>
      <c r="M234" s="153"/>
      <c r="N234" s="127">
        <f>L234-F234</f>
        <v>-30155.153331204026</v>
      </c>
      <c r="O234" s="153"/>
      <c r="P234" s="126"/>
      <c r="Q234" s="127">
        <f>Q195-Q232</f>
        <v>52828.019999999669</v>
      </c>
      <c r="R234" s="153"/>
      <c r="S234" s="129">
        <f>L234-Q234</f>
        <v>-9822.2199999997392</v>
      </c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1" thickTop="1">
      <c r="B235" s="11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13"/>
      <c r="O235" s="82"/>
      <c r="P235" s="13"/>
      <c r="Q235" s="82"/>
      <c r="R235" s="13"/>
      <c r="S235" s="13"/>
      <c r="T235" s="13"/>
      <c r="U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20.399999999999999"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54"/>
      <c r="M236" s="154"/>
      <c r="N236" s="10"/>
      <c r="O236" s="154"/>
      <c r="P236" s="10"/>
      <c r="Q236" s="154"/>
      <c r="R236" s="10"/>
      <c r="S236" s="10"/>
      <c r="T236" s="10"/>
      <c r="U236" s="1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35.4" hidden="1">
      <c r="B237" s="11"/>
      <c r="C237" s="6">
        <f>C2</f>
        <v>0</v>
      </c>
      <c r="D237" s="2"/>
      <c r="E237" s="2"/>
      <c r="F237" s="2"/>
      <c r="G237" s="2"/>
      <c r="H237" s="1"/>
      <c r="I237" s="1"/>
      <c r="J237" s="1"/>
      <c r="K237" s="3" t="s">
        <v>94</v>
      </c>
      <c r="L237" s="2"/>
      <c r="M237" s="2"/>
      <c r="N237" s="1"/>
      <c r="O237" s="1"/>
      <c r="P237" s="2"/>
      <c r="Q237" s="1"/>
      <c r="R237" s="2"/>
      <c r="S237" s="5" t="str">
        <f>$S$1</f>
        <v>Réalisé  Q3 2026</v>
      </c>
      <c r="T237" s="2"/>
      <c r="U237" s="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35.4" hidden="1">
      <c r="B238" s="11"/>
      <c r="C238" s="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21.6" hidden="1" thickTop="1">
      <c r="B239" s="11"/>
      <c r="C239" s="12"/>
      <c r="D239" s="506" t="s">
        <v>5</v>
      </c>
      <c r="E239" s="507"/>
      <c r="F239" s="508"/>
      <c r="G239" s="509" t="s">
        <v>71</v>
      </c>
      <c r="H239" s="507"/>
      <c r="I239" s="508"/>
      <c r="J239" s="509" t="s">
        <v>7</v>
      </c>
      <c r="K239" s="507"/>
      <c r="L239" s="508"/>
      <c r="M239" s="509" t="s">
        <v>212</v>
      </c>
      <c r="N239" s="508"/>
      <c r="O239" s="506" t="s">
        <v>8</v>
      </c>
      <c r="P239" s="507"/>
      <c r="Q239" s="508"/>
      <c r="R239" s="504" t="s">
        <v>213</v>
      </c>
      <c r="S239" s="505"/>
      <c r="T239" s="148"/>
      <c r="U239" s="13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20.399999999999999" hidden="1">
      <c r="A240" t="str">
        <f t="shared" ref="A240:A247" si="106">+B240&amp;C240</f>
        <v>Carrosserie</v>
      </c>
      <c r="B240" s="11" t="s">
        <v>94</v>
      </c>
      <c r="C240" s="29"/>
      <c r="D240" s="80" t="s">
        <v>39</v>
      </c>
      <c r="E240" s="80" t="s">
        <v>79</v>
      </c>
      <c r="F240" s="134" t="s">
        <v>12</v>
      </c>
      <c r="G240" s="135" t="s">
        <v>39</v>
      </c>
      <c r="H240" s="80" t="s">
        <v>79</v>
      </c>
      <c r="I240" s="134" t="s">
        <v>12</v>
      </c>
      <c r="J240" s="135" t="s">
        <v>39</v>
      </c>
      <c r="K240" s="80" t="s">
        <v>79</v>
      </c>
      <c r="L240" s="134" t="s">
        <v>12</v>
      </c>
      <c r="M240" s="135" t="s">
        <v>39</v>
      </c>
      <c r="N240" s="134" t="s">
        <v>216</v>
      </c>
      <c r="O240" s="80" t="s">
        <v>39</v>
      </c>
      <c r="P240" s="80" t="s">
        <v>79</v>
      </c>
      <c r="Q240" s="134" t="s">
        <v>12</v>
      </c>
      <c r="R240" s="135" t="s">
        <v>80</v>
      </c>
      <c r="S240" s="136" t="s">
        <v>12</v>
      </c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 hidden="1">
      <c r="A241" t="str">
        <f t="shared" si="106"/>
        <v>Carrosserie</v>
      </c>
      <c r="B241" s="11" t="s">
        <v>94</v>
      </c>
      <c r="C241" s="29"/>
      <c r="D241" s="80"/>
      <c r="E241" s="80"/>
      <c r="F241" s="134"/>
      <c r="G241" s="135"/>
      <c r="H241" s="80"/>
      <c r="I241" s="134"/>
      <c r="J241" s="135"/>
      <c r="K241" s="30"/>
      <c r="L241" s="33"/>
      <c r="M241" s="135"/>
      <c r="N241" s="134"/>
      <c r="O241" s="80"/>
      <c r="P241" s="80"/>
      <c r="Q241" s="134"/>
      <c r="R241" s="135"/>
      <c r="S241" s="136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 hidden="1">
      <c r="A242" t="str">
        <f t="shared" si="106"/>
        <v>CarrosserieM/O Sous-traitement</v>
      </c>
      <c r="B242" s="11" t="s">
        <v>94</v>
      </c>
      <c r="C242" s="29" t="s">
        <v>95</v>
      </c>
      <c r="D242" s="80">
        <f>+SUM(START:END!D242)</f>
        <v>0</v>
      </c>
      <c r="E242" s="82">
        <f>+SUM(START:END!E242)</f>
        <v>0</v>
      </c>
      <c r="F242" s="82">
        <f>+SUM(START:END!F242)</f>
        <v>0</v>
      </c>
      <c r="G242" s="155">
        <f>+SUM(START:END!G242)</f>
        <v>0</v>
      </c>
      <c r="H242" s="82">
        <f>+SUM(START:END!H242)</f>
        <v>0</v>
      </c>
      <c r="I242" s="82">
        <f>+SUM(START:END!I242)</f>
        <v>0</v>
      </c>
      <c r="J242" s="60">
        <f>+SUM(START:END!J242)</f>
        <v>0</v>
      </c>
      <c r="K242" s="30">
        <f>+SUM(START:END!K242)</f>
        <v>0</v>
      </c>
      <c r="L242" s="33">
        <f>+SUM(START:END!L242)</f>
        <v>0</v>
      </c>
      <c r="M242" s="156">
        <f>IFERROR((K242-E242)/E242,0)</f>
        <v>0</v>
      </c>
      <c r="N242" s="59">
        <f>L242-F242</f>
        <v>0</v>
      </c>
      <c r="O242" s="60">
        <f>+SUM(START:END!O242)</f>
        <v>1</v>
      </c>
      <c r="P242" s="30">
        <f>+SUM(START:END!P242)</f>
        <v>0</v>
      </c>
      <c r="Q242" s="33">
        <f>+SUM(START:END!Q242)</f>
        <v>0</v>
      </c>
      <c r="R242" s="156">
        <f>IF(O242=0,0,J242/O242)</f>
        <v>0</v>
      </c>
      <c r="S242" s="85">
        <f>L242-Q242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 hidden="1">
      <c r="A243" t="str">
        <f t="shared" si="106"/>
        <v>Carrosserie% profit / ventes</v>
      </c>
      <c r="B243" s="11" t="s">
        <v>94</v>
      </c>
      <c r="C243" s="29" t="s">
        <v>82</v>
      </c>
      <c r="D243" s="80"/>
      <c r="E243" s="143"/>
      <c r="F243" s="157">
        <f>IFERROR(F242/E242,0)</f>
        <v>0</v>
      </c>
      <c r="G243" s="41"/>
      <c r="H243" s="143"/>
      <c r="I243" s="157">
        <f>IFERROR(I242/H242,0)</f>
        <v>0</v>
      </c>
      <c r="J243" s="60"/>
      <c r="K243" s="13"/>
      <c r="L243" s="157">
        <f>IFERROR(L242/K242,0)</f>
        <v>0</v>
      </c>
      <c r="M243" s="156"/>
      <c r="N243" s="465">
        <f>IFERROR(N242/M242,0)</f>
        <v>0</v>
      </c>
      <c r="O243" s="60"/>
      <c r="P243" s="13"/>
      <c r="Q243" s="157">
        <f>IFERROR(Q242/P242,0)</f>
        <v>0</v>
      </c>
      <c r="R243" s="60"/>
      <c r="S243" s="85">
        <f>IFERROR(S242/R242,0)</f>
        <v>0</v>
      </c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 hidden="1">
      <c r="A244" t="str">
        <f t="shared" si="106"/>
        <v>Carrosserie</v>
      </c>
      <c r="B244" s="11" t="s">
        <v>94</v>
      </c>
      <c r="C244" s="29"/>
      <c r="D244" s="80"/>
      <c r="E244" s="206"/>
      <c r="F244" s="466"/>
      <c r="G244" s="135"/>
      <c r="H244" s="206"/>
      <c r="I244" s="466"/>
      <c r="J244" s="135"/>
      <c r="K244" s="80"/>
      <c r="L244" s="134"/>
      <c r="M244" s="135"/>
      <c r="N244" s="134"/>
      <c r="O244" s="135"/>
      <c r="P244" s="80"/>
      <c r="Q244" s="134"/>
      <c r="R244" s="207"/>
      <c r="S244" s="136"/>
      <c r="T244" s="80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 hidden="1">
      <c r="A245" t="str">
        <f t="shared" si="106"/>
        <v>CarrosserieM/O Carrosserie</v>
      </c>
      <c r="B245" s="11" t="s">
        <v>94</v>
      </c>
      <c r="C245" s="14" t="s">
        <v>96</v>
      </c>
      <c r="D245" s="105">
        <f>+SUM(START:END!D245)</f>
        <v>0</v>
      </c>
      <c r="E245" s="82">
        <f>+SUM(START:END!E245)</f>
        <v>0</v>
      </c>
      <c r="F245" s="82">
        <f>+SUM(START:END!F245)</f>
        <v>0</v>
      </c>
      <c r="G245" s="208">
        <f>+SUM(START:END!G245)</f>
        <v>0</v>
      </c>
      <c r="H245" s="82">
        <f>+SUM(START:END!H245)</f>
        <v>0</v>
      </c>
      <c r="I245" s="82">
        <f>+SUM(START:END!I245)</f>
        <v>0</v>
      </c>
      <c r="J245" s="163">
        <f>+SUM(START:END!J245)</f>
        <v>0</v>
      </c>
      <c r="K245" s="164">
        <f>+SUM(START:END!K245)</f>
        <v>0</v>
      </c>
      <c r="L245" s="108">
        <f>+SUM(START:END!L245)</f>
        <v>0</v>
      </c>
      <c r="M245" s="172">
        <f>IFERROR((K245-E245)/E245,0)</f>
        <v>0</v>
      </c>
      <c r="N245" s="109">
        <f>L245-F245</f>
        <v>0</v>
      </c>
      <c r="O245" s="163">
        <f>+SUM(START:END!O245)</f>
        <v>0</v>
      </c>
      <c r="P245" s="164">
        <f>+SUM(START:END!P245)</f>
        <v>0</v>
      </c>
      <c r="Q245" s="108">
        <f>+SUM(START:END!Q245)</f>
        <v>0</v>
      </c>
      <c r="R245" s="156">
        <f>IF(O245=0,0,J245/O245)</f>
        <v>0</v>
      </c>
      <c r="S245" s="110">
        <f>L245-Q245</f>
        <v>0</v>
      </c>
      <c r="T245" s="147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 hidden="1">
      <c r="A246" t="str">
        <f t="shared" si="106"/>
        <v>Carrosserie% profit / ventes</v>
      </c>
      <c r="B246" s="11" t="s">
        <v>94</v>
      </c>
      <c r="C246" s="29" t="s">
        <v>82</v>
      </c>
      <c r="D246" s="13"/>
      <c r="E246" s="143"/>
      <c r="F246" s="157" t="e">
        <f>F245/E245</f>
        <v>#DIV/0!</v>
      </c>
      <c r="G246" s="41"/>
      <c r="H246" s="143"/>
      <c r="I246" s="157" t="e">
        <f>I245/H245</f>
        <v>#DIV/0!</v>
      </c>
      <c r="J246" s="60"/>
      <c r="K246" s="13"/>
      <c r="L246" s="157">
        <f>IFERROR(L245/K245,0)</f>
        <v>0</v>
      </c>
      <c r="M246" s="156"/>
      <c r="N246" s="59">
        <f>IFERROR(N245/F245,0)</f>
        <v>0</v>
      </c>
      <c r="O246" s="60"/>
      <c r="P246" s="13"/>
      <c r="Q246" s="157">
        <f>IFERROR(Q245/P245,0)</f>
        <v>0</v>
      </c>
      <c r="R246" s="60"/>
      <c r="S246" s="85">
        <f>IF(Q245=0,0,S245/Q245)</f>
        <v>0</v>
      </c>
      <c r="T246" s="147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 hidden="1">
      <c r="A247" t="str">
        <f t="shared" si="106"/>
        <v>Carrosserie</v>
      </c>
      <c r="B247" s="11" t="s">
        <v>94</v>
      </c>
      <c r="C247" s="86"/>
      <c r="D247" s="111"/>
      <c r="E247" s="158"/>
      <c r="F247" s="159"/>
      <c r="G247" s="23"/>
      <c r="H247" s="169"/>
      <c r="I247" s="159"/>
      <c r="J247" s="160"/>
      <c r="K247" s="209"/>
      <c r="L247" s="159"/>
      <c r="M247" s="161"/>
      <c r="N247" s="91"/>
      <c r="O247" s="160"/>
      <c r="P247" s="209"/>
      <c r="Q247" s="159"/>
      <c r="R247" s="160"/>
      <c r="S247" s="92"/>
      <c r="T247" s="147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399999999999999" hidden="1">
      <c r="A248" t="str">
        <f t="shared" ref="A248:A266" si="107">+B248&amp;C248</f>
        <v>CarrosserieM/O Esthétique Carr.</v>
      </c>
      <c r="B248" s="11" t="s">
        <v>94</v>
      </c>
      <c r="C248" s="14" t="s">
        <v>97</v>
      </c>
      <c r="D248" s="162">
        <f>+SUM(START:END!D248)</f>
        <v>0</v>
      </c>
      <c r="E248" s="82">
        <f>+SUM(START:END!E248)</f>
        <v>0</v>
      </c>
      <c r="F248" s="82">
        <f>+SUM(START:END!F248)</f>
        <v>0</v>
      </c>
      <c r="G248" s="163">
        <f>+SUM(START:END!G248)</f>
        <v>0</v>
      </c>
      <c r="H248" s="82">
        <f>+SUM(START:END!H248)</f>
        <v>0</v>
      </c>
      <c r="I248" s="82">
        <f>+SUM(START:END!I248)</f>
        <v>0</v>
      </c>
      <c r="J248" s="163">
        <f>+SUM(START:END!J248)</f>
        <v>0</v>
      </c>
      <c r="K248" s="30">
        <f>+SUM(START:END!K248)</f>
        <v>0</v>
      </c>
      <c r="L248" s="33">
        <f>+SUM(START:END!L248)</f>
        <v>0</v>
      </c>
      <c r="M248" s="156">
        <f>IFERROR((K248-E248)/E248,0)</f>
        <v>0</v>
      </c>
      <c r="N248" s="109">
        <f>L248-F248</f>
        <v>0</v>
      </c>
      <c r="O248" s="163">
        <f>+SUM(START:END!O248)</f>
        <v>0</v>
      </c>
      <c r="P248" s="30">
        <f>+SUM(START:END!P248)</f>
        <v>0</v>
      </c>
      <c r="Q248" s="33">
        <f>+SUM(START:END!Q248)</f>
        <v>0</v>
      </c>
      <c r="R248" s="156">
        <f>IF(O248=0,0,J248/O248)</f>
        <v>0</v>
      </c>
      <c r="S248" s="85">
        <f>L248-Q248</f>
        <v>0</v>
      </c>
      <c r="T248" s="147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hidden="1">
      <c r="A249" t="str">
        <f t="shared" si="107"/>
        <v>Carrosserie% profit / ventes</v>
      </c>
      <c r="B249" s="11" t="s">
        <v>94</v>
      </c>
      <c r="C249" s="29" t="s">
        <v>82</v>
      </c>
      <c r="D249" s="13"/>
      <c r="E249" s="13"/>
      <c r="F249" s="157" t="e">
        <f>F248/E248</f>
        <v>#DIV/0!</v>
      </c>
      <c r="G249" s="41"/>
      <c r="H249" s="13"/>
      <c r="I249" s="157" t="e">
        <f>I248/H248</f>
        <v>#DIV/0!</v>
      </c>
      <c r="J249" s="41"/>
      <c r="K249" s="13"/>
      <c r="L249" s="157">
        <f>IFERROR(L248/K248,0)</f>
        <v>0</v>
      </c>
      <c r="M249" s="42"/>
      <c r="N249" s="43">
        <f>IF(L248=0,0,N248/L248)</f>
        <v>0</v>
      </c>
      <c r="O249" s="41"/>
      <c r="P249" s="13"/>
      <c r="Q249" s="157">
        <f>IFERROR(Q248/P248,0)</f>
        <v>0</v>
      </c>
      <c r="R249" s="42"/>
      <c r="S249" s="44">
        <f>IF(Q248=0,0,S248/Q248)</f>
        <v>0</v>
      </c>
      <c r="T249" s="147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hidden="1">
      <c r="A250" t="str">
        <f t="shared" si="107"/>
        <v>Carrosserie</v>
      </c>
      <c r="B250" s="11" t="s">
        <v>94</v>
      </c>
      <c r="C250" s="29"/>
      <c r="D250" s="13"/>
      <c r="E250" s="13"/>
      <c r="F250" s="157"/>
      <c r="G250" s="41"/>
      <c r="H250" s="13"/>
      <c r="I250" s="157"/>
      <c r="J250" s="41"/>
      <c r="K250" s="13"/>
      <c r="L250" s="157"/>
      <c r="M250" s="42"/>
      <c r="N250" s="43"/>
      <c r="O250" s="41"/>
      <c r="P250" s="13"/>
      <c r="Q250" s="157"/>
      <c r="R250" s="42"/>
      <c r="S250" s="44"/>
      <c r="T250" s="147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hidden="1" thickTop="1">
      <c r="A251" t="str">
        <f t="shared" si="107"/>
        <v>CarrosserieTotal Mécanique</v>
      </c>
      <c r="B251" s="11" t="s">
        <v>94</v>
      </c>
      <c r="C251" s="62" t="s">
        <v>91</v>
      </c>
      <c r="D251" s="63"/>
      <c r="E251" s="63">
        <f>E245+E248+E242</f>
        <v>0</v>
      </c>
      <c r="F251" s="65">
        <f>F245+F248+F242</f>
        <v>0</v>
      </c>
      <c r="G251" s="66"/>
      <c r="H251" s="63">
        <f>H245+H248+H242</f>
        <v>0</v>
      </c>
      <c r="I251" s="65">
        <f>I245+I248+I242</f>
        <v>0</v>
      </c>
      <c r="J251" s="66"/>
      <c r="K251" s="63">
        <f>K245+K248+K242</f>
        <v>0</v>
      </c>
      <c r="L251" s="65">
        <f>L245+L248+L242</f>
        <v>0</v>
      </c>
      <c r="M251" s="205" t="e">
        <f>L252-F252</f>
        <v>#DIV/0!</v>
      </c>
      <c r="N251" s="65">
        <f>L251-F251</f>
        <v>0</v>
      </c>
      <c r="O251" s="66"/>
      <c r="P251" s="63">
        <f>P245+P248+P242</f>
        <v>0</v>
      </c>
      <c r="Q251" s="65">
        <f>Q245+Q248+Q242</f>
        <v>0</v>
      </c>
      <c r="R251" s="205">
        <f>L252-Q252</f>
        <v>0</v>
      </c>
      <c r="S251" s="68">
        <f>L251-Q251</f>
        <v>0</v>
      </c>
      <c r="T251" s="147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.6" hidden="1" thickBot="1">
      <c r="A252" t="str">
        <f t="shared" si="107"/>
        <v>Carrosserie</v>
      </c>
      <c r="B252" s="11" t="s">
        <v>94</v>
      </c>
      <c r="C252" s="69"/>
      <c r="D252" s="70"/>
      <c r="E252" s="70"/>
      <c r="F252" s="74" t="e">
        <f>F251/E251</f>
        <v>#DIV/0!</v>
      </c>
      <c r="G252" s="72"/>
      <c r="H252" s="70"/>
      <c r="I252" s="74" t="e">
        <f>I251/H251</f>
        <v>#DIV/0!</v>
      </c>
      <c r="J252" s="72"/>
      <c r="K252" s="70"/>
      <c r="L252" s="74">
        <f>IF(K251=0,0,L251/K251)</f>
        <v>0</v>
      </c>
      <c r="M252" s="73"/>
      <c r="N252" s="74" t="e">
        <f>N251/F251</f>
        <v>#DIV/0!</v>
      </c>
      <c r="O252" s="72"/>
      <c r="P252" s="70"/>
      <c r="Q252" s="74">
        <f>IF(P251=0,0,Q251/P251)</f>
        <v>0</v>
      </c>
      <c r="R252" s="73"/>
      <c r="S252" s="75">
        <f>IF(R251=0,0,S251/R251)</f>
        <v>0</v>
      </c>
      <c r="T252" s="147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399999999999999" hidden="1">
      <c r="A253" t="str">
        <f t="shared" si="107"/>
        <v>Carrosserie</v>
      </c>
      <c r="B253" s="11" t="s">
        <v>94</v>
      </c>
      <c r="C253" s="2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1" hidden="1">
      <c r="A254" t="str">
        <f t="shared" si="107"/>
        <v>CarrosserieDEPENSES</v>
      </c>
      <c r="B254" s="11" t="s">
        <v>94</v>
      </c>
      <c r="C254" s="79" t="s">
        <v>29</v>
      </c>
      <c r="D254" s="13"/>
      <c r="E254" s="13"/>
      <c r="F254" s="59"/>
      <c r="G254" s="41"/>
      <c r="H254" s="13"/>
      <c r="I254" s="59"/>
      <c r="J254" s="41"/>
      <c r="K254" s="13"/>
      <c r="L254" s="40"/>
      <c r="M254" s="41"/>
      <c r="N254" s="40"/>
      <c r="O254" s="41"/>
      <c r="P254" s="13"/>
      <c r="Q254" s="40"/>
      <c r="R254" s="41"/>
      <c r="S254" s="61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 hidden="1">
      <c r="A255" t="str">
        <f t="shared" si="107"/>
        <v>CarrosserieSalaires cadres</v>
      </c>
      <c r="B255" s="11" t="s">
        <v>94</v>
      </c>
      <c r="C255" s="102" t="s">
        <v>40</v>
      </c>
      <c r="D255" s="13"/>
      <c r="E255" s="13"/>
      <c r="F255" s="30">
        <f>+SUM(START:END!F255)</f>
        <v>0</v>
      </c>
      <c r="G255" s="41"/>
      <c r="H255" s="13"/>
      <c r="I255" s="30">
        <f>+SUM(START:END!I255)</f>
        <v>0</v>
      </c>
      <c r="J255" s="41"/>
      <c r="K255" s="13"/>
      <c r="L255" s="33">
        <f>+SUM(START:END!L255)</f>
        <v>0</v>
      </c>
      <c r="M255" s="41"/>
      <c r="N255" s="59">
        <f t="shared" ref="N255:N265" si="108">L255-F255</f>
        <v>0</v>
      </c>
      <c r="O255" s="41"/>
      <c r="P255" s="13"/>
      <c r="Q255" s="33">
        <f>+SUM(START:END!Q255)</f>
        <v>0</v>
      </c>
      <c r="R255" s="41"/>
      <c r="S255" s="85">
        <f t="shared" ref="S255" si="109">L255-Q255</f>
        <v>0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 hidden="1">
      <c r="A256" t="str">
        <f t="shared" si="107"/>
        <v>CarrosserieSalaires commis</v>
      </c>
      <c r="B256" s="11" t="s">
        <v>94</v>
      </c>
      <c r="C256" s="103" t="s">
        <v>41</v>
      </c>
      <c r="D256" s="81"/>
      <c r="E256" s="13"/>
      <c r="F256" s="22">
        <f>+SUM(START:END!F256)</f>
        <v>0</v>
      </c>
      <c r="G256" s="83"/>
      <c r="H256" s="13"/>
      <c r="I256" s="22">
        <f>+SUM(START:END!I256)</f>
        <v>0</v>
      </c>
      <c r="J256" s="41"/>
      <c r="K256" s="13"/>
      <c r="L256" s="33">
        <f>+SUM(START:END!L256)</f>
        <v>0</v>
      </c>
      <c r="M256" s="41"/>
      <c r="N256" s="59">
        <f t="shared" si="108"/>
        <v>0</v>
      </c>
      <c r="O256" s="41"/>
      <c r="P256" s="13"/>
      <c r="Q256" s="33">
        <f>+SUM(START:END!Q256)</f>
        <v>0</v>
      </c>
      <c r="R256" s="41"/>
      <c r="S256" s="85">
        <f>L256-Q256</f>
        <v>0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 hidden="1">
      <c r="A257" t="str">
        <f t="shared" si="107"/>
        <v>CarrosserieSalaires autres</v>
      </c>
      <c r="B257" s="11" t="s">
        <v>94</v>
      </c>
      <c r="C257" s="102" t="s">
        <v>42</v>
      </c>
      <c r="D257" s="104"/>
      <c r="E257" s="105"/>
      <c r="F257" s="30">
        <f>+SUM(START:END!F257)</f>
        <v>0</v>
      </c>
      <c r="G257" s="106"/>
      <c r="H257" s="105"/>
      <c r="I257" s="30">
        <f>+SUM(START:END!I257)</f>
        <v>0</v>
      </c>
      <c r="J257" s="107"/>
      <c r="K257" s="105"/>
      <c r="L257" s="108">
        <f>+SUM(START:END!L257)</f>
        <v>0</v>
      </c>
      <c r="M257" s="107"/>
      <c r="N257" s="109">
        <f t="shared" si="108"/>
        <v>0</v>
      </c>
      <c r="O257" s="107"/>
      <c r="P257" s="105"/>
      <c r="Q257" s="108">
        <f>+SUM(START:END!Q257)</f>
        <v>0</v>
      </c>
      <c r="R257" s="107"/>
      <c r="S257" s="110">
        <f t="shared" ref="S257:S265" si="110">L257-Q257</f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107"/>
        <v>CarrosserieSalaires spécialistes</v>
      </c>
      <c r="B258" s="11" t="s">
        <v>94</v>
      </c>
      <c r="C258" s="102" t="s">
        <v>43</v>
      </c>
      <c r="D258" s="81"/>
      <c r="E258" s="13"/>
      <c r="F258" s="30">
        <f>+SUM(START:END!F258)</f>
        <v>0</v>
      </c>
      <c r="G258" s="83"/>
      <c r="H258" s="13"/>
      <c r="I258" s="30">
        <f>+SUM(START:END!I258)</f>
        <v>0</v>
      </c>
      <c r="J258" s="41"/>
      <c r="K258" s="13"/>
      <c r="L258" s="33">
        <f>+SUM(START:END!L258)</f>
        <v>0</v>
      </c>
      <c r="M258" s="41"/>
      <c r="N258" s="59">
        <f t="shared" si="108"/>
        <v>0</v>
      </c>
      <c r="O258" s="41"/>
      <c r="P258" s="13"/>
      <c r="Q258" s="33">
        <f>+SUM(START:END!Q258)</f>
        <v>0</v>
      </c>
      <c r="R258" s="41"/>
      <c r="S258" s="85">
        <f t="shared" si="110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107"/>
        <v>Carrosserie[...]</v>
      </c>
      <c r="B259" s="11" t="s">
        <v>94</v>
      </c>
      <c r="C259" s="29" t="s">
        <v>19</v>
      </c>
      <c r="D259" s="81"/>
      <c r="E259" s="13"/>
      <c r="F259" s="30">
        <f>+SUM(START:END!F259)</f>
        <v>0</v>
      </c>
      <c r="G259" s="83"/>
      <c r="H259" s="13"/>
      <c r="I259" s="30">
        <f>+SUM(START:END!I259)</f>
        <v>0</v>
      </c>
      <c r="J259" s="41"/>
      <c r="K259" s="13"/>
      <c r="L259" s="33">
        <f>+SUM(START:END!L259)</f>
        <v>0</v>
      </c>
      <c r="M259" s="41"/>
      <c r="N259" s="59">
        <f t="shared" si="108"/>
        <v>0</v>
      </c>
      <c r="O259" s="41"/>
      <c r="P259" s="13"/>
      <c r="Q259" s="33">
        <f>+SUM(START:END!Q259)</f>
        <v>0</v>
      </c>
      <c r="R259" s="41"/>
      <c r="S259" s="85">
        <f t="shared" si="110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107"/>
        <v>Carrosserie[...]</v>
      </c>
      <c r="B260" s="11" t="s">
        <v>94</v>
      </c>
      <c r="C260" s="29" t="s">
        <v>19</v>
      </c>
      <c r="D260" s="81"/>
      <c r="E260" s="13"/>
      <c r="F260" s="30">
        <f>+SUM(START:END!F260)</f>
        <v>0</v>
      </c>
      <c r="G260" s="83"/>
      <c r="H260" s="13"/>
      <c r="I260" s="30">
        <f>+SUM(START:END!I260)</f>
        <v>0</v>
      </c>
      <c r="J260" s="41"/>
      <c r="K260" s="13"/>
      <c r="L260" s="33">
        <f>+SUM(START:END!L260)</f>
        <v>0</v>
      </c>
      <c r="M260" s="41"/>
      <c r="N260" s="59">
        <f t="shared" si="108"/>
        <v>0</v>
      </c>
      <c r="O260" s="41"/>
      <c r="P260" s="13"/>
      <c r="Q260" s="33">
        <f>+SUM(START:END!Q260)</f>
        <v>0</v>
      </c>
      <c r="R260" s="41"/>
      <c r="S260" s="85">
        <f t="shared" si="110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 hidden="1">
      <c r="A261" t="str">
        <f t="shared" si="107"/>
        <v>Carrosserie[...]</v>
      </c>
      <c r="B261" s="11" t="s">
        <v>94</v>
      </c>
      <c r="C261" s="29" t="s">
        <v>19</v>
      </c>
      <c r="D261" s="81"/>
      <c r="E261" s="13"/>
      <c r="F261" s="30">
        <f>+SUM(START:END!F261)</f>
        <v>0</v>
      </c>
      <c r="G261" s="83"/>
      <c r="H261" s="13"/>
      <c r="I261" s="30">
        <f>+SUM(START:END!I261)</f>
        <v>0</v>
      </c>
      <c r="J261" s="41"/>
      <c r="K261" s="13"/>
      <c r="L261" s="33">
        <f>+SUM(START:END!L261)</f>
        <v>0</v>
      </c>
      <c r="M261" s="41"/>
      <c r="N261" s="59">
        <f t="shared" si="108"/>
        <v>0</v>
      </c>
      <c r="O261" s="41"/>
      <c r="P261" s="13"/>
      <c r="Q261" s="33">
        <f>+SUM(START:END!Q261)</f>
        <v>0</v>
      </c>
      <c r="R261" s="41"/>
      <c r="S261" s="85">
        <f t="shared" si="110"/>
        <v>0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 hidden="1">
      <c r="A262" t="str">
        <f t="shared" si="107"/>
        <v>CarrosserieSalaires en absences</v>
      </c>
      <c r="B262" s="11" t="s">
        <v>94</v>
      </c>
      <c r="C262" s="103" t="s">
        <v>44</v>
      </c>
      <c r="D262" s="81"/>
      <c r="E262" s="13"/>
      <c r="F262" s="22">
        <f>+SUM(START:END!F262)</f>
        <v>0</v>
      </c>
      <c r="G262" s="83"/>
      <c r="H262" s="13"/>
      <c r="I262" s="22">
        <f>+SUM(START:END!I262)</f>
        <v>0</v>
      </c>
      <c r="J262" s="41"/>
      <c r="K262" s="13"/>
      <c r="L262" s="33">
        <f>+SUM(START:END!L262)</f>
        <v>0</v>
      </c>
      <c r="M262" s="41"/>
      <c r="N262" s="59">
        <f t="shared" si="108"/>
        <v>0</v>
      </c>
      <c r="O262" s="41"/>
      <c r="P262" s="13"/>
      <c r="Q262" s="33">
        <f>+SUM(START:END!Q262)</f>
        <v>0</v>
      </c>
      <c r="R262" s="41"/>
      <c r="S262" s="85">
        <f t="shared" si="110"/>
        <v>0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 hidden="1">
      <c r="A263" t="str">
        <f t="shared" si="107"/>
        <v>CarrosserieDéduction à la source</v>
      </c>
      <c r="B263" s="11" t="s">
        <v>94</v>
      </c>
      <c r="C263" s="102" t="s">
        <v>45</v>
      </c>
      <c r="D263" s="104"/>
      <c r="E263" s="105"/>
      <c r="F263" s="30">
        <f>+SUM(START:END!F263)</f>
        <v>0</v>
      </c>
      <c r="G263" s="106"/>
      <c r="H263" s="105"/>
      <c r="I263" s="30">
        <f>+SUM(START:END!I263)</f>
        <v>0</v>
      </c>
      <c r="J263" s="107"/>
      <c r="K263" s="105"/>
      <c r="L263" s="108">
        <f>+SUM(START:END!L263)</f>
        <v>-0.04</v>
      </c>
      <c r="M263" s="107"/>
      <c r="N263" s="109">
        <f t="shared" si="108"/>
        <v>-0.04</v>
      </c>
      <c r="O263" s="107"/>
      <c r="P263" s="105"/>
      <c r="Q263" s="108">
        <f>+SUM(START:END!Q263)</f>
        <v>0</v>
      </c>
      <c r="R263" s="107"/>
      <c r="S263" s="110">
        <f t="shared" si="110"/>
        <v>-0.04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 hidden="1">
      <c r="A264" t="str">
        <f t="shared" si="107"/>
        <v>CarrosserieBénéfices marginaux</v>
      </c>
      <c r="B264" s="11" t="s">
        <v>94</v>
      </c>
      <c r="C264" s="102" t="s">
        <v>46</v>
      </c>
      <c r="D264" s="81"/>
      <c r="E264" s="13"/>
      <c r="F264" s="30">
        <f>+SUM(START:END!F264)</f>
        <v>0</v>
      </c>
      <c r="G264" s="83"/>
      <c r="H264" s="13"/>
      <c r="I264" s="30">
        <f>+SUM(START:END!I264)</f>
        <v>0</v>
      </c>
      <c r="J264" s="41"/>
      <c r="K264" s="13"/>
      <c r="L264" s="33">
        <f>+SUM(START:END!L264)</f>
        <v>0</v>
      </c>
      <c r="M264" s="41"/>
      <c r="N264" s="59">
        <f t="shared" si="108"/>
        <v>0</v>
      </c>
      <c r="O264" s="41"/>
      <c r="P264" s="13"/>
      <c r="Q264" s="33">
        <f>+SUM(START:END!Q264)</f>
        <v>0</v>
      </c>
      <c r="R264" s="41"/>
      <c r="S264" s="85">
        <f t="shared" si="110"/>
        <v>0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107"/>
        <v>CarrosserieCsst</v>
      </c>
      <c r="B265" s="11" t="s">
        <v>94</v>
      </c>
      <c r="C265" s="102" t="s">
        <v>47</v>
      </c>
      <c r="D265" s="81"/>
      <c r="E265" s="13"/>
      <c r="F265" s="30">
        <f>+SUM(START:END!F265)</f>
        <v>0</v>
      </c>
      <c r="G265" s="83"/>
      <c r="H265" s="13"/>
      <c r="I265" s="30">
        <f>+SUM(START:END!I265)</f>
        <v>0</v>
      </c>
      <c r="J265" s="41"/>
      <c r="K265" s="13"/>
      <c r="L265" s="33">
        <f>+SUM(START:END!L265)</f>
        <v>0</v>
      </c>
      <c r="M265" s="462"/>
      <c r="N265" s="145">
        <f t="shared" si="108"/>
        <v>0</v>
      </c>
      <c r="O265" s="41"/>
      <c r="P265" s="13"/>
      <c r="Q265" s="33">
        <f>+SUM(START:END!Q265)</f>
        <v>0</v>
      </c>
      <c r="R265" s="41"/>
      <c r="S265" s="85">
        <f t="shared" si="110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399999999999999" hidden="1">
      <c r="A266" t="str">
        <f t="shared" si="107"/>
        <v>Carrosserie[...]</v>
      </c>
      <c r="B266" s="11" t="s">
        <v>94</v>
      </c>
      <c r="C266" s="29" t="s">
        <v>19</v>
      </c>
      <c r="D266" s="87"/>
      <c r="E266" s="111"/>
      <c r="F266" s="30">
        <f>+SUM(START:END!F266)</f>
        <v>0</v>
      </c>
      <c r="G266" s="89"/>
      <c r="H266" s="111"/>
      <c r="I266" s="30">
        <f>+SUM(START:END!I266)</f>
        <v>0</v>
      </c>
      <c r="J266" s="23"/>
      <c r="K266" s="111"/>
      <c r="L266" s="33">
        <f>+SUM(START:END!L266)</f>
        <v>0</v>
      </c>
      <c r="M266" s="23"/>
      <c r="N266" s="91">
        <f>L266-F266</f>
        <v>0</v>
      </c>
      <c r="O266" s="23"/>
      <c r="P266" s="111"/>
      <c r="Q266" s="33">
        <f>+SUM(START:END!Q266)</f>
        <v>0</v>
      </c>
      <c r="R266" s="23"/>
      <c r="S266" s="92">
        <f>L266-Q266</f>
        <v>0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1" hidden="1">
      <c r="A267" t="str">
        <f t="shared" ref="A267:A285" si="111">+B267&amp;C267</f>
        <v>CarrosserieTOTAL PERSONNEL</v>
      </c>
      <c r="B267" s="11" t="s">
        <v>94</v>
      </c>
      <c r="C267" s="93" t="s">
        <v>48</v>
      </c>
      <c r="D267" s="94" t="s">
        <v>38</v>
      </c>
      <c r="E267" s="95" t="e">
        <f>F267/F$244</f>
        <v>#DIV/0!</v>
      </c>
      <c r="F267" s="96">
        <f>+SUM(F255:F266)</f>
        <v>0</v>
      </c>
      <c r="G267" s="97" t="s">
        <v>38</v>
      </c>
      <c r="H267" s="95" t="e">
        <f>I267/I$244</f>
        <v>#DIV/0!</v>
      </c>
      <c r="I267" s="96">
        <f>+SUM(I255:I266)</f>
        <v>0</v>
      </c>
      <c r="J267" s="97" t="s">
        <v>38</v>
      </c>
      <c r="K267" s="95">
        <f>IF(L245=0,0,L267/L$244)</f>
        <v>0</v>
      </c>
      <c r="L267" s="96">
        <f>+SUM(L255:L266)</f>
        <v>-0.04</v>
      </c>
      <c r="M267" s="146"/>
      <c r="N267" s="113">
        <f>L267-F267</f>
        <v>-0.04</v>
      </c>
      <c r="O267" s="97" t="s">
        <v>38</v>
      </c>
      <c r="P267" s="95">
        <f>IF(Q245=0,0,Q267/Q$244)</f>
        <v>0</v>
      </c>
      <c r="Q267" s="96">
        <f>+SUM(Q255:Q266)</f>
        <v>0</v>
      </c>
      <c r="R267" s="146"/>
      <c r="S267" s="114">
        <f t="shared" ref="S267:S273" si="112">L267-Q267</f>
        <v>-0.04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 hidden="1">
      <c r="A268" t="str">
        <f t="shared" si="111"/>
        <v>CarrosseriePublicité 2</v>
      </c>
      <c r="B268" s="11" t="s">
        <v>94</v>
      </c>
      <c r="C268" s="210" t="s">
        <v>49</v>
      </c>
      <c r="D268" s="81"/>
      <c r="E268" s="13"/>
      <c r="F268" s="30">
        <f>+SUM(START:END!F268)</f>
        <v>0</v>
      </c>
      <c r="G268" s="83"/>
      <c r="H268" s="13"/>
      <c r="I268" s="30">
        <f>+SUM(START:END!I268)</f>
        <v>0</v>
      </c>
      <c r="J268" s="41"/>
      <c r="K268" s="13"/>
      <c r="L268" s="33">
        <f>+SUM(START:END!L268)</f>
        <v>0</v>
      </c>
      <c r="M268" s="41"/>
      <c r="N268" s="59">
        <f t="shared" ref="N268:N285" si="113">L268-F268</f>
        <v>0</v>
      </c>
      <c r="O268" s="41"/>
      <c r="P268" s="13"/>
      <c r="Q268" s="33">
        <f>+SUM(START:END!Q268)</f>
        <v>0</v>
      </c>
      <c r="R268" s="41"/>
      <c r="S268" s="85">
        <f t="shared" si="112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 hidden="1">
      <c r="A269" t="str">
        <f t="shared" si="111"/>
        <v>CarrosserieService gratuit 2</v>
      </c>
      <c r="B269" s="11" t="s">
        <v>94</v>
      </c>
      <c r="C269" s="102" t="s">
        <v>50</v>
      </c>
      <c r="D269" s="81"/>
      <c r="E269" s="13"/>
      <c r="F269" s="30">
        <f>+SUM(START:END!F269)</f>
        <v>0</v>
      </c>
      <c r="G269" s="83"/>
      <c r="H269" s="13"/>
      <c r="I269" s="30">
        <f>+SUM(START:END!I269)</f>
        <v>0</v>
      </c>
      <c r="J269" s="41"/>
      <c r="K269" s="13"/>
      <c r="L269" s="33">
        <f>+SUM(START:END!L269)</f>
        <v>0</v>
      </c>
      <c r="M269" s="41"/>
      <c r="N269" s="59">
        <f t="shared" si="113"/>
        <v>0</v>
      </c>
      <c r="O269" s="41"/>
      <c r="P269" s="13"/>
      <c r="Q269" s="33">
        <f>+SUM(START:END!Q269)</f>
        <v>0</v>
      </c>
      <c r="R269" s="41"/>
      <c r="S269" s="85">
        <f t="shared" si="112"/>
        <v>0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 hidden="1">
      <c r="A270" t="str">
        <f t="shared" si="111"/>
        <v>CarrosserieFrais véhicules de cie</v>
      </c>
      <c r="B270" s="11" t="s">
        <v>94</v>
      </c>
      <c r="C270" s="103" t="s">
        <v>51</v>
      </c>
      <c r="D270" s="87"/>
      <c r="E270" s="111"/>
      <c r="F270" s="22">
        <f>+SUM(START:END!F270)</f>
        <v>0</v>
      </c>
      <c r="G270" s="89"/>
      <c r="H270" s="111"/>
      <c r="I270" s="22">
        <f>+SUM(START:END!I270)</f>
        <v>0</v>
      </c>
      <c r="J270" s="23"/>
      <c r="K270" s="111"/>
      <c r="L270" s="33">
        <f>+SUM(START:END!L270)</f>
        <v>0</v>
      </c>
      <c r="M270" s="23"/>
      <c r="N270" s="91">
        <f t="shared" si="113"/>
        <v>0</v>
      </c>
      <c r="O270" s="23"/>
      <c r="P270" s="111"/>
      <c r="Q270" s="33">
        <f>+SUM(START:END!Q270)</f>
        <v>0</v>
      </c>
      <c r="R270" s="23"/>
      <c r="S270" s="92">
        <f t="shared" si="112"/>
        <v>0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 hidden="1">
      <c r="A271" t="str">
        <f t="shared" si="111"/>
        <v>CarrosserieInformatique</v>
      </c>
      <c r="B271" s="11" t="s">
        <v>94</v>
      </c>
      <c r="C271" s="102" t="s">
        <v>52</v>
      </c>
      <c r="D271" s="81"/>
      <c r="E271" s="13"/>
      <c r="F271" s="30">
        <f>+SUM(START:END!F271)</f>
        <v>0</v>
      </c>
      <c r="G271" s="83"/>
      <c r="H271" s="13"/>
      <c r="I271" s="30">
        <f>+SUM(START:END!I271)</f>
        <v>0</v>
      </c>
      <c r="J271" s="41"/>
      <c r="K271" s="13"/>
      <c r="L271" s="108">
        <f>+SUM(START:END!L271)</f>
        <v>0</v>
      </c>
      <c r="M271" s="41"/>
      <c r="N271" s="59">
        <f t="shared" si="113"/>
        <v>0</v>
      </c>
      <c r="O271" s="41"/>
      <c r="P271" s="13"/>
      <c r="Q271" s="108">
        <f>+SUM(START:END!Q271)</f>
        <v>0</v>
      </c>
      <c r="R271" s="41"/>
      <c r="S271" s="85">
        <f t="shared" si="112"/>
        <v>0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 hidden="1">
      <c r="A272" t="str">
        <f t="shared" si="111"/>
        <v>CarrosserieFrais de déplacement</v>
      </c>
      <c r="B272" s="11" t="s">
        <v>94</v>
      </c>
      <c r="C272" s="102" t="s">
        <v>53</v>
      </c>
      <c r="D272" s="81"/>
      <c r="E272" s="13"/>
      <c r="F272" s="30">
        <f>+SUM(START:END!F272)</f>
        <v>0</v>
      </c>
      <c r="G272" s="83"/>
      <c r="H272" s="13"/>
      <c r="I272" s="30">
        <f>+SUM(START:END!I272)</f>
        <v>0</v>
      </c>
      <c r="J272" s="41"/>
      <c r="K272" s="13"/>
      <c r="L272" s="33">
        <f>+SUM(START:END!L272)</f>
        <v>0</v>
      </c>
      <c r="M272" s="41"/>
      <c r="N272" s="59">
        <f t="shared" si="113"/>
        <v>0</v>
      </c>
      <c r="O272" s="41"/>
      <c r="P272" s="13"/>
      <c r="Q272" s="33">
        <f>+SUM(START:END!Q272)</f>
        <v>0</v>
      </c>
      <c r="R272" s="41"/>
      <c r="S272" s="85">
        <f t="shared" si="112"/>
        <v>0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 hidden="1">
      <c r="A273" t="str">
        <f t="shared" si="111"/>
        <v>CarrosserieServices extérieurs</v>
      </c>
      <c r="B273" s="11" t="s">
        <v>94</v>
      </c>
      <c r="C273" s="102" t="s">
        <v>54</v>
      </c>
      <c r="D273" s="87"/>
      <c r="E273" s="111"/>
      <c r="F273" s="22">
        <f>+SUM(START:END!F273)</f>
        <v>0</v>
      </c>
      <c r="G273" s="89"/>
      <c r="H273" s="111"/>
      <c r="I273" s="22">
        <f>+SUM(START:END!I273)</f>
        <v>0</v>
      </c>
      <c r="J273" s="23"/>
      <c r="K273" s="111"/>
      <c r="L273" s="33">
        <f>+SUM(START:END!L273)</f>
        <v>0</v>
      </c>
      <c r="M273" s="23"/>
      <c r="N273" s="91">
        <f t="shared" si="113"/>
        <v>0</v>
      </c>
      <c r="O273" s="23"/>
      <c r="P273" s="111"/>
      <c r="Q273" s="22">
        <f>+SUM(START:END!Q273)</f>
        <v>0</v>
      </c>
      <c r="R273" s="23"/>
      <c r="S273" s="92">
        <f t="shared" si="112"/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 hidden="1">
      <c r="A274" t="str">
        <f t="shared" si="111"/>
        <v>CarrosserieFournitures d'atelier</v>
      </c>
      <c r="B274" s="11" t="s">
        <v>94</v>
      </c>
      <c r="C274" s="211" t="s">
        <v>93</v>
      </c>
      <c r="D274" s="81"/>
      <c r="E274" s="13"/>
      <c r="F274" s="30">
        <f>+SUM(START:END!F274)</f>
        <v>0</v>
      </c>
      <c r="G274" s="83"/>
      <c r="H274" s="13"/>
      <c r="I274" s="30">
        <f>+SUM(START:END!I274)</f>
        <v>0</v>
      </c>
      <c r="J274" s="41"/>
      <c r="K274" s="13"/>
      <c r="L274" s="55">
        <f>+SUM(START:END!L274)</f>
        <v>0</v>
      </c>
      <c r="M274" s="41"/>
      <c r="N274" s="59">
        <f t="shared" si="113"/>
        <v>0</v>
      </c>
      <c r="O274" s="41"/>
      <c r="P274" s="13"/>
      <c r="Q274" s="33">
        <f>+SUM(START:END!Q274)</f>
        <v>0</v>
      </c>
      <c r="R274" s="41"/>
      <c r="S274" s="85">
        <f>L274-Q274</f>
        <v>0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 hidden="1">
      <c r="A275" t="str">
        <f t="shared" si="111"/>
        <v>CarrosserieFournitures autres</v>
      </c>
      <c r="B275" s="11" t="s">
        <v>94</v>
      </c>
      <c r="C275" s="102" t="s">
        <v>55</v>
      </c>
      <c r="D275" s="81"/>
      <c r="E275" s="13"/>
      <c r="F275" s="30">
        <f>+SUM(START:END!F275)</f>
        <v>0</v>
      </c>
      <c r="G275" s="83"/>
      <c r="H275" s="13"/>
      <c r="I275" s="30">
        <f>+SUM(START:END!I275)</f>
        <v>0</v>
      </c>
      <c r="J275" s="41"/>
      <c r="K275" s="13"/>
      <c r="L275" s="33">
        <f>+SUM(START:END!L275)</f>
        <v>0</v>
      </c>
      <c r="M275" s="41"/>
      <c r="N275" s="59">
        <f t="shared" si="113"/>
        <v>0</v>
      </c>
      <c r="O275" s="41"/>
      <c r="P275" s="13"/>
      <c r="Q275" s="33">
        <f>+SUM(START:END!Q275)</f>
        <v>0</v>
      </c>
      <c r="R275" s="41"/>
      <c r="S275" s="85">
        <f t="shared" ref="S275:S283" si="114">L275-Q275</f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 hidden="1">
      <c r="A276" t="str">
        <f t="shared" si="111"/>
        <v>CarrosserieUniformes</v>
      </c>
      <c r="B276" s="11" t="s">
        <v>94</v>
      </c>
      <c r="C276" s="102" t="s">
        <v>56</v>
      </c>
      <c r="D276" s="81"/>
      <c r="E276" s="13"/>
      <c r="F276" s="30">
        <f>+SUM(START:END!F276)</f>
        <v>0</v>
      </c>
      <c r="G276" s="83"/>
      <c r="H276" s="13"/>
      <c r="I276" s="30">
        <f>+SUM(START:END!I276)</f>
        <v>0</v>
      </c>
      <c r="J276" s="41"/>
      <c r="K276" s="13"/>
      <c r="L276" s="33">
        <f>+SUM(START:END!L276)</f>
        <v>0</v>
      </c>
      <c r="M276" s="41"/>
      <c r="N276" s="59">
        <f t="shared" si="113"/>
        <v>0</v>
      </c>
      <c r="O276" s="41"/>
      <c r="P276" s="13"/>
      <c r="Q276" s="33">
        <f>+SUM(START:END!Q276)</f>
        <v>0</v>
      </c>
      <c r="R276" s="41"/>
      <c r="S276" s="85">
        <f t="shared" si="114"/>
        <v>0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 hidden="1">
      <c r="A277" t="str">
        <f t="shared" si="111"/>
        <v>CarrosseriePapeterie</v>
      </c>
      <c r="B277" s="11" t="s">
        <v>94</v>
      </c>
      <c r="C277" s="102" t="s">
        <v>57</v>
      </c>
      <c r="D277" s="81"/>
      <c r="E277" s="13"/>
      <c r="F277" s="30">
        <f>+SUM(START:END!F277)</f>
        <v>0</v>
      </c>
      <c r="G277" s="83"/>
      <c r="H277" s="13"/>
      <c r="I277" s="30">
        <f>+SUM(START:END!I277)</f>
        <v>0</v>
      </c>
      <c r="J277" s="41"/>
      <c r="K277" s="13"/>
      <c r="L277" s="32">
        <f>+SUM(START:END!L277)</f>
        <v>0</v>
      </c>
      <c r="M277" s="41"/>
      <c r="N277" s="59">
        <f t="shared" si="113"/>
        <v>0</v>
      </c>
      <c r="O277" s="41"/>
      <c r="P277" s="13"/>
      <c r="Q277" s="32">
        <f>+SUM(START:END!Q277)</f>
        <v>0</v>
      </c>
      <c r="R277" s="41"/>
      <c r="S277" s="85">
        <f t="shared" si="114"/>
        <v>0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 hidden="1">
      <c r="A278" t="str">
        <f t="shared" si="111"/>
        <v>CarrosserieTéléphone</v>
      </c>
      <c r="B278" s="11" t="s">
        <v>94</v>
      </c>
      <c r="C278" s="102" t="s">
        <v>58</v>
      </c>
      <c r="D278" s="81"/>
      <c r="E278" s="13"/>
      <c r="F278" s="30">
        <f>+SUM(START:END!F278)</f>
        <v>0</v>
      </c>
      <c r="G278" s="83"/>
      <c r="H278" s="13"/>
      <c r="I278" s="30">
        <f>+SUM(START:END!I278)</f>
        <v>0</v>
      </c>
      <c r="J278" s="41"/>
      <c r="K278" s="13"/>
      <c r="L278" s="33">
        <f>+SUM(START:END!L278)</f>
        <v>0</v>
      </c>
      <c r="M278" s="41"/>
      <c r="N278" s="59">
        <f t="shared" si="113"/>
        <v>0</v>
      </c>
      <c r="O278" s="41"/>
      <c r="P278" s="13"/>
      <c r="Q278" s="33">
        <f>+SUM(START:END!Q278)</f>
        <v>0</v>
      </c>
      <c r="R278" s="41"/>
      <c r="S278" s="85">
        <f t="shared" si="114"/>
        <v>0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 hidden="1">
      <c r="A279" t="str">
        <f t="shared" si="111"/>
        <v>CarrosserieFrais postaux</v>
      </c>
      <c r="B279" s="11" t="s">
        <v>94</v>
      </c>
      <c r="C279" s="102" t="s">
        <v>59</v>
      </c>
      <c r="D279" s="81"/>
      <c r="E279" s="13"/>
      <c r="F279" s="30">
        <f>+SUM(START:END!F279)</f>
        <v>0</v>
      </c>
      <c r="G279" s="83"/>
      <c r="H279" s="13"/>
      <c r="I279" s="30">
        <f>+SUM(START:END!I279)</f>
        <v>0</v>
      </c>
      <c r="J279" s="41"/>
      <c r="K279" s="13"/>
      <c r="L279" s="33">
        <f>+SUM(START:END!L279)</f>
        <v>0</v>
      </c>
      <c r="M279" s="41"/>
      <c r="N279" s="59">
        <f t="shared" si="113"/>
        <v>0</v>
      </c>
      <c r="O279" s="41"/>
      <c r="P279" s="13"/>
      <c r="Q279" s="33">
        <f>+SUM(START:END!Q279)</f>
        <v>0</v>
      </c>
      <c r="R279" s="41"/>
      <c r="S279" s="85">
        <f t="shared" si="114"/>
        <v>0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 hidden="1">
      <c r="A280" t="str">
        <f t="shared" si="111"/>
        <v>CarrosserieDivers</v>
      </c>
      <c r="B280" s="11" t="s">
        <v>94</v>
      </c>
      <c r="C280" s="102" t="s">
        <v>60</v>
      </c>
      <c r="D280" s="81"/>
      <c r="E280" s="13"/>
      <c r="F280" s="30">
        <f>+SUM(START:END!F280)</f>
        <v>0</v>
      </c>
      <c r="G280" s="83"/>
      <c r="H280" s="13"/>
      <c r="I280" s="30">
        <f>+SUM(START:END!I280)</f>
        <v>0</v>
      </c>
      <c r="J280" s="41"/>
      <c r="K280" s="13"/>
      <c r="L280" s="33">
        <f>+SUM(START:END!L280)</f>
        <v>0</v>
      </c>
      <c r="M280" s="41"/>
      <c r="N280" s="59">
        <f t="shared" si="113"/>
        <v>0</v>
      </c>
      <c r="O280" s="41"/>
      <c r="P280" s="13"/>
      <c r="Q280" s="33">
        <f>+SUM(START:END!Q280)</f>
        <v>0</v>
      </c>
      <c r="R280" s="41"/>
      <c r="S280" s="85">
        <f t="shared" si="114"/>
        <v>0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 hidden="1">
      <c r="A281" t="str">
        <f t="shared" si="111"/>
        <v>CarrosserieFormation</v>
      </c>
      <c r="B281" s="11" t="s">
        <v>94</v>
      </c>
      <c r="C281" s="102" t="s">
        <v>61</v>
      </c>
      <c r="D281" s="81"/>
      <c r="E281" s="13"/>
      <c r="F281" s="30">
        <f>+SUM(START:END!F281)</f>
        <v>0</v>
      </c>
      <c r="G281" s="83"/>
      <c r="H281" s="13"/>
      <c r="I281" s="30">
        <f>+SUM(START:END!I281)</f>
        <v>0</v>
      </c>
      <c r="J281" s="41"/>
      <c r="K281" s="13"/>
      <c r="L281" s="33">
        <f>+SUM(START:END!L281)</f>
        <v>0</v>
      </c>
      <c r="M281" s="41"/>
      <c r="N281" s="59">
        <f t="shared" si="113"/>
        <v>0</v>
      </c>
      <c r="O281" s="41"/>
      <c r="P281" s="13"/>
      <c r="Q281" s="33">
        <f>+SUM(START:END!Q281)</f>
        <v>0</v>
      </c>
      <c r="R281" s="41"/>
      <c r="S281" s="85">
        <f t="shared" si="114"/>
        <v>0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111"/>
        <v>CarrosserieFrais bancaires</v>
      </c>
      <c r="B282" s="11" t="s">
        <v>94</v>
      </c>
      <c r="C282" s="102" t="s">
        <v>62</v>
      </c>
      <c r="D282" s="81"/>
      <c r="E282" s="13"/>
      <c r="F282" s="30">
        <f>+SUM(START:END!F282)</f>
        <v>0</v>
      </c>
      <c r="G282" s="83"/>
      <c r="H282" s="13"/>
      <c r="I282" s="30">
        <f>+SUM(START:END!I282)</f>
        <v>0</v>
      </c>
      <c r="J282" s="41"/>
      <c r="K282" s="13"/>
      <c r="L282" s="33">
        <f>+SUM(START:END!L282)</f>
        <v>0</v>
      </c>
      <c r="M282" s="41"/>
      <c r="N282" s="59">
        <f t="shared" si="113"/>
        <v>0</v>
      </c>
      <c r="O282" s="41"/>
      <c r="P282" s="13"/>
      <c r="Q282" s="33">
        <f>+SUM(START:END!Q282)</f>
        <v>0</v>
      </c>
      <c r="R282" s="41"/>
      <c r="S282" s="85">
        <f t="shared" si="114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 t="shared" si="111"/>
        <v>Carrosserie[...]</v>
      </c>
      <c r="B283" s="11" t="s">
        <v>94</v>
      </c>
      <c r="C283" s="102" t="s">
        <v>19</v>
      </c>
      <c r="D283" s="81"/>
      <c r="E283" s="13"/>
      <c r="F283" s="30">
        <f>+SUM(START:END!F283)</f>
        <v>0</v>
      </c>
      <c r="G283" s="83"/>
      <c r="H283" s="13"/>
      <c r="I283" s="30">
        <f>+SUM(START:END!I283)</f>
        <v>0</v>
      </c>
      <c r="J283" s="41"/>
      <c r="K283" s="13"/>
      <c r="L283" s="33">
        <f>+SUM(START:END!L283)</f>
        <v>0</v>
      </c>
      <c r="M283" s="41"/>
      <c r="N283" s="59">
        <f t="shared" si="113"/>
        <v>0</v>
      </c>
      <c r="O283" s="41"/>
      <c r="P283" s="13"/>
      <c r="Q283" s="33">
        <f>+SUM(START:END!Q283)</f>
        <v>0</v>
      </c>
      <c r="R283" s="41"/>
      <c r="S283" s="85">
        <f t="shared" si="114"/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si="111"/>
        <v>Carrosserie[...]</v>
      </c>
      <c r="B284" s="11" t="s">
        <v>94</v>
      </c>
      <c r="C284" s="102" t="s">
        <v>19</v>
      </c>
      <c r="D284" s="81"/>
      <c r="E284" s="13"/>
      <c r="F284" s="30">
        <f>+SUM(START:END!F284)</f>
        <v>0</v>
      </c>
      <c r="G284" s="83"/>
      <c r="H284" s="13"/>
      <c r="I284" s="30">
        <f>+SUM(START:END!I284)</f>
        <v>0</v>
      </c>
      <c r="J284" s="41"/>
      <c r="K284" s="13"/>
      <c r="L284" s="33">
        <f>+SUM(START:END!L284)</f>
        <v>0</v>
      </c>
      <c r="M284" s="41"/>
      <c r="N284" s="59">
        <f t="shared" si="113"/>
        <v>0</v>
      </c>
      <c r="O284" s="41"/>
      <c r="P284" s="13"/>
      <c r="Q284" s="33">
        <f>+SUM(START:END!Q284)</f>
        <v>0</v>
      </c>
      <c r="R284" s="41"/>
      <c r="S284" s="85">
        <f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399999999999999" hidden="1">
      <c r="A285" t="str">
        <f t="shared" si="111"/>
        <v>Carrosserie[...]</v>
      </c>
      <c r="B285" s="11" t="s">
        <v>94</v>
      </c>
      <c r="C285" s="102" t="s">
        <v>19</v>
      </c>
      <c r="D285" s="81"/>
      <c r="E285" s="13"/>
      <c r="F285" s="30">
        <f>+SUM(START:END!F285)</f>
        <v>0</v>
      </c>
      <c r="G285" s="83"/>
      <c r="H285" s="13"/>
      <c r="I285" s="30">
        <f>+SUM(START:END!I285)</f>
        <v>0</v>
      </c>
      <c r="J285" s="41"/>
      <c r="K285" s="13"/>
      <c r="L285" s="33">
        <f>+SUM(START:END!L285)</f>
        <v>0</v>
      </c>
      <c r="M285" s="41"/>
      <c r="N285" s="59">
        <f t="shared" si="113"/>
        <v>0</v>
      </c>
      <c r="O285" s="41"/>
      <c r="P285" s="13"/>
      <c r="Q285" s="33">
        <f>+SUM(START:END!Q285)</f>
        <v>0</v>
      </c>
      <c r="R285" s="41"/>
      <c r="S285" s="85">
        <f t="shared" ref="S285" si="115">L285-Q285</f>
        <v>0</v>
      </c>
      <c r="T285" s="13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 hidden="1">
      <c r="B286" s="11"/>
      <c r="C286" s="93" t="s">
        <v>63</v>
      </c>
      <c r="D286" s="94" t="s">
        <v>38</v>
      </c>
      <c r="E286" s="95" t="e">
        <f>F286/F$250</f>
        <v>#DIV/0!</v>
      </c>
      <c r="F286" s="96">
        <f>+SUM(F268:F285)</f>
        <v>0</v>
      </c>
      <c r="G286" s="97" t="s">
        <v>38</v>
      </c>
      <c r="H286" s="95" t="e">
        <f>I286/I$250</f>
        <v>#DIV/0!</v>
      </c>
      <c r="I286" s="96">
        <f>+SUM(I268:I285)</f>
        <v>0</v>
      </c>
      <c r="J286" s="97" t="s">
        <v>38</v>
      </c>
      <c r="K286" s="95" t="e">
        <f>L286/L$250</f>
        <v>#DIV/0!</v>
      </c>
      <c r="L286" s="96">
        <f>+SUM(L268:L285)</f>
        <v>0</v>
      </c>
      <c r="M286" s="100"/>
      <c r="N286" s="96">
        <f>+SUM(N268:N285)</f>
        <v>0</v>
      </c>
      <c r="O286" s="97" t="s">
        <v>38</v>
      </c>
      <c r="P286" s="95" t="e">
        <f>Q286/Q$250</f>
        <v>#DIV/0!</v>
      </c>
      <c r="Q286" s="96">
        <f>+SUM(Q268:Q285)</f>
        <v>0</v>
      </c>
      <c r="R286" s="100"/>
      <c r="S286" s="101">
        <f>L286-Q286</f>
        <v>0</v>
      </c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 hidden="1">
      <c r="B287" s="11"/>
      <c r="C287" s="86"/>
      <c r="D287" s="87"/>
      <c r="E287" s="111"/>
      <c r="F287" s="59"/>
      <c r="G287" s="89"/>
      <c r="H287" s="111"/>
      <c r="I287" s="59"/>
      <c r="J287" s="23"/>
      <c r="K287" s="111"/>
      <c r="L287" s="91"/>
      <c r="M287" s="23"/>
      <c r="N287" s="91"/>
      <c r="O287" s="23"/>
      <c r="P287" s="111"/>
      <c r="Q287" s="91"/>
      <c r="R287" s="23"/>
      <c r="S287" s="92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1" hidden="1">
      <c r="B288" s="11"/>
      <c r="C288" s="93" t="s">
        <v>64</v>
      </c>
      <c r="D288" s="94" t="s">
        <v>38</v>
      </c>
      <c r="E288" s="95" t="e">
        <f>F288/F$250</f>
        <v>#DIV/0!</v>
      </c>
      <c r="F288" s="96">
        <f>F267+F286</f>
        <v>0</v>
      </c>
      <c r="G288" s="97" t="s">
        <v>38</v>
      </c>
      <c r="H288" s="95" t="e">
        <f>I288/I$250</f>
        <v>#DIV/0!</v>
      </c>
      <c r="I288" s="96">
        <f>I267+I286</f>
        <v>0</v>
      </c>
      <c r="J288" s="97" t="s">
        <v>38</v>
      </c>
      <c r="K288" s="95" t="e">
        <f>L288/L$250</f>
        <v>#DIV/0!</v>
      </c>
      <c r="L288" s="96">
        <f>L267+L286</f>
        <v>-0.04</v>
      </c>
      <c r="M288" s="100"/>
      <c r="N288" s="113">
        <f>L288-F288</f>
        <v>-0.04</v>
      </c>
      <c r="O288" s="97" t="s">
        <v>38</v>
      </c>
      <c r="P288" s="95" t="e">
        <f>Q288/Q$250</f>
        <v>#DIV/0!</v>
      </c>
      <c r="Q288" s="96">
        <f>Q267+Q286</f>
        <v>0</v>
      </c>
      <c r="R288" s="100"/>
      <c r="S288" s="114">
        <f>L288-Q288</f>
        <v>-0.04</v>
      </c>
      <c r="T288" s="76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0.399999999999999" hidden="1">
      <c r="B289" s="11"/>
      <c r="C289" s="29"/>
      <c r="D289" s="81"/>
      <c r="E289" s="13"/>
      <c r="F289" s="59"/>
      <c r="G289" s="83"/>
      <c r="H289" s="13"/>
      <c r="I289" s="59"/>
      <c r="J289" s="41"/>
      <c r="K289" s="13"/>
      <c r="L289" s="59"/>
      <c r="M289" s="41"/>
      <c r="N289" s="59">
        <f>L289-F289</f>
        <v>0</v>
      </c>
      <c r="O289" s="41"/>
      <c r="P289" s="13"/>
      <c r="Q289" s="59"/>
      <c r="R289" s="41"/>
      <c r="S289" s="85"/>
      <c r="T289" s="13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.6" hidden="1" thickBot="1">
      <c r="B290" s="11"/>
      <c r="C290" s="124" t="s">
        <v>69</v>
      </c>
      <c r="D290" s="151"/>
      <c r="E290" s="125"/>
      <c r="F290" s="127">
        <f>F251-F288</f>
        <v>0</v>
      </c>
      <c r="G290" s="152"/>
      <c r="H290" s="125"/>
      <c r="I290" s="127">
        <f>I251-I288</f>
        <v>0</v>
      </c>
      <c r="J290" s="153"/>
      <c r="K290" s="126"/>
      <c r="L290" s="127">
        <f>L251-L288</f>
        <v>0.04</v>
      </c>
      <c r="M290" s="153"/>
      <c r="N290" s="127">
        <f>L290-F290</f>
        <v>0.04</v>
      </c>
      <c r="O290" s="153"/>
      <c r="P290" s="126"/>
      <c r="Q290" s="127">
        <f>Q251-Q288</f>
        <v>0</v>
      </c>
      <c r="R290" s="153"/>
      <c r="S290" s="129">
        <f>L290-Q290</f>
        <v>0.04</v>
      </c>
      <c r="T290" s="76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20.399999999999999" hidden="1">
      <c r="B291" s="11"/>
      <c r="C291" s="13"/>
      <c r="D291" s="13"/>
      <c r="E291" s="13"/>
      <c r="F291" s="13"/>
      <c r="G291" s="13"/>
      <c r="H291" s="13"/>
      <c r="I291" s="13"/>
      <c r="J291" s="13"/>
      <c r="K291" s="13"/>
      <c r="L291" s="82"/>
      <c r="M291" s="13"/>
      <c r="N291" s="13"/>
      <c r="O291" s="13"/>
      <c r="P291" s="13"/>
      <c r="Q291" s="13"/>
      <c r="R291" s="13"/>
      <c r="S291" s="13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35.4">
      <c r="B292" s="11"/>
      <c r="C292" s="6" t="str">
        <f>C1</f>
        <v>BMW Sherbrooke</v>
      </c>
      <c r="D292" s="2"/>
      <c r="E292" s="2"/>
      <c r="F292" s="2"/>
      <c r="G292" s="2"/>
      <c r="H292" s="1"/>
      <c r="I292" s="1"/>
      <c r="J292" s="1"/>
      <c r="K292" s="3" t="s">
        <v>98</v>
      </c>
      <c r="L292" s="2"/>
      <c r="M292" s="2"/>
      <c r="N292" s="1"/>
      <c r="O292" s="1"/>
      <c r="P292" s="2"/>
      <c r="Q292" s="1"/>
      <c r="R292" s="2"/>
      <c r="S292" s="5" t="str">
        <f>$S$1</f>
        <v>Réalisé  Q3 2026</v>
      </c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Bot="1">
      <c r="B293" s="11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1.6" thickTop="1">
      <c r="B294" s="11"/>
      <c r="C294" s="12"/>
      <c r="D294" s="506" t="s">
        <v>5</v>
      </c>
      <c r="E294" s="507"/>
      <c r="F294" s="508"/>
      <c r="G294" s="509" t="s">
        <v>71</v>
      </c>
      <c r="H294" s="507"/>
      <c r="I294" s="508"/>
      <c r="J294" s="509" t="s">
        <v>7</v>
      </c>
      <c r="K294" s="507"/>
      <c r="L294" s="508"/>
      <c r="M294" s="509" t="s">
        <v>212</v>
      </c>
      <c r="N294" s="508"/>
      <c r="O294" s="506" t="s">
        <v>8</v>
      </c>
      <c r="P294" s="507"/>
      <c r="Q294" s="508"/>
      <c r="R294" s="504" t="s">
        <v>213</v>
      </c>
      <c r="S294" s="505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ref="A295:A299" si="116">+B295&amp;C295</f>
        <v>Pièces</v>
      </c>
      <c r="B295" s="11" t="s">
        <v>98</v>
      </c>
      <c r="C295" s="29"/>
      <c r="D295" s="80" t="s">
        <v>79</v>
      </c>
      <c r="E295" s="80" t="s">
        <v>99</v>
      </c>
      <c r="F295" s="134" t="s">
        <v>12</v>
      </c>
      <c r="G295" s="135" t="s">
        <v>79</v>
      </c>
      <c r="H295" s="80" t="s">
        <v>99</v>
      </c>
      <c r="I295" s="134" t="s">
        <v>12</v>
      </c>
      <c r="J295" s="135" t="s">
        <v>79</v>
      </c>
      <c r="K295" s="80" t="s">
        <v>99</v>
      </c>
      <c r="L295" s="134" t="s">
        <v>12</v>
      </c>
      <c r="M295" s="135" t="s">
        <v>39</v>
      </c>
      <c r="N295" s="134" t="s">
        <v>216</v>
      </c>
      <c r="O295" s="80" t="s">
        <v>79</v>
      </c>
      <c r="P295" s="80" t="s">
        <v>99</v>
      </c>
      <c r="Q295" s="134" t="s">
        <v>12</v>
      </c>
      <c r="R295" s="135" t="s">
        <v>80</v>
      </c>
      <c r="S295" s="136" t="s">
        <v>12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116"/>
        <v>PiècesPièces Ro Clients</v>
      </c>
      <c r="B296" s="11" t="s">
        <v>98</v>
      </c>
      <c r="C296" s="29" t="s">
        <v>100</v>
      </c>
      <c r="D296" s="82">
        <f>+SUM(START:END!D296)</f>
        <v>175727.6113311006</v>
      </c>
      <c r="E296" s="147">
        <f>IF(D296=0,0,F296/D296)</f>
        <v>0.40200000000000002</v>
      </c>
      <c r="F296" s="85">
        <f>+SUM(START:END!F296)</f>
        <v>70642.499755102443</v>
      </c>
      <c r="G296" s="82">
        <f>+SUM(START:END!G296)</f>
        <v>0</v>
      </c>
      <c r="H296" s="147">
        <f>IF(G296=0,0,I296/G296)</f>
        <v>0</v>
      </c>
      <c r="I296" s="85">
        <f>+SUM(START:END!I296)</f>
        <v>0</v>
      </c>
      <c r="J296" s="30">
        <f>+SUM(START:END!J296)</f>
        <v>267005.98</v>
      </c>
      <c r="K296" s="147">
        <f>IF(J296=0,0,L296/J296)</f>
        <v>0.37778472227475962</v>
      </c>
      <c r="L296" s="33">
        <f>+SUM(START:END!L296)</f>
        <v>100870.78000000001</v>
      </c>
      <c r="M296" s="156">
        <f t="shared" ref="M296:M302" si="117">(+J296-D296)/D296</f>
        <v>0.51943099879116583</v>
      </c>
      <c r="N296" s="59">
        <f t="shared" ref="N296:N305" si="118">L296-F296</f>
        <v>30228.280244897571</v>
      </c>
      <c r="O296" s="30">
        <f>+SUM(START:END!O296)</f>
        <v>168336</v>
      </c>
      <c r="P296" s="147">
        <f>IF(O296=0,0,Q296/O296)</f>
        <v>0.41719139102746877</v>
      </c>
      <c r="Q296" s="33">
        <f>+SUM(START:END!Q296)</f>
        <v>70228.329999999987</v>
      </c>
      <c r="R296" s="156">
        <f>IF(O296=0,0,(J296-O296)/O296)</f>
        <v>0.58614901150080778</v>
      </c>
      <c r="S296" s="85">
        <f t="shared" ref="S296:S301" si="119">L296-Q296</f>
        <v>30642.450000000026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116"/>
        <v>PiècesPièces Ro Carrosserie</v>
      </c>
      <c r="B297" s="11" t="s">
        <v>98</v>
      </c>
      <c r="C297" s="29" t="s">
        <v>101</v>
      </c>
      <c r="D297" s="82">
        <f>+SUM(START:END!D297)</f>
        <v>0</v>
      </c>
      <c r="E297" s="147">
        <f t="shared" ref="E297:E304" si="120">IF(D297=0,0,F297/D297)</f>
        <v>0</v>
      </c>
      <c r="F297" s="85">
        <f>+SUM(START:END!F297)</f>
        <v>0</v>
      </c>
      <c r="G297" s="82">
        <f>+SUM(START:END!G297)</f>
        <v>0</v>
      </c>
      <c r="H297" s="147">
        <f t="shared" ref="H297:H304" si="121">IF(G297=0,0,I297/G297)</f>
        <v>0</v>
      </c>
      <c r="I297" s="85">
        <f>+SUM(START:END!I297)</f>
        <v>0</v>
      </c>
      <c r="J297" s="30">
        <f>+SUM(START:END!J297)</f>
        <v>0</v>
      </c>
      <c r="K297" s="147">
        <f t="shared" ref="K297:K304" si="122">IF(J297=0,0,L297/J297)</f>
        <v>0</v>
      </c>
      <c r="L297" s="33">
        <f>+SUM(START:END!L297)</f>
        <v>0</v>
      </c>
      <c r="M297" s="156" t="e">
        <f t="shared" si="117"/>
        <v>#DIV/0!</v>
      </c>
      <c r="N297" s="59">
        <f t="shared" si="118"/>
        <v>0</v>
      </c>
      <c r="O297" s="30">
        <f>+SUM(START:END!O297)</f>
        <v>0</v>
      </c>
      <c r="P297" s="147">
        <f t="shared" ref="P297:P304" si="123">IF(O297=0,0,Q297/O297)</f>
        <v>0</v>
      </c>
      <c r="Q297" s="33">
        <f>+SUM(START:END!Q297)</f>
        <v>0</v>
      </c>
      <c r="R297" s="156">
        <f t="shared" ref="R297:R301" si="124">IF(O297=0,0,(J297-O297)/O297)</f>
        <v>0</v>
      </c>
      <c r="S297" s="85">
        <f t="shared" si="119"/>
        <v>0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116"/>
        <v>PiècesP/A Garantie</v>
      </c>
      <c r="B298" s="11" t="s">
        <v>98</v>
      </c>
      <c r="C298" s="29" t="s">
        <v>102</v>
      </c>
      <c r="D298" s="82">
        <f>+SUM(START:END!D298)</f>
        <v>239216.8997156249</v>
      </c>
      <c r="E298" s="147">
        <f t="shared" si="120"/>
        <v>0.27700000000000008</v>
      </c>
      <c r="F298" s="85">
        <f>+SUM(START:END!F298)</f>
        <v>66263.081221228116</v>
      </c>
      <c r="G298" s="82">
        <f>+SUM(START:END!G298)</f>
        <v>0</v>
      </c>
      <c r="H298" s="147">
        <f t="shared" si="121"/>
        <v>0</v>
      </c>
      <c r="I298" s="85">
        <f>+SUM(START:END!I298)</f>
        <v>0</v>
      </c>
      <c r="J298" s="30">
        <f>+SUM(START:END!J298)</f>
        <v>210691.7</v>
      </c>
      <c r="K298" s="147">
        <f t="shared" si="122"/>
        <v>0.27809714383623085</v>
      </c>
      <c r="L298" s="33">
        <f>+SUM(START:END!L298)</f>
        <v>58592.76</v>
      </c>
      <c r="M298" s="156">
        <f t="shared" si="117"/>
        <v>-0.11924408246045715</v>
      </c>
      <c r="N298" s="59">
        <f t="shared" si="118"/>
        <v>-7670.3212212281142</v>
      </c>
      <c r="O298" s="30">
        <f>+SUM(START:END!O298)</f>
        <v>269519.89</v>
      </c>
      <c r="P298" s="147">
        <f t="shared" si="123"/>
        <v>0.27327233622720765</v>
      </c>
      <c r="Q298" s="33">
        <f>+SUM(START:END!Q298)</f>
        <v>73652.330000000016</v>
      </c>
      <c r="R298" s="156">
        <f t="shared" si="124"/>
        <v>-0.21827031021717916</v>
      </c>
      <c r="S298" s="85">
        <f t="shared" si="119"/>
        <v>-15059.570000000014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116"/>
        <v>PiècesVentes Internes</v>
      </c>
      <c r="B299" s="11" t="s">
        <v>98</v>
      </c>
      <c r="C299" s="29" t="s">
        <v>103</v>
      </c>
      <c r="D299" s="82">
        <f>+SUM(START:END!D299)</f>
        <v>86400</v>
      </c>
      <c r="E299" s="147">
        <f t="shared" si="120"/>
        <v>0.33800000000000008</v>
      </c>
      <c r="F299" s="85">
        <f>+SUM(START:END!F299)</f>
        <v>29203.200000000004</v>
      </c>
      <c r="G299" s="82">
        <f>+SUM(START:END!G299)</f>
        <v>0</v>
      </c>
      <c r="H299" s="147">
        <f t="shared" si="121"/>
        <v>0</v>
      </c>
      <c r="I299" s="85">
        <f>+SUM(START:END!I299)</f>
        <v>0</v>
      </c>
      <c r="J299" s="30">
        <f>+SUM(START:END!J299)</f>
        <v>78480.53</v>
      </c>
      <c r="K299" s="147">
        <f t="shared" si="122"/>
        <v>0.22078546105639196</v>
      </c>
      <c r="L299" s="33">
        <f>+SUM(START:END!L299)</f>
        <v>17327.36</v>
      </c>
      <c r="M299" s="156">
        <f t="shared" si="117"/>
        <v>-9.1660532407407416E-2</v>
      </c>
      <c r="N299" s="59">
        <f t="shared" si="118"/>
        <v>-11875.840000000004</v>
      </c>
      <c r="O299" s="30">
        <f>+SUM(START:END!O299)</f>
        <v>52810.520000000004</v>
      </c>
      <c r="P299" s="147">
        <f t="shared" si="123"/>
        <v>0.35297512692546867</v>
      </c>
      <c r="Q299" s="33">
        <f>+SUM(START:END!Q299)</f>
        <v>18640.800000000003</v>
      </c>
      <c r="R299" s="156">
        <f t="shared" si="124"/>
        <v>0.48607758454186767</v>
      </c>
      <c r="S299" s="85">
        <f t="shared" si="119"/>
        <v>-1313.4400000000023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 t="shared" ref="A300:A309" si="125">+B300&amp;C300</f>
        <v>PiècesVentes Détails</v>
      </c>
      <c r="B300" s="11" t="s">
        <v>98</v>
      </c>
      <c r="C300" s="29" t="s">
        <v>104</v>
      </c>
      <c r="D300" s="82">
        <f>+SUM(START:END!D300)</f>
        <v>55175.590803376872</v>
      </c>
      <c r="E300" s="147">
        <f t="shared" si="120"/>
        <v>0.33100000000000002</v>
      </c>
      <c r="F300" s="85">
        <f>+SUM(START:END!F300)</f>
        <v>18263.120555917747</v>
      </c>
      <c r="G300" s="82">
        <f>+SUM(START:END!G300)</f>
        <v>0</v>
      </c>
      <c r="H300" s="147">
        <f t="shared" si="121"/>
        <v>0</v>
      </c>
      <c r="I300" s="85">
        <f>+SUM(START:END!I300)</f>
        <v>0</v>
      </c>
      <c r="J300" s="30">
        <f>+SUM(START:END!J300)</f>
        <v>76470.209999999992</v>
      </c>
      <c r="K300" s="147">
        <f t="shared" si="122"/>
        <v>0.32903937363320962</v>
      </c>
      <c r="L300" s="33">
        <f>+SUM(START:END!L300)</f>
        <v>25161.71</v>
      </c>
      <c r="M300" s="156">
        <f t="shared" si="117"/>
        <v>0.38594274907736631</v>
      </c>
      <c r="N300" s="59">
        <f t="shared" si="118"/>
        <v>6898.5894440822522</v>
      </c>
      <c r="O300" s="30">
        <f>+SUM(START:END!O300)</f>
        <v>51181.62000000001</v>
      </c>
      <c r="P300" s="147">
        <f t="shared" si="123"/>
        <v>0.37981974779227379</v>
      </c>
      <c r="Q300" s="33">
        <f>+SUM(START:END!Q300)</f>
        <v>19439.79</v>
      </c>
      <c r="R300" s="156">
        <f t="shared" si="124"/>
        <v>0.49409514587463188</v>
      </c>
      <c r="S300" s="85">
        <f t="shared" si="119"/>
        <v>5721.9199999999983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>
      <c r="A301" t="str">
        <f t="shared" si="125"/>
        <v>PiècesVentes de Gros</v>
      </c>
      <c r="B301" s="11" t="s">
        <v>98</v>
      </c>
      <c r="C301" s="29" t="s">
        <v>105</v>
      </c>
      <c r="D301" s="82">
        <f>+SUM(START:END!D301)</f>
        <v>320400</v>
      </c>
      <c r="E301" s="147">
        <f t="shared" si="120"/>
        <v>0.2</v>
      </c>
      <c r="F301" s="85">
        <f>+SUM(START:END!F301)</f>
        <v>64080</v>
      </c>
      <c r="G301" s="82">
        <f>+SUM(START:END!G301)</f>
        <v>0</v>
      </c>
      <c r="H301" s="147">
        <f t="shared" si="121"/>
        <v>0</v>
      </c>
      <c r="I301" s="85">
        <f>+SUM(START:END!I301)</f>
        <v>0</v>
      </c>
      <c r="J301" s="30">
        <f>+SUM(START:END!J301)</f>
        <v>145714.01</v>
      </c>
      <c r="K301" s="147">
        <f t="shared" si="122"/>
        <v>0.18697927536274644</v>
      </c>
      <c r="L301" s="33">
        <f>+SUM(START:END!L301)</f>
        <v>27245.499999999993</v>
      </c>
      <c r="M301" s="156">
        <f t="shared" si="117"/>
        <v>-0.54521220349563049</v>
      </c>
      <c r="N301" s="59">
        <f t="shared" si="118"/>
        <v>-36834.500000000007</v>
      </c>
      <c r="O301" s="30">
        <f>+SUM(START:END!O301)</f>
        <v>135221.49</v>
      </c>
      <c r="P301" s="147">
        <f t="shared" si="123"/>
        <v>0.19854743502678382</v>
      </c>
      <c r="Q301" s="33">
        <f>+SUM(START:END!Q301)</f>
        <v>26847.879999999896</v>
      </c>
      <c r="R301" s="156">
        <f t="shared" si="124"/>
        <v>7.7595062737439283E-2</v>
      </c>
      <c r="S301" s="85">
        <f t="shared" si="119"/>
        <v>397.62000000009721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 hidden="1">
      <c r="A302" t="str">
        <f t="shared" si="125"/>
        <v>Pièces[...]</v>
      </c>
      <c r="B302" s="11" t="s">
        <v>98</v>
      </c>
      <c r="C302" s="29" t="s">
        <v>19</v>
      </c>
      <c r="D302" s="82">
        <f>+SUM(START:END!D302)</f>
        <v>0</v>
      </c>
      <c r="E302" s="147">
        <f t="shared" si="120"/>
        <v>0</v>
      </c>
      <c r="F302" s="85">
        <f>+SUM(START:END!F302)</f>
        <v>0</v>
      </c>
      <c r="G302" s="82">
        <f>+SUM(START:END!G302)</f>
        <v>0</v>
      </c>
      <c r="H302" s="147">
        <f t="shared" si="121"/>
        <v>0</v>
      </c>
      <c r="I302" s="85">
        <f>+SUM(START:END!I302)</f>
        <v>0</v>
      </c>
      <c r="J302" s="30">
        <f>+SUM(START:END!J302)</f>
        <v>0</v>
      </c>
      <c r="K302" s="147">
        <f t="shared" si="122"/>
        <v>0</v>
      </c>
      <c r="L302" s="33">
        <f>+SUM(START:END!L302)</f>
        <v>0</v>
      </c>
      <c r="M302" s="156" t="e">
        <f t="shared" si="117"/>
        <v>#DIV/0!</v>
      </c>
      <c r="N302" s="59">
        <f t="shared" si="118"/>
        <v>0</v>
      </c>
      <c r="O302" s="30">
        <f>+SUM(START:END!O302)</f>
        <v>0</v>
      </c>
      <c r="P302" s="147">
        <f t="shared" si="123"/>
        <v>0</v>
      </c>
      <c r="Q302" s="33">
        <f>+SUM(START:END!Q302)</f>
        <v>0</v>
      </c>
      <c r="R302" s="156">
        <f>IF(O302=0,0,(J302-O302)/O302)</f>
        <v>0</v>
      </c>
      <c r="S302" s="85">
        <f>L302-Q302</f>
        <v>0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125"/>
        <v>PiècesEscomptes</v>
      </c>
      <c r="B303" s="11" t="s">
        <v>98</v>
      </c>
      <c r="C303" s="29" t="s">
        <v>106</v>
      </c>
      <c r="D303" s="82">
        <f>+SUM(START:END!D303)</f>
        <v>0</v>
      </c>
      <c r="E303" s="147">
        <f t="shared" si="120"/>
        <v>0</v>
      </c>
      <c r="F303" s="85">
        <f>+SUM(START:END!F303)</f>
        <v>32478.522290744535</v>
      </c>
      <c r="G303" s="82">
        <f>+SUM(START:END!G303)</f>
        <v>0</v>
      </c>
      <c r="H303" s="147">
        <f t="shared" si="121"/>
        <v>0</v>
      </c>
      <c r="I303" s="85">
        <f>+SUM(START:END!I303)</f>
        <v>0</v>
      </c>
      <c r="J303" s="30">
        <f>+SUM(START:END!J303)</f>
        <v>0</v>
      </c>
      <c r="K303" s="147">
        <f t="shared" si="122"/>
        <v>0</v>
      </c>
      <c r="L303" s="33">
        <f>+SUM(START:END!L303)</f>
        <v>46998.380000000005</v>
      </c>
      <c r="M303" s="156"/>
      <c r="N303" s="59">
        <f t="shared" si="118"/>
        <v>14519.85770925547</v>
      </c>
      <c r="O303" s="30">
        <f>+SUM(START:END!O303)</f>
        <v>0</v>
      </c>
      <c r="P303" s="147">
        <f t="shared" si="123"/>
        <v>0</v>
      </c>
      <c r="Q303" s="33">
        <f>+SUM(START:END!Q303)</f>
        <v>10880.16</v>
      </c>
      <c r="R303" s="156">
        <f t="shared" ref="R303:R304" si="126">IF(O303=0,0,(J303-O303)/O303)</f>
        <v>0</v>
      </c>
      <c r="S303" s="85">
        <f>L303-Q303</f>
        <v>36118.22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399999999999999">
      <c r="A304" t="str">
        <f t="shared" si="125"/>
        <v>PiècesRectif. Inventaire</v>
      </c>
      <c r="B304" s="11" t="s">
        <v>98</v>
      </c>
      <c r="C304" s="86" t="s">
        <v>107</v>
      </c>
      <c r="D304" s="82">
        <f>+SUM(START:END!D304)</f>
        <v>0</v>
      </c>
      <c r="E304" s="147">
        <f t="shared" si="120"/>
        <v>0</v>
      </c>
      <c r="F304" s="85">
        <f>+SUM(START:END!F304)</f>
        <v>0</v>
      </c>
      <c r="G304" s="82">
        <f>+SUM(START:END!G304)</f>
        <v>0</v>
      </c>
      <c r="H304" s="147">
        <f t="shared" si="121"/>
        <v>0</v>
      </c>
      <c r="I304" s="85">
        <f>+SUM(START:END!I304)</f>
        <v>0</v>
      </c>
      <c r="J304" s="30">
        <f>+SUM(START:END!J304)</f>
        <v>0</v>
      </c>
      <c r="K304" s="147">
        <f t="shared" si="122"/>
        <v>0</v>
      </c>
      <c r="L304" s="33">
        <f>+SUM(START:END!L304)</f>
        <v>15000</v>
      </c>
      <c r="M304" s="156"/>
      <c r="N304" s="59">
        <f t="shared" si="118"/>
        <v>15000</v>
      </c>
      <c r="O304" s="30">
        <f>+SUM(START:END!O304)</f>
        <v>0</v>
      </c>
      <c r="P304" s="147">
        <f t="shared" si="123"/>
        <v>0</v>
      </c>
      <c r="Q304" s="33">
        <f>+SUM(START:END!Q304)</f>
        <v>0</v>
      </c>
      <c r="R304" s="156">
        <f t="shared" si="126"/>
        <v>0</v>
      </c>
      <c r="S304" s="85">
        <f>L304-Q304</f>
        <v>15000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125"/>
        <v>PiècesSous-total Pièces</v>
      </c>
      <c r="B305" s="11" t="s">
        <v>98</v>
      </c>
      <c r="C305" s="53" t="s">
        <v>108</v>
      </c>
      <c r="D305" s="194">
        <f>SUM(D296:D304)</f>
        <v>876920.10185010242</v>
      </c>
      <c r="E305" s="212">
        <f>IF(D305&lt;=0,0,F305/D305)</f>
        <v>0.32036034209991693</v>
      </c>
      <c r="F305" s="198">
        <f>SUM(F296:F304)</f>
        <v>280930.42382299283</v>
      </c>
      <c r="G305" s="194">
        <f>SUM(G296:G304)</f>
        <v>0</v>
      </c>
      <c r="H305" s="212">
        <f>IF(G305&lt;=0,0,I305/G305)</f>
        <v>0</v>
      </c>
      <c r="I305" s="198">
        <f>SUM(I296:I304)</f>
        <v>0</v>
      </c>
      <c r="J305" s="194">
        <f>SUM(J296:J304)</f>
        <v>778362.42999999993</v>
      </c>
      <c r="K305" s="212">
        <f>IF(J305&lt;=0,0,L305/J305)</f>
        <v>0.37411426705166129</v>
      </c>
      <c r="L305" s="196">
        <f>SUM(L296:L304)</f>
        <v>291196.49</v>
      </c>
      <c r="M305" s="213">
        <f>(+J305-D305)/D305</f>
        <v>-0.11239070884812444</v>
      </c>
      <c r="N305" s="196">
        <f t="shared" si="118"/>
        <v>10266.06617700716</v>
      </c>
      <c r="O305" s="194">
        <f>SUM(O296:O304)</f>
        <v>677069.52</v>
      </c>
      <c r="P305" s="212">
        <f>IF(O305&lt;=0,0,Q305/O305)</f>
        <v>0.32447080175755055</v>
      </c>
      <c r="Q305" s="196">
        <f>SUM(Q296:Q304)</f>
        <v>219689.28999999992</v>
      </c>
      <c r="R305" s="213">
        <f>IF(O305=0,0,(J305-O305)/O305)</f>
        <v>0.14960488843154526</v>
      </c>
      <c r="S305" s="198">
        <f>L305-Q305</f>
        <v>71507.20000000007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125"/>
        <v>Pièces</v>
      </c>
      <c r="B306" s="11" t="s">
        <v>98</v>
      </c>
      <c r="C306" s="29"/>
      <c r="D306" s="13"/>
      <c r="E306" s="13"/>
      <c r="F306" s="40"/>
      <c r="G306" s="41"/>
      <c r="H306" s="13"/>
      <c r="I306" s="40"/>
      <c r="J306" s="41"/>
      <c r="K306" s="13"/>
      <c r="L306" s="40"/>
      <c r="M306" s="41"/>
      <c r="N306" s="43">
        <f>N305/F305</f>
        <v>3.6543091479033077E-2</v>
      </c>
      <c r="O306" s="41"/>
      <c r="P306" s="13"/>
      <c r="Q306" s="40"/>
      <c r="R306" s="41"/>
      <c r="S306" s="44">
        <f>IF(Q305=0,0,S305/Q305)</f>
        <v>0.32549242614421531</v>
      </c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1">
      <c r="A307" t="str">
        <f t="shared" si="125"/>
        <v>Pièces</v>
      </c>
      <c r="B307" s="11" t="s">
        <v>98</v>
      </c>
      <c r="C307" s="86"/>
      <c r="D307" s="111"/>
      <c r="E307" s="111"/>
      <c r="F307" s="214"/>
      <c r="G307" s="23"/>
      <c r="H307" s="215"/>
      <c r="I307" s="214"/>
      <c r="J307" s="23"/>
      <c r="K307" s="111"/>
      <c r="L307" s="214"/>
      <c r="M307" s="23"/>
      <c r="N307" s="167"/>
      <c r="O307" s="23"/>
      <c r="P307" s="111"/>
      <c r="Q307" s="214"/>
      <c r="R307" s="23"/>
      <c r="S307" s="168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125"/>
        <v>PiècesVentes Pneus</v>
      </c>
      <c r="B308" s="11" t="s">
        <v>98</v>
      </c>
      <c r="C308" s="29" t="s">
        <v>109</v>
      </c>
      <c r="D308" s="82">
        <f>+SUM(START:END!D308)</f>
        <v>188404.19916569092</v>
      </c>
      <c r="E308" s="147">
        <f>IF(D308=0,0,F308/D308)</f>
        <v>0.25</v>
      </c>
      <c r="F308" s="110">
        <f>+SUM(START:END!F308)</f>
        <v>47101.049791422731</v>
      </c>
      <c r="G308" s="82">
        <f>+SUM(START:END!G308)</f>
        <v>0</v>
      </c>
      <c r="H308" s="147">
        <f>IF(G308=0,0,I308/G308)</f>
        <v>0</v>
      </c>
      <c r="I308" s="110">
        <f>+SUM(START:END!I308)</f>
        <v>0</v>
      </c>
      <c r="J308" s="30">
        <f>+SUM(START:END!J308)</f>
        <v>203109.6</v>
      </c>
      <c r="K308" s="147">
        <f>IF(J308=0,0,L308/J308)</f>
        <v>0.25807952947571167</v>
      </c>
      <c r="L308" s="33">
        <f>+SUM(START:END!L308)</f>
        <v>52418.430000000008</v>
      </c>
      <c r="M308" s="156">
        <f>(+J308-D308)/D308</f>
        <v>7.8052404879662515E-2</v>
      </c>
      <c r="N308" s="59">
        <f>L308-F308</f>
        <v>5317.3802085772768</v>
      </c>
      <c r="O308" s="30">
        <f>+SUM(START:END!O308)</f>
        <v>176180.53</v>
      </c>
      <c r="P308" s="147">
        <f>IF(O308=0,0,Q308/O308)</f>
        <v>0.28574729568585133</v>
      </c>
      <c r="Q308" s="33">
        <f>+SUM(START:END!Q308)</f>
        <v>50343.11</v>
      </c>
      <c r="R308" s="156">
        <f>IF(O308=0,0,(J308-O308)/O308)</f>
        <v>0.1528492961168865</v>
      </c>
      <c r="S308" s="85">
        <f>L308-Q308</f>
        <v>2075.320000000007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399999999999999">
      <c r="A309" t="str">
        <f t="shared" si="125"/>
        <v>PiècesHuiles et Graisse</v>
      </c>
      <c r="B309" s="11" t="s">
        <v>98</v>
      </c>
      <c r="C309" s="86" t="s">
        <v>110</v>
      </c>
      <c r="D309" s="82">
        <f>+SUM(START:END!D309)</f>
        <v>38707.835326891378</v>
      </c>
      <c r="E309" s="147">
        <f>IF(D309=0,0,F309/D309)</f>
        <v>0.35499999999999993</v>
      </c>
      <c r="F309" s="92">
        <f>+SUM(START:END!F309)</f>
        <v>13741.281541046435</v>
      </c>
      <c r="G309" s="82">
        <f>+SUM(START:END!G309)</f>
        <v>0</v>
      </c>
      <c r="H309" s="147">
        <f>IF(G309=0,0,I309/G309)</f>
        <v>0</v>
      </c>
      <c r="I309" s="92">
        <f>+SUM(START:END!I309)</f>
        <v>0</v>
      </c>
      <c r="J309" s="30">
        <f>+SUM(START:END!J309)</f>
        <v>44687.47</v>
      </c>
      <c r="K309" s="147">
        <f>IF(J309=0,0,L309/J309)</f>
        <v>0.33583194573333425</v>
      </c>
      <c r="L309" s="33">
        <f>+SUM(START:END!L309)</f>
        <v>15007.480000000001</v>
      </c>
      <c r="M309" s="156">
        <f>(+J309-D309)/D309</f>
        <v>0.1544812470811151</v>
      </c>
      <c r="N309" s="59">
        <f>L309-F309</f>
        <v>1266.1984589535659</v>
      </c>
      <c r="O309" s="30">
        <f>+SUM(START:END!O309)</f>
        <v>41912.209999999905</v>
      </c>
      <c r="P309" s="147">
        <f>IF(O309=0,0,Q309/O309)</f>
        <v>0.3401741401849252</v>
      </c>
      <c r="Q309" s="33">
        <f>+SUM(START:END!Q309)</f>
        <v>14257.449999999992</v>
      </c>
      <c r="R309" s="156">
        <f>IF(O309=0,0,(J309-O309)/O309)</f>
        <v>6.6216026308326445E-2</v>
      </c>
      <c r="S309" s="85">
        <f>L309-Q309</f>
        <v>750.03000000000975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ref="A310:A319" si="127">+B310&amp;C310</f>
        <v>PiècesSous-total Pièces et Acc.</v>
      </c>
      <c r="B310" s="11" t="s">
        <v>98</v>
      </c>
      <c r="C310" s="53" t="s">
        <v>111</v>
      </c>
      <c r="D310" s="194">
        <f>D305+D308+D309</f>
        <v>1104032.1363426847</v>
      </c>
      <c r="E310" s="212">
        <f>IF(D310&lt;=0,0,F310/D310)</f>
        <v>0.30956775976435696</v>
      </c>
      <c r="F310" s="196">
        <f>F305+F308+F309</f>
        <v>341772.75515546201</v>
      </c>
      <c r="G310" s="197">
        <f>G305+G308+G309</f>
        <v>0</v>
      </c>
      <c r="H310" s="212">
        <f>IF(G310&lt;=0,0,I310/G310)</f>
        <v>0</v>
      </c>
      <c r="I310" s="196">
        <f>I305+I308+I309</f>
        <v>0</v>
      </c>
      <c r="J310" s="197">
        <f>J305+J308+J309</f>
        <v>1026159.4999999999</v>
      </c>
      <c r="K310" s="212">
        <f>IF(J310&lt;=0,0,L310/J310)</f>
        <v>0.34948017340384219</v>
      </c>
      <c r="L310" s="196">
        <f>L305+L308+L309</f>
        <v>358622.39999999997</v>
      </c>
      <c r="M310" s="213">
        <f>(+J310-D310)/D310</f>
        <v>-7.0534755084804585E-2</v>
      </c>
      <c r="N310" s="196">
        <f>L310-F310</f>
        <v>16849.64484453795</v>
      </c>
      <c r="O310" s="197">
        <f>O305+O308+O309</f>
        <v>895162.26</v>
      </c>
      <c r="P310" s="212">
        <f>IF(O310&lt;=0,0,Q310/O310)</f>
        <v>0.31758471363616236</v>
      </c>
      <c r="Q310" s="196">
        <f>Q305+Q308+Q309</f>
        <v>284289.84999999992</v>
      </c>
      <c r="R310" s="213">
        <f>IF(O310=0,0,(J310-O310)/O310)</f>
        <v>0.14633910057825703</v>
      </c>
      <c r="S310" s="198">
        <f>L310-Q310</f>
        <v>74332.550000000047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127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>
        <f>N310/F310</f>
        <v>4.9300725673330985E-2</v>
      </c>
      <c r="O311" s="41"/>
      <c r="P311" s="13"/>
      <c r="Q311" s="40"/>
      <c r="R311" s="41"/>
      <c r="S311" s="44">
        <f>IF(Q310=0,0,S310/Q310)</f>
        <v>0.26146747764649375</v>
      </c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1">
      <c r="A312" t="str">
        <f t="shared" si="127"/>
        <v>PiècesPièces recond. MCPA</v>
      </c>
      <c r="B312" s="11" t="s">
        <v>98</v>
      </c>
      <c r="C312" s="29" t="s">
        <v>189</v>
      </c>
      <c r="D312" s="13">
        <f>+SUM(START:END!D312)</f>
        <v>0</v>
      </c>
      <c r="E312" s="13">
        <f>IF(D312=0,0,F312/D312)</f>
        <v>0</v>
      </c>
      <c r="F312" s="40">
        <f>+SUM(START:END!F312)</f>
        <v>0</v>
      </c>
      <c r="G312" s="41">
        <f>+SUM(START:END!G312)</f>
        <v>0</v>
      </c>
      <c r="H312" s="13">
        <f>IF(G312=0,0,I312/G312)</f>
        <v>0</v>
      </c>
      <c r="I312" s="40">
        <f>+SUM(START:END!I312)</f>
        <v>0</v>
      </c>
      <c r="J312" s="41">
        <f>+SUM(START:END!J312)</f>
        <v>0</v>
      </c>
      <c r="K312" s="13">
        <f>IF(J312=0,0,L312/J312)</f>
        <v>0</v>
      </c>
      <c r="L312" s="40">
        <f>+SUM(START:END!L312)</f>
        <v>0</v>
      </c>
      <c r="M312" s="41"/>
      <c r="N312" s="43"/>
      <c r="O312" s="41">
        <f>+SUM(START:END!O312)</f>
        <v>0</v>
      </c>
      <c r="P312" s="13">
        <f>IF(O312=0,0,Q312/O312)</f>
        <v>0</v>
      </c>
      <c r="Q312" s="40">
        <f>+SUM(START:END!Q312)</f>
        <v>0</v>
      </c>
      <c r="R312" s="41"/>
      <c r="S312" s="44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0.399999999999999">
      <c r="A313" t="str">
        <f t="shared" si="127"/>
        <v>PiècesAutostock</v>
      </c>
      <c r="B313" s="11" t="s">
        <v>98</v>
      </c>
      <c r="C313" s="86" t="s">
        <v>112</v>
      </c>
      <c r="D313" s="90">
        <f>+SUM(START:END!D313)</f>
        <v>0</v>
      </c>
      <c r="E313" s="216">
        <f>IF(D313=0,0,F313/D313)</f>
        <v>0</v>
      </c>
      <c r="F313" s="145">
        <f>+SUM(START:END!F313)</f>
        <v>0</v>
      </c>
      <c r="G313" s="171">
        <f>+SUM(START:END!G313)</f>
        <v>0</v>
      </c>
      <c r="H313" s="216">
        <f>IF(G313=0,0,I313/G313)</f>
        <v>0</v>
      </c>
      <c r="I313" s="145">
        <f>+SUM(START:END!I313)</f>
        <v>0</v>
      </c>
      <c r="J313" s="46">
        <f>+SUM(START:END!J313)</f>
        <v>0</v>
      </c>
      <c r="K313" s="217">
        <f>IF(J313=0,0,L313/J313)</f>
        <v>0</v>
      </c>
      <c r="L313" s="22">
        <f>+SUM(START:END!L313)</f>
        <v>0</v>
      </c>
      <c r="M313" s="217">
        <f>IF(F313=0,0,(+L313-F313)/F313)</f>
        <v>0</v>
      </c>
      <c r="N313" s="91">
        <f>L313-F313</f>
        <v>0</v>
      </c>
      <c r="O313" s="46">
        <f>+SUM(START:END!O313)</f>
        <v>0</v>
      </c>
      <c r="P313" s="217">
        <f>IF(O313=0,0,Q313/O313)</f>
        <v>0</v>
      </c>
      <c r="Q313" s="22">
        <f>+SUM(START:END!Q313)</f>
        <v>0</v>
      </c>
      <c r="R313" s="217">
        <f>IF(S313=0,0,(+O313-K313)/K313)</f>
        <v>0</v>
      </c>
      <c r="S313" s="92">
        <f>L313-Q313</f>
        <v>0</v>
      </c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Bot="1">
      <c r="A314" t="str">
        <f t="shared" si="127"/>
        <v>Pièces</v>
      </c>
      <c r="B314" s="11" t="s">
        <v>98</v>
      </c>
      <c r="C314" s="29"/>
      <c r="D314" s="82"/>
      <c r="E314" s="147"/>
      <c r="F314" s="59"/>
      <c r="G314" s="60"/>
      <c r="H314" s="147"/>
      <c r="I314" s="59"/>
      <c r="J314" s="60"/>
      <c r="K314" s="147"/>
      <c r="L314" s="59"/>
      <c r="M314" s="156"/>
      <c r="N314" s="59"/>
      <c r="O314" s="60"/>
      <c r="P314" s="147"/>
      <c r="Q314" s="59"/>
      <c r="R314" s="156"/>
      <c r="S314" s="85"/>
      <c r="T314" s="13"/>
      <c r="U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Top="1">
      <c r="A315" t="str">
        <f t="shared" si="127"/>
        <v>PiècesTotal Dépt. Pièces</v>
      </c>
      <c r="B315" s="11" t="s">
        <v>98</v>
      </c>
      <c r="C315" s="62" t="s">
        <v>113</v>
      </c>
      <c r="D315" s="63">
        <f>D310+D313+D312</f>
        <v>1104032.1363426847</v>
      </c>
      <c r="E315" s="218">
        <f>IF(D315&lt;=0,0,F315/D315)</f>
        <v>0.30956775976435696</v>
      </c>
      <c r="F315" s="65">
        <f>F310+F313+F312</f>
        <v>341772.75515546201</v>
      </c>
      <c r="G315" s="66">
        <f>G310+G313+G312</f>
        <v>0</v>
      </c>
      <c r="H315" s="218">
        <f>IF(G315&lt;=0,0,I315/G315)</f>
        <v>0</v>
      </c>
      <c r="I315" s="65">
        <f>I310+I313+I312</f>
        <v>0</v>
      </c>
      <c r="J315" s="66">
        <f>J310+J313+J312</f>
        <v>1026159.4999999999</v>
      </c>
      <c r="K315" s="218">
        <f>IF(J315&lt;=0,0,L315/J315)</f>
        <v>0.34948017340384219</v>
      </c>
      <c r="L315" s="65">
        <f>L310+L313+L312</f>
        <v>358622.39999999997</v>
      </c>
      <c r="M315" s="219">
        <f>(+J315-D315)/D315</f>
        <v>-7.0534755084804585E-2</v>
      </c>
      <c r="N315" s="220">
        <f>L315-F315</f>
        <v>16849.64484453795</v>
      </c>
      <c r="O315" s="66">
        <f>O310+O313+O312</f>
        <v>895162.26</v>
      </c>
      <c r="P315" s="218">
        <f>IF(O315&lt;=0,0,Q315/O315)</f>
        <v>0.31758471363616236</v>
      </c>
      <c r="Q315" s="65">
        <f>Q310+Q313+Q312</f>
        <v>284289.84999999992</v>
      </c>
      <c r="R315" s="219">
        <f>IF(O315=0,0,(J315-O315)/O315)</f>
        <v>0.14633910057825703</v>
      </c>
      <c r="S315" s="221">
        <f>L315-Q315</f>
        <v>74332.550000000047</v>
      </c>
      <c r="T315" s="13"/>
      <c r="U315" s="13"/>
      <c r="V315" s="489">
        <f>(L315+L195)/(F195+F315)</f>
        <v>0.9590087910953311</v>
      </c>
      <c r="W315" s="11"/>
      <c r="X315" s="484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Bot="1">
      <c r="A316" t="str">
        <f t="shared" si="127"/>
        <v>Pièces</v>
      </c>
      <c r="B316" s="11" t="s">
        <v>98</v>
      </c>
      <c r="C316" s="222"/>
      <c r="D316" s="223"/>
      <c r="E316" s="224"/>
      <c r="F316" s="225"/>
      <c r="G316" s="226"/>
      <c r="H316" s="224"/>
      <c r="I316" s="225"/>
      <c r="J316" s="226"/>
      <c r="K316" s="224"/>
      <c r="L316" s="225"/>
      <c r="M316" s="227"/>
      <c r="N316" s="74">
        <f>N315/F315</f>
        <v>4.9300725673330985E-2</v>
      </c>
      <c r="O316" s="226"/>
      <c r="P316" s="224"/>
      <c r="Q316" s="225"/>
      <c r="R316" s="227"/>
      <c r="S316" s="75">
        <f>IF(Q315=0,0,S315/Q315)</f>
        <v>0.26146747764649375</v>
      </c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.6" thickTop="1">
      <c r="A317" t="str">
        <f t="shared" si="127"/>
        <v>Pièces</v>
      </c>
      <c r="B317" s="11" t="s">
        <v>98</v>
      </c>
      <c r="C317" s="53"/>
      <c r="D317" s="112"/>
      <c r="E317" s="173"/>
      <c r="F317" s="175"/>
      <c r="G317" s="174"/>
      <c r="H317" s="173"/>
      <c r="I317" s="175"/>
      <c r="J317" s="174"/>
      <c r="K317" s="173"/>
      <c r="L317" s="175"/>
      <c r="M317" s="41"/>
      <c r="N317" s="43"/>
      <c r="O317" s="174"/>
      <c r="P317" s="173"/>
      <c r="Q317" s="175"/>
      <c r="R317" s="41"/>
      <c r="S317" s="44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1">
      <c r="A318" t="str">
        <f t="shared" si="127"/>
        <v>PiècesDEPENSES</v>
      </c>
      <c r="B318" s="11" t="s">
        <v>98</v>
      </c>
      <c r="C318" s="79" t="s">
        <v>29</v>
      </c>
      <c r="D318" s="13"/>
      <c r="E318" s="13"/>
      <c r="F318" s="59"/>
      <c r="G318" s="41"/>
      <c r="H318" s="13"/>
      <c r="I318" s="59"/>
      <c r="J318" s="41"/>
      <c r="K318" s="13"/>
      <c r="L318" s="40"/>
      <c r="M318" s="41"/>
      <c r="N318" s="40"/>
      <c r="O318" s="41"/>
      <c r="P318" s="13"/>
      <c r="Q318" s="40"/>
      <c r="R318" s="41"/>
      <c r="S318" s="61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127"/>
        <v>PiècesSalaires cadres</v>
      </c>
      <c r="B319" s="11" t="s">
        <v>98</v>
      </c>
      <c r="C319" s="102" t="s">
        <v>40</v>
      </c>
      <c r="D319" s="13"/>
      <c r="E319" s="13"/>
      <c r="F319" s="30">
        <f>+SUM(START:END!F319)</f>
        <v>13581.956321839079</v>
      </c>
      <c r="G319" s="41"/>
      <c r="H319" s="13"/>
      <c r="I319" s="30">
        <f>+SUM(START:END!I319)</f>
        <v>0</v>
      </c>
      <c r="J319" s="41"/>
      <c r="K319" s="13"/>
      <c r="L319" s="33">
        <f>+SUM(START:END!L319)</f>
        <v>3835.3900000000003</v>
      </c>
      <c r="M319" s="41"/>
      <c r="N319" s="59">
        <f t="shared" ref="N319:N329" si="128">L319-F319</f>
        <v>-9746.56632183908</v>
      </c>
      <c r="O319" s="41"/>
      <c r="P319" s="13"/>
      <c r="Q319" s="33">
        <f>+SUM(START:END!Q319)</f>
        <v>13214.06</v>
      </c>
      <c r="R319" s="41"/>
      <c r="S319" s="85">
        <f t="shared" ref="S319:S322" si="129">L319-Q319</f>
        <v>-9378.6699999999983</v>
      </c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ref="A320:A329" si="130">+B320&amp;C320</f>
        <v>PiècesSalaires commis</v>
      </c>
      <c r="B320" s="11" t="s">
        <v>98</v>
      </c>
      <c r="C320" s="103" t="s">
        <v>41</v>
      </c>
      <c r="D320" s="81"/>
      <c r="E320" s="13"/>
      <c r="F320" s="22">
        <f>+SUM(START:END!F320)</f>
        <v>7269.2718620689657</v>
      </c>
      <c r="G320" s="83"/>
      <c r="H320" s="13"/>
      <c r="I320" s="22">
        <f>+SUM(START:END!I320)</f>
        <v>0</v>
      </c>
      <c r="J320" s="41"/>
      <c r="K320" s="13"/>
      <c r="L320" s="33">
        <f>+SUM(START:END!L320)</f>
        <v>5353.76</v>
      </c>
      <c r="M320" s="41"/>
      <c r="N320" s="59">
        <f t="shared" si="128"/>
        <v>-1915.5118620689655</v>
      </c>
      <c r="O320" s="41"/>
      <c r="P320" s="13"/>
      <c r="Q320" s="33">
        <f>+SUM(START:END!Q320)</f>
        <v>8118.27</v>
      </c>
      <c r="R320" s="41"/>
      <c r="S320" s="85">
        <f t="shared" si="129"/>
        <v>-2764.51</v>
      </c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>
      <c r="A321" t="str">
        <f t="shared" si="130"/>
        <v>PiècesSalaires autres</v>
      </c>
      <c r="B321" s="11" t="s">
        <v>98</v>
      </c>
      <c r="C321" s="102" t="s">
        <v>42</v>
      </c>
      <c r="D321" s="104"/>
      <c r="E321" s="105"/>
      <c r="F321" s="30">
        <f>+SUM(START:END!F321)</f>
        <v>58050.59522427847</v>
      </c>
      <c r="G321" s="106"/>
      <c r="H321" s="105"/>
      <c r="I321" s="30">
        <f>+SUM(START:END!I321)</f>
        <v>0</v>
      </c>
      <c r="J321" s="107"/>
      <c r="K321" s="105"/>
      <c r="L321" s="108">
        <f>+SUM(START:END!L321)</f>
        <v>53556.430000000008</v>
      </c>
      <c r="M321" s="107"/>
      <c r="N321" s="109">
        <f t="shared" si="128"/>
        <v>-4494.1652242784621</v>
      </c>
      <c r="O321" s="107"/>
      <c r="P321" s="105"/>
      <c r="Q321" s="108">
        <f>+SUM(START:END!Q321)</f>
        <v>40168.270000000004</v>
      </c>
      <c r="R321" s="107"/>
      <c r="S321" s="110">
        <f t="shared" si="129"/>
        <v>13388.160000000003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 t="shared" si="130"/>
        <v>PiècesSalaires spécialistes</v>
      </c>
      <c r="B322" s="11" t="s">
        <v>98</v>
      </c>
      <c r="C322" s="102" t="s">
        <v>43</v>
      </c>
      <c r="D322" s="81"/>
      <c r="E322" s="13"/>
      <c r="F322" s="30">
        <f>+SUM(START:END!F322)</f>
        <v>0</v>
      </c>
      <c r="G322" s="83"/>
      <c r="H322" s="13"/>
      <c r="I322" s="30">
        <f>+SUM(START:END!I322)</f>
        <v>0</v>
      </c>
      <c r="J322" s="41"/>
      <c r="K322" s="13"/>
      <c r="L322" s="33">
        <f>+SUM(START:END!L322)</f>
        <v>0</v>
      </c>
      <c r="M322" s="41"/>
      <c r="N322" s="59">
        <f t="shared" si="128"/>
        <v>0</v>
      </c>
      <c r="O322" s="41"/>
      <c r="P322" s="13"/>
      <c r="Q322" s="33">
        <f>+SUM(START:END!Q322)</f>
        <v>0</v>
      </c>
      <c r="R322" s="41"/>
      <c r="S322" s="85">
        <f t="shared" si="129"/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 t="shared" si="130"/>
        <v>Pièces[...]</v>
      </c>
      <c r="B323" s="11" t="s">
        <v>98</v>
      </c>
      <c r="C323" s="228" t="s">
        <v>19</v>
      </c>
      <c r="D323" s="81"/>
      <c r="E323" s="13"/>
      <c r="F323" s="30">
        <f>+SUM(START:END!F323)</f>
        <v>0</v>
      </c>
      <c r="G323" s="83"/>
      <c r="H323" s="13"/>
      <c r="I323" s="30">
        <f>+SUM(START:END!I323)</f>
        <v>0</v>
      </c>
      <c r="J323" s="41"/>
      <c r="K323" s="13"/>
      <c r="L323" s="33">
        <f>+SUM(START:END!L323)</f>
        <v>0</v>
      </c>
      <c r="M323" s="41"/>
      <c r="N323" s="59">
        <f t="shared" si="128"/>
        <v>0</v>
      </c>
      <c r="O323" s="41"/>
      <c r="P323" s="13"/>
      <c r="Q323" s="33">
        <f>+SUM(START:END!Q323)</f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 t="shared" si="130"/>
        <v>Pièces[...]</v>
      </c>
      <c r="B324" s="11" t="s">
        <v>98</v>
      </c>
      <c r="C324" s="228" t="s">
        <v>19</v>
      </c>
      <c r="D324" s="81"/>
      <c r="E324" s="13"/>
      <c r="F324" s="30">
        <f>+SUM(START:END!F324)</f>
        <v>0</v>
      </c>
      <c r="G324" s="83"/>
      <c r="H324" s="13"/>
      <c r="I324" s="30">
        <f>+SUM(START:END!I324)</f>
        <v>0</v>
      </c>
      <c r="J324" s="41"/>
      <c r="K324" s="13"/>
      <c r="L324" s="33">
        <f>+SUM(START:END!L324)</f>
        <v>0</v>
      </c>
      <c r="M324" s="41"/>
      <c r="N324" s="59">
        <f t="shared" si="128"/>
        <v>0</v>
      </c>
      <c r="O324" s="41"/>
      <c r="P324" s="13"/>
      <c r="Q324" s="33">
        <f>+SUM(START:END!Q324)</f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 hidden="1">
      <c r="A325" t="str">
        <f t="shared" si="130"/>
        <v>Pièces[...]</v>
      </c>
      <c r="B325" s="11" t="s">
        <v>98</v>
      </c>
      <c r="C325" s="228" t="s">
        <v>19</v>
      </c>
      <c r="D325" s="81"/>
      <c r="E325" s="13"/>
      <c r="F325" s="30">
        <f>+SUM(START:END!F325)</f>
        <v>0</v>
      </c>
      <c r="G325" s="83"/>
      <c r="H325" s="13"/>
      <c r="I325" s="30">
        <f>+SUM(START:END!I325)</f>
        <v>0</v>
      </c>
      <c r="J325" s="41"/>
      <c r="K325" s="13"/>
      <c r="L325" s="33">
        <f>+SUM(START:END!L325)</f>
        <v>0</v>
      </c>
      <c r="M325" s="41"/>
      <c r="N325" s="59">
        <f t="shared" si="128"/>
        <v>0</v>
      </c>
      <c r="O325" s="41"/>
      <c r="P325" s="13"/>
      <c r="Q325" s="33">
        <f>+SUM(START:END!Q325)</f>
        <v>0</v>
      </c>
      <c r="R325" s="41"/>
      <c r="S325" s="85">
        <f>L325-Q325</f>
        <v>0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130"/>
        <v>PiècesSalaires en absences</v>
      </c>
      <c r="B326" s="11" t="s">
        <v>98</v>
      </c>
      <c r="C326" s="103" t="s">
        <v>44</v>
      </c>
      <c r="D326" s="81"/>
      <c r="E326" s="13"/>
      <c r="F326" s="22">
        <f>+SUM(START:END!F326)</f>
        <v>10710.231169387196</v>
      </c>
      <c r="G326" s="83"/>
      <c r="H326" s="13"/>
      <c r="I326" s="22">
        <f>+SUM(START:END!I326)</f>
        <v>0</v>
      </c>
      <c r="J326" s="41"/>
      <c r="K326" s="13"/>
      <c r="L326" s="33">
        <f>+SUM(START:END!L326)</f>
        <v>9758.619999999999</v>
      </c>
      <c r="M326" s="41"/>
      <c r="N326" s="59">
        <f t="shared" si="128"/>
        <v>-951.61116938719715</v>
      </c>
      <c r="O326" s="41"/>
      <c r="P326" s="13"/>
      <c r="Q326" s="33">
        <f>+SUM(START:END!Q326)</f>
        <v>10459.39</v>
      </c>
      <c r="R326" s="41"/>
      <c r="S326" s="85">
        <f t="shared" ref="S326:S329" si="131">L326-Q326</f>
        <v>-700.77000000000044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130"/>
        <v>PiècesDéduction à la source</v>
      </c>
      <c r="B327" s="11" t="s">
        <v>98</v>
      </c>
      <c r="C327" s="102" t="s">
        <v>45</v>
      </c>
      <c r="D327" s="104"/>
      <c r="E327" s="105"/>
      <c r="F327" s="30">
        <f>+SUM(START:END!F327)</f>
        <v>10978.940609422642</v>
      </c>
      <c r="G327" s="106"/>
      <c r="H327" s="105"/>
      <c r="I327" s="30">
        <f>+SUM(START:END!I327)</f>
        <v>0</v>
      </c>
      <c r="J327" s="107"/>
      <c r="K327" s="105"/>
      <c r="L327" s="108">
        <f>+SUM(START:END!L327)</f>
        <v>9599.7999999999993</v>
      </c>
      <c r="M327" s="107"/>
      <c r="N327" s="109">
        <f t="shared" si="128"/>
        <v>-1379.1406094226422</v>
      </c>
      <c r="O327" s="107"/>
      <c r="P327" s="105"/>
      <c r="Q327" s="108">
        <f>+SUM(START:END!Q327)</f>
        <v>13199.93</v>
      </c>
      <c r="R327" s="107"/>
      <c r="S327" s="110">
        <f t="shared" si="131"/>
        <v>-3600.130000000001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130"/>
        <v>PiècesBénéfices marginaux</v>
      </c>
      <c r="B328" s="11" t="s">
        <v>98</v>
      </c>
      <c r="C328" s="102" t="s">
        <v>46</v>
      </c>
      <c r="D328" s="81"/>
      <c r="E328" s="13"/>
      <c r="F328" s="30">
        <f>+SUM(START:END!F328)</f>
        <v>8727.1350158413588</v>
      </c>
      <c r="G328" s="83"/>
      <c r="H328" s="13"/>
      <c r="I328" s="30">
        <f>+SUM(START:END!I328)</f>
        <v>0</v>
      </c>
      <c r="J328" s="41"/>
      <c r="K328" s="13"/>
      <c r="L328" s="33">
        <f>+SUM(START:END!L328)</f>
        <v>8042.7900000000009</v>
      </c>
      <c r="M328" s="41"/>
      <c r="N328" s="59">
        <f t="shared" si="128"/>
        <v>-684.34501584135796</v>
      </c>
      <c r="O328" s="41"/>
      <c r="P328" s="13"/>
      <c r="Q328" s="33">
        <f>+SUM(START:END!Q328)</f>
        <v>7784.84</v>
      </c>
      <c r="R328" s="41"/>
      <c r="S328" s="85">
        <f t="shared" si="131"/>
        <v>257.95000000000073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>
      <c r="A329" t="str">
        <f t="shared" si="130"/>
        <v>PiècesCsst</v>
      </c>
      <c r="B329" s="11" t="s">
        <v>98</v>
      </c>
      <c r="C329" s="102" t="s">
        <v>47</v>
      </c>
      <c r="D329" s="81"/>
      <c r="E329" s="13"/>
      <c r="F329" s="30">
        <f>+SUM(START:END!F329)</f>
        <v>2181.7837539603397</v>
      </c>
      <c r="G329" s="83"/>
      <c r="H329" s="13"/>
      <c r="I329" s="30">
        <f>+SUM(START:END!I329)</f>
        <v>0</v>
      </c>
      <c r="J329" s="41"/>
      <c r="K329" s="13"/>
      <c r="L329" s="33">
        <f>+SUM(START:END!L329)</f>
        <v>1354.13</v>
      </c>
      <c r="M329" s="462"/>
      <c r="N329" s="145">
        <f t="shared" si="128"/>
        <v>-827.6537539603396</v>
      </c>
      <c r="O329" s="41"/>
      <c r="P329" s="13"/>
      <c r="Q329" s="33">
        <f>+SUM(START:END!Q329)</f>
        <v>2262.79</v>
      </c>
      <c r="R329" s="41"/>
      <c r="S329" s="85">
        <f t="shared" si="131"/>
        <v>-908.65999999999985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399999999999999" hidden="1">
      <c r="A330" t="str">
        <f t="shared" ref="A330:A339" si="132">+B330&amp;C330</f>
        <v>Pièces[...]</v>
      </c>
      <c r="B330" s="11" t="s">
        <v>98</v>
      </c>
      <c r="C330" s="29" t="s">
        <v>19</v>
      </c>
      <c r="D330" s="87"/>
      <c r="E330" s="111"/>
      <c r="F330" s="30">
        <f>+SUM(START:END!F330)</f>
        <v>0</v>
      </c>
      <c r="G330" s="89"/>
      <c r="H330" s="111"/>
      <c r="I330" s="30">
        <f>+SUM(START:END!I330)</f>
        <v>0</v>
      </c>
      <c r="J330" s="23"/>
      <c r="K330" s="111"/>
      <c r="L330" s="33">
        <f>+SUM(START:END!L330)</f>
        <v>0</v>
      </c>
      <c r="M330" s="23"/>
      <c r="N330" s="91">
        <f>L330-F330</f>
        <v>0</v>
      </c>
      <c r="O330" s="23"/>
      <c r="P330" s="111"/>
      <c r="Q330" s="33">
        <f>+SUM(START:END!Q330)</f>
        <v>0</v>
      </c>
      <c r="R330" s="23"/>
      <c r="S330" s="92">
        <f>L330-Q330</f>
        <v>0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1">
      <c r="A331" t="str">
        <f t="shared" si="132"/>
        <v>PiècesTOTAL PERSONNEL</v>
      </c>
      <c r="B331" s="11" t="s">
        <v>98</v>
      </c>
      <c r="C331" s="93" t="s">
        <v>48</v>
      </c>
      <c r="D331" s="94" t="s">
        <v>38</v>
      </c>
      <c r="E331" s="95" t="e">
        <f>F331/F$314</f>
        <v>#DIV/0!</v>
      </c>
      <c r="F331" s="96">
        <f>+SUM(F319:F330)</f>
        <v>111499.91395679806</v>
      </c>
      <c r="G331" s="97" t="s">
        <v>38</v>
      </c>
      <c r="H331" s="95" t="e">
        <f>I331/I$314</f>
        <v>#DIV/0!</v>
      </c>
      <c r="I331" s="96">
        <f>+SUM(I319:I330)</f>
        <v>0</v>
      </c>
      <c r="J331" s="97" t="s">
        <v>38</v>
      </c>
      <c r="K331" s="95" t="e">
        <f>L331/L$314</f>
        <v>#DIV/0!</v>
      </c>
      <c r="L331" s="96">
        <f>+SUM(L319:L330)</f>
        <v>91500.920000000013</v>
      </c>
      <c r="M331" s="146"/>
      <c r="N331" s="113">
        <f t="shared" ref="N331:N349" si="133">L331-F331</f>
        <v>-19998.993956798047</v>
      </c>
      <c r="O331" s="97" t="s">
        <v>38</v>
      </c>
      <c r="P331" s="95" t="e">
        <f>Q331/Q$314</f>
        <v>#DIV/0!</v>
      </c>
      <c r="Q331" s="96">
        <f>+SUM(Q319:Q330)</f>
        <v>95207.55</v>
      </c>
      <c r="R331" s="146"/>
      <c r="S331" s="114">
        <f t="shared" ref="S331:S337" si="134">L331-Q331</f>
        <v>-3706.6299999999901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132"/>
        <v>PiècesPublicité 2</v>
      </c>
      <c r="B332" s="11" t="s">
        <v>98</v>
      </c>
      <c r="C332" s="210" t="s">
        <v>49</v>
      </c>
      <c r="D332" s="81"/>
      <c r="E332" s="13"/>
      <c r="F332" s="30">
        <f>+SUM(START:END!F332)</f>
        <v>2921.6706517000516</v>
      </c>
      <c r="G332" s="83"/>
      <c r="H332" s="13"/>
      <c r="I332" s="30">
        <f>+SUM(START:END!I332)</f>
        <v>0</v>
      </c>
      <c r="J332" s="41"/>
      <c r="K332" s="13"/>
      <c r="L332" s="33">
        <f>+SUM(START:END!L332)</f>
        <v>2251.4299999999998</v>
      </c>
      <c r="M332" s="41"/>
      <c r="N332" s="59">
        <f t="shared" si="133"/>
        <v>-670.24065170005179</v>
      </c>
      <c r="O332" s="41"/>
      <c r="P332" s="13"/>
      <c r="Q332" s="33">
        <f>+SUM(START:END!Q332)</f>
        <v>6991.17</v>
      </c>
      <c r="R332" s="41"/>
      <c r="S332" s="85">
        <f t="shared" si="134"/>
        <v>-4739.74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132"/>
        <v>PiècesService gratuit 2</v>
      </c>
      <c r="B333" s="11" t="s">
        <v>98</v>
      </c>
      <c r="C333" s="102" t="s">
        <v>50</v>
      </c>
      <c r="D333" s="81"/>
      <c r="E333" s="13"/>
      <c r="F333" s="30">
        <f>+SUM(START:END!F333)</f>
        <v>1875</v>
      </c>
      <c r="G333" s="83"/>
      <c r="H333" s="13"/>
      <c r="I333" s="30">
        <f>+SUM(START:END!I333)</f>
        <v>0</v>
      </c>
      <c r="J333" s="41"/>
      <c r="K333" s="13"/>
      <c r="L333" s="30">
        <f>+SUM(START:END!L333)</f>
        <v>1455.1100000000001</v>
      </c>
      <c r="M333" s="41"/>
      <c r="N333" s="59">
        <f t="shared" si="133"/>
        <v>-419.88999999999987</v>
      </c>
      <c r="O333" s="41"/>
      <c r="P333" s="13"/>
      <c r="Q333" s="33">
        <f>+SUM(START:END!Q333)</f>
        <v>1002.47</v>
      </c>
      <c r="R333" s="41"/>
      <c r="S333" s="85">
        <f t="shared" si="134"/>
        <v>452.6400000000001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132"/>
        <v>PiècesFrais véhicules de cie</v>
      </c>
      <c r="B334" s="11" t="s">
        <v>98</v>
      </c>
      <c r="C334" s="103" t="s">
        <v>51</v>
      </c>
      <c r="D334" s="87"/>
      <c r="E334" s="111"/>
      <c r="F334" s="22">
        <f>+SUM(START:END!F334)</f>
        <v>14471</v>
      </c>
      <c r="G334" s="89"/>
      <c r="H334" s="111"/>
      <c r="I334" s="22">
        <f>+SUM(START:END!I334)</f>
        <v>0</v>
      </c>
      <c r="J334" s="23"/>
      <c r="K334" s="111"/>
      <c r="L334" s="22">
        <f>+SUM(START:END!L334)</f>
        <v>15411.45</v>
      </c>
      <c r="M334" s="23"/>
      <c r="N334" s="91">
        <f t="shared" si="133"/>
        <v>940.45000000000073</v>
      </c>
      <c r="O334" s="23"/>
      <c r="P334" s="111"/>
      <c r="Q334" s="33">
        <f>+SUM(START:END!Q334)</f>
        <v>16064.29999999999</v>
      </c>
      <c r="R334" s="23"/>
      <c r="S334" s="92">
        <f t="shared" si="134"/>
        <v>-652.84999999998945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132"/>
        <v>PiècesInformatique</v>
      </c>
      <c r="B335" s="11" t="s">
        <v>98</v>
      </c>
      <c r="C335" s="102" t="s">
        <v>52</v>
      </c>
      <c r="D335" s="81"/>
      <c r="E335" s="13"/>
      <c r="F335" s="30">
        <f>+SUM(START:END!F335)</f>
        <v>7954.4260000000013</v>
      </c>
      <c r="G335" s="83"/>
      <c r="H335" s="13"/>
      <c r="I335" s="30">
        <f>+SUM(START:END!I335)</f>
        <v>0</v>
      </c>
      <c r="J335" s="41"/>
      <c r="K335" s="13"/>
      <c r="L335" s="108">
        <f>+SUM(START:END!L335)</f>
        <v>7553.2300000000014</v>
      </c>
      <c r="M335" s="41"/>
      <c r="N335" s="59">
        <f t="shared" si="133"/>
        <v>-401.19599999999991</v>
      </c>
      <c r="O335" s="41"/>
      <c r="P335" s="13"/>
      <c r="Q335" s="108">
        <f>+SUM(START:END!Q335)</f>
        <v>5449.26</v>
      </c>
      <c r="R335" s="41"/>
      <c r="S335" s="85">
        <f t="shared" si="134"/>
        <v>2103.9700000000012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132"/>
        <v>PiècesFrais de déplacement</v>
      </c>
      <c r="B336" s="11" t="s">
        <v>98</v>
      </c>
      <c r="C336" s="102" t="s">
        <v>53</v>
      </c>
      <c r="D336" s="81"/>
      <c r="E336" s="13"/>
      <c r="F336" s="30">
        <f>+SUM(START:END!F336)</f>
        <v>2995</v>
      </c>
      <c r="G336" s="83"/>
      <c r="H336" s="13"/>
      <c r="I336" s="30">
        <f>+SUM(START:END!I336)</f>
        <v>0</v>
      </c>
      <c r="J336" s="41"/>
      <c r="K336" s="13"/>
      <c r="L336" s="33">
        <f>+SUM(START:END!L336)</f>
        <v>4521.88</v>
      </c>
      <c r="M336" s="41"/>
      <c r="N336" s="59">
        <f t="shared" si="133"/>
        <v>1526.88</v>
      </c>
      <c r="O336" s="41"/>
      <c r="P336" s="13"/>
      <c r="Q336" s="33">
        <f>+SUM(START:END!Q336)</f>
        <v>251.52999999999997</v>
      </c>
      <c r="R336" s="41"/>
      <c r="S336" s="85">
        <f t="shared" si="134"/>
        <v>4270.3500000000004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>
      <c r="A337" t="str">
        <f t="shared" si="132"/>
        <v>PiècesServices extérieurs</v>
      </c>
      <c r="B337" s="11" t="s">
        <v>98</v>
      </c>
      <c r="C337" s="229" t="s">
        <v>54</v>
      </c>
      <c r="D337" s="87"/>
      <c r="E337" s="111"/>
      <c r="F337" s="22">
        <f>+SUM(START:END!F337)</f>
        <v>3955.7280000000001</v>
      </c>
      <c r="G337" s="89"/>
      <c r="H337" s="111"/>
      <c r="I337" s="22">
        <f>+SUM(START:END!I337)</f>
        <v>0</v>
      </c>
      <c r="J337" s="23"/>
      <c r="K337" s="111"/>
      <c r="L337" s="48">
        <f>+SUM(START:END!L337)</f>
        <v>5499.23</v>
      </c>
      <c r="M337" s="23"/>
      <c r="N337" s="91">
        <f t="shared" si="133"/>
        <v>1543.5019999999995</v>
      </c>
      <c r="O337" s="23"/>
      <c r="P337" s="111"/>
      <c r="Q337" s="48">
        <f>+SUM(START:END!Q337)</f>
        <v>5917.33</v>
      </c>
      <c r="R337" s="23"/>
      <c r="S337" s="92">
        <f t="shared" si="134"/>
        <v>-418.10000000000036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 hidden="1">
      <c r="A338" t="str">
        <f t="shared" si="132"/>
        <v>PiècesFournitures d'atelier</v>
      </c>
      <c r="B338" s="11" t="s">
        <v>98</v>
      </c>
      <c r="C338" s="102" t="s">
        <v>93</v>
      </c>
      <c r="D338" s="81"/>
      <c r="E338" s="13"/>
      <c r="F338" s="30">
        <f>+SUM(START:END!F338)</f>
        <v>0</v>
      </c>
      <c r="G338" s="83"/>
      <c r="H338" s="13"/>
      <c r="I338" s="30">
        <f>+SUM(START:END!I338)</f>
        <v>0</v>
      </c>
      <c r="J338" s="41"/>
      <c r="K338" s="13"/>
      <c r="L338" s="33">
        <f>+SUM(START:END!L338)</f>
        <v>0</v>
      </c>
      <c r="M338" s="41"/>
      <c r="N338" s="59">
        <f t="shared" si="133"/>
        <v>0</v>
      </c>
      <c r="O338" s="41"/>
      <c r="P338" s="13"/>
      <c r="Q338" s="33">
        <f>+SUM(START:END!Q338)</f>
        <v>0</v>
      </c>
      <c r="R338" s="41"/>
      <c r="S338" s="85">
        <f>L338-Q338</f>
        <v>0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132"/>
        <v>PiècesFournitures autres</v>
      </c>
      <c r="B339" s="11" t="s">
        <v>98</v>
      </c>
      <c r="C339" s="102" t="s">
        <v>55</v>
      </c>
      <c r="D339" s="81"/>
      <c r="E339" s="13"/>
      <c r="F339" s="30">
        <f>+SUM(START:END!F339)</f>
        <v>45</v>
      </c>
      <c r="G339" s="83"/>
      <c r="H339" s="13"/>
      <c r="I339" s="30">
        <f>+SUM(START:END!I339)</f>
        <v>0</v>
      </c>
      <c r="J339" s="41"/>
      <c r="K339" s="13"/>
      <c r="L339" s="33">
        <f>+SUM(START:END!L339)</f>
        <v>261.97000000000003</v>
      </c>
      <c r="M339" s="41"/>
      <c r="N339" s="59">
        <f t="shared" si="133"/>
        <v>216.97000000000003</v>
      </c>
      <c r="O339" s="41"/>
      <c r="P339" s="13"/>
      <c r="Q339" s="33">
        <f>+SUM(START:END!Q339)</f>
        <v>108.77</v>
      </c>
      <c r="R339" s="41"/>
      <c r="S339" s="85">
        <f t="shared" ref="S339:S344" si="135">L339-Q339</f>
        <v>153.20000000000005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ref="A340:A349" si="136">+B340&amp;C340</f>
        <v>PiècesUniformes</v>
      </c>
      <c r="B340" s="11" t="s">
        <v>98</v>
      </c>
      <c r="C340" s="102" t="s">
        <v>56</v>
      </c>
      <c r="D340" s="81"/>
      <c r="E340" s="13"/>
      <c r="F340" s="30">
        <f>+SUM(START:END!F340)</f>
        <v>112.5</v>
      </c>
      <c r="G340" s="83"/>
      <c r="H340" s="13"/>
      <c r="I340" s="30">
        <f>+SUM(START:END!I340)</f>
        <v>0</v>
      </c>
      <c r="J340" s="41"/>
      <c r="K340" s="13"/>
      <c r="L340" s="33">
        <f>+SUM(START:END!L340)</f>
        <v>93.24</v>
      </c>
      <c r="M340" s="41"/>
      <c r="N340" s="59">
        <f t="shared" si="133"/>
        <v>-19.260000000000005</v>
      </c>
      <c r="O340" s="41"/>
      <c r="P340" s="13"/>
      <c r="Q340" s="33">
        <f>+SUM(START:END!Q340)</f>
        <v>0</v>
      </c>
      <c r="R340" s="41"/>
      <c r="S340" s="85">
        <f t="shared" si="135"/>
        <v>93.24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136"/>
        <v>PiècesPapeterie</v>
      </c>
      <c r="B341" s="11" t="s">
        <v>98</v>
      </c>
      <c r="C341" s="102" t="s">
        <v>57</v>
      </c>
      <c r="D341" s="81"/>
      <c r="E341" s="13"/>
      <c r="F341" s="30">
        <f>+SUM(START:END!F341)</f>
        <v>870</v>
      </c>
      <c r="G341" s="83"/>
      <c r="H341" s="13"/>
      <c r="I341" s="30">
        <f>+SUM(START:END!I341)</f>
        <v>0</v>
      </c>
      <c r="J341" s="41"/>
      <c r="K341" s="13"/>
      <c r="L341" s="32">
        <f>+SUM(START:END!L341)</f>
        <v>557.19000000000005</v>
      </c>
      <c r="M341" s="41"/>
      <c r="N341" s="59">
        <f t="shared" si="133"/>
        <v>-312.80999999999995</v>
      </c>
      <c r="O341" s="41"/>
      <c r="P341" s="13"/>
      <c r="Q341" s="32">
        <f>+SUM(START:END!Q341)</f>
        <v>717.62</v>
      </c>
      <c r="R341" s="41"/>
      <c r="S341" s="85">
        <f t="shared" si="135"/>
        <v>-160.42999999999995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136"/>
        <v>PiècesTéléphone</v>
      </c>
      <c r="B342" s="11" t="s">
        <v>98</v>
      </c>
      <c r="C342" s="102" t="s">
        <v>58</v>
      </c>
      <c r="D342" s="81"/>
      <c r="E342" s="13"/>
      <c r="F342" s="30">
        <f>+SUM(START:END!F342)</f>
        <v>341.4</v>
      </c>
      <c r="G342" s="83"/>
      <c r="H342" s="13"/>
      <c r="I342" s="30">
        <f>+SUM(START:END!I342)</f>
        <v>0</v>
      </c>
      <c r="J342" s="41"/>
      <c r="K342" s="13"/>
      <c r="L342" s="33">
        <f>+SUM(START:END!L342)</f>
        <v>326.76</v>
      </c>
      <c r="M342" s="41"/>
      <c r="N342" s="59">
        <f t="shared" si="133"/>
        <v>-14.639999999999986</v>
      </c>
      <c r="O342" s="41"/>
      <c r="P342" s="13"/>
      <c r="Q342" s="33">
        <f>+SUM(START:END!Q342)</f>
        <v>329.33</v>
      </c>
      <c r="R342" s="41"/>
      <c r="S342" s="85">
        <f t="shared" si="135"/>
        <v>-2.5699999999999932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136"/>
        <v>PiècesFrais postaux</v>
      </c>
      <c r="B343" s="11" t="s">
        <v>98</v>
      </c>
      <c r="C343" s="102" t="s">
        <v>59</v>
      </c>
      <c r="D343" s="81"/>
      <c r="E343" s="13"/>
      <c r="F343" s="30">
        <f>+SUM(START:END!F343)</f>
        <v>7115.0000000000009</v>
      </c>
      <c r="G343" s="83"/>
      <c r="H343" s="13"/>
      <c r="I343" s="30">
        <f>+SUM(START:END!I343)</f>
        <v>0</v>
      </c>
      <c r="J343" s="41"/>
      <c r="K343" s="13"/>
      <c r="L343" s="33">
        <f>+SUM(START:END!L343)</f>
        <v>-1342.71</v>
      </c>
      <c r="M343" s="41"/>
      <c r="N343" s="59">
        <f t="shared" si="133"/>
        <v>-8457.7100000000009</v>
      </c>
      <c r="O343" s="41"/>
      <c r="P343" s="13"/>
      <c r="Q343" s="33">
        <f>+SUM(START:END!Q343)</f>
        <v>2455.7300000000005</v>
      </c>
      <c r="R343" s="41"/>
      <c r="S343" s="85">
        <f t="shared" si="135"/>
        <v>-3798.4400000000005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 t="shared" si="136"/>
        <v>PiècesDivers</v>
      </c>
      <c r="B344" s="11" t="s">
        <v>98</v>
      </c>
      <c r="C344" s="102" t="s">
        <v>60</v>
      </c>
      <c r="D344" s="81"/>
      <c r="E344" s="13"/>
      <c r="F344" s="30">
        <f>+SUM(START:END!F344)</f>
        <v>916</v>
      </c>
      <c r="G344" s="83"/>
      <c r="H344" s="13"/>
      <c r="I344" s="30">
        <f>+SUM(START:END!I344)</f>
        <v>0</v>
      </c>
      <c r="J344" s="41"/>
      <c r="K344" s="13"/>
      <c r="L344" s="33">
        <f>+SUM(START:END!L344)</f>
        <v>830.7600000000001</v>
      </c>
      <c r="M344" s="41"/>
      <c r="N344" s="59">
        <f t="shared" si="133"/>
        <v>-85.239999999999895</v>
      </c>
      <c r="O344" s="41"/>
      <c r="P344" s="13"/>
      <c r="Q344" s="33">
        <f>+SUM(START:END!Q344)</f>
        <v>1399.339999999999</v>
      </c>
      <c r="R344" s="41"/>
      <c r="S344" s="85">
        <f t="shared" si="135"/>
        <v>-568.5799999999989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 t="shared" si="136"/>
        <v>PiècesFormation</v>
      </c>
      <c r="B345" s="11" t="s">
        <v>98</v>
      </c>
      <c r="C345" s="102" t="s">
        <v>61</v>
      </c>
      <c r="D345" s="81"/>
      <c r="E345" s="13"/>
      <c r="F345" s="30">
        <f>+SUM(START:END!F345)</f>
        <v>457.39200000000017</v>
      </c>
      <c r="G345" s="83"/>
      <c r="H345" s="13"/>
      <c r="I345" s="30">
        <f>+SUM(START:END!I345)</f>
        <v>0</v>
      </c>
      <c r="J345" s="41"/>
      <c r="K345" s="13"/>
      <c r="L345" s="59">
        <f>+SUM(START:END!L345)</f>
        <v>431.60999999999996</v>
      </c>
      <c r="M345" s="41"/>
      <c r="N345" s="59">
        <f t="shared" si="133"/>
        <v>-25.78200000000021</v>
      </c>
      <c r="O345" s="41"/>
      <c r="P345" s="13"/>
      <c r="Q345" s="33">
        <f>+SUM(START:END!Q345)</f>
        <v>227.98999999999998</v>
      </c>
      <c r="R345" s="41"/>
      <c r="S345" s="85">
        <f>L345-Q345</f>
        <v>203.61999999999998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>
      <c r="A346" t="str">
        <f t="shared" si="136"/>
        <v>PiècesFrais bancaires</v>
      </c>
      <c r="B346" s="11" t="s">
        <v>98</v>
      </c>
      <c r="C346" s="102" t="s">
        <v>62</v>
      </c>
      <c r="D346" s="81"/>
      <c r="E346" s="13"/>
      <c r="F346" s="30">
        <f>+SUM(START:END!F346)</f>
        <v>5134.4344099767286</v>
      </c>
      <c r="G346" s="83"/>
      <c r="H346" s="13"/>
      <c r="I346" s="30">
        <f>+SUM(START:END!I346)</f>
        <v>0</v>
      </c>
      <c r="J346" s="41"/>
      <c r="K346" s="13"/>
      <c r="L346" s="32">
        <f>+SUM(START:END!L346)</f>
        <v>4162.1100000000006</v>
      </c>
      <c r="M346" s="41"/>
      <c r="N346" s="59">
        <f t="shared" si="133"/>
        <v>-972.32440997672802</v>
      </c>
      <c r="O346" s="41"/>
      <c r="P346" s="13"/>
      <c r="Q346" s="33">
        <f>+SUM(START:END!Q346)</f>
        <v>3274.8500000000004</v>
      </c>
      <c r="R346" s="41"/>
      <c r="S346" s="85">
        <f>L346-Q346</f>
        <v>887.26000000000022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 t="shared" si="136"/>
        <v>Pièces[...]</v>
      </c>
      <c r="B347" s="11" t="s">
        <v>98</v>
      </c>
      <c r="C347" s="102" t="s">
        <v>19</v>
      </c>
      <c r="D347" s="81"/>
      <c r="E347" s="13"/>
      <c r="F347" s="30">
        <f>+SUM(START:END!F347)</f>
        <v>0</v>
      </c>
      <c r="G347" s="83"/>
      <c r="H347" s="13"/>
      <c r="I347" s="30">
        <f>+SUM(START:END!I347)</f>
        <v>0</v>
      </c>
      <c r="J347" s="41"/>
      <c r="K347" s="13"/>
      <c r="L347" s="33">
        <f>+SUM(START:END!L347)</f>
        <v>0</v>
      </c>
      <c r="M347" s="41"/>
      <c r="N347" s="59">
        <f t="shared" si="133"/>
        <v>0</v>
      </c>
      <c r="O347" s="41"/>
      <c r="P347" s="13"/>
      <c r="Q347" s="33">
        <f>+SUM(START:END!Q347)</f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 t="shared" si="136"/>
        <v>Pièces[...]</v>
      </c>
      <c r="B348" s="11" t="s">
        <v>98</v>
      </c>
      <c r="C348" s="102" t="s">
        <v>19</v>
      </c>
      <c r="D348" s="81"/>
      <c r="E348" s="13"/>
      <c r="F348" s="30">
        <f>+SUM(START:END!F348)</f>
        <v>0</v>
      </c>
      <c r="G348" s="83"/>
      <c r="H348" s="13"/>
      <c r="I348" s="30">
        <f>+SUM(START:END!I348)</f>
        <v>0</v>
      </c>
      <c r="J348" s="41"/>
      <c r="K348" s="13"/>
      <c r="L348" s="33">
        <f>+SUM(START:END!L348)</f>
        <v>0</v>
      </c>
      <c r="M348" s="41"/>
      <c r="N348" s="59">
        <f t="shared" si="133"/>
        <v>0</v>
      </c>
      <c r="O348" s="41"/>
      <c r="P348" s="13"/>
      <c r="Q348" s="33">
        <f>+SUM(START:END!Q348)</f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399999999999999" hidden="1">
      <c r="A349" t="str">
        <f t="shared" si="136"/>
        <v>Pièces[...]</v>
      </c>
      <c r="B349" s="11" t="s">
        <v>98</v>
      </c>
      <c r="C349" s="102" t="s">
        <v>19</v>
      </c>
      <c r="D349" s="81"/>
      <c r="E349" s="13"/>
      <c r="F349" s="30">
        <f>+SUM(START:END!F349)</f>
        <v>0</v>
      </c>
      <c r="G349" s="83"/>
      <c r="H349" s="13"/>
      <c r="I349" s="30">
        <f>+SUM(START:END!I349)</f>
        <v>0</v>
      </c>
      <c r="J349" s="41"/>
      <c r="K349" s="13"/>
      <c r="L349" s="33">
        <f>+SUM(START:END!L349)</f>
        <v>0</v>
      </c>
      <c r="M349" s="41"/>
      <c r="N349" s="59">
        <f t="shared" si="133"/>
        <v>0</v>
      </c>
      <c r="O349" s="41"/>
      <c r="P349" s="13"/>
      <c r="Q349" s="33">
        <f>+SUM(START:END!Q349)</f>
        <v>0</v>
      </c>
      <c r="R349" s="41"/>
      <c r="S349" s="85">
        <f>L349-Q349</f>
        <v>0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1">
      <c r="B350" s="7"/>
      <c r="C350" s="93" t="s">
        <v>63</v>
      </c>
      <c r="D350" s="94" t="s">
        <v>38</v>
      </c>
      <c r="E350" s="95" t="e">
        <f>F350/F$314</f>
        <v>#DIV/0!</v>
      </c>
      <c r="F350" s="96">
        <f>+SUM(F332:F349)</f>
        <v>49164.551061676779</v>
      </c>
      <c r="G350" s="97" t="s">
        <v>38</v>
      </c>
      <c r="H350" s="95" t="e">
        <f>I350/I$314</f>
        <v>#DIV/0!</v>
      </c>
      <c r="I350" s="96">
        <f>+SUM(I332:I349)</f>
        <v>0</v>
      </c>
      <c r="J350" s="97" t="s">
        <v>38</v>
      </c>
      <c r="K350" s="95" t="e">
        <f>L350/L$314</f>
        <v>#DIV/0!</v>
      </c>
      <c r="L350" s="96">
        <f>+SUM(L332:L349)</f>
        <v>42013.260000000009</v>
      </c>
      <c r="M350" s="100"/>
      <c r="N350" s="96">
        <f>+SUM(N332:N349)</f>
        <v>-7151.2910616767804</v>
      </c>
      <c r="O350" s="97" t="s">
        <v>38</v>
      </c>
      <c r="P350" s="95" t="e">
        <f>Q350/Q$314</f>
        <v>#DIV/0!</v>
      </c>
      <c r="Q350" s="96">
        <f>+SUM(Q332:Q349)</f>
        <v>44189.689999999988</v>
      </c>
      <c r="R350" s="100"/>
      <c r="S350" s="101">
        <f>+SUM(S332:S349)</f>
        <v>-2176.4299999999866</v>
      </c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399999999999999">
      <c r="B351" s="7"/>
      <c r="C351" s="86"/>
      <c r="D351" s="87"/>
      <c r="E351" s="111"/>
      <c r="F351" s="59"/>
      <c r="G351" s="89"/>
      <c r="H351" s="111"/>
      <c r="I351" s="59"/>
      <c r="J351" s="23"/>
      <c r="K351" s="111"/>
      <c r="L351" s="91"/>
      <c r="M351" s="23"/>
      <c r="N351" s="91"/>
      <c r="O351" s="23"/>
      <c r="P351" s="111"/>
      <c r="Q351" s="91"/>
      <c r="R351" s="23"/>
      <c r="S351" s="92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1">
      <c r="B352" s="7"/>
      <c r="C352" s="93" t="s">
        <v>64</v>
      </c>
      <c r="D352" s="94" t="s">
        <v>38</v>
      </c>
      <c r="E352" s="95" t="e">
        <f>F352/F$314</f>
        <v>#DIV/0!</v>
      </c>
      <c r="F352" s="96">
        <f>F331+F350</f>
        <v>160664.46501847485</v>
      </c>
      <c r="G352" s="97" t="s">
        <v>38</v>
      </c>
      <c r="H352" s="95" t="e">
        <f>I352/I$314</f>
        <v>#DIV/0!</v>
      </c>
      <c r="I352" s="96">
        <f>I331+I350</f>
        <v>0</v>
      </c>
      <c r="J352" s="97" t="s">
        <v>38</v>
      </c>
      <c r="K352" s="95" t="e">
        <f>L352/L$314</f>
        <v>#DIV/0!</v>
      </c>
      <c r="L352" s="96">
        <f>L331+L350</f>
        <v>133514.18000000002</v>
      </c>
      <c r="M352" s="100"/>
      <c r="N352" s="113">
        <f>L352-F352</f>
        <v>-27150.285018474824</v>
      </c>
      <c r="O352" s="97" t="s">
        <v>38</v>
      </c>
      <c r="P352" s="95" t="e">
        <f>Q352/Q$314</f>
        <v>#DIV/0!</v>
      </c>
      <c r="Q352" s="96">
        <f>Q331+Q350</f>
        <v>139397.24</v>
      </c>
      <c r="R352" s="100"/>
      <c r="S352" s="114">
        <f>L352-Q352</f>
        <v>-5883.0599999999686</v>
      </c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0.399999999999999">
      <c r="B353" s="7"/>
      <c r="C353" s="29"/>
      <c r="D353" s="81"/>
      <c r="E353" s="13"/>
      <c r="F353" s="59"/>
      <c r="G353" s="83"/>
      <c r="H353" s="13"/>
      <c r="I353" s="59"/>
      <c r="J353" s="41"/>
      <c r="K353" s="13"/>
      <c r="L353" s="59"/>
      <c r="M353" s="41"/>
      <c r="N353" s="59">
        <f>L353-F353</f>
        <v>0</v>
      </c>
      <c r="O353" s="41"/>
      <c r="P353" s="13"/>
      <c r="Q353" s="59"/>
      <c r="R353" s="41"/>
      <c r="S353" s="85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Bot="1">
      <c r="B354" s="7"/>
      <c r="C354" s="124" t="s">
        <v>69</v>
      </c>
      <c r="D354" s="151"/>
      <c r="E354" s="125"/>
      <c r="F354" s="127">
        <f>F315-F352</f>
        <v>181108.29013698717</v>
      </c>
      <c r="G354" s="152"/>
      <c r="H354" s="125"/>
      <c r="I354" s="127">
        <f>I315-I352</f>
        <v>0</v>
      </c>
      <c r="J354" s="153"/>
      <c r="K354" s="126"/>
      <c r="L354" s="127">
        <f>L315-L352</f>
        <v>225108.21999999994</v>
      </c>
      <c r="M354" s="153"/>
      <c r="N354" s="127">
        <f>L354-F354</f>
        <v>43999.929863012774</v>
      </c>
      <c r="O354" s="153"/>
      <c r="P354" s="126"/>
      <c r="Q354" s="127">
        <f>Q315-Q352</f>
        <v>144892.60999999993</v>
      </c>
      <c r="R354" s="153"/>
      <c r="S354" s="129">
        <f>L354-Q354</f>
        <v>80215.610000000015</v>
      </c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.6" thickTop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21" hidden="1">
      <c r="B356" s="7"/>
      <c r="C356" s="76"/>
      <c r="D356" s="81"/>
      <c r="E356" s="13"/>
      <c r="F356" s="112"/>
      <c r="G356" s="81"/>
      <c r="H356" s="13"/>
      <c r="I356" s="112"/>
      <c r="J356" s="76"/>
      <c r="K356" s="76"/>
      <c r="L356" s="112"/>
      <c r="M356" s="76"/>
      <c r="N356" s="112"/>
      <c r="O356" s="76"/>
      <c r="P356" s="76"/>
      <c r="Q356" s="112"/>
      <c r="R356" s="76"/>
      <c r="S356" s="112"/>
      <c r="T356" s="13"/>
      <c r="U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35.4" hidden="1">
      <c r="B357" s="7"/>
      <c r="C357" s="6" t="str">
        <f>+C292</f>
        <v>BMW Sherbrooke</v>
      </c>
      <c r="D357" s="2"/>
      <c r="E357" s="2"/>
      <c r="F357" s="2"/>
      <c r="G357" s="2"/>
      <c r="H357" s="1"/>
      <c r="I357" s="1"/>
      <c r="J357" s="1"/>
      <c r="K357" s="3" t="s">
        <v>114</v>
      </c>
      <c r="L357" s="2"/>
      <c r="M357" s="2"/>
      <c r="N357" s="1"/>
      <c r="O357" s="1"/>
      <c r="P357" s="2"/>
      <c r="Q357" s="1"/>
      <c r="R357" s="2"/>
      <c r="S357" s="5" t="str">
        <f>$S$1</f>
        <v>Réalisé  Q3 2026</v>
      </c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16.8" hidden="1">
      <c r="B358" s="7"/>
      <c r="C358" s="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.6" hidden="1" thickTop="1">
      <c r="B359" s="7"/>
      <c r="C359" s="12"/>
      <c r="D359" s="506" t="s">
        <v>5</v>
      </c>
      <c r="E359" s="507"/>
      <c r="F359" s="508"/>
      <c r="G359" s="509" t="s">
        <v>71</v>
      </c>
      <c r="H359" s="507"/>
      <c r="I359" s="508"/>
      <c r="J359" s="509" t="s">
        <v>7</v>
      </c>
      <c r="K359" s="507"/>
      <c r="L359" s="508"/>
      <c r="M359" s="509"/>
      <c r="N359" s="508"/>
      <c r="O359" s="506" t="s">
        <v>8</v>
      </c>
      <c r="P359" s="507"/>
      <c r="Q359" s="508"/>
      <c r="R359" s="509" t="s">
        <v>9</v>
      </c>
      <c r="S359" s="510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Bot="1">
      <c r="A360" t="str">
        <f t="shared" ref="A360:A366" si="137">+B360&amp;C360</f>
        <v>Boutique</v>
      </c>
      <c r="B360" s="11" t="s">
        <v>114</v>
      </c>
      <c r="C360" s="29"/>
      <c r="D360" s="230" t="s">
        <v>79</v>
      </c>
      <c r="E360" s="230" t="s">
        <v>99</v>
      </c>
      <c r="F360" s="231" t="s">
        <v>12</v>
      </c>
      <c r="G360" s="232" t="s">
        <v>79</v>
      </c>
      <c r="H360" s="230" t="s">
        <v>99</v>
      </c>
      <c r="I360" s="231" t="s">
        <v>12</v>
      </c>
      <c r="J360" s="135" t="s">
        <v>79</v>
      </c>
      <c r="K360" s="80" t="s">
        <v>99</v>
      </c>
      <c r="L360" s="134" t="s">
        <v>12</v>
      </c>
      <c r="M360" s="135"/>
      <c r="N360" s="134"/>
      <c r="O360" s="135" t="s">
        <v>79</v>
      </c>
      <c r="P360" s="80" t="s">
        <v>99</v>
      </c>
      <c r="Q360" s="134" t="s">
        <v>12</v>
      </c>
      <c r="R360" s="135" t="s">
        <v>80</v>
      </c>
      <c r="S360" s="136" t="s">
        <v>12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Top="1">
      <c r="A361" t="str">
        <f t="shared" si="137"/>
        <v>BoutiqueBoutique</v>
      </c>
      <c r="B361" s="11" t="s">
        <v>114</v>
      </c>
      <c r="C361" s="62" t="s">
        <v>114</v>
      </c>
      <c r="D361" s="233">
        <f>+SUM(START:END!D361)</f>
        <v>0</v>
      </c>
      <c r="E361" s="234">
        <f>IFERROR(F361/D361,0)</f>
        <v>0</v>
      </c>
      <c r="F361" s="235">
        <f>+SUM(START:END!F361)</f>
        <v>0</v>
      </c>
      <c r="G361" s="233">
        <f>+SUM(START:END!G361)</f>
        <v>0</v>
      </c>
      <c r="H361" s="234">
        <f>IFERROR(I361/G361,0)</f>
        <v>0</v>
      </c>
      <c r="I361" s="233">
        <f>+SUM(START:END!I361)</f>
        <v>0</v>
      </c>
      <c r="J361" s="236">
        <f>+SUM(START:END!J361)</f>
        <v>0</v>
      </c>
      <c r="K361" s="218">
        <f>IFERROR(L361/J361,0)</f>
        <v>0</v>
      </c>
      <c r="L361" s="237">
        <f>+SUM(START:END!L361)</f>
        <v>0</v>
      </c>
      <c r="M361" s="219"/>
      <c r="N361" s="220"/>
      <c r="O361" s="236">
        <f>+SUM(START:END!O361)</f>
        <v>0</v>
      </c>
      <c r="P361" s="218">
        <f>IFERROR(Q361/O361,0)</f>
        <v>0</v>
      </c>
      <c r="Q361" s="237">
        <f>+SUM(START:END!Q361)</f>
        <v>0</v>
      </c>
      <c r="R361" s="219">
        <f>IF(O361=0,0,(J361-O361)/O361)</f>
        <v>0</v>
      </c>
      <c r="S361" s="221">
        <f>L361-Q361</f>
        <v>0</v>
      </c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Bot="1">
      <c r="A362" t="str">
        <f t="shared" si="137"/>
        <v>Boutique</v>
      </c>
      <c r="B362" s="11" t="s">
        <v>114</v>
      </c>
      <c r="C362" s="222"/>
      <c r="D362" s="223"/>
      <c r="E362" s="224"/>
      <c r="F362" s="225"/>
      <c r="G362" s="226"/>
      <c r="H362" s="224"/>
      <c r="I362" s="225"/>
      <c r="J362" s="226"/>
      <c r="K362" s="224"/>
      <c r="L362" s="225"/>
      <c r="M362" s="227"/>
      <c r="N362" s="74"/>
      <c r="O362" s="226"/>
      <c r="P362" s="224"/>
      <c r="Q362" s="225"/>
      <c r="R362" s="227"/>
      <c r="S362" s="75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.6" hidden="1" thickTop="1">
      <c r="A363" t="str">
        <f t="shared" si="137"/>
        <v>BoutiqueTotal Dépt. Boutique</v>
      </c>
      <c r="B363" s="11" t="s">
        <v>114</v>
      </c>
      <c r="C363" s="53" t="s">
        <v>115</v>
      </c>
      <c r="D363" s="238">
        <f>+D361</f>
        <v>0</v>
      </c>
      <c r="E363" s="173">
        <f>IF(D363&lt;=0,0,F363/D363)</f>
        <v>0</v>
      </c>
      <c r="F363" s="175">
        <f>+F361</f>
        <v>0</v>
      </c>
      <c r="G363" s="174">
        <f>+G361</f>
        <v>0</v>
      </c>
      <c r="H363" s="173">
        <f>IF(G363&lt;=0,0,I363/G363)</f>
        <v>0</v>
      </c>
      <c r="I363" s="175">
        <f>+I361</f>
        <v>0</v>
      </c>
      <c r="J363" s="174">
        <f>+J361</f>
        <v>0</v>
      </c>
      <c r="K363" s="173">
        <f>IF(J363&lt;=0,0,L363/J363)</f>
        <v>0</v>
      </c>
      <c r="L363" s="175">
        <f>+L361</f>
        <v>0</v>
      </c>
      <c r="M363" s="239"/>
      <c r="N363" s="240"/>
      <c r="O363" s="174">
        <f>+O361</f>
        <v>0</v>
      </c>
      <c r="P363" s="173">
        <f>IF(O363&lt;=0,0,Q363/O363)</f>
        <v>0</v>
      </c>
      <c r="Q363" s="175">
        <f>+Q361</f>
        <v>0</v>
      </c>
      <c r="R363" s="41">
        <f>IF(O363=0,0,(J363-O363)/O363)</f>
        <v>0</v>
      </c>
      <c r="S363" s="44">
        <f>L363-Q363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137"/>
        <v>Boutique</v>
      </c>
      <c r="B364" s="11" t="s">
        <v>114</v>
      </c>
      <c r="C364" s="79"/>
      <c r="D364" s="13"/>
      <c r="E364" s="13"/>
      <c r="F364" s="59"/>
      <c r="G364" s="41"/>
      <c r="H364" s="241"/>
      <c r="I364" s="59"/>
      <c r="J364" s="41"/>
      <c r="K364" s="13"/>
      <c r="L364" s="40"/>
      <c r="M364" s="41"/>
      <c r="N364" s="242"/>
      <c r="O364" s="41"/>
      <c r="P364" s="13"/>
      <c r="Q364" s="40"/>
      <c r="R364" s="41"/>
      <c r="S364" s="61">
        <f>IF(Q363=0,0,S363/Q363)</f>
        <v>0</v>
      </c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1" hidden="1">
      <c r="A365" t="str">
        <f t="shared" si="137"/>
        <v>BoutiqueDEPENSES</v>
      </c>
      <c r="B365" s="11" t="s">
        <v>114</v>
      </c>
      <c r="C365" s="79" t="s">
        <v>29</v>
      </c>
      <c r="D365" s="13"/>
      <c r="E365" s="13"/>
      <c r="F365" s="59"/>
      <c r="G365" s="41"/>
      <c r="H365" s="13"/>
      <c r="I365" s="59"/>
      <c r="J365" s="41"/>
      <c r="K365" s="13"/>
      <c r="L365" s="40"/>
      <c r="M365" s="41"/>
      <c r="N365" s="40"/>
      <c r="O365" s="41"/>
      <c r="P365" s="13"/>
      <c r="Q365" s="40"/>
      <c r="R365" s="41"/>
      <c r="S365" s="61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137"/>
        <v>BoutiqueSalaires cadres</v>
      </c>
      <c r="B366" s="11" t="s">
        <v>114</v>
      </c>
      <c r="C366" s="102" t="s">
        <v>40</v>
      </c>
      <c r="D366" s="13"/>
      <c r="E366" s="13"/>
      <c r="F366" s="30">
        <f>+SUM(START:END!F365)</f>
        <v>0</v>
      </c>
      <c r="G366" s="41"/>
      <c r="H366" s="13"/>
      <c r="I366" s="30">
        <f>+SUM(START:END!I365)</f>
        <v>0</v>
      </c>
      <c r="J366" s="41"/>
      <c r="K366" s="13"/>
      <c r="L366" s="33">
        <f>+SUM(START:END!L365)</f>
        <v>0</v>
      </c>
      <c r="M366" s="41"/>
      <c r="N366" s="40"/>
      <c r="O366" s="41"/>
      <c r="P366" s="13"/>
      <c r="Q366" s="33">
        <f>+SUM(START:END!Q365)</f>
        <v>0</v>
      </c>
      <c r="R366" s="41"/>
      <c r="S366" s="34">
        <f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ref="A367:A395" si="138">+B367&amp;C367</f>
        <v>BoutiqueSalaires commis</v>
      </c>
      <c r="B367" s="11" t="s">
        <v>114</v>
      </c>
      <c r="C367" s="103" t="s">
        <v>41</v>
      </c>
      <c r="D367" s="81"/>
      <c r="E367" s="13"/>
      <c r="F367" s="22">
        <f>+SUM(START:END!F366)</f>
        <v>0</v>
      </c>
      <c r="G367" s="83"/>
      <c r="H367" s="13"/>
      <c r="I367" s="22">
        <f>+SUM(START:END!I366)</f>
        <v>0</v>
      </c>
      <c r="J367" s="41"/>
      <c r="K367" s="13"/>
      <c r="L367" s="22">
        <f>+SUM(START:END!L366)</f>
        <v>0</v>
      </c>
      <c r="M367" s="41"/>
      <c r="N367" s="59"/>
      <c r="O367" s="41"/>
      <c r="P367" s="13"/>
      <c r="Q367" s="22">
        <f>+SUM(START:END!Q366)</f>
        <v>0</v>
      </c>
      <c r="R367" s="41"/>
      <c r="S367" s="85">
        <f t="shared" ref="S367:S395" si="139">L367-Q367</f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138"/>
        <v>BoutiqueSalaires autres</v>
      </c>
      <c r="B368" s="11" t="s">
        <v>114</v>
      </c>
      <c r="C368" s="102" t="s">
        <v>42</v>
      </c>
      <c r="D368" s="104"/>
      <c r="E368" s="105"/>
      <c r="F368" s="30">
        <f>+SUM(START:END!F367)</f>
        <v>0</v>
      </c>
      <c r="G368" s="106"/>
      <c r="H368" s="105"/>
      <c r="I368" s="30">
        <f>+SUM(START:END!I367)</f>
        <v>0</v>
      </c>
      <c r="J368" s="107"/>
      <c r="K368" s="105"/>
      <c r="L368" s="33">
        <f>+SUM(START:END!L367)</f>
        <v>0</v>
      </c>
      <c r="M368" s="107"/>
      <c r="N368" s="109"/>
      <c r="O368" s="107"/>
      <c r="P368" s="105"/>
      <c r="Q368" s="33">
        <f>+SUM(START:END!Q367)</f>
        <v>0</v>
      </c>
      <c r="R368" s="107"/>
      <c r="S368" s="110">
        <f t="shared" si="139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138"/>
        <v>BoutiqueSalaires spécialistes</v>
      </c>
      <c r="B369" s="11" t="s">
        <v>114</v>
      </c>
      <c r="C369" s="102" t="s">
        <v>43</v>
      </c>
      <c r="D369" s="81"/>
      <c r="E369" s="13"/>
      <c r="F369" s="30">
        <f>+SUM(START:END!F368)</f>
        <v>0</v>
      </c>
      <c r="G369" s="83"/>
      <c r="H369" s="13"/>
      <c r="I369" s="30">
        <f>+SUM(START:END!I368)</f>
        <v>0</v>
      </c>
      <c r="J369" s="41"/>
      <c r="K369" s="13"/>
      <c r="L369" s="33">
        <f>+SUM(START:END!L368)</f>
        <v>0</v>
      </c>
      <c r="M369" s="41"/>
      <c r="N369" s="59"/>
      <c r="O369" s="41"/>
      <c r="P369" s="13"/>
      <c r="Q369" s="33">
        <f>+SUM(START:END!Q368)</f>
        <v>0</v>
      </c>
      <c r="R369" s="41"/>
      <c r="S369" s="85">
        <f t="shared" si="139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138"/>
        <v>Boutique[...]</v>
      </c>
      <c r="B370" s="11" t="s">
        <v>114</v>
      </c>
      <c r="C370" s="29" t="s">
        <v>19</v>
      </c>
      <c r="D370" s="81"/>
      <c r="E370" s="13"/>
      <c r="F370" s="30">
        <f>+SUM(START:END!F369)</f>
        <v>0</v>
      </c>
      <c r="G370" s="83"/>
      <c r="H370" s="13"/>
      <c r="I370" s="30">
        <f>+SUM(START:END!I369)</f>
        <v>0</v>
      </c>
      <c r="J370" s="41"/>
      <c r="K370" s="13"/>
      <c r="L370" s="33">
        <f>+SUM(START:END!L369)</f>
        <v>0</v>
      </c>
      <c r="M370" s="41"/>
      <c r="N370" s="59"/>
      <c r="O370" s="41"/>
      <c r="P370" s="13"/>
      <c r="Q370" s="33">
        <f>+SUM(START:END!Q369)</f>
        <v>0</v>
      </c>
      <c r="R370" s="41"/>
      <c r="S370" s="85">
        <f t="shared" si="139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138"/>
        <v>Boutique[...]</v>
      </c>
      <c r="B371" s="11" t="s">
        <v>114</v>
      </c>
      <c r="C371" s="29" t="s">
        <v>19</v>
      </c>
      <c r="D371" s="81"/>
      <c r="E371" s="13"/>
      <c r="F371" s="30">
        <f>+SUM(START:END!F370)</f>
        <v>0</v>
      </c>
      <c r="G371" s="83"/>
      <c r="H371" s="13"/>
      <c r="I371" s="30">
        <f>+SUM(START:END!I370)</f>
        <v>0</v>
      </c>
      <c r="J371" s="41"/>
      <c r="K371" s="13"/>
      <c r="L371" s="33">
        <f>+SUM(START:END!L370)</f>
        <v>0</v>
      </c>
      <c r="M371" s="41"/>
      <c r="N371" s="59"/>
      <c r="O371" s="41"/>
      <c r="P371" s="13"/>
      <c r="Q371" s="33">
        <f>+SUM(START:END!Q370)</f>
        <v>0</v>
      </c>
      <c r="R371" s="41"/>
      <c r="S371" s="85">
        <f t="shared" si="139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138"/>
        <v>Boutique[...]</v>
      </c>
      <c r="B372" s="11" t="s">
        <v>114</v>
      </c>
      <c r="C372" s="29" t="s">
        <v>19</v>
      </c>
      <c r="D372" s="81"/>
      <c r="E372" s="13"/>
      <c r="F372" s="30">
        <f>+SUM(START:END!F371)</f>
        <v>0</v>
      </c>
      <c r="G372" s="83"/>
      <c r="H372" s="13"/>
      <c r="I372" s="30">
        <f>+SUM(START:END!I371)</f>
        <v>0</v>
      </c>
      <c r="J372" s="41"/>
      <c r="K372" s="13"/>
      <c r="L372" s="33">
        <f>+SUM(START:END!L371)</f>
        <v>0</v>
      </c>
      <c r="M372" s="41"/>
      <c r="N372" s="59"/>
      <c r="O372" s="41"/>
      <c r="P372" s="13"/>
      <c r="Q372" s="33">
        <f>+SUM(START:END!Q371)</f>
        <v>0</v>
      </c>
      <c r="R372" s="41"/>
      <c r="S372" s="85">
        <f t="shared" si="139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138"/>
        <v>BoutiqueSalaires en absences</v>
      </c>
      <c r="B373" s="11" t="s">
        <v>114</v>
      </c>
      <c r="C373" s="103" t="s">
        <v>44</v>
      </c>
      <c r="D373" s="81"/>
      <c r="E373" s="13"/>
      <c r="F373" s="22">
        <f>+SUM(START:END!F372)</f>
        <v>0</v>
      </c>
      <c r="G373" s="83"/>
      <c r="H373" s="13"/>
      <c r="I373" s="22">
        <f>+SUM(START:END!I372)</f>
        <v>0</v>
      </c>
      <c r="J373" s="41"/>
      <c r="K373" s="13"/>
      <c r="L373" s="22">
        <f>+SUM(START:END!L372)</f>
        <v>0</v>
      </c>
      <c r="M373" s="41"/>
      <c r="N373" s="59"/>
      <c r="O373" s="41"/>
      <c r="P373" s="13"/>
      <c r="Q373" s="22">
        <f>+SUM(START:END!Q372)</f>
        <v>0</v>
      </c>
      <c r="R373" s="41"/>
      <c r="S373" s="85">
        <f t="shared" si="139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138"/>
        <v>BoutiqueDéduction à la source</v>
      </c>
      <c r="B374" s="11" t="s">
        <v>114</v>
      </c>
      <c r="C374" s="102" t="s">
        <v>45</v>
      </c>
      <c r="D374" s="104"/>
      <c r="E374" s="105"/>
      <c r="F374" s="30">
        <f>+SUM(START:END!F373)</f>
        <v>0</v>
      </c>
      <c r="G374" s="106"/>
      <c r="H374" s="105"/>
      <c r="I374" s="30">
        <f>+SUM(START:END!I373)</f>
        <v>0</v>
      </c>
      <c r="J374" s="107"/>
      <c r="K374" s="105"/>
      <c r="L374" s="33">
        <f>+SUM(START:END!L373)</f>
        <v>0</v>
      </c>
      <c r="M374" s="107"/>
      <c r="N374" s="109"/>
      <c r="O374" s="107"/>
      <c r="P374" s="105"/>
      <c r="Q374" s="33">
        <f>+SUM(START:END!Q373)</f>
        <v>0</v>
      </c>
      <c r="R374" s="107"/>
      <c r="S374" s="110">
        <f t="shared" si="139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138"/>
        <v>BoutiqueBénéfices marginaux</v>
      </c>
      <c r="B375" s="11" t="s">
        <v>114</v>
      </c>
      <c r="C375" s="102" t="s">
        <v>46</v>
      </c>
      <c r="D375" s="81"/>
      <c r="E375" s="13"/>
      <c r="F375" s="30">
        <f>+SUM(START:END!F374)</f>
        <v>0</v>
      </c>
      <c r="G375" s="83"/>
      <c r="H375" s="13"/>
      <c r="I375" s="30">
        <f>+SUM(START:END!I374)</f>
        <v>0</v>
      </c>
      <c r="J375" s="41"/>
      <c r="K375" s="13"/>
      <c r="L375" s="33">
        <f>+SUM(START:END!L374)</f>
        <v>0</v>
      </c>
      <c r="M375" s="41"/>
      <c r="N375" s="59"/>
      <c r="O375" s="41"/>
      <c r="P375" s="13"/>
      <c r="Q375" s="33">
        <f>+SUM(START:END!Q374)</f>
        <v>0</v>
      </c>
      <c r="R375" s="41"/>
      <c r="S375" s="85">
        <f t="shared" si="139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138"/>
        <v>BoutiqueCsst</v>
      </c>
      <c r="B376" s="11" t="s">
        <v>114</v>
      </c>
      <c r="C376" s="102" t="s">
        <v>47</v>
      </c>
      <c r="D376" s="81"/>
      <c r="E376" s="13"/>
      <c r="F376" s="30">
        <f>+SUM(START:END!F375)</f>
        <v>0</v>
      </c>
      <c r="G376" s="83"/>
      <c r="H376" s="13"/>
      <c r="I376" s="30">
        <f>+SUM(START:END!I375)</f>
        <v>0</v>
      </c>
      <c r="J376" s="41"/>
      <c r="K376" s="13"/>
      <c r="L376" s="33">
        <f>+SUM(START:END!L375)</f>
        <v>0</v>
      </c>
      <c r="M376" s="41"/>
      <c r="N376" s="59"/>
      <c r="O376" s="41"/>
      <c r="P376" s="13"/>
      <c r="Q376" s="33">
        <f>+SUM(START:END!Q375)</f>
        <v>0</v>
      </c>
      <c r="R376" s="41"/>
      <c r="S376" s="85">
        <f t="shared" si="139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399999999999999" hidden="1">
      <c r="A377" t="str">
        <f t="shared" si="138"/>
        <v>Boutique[...]</v>
      </c>
      <c r="B377" s="11" t="s">
        <v>114</v>
      </c>
      <c r="C377" s="29" t="s">
        <v>19</v>
      </c>
      <c r="D377" s="87"/>
      <c r="E377" s="111"/>
      <c r="F377" s="30">
        <f>+SUM(START:END!F376)</f>
        <v>0</v>
      </c>
      <c r="G377" s="89"/>
      <c r="H377" s="111"/>
      <c r="I377" s="30">
        <f>+SUM(START:END!I376)</f>
        <v>0</v>
      </c>
      <c r="J377" s="23"/>
      <c r="K377" s="111"/>
      <c r="L377" s="33">
        <f>+SUM(START:END!L376)</f>
        <v>0</v>
      </c>
      <c r="M377" s="23"/>
      <c r="N377" s="91"/>
      <c r="O377" s="23"/>
      <c r="P377" s="111"/>
      <c r="Q377" s="33">
        <f>+SUM(START:END!Q376)</f>
        <v>0</v>
      </c>
      <c r="R377" s="23"/>
      <c r="S377" s="92">
        <f t="shared" si="139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1" hidden="1">
      <c r="A378" t="str">
        <f t="shared" si="138"/>
        <v>BoutiqueTOTAL PERSONNEL</v>
      </c>
      <c r="B378" s="11" t="s">
        <v>114</v>
      </c>
      <c r="C378" s="93" t="s">
        <v>48</v>
      </c>
      <c r="D378" s="94" t="s">
        <v>38</v>
      </c>
      <c r="E378" s="95">
        <f>IFERROR(F378/F$360,0)</f>
        <v>0</v>
      </c>
      <c r="F378" s="96">
        <f>+SUM(F366:F377)</f>
        <v>0</v>
      </c>
      <c r="G378" s="97" t="s">
        <v>38</v>
      </c>
      <c r="H378" s="95">
        <f>IFERROR(I378/I$360,0)</f>
        <v>0</v>
      </c>
      <c r="I378" s="96">
        <f>+SUM(I366:I377)</f>
        <v>0</v>
      </c>
      <c r="J378" s="97" t="s">
        <v>38</v>
      </c>
      <c r="K378" s="95">
        <f>IFERROR(L378/L$360,0)</f>
        <v>0</v>
      </c>
      <c r="L378" s="96">
        <f>+SUM(L366:L377)</f>
        <v>0</v>
      </c>
      <c r="M378" s="146"/>
      <c r="N378" s="113"/>
      <c r="O378" s="97" t="s">
        <v>38</v>
      </c>
      <c r="P378" s="95">
        <f>IFERROR(Q378/Q$360,0)</f>
        <v>0</v>
      </c>
      <c r="Q378" s="96">
        <f>+SUM(Q366:Q377)</f>
        <v>0</v>
      </c>
      <c r="R378" s="146"/>
      <c r="S378" s="114">
        <f t="shared" si="139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138"/>
        <v>BoutiquePublicité 2</v>
      </c>
      <c r="B379" s="11" t="s">
        <v>114</v>
      </c>
      <c r="C379" s="210" t="s">
        <v>49</v>
      </c>
      <c r="D379" s="81"/>
      <c r="E379" s="13"/>
      <c r="F379" s="30">
        <f>+SUM(START:END!F378)</f>
        <v>0</v>
      </c>
      <c r="G379" s="83"/>
      <c r="H379" s="13"/>
      <c r="I379" s="30">
        <f>+SUM(START:END!I378)</f>
        <v>0</v>
      </c>
      <c r="J379" s="41"/>
      <c r="K379" s="13"/>
      <c r="L379" s="33">
        <f>+SUM(START:END!L378)</f>
        <v>0</v>
      </c>
      <c r="M379" s="41"/>
      <c r="N379" s="59"/>
      <c r="O379" s="41"/>
      <c r="P379" s="13"/>
      <c r="Q379" s="33">
        <f>+SUM(START:END!Q378)</f>
        <v>0</v>
      </c>
      <c r="R379" s="41"/>
      <c r="S379" s="85">
        <f t="shared" si="139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138"/>
        <v>BoutiqueService gratuit 2</v>
      </c>
      <c r="B380" s="11" t="s">
        <v>114</v>
      </c>
      <c r="C380" s="102" t="s">
        <v>50</v>
      </c>
      <c r="D380" s="81"/>
      <c r="E380" s="13"/>
      <c r="F380" s="30">
        <f>+SUM(START:END!F379)</f>
        <v>0</v>
      </c>
      <c r="G380" s="83"/>
      <c r="H380" s="13"/>
      <c r="I380" s="30">
        <f>+SUM(START:END!I379)</f>
        <v>0</v>
      </c>
      <c r="J380" s="41"/>
      <c r="K380" s="13"/>
      <c r="L380" s="33">
        <f>+SUM(START:END!L379)</f>
        <v>0</v>
      </c>
      <c r="M380" s="41"/>
      <c r="N380" s="59"/>
      <c r="O380" s="41"/>
      <c r="P380" s="13"/>
      <c r="Q380" s="33">
        <f>+SUM(START:END!Q379)</f>
        <v>0</v>
      </c>
      <c r="R380" s="41"/>
      <c r="S380" s="85">
        <f t="shared" si="139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138"/>
        <v>BoutiqueFrais véhicules de cie</v>
      </c>
      <c r="B381" s="11" t="s">
        <v>114</v>
      </c>
      <c r="C381" s="103" t="s">
        <v>51</v>
      </c>
      <c r="D381" s="87"/>
      <c r="E381" s="111"/>
      <c r="F381" s="22">
        <f>+SUM(START:END!F380)</f>
        <v>0</v>
      </c>
      <c r="G381" s="89"/>
      <c r="H381" s="111"/>
      <c r="I381" s="22">
        <f>+SUM(START:END!I380)</f>
        <v>0</v>
      </c>
      <c r="J381" s="23"/>
      <c r="K381" s="111"/>
      <c r="L381" s="22">
        <f>+SUM(START:END!L380)</f>
        <v>0</v>
      </c>
      <c r="M381" s="23"/>
      <c r="N381" s="91"/>
      <c r="O381" s="23"/>
      <c r="P381" s="111"/>
      <c r="Q381" s="22">
        <f>+SUM(START:END!Q380)</f>
        <v>0</v>
      </c>
      <c r="R381" s="23"/>
      <c r="S381" s="92">
        <f t="shared" si="139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138"/>
        <v>BoutiqueInformatique</v>
      </c>
      <c r="B382" s="11" t="s">
        <v>114</v>
      </c>
      <c r="C382" s="102" t="s">
        <v>52</v>
      </c>
      <c r="D382" s="81"/>
      <c r="E382" s="13"/>
      <c r="F382" s="30">
        <f>+SUM(START:END!F381)</f>
        <v>0</v>
      </c>
      <c r="G382" s="83"/>
      <c r="H382" s="13"/>
      <c r="I382" s="30">
        <f>+SUM(START:END!I381)</f>
        <v>0</v>
      </c>
      <c r="J382" s="41"/>
      <c r="K382" s="13"/>
      <c r="L382" s="33">
        <f>+SUM(START:END!L381)</f>
        <v>0</v>
      </c>
      <c r="M382" s="41"/>
      <c r="N382" s="59"/>
      <c r="O382" s="41"/>
      <c r="P382" s="13"/>
      <c r="Q382" s="33">
        <f>+SUM(START:END!Q381)</f>
        <v>0</v>
      </c>
      <c r="R382" s="41"/>
      <c r="S382" s="85">
        <f t="shared" si="139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138"/>
        <v>BoutiqueFrais de déplacement</v>
      </c>
      <c r="B383" s="11" t="s">
        <v>114</v>
      </c>
      <c r="C383" s="102" t="s">
        <v>53</v>
      </c>
      <c r="D383" s="81"/>
      <c r="E383" s="13"/>
      <c r="F383" s="30">
        <f>+SUM(START:END!F382)</f>
        <v>0</v>
      </c>
      <c r="G383" s="83"/>
      <c r="H383" s="13"/>
      <c r="I383" s="30">
        <f>+SUM(START:END!I382)</f>
        <v>0</v>
      </c>
      <c r="J383" s="41"/>
      <c r="K383" s="13"/>
      <c r="L383" s="33">
        <f>+SUM(START:END!L382)</f>
        <v>0</v>
      </c>
      <c r="M383" s="41"/>
      <c r="N383" s="59"/>
      <c r="O383" s="41"/>
      <c r="P383" s="13"/>
      <c r="Q383" s="33">
        <f>+SUM(START:END!Q382)</f>
        <v>0</v>
      </c>
      <c r="R383" s="41"/>
      <c r="S383" s="85">
        <f t="shared" si="139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138"/>
        <v>BoutiqueServices extérieurs</v>
      </c>
      <c r="B384" s="11" t="s">
        <v>114</v>
      </c>
      <c r="C384" s="102" t="s">
        <v>54</v>
      </c>
      <c r="D384" s="87"/>
      <c r="E384" s="111"/>
      <c r="F384" s="22">
        <f>+SUM(START:END!F383)</f>
        <v>0</v>
      </c>
      <c r="G384" s="89"/>
      <c r="H384" s="111"/>
      <c r="I384" s="22">
        <f>+SUM(START:END!I383)</f>
        <v>0</v>
      </c>
      <c r="J384" s="23"/>
      <c r="K384" s="111"/>
      <c r="L384" s="22">
        <f>+SUM(START:END!L383)</f>
        <v>0</v>
      </c>
      <c r="M384" s="23"/>
      <c r="N384" s="91"/>
      <c r="O384" s="23"/>
      <c r="P384" s="111"/>
      <c r="Q384" s="22">
        <f>+SUM(START:END!Q383)</f>
        <v>0</v>
      </c>
      <c r="R384" s="23"/>
      <c r="S384" s="92">
        <f t="shared" si="139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138"/>
        <v>BoutiqueFournitures autres</v>
      </c>
      <c r="B385" s="11" t="s">
        <v>114</v>
      </c>
      <c r="C385" s="210" t="s">
        <v>55</v>
      </c>
      <c r="D385" s="81"/>
      <c r="E385" s="13"/>
      <c r="F385" s="30">
        <f>+SUM(START:END!F384)</f>
        <v>0</v>
      </c>
      <c r="G385" s="83"/>
      <c r="H385" s="13"/>
      <c r="I385" s="30">
        <f>+SUM(START:END!I384)</f>
        <v>0</v>
      </c>
      <c r="J385" s="41"/>
      <c r="K385" s="13"/>
      <c r="L385" s="33">
        <f>+SUM(START:END!L384)</f>
        <v>0</v>
      </c>
      <c r="M385" s="41"/>
      <c r="N385" s="59"/>
      <c r="O385" s="41"/>
      <c r="P385" s="13"/>
      <c r="Q385" s="33">
        <f>+SUM(START:END!Q384)</f>
        <v>0</v>
      </c>
      <c r="R385" s="41"/>
      <c r="S385" s="85">
        <f t="shared" si="139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138"/>
        <v>BoutiqueUniformes</v>
      </c>
      <c r="B386" s="11" t="s">
        <v>114</v>
      </c>
      <c r="C386" s="102" t="s">
        <v>56</v>
      </c>
      <c r="D386" s="81"/>
      <c r="E386" s="13"/>
      <c r="F386" s="30">
        <f>+SUM(START:END!F385)</f>
        <v>0</v>
      </c>
      <c r="G386" s="83"/>
      <c r="H386" s="13"/>
      <c r="I386" s="30">
        <f>+SUM(START:END!I385)</f>
        <v>0</v>
      </c>
      <c r="J386" s="41"/>
      <c r="K386" s="13"/>
      <c r="L386" s="33">
        <f>+SUM(START:END!L385)</f>
        <v>0</v>
      </c>
      <c r="M386" s="41"/>
      <c r="N386" s="59"/>
      <c r="O386" s="41"/>
      <c r="P386" s="13"/>
      <c r="Q386" s="33">
        <f>+SUM(START:END!Q385)</f>
        <v>0</v>
      </c>
      <c r="R386" s="41"/>
      <c r="S386" s="85">
        <f t="shared" si="139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138"/>
        <v>BoutiquePapeterie</v>
      </c>
      <c r="B387" s="11" t="s">
        <v>114</v>
      </c>
      <c r="C387" s="102" t="s">
        <v>57</v>
      </c>
      <c r="D387" s="81"/>
      <c r="E387" s="13"/>
      <c r="F387" s="30">
        <f>+SUM(START:END!F386)</f>
        <v>0</v>
      </c>
      <c r="G387" s="83"/>
      <c r="H387" s="13"/>
      <c r="I387" s="30">
        <f>+SUM(START:END!I386)</f>
        <v>0</v>
      </c>
      <c r="J387" s="41"/>
      <c r="K387" s="13"/>
      <c r="L387" s="33">
        <f>+SUM(START:END!L386)</f>
        <v>0</v>
      </c>
      <c r="M387" s="41"/>
      <c r="N387" s="59"/>
      <c r="O387" s="41"/>
      <c r="P387" s="13"/>
      <c r="Q387" s="33">
        <f>+SUM(START:END!Q386)</f>
        <v>0</v>
      </c>
      <c r="R387" s="41"/>
      <c r="S387" s="85">
        <f t="shared" si="139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138"/>
        <v>BoutiqueTéléphone</v>
      </c>
      <c r="B388" s="11" t="s">
        <v>114</v>
      </c>
      <c r="C388" s="102" t="s">
        <v>58</v>
      </c>
      <c r="D388" s="81"/>
      <c r="E388" s="13"/>
      <c r="F388" s="30">
        <f>+SUM(START:END!F387)</f>
        <v>0</v>
      </c>
      <c r="G388" s="83"/>
      <c r="H388" s="13"/>
      <c r="I388" s="30">
        <f>+SUM(START:END!I387)</f>
        <v>0</v>
      </c>
      <c r="J388" s="41"/>
      <c r="K388" s="13"/>
      <c r="L388" s="33">
        <f>+SUM(START:END!L387)</f>
        <v>0</v>
      </c>
      <c r="M388" s="41"/>
      <c r="N388" s="59"/>
      <c r="O388" s="41"/>
      <c r="P388" s="13"/>
      <c r="Q388" s="33">
        <f>+SUM(START:END!Q387)</f>
        <v>0</v>
      </c>
      <c r="R388" s="41"/>
      <c r="S388" s="85">
        <f t="shared" si="139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138"/>
        <v>BoutiqueFrais postaux</v>
      </c>
      <c r="B389" s="11" t="s">
        <v>114</v>
      </c>
      <c r="C389" s="102" t="s">
        <v>59</v>
      </c>
      <c r="D389" s="81"/>
      <c r="E389" s="13"/>
      <c r="F389" s="30">
        <f>+SUM(START:END!F388)</f>
        <v>0</v>
      </c>
      <c r="G389" s="83"/>
      <c r="H389" s="13"/>
      <c r="I389" s="30">
        <f>+SUM(START:END!I388)</f>
        <v>0</v>
      </c>
      <c r="J389" s="41"/>
      <c r="K389" s="13"/>
      <c r="L389" s="33">
        <f>+SUM(START:END!L388)</f>
        <v>0</v>
      </c>
      <c r="M389" s="41"/>
      <c r="N389" s="59"/>
      <c r="O389" s="41"/>
      <c r="P389" s="13"/>
      <c r="Q389" s="33">
        <f>+SUM(START:END!Q388)</f>
        <v>0</v>
      </c>
      <c r="R389" s="41"/>
      <c r="S389" s="85">
        <f t="shared" si="139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138"/>
        <v>BoutiqueDivers</v>
      </c>
      <c r="B390" s="11" t="s">
        <v>114</v>
      </c>
      <c r="C390" s="102" t="s">
        <v>60</v>
      </c>
      <c r="D390" s="81"/>
      <c r="E390" s="13"/>
      <c r="F390" s="30">
        <f>+SUM(START:END!F389)</f>
        <v>0</v>
      </c>
      <c r="G390" s="83"/>
      <c r="H390" s="13"/>
      <c r="I390" s="30">
        <f>+SUM(START:END!I389)</f>
        <v>0</v>
      </c>
      <c r="J390" s="41"/>
      <c r="K390" s="13"/>
      <c r="L390" s="33">
        <f>+SUM(START:END!L389)</f>
        <v>0</v>
      </c>
      <c r="M390" s="41"/>
      <c r="N390" s="59"/>
      <c r="O390" s="41"/>
      <c r="P390" s="13"/>
      <c r="Q390" s="33">
        <f>+SUM(START:END!Q389)</f>
        <v>0</v>
      </c>
      <c r="R390" s="41"/>
      <c r="S390" s="85">
        <f t="shared" si="139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138"/>
        <v>BoutiqueFormation</v>
      </c>
      <c r="B391" s="11" t="s">
        <v>114</v>
      </c>
      <c r="C391" s="102" t="s">
        <v>61</v>
      </c>
      <c r="D391" s="81"/>
      <c r="E391" s="13"/>
      <c r="F391" s="30">
        <f>+SUM(START:END!F390)</f>
        <v>0</v>
      </c>
      <c r="G391" s="83"/>
      <c r="H391" s="13"/>
      <c r="I391" s="30">
        <f>+SUM(START:END!I390)</f>
        <v>0</v>
      </c>
      <c r="J391" s="41"/>
      <c r="K391" s="13"/>
      <c r="L391" s="33">
        <f>+SUM(START:END!L390)</f>
        <v>0</v>
      </c>
      <c r="M391" s="41"/>
      <c r="N391" s="59"/>
      <c r="O391" s="41"/>
      <c r="P391" s="13"/>
      <c r="Q391" s="33">
        <f>+SUM(START:END!Q390)</f>
        <v>0</v>
      </c>
      <c r="R391" s="41"/>
      <c r="S391" s="85">
        <f t="shared" si="139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138"/>
        <v>BoutiqueFrais bancaires</v>
      </c>
      <c r="B392" s="11" t="s">
        <v>114</v>
      </c>
      <c r="C392" s="102" t="s">
        <v>62</v>
      </c>
      <c r="D392" s="81"/>
      <c r="E392" s="13"/>
      <c r="F392" s="30">
        <f>+SUM(START:END!F391)</f>
        <v>0</v>
      </c>
      <c r="G392" s="83"/>
      <c r="H392" s="13"/>
      <c r="I392" s="30">
        <f>+SUM(START:END!I391)</f>
        <v>0</v>
      </c>
      <c r="J392" s="41"/>
      <c r="K392" s="13"/>
      <c r="L392" s="33">
        <f>+SUM(START:END!L391)</f>
        <v>0</v>
      </c>
      <c r="M392" s="41"/>
      <c r="N392" s="59"/>
      <c r="O392" s="41"/>
      <c r="P392" s="13"/>
      <c r="Q392" s="33">
        <f>+SUM(START:END!Q391)</f>
        <v>0</v>
      </c>
      <c r="R392" s="41"/>
      <c r="S392" s="85">
        <f t="shared" si="139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138"/>
        <v>Boutique[...]</v>
      </c>
      <c r="B393" s="11" t="s">
        <v>114</v>
      </c>
      <c r="C393" s="102" t="s">
        <v>19</v>
      </c>
      <c r="D393" s="81"/>
      <c r="E393" s="13"/>
      <c r="F393" s="30">
        <f>+SUM(START:END!F392)</f>
        <v>0</v>
      </c>
      <c r="G393" s="83"/>
      <c r="H393" s="13"/>
      <c r="I393" s="30">
        <f>+SUM(START:END!I392)</f>
        <v>0</v>
      </c>
      <c r="J393" s="41"/>
      <c r="K393" s="13"/>
      <c r="L393" s="33">
        <f>+SUM(START:END!L392)</f>
        <v>0</v>
      </c>
      <c r="M393" s="41"/>
      <c r="N393" s="59"/>
      <c r="O393" s="41"/>
      <c r="P393" s="13"/>
      <c r="Q393" s="33">
        <f>+SUM(START:END!Q392)</f>
        <v>0</v>
      </c>
      <c r="R393" s="41"/>
      <c r="S393" s="85">
        <f t="shared" si="139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138"/>
        <v>Boutique[...]</v>
      </c>
      <c r="B394" s="11" t="s">
        <v>114</v>
      </c>
      <c r="C394" s="102" t="s">
        <v>19</v>
      </c>
      <c r="D394" s="81"/>
      <c r="E394" s="13"/>
      <c r="F394" s="30">
        <f>+SUM(START:END!F393)</f>
        <v>0</v>
      </c>
      <c r="G394" s="83"/>
      <c r="H394" s="13"/>
      <c r="I394" s="30">
        <f>+SUM(START:END!I393)</f>
        <v>0</v>
      </c>
      <c r="J394" s="41"/>
      <c r="K394" s="13"/>
      <c r="L394" s="33">
        <f>+SUM(START:END!L393)</f>
        <v>0</v>
      </c>
      <c r="M394" s="41"/>
      <c r="N394" s="59"/>
      <c r="O394" s="41"/>
      <c r="P394" s="13"/>
      <c r="Q394" s="33">
        <f>+SUM(START:END!Q393)</f>
        <v>0</v>
      </c>
      <c r="R394" s="41"/>
      <c r="S394" s="85">
        <f t="shared" si="139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399999999999999" hidden="1">
      <c r="A395" t="str">
        <f t="shared" si="138"/>
        <v>Boutique[...]</v>
      </c>
      <c r="B395" s="11" t="s">
        <v>114</v>
      </c>
      <c r="C395" s="102" t="s">
        <v>19</v>
      </c>
      <c r="D395" s="87"/>
      <c r="E395" s="111"/>
      <c r="F395" s="30">
        <f>+SUM(START:END!F394)</f>
        <v>0</v>
      </c>
      <c r="G395" s="89"/>
      <c r="H395" s="111"/>
      <c r="I395" s="30">
        <f>+SUM(START:END!I394)</f>
        <v>0</v>
      </c>
      <c r="J395" s="23"/>
      <c r="K395" s="111"/>
      <c r="L395" s="33">
        <f>+SUM(START:END!L394)</f>
        <v>0</v>
      </c>
      <c r="M395" s="23"/>
      <c r="N395" s="91"/>
      <c r="O395" s="23"/>
      <c r="P395" s="111"/>
      <c r="Q395" s="33">
        <f>+SUM(START:END!Q394)</f>
        <v>0</v>
      </c>
      <c r="R395" s="23"/>
      <c r="S395" s="92">
        <f t="shared" si="139"/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93" t="s">
        <v>63</v>
      </c>
      <c r="D396" s="94" t="s">
        <v>38</v>
      </c>
      <c r="E396" s="95">
        <f>IFERROR(F396/F$360,0)</f>
        <v>0</v>
      </c>
      <c r="F396" s="96">
        <f>+SUM(F379:F395)</f>
        <v>0</v>
      </c>
      <c r="G396" s="97" t="s">
        <v>38</v>
      </c>
      <c r="H396" s="95">
        <f>IFERROR(I396/I$360,0)</f>
        <v>0</v>
      </c>
      <c r="I396" s="96">
        <f>+SUM(I379:I395)</f>
        <v>0</v>
      </c>
      <c r="J396" s="97" t="s">
        <v>38</v>
      </c>
      <c r="K396" s="95">
        <f>IFERROR(L396/L$360,0)</f>
        <v>0</v>
      </c>
      <c r="L396" s="96">
        <f>+SUM(L379:L395)</f>
        <v>0</v>
      </c>
      <c r="M396" s="146"/>
      <c r="N396" s="96"/>
      <c r="O396" s="97" t="s">
        <v>38</v>
      </c>
      <c r="P396" s="95">
        <f>IFERROR(Q396/Q$360,0)</f>
        <v>0</v>
      </c>
      <c r="Q396" s="96">
        <f>+SUM(Q379:Q395)</f>
        <v>0</v>
      </c>
      <c r="R396" s="146"/>
      <c r="S396" s="114">
        <f>+SUM(S379:S395)</f>
        <v>0</v>
      </c>
      <c r="T396" s="10"/>
      <c r="U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29"/>
      <c r="D397" s="13"/>
      <c r="E397" s="13"/>
      <c r="F397" s="40"/>
      <c r="G397" s="41"/>
      <c r="H397" s="13"/>
      <c r="I397" s="40"/>
      <c r="J397" s="41"/>
      <c r="K397" s="13"/>
      <c r="L397" s="40"/>
      <c r="M397" s="78"/>
      <c r="N397" s="77"/>
      <c r="O397" s="41"/>
      <c r="P397" s="13"/>
      <c r="Q397" s="40"/>
      <c r="R397" s="41"/>
      <c r="S397" s="243"/>
      <c r="T397" s="244"/>
      <c r="U397" s="244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93" t="s">
        <v>64</v>
      </c>
      <c r="D398" s="94" t="s">
        <v>38</v>
      </c>
      <c r="E398" s="95">
        <f>IFERROR(F398/F$360,0)</f>
        <v>0</v>
      </c>
      <c r="F398" s="96">
        <f>F378+F396</f>
        <v>0</v>
      </c>
      <c r="G398" s="97" t="s">
        <v>38</v>
      </c>
      <c r="H398" s="95">
        <f>IFERROR(I398/I$360,0)</f>
        <v>0</v>
      </c>
      <c r="I398" s="96">
        <f>I378+I396</f>
        <v>0</v>
      </c>
      <c r="J398" s="97" t="s">
        <v>38</v>
      </c>
      <c r="K398" s="95">
        <f>IFERROR(L398/L$360,0)</f>
        <v>0</v>
      </c>
      <c r="L398" s="96">
        <f>L378+L396</f>
        <v>0</v>
      </c>
      <c r="M398" s="245"/>
      <c r="N398" s="96"/>
      <c r="O398" s="97" t="s">
        <v>38</v>
      </c>
      <c r="P398" s="95">
        <f>IFERROR(Q398/Q$360,0)</f>
        <v>0</v>
      </c>
      <c r="Q398" s="96">
        <f>Q378+Q396</f>
        <v>0</v>
      </c>
      <c r="R398" s="100"/>
      <c r="S398" s="101">
        <f>L398-Q398</f>
        <v>0</v>
      </c>
      <c r="T398" s="244"/>
      <c r="U398" s="244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" hidden="1">
      <c r="B399" s="7"/>
      <c r="C399" s="29"/>
      <c r="D399" s="13"/>
      <c r="E399" s="13"/>
      <c r="F399" s="59"/>
      <c r="G399" s="41"/>
      <c r="H399" s="13"/>
      <c r="I399" s="59"/>
      <c r="J399" s="41"/>
      <c r="K399" s="13"/>
      <c r="L399" s="59"/>
      <c r="M399" s="78"/>
      <c r="N399" s="77"/>
      <c r="O399" s="41"/>
      <c r="P399" s="13"/>
      <c r="Q399" s="59"/>
      <c r="R399" s="41"/>
      <c r="S399" s="243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2.2" hidden="1" thickTop="1" thickBot="1">
      <c r="B400" s="7"/>
      <c r="C400" s="246" t="s">
        <v>69</v>
      </c>
      <c r="D400" s="247"/>
      <c r="E400" s="247"/>
      <c r="F400" s="248">
        <f>F363-F398</f>
        <v>0</v>
      </c>
      <c r="G400" s="249"/>
      <c r="H400" s="247"/>
      <c r="I400" s="248">
        <f>I363-I398</f>
        <v>0</v>
      </c>
      <c r="J400" s="250"/>
      <c r="K400" s="251"/>
      <c r="L400" s="248">
        <f>L363-L398</f>
        <v>0</v>
      </c>
      <c r="M400" s="249"/>
      <c r="N400" s="248"/>
      <c r="O400" s="250"/>
      <c r="P400" s="251"/>
      <c r="Q400" s="248">
        <f>Q363-Q398</f>
        <v>0</v>
      </c>
      <c r="R400" s="250"/>
      <c r="S400" s="252">
        <f>L400-Q400</f>
        <v>0</v>
      </c>
      <c r="T400" s="10"/>
      <c r="U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61" ht="21" hidden="1">
      <c r="B401" s="7"/>
      <c r="C401" s="76"/>
      <c r="D401" s="81"/>
      <c r="E401" s="13"/>
      <c r="F401" s="112"/>
      <c r="G401" s="81"/>
      <c r="H401" s="13"/>
      <c r="I401" s="112"/>
      <c r="J401" s="76"/>
      <c r="K401" s="76"/>
      <c r="L401" s="112"/>
      <c r="M401" s="76"/>
      <c r="N401" s="112"/>
      <c r="O401" s="76"/>
      <c r="P401" s="76"/>
      <c r="Q401" s="112"/>
      <c r="R401" s="76"/>
      <c r="S401" s="112"/>
      <c r="T401" s="13"/>
      <c r="U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61" ht="20.399999999999999">
      <c r="B402" s="7"/>
      <c r="C402" s="13"/>
      <c r="D402" s="13"/>
      <c r="E402" s="13"/>
      <c r="F402" s="82"/>
      <c r="G402" s="13"/>
      <c r="H402" s="13"/>
      <c r="I402" s="13"/>
      <c r="J402" s="13"/>
      <c r="K402" s="13"/>
      <c r="L402" s="82"/>
      <c r="M402" s="13"/>
      <c r="N402" s="13"/>
      <c r="O402" s="13"/>
      <c r="P402" s="13"/>
      <c r="Q402" s="13"/>
      <c r="R402" s="13"/>
      <c r="S402" s="13"/>
      <c r="T402" s="10"/>
      <c r="U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Q402" s="467"/>
      <c r="AU402" s="467"/>
      <c r="AV402" s="468"/>
    </row>
    <row r="403" spans="1:61" ht="35.4">
      <c r="B403" s="7"/>
      <c r="C403" s="10"/>
      <c r="D403" s="10"/>
      <c r="E403" s="10"/>
      <c r="F403" s="154"/>
      <c r="G403" s="10"/>
      <c r="H403" s="10"/>
      <c r="I403" s="10"/>
      <c r="J403" s="10"/>
      <c r="K403" s="10"/>
      <c r="L403" s="493"/>
      <c r="M403" s="10"/>
      <c r="N403" s="10"/>
      <c r="O403" s="10"/>
      <c r="P403" s="10"/>
      <c r="Q403" s="10"/>
      <c r="R403" s="10"/>
      <c r="S403" s="10"/>
      <c r="T403" s="10"/>
      <c r="U403" s="10"/>
      <c r="V403" s="6" t="str">
        <f>C1</f>
        <v>BMW Sherbrooke</v>
      </c>
      <c r="W403" s="6"/>
      <c r="X403" s="6"/>
      <c r="Y403" s="6"/>
      <c r="Z403" s="1"/>
      <c r="AA403" s="1"/>
      <c r="AB403" s="6"/>
      <c r="AC403" s="6"/>
      <c r="AD403" s="1"/>
      <c r="AE403" s="3" t="s">
        <v>116</v>
      </c>
      <c r="AF403" s="6"/>
      <c r="AG403" s="6"/>
      <c r="AH403" s="1"/>
      <c r="AI403" s="1"/>
      <c r="AJ403" s="253"/>
      <c r="AK403" s="2"/>
      <c r="AL403" s="1"/>
      <c r="AM403" s="6"/>
      <c r="AN403" s="6"/>
      <c r="AO403" s="5" t="str">
        <f>$S$1</f>
        <v>Réalisé  Q3 2026</v>
      </c>
      <c r="AP403" s="244"/>
      <c r="AQ403" s="467"/>
      <c r="AS403" s="468"/>
      <c r="AT403" s="469"/>
      <c r="AU403" s="467"/>
      <c r="AV403" s="468"/>
      <c r="AW403" s="468"/>
      <c r="AX403" s="468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</row>
    <row r="404" spans="1:61" ht="18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10"/>
      <c r="AN404" s="10"/>
      <c r="AO404" s="10"/>
      <c r="AP404" s="244"/>
      <c r="AQ404" s="470"/>
      <c r="AR404" s="244"/>
      <c r="AS404" s="468"/>
      <c r="AT404" s="471"/>
      <c r="AU404" s="470"/>
      <c r="AV404" s="472"/>
      <c r="AW404" s="472"/>
      <c r="AX404" s="472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</row>
    <row r="405" spans="1:61" ht="22.2" thickTop="1" thickBot="1">
      <c r="A405" t="str">
        <f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55"/>
      <c r="W405" s="256"/>
      <c r="X405" s="514" t="s">
        <v>117</v>
      </c>
      <c r="Y405" s="512"/>
      <c r="Z405" s="515"/>
      <c r="AA405" s="511" t="s">
        <v>71</v>
      </c>
      <c r="AB405" s="512"/>
      <c r="AC405" s="515"/>
      <c r="AD405" s="511" t="s">
        <v>7</v>
      </c>
      <c r="AE405" s="512"/>
      <c r="AF405" s="515"/>
      <c r="AG405" s="511" t="s">
        <v>212</v>
      </c>
      <c r="AH405" s="512"/>
      <c r="AI405" s="515"/>
      <c r="AJ405" s="511" t="s">
        <v>118</v>
      </c>
      <c r="AK405" s="512"/>
      <c r="AL405" s="512"/>
      <c r="AM405" s="511" t="s">
        <v>119</v>
      </c>
      <c r="AN405" s="512"/>
      <c r="AO405" s="513"/>
      <c r="AP405" s="244"/>
      <c r="AQ405" s="470"/>
      <c r="AR405" s="244"/>
      <c r="AS405" s="472"/>
      <c r="AT405" s="471"/>
      <c r="AU405" s="470"/>
      <c r="AV405" s="472"/>
      <c r="AW405" s="472"/>
      <c r="AX405" s="472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</row>
    <row r="406" spans="1:61" ht="20.399999999999999">
      <c r="A406" t="str">
        <f t="shared" ref="A406:A408" si="140">+U406&amp;V406</f>
        <v/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6"/>
      <c r="W406" s="257" t="s">
        <v>120</v>
      </c>
      <c r="X406" s="257" t="s">
        <v>121</v>
      </c>
      <c r="Y406" s="257" t="s">
        <v>122</v>
      </c>
      <c r="Z406" s="258" t="s">
        <v>123</v>
      </c>
      <c r="AA406" s="257" t="s">
        <v>121</v>
      </c>
      <c r="AB406" s="257" t="s">
        <v>122</v>
      </c>
      <c r="AC406" s="258" t="s">
        <v>123</v>
      </c>
      <c r="AD406" s="259" t="s">
        <v>121</v>
      </c>
      <c r="AE406" s="257" t="s">
        <v>122</v>
      </c>
      <c r="AF406" s="257" t="s">
        <v>123</v>
      </c>
      <c r="AG406" s="259" t="s">
        <v>124</v>
      </c>
      <c r="AH406" s="257" t="s">
        <v>125</v>
      </c>
      <c r="AI406" s="257" t="s">
        <v>126</v>
      </c>
      <c r="AJ406" s="259" t="s">
        <v>121</v>
      </c>
      <c r="AK406" s="257" t="s">
        <v>122</v>
      </c>
      <c r="AL406" s="257" t="s">
        <v>123</v>
      </c>
      <c r="AM406" s="260" t="s">
        <v>124</v>
      </c>
      <c r="AN406" s="257" t="s">
        <v>125</v>
      </c>
      <c r="AO406" s="139" t="s">
        <v>126</v>
      </c>
      <c r="AP406" s="244"/>
      <c r="AQ406" s="473"/>
      <c r="AR406" s="393"/>
      <c r="AS406" s="393"/>
      <c r="AT406" s="474"/>
      <c r="AU406" s="473"/>
      <c r="AV406" s="475"/>
      <c r="AW406" s="475"/>
      <c r="AX406" s="475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</row>
    <row r="407" spans="1:61" ht="17.399999999999999">
      <c r="A407" t="str">
        <f t="shared" si="140"/>
        <v>Ventes nettes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4"/>
      <c r="U407" s="244"/>
      <c r="V407" s="103" t="s">
        <v>14</v>
      </c>
      <c r="W407" s="261"/>
      <c r="X407" s="261"/>
      <c r="Y407" s="261"/>
      <c r="Z407" s="262">
        <f>F5+F93+E195+E251+D315+D363</f>
        <v>14165095.583268691</v>
      </c>
      <c r="AA407" s="261"/>
      <c r="AB407" s="261"/>
      <c r="AC407" s="262"/>
      <c r="AD407" s="263"/>
      <c r="AE407" s="264"/>
      <c r="AF407" s="264">
        <f>L5+L93+K195+K251+J315+J363</f>
        <v>15141214.09</v>
      </c>
      <c r="AG407" s="263"/>
      <c r="AH407" s="264"/>
      <c r="AI407" s="265"/>
      <c r="AJ407" s="263"/>
      <c r="AK407" s="264"/>
      <c r="AL407" s="264">
        <f>Q5+Q93+P195+P251+O315+O363</f>
        <v>9932882.1999999899</v>
      </c>
      <c r="AM407" s="266"/>
      <c r="AN407" s="264"/>
      <c r="AO407" s="267"/>
      <c r="AP407" s="244"/>
      <c r="AQ407" s="244"/>
      <c r="AR407" s="244"/>
      <c r="AS407" s="244"/>
      <c r="AT407" s="244"/>
      <c r="AU407" s="244"/>
      <c r="AV407" s="472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</row>
    <row r="408" spans="1:61" ht="17.399999999999999">
      <c r="A408" t="str">
        <f t="shared" si="140"/>
        <v>Profit brut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4"/>
      <c r="U408" s="244"/>
      <c r="V408" s="268" t="s">
        <v>127</v>
      </c>
      <c r="W408" s="269"/>
      <c r="X408" s="269"/>
      <c r="Y408" s="269"/>
      <c r="Z408" s="270">
        <f>F27+F109+F195+F251+F315+F363</f>
        <v>1442400.859923396</v>
      </c>
      <c r="AA408" s="269"/>
      <c r="AB408" s="269"/>
      <c r="AC408" s="270"/>
      <c r="AD408" s="271"/>
      <c r="AE408" s="272"/>
      <c r="AF408" s="272">
        <f>L27+L109+L195+L251+L315+L363</f>
        <v>1490669.1</v>
      </c>
      <c r="AG408" s="271"/>
      <c r="AH408" s="272">
        <f>AF408-Z408</f>
        <v>48268.240076604066</v>
      </c>
      <c r="AI408" s="273">
        <f>AH408/Z408</f>
        <v>3.3463818150501888E-2</v>
      </c>
      <c r="AJ408" s="271">
        <f>+AL408/AL407</f>
        <v>0.11262082922920399</v>
      </c>
      <c r="AK408" s="272"/>
      <c r="AL408" s="272">
        <f>Q27+Q109+Q195+Q251+Q315+Q363</f>
        <v>1118649.429999999</v>
      </c>
      <c r="AM408" s="274"/>
      <c r="AN408" s="272">
        <f>AF408-AL408</f>
        <v>372019.67000000109</v>
      </c>
      <c r="AO408" s="275">
        <f>IF(AL408=0,0,AN408/AL408)</f>
        <v>0.3325614442050906</v>
      </c>
      <c r="AP408" s="244"/>
      <c r="AQ408" s="244"/>
      <c r="AR408" s="308"/>
      <c r="AS408" s="308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</row>
    <row r="409" spans="1:61" ht="17.399999999999999">
      <c r="A409" t="str">
        <f t="shared" ref="A409" si="141">+U409&amp;V409</f>
        <v>DÉPENSES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4"/>
      <c r="U409" s="244"/>
      <c r="V409" s="276" t="s">
        <v>128</v>
      </c>
      <c r="W409" s="277"/>
      <c r="X409" s="277"/>
      <c r="Y409" s="277"/>
      <c r="Z409" s="278"/>
      <c r="AA409" s="277"/>
      <c r="AB409" s="277"/>
      <c r="AC409" s="278"/>
      <c r="AD409" s="279"/>
      <c r="AE409" s="277"/>
      <c r="AF409" s="280"/>
      <c r="AG409" s="279"/>
      <c r="AH409" s="280"/>
      <c r="AI409" s="281"/>
      <c r="AJ409" s="279"/>
      <c r="AK409" s="277"/>
      <c r="AL409" s="280"/>
      <c r="AM409" s="282"/>
      <c r="AN409" s="280"/>
      <c r="AO409" s="283"/>
      <c r="AP409" s="244"/>
      <c r="AQ409" s="244"/>
      <c r="AR409" s="244"/>
      <c r="AS409" s="244"/>
      <c r="AT409" s="244"/>
      <c r="AU409" s="470"/>
      <c r="AV409" s="470"/>
      <c r="AW409" s="470"/>
      <c r="AX409" s="470"/>
      <c r="AY409" s="470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</row>
    <row r="410" spans="1:61" ht="17.399999999999999">
      <c r="A410" t="str">
        <f t="shared" ref="A410" si="142">+U410&amp;V410</f>
        <v>Comm. vendeurs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4"/>
      <c r="U410" s="244"/>
      <c r="V410" s="102" t="s">
        <v>30</v>
      </c>
      <c r="W410" s="284" t="s">
        <v>129</v>
      </c>
      <c r="X410" s="277"/>
      <c r="Y410" s="285">
        <f>Z410/(D$13+D$97)</f>
        <v>982.55900782664537</v>
      </c>
      <c r="Z410" s="278">
        <f>+SUM(START:END!Z410)</f>
        <v>126750.11200963725</v>
      </c>
      <c r="AA410" s="277"/>
      <c r="AB410" s="285">
        <f>IF(AC410=0,0,AC410/(G$13+G$97))</f>
        <v>0</v>
      </c>
      <c r="AC410" s="278">
        <f>+SUM(START:END!AC410)</f>
        <v>0</v>
      </c>
      <c r="AD410" s="286"/>
      <c r="AE410" s="285">
        <f>IF(AF410=0,0,AF410/(J$13+J$97))</f>
        <v>1141.3244755244755</v>
      </c>
      <c r="AF410" s="278">
        <f>+SUM(START:END!AF410)</f>
        <v>163209.4</v>
      </c>
      <c r="AG410" s="279">
        <f t="shared" ref="AG410:AG419" si="143">AE410-Y410</f>
        <v>158.7654676978301</v>
      </c>
      <c r="AH410" s="280">
        <f t="shared" ref="AH410:AH437" si="144">AF410-Z410</f>
        <v>36459.287990362747</v>
      </c>
      <c r="AI410" s="281">
        <f t="shared" ref="AI410:AI419" si="145">IF(Z410=0,0,AH410/Z410)</f>
        <v>0.28764698833237023</v>
      </c>
      <c r="AJ410" s="286"/>
      <c r="AK410" s="280">
        <f>AL410/(O$13+O$97)</f>
        <v>862.86688888888898</v>
      </c>
      <c r="AL410" s="278">
        <f t="shared" ref="AL410:AL416" si="146">+SUMIF($C:$C,$V410,Q:Q)</f>
        <v>77658.02</v>
      </c>
      <c r="AM410" s="282">
        <f t="shared" ref="AM410:AM415" si="147">AE410-Y410</f>
        <v>158.7654676978301</v>
      </c>
      <c r="AN410" s="280">
        <f t="shared" ref="AN410:AN415" si="148">AF410-AL410</f>
        <v>85551.37999999999</v>
      </c>
      <c r="AO410" s="287">
        <f t="shared" ref="AO410:AO432" si="149">IF(AL410=0,0,AN410/AL410)</f>
        <v>1.1016425605494446</v>
      </c>
      <c r="AP410" s="244"/>
      <c r="AQ410" s="244"/>
      <c r="AS410" s="476"/>
      <c r="AT410" s="469"/>
      <c r="AU410" s="470"/>
      <c r="AV410" s="470"/>
      <c r="AW410" s="470"/>
      <c r="AX410" s="470"/>
      <c r="AY410" s="470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</row>
    <row r="411" spans="1:61" ht="17.399999999999999">
      <c r="A411" t="str">
        <f t="shared" ref="A411" si="150">+U411&amp;V411</f>
        <v>Comm. F&amp;I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4"/>
      <c r="U411" s="244"/>
      <c r="V411" s="103" t="s">
        <v>31</v>
      </c>
      <c r="W411" s="288" t="s">
        <v>130</v>
      </c>
      <c r="X411" s="261"/>
      <c r="Y411" s="289">
        <f t="shared" ref="Y411:Y416" si="151">Z411/(D$13+D$97)</f>
        <v>485.93798449612405</v>
      </c>
      <c r="Z411" s="262">
        <f>+SUM(START:END!Z411)</f>
        <v>62686</v>
      </c>
      <c r="AA411" s="261"/>
      <c r="AB411" s="289">
        <f t="shared" ref="AB411:AB416" si="152">IF(AC411=0,0,AC411/(G$13+G$97))</f>
        <v>0</v>
      </c>
      <c r="AC411" s="262">
        <f>+SUM(START:END!AC411)</f>
        <v>0</v>
      </c>
      <c r="AD411" s="290"/>
      <c r="AE411" s="289">
        <f t="shared" ref="AE411:AE416" si="153">IF(AF411=0,0,AF411/(J$13+J$97))</f>
        <v>160.92804195804194</v>
      </c>
      <c r="AF411" s="262">
        <f>+SUM(START:END!AF411)</f>
        <v>23012.71</v>
      </c>
      <c r="AG411" s="263">
        <f t="shared" si="143"/>
        <v>-325.0099425380821</v>
      </c>
      <c r="AH411" s="264">
        <f t="shared" si="144"/>
        <v>-39673.29</v>
      </c>
      <c r="AI411" s="291">
        <f t="shared" si="145"/>
        <v>-0.63288916185432154</v>
      </c>
      <c r="AJ411" s="290"/>
      <c r="AK411" s="264">
        <f t="shared" ref="AK411:AK416" si="154">AL411/(O$13+O$97)</f>
        <v>500.38166666666666</v>
      </c>
      <c r="AL411" s="262">
        <f t="shared" si="146"/>
        <v>45034.35</v>
      </c>
      <c r="AM411" s="266">
        <f t="shared" si="147"/>
        <v>-325.0099425380821</v>
      </c>
      <c r="AN411" s="264">
        <f t="shared" si="148"/>
        <v>-22021.64</v>
      </c>
      <c r="AO411" s="292">
        <f t="shared" si="149"/>
        <v>-0.48899651044147413</v>
      </c>
      <c r="AP411" s="244"/>
      <c r="AQ411" s="244"/>
      <c r="AS411" s="436"/>
      <c r="AT411" s="469"/>
      <c r="AU411" s="470"/>
      <c r="AV411" s="470"/>
      <c r="AW411" s="470"/>
      <c r="AX411" s="470"/>
      <c r="AY411" s="470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</row>
    <row r="412" spans="1:61" ht="17.399999999999999">
      <c r="A412" t="str">
        <f t="shared" ref="A412" si="155">+U412&amp;V412</f>
        <v>Frais de livraison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4"/>
      <c r="U412" s="244"/>
      <c r="V412" s="102" t="s">
        <v>32</v>
      </c>
      <c r="W412" s="284" t="s">
        <v>131</v>
      </c>
      <c r="X412" s="277"/>
      <c r="Y412" s="285">
        <f t="shared" si="151"/>
        <v>112.48062015503876</v>
      </c>
      <c r="Z412" s="278">
        <f>+SUM(START:END!Z412)</f>
        <v>14510</v>
      </c>
      <c r="AA412" s="277"/>
      <c r="AB412" s="285">
        <f t="shared" si="152"/>
        <v>0</v>
      </c>
      <c r="AC412" s="278">
        <f>+SUM(START:END!AC412)</f>
        <v>0</v>
      </c>
      <c r="AD412" s="286"/>
      <c r="AE412" s="285">
        <f t="shared" si="153"/>
        <v>139.15097902097901</v>
      </c>
      <c r="AF412" s="278">
        <f>+SUM(START:END!AF412)</f>
        <v>19898.59</v>
      </c>
      <c r="AG412" s="279">
        <f t="shared" si="143"/>
        <v>26.670358865940244</v>
      </c>
      <c r="AH412" s="280">
        <f t="shared" si="144"/>
        <v>5388.59</v>
      </c>
      <c r="AI412" s="281">
        <f t="shared" si="145"/>
        <v>0.37137077877325986</v>
      </c>
      <c r="AJ412" s="286"/>
      <c r="AK412" s="280">
        <f t="shared" si="154"/>
        <v>171.3761111111111</v>
      </c>
      <c r="AL412" s="278">
        <f t="shared" si="146"/>
        <v>15423.849999999999</v>
      </c>
      <c r="AM412" s="282">
        <f t="shared" si="147"/>
        <v>26.670358865940244</v>
      </c>
      <c r="AN412" s="280">
        <f t="shared" si="148"/>
        <v>4474.7400000000016</v>
      </c>
      <c r="AO412" s="287">
        <f t="shared" si="149"/>
        <v>0.29011822599415854</v>
      </c>
      <c r="AP412" s="244"/>
      <c r="AQ412" s="244"/>
      <c r="AS412" s="436"/>
      <c r="AT412" s="469"/>
      <c r="AU412" s="470"/>
      <c r="AV412" s="470"/>
      <c r="AW412" s="470"/>
      <c r="AX412" s="470"/>
      <c r="AY412" s="470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</row>
    <row r="413" spans="1:61" ht="17.399999999999999">
      <c r="A413" t="str">
        <f t="shared" ref="A413" si="156">+U413&amp;V413</f>
        <v>Service gratuit 1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4"/>
      <c r="U413" s="244"/>
      <c r="V413" s="102" t="s">
        <v>33</v>
      </c>
      <c r="W413" s="284" t="s">
        <v>132</v>
      </c>
      <c r="X413" s="277"/>
      <c r="Y413" s="285">
        <f t="shared" si="151"/>
        <v>59.34108527131783</v>
      </c>
      <c r="Z413" s="278">
        <f>+SUM(START:END!Z413)</f>
        <v>7655</v>
      </c>
      <c r="AA413" s="277"/>
      <c r="AB413" s="285">
        <f t="shared" si="152"/>
        <v>0</v>
      </c>
      <c r="AC413" s="278">
        <f>+SUM(START:END!AC413)</f>
        <v>0</v>
      </c>
      <c r="AD413" s="286"/>
      <c r="AE413" s="285">
        <f t="shared" si="153"/>
        <v>84.425664335664337</v>
      </c>
      <c r="AF413" s="278">
        <f>+SUM(START:END!AF413)</f>
        <v>12072.87</v>
      </c>
      <c r="AG413" s="279">
        <f t="shared" si="143"/>
        <v>25.084579064346507</v>
      </c>
      <c r="AH413" s="280">
        <f t="shared" si="144"/>
        <v>4417.8700000000008</v>
      </c>
      <c r="AI413" s="281">
        <f t="shared" si="145"/>
        <v>0.57712214239059445</v>
      </c>
      <c r="AJ413" s="286"/>
      <c r="AK413" s="280">
        <f t="shared" si="154"/>
        <v>41.09</v>
      </c>
      <c r="AL413" s="278">
        <f t="shared" si="146"/>
        <v>3698.1000000000004</v>
      </c>
      <c r="AM413" s="282">
        <f t="shared" si="147"/>
        <v>25.084579064346507</v>
      </c>
      <c r="AN413" s="280">
        <f t="shared" si="148"/>
        <v>8374.77</v>
      </c>
      <c r="AO413" s="293">
        <f t="shared" si="149"/>
        <v>2.264614261377464</v>
      </c>
      <c r="AP413" s="244"/>
      <c r="AQ413" s="244"/>
      <c r="AS413" s="436"/>
      <c r="AT413" s="469"/>
      <c r="AU413" s="470"/>
      <c r="AV413" s="470"/>
      <c r="AW413" s="470"/>
      <c r="AX413" s="470"/>
      <c r="AY413" s="470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</row>
    <row r="414" spans="1:61" ht="17.399999999999999">
      <c r="A414" t="str">
        <f t="shared" ref="A414" si="157">+U414&amp;V414</f>
        <v>Entretien stock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4"/>
      <c r="U414" s="244"/>
      <c r="V414" s="103" t="s">
        <v>34</v>
      </c>
      <c r="W414" s="288"/>
      <c r="X414" s="261"/>
      <c r="Y414" s="289">
        <f t="shared" si="151"/>
        <v>81.984496124031011</v>
      </c>
      <c r="Z414" s="262">
        <f>+SUM(START:END!Z414)</f>
        <v>10576</v>
      </c>
      <c r="AA414" s="261"/>
      <c r="AB414" s="289">
        <f t="shared" si="152"/>
        <v>0</v>
      </c>
      <c r="AC414" s="262">
        <f>+SUM(START:END!AC414)</f>
        <v>0</v>
      </c>
      <c r="AD414" s="290"/>
      <c r="AE414" s="289">
        <f t="shared" si="153"/>
        <v>55.777552447552452</v>
      </c>
      <c r="AF414" s="262">
        <f>+SUM(START:END!AF414)</f>
        <v>7976.1900000000005</v>
      </c>
      <c r="AG414" s="263">
        <f t="shared" si="143"/>
        <v>-26.206943676478559</v>
      </c>
      <c r="AH414" s="264">
        <f t="shared" si="144"/>
        <v>-2599.8099999999995</v>
      </c>
      <c r="AI414" s="291">
        <f t="shared" si="145"/>
        <v>-0.24582167170953095</v>
      </c>
      <c r="AJ414" s="290"/>
      <c r="AK414" s="264">
        <f t="shared" si="154"/>
        <v>202.97955555555561</v>
      </c>
      <c r="AL414" s="262">
        <f t="shared" si="146"/>
        <v>18268.160000000003</v>
      </c>
      <c r="AM414" s="266">
        <f t="shared" si="147"/>
        <v>-26.206943676478559</v>
      </c>
      <c r="AN414" s="264">
        <f t="shared" si="148"/>
        <v>-10291.970000000003</v>
      </c>
      <c r="AO414" s="292">
        <f t="shared" si="149"/>
        <v>-0.5633829570137332</v>
      </c>
      <c r="AP414" s="244"/>
      <c r="AQ414" s="244"/>
      <c r="AS414" s="436"/>
      <c r="AT414" s="469"/>
      <c r="AU414" s="470"/>
      <c r="AV414" s="470"/>
      <c r="AW414" s="470"/>
      <c r="AX414" s="470"/>
      <c r="AY414" s="470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</row>
    <row r="415" spans="1:61" ht="17.399999999999999">
      <c r="A415" t="str">
        <f t="shared" ref="A415" si="158">+U415&amp;V415</f>
        <v>Publicité 1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4"/>
      <c r="U415" s="244"/>
      <c r="V415" s="102" t="s">
        <v>35</v>
      </c>
      <c r="W415" s="284" t="s">
        <v>133</v>
      </c>
      <c r="X415" s="281"/>
      <c r="Y415" s="285">
        <f t="shared" si="151"/>
        <v>164.79741602067182</v>
      </c>
      <c r="Z415" s="278">
        <f>+SUM(START:END!Z415)</f>
        <v>21258.866666666665</v>
      </c>
      <c r="AA415" s="281"/>
      <c r="AB415" s="285">
        <f t="shared" si="152"/>
        <v>0</v>
      </c>
      <c r="AC415" s="278">
        <f>+SUM(START:END!AC415)</f>
        <v>0</v>
      </c>
      <c r="AD415" s="286"/>
      <c r="AE415" s="285">
        <f t="shared" si="153"/>
        <v>126.43615384615387</v>
      </c>
      <c r="AF415" s="278">
        <f>+SUM(START:END!AF415)</f>
        <v>18080.370000000003</v>
      </c>
      <c r="AG415" s="279">
        <f t="shared" si="143"/>
        <v>-38.361262174517947</v>
      </c>
      <c r="AH415" s="280">
        <f t="shared" si="144"/>
        <v>-3178.4966666666623</v>
      </c>
      <c r="AI415" s="281">
        <f t="shared" si="145"/>
        <v>-0.14951392830599292</v>
      </c>
      <c r="AJ415" s="286"/>
      <c r="AK415" s="280">
        <f t="shared" si="154"/>
        <v>533.86844444444444</v>
      </c>
      <c r="AL415" s="278">
        <f t="shared" si="146"/>
        <v>48048.160000000003</v>
      </c>
      <c r="AM415" s="282">
        <f t="shared" si="147"/>
        <v>-38.361262174517947</v>
      </c>
      <c r="AN415" s="280">
        <f t="shared" si="148"/>
        <v>-29967.79</v>
      </c>
      <c r="AO415" s="287">
        <f t="shared" si="149"/>
        <v>-0.62370317614659954</v>
      </c>
      <c r="AP415" s="244"/>
      <c r="AQ415" s="244"/>
      <c r="AR415" s="437"/>
      <c r="AS415" s="436"/>
      <c r="AT415" s="469"/>
      <c r="AU415" s="470"/>
      <c r="AV415" s="470"/>
      <c r="AW415" s="470"/>
      <c r="AX415" s="470"/>
      <c r="AY415" s="470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</row>
    <row r="416" spans="1:61" ht="20.399999999999999">
      <c r="A416" t="str">
        <f t="shared" ref="A416" si="159">+U416&amp;V416</f>
        <v>Intérêt de gros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4"/>
      <c r="U416" s="244"/>
      <c r="V416" s="102" t="s">
        <v>36</v>
      </c>
      <c r="W416" s="284" t="s">
        <v>134</v>
      </c>
      <c r="X416" s="277"/>
      <c r="Y416" s="285">
        <f t="shared" si="151"/>
        <v>696.07003897754294</v>
      </c>
      <c r="Z416" s="278">
        <f>+SUM(START:END!Z416)</f>
        <v>89793.035028103041</v>
      </c>
      <c r="AA416" s="277"/>
      <c r="AB416" s="285">
        <f t="shared" si="152"/>
        <v>0</v>
      </c>
      <c r="AC416" s="278">
        <f>+SUM(START:END!AC416)</f>
        <v>0</v>
      </c>
      <c r="AD416" s="286"/>
      <c r="AE416" s="285">
        <f t="shared" si="153"/>
        <v>641.58776223776226</v>
      </c>
      <c r="AF416" s="278">
        <f>+SUM(START:END!AF416)</f>
        <v>91747.05</v>
      </c>
      <c r="AG416" s="279">
        <f t="shared" si="143"/>
        <v>-54.482276739780673</v>
      </c>
      <c r="AH416" s="280">
        <f t="shared" si="144"/>
        <v>1954.0149718969624</v>
      </c>
      <c r="AI416" s="281">
        <f t="shared" si="145"/>
        <v>2.1761320032064883E-2</v>
      </c>
      <c r="AJ416" s="286"/>
      <c r="AK416" s="280">
        <f t="shared" si="154"/>
        <v>855.48066666666659</v>
      </c>
      <c r="AL416" s="278">
        <f t="shared" si="146"/>
        <v>76993.259999999995</v>
      </c>
      <c r="AM416" s="282">
        <f>AE416-Y416</f>
        <v>-54.482276739780673</v>
      </c>
      <c r="AN416" s="280">
        <f>AF416-AL416</f>
        <v>14753.790000000008</v>
      </c>
      <c r="AO416" s="292">
        <f t="shared" si="149"/>
        <v>0.19162443569735857</v>
      </c>
      <c r="AP416" s="244"/>
      <c r="AQ416" s="470"/>
      <c r="AR416" s="13"/>
      <c r="AS416" s="477"/>
      <c r="AT416" s="244"/>
      <c r="AU416" s="470"/>
      <c r="AV416" s="470"/>
      <c r="AW416" s="470"/>
      <c r="AX416" s="470"/>
      <c r="AY416" s="470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</row>
    <row r="417" spans="1:61" ht="20.25" hidden="1" customHeight="1">
      <c r="A417" t="str">
        <f t="shared" ref="A417" si="160">+U417&amp;V417</f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4"/>
      <c r="U417" s="244"/>
      <c r="V417" s="102" t="s">
        <v>19</v>
      </c>
      <c r="W417" s="284"/>
      <c r="X417" s="281"/>
      <c r="Y417" s="285">
        <f>Z417/(D$13+D$97)</f>
        <v>0</v>
      </c>
      <c r="Z417" s="278">
        <f>+SUM(START:END!Z417)</f>
        <v>0</v>
      </c>
      <c r="AA417" s="277"/>
      <c r="AB417" s="285">
        <f>IF(AC417=0,0,AC417/(G$13+G$97))</f>
        <v>0</v>
      </c>
      <c r="AC417" s="278">
        <f>+SUM(START:END!AC417)</f>
        <v>0</v>
      </c>
      <c r="AD417" s="286"/>
      <c r="AE417" s="285">
        <f>IF(AF417=0,0,AF417/(J$13+J$97))</f>
        <v>0</v>
      </c>
      <c r="AF417" s="278">
        <f>+SUM(START:END!AF417)</f>
        <v>0</v>
      </c>
      <c r="AG417" s="279">
        <f t="shared" si="143"/>
        <v>0</v>
      </c>
      <c r="AH417" s="280">
        <f t="shared" si="144"/>
        <v>0</v>
      </c>
      <c r="AI417" s="281">
        <f t="shared" si="145"/>
        <v>0</v>
      </c>
      <c r="AJ417" s="286"/>
      <c r="AK417" s="280">
        <f>AL417/(O$13+O$97)</f>
        <v>0</v>
      </c>
      <c r="AL417" s="278"/>
      <c r="AM417" s="282">
        <f>AE417-Y417</f>
        <v>0</v>
      </c>
      <c r="AN417" s="280">
        <f>AF417-AL417</f>
        <v>0</v>
      </c>
      <c r="AO417" s="287">
        <f t="shared" si="149"/>
        <v>0</v>
      </c>
      <c r="AP417" s="244"/>
      <c r="AQ417" s="244"/>
      <c r="AR417" s="13"/>
      <c r="AS417" s="244"/>
      <c r="AT417" s="244"/>
      <c r="AU417" s="470"/>
      <c r="AV417" s="470"/>
      <c r="AW417" s="470"/>
      <c r="AX417" s="470"/>
      <c r="AY417" s="470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</row>
    <row r="418" spans="1:61" ht="20.25" hidden="1" customHeight="1">
      <c r="A418" t="str">
        <f t="shared" ref="A418" si="161">+U418&amp;V418</f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4"/>
      <c r="U418" s="244"/>
      <c r="V418" s="102" t="s">
        <v>19</v>
      </c>
      <c r="W418" s="284"/>
      <c r="X418" s="281"/>
      <c r="Y418" s="285">
        <f>Z418/(D$13+D$97)</f>
        <v>0</v>
      </c>
      <c r="Z418" s="278">
        <f>+SUM(START:END!Z418)</f>
        <v>0</v>
      </c>
      <c r="AA418" s="277"/>
      <c r="AB418" s="285">
        <f>IF(AC418=0,0,AC418/(G$13+G$97))</f>
        <v>0</v>
      </c>
      <c r="AC418" s="278">
        <f>+SUM(START:END!AC418)</f>
        <v>0</v>
      </c>
      <c r="AD418" s="286"/>
      <c r="AE418" s="285">
        <f>IF(AF418=0,0,AF418/(J$13+J$97))</f>
        <v>0</v>
      </c>
      <c r="AF418" s="278">
        <f>+SUM(START:END!AF418)</f>
        <v>0</v>
      </c>
      <c r="AG418" s="279">
        <f t="shared" si="143"/>
        <v>0</v>
      </c>
      <c r="AH418" s="280">
        <f t="shared" si="144"/>
        <v>0</v>
      </c>
      <c r="AI418" s="281">
        <f t="shared" si="145"/>
        <v>0</v>
      </c>
      <c r="AJ418" s="286"/>
      <c r="AK418" s="280">
        <f>AL418/(O$13+O$97)</f>
        <v>0</v>
      </c>
      <c r="AL418" s="278"/>
      <c r="AM418" s="282">
        <f>AE418-Y418</f>
        <v>0</v>
      </c>
      <c r="AN418" s="280">
        <f>AF418-AL418</f>
        <v>0</v>
      </c>
      <c r="AO418" s="287">
        <f t="shared" si="149"/>
        <v>0</v>
      </c>
      <c r="AP418" s="244"/>
      <c r="AQ418" s="244"/>
      <c r="AR418" s="13"/>
      <c r="AS418" s="244"/>
      <c r="AT418" s="244"/>
      <c r="AU418" s="470"/>
      <c r="AV418" s="470"/>
      <c r="AW418" s="470"/>
      <c r="AX418" s="470"/>
      <c r="AY418" s="470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</row>
    <row r="419" spans="1:61" ht="20.25" hidden="1" customHeight="1">
      <c r="A419" t="str">
        <f t="shared" ref="A419" si="162">+U419&amp;V419</f>
        <v>[...]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4"/>
      <c r="U419" s="244"/>
      <c r="V419" s="102" t="s">
        <v>19</v>
      </c>
      <c r="W419" s="284"/>
      <c r="X419" s="277"/>
      <c r="Y419" s="285">
        <f>Z419/(D$13+D$97)</f>
        <v>0</v>
      </c>
      <c r="Z419" s="278">
        <f>+SUM(START:END!Z419)</f>
        <v>0</v>
      </c>
      <c r="AA419" s="277"/>
      <c r="AB419" s="285">
        <f>IF(AC419=0,0,AC419/(G$13+G$97))</f>
        <v>0</v>
      </c>
      <c r="AC419" s="278">
        <f>+SUM(START:END!AC419)</f>
        <v>0</v>
      </c>
      <c r="AD419" s="286"/>
      <c r="AE419" s="285">
        <f>IF(AF419=0,0,AF419/(J$13+J$97))</f>
        <v>0</v>
      </c>
      <c r="AF419" s="278">
        <f>+SUM(START:END!AF419)</f>
        <v>0</v>
      </c>
      <c r="AG419" s="279">
        <f t="shared" si="143"/>
        <v>0</v>
      </c>
      <c r="AH419" s="280">
        <f t="shared" si="144"/>
        <v>0</v>
      </c>
      <c r="AI419" s="281">
        <f t="shared" si="145"/>
        <v>0</v>
      </c>
      <c r="AJ419" s="286"/>
      <c r="AK419" s="280">
        <f>AL419/(O$13+O$97)</f>
        <v>0</v>
      </c>
      <c r="AL419" s="278"/>
      <c r="AM419" s="282">
        <f>AE419-Y419</f>
        <v>0</v>
      </c>
      <c r="AN419" s="280">
        <f>AF419-AL419</f>
        <v>0</v>
      </c>
      <c r="AO419" s="287">
        <f t="shared" si="149"/>
        <v>0</v>
      </c>
      <c r="AP419" s="244"/>
      <c r="AQ419" s="244"/>
      <c r="AR419" s="13"/>
      <c r="AS419" s="244"/>
      <c r="AT419" s="244"/>
      <c r="AU419" s="470"/>
      <c r="AV419" s="470"/>
      <c r="AW419" s="470"/>
      <c r="AX419" s="470"/>
      <c r="AY419" s="470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</row>
    <row r="420" spans="1:61" ht="20.399999999999999">
      <c r="A420" t="str">
        <f t="shared" ref="A420" si="163">+U420&amp;V420</f>
        <v>TOTAL VARIABLES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44"/>
      <c r="U420" s="244"/>
      <c r="V420" s="294" t="s">
        <v>37</v>
      </c>
      <c r="W420" s="295"/>
      <c r="X420" s="296">
        <f>Z420/Z408</f>
        <v>0.23102385956848656</v>
      </c>
      <c r="Y420" s="295"/>
      <c r="Z420" s="297">
        <f>SUM(Z410:Z419)</f>
        <v>333229.01370440691</v>
      </c>
      <c r="AA420" s="296" t="e">
        <f>AC420/AC408</f>
        <v>#DIV/0!</v>
      </c>
      <c r="AB420" s="295"/>
      <c r="AC420" s="297">
        <f>SUM(AC410:AC419)</f>
        <v>0</v>
      </c>
      <c r="AD420" s="298">
        <f>AF420/AF408</f>
        <v>0.22540024476257003</v>
      </c>
      <c r="AE420" s="295"/>
      <c r="AF420" s="297">
        <f>SUM(AF410:AF419)</f>
        <v>335997.18</v>
      </c>
      <c r="AG420" s="299"/>
      <c r="AH420" s="300">
        <f t="shared" si="144"/>
        <v>2768.1662955930806</v>
      </c>
      <c r="AI420" s="296">
        <f>AH420/Z420</f>
        <v>8.307098667130473E-3</v>
      </c>
      <c r="AJ420" s="298">
        <f>IF($AL$407=0,0,AL420/$AL$407)</f>
        <v>2.8705051993871456E-2</v>
      </c>
      <c r="AK420" s="295"/>
      <c r="AL420" s="297">
        <f>SUM(AL410:AL419)</f>
        <v>285123.90000000002</v>
      </c>
      <c r="AM420" s="301"/>
      <c r="AN420" s="300">
        <f t="shared" ref="AN420:AN432" si="164">AF420-AL420</f>
        <v>50873.27999999997</v>
      </c>
      <c r="AO420" s="275">
        <f t="shared" si="149"/>
        <v>0.17842516884764822</v>
      </c>
      <c r="AP420" s="244"/>
      <c r="AQ420" s="244"/>
      <c r="AR420" s="13"/>
      <c r="AS420" s="244"/>
      <c r="AT420" s="244"/>
      <c r="AU420" s="470"/>
      <c r="AV420" s="470"/>
      <c r="AW420" s="470"/>
      <c r="AX420" s="470"/>
      <c r="AY420" s="470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</row>
    <row r="421" spans="1:61" ht="17.399999999999999">
      <c r="A421" t="str">
        <f t="shared" ref="A421" si="165">+U421&amp;V421</f>
        <v>Salaires propriétaire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2"/>
      <c r="P421" s="154"/>
      <c r="Q421" s="10"/>
      <c r="R421" s="10"/>
      <c r="S421" s="10"/>
      <c r="T421" s="244"/>
      <c r="U421" s="244"/>
      <c r="V421" s="102" t="s">
        <v>135</v>
      </c>
      <c r="W421" s="284" t="s">
        <v>136</v>
      </c>
      <c r="X421" s="277"/>
      <c r="Y421" s="277"/>
      <c r="Z421" s="278">
        <f>+SUM(START:END!Z421)</f>
        <v>50752.873563218396</v>
      </c>
      <c r="AA421" s="277"/>
      <c r="AB421" s="277">
        <f t="shared" ref="AB421:AB431" si="166">IF(AC421=0,0,AC421/(G$13+G$97))</f>
        <v>0</v>
      </c>
      <c r="AC421" s="278">
        <f>+SUM(START:END!AC421)</f>
        <v>0</v>
      </c>
      <c r="AD421" s="286"/>
      <c r="AE421" s="285"/>
      <c r="AF421" s="278">
        <f>+SUM(START:END!AF421)</f>
        <v>44561.599999999999</v>
      </c>
      <c r="AG421" s="279"/>
      <c r="AH421" s="280">
        <f t="shared" si="144"/>
        <v>-6191.2735632183976</v>
      </c>
      <c r="AI421" s="281">
        <f t="shared" ref="AI421:AI433" si="167">IF(Z421=0,0,AH421/Z421)</f>
        <v>-0.12198863095912139</v>
      </c>
      <c r="AJ421" s="286"/>
      <c r="AK421" s="277"/>
      <c r="AL421" s="278">
        <f>+SUM(START:END!AL421)</f>
        <v>40989.910000000003</v>
      </c>
      <c r="AM421" s="282"/>
      <c r="AN421" s="280">
        <f t="shared" si="164"/>
        <v>3571.6899999999951</v>
      </c>
      <c r="AO421" s="287">
        <f t="shared" si="149"/>
        <v>8.7135834160162698E-2</v>
      </c>
      <c r="AP421" s="244"/>
      <c r="AQ421" s="244"/>
      <c r="AS421" s="244"/>
      <c r="AT421" s="244"/>
      <c r="AU421" s="470"/>
      <c r="AV421" s="470"/>
      <c r="AW421" s="470"/>
      <c r="AX421" s="470"/>
      <c r="AY421" s="470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</row>
    <row r="422" spans="1:61" ht="17.399999999999999">
      <c r="A422" t="str">
        <f t="shared" ref="A422" si="168">+U422&amp;V422</f>
        <v>Salaires cadres</v>
      </c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02"/>
      <c r="P422" s="154"/>
      <c r="Q422" s="10"/>
      <c r="R422" s="10"/>
      <c r="S422" s="10"/>
      <c r="T422" s="244"/>
      <c r="U422" s="244"/>
      <c r="V422" s="102" t="s">
        <v>40</v>
      </c>
      <c r="W422" s="284" t="s">
        <v>137</v>
      </c>
      <c r="X422" s="277"/>
      <c r="Y422" s="277"/>
      <c r="Z422" s="278">
        <f>+SUM(START:END!Z422)</f>
        <v>102896.63151466113</v>
      </c>
      <c r="AA422" s="277"/>
      <c r="AB422" s="277">
        <f t="shared" si="166"/>
        <v>0</v>
      </c>
      <c r="AC422" s="278">
        <f>+SUM(START:END!AC422)</f>
        <v>0</v>
      </c>
      <c r="AD422" s="286"/>
      <c r="AE422" s="285"/>
      <c r="AF422" s="278">
        <f>+SUM(START:END!AF422)</f>
        <v>93208.93</v>
      </c>
      <c r="AG422" s="279"/>
      <c r="AH422" s="280">
        <f t="shared" si="144"/>
        <v>-9687.7015146611375</v>
      </c>
      <c r="AI422" s="281">
        <f t="shared" si="167"/>
        <v>-9.4149841176101035E-2</v>
      </c>
      <c r="AJ422" s="286"/>
      <c r="AK422" s="277"/>
      <c r="AL422" s="278">
        <f>+SUMIF($C:$C,$V422,Q:Q)</f>
        <v>92498.12</v>
      </c>
      <c r="AM422" s="282"/>
      <c r="AN422" s="280">
        <f t="shared" si="164"/>
        <v>710.80999999999767</v>
      </c>
      <c r="AO422" s="287">
        <f t="shared" si="149"/>
        <v>7.6845886165037482E-3</v>
      </c>
      <c r="AP422" s="244"/>
      <c r="AQ422" s="244"/>
      <c r="AR422" s="437"/>
      <c r="AS422" s="244"/>
      <c r="AT422" s="244"/>
      <c r="AU422" s="470"/>
      <c r="AV422" s="470"/>
      <c r="AW422" s="470"/>
      <c r="AX422" s="470"/>
      <c r="AY422" s="470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</row>
    <row r="423" spans="1:61" ht="17.399999999999999">
      <c r="A423" t="str">
        <f t="shared" ref="A423" si="169">+U423&amp;V423</f>
        <v>Salaires commis</v>
      </c>
      <c r="B423" s="7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303"/>
      <c r="P423" s="154"/>
      <c r="Q423" s="244"/>
      <c r="R423" s="244"/>
      <c r="S423" s="244"/>
      <c r="T423" s="244"/>
      <c r="U423" s="244"/>
      <c r="V423" s="103" t="s">
        <v>41</v>
      </c>
      <c r="W423" s="288" t="s">
        <v>138</v>
      </c>
      <c r="X423" s="261"/>
      <c r="Y423" s="261"/>
      <c r="Z423" s="262">
        <f>+SUM(START:END!Z423)</f>
        <v>44445.565798471318</v>
      </c>
      <c r="AA423" s="261"/>
      <c r="AB423" s="261">
        <f t="shared" si="166"/>
        <v>0</v>
      </c>
      <c r="AC423" s="262">
        <f>+SUM(START:END!AC423)</f>
        <v>0</v>
      </c>
      <c r="AD423" s="290"/>
      <c r="AE423" s="289"/>
      <c r="AF423" s="262">
        <f>+SUM(START:END!AF423)</f>
        <v>26769.019999999997</v>
      </c>
      <c r="AG423" s="263"/>
      <c r="AH423" s="264">
        <f t="shared" si="144"/>
        <v>-17676.545798471321</v>
      </c>
      <c r="AI423" s="291">
        <f t="shared" si="167"/>
        <v>-0.39771224600046146</v>
      </c>
      <c r="AJ423" s="290"/>
      <c r="AK423" s="261"/>
      <c r="AL423" s="262">
        <f>+SUMIF($C:$C,$V423,Q:Q)</f>
        <v>59068.91</v>
      </c>
      <c r="AM423" s="266"/>
      <c r="AN423" s="264">
        <f t="shared" si="164"/>
        <v>-32299.890000000007</v>
      </c>
      <c r="AO423" s="267">
        <f t="shared" si="149"/>
        <v>-0.5468170988765495</v>
      </c>
      <c r="AP423" s="244"/>
      <c r="AQ423" s="244"/>
      <c r="AR423" s="437"/>
      <c r="AS423" s="244"/>
      <c r="AT423" s="244"/>
      <c r="AU423" s="470"/>
      <c r="AV423" s="470"/>
      <c r="AW423" s="470"/>
      <c r="AX423" s="470"/>
      <c r="AY423" s="470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</row>
    <row r="424" spans="1:61" ht="17.399999999999999">
      <c r="A424" t="str">
        <f t="shared" ref="A424" si="170">+U424&amp;V424</f>
        <v>Salaires autres</v>
      </c>
      <c r="B424" s="7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303"/>
      <c r="P424" s="154"/>
      <c r="Q424" s="244"/>
      <c r="R424" s="244"/>
      <c r="S424" s="244"/>
      <c r="T424" s="244"/>
      <c r="U424" s="244"/>
      <c r="V424" s="102" t="s">
        <v>42</v>
      </c>
      <c r="W424" s="284" t="s">
        <v>139</v>
      </c>
      <c r="X424" s="277"/>
      <c r="Y424" s="277"/>
      <c r="Z424" s="278">
        <f>+SUM(START:END!Z424)</f>
        <v>99700.385639016313</v>
      </c>
      <c r="AA424" s="277"/>
      <c r="AB424" s="277">
        <f t="shared" si="166"/>
        <v>0</v>
      </c>
      <c r="AC424" s="278">
        <f>+SUM(START:END!AC424)</f>
        <v>0</v>
      </c>
      <c r="AD424" s="286"/>
      <c r="AE424" s="285"/>
      <c r="AF424" s="278">
        <f>+SUM(START:END!AF424)</f>
        <v>91877.109999999986</v>
      </c>
      <c r="AG424" s="279"/>
      <c r="AH424" s="280">
        <f t="shared" si="144"/>
        <v>-7823.2756390163267</v>
      </c>
      <c r="AI424" s="281">
        <f t="shared" si="167"/>
        <v>-7.8467857359568724E-2</v>
      </c>
      <c r="AJ424" s="286"/>
      <c r="AK424" s="277"/>
      <c r="AL424" s="278">
        <f>+SUMIF($C:$C,$V424,Q:Q)</f>
        <v>64775.62</v>
      </c>
      <c r="AM424" s="282"/>
      <c r="AN424" s="280">
        <f t="shared" si="164"/>
        <v>27101.489999999983</v>
      </c>
      <c r="AO424" s="287">
        <f t="shared" si="149"/>
        <v>0.4183902832578057</v>
      </c>
      <c r="AP424" s="244"/>
      <c r="AQ424" s="244"/>
      <c r="AS424" s="244"/>
      <c r="AT424" s="244"/>
      <c r="AU424" s="470"/>
      <c r="AV424" s="470"/>
      <c r="AW424" s="470"/>
      <c r="AX424" s="470"/>
      <c r="AY424" s="470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</row>
    <row r="425" spans="1:61" ht="17.399999999999999">
      <c r="A425" t="str">
        <f t="shared" ref="A425" si="171">+U425&amp;V425</f>
        <v>Salaires spécialistes</v>
      </c>
      <c r="B425" s="7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303"/>
      <c r="P425" s="154"/>
      <c r="Q425" s="244"/>
      <c r="R425" s="244"/>
      <c r="S425" s="244"/>
      <c r="T425" s="244"/>
      <c r="U425" s="244"/>
      <c r="V425" s="102" t="s">
        <v>43</v>
      </c>
      <c r="W425" s="284" t="s">
        <v>140</v>
      </c>
      <c r="X425" s="277"/>
      <c r="Y425" s="277"/>
      <c r="Z425" s="278">
        <f>+SUM(START:END!Z425)</f>
        <v>46027.45977011494</v>
      </c>
      <c r="AA425" s="277"/>
      <c r="AB425" s="277">
        <f t="shared" si="166"/>
        <v>0</v>
      </c>
      <c r="AC425" s="278">
        <f>+SUM(START:END!AC425)</f>
        <v>0</v>
      </c>
      <c r="AD425" s="286"/>
      <c r="AE425" s="285"/>
      <c r="AF425" s="278">
        <f>+SUM(START:END!AF425)</f>
        <v>37244.229999999996</v>
      </c>
      <c r="AG425" s="279"/>
      <c r="AH425" s="280">
        <f t="shared" si="144"/>
        <v>-8783.2297701149437</v>
      </c>
      <c r="AI425" s="281">
        <f t="shared" si="167"/>
        <v>-0.19082586382092254</v>
      </c>
      <c r="AJ425" s="286"/>
      <c r="AK425" s="277"/>
      <c r="AL425" s="278">
        <f>+SUMIF($C:$C,$V425,Q:Q)</f>
        <v>42786.59</v>
      </c>
      <c r="AM425" s="282"/>
      <c r="AN425" s="280">
        <f t="shared" si="164"/>
        <v>-5542.3600000000006</v>
      </c>
      <c r="AO425" s="287">
        <f t="shared" si="149"/>
        <v>-0.12953497813216713</v>
      </c>
      <c r="AP425" s="244"/>
      <c r="AQ425" s="244"/>
      <c r="AS425" s="470"/>
      <c r="AT425" s="470"/>
      <c r="AU425" s="470"/>
      <c r="AV425" s="470"/>
      <c r="AW425" s="470"/>
      <c r="AX425" s="470"/>
      <c r="AY425" s="470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</row>
    <row r="426" spans="1:61" ht="18" hidden="1" customHeight="1">
      <c r="A426" t="str">
        <f t="shared" ref="A426" si="172">+U426&amp;V426</f>
        <v>[...]</v>
      </c>
      <c r="B426" s="7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303"/>
      <c r="P426" s="154"/>
      <c r="Q426" s="244"/>
      <c r="R426" s="244"/>
      <c r="S426" s="244"/>
      <c r="T426" s="244"/>
      <c r="U426" s="244"/>
      <c r="V426" s="102" t="s">
        <v>19</v>
      </c>
      <c r="W426" s="284"/>
      <c r="X426" s="277"/>
      <c r="Y426" s="277"/>
      <c r="Z426" s="280">
        <f>+SUM(START:END!Z426)</f>
        <v>0</v>
      </c>
      <c r="AA426" s="277"/>
      <c r="AB426" s="277">
        <f t="shared" si="166"/>
        <v>0</v>
      </c>
      <c r="AC426" s="280">
        <f>+SUM(START:END!AC426)</f>
        <v>0</v>
      </c>
      <c r="AD426" s="286"/>
      <c r="AE426" s="285"/>
      <c r="AF426" s="278">
        <f>+SUM(START:END!AF426)</f>
        <v>0</v>
      </c>
      <c r="AG426" s="279"/>
      <c r="AH426" s="280">
        <f t="shared" si="144"/>
        <v>0</v>
      </c>
      <c r="AI426" s="281">
        <f t="shared" si="167"/>
        <v>0</v>
      </c>
      <c r="AJ426" s="286"/>
      <c r="AK426" s="277"/>
      <c r="AL426" s="278"/>
      <c r="AM426" s="282"/>
      <c r="AN426" s="280">
        <f t="shared" si="164"/>
        <v>0</v>
      </c>
      <c r="AO426" s="287">
        <f t="shared" si="149"/>
        <v>0</v>
      </c>
      <c r="AP426" s="244"/>
      <c r="AQ426" s="244"/>
      <c r="AR426" s="437"/>
      <c r="AS426" s="470"/>
      <c r="AT426" s="470"/>
      <c r="AU426" s="470"/>
      <c r="AV426" s="470"/>
      <c r="AW426" s="470"/>
      <c r="AX426" s="470"/>
      <c r="AY426" s="470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</row>
    <row r="427" spans="1:61" ht="18" hidden="1" customHeight="1">
      <c r="A427" t="str">
        <f t="shared" ref="A427" si="173">+U427&amp;V427</f>
        <v>[...]</v>
      </c>
      <c r="B427" s="7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303"/>
      <c r="P427" s="154"/>
      <c r="Q427" s="244"/>
      <c r="R427" s="244"/>
      <c r="S427" s="244"/>
      <c r="T427" s="244"/>
      <c r="U427" s="244"/>
      <c r="V427" s="102" t="s">
        <v>19</v>
      </c>
      <c r="W427" s="284"/>
      <c r="X427" s="277"/>
      <c r="Y427" s="277"/>
      <c r="Z427" s="280">
        <f>+SUM(START:END!Z427)</f>
        <v>0</v>
      </c>
      <c r="AA427" s="277"/>
      <c r="AB427" s="277">
        <f t="shared" si="166"/>
        <v>0</v>
      </c>
      <c r="AC427" s="280">
        <f>+SUM(START:END!AC427)</f>
        <v>0</v>
      </c>
      <c r="AD427" s="286"/>
      <c r="AE427" s="285"/>
      <c r="AF427" s="278">
        <f>+SUM(START:END!AF427)</f>
        <v>0</v>
      </c>
      <c r="AG427" s="279"/>
      <c r="AH427" s="280">
        <f t="shared" si="144"/>
        <v>0</v>
      </c>
      <c r="AI427" s="281">
        <f t="shared" si="167"/>
        <v>0</v>
      </c>
      <c r="AJ427" s="286"/>
      <c r="AK427" s="277"/>
      <c r="AL427" s="278"/>
      <c r="AM427" s="282"/>
      <c r="AN427" s="280">
        <f t="shared" si="164"/>
        <v>0</v>
      </c>
      <c r="AO427" s="287">
        <f t="shared" si="149"/>
        <v>0</v>
      </c>
      <c r="AP427" s="244"/>
      <c r="AQ427" s="244"/>
      <c r="AS427" s="470"/>
      <c r="AT427" s="470"/>
      <c r="AU427" s="470"/>
      <c r="AV427" s="470"/>
      <c r="AW427" s="470"/>
      <c r="AX427" s="470"/>
      <c r="AY427" s="470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</row>
    <row r="428" spans="1:61" ht="18" hidden="1" customHeight="1">
      <c r="A428" t="str">
        <f t="shared" ref="A428" si="174">+U428&amp;V428</f>
        <v>[...]</v>
      </c>
      <c r="B428" s="7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303"/>
      <c r="P428" s="154"/>
      <c r="Q428" s="244"/>
      <c r="R428" s="244"/>
      <c r="S428" s="244"/>
      <c r="T428" s="244"/>
      <c r="U428" s="244"/>
      <c r="V428" s="102" t="s">
        <v>19</v>
      </c>
      <c r="W428" s="284"/>
      <c r="X428" s="277"/>
      <c r="Y428" s="277"/>
      <c r="Z428" s="280">
        <f>+SUM(START:END!Z428)</f>
        <v>0</v>
      </c>
      <c r="AA428" s="277"/>
      <c r="AB428" s="277">
        <f t="shared" si="166"/>
        <v>0</v>
      </c>
      <c r="AC428" s="280">
        <f>+SUM(START:END!AC428)</f>
        <v>0</v>
      </c>
      <c r="AD428" s="286"/>
      <c r="AE428" s="285"/>
      <c r="AF428" s="278">
        <f>+SUM(START:END!AF428)</f>
        <v>0</v>
      </c>
      <c r="AG428" s="279"/>
      <c r="AH428" s="280">
        <f t="shared" si="144"/>
        <v>0</v>
      </c>
      <c r="AI428" s="281">
        <f t="shared" si="167"/>
        <v>0</v>
      </c>
      <c r="AJ428" s="286"/>
      <c r="AK428" s="277"/>
      <c r="AL428" s="278"/>
      <c r="AM428" s="282"/>
      <c r="AN428" s="280">
        <f t="shared" si="164"/>
        <v>0</v>
      </c>
      <c r="AO428" s="287">
        <f t="shared" si="149"/>
        <v>0</v>
      </c>
      <c r="AP428" s="244"/>
      <c r="AQ428" s="244"/>
      <c r="AS428" s="470"/>
      <c r="AT428" s="470"/>
      <c r="AU428" s="470"/>
      <c r="AV428" s="470"/>
      <c r="AW428" s="470"/>
      <c r="AX428" s="470"/>
      <c r="AY428" s="470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</row>
    <row r="429" spans="1:61" ht="17.399999999999999">
      <c r="A429" t="str">
        <f t="shared" ref="A429" si="175">+U429&amp;V429</f>
        <v>Salaires en absences</v>
      </c>
      <c r="B429" s="7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303"/>
      <c r="P429" s="154"/>
      <c r="Q429" s="244"/>
      <c r="R429" s="244"/>
      <c r="S429" s="244"/>
      <c r="T429" s="244"/>
      <c r="U429" s="244"/>
      <c r="V429" s="103" t="s">
        <v>44</v>
      </c>
      <c r="W429" s="288" t="s">
        <v>141</v>
      </c>
      <c r="X429" s="261"/>
      <c r="Y429" s="261"/>
      <c r="Z429" s="262">
        <f>+SUM(START:END!Z429)</f>
        <v>85783.077656293259</v>
      </c>
      <c r="AA429" s="261"/>
      <c r="AB429" s="261">
        <f t="shared" si="166"/>
        <v>0</v>
      </c>
      <c r="AC429" s="262">
        <f>+SUM(START:END!AC429)</f>
        <v>0</v>
      </c>
      <c r="AD429" s="290"/>
      <c r="AE429" s="289"/>
      <c r="AF429" s="262">
        <f>+SUM(START:END!AF429)</f>
        <v>72142.489999999991</v>
      </c>
      <c r="AG429" s="263"/>
      <c r="AH429" s="264">
        <f t="shared" si="144"/>
        <v>-13640.587656293268</v>
      </c>
      <c r="AI429" s="291">
        <f t="shared" si="167"/>
        <v>-0.15901257018251269</v>
      </c>
      <c r="AJ429" s="290"/>
      <c r="AK429" s="261"/>
      <c r="AL429" s="262">
        <f>+SUMIF($C:$C,$V429,Q:Q)</f>
        <v>76964.08</v>
      </c>
      <c r="AM429" s="266"/>
      <c r="AN429" s="264">
        <f t="shared" si="164"/>
        <v>-4821.5900000000111</v>
      </c>
      <c r="AO429" s="292">
        <f t="shared" si="149"/>
        <v>-6.2647276495736856E-2</v>
      </c>
      <c r="AP429" s="470"/>
      <c r="AQ429" s="478"/>
      <c r="AR429" s="478"/>
      <c r="AS429" s="470"/>
      <c r="AT429" s="470"/>
      <c r="AU429" s="470"/>
      <c r="AV429" s="470"/>
      <c r="AW429" s="470"/>
      <c r="AX429" s="470"/>
      <c r="AY429" s="470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</row>
    <row r="430" spans="1:61" ht="17.399999999999999">
      <c r="A430" t="str">
        <f t="shared" ref="A430" si="176">+U430&amp;V430</f>
        <v>Déduction à la source</v>
      </c>
      <c r="B430" s="7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303"/>
      <c r="P430" s="154"/>
      <c r="Q430" s="244"/>
      <c r="R430" s="244"/>
      <c r="S430" s="244"/>
      <c r="T430" s="244"/>
      <c r="U430" s="244"/>
      <c r="V430" s="102" t="s">
        <v>45</v>
      </c>
      <c r="W430" s="284" t="s">
        <v>142</v>
      </c>
      <c r="X430" s="277"/>
      <c r="Y430" s="277"/>
      <c r="Z430" s="278">
        <f>+SUM(START:END!Z430)</f>
        <v>87560.173256040449</v>
      </c>
      <c r="AA430" s="277"/>
      <c r="AB430" s="277">
        <f t="shared" si="166"/>
        <v>0</v>
      </c>
      <c r="AC430" s="278">
        <f>+SUM(START:END!AC430)</f>
        <v>0</v>
      </c>
      <c r="AD430" s="286"/>
      <c r="AE430" s="285"/>
      <c r="AF430" s="278">
        <f>+SUM(START:END!AF430)</f>
        <v>78597.09</v>
      </c>
      <c r="AG430" s="279"/>
      <c r="AH430" s="280">
        <f t="shared" si="144"/>
        <v>-8963.0832560404524</v>
      </c>
      <c r="AI430" s="281">
        <f t="shared" si="167"/>
        <v>-0.10236484148827472</v>
      </c>
      <c r="AJ430" s="286"/>
      <c r="AK430" s="277"/>
      <c r="AL430" s="278">
        <f>+SUMIF($C:$C,$V430,Q:Q)</f>
        <v>83524.350000000006</v>
      </c>
      <c r="AM430" s="282"/>
      <c r="AN430" s="280">
        <f t="shared" si="164"/>
        <v>-4927.2600000000093</v>
      </c>
      <c r="AO430" s="287">
        <f t="shared" si="149"/>
        <v>-5.8991898769640339E-2</v>
      </c>
      <c r="AP430" s="470"/>
      <c r="AQ430" s="469"/>
      <c r="AR430" s="469"/>
      <c r="AS430" s="470"/>
      <c r="AT430" s="470"/>
      <c r="AU430" s="470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</row>
    <row r="431" spans="1:61" ht="17.399999999999999">
      <c r="A431" t="str">
        <f t="shared" ref="A431" si="177">+U431&amp;V431</f>
        <v>Bénéfices marginaux</v>
      </c>
      <c r="B431" s="7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303"/>
      <c r="P431" s="154"/>
      <c r="Q431" s="244"/>
      <c r="R431" s="244"/>
      <c r="S431" s="244"/>
      <c r="T431" s="244"/>
      <c r="U431" s="244"/>
      <c r="V431" s="102" t="s">
        <v>46</v>
      </c>
      <c r="W431" s="284" t="s">
        <v>143</v>
      </c>
      <c r="X431" s="277"/>
      <c r="Y431" s="277"/>
      <c r="Z431" s="278">
        <f>+SUM(START:END!Z431)</f>
        <v>64631.344871115478</v>
      </c>
      <c r="AA431" s="277"/>
      <c r="AB431" s="277">
        <f t="shared" si="166"/>
        <v>0</v>
      </c>
      <c r="AC431" s="278">
        <f>+SUM(START:END!AC431)</f>
        <v>0</v>
      </c>
      <c r="AD431" s="286"/>
      <c r="AE431" s="285"/>
      <c r="AF431" s="278">
        <f>+SUM(START:END!AF431)</f>
        <v>41411.760000000002</v>
      </c>
      <c r="AG431" s="279"/>
      <c r="AH431" s="280">
        <f t="shared" si="144"/>
        <v>-23219.584871115476</v>
      </c>
      <c r="AI431" s="281">
        <f t="shared" si="167"/>
        <v>-0.3592619791127476</v>
      </c>
      <c r="AJ431" s="286"/>
      <c r="AK431" s="277"/>
      <c r="AL431" s="278">
        <f>+SUMIF($C:$C,$V431,Q:Q)</f>
        <v>48151.680000000008</v>
      </c>
      <c r="AM431" s="282"/>
      <c r="AN431" s="280">
        <f t="shared" si="164"/>
        <v>-6739.9200000000055</v>
      </c>
      <c r="AO431" s="287">
        <f t="shared" si="149"/>
        <v>-0.13997268631125653</v>
      </c>
      <c r="AP431" s="470"/>
      <c r="AQ431" s="469"/>
      <c r="AR431" s="469"/>
      <c r="AS431" s="470"/>
      <c r="AT431" s="470"/>
      <c r="AU431" s="470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</row>
    <row r="432" spans="1:61" ht="17.399999999999999">
      <c r="A432" t="str">
        <f t="shared" ref="A432" si="178">+U432&amp;V432</f>
        <v>Csst</v>
      </c>
      <c r="B432" s="7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303"/>
      <c r="P432" s="154"/>
      <c r="Q432" s="244"/>
      <c r="R432" s="244"/>
      <c r="S432" s="244"/>
      <c r="T432" s="244"/>
      <c r="U432" s="244"/>
      <c r="V432" s="102" t="s">
        <v>47</v>
      </c>
      <c r="W432" s="284"/>
      <c r="X432" s="277"/>
      <c r="Y432" s="277"/>
      <c r="Z432" s="278">
        <f>+SUM(START:END!Z432)</f>
        <v>17396.975148230424</v>
      </c>
      <c r="AA432" s="277"/>
      <c r="AB432" s="277">
        <f>IF(AC432=0,0,AC432/(G$13+G$97))</f>
        <v>0</v>
      </c>
      <c r="AC432" s="278">
        <f>+SUM(START:END!AC432)</f>
        <v>0</v>
      </c>
      <c r="AD432" s="286"/>
      <c r="AE432" s="285"/>
      <c r="AF432" s="278">
        <f>+SUM(START:END!AF432)</f>
        <v>11076.53</v>
      </c>
      <c r="AG432" s="279"/>
      <c r="AH432" s="280">
        <f t="shared" si="144"/>
        <v>-6320.445148230423</v>
      </c>
      <c r="AI432" s="304">
        <f t="shared" si="167"/>
        <v>-0.36330713209493332</v>
      </c>
      <c r="AJ432" s="286"/>
      <c r="AK432" s="277"/>
      <c r="AL432" s="278">
        <f>+SUMIF($C:$C,$V432,Q:Q)</f>
        <v>13161.420000000002</v>
      </c>
      <c r="AM432" s="282"/>
      <c r="AN432" s="280">
        <f t="shared" si="164"/>
        <v>-2084.8900000000012</v>
      </c>
      <c r="AO432" s="292">
        <f t="shared" si="149"/>
        <v>-0.158409199007402</v>
      </c>
      <c r="AP432" s="470"/>
      <c r="AQ432" s="469"/>
      <c r="AR432" s="469"/>
      <c r="AS432" s="470"/>
      <c r="AT432" s="470"/>
      <c r="AU432" s="470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</row>
    <row r="433" spans="1:62" ht="18" hidden="1" customHeight="1">
      <c r="A433" t="str">
        <f t="shared" ref="A433" si="179">+U433&amp;V433</f>
        <v>[...]</v>
      </c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44"/>
      <c r="U433" s="244"/>
      <c r="V433" s="29" t="s">
        <v>19</v>
      </c>
      <c r="W433" s="284"/>
      <c r="X433" s="277"/>
      <c r="Y433" s="285"/>
      <c r="Z433" s="280">
        <f>+SUM(START:END!Z433)</f>
        <v>0</v>
      </c>
      <c r="AA433" s="277"/>
      <c r="AB433" s="277">
        <f>IF(AC433=0,0,AC433/(G$13+G$97))</f>
        <v>0</v>
      </c>
      <c r="AC433" s="280">
        <f>+SUM(START:END!AC433)</f>
        <v>0</v>
      </c>
      <c r="AD433" s="286"/>
      <c r="AE433" s="285"/>
      <c r="AF433" s="278">
        <f>+SUM(START:END!AF433)</f>
        <v>0</v>
      </c>
      <c r="AG433" s="279"/>
      <c r="AH433" s="280">
        <f t="shared" si="144"/>
        <v>0</v>
      </c>
      <c r="AI433" s="281">
        <f t="shared" si="167"/>
        <v>0</v>
      </c>
      <c r="AJ433" s="286"/>
      <c r="AK433" s="277">
        <f>AL433/(O$13+O$97)</f>
        <v>0</v>
      </c>
      <c r="AL433" s="278"/>
      <c r="AM433" s="282"/>
      <c r="AN433" s="280"/>
      <c r="AO433" s="292"/>
      <c r="AP433" s="244"/>
      <c r="AQ433" s="244"/>
      <c r="AR433" s="469"/>
      <c r="AS433" s="470"/>
      <c r="AT433" s="470"/>
      <c r="AU433" s="470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</row>
    <row r="434" spans="1:62" ht="17.399999999999999">
      <c r="A434" t="str">
        <f t="shared" ref="A434" si="180">+U434&amp;V434</f>
        <v>TOTAL PERSONNEL</v>
      </c>
      <c r="B434" s="7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R434" s="244"/>
      <c r="S434" s="244"/>
      <c r="T434" s="244"/>
      <c r="U434" s="244"/>
      <c r="V434" s="294" t="s">
        <v>48</v>
      </c>
      <c r="W434" s="295"/>
      <c r="X434" s="296">
        <f>Z434/Z408</f>
        <v>0.41541467692204792</v>
      </c>
      <c r="Y434" s="295"/>
      <c r="Z434" s="297">
        <f>SUM(Z421:Z433)</f>
        <v>599194.48721716169</v>
      </c>
      <c r="AA434" s="296" t="e">
        <f>AC434/AC408</f>
        <v>#DIV/0!</v>
      </c>
      <c r="AB434" s="295"/>
      <c r="AC434" s="297">
        <f>SUM(AC421:AC433)</f>
        <v>0</v>
      </c>
      <c r="AD434" s="298">
        <f>AF434/AF408</f>
        <v>0.33333270274402277</v>
      </c>
      <c r="AE434" s="305"/>
      <c r="AF434" s="297">
        <f>SUM(AF421:AF433)</f>
        <v>496888.76</v>
      </c>
      <c r="AG434" s="306"/>
      <c r="AH434" s="300">
        <f t="shared" si="144"/>
        <v>-102305.72721716168</v>
      </c>
      <c r="AI434" s="296">
        <f>AH434/Z434</f>
        <v>-0.17073876579255604</v>
      </c>
      <c r="AJ434" s="298">
        <f>IF($AL$407=0,0,AL434/$AL$407)</f>
        <v>5.2544736712975472E-2</v>
      </c>
      <c r="AK434" s="295"/>
      <c r="AL434" s="297">
        <f>SUM(AL421:AL433)</f>
        <v>521920.68000000005</v>
      </c>
      <c r="AM434" s="307"/>
      <c r="AN434" s="300">
        <f t="shared" ref="AN434:AN440" si="181">AF434-AL434</f>
        <v>-25031.920000000042</v>
      </c>
      <c r="AO434" s="275">
        <f>IF(AL434=0,0,AN434/AL434)</f>
        <v>-4.7961157622648791E-2</v>
      </c>
      <c r="AP434" s="244"/>
      <c r="AQ434" s="244"/>
      <c r="AR434" s="469"/>
      <c r="AS434" s="470"/>
      <c r="AT434" s="470"/>
      <c r="AU434" s="470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</row>
    <row r="435" spans="1:62" ht="17.399999999999999">
      <c r="A435" t="str">
        <f t="shared" ref="A435" si="182">+U435&amp;V435</f>
        <v>Publicité 2</v>
      </c>
      <c r="B435" s="7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308"/>
      <c r="S435" s="244"/>
      <c r="T435" s="244"/>
      <c r="U435" s="244"/>
      <c r="V435" s="210" t="s">
        <v>49</v>
      </c>
      <c r="W435" s="309" t="s">
        <v>133</v>
      </c>
      <c r="X435" s="310"/>
      <c r="Y435" s="310"/>
      <c r="Z435" s="311">
        <f>+SUM(START:END!Z435)</f>
        <v>8088.7018620001481</v>
      </c>
      <c r="AA435" s="310"/>
      <c r="AB435" s="310">
        <f t="shared" ref="AB435:AB452" si="183">IF(AC435=0,0,AC435/(G$13+G$97))</f>
        <v>0</v>
      </c>
      <c r="AC435" s="311">
        <f>+SUM(START:END!AC435)</f>
        <v>0</v>
      </c>
      <c r="AD435" s="312"/>
      <c r="AE435" s="313"/>
      <c r="AF435" s="311">
        <f>+SUM(START:END!AF435)</f>
        <v>5548.58</v>
      </c>
      <c r="AG435" s="312"/>
      <c r="AH435" s="314">
        <f t="shared" si="144"/>
        <v>-2540.1218620001482</v>
      </c>
      <c r="AI435" s="315">
        <f t="shared" ref="AI435:AI452" si="184">IF(Z435=0,0,AH435/Z435)</f>
        <v>-0.31403331527563993</v>
      </c>
      <c r="AJ435" s="312"/>
      <c r="AK435" s="310"/>
      <c r="AL435" s="311">
        <f t="shared" ref="AL435:AL448" si="185">+SUMIF($C:$C,$V435,Q:Q)</f>
        <v>20517.650000000001</v>
      </c>
      <c r="AM435" s="316"/>
      <c r="AN435" s="314">
        <f t="shared" si="181"/>
        <v>-14969.070000000002</v>
      </c>
      <c r="AO435" s="283">
        <f t="shared" ref="AO435:AO440" si="186">IF(AL435=0,0,AN435/AL435)</f>
        <v>-0.72957039427029902</v>
      </c>
      <c r="AP435" s="244"/>
      <c r="AQ435" s="244"/>
      <c r="AR435" s="244"/>
      <c r="AS435" s="479"/>
      <c r="AT435" s="470"/>
      <c r="AU435" s="470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</row>
    <row r="436" spans="1:62" ht="17.399999999999999">
      <c r="A436" t="str">
        <f t="shared" ref="A436" si="187">+U436&amp;V436</f>
        <v>Service gratuit 2</v>
      </c>
      <c r="B436" s="7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Q436" s="308"/>
      <c r="S436" s="244"/>
      <c r="T436" s="244"/>
      <c r="U436" s="244"/>
      <c r="V436" s="102" t="s">
        <v>50</v>
      </c>
      <c r="W436" s="284" t="s">
        <v>144</v>
      </c>
      <c r="X436" s="277"/>
      <c r="Y436" s="277"/>
      <c r="Z436" s="278">
        <f>+SUM(START:END!Z436)</f>
        <v>13125</v>
      </c>
      <c r="AA436" s="277"/>
      <c r="AB436" s="277">
        <f t="shared" si="183"/>
        <v>0</v>
      </c>
      <c r="AC436" s="278">
        <f>+SUM(START:END!AC436)</f>
        <v>0</v>
      </c>
      <c r="AD436" s="286"/>
      <c r="AE436" s="285"/>
      <c r="AF436" s="278">
        <f>+SUM(START:END!AF436)</f>
        <v>14548.810000000001</v>
      </c>
      <c r="AG436" s="279"/>
      <c r="AH436" s="280">
        <f t="shared" si="144"/>
        <v>1423.8100000000013</v>
      </c>
      <c r="AI436" s="281">
        <f t="shared" si="184"/>
        <v>0.10848076190476201</v>
      </c>
      <c r="AJ436" s="286"/>
      <c r="AK436" s="277"/>
      <c r="AL436" s="278">
        <f t="shared" si="185"/>
        <v>11038.949999999999</v>
      </c>
      <c r="AM436" s="282"/>
      <c r="AN436" s="280">
        <f t="shared" si="181"/>
        <v>3509.8600000000024</v>
      </c>
      <c r="AO436" s="287">
        <f t="shared" si="186"/>
        <v>0.3179523414817535</v>
      </c>
      <c r="AP436" s="244"/>
      <c r="AQ436" s="244"/>
      <c r="AR436" s="244"/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</row>
    <row r="437" spans="1:62" ht="17.399999999999999">
      <c r="A437" t="str">
        <f t="shared" ref="A437" si="188">+U437&amp;V437</f>
        <v>Frais véhicules de cie</v>
      </c>
      <c r="B437" s="7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308"/>
      <c r="S437" s="244"/>
      <c r="T437" s="244"/>
      <c r="U437" s="244"/>
      <c r="V437" s="103" t="s">
        <v>51</v>
      </c>
      <c r="W437" s="288" t="s">
        <v>145</v>
      </c>
      <c r="X437" s="261"/>
      <c r="Y437" s="261"/>
      <c r="Z437" s="262">
        <f>+SUM(START:END!Z437)</f>
        <v>45231</v>
      </c>
      <c r="AA437" s="261"/>
      <c r="AB437" s="261">
        <f t="shared" si="183"/>
        <v>0</v>
      </c>
      <c r="AC437" s="262">
        <f>+SUM(START:END!AC437)</f>
        <v>0</v>
      </c>
      <c r="AD437" s="290"/>
      <c r="AE437" s="289"/>
      <c r="AF437" s="262">
        <f>+SUM(START:END!AF437)</f>
        <v>44204.81</v>
      </c>
      <c r="AG437" s="263"/>
      <c r="AH437" s="264">
        <f t="shared" si="144"/>
        <v>-1026.1900000000023</v>
      </c>
      <c r="AI437" s="291">
        <f t="shared" si="184"/>
        <v>-2.2687758395790548E-2</v>
      </c>
      <c r="AJ437" s="290"/>
      <c r="AK437" s="261"/>
      <c r="AL437" s="262">
        <f t="shared" si="185"/>
        <v>62258.809999999983</v>
      </c>
      <c r="AM437" s="266"/>
      <c r="AN437" s="264">
        <f t="shared" si="181"/>
        <v>-18053.999999999985</v>
      </c>
      <c r="AO437" s="267">
        <f t="shared" si="186"/>
        <v>-0.28998305621324905</v>
      </c>
      <c r="AP437" s="244"/>
      <c r="AQ437" s="480"/>
      <c r="AR437" s="480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</row>
    <row r="438" spans="1:62" ht="17.399999999999999">
      <c r="A438" t="str">
        <f t="shared" ref="A438" si="189">+U438&amp;V438</f>
        <v>Informatique</v>
      </c>
      <c r="B438" s="7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308"/>
      <c r="S438" s="244"/>
      <c r="T438" s="244"/>
      <c r="U438" s="244"/>
      <c r="V438" s="102" t="s">
        <v>52</v>
      </c>
      <c r="W438" s="284" t="s">
        <v>146</v>
      </c>
      <c r="X438" s="277"/>
      <c r="Y438" s="277"/>
      <c r="Z438" s="278">
        <f>+SUM(START:END!Z438)</f>
        <v>67703.260000000009</v>
      </c>
      <c r="AA438" s="277"/>
      <c r="AB438" s="277">
        <f t="shared" si="183"/>
        <v>0</v>
      </c>
      <c r="AC438" s="278">
        <f>+SUM(START:END!AC438)</f>
        <v>0</v>
      </c>
      <c r="AD438" s="286"/>
      <c r="AE438" s="285"/>
      <c r="AF438" s="278">
        <f>+SUM(START:END!AF438)</f>
        <v>70375.8</v>
      </c>
      <c r="AG438" s="279"/>
      <c r="AH438" s="280">
        <f>AF438-Z438</f>
        <v>2672.5399999999936</v>
      </c>
      <c r="AI438" s="281">
        <f t="shared" si="184"/>
        <v>3.9474317780266319E-2</v>
      </c>
      <c r="AJ438" s="286"/>
      <c r="AK438" s="277"/>
      <c r="AL438" s="278">
        <f t="shared" si="185"/>
        <v>42562.31</v>
      </c>
      <c r="AM438" s="282"/>
      <c r="AN438" s="280">
        <f t="shared" si="181"/>
        <v>27813.490000000005</v>
      </c>
      <c r="AO438" s="287">
        <f t="shared" si="186"/>
        <v>0.65347698468433713</v>
      </c>
      <c r="AP438" s="480"/>
      <c r="AQ438" s="244"/>
      <c r="AR438" s="480"/>
      <c r="AS438" s="480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</row>
    <row r="439" spans="1:62" ht="17.399999999999999">
      <c r="A439" t="str">
        <f t="shared" ref="A439" si="190">+U439&amp;V439</f>
        <v>Frais de déplacement</v>
      </c>
      <c r="B439" s="7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308"/>
      <c r="S439" s="244"/>
      <c r="T439" s="244"/>
      <c r="U439" s="244"/>
      <c r="V439" s="102" t="s">
        <v>53</v>
      </c>
      <c r="W439" s="284" t="s">
        <v>147</v>
      </c>
      <c r="X439" s="277"/>
      <c r="Y439" s="277"/>
      <c r="Z439" s="278">
        <f>+SUM(START:END!Z439)</f>
        <v>12475</v>
      </c>
      <c r="AA439" s="277"/>
      <c r="AB439" s="277">
        <f t="shared" si="183"/>
        <v>0</v>
      </c>
      <c r="AC439" s="278">
        <f>+SUM(START:END!AC439)</f>
        <v>0</v>
      </c>
      <c r="AD439" s="286"/>
      <c r="AE439" s="285"/>
      <c r="AF439" s="278">
        <f>+SUM(START:END!AF439)</f>
        <v>24866.46</v>
      </c>
      <c r="AG439" s="279"/>
      <c r="AH439" s="280">
        <f t="shared" ref="AH439:AH452" si="191">AF439-Z439</f>
        <v>12391.46</v>
      </c>
      <c r="AI439" s="281">
        <f t="shared" si="184"/>
        <v>0.99330340681362717</v>
      </c>
      <c r="AJ439" s="286"/>
      <c r="AK439" s="277"/>
      <c r="AL439" s="278">
        <f t="shared" si="185"/>
        <v>3122.87</v>
      </c>
      <c r="AM439" s="282"/>
      <c r="AN439" s="280">
        <f t="shared" si="181"/>
        <v>21743.59</v>
      </c>
      <c r="AO439" s="287">
        <f t="shared" si="186"/>
        <v>6.9626945726206984</v>
      </c>
      <c r="AP439" s="480"/>
      <c r="AQ439" s="244"/>
      <c r="AR439" s="244"/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</row>
    <row r="440" spans="1:62" ht="17.399999999999999">
      <c r="A440" t="str">
        <f t="shared" ref="A440" si="192">+U440&amp;V440</f>
        <v>Services extérieurs</v>
      </c>
      <c r="B440" s="7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308"/>
      <c r="S440" s="244"/>
      <c r="T440" s="244"/>
      <c r="U440" s="244"/>
      <c r="V440" s="102" t="s">
        <v>54</v>
      </c>
      <c r="W440" s="284" t="s">
        <v>148</v>
      </c>
      <c r="X440" s="277"/>
      <c r="Y440" s="277"/>
      <c r="Z440" s="278">
        <f>+SUM(START:END!Z440)</f>
        <v>27266.14</v>
      </c>
      <c r="AA440" s="277"/>
      <c r="AB440" s="277">
        <f t="shared" si="183"/>
        <v>0</v>
      </c>
      <c r="AC440" s="278">
        <f>+SUM(START:END!AC440)</f>
        <v>0</v>
      </c>
      <c r="AD440" s="286"/>
      <c r="AE440" s="285"/>
      <c r="AF440" s="278">
        <f>+SUM(START:END!AF440)</f>
        <v>62360.05</v>
      </c>
      <c r="AG440" s="279"/>
      <c r="AH440" s="280">
        <f t="shared" si="191"/>
        <v>35093.910000000003</v>
      </c>
      <c r="AI440" s="281">
        <f t="shared" si="184"/>
        <v>1.2870875745521737</v>
      </c>
      <c r="AJ440" s="286"/>
      <c r="AK440" s="277"/>
      <c r="AL440" s="278">
        <f t="shared" si="185"/>
        <v>24830.740000000005</v>
      </c>
      <c r="AM440" s="282"/>
      <c r="AN440" s="280">
        <f t="shared" si="181"/>
        <v>37529.31</v>
      </c>
      <c r="AO440" s="287">
        <f t="shared" si="186"/>
        <v>1.5114052178871831</v>
      </c>
      <c r="AP440" s="244"/>
      <c r="AQ440" s="480"/>
      <c r="AR440" s="480"/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</row>
    <row r="441" spans="1:62" ht="18" hidden="1" customHeight="1">
      <c r="B441" s="7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308"/>
      <c r="S441" s="244"/>
      <c r="T441" s="244"/>
      <c r="U441" s="244"/>
      <c r="V441" s="211" t="s">
        <v>93</v>
      </c>
      <c r="W441" s="317"/>
      <c r="X441" s="318"/>
      <c r="Y441" s="318"/>
      <c r="Z441" s="319">
        <f>+SUM(START:END!Z441)</f>
        <v>0</v>
      </c>
      <c r="AA441" s="318"/>
      <c r="AB441" s="318">
        <f t="shared" si="183"/>
        <v>0</v>
      </c>
      <c r="AC441" s="319">
        <f>+SUM(START:END!AC441)</f>
        <v>0</v>
      </c>
      <c r="AD441" s="320"/>
      <c r="AE441" s="321"/>
      <c r="AF441" s="319">
        <f>+SUM(START:END!AF441)</f>
        <v>0</v>
      </c>
      <c r="AG441" s="322"/>
      <c r="AH441" s="323">
        <f t="shared" si="191"/>
        <v>0</v>
      </c>
      <c r="AI441" s="324">
        <f t="shared" si="184"/>
        <v>0</v>
      </c>
      <c r="AJ441" s="320"/>
      <c r="AK441" s="318"/>
      <c r="AL441" s="319">
        <f t="shared" si="185"/>
        <v>0</v>
      </c>
      <c r="AM441" s="325"/>
      <c r="AN441" s="323">
        <f>AF441-AL441</f>
        <v>0</v>
      </c>
      <c r="AO441" s="326">
        <f>IF(AL441=0,0,AN441/AL441)</f>
        <v>0</v>
      </c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</row>
    <row r="442" spans="1:62" ht="17.399999999999999">
      <c r="A442" t="str">
        <f t="shared" ref="A442" si="193">+U442&amp;V442</f>
        <v>Fournitures autres</v>
      </c>
      <c r="B442" s="7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327"/>
      <c r="Q442" s="308"/>
      <c r="R442" s="244"/>
      <c r="S442" s="244"/>
      <c r="T442" s="244"/>
      <c r="U442" s="244"/>
      <c r="V442" s="102" t="s">
        <v>55</v>
      </c>
      <c r="W442" s="284" t="s">
        <v>149</v>
      </c>
      <c r="X442" s="277"/>
      <c r="Y442" s="285"/>
      <c r="Z442" s="278">
        <f>+SUM(START:END!Z442)</f>
        <v>10061.25</v>
      </c>
      <c r="AA442" s="277"/>
      <c r="AB442" s="285">
        <f t="shared" si="183"/>
        <v>0</v>
      </c>
      <c r="AC442" s="278">
        <f>+SUM(START:END!AC442)</f>
        <v>0</v>
      </c>
      <c r="AD442" s="286"/>
      <c r="AE442" s="285"/>
      <c r="AF442" s="278">
        <f>+SUM(START:END!AF442)</f>
        <v>8625.94</v>
      </c>
      <c r="AG442" s="279"/>
      <c r="AH442" s="280">
        <f t="shared" si="191"/>
        <v>-1435.3099999999995</v>
      </c>
      <c r="AI442" s="281">
        <f t="shared" si="184"/>
        <v>-0.14265722449993784</v>
      </c>
      <c r="AJ442" s="286"/>
      <c r="AK442" s="277"/>
      <c r="AL442" s="278">
        <f t="shared" si="185"/>
        <v>8325.1</v>
      </c>
      <c r="AM442" s="282"/>
      <c r="AN442" s="280">
        <f t="shared" ref="AN442:AN448" si="194">AF442-AL442</f>
        <v>300.84000000000015</v>
      </c>
      <c r="AO442" s="287">
        <f t="shared" ref="AO442:AO448" si="195">IF(AL442=0,0,AN442/AL442)</f>
        <v>3.6136502864830465E-2</v>
      </c>
      <c r="AP442" s="244"/>
      <c r="AQ442" s="244"/>
      <c r="AR442" s="480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</row>
    <row r="443" spans="1:62" ht="17.399999999999999">
      <c r="A443" t="str">
        <f t="shared" ref="A443" si="196">+U443&amp;V443</f>
        <v>Uniformes</v>
      </c>
      <c r="B443" s="7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Q443" s="308"/>
      <c r="S443" s="244"/>
      <c r="T443" s="244"/>
      <c r="U443" s="244"/>
      <c r="V443" s="102" t="s">
        <v>56</v>
      </c>
      <c r="W443" s="284" t="s">
        <v>150</v>
      </c>
      <c r="X443" s="277"/>
      <c r="Y443" s="277"/>
      <c r="Z443" s="278">
        <f>+SUM(START:END!Z443)</f>
        <v>4200</v>
      </c>
      <c r="AA443" s="277"/>
      <c r="AB443" s="277">
        <f t="shared" si="183"/>
        <v>0</v>
      </c>
      <c r="AC443" s="278">
        <f>+SUM(START:END!AC443)</f>
        <v>0</v>
      </c>
      <c r="AD443" s="286"/>
      <c r="AE443" s="285"/>
      <c r="AF443" s="278">
        <f>+SUM(START:END!AF443)</f>
        <v>3256.68</v>
      </c>
      <c r="AG443" s="279"/>
      <c r="AH443" s="280">
        <f t="shared" si="191"/>
        <v>-943.32000000000016</v>
      </c>
      <c r="AI443" s="304">
        <f t="shared" si="184"/>
        <v>-0.22460000000000005</v>
      </c>
      <c r="AJ443" s="286"/>
      <c r="AK443" s="277"/>
      <c r="AL443" s="278">
        <f t="shared" si="185"/>
        <v>3043.52</v>
      </c>
      <c r="AM443" s="282"/>
      <c r="AN443" s="280">
        <f t="shared" si="194"/>
        <v>213.15999999999985</v>
      </c>
      <c r="AO443" s="287">
        <f t="shared" si="195"/>
        <v>7.003732520239718E-2</v>
      </c>
      <c r="AP443" s="244"/>
      <c r="AQ443" s="244"/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</row>
    <row r="444" spans="1:62" ht="17.399999999999999">
      <c r="A444" t="str">
        <f t="shared" ref="A444" si="197">+U444&amp;V444</f>
        <v>Papeterie</v>
      </c>
      <c r="B444" s="7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327"/>
      <c r="Q444" s="308"/>
      <c r="R444" s="244"/>
      <c r="S444" s="244"/>
      <c r="T444" s="244"/>
      <c r="U444" s="244"/>
      <c r="V444" s="102" t="s">
        <v>57</v>
      </c>
      <c r="W444" s="284" t="s">
        <v>151</v>
      </c>
      <c r="X444" s="277"/>
      <c r="Y444" s="277"/>
      <c r="Z444" s="278">
        <f>+SUM(START:END!Z444)</f>
        <v>4350</v>
      </c>
      <c r="AA444" s="277"/>
      <c r="AB444" s="277">
        <f t="shared" si="183"/>
        <v>0</v>
      </c>
      <c r="AC444" s="278">
        <f>+SUM(START:END!AC444)</f>
        <v>0</v>
      </c>
      <c r="AD444" s="286"/>
      <c r="AE444" s="285"/>
      <c r="AF444" s="278">
        <f>+SUM(START:END!AF444)</f>
        <v>4200.51</v>
      </c>
      <c r="AG444" s="279"/>
      <c r="AH444" s="280">
        <f t="shared" si="191"/>
        <v>-149.48999999999978</v>
      </c>
      <c r="AI444" s="281">
        <f t="shared" si="184"/>
        <v>-3.4365517241379262E-2</v>
      </c>
      <c r="AJ444" s="286"/>
      <c r="AK444" s="277"/>
      <c r="AL444" s="278">
        <f t="shared" si="185"/>
        <v>4939.67</v>
      </c>
      <c r="AM444" s="282"/>
      <c r="AN444" s="280">
        <f t="shared" si="194"/>
        <v>-739.15999999999985</v>
      </c>
      <c r="AO444" s="287">
        <f t="shared" si="195"/>
        <v>-0.1496375263934635</v>
      </c>
      <c r="AP444" s="244"/>
      <c r="AQ444" s="244"/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</row>
    <row r="445" spans="1:62" ht="17.399999999999999">
      <c r="A445" t="str">
        <f t="shared" ref="A445" si="198">+U445&amp;V445</f>
        <v>Téléphone</v>
      </c>
      <c r="B445" s="7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308"/>
      <c r="S445" s="244"/>
      <c r="T445" s="244"/>
      <c r="U445" s="244"/>
      <c r="V445" s="102" t="s">
        <v>58</v>
      </c>
      <c r="W445" s="284" t="s">
        <v>152</v>
      </c>
      <c r="X445" s="277"/>
      <c r="Y445" s="277"/>
      <c r="Z445" s="278">
        <f>+SUM(START:END!Z445)</f>
        <v>1347</v>
      </c>
      <c r="AA445" s="277"/>
      <c r="AB445" s="277">
        <f t="shared" si="183"/>
        <v>0</v>
      </c>
      <c r="AC445" s="278">
        <f>+SUM(START:END!AC445)</f>
        <v>0</v>
      </c>
      <c r="AD445" s="286"/>
      <c r="AE445" s="285"/>
      <c r="AF445" s="278">
        <f>+SUM(START:END!AF445)</f>
        <v>1513.7</v>
      </c>
      <c r="AG445" s="279"/>
      <c r="AH445" s="280">
        <f t="shared" si="191"/>
        <v>166.70000000000005</v>
      </c>
      <c r="AI445" s="304">
        <f t="shared" si="184"/>
        <v>0.1237564959168523</v>
      </c>
      <c r="AJ445" s="286"/>
      <c r="AK445" s="277"/>
      <c r="AL445" s="278">
        <f t="shared" si="185"/>
        <v>1415.61</v>
      </c>
      <c r="AM445" s="282"/>
      <c r="AN445" s="280">
        <f t="shared" si="194"/>
        <v>98.090000000000146</v>
      </c>
      <c r="AO445" s="287">
        <f t="shared" si="195"/>
        <v>6.929168344388649E-2</v>
      </c>
      <c r="AP445" s="244"/>
      <c r="AQ445" s="244"/>
      <c r="AR445" s="480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</row>
    <row r="446" spans="1:62" ht="17.399999999999999">
      <c r="A446" t="str">
        <f t="shared" ref="A446" si="199">+U446&amp;V446</f>
        <v>Frais postaux</v>
      </c>
      <c r="B446" s="7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308"/>
      <c r="S446" s="244"/>
      <c r="T446" s="244"/>
      <c r="U446" s="244"/>
      <c r="V446" s="102" t="s">
        <v>59</v>
      </c>
      <c r="W446" s="284" t="s">
        <v>153</v>
      </c>
      <c r="X446" s="277"/>
      <c r="Y446" s="277"/>
      <c r="Z446" s="278">
        <f>+SUM(START:END!Z446)</f>
        <v>8475</v>
      </c>
      <c r="AA446" s="277"/>
      <c r="AB446" s="277">
        <f t="shared" si="183"/>
        <v>0</v>
      </c>
      <c r="AC446" s="278">
        <f>+SUM(START:END!AC446)</f>
        <v>0</v>
      </c>
      <c r="AD446" s="286"/>
      <c r="AE446" s="285"/>
      <c r="AF446" s="278">
        <f>+SUM(START:END!AF446)</f>
        <v>625.19999999999982</v>
      </c>
      <c r="AG446" s="279"/>
      <c r="AH446" s="280">
        <f t="shared" si="191"/>
        <v>-7849.8</v>
      </c>
      <c r="AI446" s="281">
        <f t="shared" si="184"/>
        <v>-0.9262300884955752</v>
      </c>
      <c r="AJ446" s="286"/>
      <c r="AK446" s="277"/>
      <c r="AL446" s="278">
        <f t="shared" si="185"/>
        <v>3786.8400000000006</v>
      </c>
      <c r="AM446" s="282"/>
      <c r="AN446" s="280">
        <f t="shared" si="194"/>
        <v>-3161.6400000000008</v>
      </c>
      <c r="AO446" s="287">
        <f t="shared" si="195"/>
        <v>-0.83490192350350168</v>
      </c>
      <c r="AP446" s="244"/>
      <c r="AQ446" s="244"/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</row>
    <row r="447" spans="1:62" ht="17.399999999999999">
      <c r="A447" t="str">
        <f t="shared" ref="A447" si="200">+U447&amp;V447</f>
        <v>Divers</v>
      </c>
      <c r="B447" s="7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308"/>
      <c r="R447" s="244"/>
      <c r="S447" s="244"/>
      <c r="T447" s="244"/>
      <c r="U447" s="244"/>
      <c r="V447" s="102" t="s">
        <v>60</v>
      </c>
      <c r="W447" s="284" t="s">
        <v>154</v>
      </c>
      <c r="X447" s="277"/>
      <c r="Y447" s="285"/>
      <c r="Z447" s="278">
        <f>+SUM(START:END!Z447)</f>
        <v>4664.9999999999991</v>
      </c>
      <c r="AA447" s="277"/>
      <c r="AB447" s="285">
        <f t="shared" si="183"/>
        <v>0</v>
      </c>
      <c r="AC447" s="278">
        <f>+SUM(START:END!AC447)</f>
        <v>0</v>
      </c>
      <c r="AD447" s="286"/>
      <c r="AE447" s="285"/>
      <c r="AF447" s="278">
        <f>+SUM(START:END!AF447)</f>
        <v>4787.09</v>
      </c>
      <c r="AG447" s="279"/>
      <c r="AH447" s="280">
        <f t="shared" si="191"/>
        <v>122.09000000000106</v>
      </c>
      <c r="AI447" s="304">
        <f t="shared" si="184"/>
        <v>2.6171489817792298E-2</v>
      </c>
      <c r="AJ447" s="286"/>
      <c r="AK447" s="277"/>
      <c r="AL447" s="278">
        <f t="shared" si="185"/>
        <v>8996.7999999999993</v>
      </c>
      <c r="AM447" s="282"/>
      <c r="AN447" s="280">
        <f t="shared" si="194"/>
        <v>-4209.7099999999991</v>
      </c>
      <c r="AO447" s="287">
        <f t="shared" si="195"/>
        <v>-0.4679119242397296</v>
      </c>
      <c r="AP447" s="244"/>
      <c r="AQ447" s="244"/>
      <c r="AR447" s="480"/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</row>
    <row r="448" spans="1:62" ht="17.399999999999999">
      <c r="A448" t="str">
        <f t="shared" ref="A448" si="201">+U448&amp;V448</f>
        <v>Formation</v>
      </c>
      <c r="B448" s="7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308"/>
      <c r="R448" s="244"/>
      <c r="S448" s="244"/>
      <c r="T448" s="244"/>
      <c r="U448" s="244"/>
      <c r="V448" s="102" t="s">
        <v>61</v>
      </c>
      <c r="W448" s="284" t="s">
        <v>155</v>
      </c>
      <c r="X448" s="277"/>
      <c r="Y448" s="285"/>
      <c r="Z448" s="278">
        <f>+SUM(START:END!Z448)</f>
        <v>7111.9600000000009</v>
      </c>
      <c r="AA448" s="277"/>
      <c r="AB448" s="285">
        <f t="shared" si="183"/>
        <v>0</v>
      </c>
      <c r="AC448" s="278">
        <f>+SUM(START:END!AC448)</f>
        <v>0</v>
      </c>
      <c r="AD448" s="286"/>
      <c r="AE448" s="285"/>
      <c r="AF448" s="278">
        <f>+SUM(START:END!AF448)</f>
        <v>7532.7699999999995</v>
      </c>
      <c r="AG448" s="279"/>
      <c r="AH448" s="280">
        <f t="shared" si="191"/>
        <v>420.80999999999858</v>
      </c>
      <c r="AI448" s="281">
        <f t="shared" si="184"/>
        <v>5.9169342909689948E-2</v>
      </c>
      <c r="AJ448" s="286"/>
      <c r="AK448" s="277"/>
      <c r="AL448" s="278">
        <f t="shared" si="185"/>
        <v>5906.25</v>
      </c>
      <c r="AM448" s="282"/>
      <c r="AN448" s="280">
        <f t="shared" si="194"/>
        <v>1626.5199999999995</v>
      </c>
      <c r="AO448" s="287">
        <f t="shared" si="195"/>
        <v>0.27538962962962954</v>
      </c>
      <c r="AP448" s="244"/>
      <c r="AQ448" s="244"/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</row>
    <row r="449" spans="1:62" ht="17.399999999999999">
      <c r="A449" t="str">
        <f t="shared" ref="A449" si="202">+U449&amp;V449</f>
        <v>Frais bancaires</v>
      </c>
      <c r="B449" s="7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308"/>
      <c r="R449" s="244"/>
      <c r="S449" s="244"/>
      <c r="T449" s="244"/>
      <c r="U449" s="244"/>
      <c r="V449" s="102" t="s">
        <v>62</v>
      </c>
      <c r="W449" s="284" t="s">
        <v>156</v>
      </c>
      <c r="X449" s="277"/>
      <c r="Y449" s="285"/>
      <c r="Z449" s="278">
        <f>+SUM(START:END!Z449)</f>
        <v>25672.172049883644</v>
      </c>
      <c r="AA449" s="277"/>
      <c r="AB449" s="285">
        <f t="shared" si="183"/>
        <v>0</v>
      </c>
      <c r="AC449" s="278">
        <f>+SUM(START:END!AC449)</f>
        <v>0</v>
      </c>
      <c r="AD449" s="286"/>
      <c r="AE449" s="285"/>
      <c r="AF449" s="278">
        <f>+SUM(START:END!AF449)</f>
        <v>22176.230000000003</v>
      </c>
      <c r="AG449" s="279"/>
      <c r="AH449" s="280">
        <f t="shared" si="191"/>
        <v>-3495.9420498836407</v>
      </c>
      <c r="AI449" s="281">
        <f t="shared" si="184"/>
        <v>-0.13617632520889425</v>
      </c>
      <c r="AJ449" s="286"/>
      <c r="AK449" s="277"/>
      <c r="AL449" s="278">
        <f>+SUM(START:END!AL449)</f>
        <v>16374.25</v>
      </c>
      <c r="AM449" s="282"/>
      <c r="AN449" s="280">
        <f>AF449-AL449</f>
        <v>5801.9800000000032</v>
      </c>
      <c r="AO449" s="287">
        <f>IF(AL449=0,0,AN449/AL449)</f>
        <v>0.35433561842527156</v>
      </c>
      <c r="AP449" s="244"/>
      <c r="AQ449" s="244"/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</row>
    <row r="450" spans="1:62" ht="18" hidden="1" customHeight="1">
      <c r="A450" t="str">
        <f t="shared" ref="A450" si="203">+U450&amp;V450</f>
        <v>Mitsubishi</v>
      </c>
      <c r="B450" s="7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308"/>
      <c r="R450" s="244"/>
      <c r="S450" s="244"/>
      <c r="T450" s="244"/>
      <c r="U450" s="244"/>
      <c r="V450" s="102" t="s">
        <v>201</v>
      </c>
      <c r="W450" s="284"/>
      <c r="X450" s="277"/>
      <c r="Y450" s="285"/>
      <c r="Z450" s="280">
        <f>+SUM(START:END!Z450)</f>
        <v>0</v>
      </c>
      <c r="AA450" s="277"/>
      <c r="AB450" s="277">
        <f t="shared" si="183"/>
        <v>0</v>
      </c>
      <c r="AC450" s="280">
        <f>+SUM(START:END!AC450)</f>
        <v>0</v>
      </c>
      <c r="AD450" s="286"/>
      <c r="AE450" s="285"/>
      <c r="AF450" s="278">
        <f>+SUM(START:END!AF450)</f>
        <v>0</v>
      </c>
      <c r="AG450" s="279"/>
      <c r="AH450" s="280">
        <f t="shared" si="191"/>
        <v>0</v>
      </c>
      <c r="AI450" s="281">
        <f t="shared" si="184"/>
        <v>0</v>
      </c>
      <c r="AJ450" s="286"/>
      <c r="AK450" s="277"/>
      <c r="AL450" s="278">
        <f>+SUMIF($C:$C,$V450,Q:Q)</f>
        <v>0</v>
      </c>
      <c r="AM450" s="282"/>
      <c r="AN450" s="280">
        <f>AF450-AL450</f>
        <v>0</v>
      </c>
      <c r="AO450" s="287">
        <f>IF(AL450=0,0,AN450/AL450)</f>
        <v>0</v>
      </c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</row>
    <row r="451" spans="1:62" ht="18" hidden="1" customHeight="1">
      <c r="A451" t="str">
        <f t="shared" ref="A451:A500" si="204">+U451&amp;V451</f>
        <v>[...]</v>
      </c>
      <c r="B451" s="7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308"/>
      <c r="R451" s="244"/>
      <c r="S451" s="244"/>
      <c r="T451" s="244"/>
      <c r="U451" s="244"/>
      <c r="V451" s="102" t="s">
        <v>19</v>
      </c>
      <c r="W451" s="284"/>
      <c r="X451" s="277"/>
      <c r="Y451" s="285"/>
      <c r="Z451" s="280">
        <f>+SUM(START:END!Z451)</f>
        <v>0</v>
      </c>
      <c r="AA451" s="277"/>
      <c r="AB451" s="277">
        <f t="shared" si="183"/>
        <v>0</v>
      </c>
      <c r="AC451" s="280">
        <f>+SUM(START:END!AC451)</f>
        <v>0</v>
      </c>
      <c r="AD451" s="286"/>
      <c r="AE451" s="285"/>
      <c r="AF451" s="278">
        <f>+SUM(START:END!AF451)</f>
        <v>0</v>
      </c>
      <c r="AG451" s="279"/>
      <c r="AH451" s="280">
        <f t="shared" si="191"/>
        <v>0</v>
      </c>
      <c r="AI451" s="281">
        <f t="shared" si="184"/>
        <v>0</v>
      </c>
      <c r="AJ451" s="286"/>
      <c r="AK451" s="277"/>
      <c r="AL451" s="278"/>
      <c r="AM451" s="282"/>
      <c r="AN451" s="280">
        <f>AF451-AL451</f>
        <v>0</v>
      </c>
      <c r="AO451" s="287">
        <f>IF(AL451=0,0,AN451/AL451)</f>
        <v>0</v>
      </c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</row>
    <row r="452" spans="1:62" ht="18" hidden="1" customHeight="1">
      <c r="A452" t="str">
        <f t="shared" si="204"/>
        <v>[...]</v>
      </c>
      <c r="B452" s="7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327"/>
      <c r="Q452" s="308"/>
      <c r="R452" s="244"/>
      <c r="S452" s="244"/>
      <c r="T452" s="244"/>
      <c r="U452" s="244"/>
      <c r="V452" s="102" t="s">
        <v>19</v>
      </c>
      <c r="W452" s="284"/>
      <c r="X452" s="277"/>
      <c r="Y452" s="285"/>
      <c r="Z452" s="280">
        <f>+SUM(START:END!Z452)</f>
        <v>0</v>
      </c>
      <c r="AA452" s="277"/>
      <c r="AB452" s="277">
        <f t="shared" si="183"/>
        <v>0</v>
      </c>
      <c r="AC452" s="280">
        <f>+SUM(START:END!AC452)</f>
        <v>0</v>
      </c>
      <c r="AD452" s="286"/>
      <c r="AE452" s="285"/>
      <c r="AF452" s="278">
        <f>+SUM(START:END!AF452)</f>
        <v>0</v>
      </c>
      <c r="AG452" s="279"/>
      <c r="AH452" s="280">
        <f t="shared" si="191"/>
        <v>0</v>
      </c>
      <c r="AI452" s="281">
        <f t="shared" si="184"/>
        <v>0</v>
      </c>
      <c r="AJ452" s="286"/>
      <c r="AK452" s="277"/>
      <c r="AL452" s="278"/>
      <c r="AM452" s="282"/>
      <c r="AN452" s="280">
        <f>AF452-AL452</f>
        <v>0</v>
      </c>
      <c r="AO452" s="287">
        <f>IF(AL452=0,0,AN452/AL452)</f>
        <v>0</v>
      </c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</row>
    <row r="453" spans="1:62" ht="17.399999999999999">
      <c r="A453" t="str">
        <f t="shared" si="204"/>
        <v>TOTAL SEMI-FIXES</v>
      </c>
      <c r="B453" s="7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308"/>
      <c r="R453" s="244"/>
      <c r="S453" s="244"/>
      <c r="T453" s="244"/>
      <c r="U453" s="244"/>
      <c r="V453" s="294" t="s">
        <v>63</v>
      </c>
      <c r="W453" s="328"/>
      <c r="X453" s="296">
        <f>Z453/+Z408</f>
        <v>0.16623082429708047</v>
      </c>
      <c r="Y453" s="295"/>
      <c r="Z453" s="297">
        <f>+SUM(Z435:Z452)</f>
        <v>239771.48391188381</v>
      </c>
      <c r="AA453" s="296" t="e">
        <f>AC453/+AC408</f>
        <v>#DIV/0!</v>
      </c>
      <c r="AB453" s="295"/>
      <c r="AC453" s="297">
        <f>+SUM(START:END!AC452)</f>
        <v>0</v>
      </c>
      <c r="AD453" s="298">
        <f>AF453/AF408</f>
        <v>0.18422776054055187</v>
      </c>
      <c r="AE453" s="295"/>
      <c r="AF453" s="297">
        <f>+SUM(AF435:AF452)</f>
        <v>274622.63</v>
      </c>
      <c r="AG453" s="306"/>
      <c r="AH453" s="300">
        <f>+SUM(AH435:AH452)</f>
        <v>34851.146088116206</v>
      </c>
      <c r="AI453" s="296">
        <f>AH453/Z453</f>
        <v>0.14535150518951631</v>
      </c>
      <c r="AJ453" s="298">
        <f>IF($AL$407=0,0,AL453/$AL$407)</f>
        <v>2.1858647432665631E-2</v>
      </c>
      <c r="AK453" s="296"/>
      <c r="AL453" s="297">
        <f>+SUM(AL435:AL452)</f>
        <v>217119.36999999994</v>
      </c>
      <c r="AM453" s="307"/>
      <c r="AN453" s="300">
        <f>+SUM(AN435:AN452)</f>
        <v>57503.260000000017</v>
      </c>
      <c r="AO453" s="329">
        <f>IF(AL453=0,0,AN453/AL453)</f>
        <v>0.26484629169659085</v>
      </c>
      <c r="AP453" s="244"/>
      <c r="AQ453" s="308"/>
      <c r="AR453" s="308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</row>
    <row r="454" spans="1:62" ht="17.399999999999999">
      <c r="A454" t="str">
        <f t="shared" si="204"/>
        <v>Loyer</v>
      </c>
      <c r="B454" s="7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102" t="s">
        <v>157</v>
      </c>
      <c r="W454" s="284" t="s">
        <v>158</v>
      </c>
      <c r="X454" s="277"/>
      <c r="Y454" s="285"/>
      <c r="Z454" s="278">
        <f>+SUM(START:END!Z454)</f>
        <v>150000</v>
      </c>
      <c r="AA454" s="277"/>
      <c r="AB454" s="285">
        <f t="shared" ref="AB454:AB463" si="205">IF(AC454=0,0,AC454/(G$13+G$97))</f>
        <v>0</v>
      </c>
      <c r="AC454" s="278">
        <f>+SUM(START:END!AC454)</f>
        <v>0</v>
      </c>
      <c r="AD454" s="286"/>
      <c r="AE454" s="285"/>
      <c r="AF454" s="278">
        <f>+SUM(START:END!AF454)</f>
        <v>150000</v>
      </c>
      <c r="AG454" s="279"/>
      <c r="AH454" s="280">
        <f t="shared" ref="AH454:AH462" si="206">AF454-Z454</f>
        <v>0</v>
      </c>
      <c r="AI454" s="281">
        <f t="shared" ref="AI454:AI462" si="207">IF(Z454=0,0,AH454/Z454)</f>
        <v>0</v>
      </c>
      <c r="AJ454" s="286"/>
      <c r="AK454" s="277"/>
      <c r="AL454" s="278">
        <f>+SUM(START:END!AL454)</f>
        <v>150000</v>
      </c>
      <c r="AM454" s="282"/>
      <c r="AN454" s="280">
        <f>AF454-AL454</f>
        <v>0</v>
      </c>
      <c r="AO454" s="287">
        <f t="shared" ref="AO454:AO462" si="208">IF(AL454=0,0,AN454/AL454)</f>
        <v>0</v>
      </c>
      <c r="AP454" s="244"/>
      <c r="AQ454" s="494"/>
      <c r="AR454" s="308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</row>
    <row r="455" spans="1:62" ht="17.399999999999999">
      <c r="A455" t="str">
        <f t="shared" si="204"/>
        <v>Taxes foncières</v>
      </c>
      <c r="B455" s="7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102" t="s">
        <v>159</v>
      </c>
      <c r="W455" s="284" t="s">
        <v>160</v>
      </c>
      <c r="X455" s="277"/>
      <c r="Y455" s="285"/>
      <c r="Z455" s="278">
        <f>+SUM(START:END!Z455)</f>
        <v>19039.590000000004</v>
      </c>
      <c r="AA455" s="277"/>
      <c r="AB455" s="285">
        <f t="shared" si="205"/>
        <v>0</v>
      </c>
      <c r="AC455" s="278">
        <f>+SUM(START:END!AC455)</f>
        <v>0</v>
      </c>
      <c r="AD455" s="286"/>
      <c r="AE455" s="285"/>
      <c r="AF455" s="278">
        <f>+SUM(START:END!AF455)</f>
        <v>18404.940000000002</v>
      </c>
      <c r="AG455" s="279"/>
      <c r="AH455" s="280">
        <f t="shared" si="206"/>
        <v>-634.65000000000146</v>
      </c>
      <c r="AI455" s="281">
        <f t="shared" si="207"/>
        <v>-3.3333175766915218E-2</v>
      </c>
      <c r="AJ455" s="286"/>
      <c r="AK455" s="277"/>
      <c r="AL455" s="278">
        <f>+SUM(START:END!AL455)</f>
        <v>18500.389999999978</v>
      </c>
      <c r="AM455" s="282"/>
      <c r="AN455" s="280">
        <f t="shared" ref="AN455:AN462" si="209">AF455-AL455</f>
        <v>-95.449999999975262</v>
      </c>
      <c r="AO455" s="287">
        <f t="shared" si="208"/>
        <v>-5.1593506947678067E-3</v>
      </c>
      <c r="AP455" s="244"/>
      <c r="AQ455" s="494"/>
      <c r="AR455" s="308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</row>
    <row r="456" spans="1:62" ht="17.399999999999999">
      <c r="A456" t="str">
        <f t="shared" si="204"/>
        <v>Taxes d`affaires</v>
      </c>
      <c r="B456" s="7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103" t="s">
        <v>161</v>
      </c>
      <c r="W456" s="288" t="s">
        <v>162</v>
      </c>
      <c r="X456" s="261"/>
      <c r="Y456" s="289"/>
      <c r="Z456" s="262">
        <f>+SUM(START:END!Z456)</f>
        <v>8159.8200000000015</v>
      </c>
      <c r="AA456" s="261"/>
      <c r="AB456" s="289">
        <f t="shared" si="205"/>
        <v>0</v>
      </c>
      <c r="AC456" s="262">
        <f>+SUM(START:END!AC456)</f>
        <v>0</v>
      </c>
      <c r="AD456" s="290"/>
      <c r="AE456" s="289"/>
      <c r="AF456" s="262">
        <f>+SUM(START:END!AF456)</f>
        <v>7887.83</v>
      </c>
      <c r="AG456" s="263"/>
      <c r="AH456" s="264">
        <f t="shared" si="206"/>
        <v>-271.9900000000016</v>
      </c>
      <c r="AI456" s="291">
        <f t="shared" si="207"/>
        <v>-3.3332843126441705E-2</v>
      </c>
      <c r="AJ456" s="290"/>
      <c r="AK456" s="261"/>
      <c r="AL456" s="262">
        <f>+SUM(START:END!AL456)</f>
        <v>7928.76</v>
      </c>
      <c r="AM456" s="266"/>
      <c r="AN456" s="264">
        <f t="shared" si="209"/>
        <v>-40.930000000000291</v>
      </c>
      <c r="AO456" s="267">
        <f t="shared" si="208"/>
        <v>-5.1622195652283953E-3</v>
      </c>
      <c r="AP456" s="244"/>
      <c r="AQ456" s="494"/>
      <c r="AR456" s="308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</row>
    <row r="457" spans="1:62" ht="18" hidden="1" customHeight="1">
      <c r="A457" t="str">
        <f t="shared" si="204"/>
        <v>Taxe sur le capital</v>
      </c>
      <c r="B457" s="7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102" t="s">
        <v>163</v>
      </c>
      <c r="W457" s="284"/>
      <c r="X457" s="277"/>
      <c r="Y457" s="285"/>
      <c r="Z457" s="278">
        <f>+SUM(START:END!Z457)</f>
        <v>0</v>
      </c>
      <c r="AA457" s="277"/>
      <c r="AB457" s="285">
        <f t="shared" si="205"/>
        <v>0</v>
      </c>
      <c r="AC457" s="278">
        <f>+SUM(START:END!AC457)</f>
        <v>0</v>
      </c>
      <c r="AD457" s="286"/>
      <c r="AE457" s="285"/>
      <c r="AF457" s="278">
        <f>+SUM(START:END!AF457)</f>
        <v>0</v>
      </c>
      <c r="AG457" s="279"/>
      <c r="AH457" s="280">
        <f t="shared" si="206"/>
        <v>0</v>
      </c>
      <c r="AI457" s="281">
        <f t="shared" si="207"/>
        <v>0</v>
      </c>
      <c r="AJ457" s="286"/>
      <c r="AK457" s="277"/>
      <c r="AL457" s="278">
        <f>+SUM(START:END!AL457)</f>
        <v>0</v>
      </c>
      <c r="AM457" s="282"/>
      <c r="AN457" s="280">
        <f t="shared" si="209"/>
        <v>0</v>
      </c>
      <c r="AO457" s="287">
        <f t="shared" si="208"/>
        <v>0</v>
      </c>
      <c r="AP457" s="244"/>
      <c r="AQ457" s="244"/>
      <c r="AR457" s="308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</row>
    <row r="458" spans="1:62" ht="17.399999999999999">
      <c r="A458" t="str">
        <f t="shared" si="204"/>
        <v>Assurances</v>
      </c>
      <c r="B458" s="7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103" t="s">
        <v>164</v>
      </c>
      <c r="W458" s="288" t="s">
        <v>165</v>
      </c>
      <c r="X458" s="261"/>
      <c r="Y458" s="289"/>
      <c r="Z458" s="262">
        <f>+SUM(START:END!Z458)</f>
        <v>10713.5</v>
      </c>
      <c r="AA458" s="261"/>
      <c r="AB458" s="289">
        <f t="shared" si="205"/>
        <v>0</v>
      </c>
      <c r="AC458" s="262">
        <f>+SUM(START:END!AC458)</f>
        <v>0</v>
      </c>
      <c r="AD458" s="290"/>
      <c r="AE458" s="289"/>
      <c r="AF458" s="262">
        <f>+SUM(START:END!AF458)</f>
        <v>10713.48</v>
      </c>
      <c r="AG458" s="263"/>
      <c r="AH458" s="264">
        <f t="shared" si="206"/>
        <v>-2.0000000000436557E-2</v>
      </c>
      <c r="AI458" s="291">
        <f t="shared" si="207"/>
        <v>-1.8668035656355587E-6</v>
      </c>
      <c r="AJ458" s="290"/>
      <c r="AK458" s="261"/>
      <c r="AL458" s="262">
        <f>+SUM(START:END!AL458)</f>
        <v>14561.49</v>
      </c>
      <c r="AM458" s="266"/>
      <c r="AN458" s="264">
        <f t="shared" si="209"/>
        <v>-3848.01</v>
      </c>
      <c r="AO458" s="267">
        <f t="shared" si="208"/>
        <v>-0.26425935807393341</v>
      </c>
      <c r="AP458" s="244"/>
      <c r="AQ458" s="494"/>
      <c r="AR458" s="308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</row>
    <row r="459" spans="1:62" ht="17.399999999999999">
      <c r="A459" t="str">
        <f t="shared" si="204"/>
        <v>Chauffage, éclairage</v>
      </c>
      <c r="B459" s="7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102" t="s">
        <v>166</v>
      </c>
      <c r="W459" s="284" t="s">
        <v>167</v>
      </c>
      <c r="X459" s="330"/>
      <c r="Y459" s="331"/>
      <c r="Z459" s="278">
        <f>+SUM(START:END!Z459)</f>
        <v>20025</v>
      </c>
      <c r="AA459" s="330"/>
      <c r="AB459" s="331">
        <f t="shared" si="205"/>
        <v>0</v>
      </c>
      <c r="AC459" s="278">
        <f>+SUM(START:END!AC459)</f>
        <v>0</v>
      </c>
      <c r="AD459" s="286"/>
      <c r="AE459" s="285"/>
      <c r="AF459" s="278">
        <f>+SUM(START:END!AF459)</f>
        <v>18307.77</v>
      </c>
      <c r="AG459" s="279"/>
      <c r="AH459" s="280">
        <f t="shared" si="206"/>
        <v>-1717.2299999999996</v>
      </c>
      <c r="AI459" s="281">
        <f t="shared" si="207"/>
        <v>-8.575430711610485E-2</v>
      </c>
      <c r="AJ459" s="286"/>
      <c r="AK459" s="277"/>
      <c r="AL459" s="278">
        <f>+SUM(START:END!AL459)</f>
        <v>15595.650000000001</v>
      </c>
      <c r="AM459" s="282"/>
      <c r="AN459" s="280">
        <f t="shared" si="209"/>
        <v>2712.119999999999</v>
      </c>
      <c r="AO459" s="287">
        <f t="shared" si="208"/>
        <v>0.17390233815198461</v>
      </c>
      <c r="AP459" s="244"/>
      <c r="AQ459" s="244"/>
      <c r="AR459" s="308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</row>
    <row r="460" spans="1:62" ht="17.399999999999999">
      <c r="A460" t="str">
        <f t="shared" si="204"/>
        <v>Honoraires</v>
      </c>
      <c r="B460" s="7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102" t="s">
        <v>168</v>
      </c>
      <c r="W460" s="284" t="s">
        <v>169</v>
      </c>
      <c r="X460" s="277"/>
      <c r="Y460" s="285"/>
      <c r="Z460" s="278">
        <f>+SUM(START:END!Z460)</f>
        <v>5250</v>
      </c>
      <c r="AA460" s="277"/>
      <c r="AB460" s="285">
        <f t="shared" si="205"/>
        <v>0</v>
      </c>
      <c r="AC460" s="278">
        <f>+SUM(START:END!AC460)</f>
        <v>0</v>
      </c>
      <c r="AD460" s="286"/>
      <c r="AE460" s="285"/>
      <c r="AF460" s="278">
        <f>+SUM(START:END!AF460)</f>
        <v>4500</v>
      </c>
      <c r="AG460" s="279"/>
      <c r="AH460" s="280">
        <f t="shared" si="206"/>
        <v>-750</v>
      </c>
      <c r="AI460" s="281">
        <f t="shared" si="207"/>
        <v>-0.14285714285714285</v>
      </c>
      <c r="AJ460" s="286"/>
      <c r="AK460" s="277"/>
      <c r="AL460" s="278">
        <f>+SUM(START:END!AL460)</f>
        <v>18921.989999999998</v>
      </c>
      <c r="AM460" s="282"/>
      <c r="AN460" s="280">
        <f t="shared" si="209"/>
        <v>-14421.989999999998</v>
      </c>
      <c r="AO460" s="287">
        <f t="shared" si="208"/>
        <v>-0.76218146188640834</v>
      </c>
      <c r="AP460" s="244"/>
      <c r="AQ460" s="494"/>
      <c r="AR460" s="308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</row>
    <row r="461" spans="1:62" ht="17.399999999999999">
      <c r="A461" t="str">
        <f t="shared" si="204"/>
        <v>Réparation équipement</v>
      </c>
      <c r="B461" s="7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103" t="s">
        <v>170</v>
      </c>
      <c r="W461" s="288" t="s">
        <v>171</v>
      </c>
      <c r="X461" s="261"/>
      <c r="Y461" s="289"/>
      <c r="Z461" s="262">
        <f>+SUM(START:END!Z461)</f>
        <v>1350</v>
      </c>
      <c r="AA461" s="261"/>
      <c r="AB461" s="289">
        <f t="shared" si="205"/>
        <v>0</v>
      </c>
      <c r="AC461" s="262">
        <f>+SUM(START:END!AC461)</f>
        <v>0</v>
      </c>
      <c r="AD461" s="290"/>
      <c r="AE461" s="289"/>
      <c r="AF461" s="262">
        <f>+SUM(START:END!AF461)</f>
        <v>1150</v>
      </c>
      <c r="AG461" s="263"/>
      <c r="AH461" s="264">
        <f t="shared" si="206"/>
        <v>-200</v>
      </c>
      <c r="AI461" s="291">
        <f t="shared" si="207"/>
        <v>-0.14814814814814814</v>
      </c>
      <c r="AJ461" s="290"/>
      <c r="AK461" s="261"/>
      <c r="AL461" s="262">
        <f>+SUM(START:END!AL461)</f>
        <v>800</v>
      </c>
      <c r="AM461" s="266"/>
      <c r="AN461" s="264">
        <f t="shared" si="209"/>
        <v>350</v>
      </c>
      <c r="AO461" s="267">
        <f t="shared" si="208"/>
        <v>0.4375</v>
      </c>
      <c r="AP461" s="244"/>
      <c r="AQ461" s="244"/>
      <c r="AR461" s="308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</row>
    <row r="462" spans="1:62" ht="17.399999999999999">
      <c r="A462" t="str">
        <f t="shared" si="204"/>
        <v>Location équipement</v>
      </c>
      <c r="B462" s="7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332"/>
      <c r="V462" s="102" t="s">
        <v>172</v>
      </c>
      <c r="W462" s="284" t="s">
        <v>173</v>
      </c>
      <c r="X462" s="277"/>
      <c r="Y462" s="285"/>
      <c r="Z462" s="278">
        <f>+SUM(START:END!Z462)</f>
        <v>837</v>
      </c>
      <c r="AA462" s="277"/>
      <c r="AB462" s="285">
        <f t="shared" si="205"/>
        <v>0</v>
      </c>
      <c r="AC462" s="278">
        <f>+SUM(START:END!AC462)</f>
        <v>0</v>
      </c>
      <c r="AD462" s="286"/>
      <c r="AE462" s="285"/>
      <c r="AF462" s="278">
        <f>+SUM(START:END!AF462)</f>
        <v>1624.32</v>
      </c>
      <c r="AG462" s="279"/>
      <c r="AH462" s="280">
        <f t="shared" si="206"/>
        <v>787.31999999999994</v>
      </c>
      <c r="AI462" s="333">
        <f t="shared" si="207"/>
        <v>0.9406451612903225</v>
      </c>
      <c r="AJ462" s="277"/>
      <c r="AK462" s="277"/>
      <c r="AL462" s="278">
        <f>+SUM(START:END!AL462)</f>
        <v>492</v>
      </c>
      <c r="AM462" s="282"/>
      <c r="AN462" s="280">
        <f t="shared" si="209"/>
        <v>1132.32</v>
      </c>
      <c r="AO462" s="287">
        <f t="shared" si="208"/>
        <v>2.3014634146341462</v>
      </c>
      <c r="AP462" s="244"/>
      <c r="AQ462" s="244"/>
      <c r="AR462" s="308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</row>
    <row r="463" spans="1:62" ht="18" hidden="1" customHeight="1">
      <c r="A463" t="str">
        <f t="shared" si="204"/>
        <v>Dons</v>
      </c>
      <c r="B463" s="7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332"/>
      <c r="V463" s="102" t="s">
        <v>174</v>
      </c>
      <c r="W463" s="284" t="s">
        <v>175</v>
      </c>
      <c r="X463" s="277"/>
      <c r="Y463" s="285"/>
      <c r="Z463" s="278">
        <f>+SUM(START:END!Z463)</f>
        <v>0</v>
      </c>
      <c r="AA463" s="277"/>
      <c r="AB463" s="285">
        <f t="shared" si="205"/>
        <v>0</v>
      </c>
      <c r="AC463" s="278">
        <f>+SUM(START:END!AC463)</f>
        <v>0</v>
      </c>
      <c r="AD463" s="286"/>
      <c r="AE463" s="285"/>
      <c r="AF463" s="278">
        <f>+SUM(START:END!AF463)</f>
        <v>0</v>
      </c>
      <c r="AG463" s="279"/>
      <c r="AH463" s="280">
        <v>0</v>
      </c>
      <c r="AI463" s="304">
        <v>0</v>
      </c>
      <c r="AJ463" s="277"/>
      <c r="AK463" s="277"/>
      <c r="AL463" s="278">
        <f>+SUM(START:END!AL463)</f>
        <v>0</v>
      </c>
      <c r="AM463" s="282"/>
      <c r="AN463" s="280">
        <v>0</v>
      </c>
      <c r="AO463" s="287">
        <v>0</v>
      </c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</row>
    <row r="464" spans="1:62" ht="18" hidden="1" customHeight="1">
      <c r="A464" t="str">
        <f t="shared" si="204"/>
        <v>[...]</v>
      </c>
      <c r="B464" s="7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332"/>
      <c r="V464" s="102" t="s">
        <v>19</v>
      </c>
      <c r="W464" s="284"/>
      <c r="X464" s="277"/>
      <c r="Y464" s="285"/>
      <c r="Z464" s="280">
        <f>+SUM(START:END!Z463)</f>
        <v>0</v>
      </c>
      <c r="AA464" s="277"/>
      <c r="AB464" s="277"/>
      <c r="AC464" s="280">
        <f>+SUM(START:END!AC463)</f>
        <v>0</v>
      </c>
      <c r="AD464" s="286"/>
      <c r="AE464" s="285"/>
      <c r="AF464" s="278">
        <f>+SUM(START:END!AF463)</f>
        <v>0</v>
      </c>
      <c r="AG464" s="279"/>
      <c r="AH464" s="280">
        <f>AF464-Z464</f>
        <v>0</v>
      </c>
      <c r="AI464" s="281">
        <f>IF(Z464=0,0,AH464/Z464)</f>
        <v>0</v>
      </c>
      <c r="AJ464" s="286"/>
      <c r="AK464" s="277"/>
      <c r="AL464" s="278">
        <f>+SUM(START:END!AL464)</f>
        <v>0</v>
      </c>
      <c r="AM464" s="282"/>
      <c r="AN464" s="280">
        <v>0</v>
      </c>
      <c r="AO464" s="287">
        <v>1</v>
      </c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</row>
    <row r="465" spans="1:62" ht="18" hidden="1" customHeight="1">
      <c r="A465" t="str">
        <f t="shared" si="204"/>
        <v>[...]</v>
      </c>
      <c r="B465" s="7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332"/>
      <c r="V465" s="102" t="s">
        <v>19</v>
      </c>
      <c r="W465" s="284"/>
      <c r="X465" s="277"/>
      <c r="Y465" s="285"/>
      <c r="Z465" s="280">
        <f>+SUM(START:END!Z464)</f>
        <v>0</v>
      </c>
      <c r="AA465" s="277"/>
      <c r="AB465" s="277"/>
      <c r="AC465" s="280">
        <f>+SUM(START:END!AC464)</f>
        <v>0</v>
      </c>
      <c r="AD465" s="286"/>
      <c r="AE465" s="285"/>
      <c r="AF465" s="278">
        <f>+SUM(START:END!AF464)</f>
        <v>0</v>
      </c>
      <c r="AG465" s="279"/>
      <c r="AH465" s="280">
        <f>AF465-Z465</f>
        <v>0</v>
      </c>
      <c r="AI465" s="281">
        <f>IF(Z465=0,0,AH465/Z465)</f>
        <v>0</v>
      </c>
      <c r="AJ465" s="286"/>
      <c r="AK465" s="277"/>
      <c r="AL465" s="278">
        <f>+SUM(START:END!AL465)</f>
        <v>0</v>
      </c>
      <c r="AM465" s="282"/>
      <c r="AN465" s="280">
        <v>0</v>
      </c>
      <c r="AO465" s="287">
        <v>2</v>
      </c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</row>
    <row r="466" spans="1:62" ht="18" hidden="1" customHeight="1">
      <c r="A466" t="str">
        <f t="shared" si="204"/>
        <v>[...]</v>
      </c>
      <c r="B466" s="7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102" t="s">
        <v>19</v>
      </c>
      <c r="W466" s="284"/>
      <c r="X466" s="277"/>
      <c r="Y466" s="285"/>
      <c r="Z466" s="280">
        <f>+SUM(START:END!Z465)</f>
        <v>0</v>
      </c>
      <c r="AA466" s="277"/>
      <c r="AB466" s="277"/>
      <c r="AC466" s="280">
        <f>+SUM(START:END!AC465)</f>
        <v>0</v>
      </c>
      <c r="AD466" s="286"/>
      <c r="AE466" s="285"/>
      <c r="AF466" s="278">
        <f>+SUM(START:END!AF465)</f>
        <v>0</v>
      </c>
      <c r="AG466" s="279"/>
      <c r="AH466" s="280">
        <f>AF466-Z466</f>
        <v>0</v>
      </c>
      <c r="AI466" s="281">
        <f>IF(Z466=0,0,AH466/Z466)</f>
        <v>0</v>
      </c>
      <c r="AJ466" s="286"/>
      <c r="AK466" s="277"/>
      <c r="AL466" s="278">
        <f>+SUM(START:END!AL466)</f>
        <v>0</v>
      </c>
      <c r="AM466" s="282"/>
      <c r="AN466" s="280">
        <v>0</v>
      </c>
      <c r="AO466" s="287">
        <v>3</v>
      </c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</row>
    <row r="467" spans="1:62" ht="17.399999999999999">
      <c r="A467" t="str">
        <f t="shared" si="204"/>
        <v>TOTAL DÉPENSES FIXES</v>
      </c>
      <c r="B467" s="7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94" t="s">
        <v>176</v>
      </c>
      <c r="W467" s="295"/>
      <c r="X467" s="296">
        <f>Z467/+Z408</f>
        <v>0.1493169589564986</v>
      </c>
      <c r="Y467" s="295"/>
      <c r="Z467" s="297">
        <f>SUM(Z454:Z466)</f>
        <v>215374.91</v>
      </c>
      <c r="AA467" s="296" t="e">
        <f>AC467/+AC408</f>
        <v>#DIV/0!</v>
      </c>
      <c r="AB467" s="295"/>
      <c r="AC467" s="297">
        <f>SUM(AC454:AC466)</f>
        <v>0</v>
      </c>
      <c r="AD467" s="298">
        <f>AF467/AF408</f>
        <v>0.14261269654009731</v>
      </c>
      <c r="AE467" s="295"/>
      <c r="AF467" s="297">
        <f>SUM(AF454:AF466)</f>
        <v>212588.34</v>
      </c>
      <c r="AG467" s="306"/>
      <c r="AH467" s="300">
        <f>SUM(AH454:AH466)</f>
        <v>-2786.5700000000033</v>
      </c>
      <c r="AI467" s="296">
        <f>IF(Z467=0,0,AH467/Z467)</f>
        <v>-1.2938229434431351E-2</v>
      </c>
      <c r="AJ467" s="298">
        <f>IF($AL$407=0,0,AL467/$AL$407)</f>
        <v>2.2833279951714337E-2</v>
      </c>
      <c r="AK467" s="296"/>
      <c r="AL467" s="297">
        <f>SUM(AL454:AL466)</f>
        <v>226800.27999999997</v>
      </c>
      <c r="AM467" s="307"/>
      <c r="AN467" s="300">
        <f>SUM(AN454:AN466)</f>
        <v>-14211.939999999975</v>
      </c>
      <c r="AO467" s="329">
        <f t="shared" ref="AO467:AO484" si="210">IF(AL467=0,0,AN467/AL467)</f>
        <v>-6.2662797418063049E-2</v>
      </c>
      <c r="AP467" s="244"/>
      <c r="AQ467" s="308"/>
      <c r="AR467" s="308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</row>
    <row r="468" spans="1:62" ht="17.399999999999999">
      <c r="A468" t="str">
        <f t="shared" si="204"/>
        <v/>
      </c>
      <c r="B468" s="7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102"/>
      <c r="W468" s="277"/>
      <c r="X468" s="277"/>
      <c r="Y468" s="277"/>
      <c r="Z468" s="334"/>
      <c r="AA468" s="277"/>
      <c r="AB468" s="277"/>
      <c r="AC468" s="334"/>
      <c r="AD468" s="286"/>
      <c r="AE468" s="277"/>
      <c r="AF468" s="334"/>
      <c r="AG468" s="286"/>
      <c r="AH468" s="280">
        <f t="shared" ref="AH468:AH482" si="211">AF468-Z468</f>
        <v>0</v>
      </c>
      <c r="AI468" s="281"/>
      <c r="AJ468" s="286"/>
      <c r="AK468" s="277"/>
      <c r="AL468" s="334"/>
      <c r="AM468" s="335"/>
      <c r="AN468" s="280">
        <f t="shared" ref="AN468:AN484" si="212">AF468-AL468</f>
        <v>0</v>
      </c>
      <c r="AO468" s="336">
        <f t="shared" si="210"/>
        <v>0</v>
      </c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</row>
    <row r="469" spans="1:62" ht="17.399999999999999">
      <c r="A469" t="str">
        <f t="shared" si="204"/>
        <v>TOTAL DES DÉPENSES</v>
      </c>
      <c r="B469" s="7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94" t="s">
        <v>64</v>
      </c>
      <c r="W469" s="295"/>
      <c r="X469" s="296">
        <f>Z469/+Z408</f>
        <v>0.96198631974411353</v>
      </c>
      <c r="Y469" s="295"/>
      <c r="Z469" s="297">
        <f>Z420+Z434+Z453+Z467</f>
        <v>1387569.8948334523</v>
      </c>
      <c r="AA469" s="296" t="e">
        <f>AC469/+AC408</f>
        <v>#DIV/0!</v>
      </c>
      <c r="AB469" s="295"/>
      <c r="AC469" s="297">
        <f>AC420+AC434+AC453+AC467</f>
        <v>0</v>
      </c>
      <c r="AD469" s="298">
        <f>AF469/AF408</f>
        <v>0.88557340458724199</v>
      </c>
      <c r="AE469" s="295"/>
      <c r="AF469" s="297">
        <f>AF420+AF434+AF453+AF467</f>
        <v>1320096.9099999999</v>
      </c>
      <c r="AG469" s="306"/>
      <c r="AH469" s="300">
        <f t="shared" si="211"/>
        <v>-67472.984833452385</v>
      </c>
      <c r="AI469" s="296">
        <f>AH469/Z469</f>
        <v>-4.862672870367446E-2</v>
      </c>
      <c r="AJ469" s="298">
        <f>IF($AL$407=0,0,AL469/$AL$407)</f>
        <v>0.1259417160912269</v>
      </c>
      <c r="AK469" s="296"/>
      <c r="AL469" s="297">
        <f>AL420+AL434+AL453+AL467</f>
        <v>1250964.23</v>
      </c>
      <c r="AM469" s="307"/>
      <c r="AN469" s="300">
        <f t="shared" si="212"/>
        <v>69132.679999999935</v>
      </c>
      <c r="AO469" s="275">
        <f t="shared" si="210"/>
        <v>5.5263514609046764E-2</v>
      </c>
      <c r="AP469" s="308"/>
      <c r="AQ469" s="244"/>
      <c r="AR469" s="244"/>
      <c r="AS469" s="308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</row>
    <row r="470" spans="1:62" ht="17.399999999999999">
      <c r="A470" t="str">
        <f t="shared" si="204"/>
        <v>Revenus autres</v>
      </c>
      <c r="B470" s="7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102" t="s">
        <v>177</v>
      </c>
      <c r="W470" s="331"/>
      <c r="X470" s="331"/>
      <c r="Y470" s="277"/>
      <c r="Z470" s="311">
        <f>+SUM(START:END!Z470)</f>
        <v>0</v>
      </c>
      <c r="AA470" s="337"/>
      <c r="AB470" s="338">
        <f t="shared" ref="AB470:AB478" si="213">IF(AC470=0,0,AC470/(G$13+G$97))</f>
        <v>0</v>
      </c>
      <c r="AC470" s="311">
        <f>+SUM(START:END!AC470)</f>
        <v>0</v>
      </c>
      <c r="AD470" s="339"/>
      <c r="AE470" s="338"/>
      <c r="AF470" s="278">
        <f>+SUM(START:END!AF470)</f>
        <v>3803.5699999999997</v>
      </c>
      <c r="AG470" s="340"/>
      <c r="AH470" s="280">
        <f t="shared" si="211"/>
        <v>3803.5699999999997</v>
      </c>
      <c r="AI470" s="333" t="e">
        <f>IF(AH470=0,0,AH470/Z470)</f>
        <v>#DIV/0!</v>
      </c>
      <c r="AJ470" s="339"/>
      <c r="AK470" s="337"/>
      <c r="AL470" s="341">
        <f>+SUM(START:END!AL470)</f>
        <v>11717.99</v>
      </c>
      <c r="AM470" s="342"/>
      <c r="AN470" s="280">
        <f t="shared" si="212"/>
        <v>-7914.42</v>
      </c>
      <c r="AO470" s="287">
        <f t="shared" si="210"/>
        <v>-0.67540764243697082</v>
      </c>
      <c r="AP470" s="244"/>
      <c r="AQ470" s="244"/>
      <c r="AR470" s="244"/>
      <c r="AS470" s="244"/>
      <c r="AT470" s="308"/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</row>
    <row r="471" spans="1:62" ht="17.399999999999999">
      <c r="A471" t="str">
        <f t="shared" si="204"/>
        <v>Holdbacks</v>
      </c>
      <c r="B471" s="7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102" t="s">
        <v>66</v>
      </c>
      <c r="W471" s="277"/>
      <c r="X471" s="277"/>
      <c r="Y471" s="277"/>
      <c r="Z471" s="278">
        <f>+SUM(START:END!Z471)</f>
        <v>137026.68571428573</v>
      </c>
      <c r="AA471" s="330"/>
      <c r="AB471" s="331">
        <f t="shared" si="213"/>
        <v>0</v>
      </c>
      <c r="AC471" s="278">
        <f>+SUM(START:END!AC471)</f>
        <v>0</v>
      </c>
      <c r="AD471" s="343"/>
      <c r="AE471" s="331"/>
      <c r="AF471" s="278">
        <f>+SUM(START:END!AF471)</f>
        <v>151861</v>
      </c>
      <c r="AG471" s="344"/>
      <c r="AH471" s="280">
        <f t="shared" si="211"/>
        <v>14834.314285714267</v>
      </c>
      <c r="AI471" s="304">
        <f>IF(Z471=0,0,AH471/Z471)</f>
        <v>0.10825857903799328</v>
      </c>
      <c r="AJ471" s="343"/>
      <c r="AK471" s="330"/>
      <c r="AL471" s="345">
        <f>+SUM(START:END!AL471)</f>
        <v>82883.199999999997</v>
      </c>
      <c r="AM471" s="346"/>
      <c r="AN471" s="280">
        <f t="shared" si="212"/>
        <v>68977.8</v>
      </c>
      <c r="AO471" s="287">
        <f t="shared" si="210"/>
        <v>0.83222896799351387</v>
      </c>
      <c r="AP471" s="244"/>
      <c r="AQ471" s="244"/>
      <c r="AR471" s="244"/>
      <c r="AS471" s="244"/>
      <c r="AT471" s="308"/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</row>
    <row r="472" spans="1:62" ht="17.399999999999999">
      <c r="A472" t="str">
        <f t="shared" si="204"/>
        <v>RBSC neuf</v>
      </c>
      <c r="B472" s="7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102" t="s">
        <v>215</v>
      </c>
      <c r="W472" s="277"/>
      <c r="X472" s="277"/>
      <c r="Y472" s="277"/>
      <c r="Z472" s="278">
        <f>+SUM(START:END!Z472)</f>
        <v>113047.01571428572</v>
      </c>
      <c r="AA472" s="330"/>
      <c r="AB472" s="331">
        <f t="shared" si="213"/>
        <v>0</v>
      </c>
      <c r="AC472" s="278">
        <f>+SUM(START:END!AC472)</f>
        <v>0</v>
      </c>
      <c r="AD472" s="343"/>
      <c r="AE472" s="331"/>
      <c r="AF472" s="278">
        <f>+SUM(START:END!AF472)</f>
        <v>167457.51</v>
      </c>
      <c r="AG472" s="344"/>
      <c r="AH472" s="280">
        <f t="shared" si="211"/>
        <v>54410.494285714289</v>
      </c>
      <c r="AI472" s="304">
        <f t="shared" ref="AI472:AI481" si="214">IF(AH472=0,0,AH472/Z472)</f>
        <v>0.48130854177726384</v>
      </c>
      <c r="AJ472" s="343"/>
      <c r="AK472" s="330"/>
      <c r="AL472" s="345">
        <f>+SUM(START:END!AL472)</f>
        <v>75981.91</v>
      </c>
      <c r="AM472" s="346"/>
      <c r="AN472" s="280">
        <f t="shared" si="212"/>
        <v>91475.6</v>
      </c>
      <c r="AO472" s="287">
        <f t="shared" si="210"/>
        <v>1.203912878736531</v>
      </c>
      <c r="AP472" s="244"/>
      <c r="AQ472" s="244"/>
      <c r="AR472" s="244"/>
      <c r="AS472" s="244"/>
      <c r="AT472" s="308"/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</row>
    <row r="473" spans="1:62" ht="18" hidden="1" customHeight="1">
      <c r="A473" t="str">
        <f t="shared" si="204"/>
        <v>Programme neuf 2</v>
      </c>
      <c r="B473" s="7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102" t="s">
        <v>187</v>
      </c>
      <c r="W473" s="277"/>
      <c r="X473" s="277"/>
      <c r="Y473" s="277"/>
      <c r="Z473" s="278">
        <f>+SUM(START:END!Z473)</f>
        <v>0</v>
      </c>
      <c r="AA473" s="330"/>
      <c r="AB473" s="331">
        <f t="shared" si="213"/>
        <v>0</v>
      </c>
      <c r="AC473" s="278">
        <f>+SUM(START:END!AC473)</f>
        <v>0</v>
      </c>
      <c r="AD473" s="343"/>
      <c r="AE473" s="331"/>
      <c r="AF473" s="278">
        <f>+SUM(START:END!AF473)</f>
        <v>0</v>
      </c>
      <c r="AG473" s="344"/>
      <c r="AH473" s="280">
        <f t="shared" si="211"/>
        <v>0</v>
      </c>
      <c r="AI473" s="304">
        <f t="shared" si="214"/>
        <v>0</v>
      </c>
      <c r="AJ473" s="343"/>
      <c r="AK473" s="330"/>
      <c r="AL473" s="345">
        <f>+SUM(START:END!AL473)</f>
        <v>0</v>
      </c>
      <c r="AM473" s="346"/>
      <c r="AN473" s="280">
        <f t="shared" si="212"/>
        <v>0</v>
      </c>
      <c r="AO473" s="287">
        <f t="shared" si="210"/>
        <v>0</v>
      </c>
      <c r="AP473" s="244"/>
      <c r="AQ473" s="244"/>
      <c r="AR473" s="244"/>
      <c r="AS473" s="244"/>
      <c r="AT473" s="308"/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</row>
    <row r="474" spans="1:62" ht="18" hidden="1" customHeight="1">
      <c r="A474" t="str">
        <f t="shared" si="204"/>
        <v>Programme neuf 3</v>
      </c>
      <c r="B474" s="7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102" t="s">
        <v>65</v>
      </c>
      <c r="W474" s="277"/>
      <c r="X474" s="277"/>
      <c r="Y474" s="277"/>
      <c r="Z474" s="278">
        <f>+SUM(START:END!Z474)</f>
        <v>0</v>
      </c>
      <c r="AA474" s="330"/>
      <c r="AB474" s="331">
        <f t="shared" si="213"/>
        <v>0</v>
      </c>
      <c r="AC474" s="278">
        <f>+SUM(START:END!AC474)</f>
        <v>0</v>
      </c>
      <c r="AD474" s="343"/>
      <c r="AE474" s="331"/>
      <c r="AF474" s="278">
        <f>+SUM(START:END!AF474)</f>
        <v>0</v>
      </c>
      <c r="AG474" s="344"/>
      <c r="AH474" s="280">
        <f t="shared" si="211"/>
        <v>0</v>
      </c>
      <c r="AI474" s="304">
        <f t="shared" si="214"/>
        <v>0</v>
      </c>
      <c r="AJ474" s="343"/>
      <c r="AK474" s="330"/>
      <c r="AL474" s="345">
        <f>+SUM(START:END!AL474)</f>
        <v>0</v>
      </c>
      <c r="AM474" s="346"/>
      <c r="AN474" s="280">
        <f t="shared" si="212"/>
        <v>0</v>
      </c>
      <c r="AO474" s="287">
        <f t="shared" si="210"/>
        <v>0</v>
      </c>
      <c r="AP474" s="244"/>
      <c r="AQ474" s="244"/>
      <c r="AR474" s="244"/>
      <c r="AS474" s="244"/>
      <c r="AT474" s="308"/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</row>
    <row r="475" spans="1:62" ht="17.399999999999999">
      <c r="A475" t="str">
        <f t="shared" si="204"/>
        <v>RBSC used</v>
      </c>
      <c r="B475" s="7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102" t="s">
        <v>217</v>
      </c>
      <c r="W475" s="277"/>
      <c r="X475" s="277"/>
      <c r="Y475" s="277"/>
      <c r="Z475" s="278">
        <f>+SUM(START:END!Z475)</f>
        <v>14250</v>
      </c>
      <c r="AA475" s="330"/>
      <c r="AB475" s="331">
        <f t="shared" si="213"/>
        <v>0</v>
      </c>
      <c r="AC475" s="278">
        <f>+SUM(START:END!AC475)</f>
        <v>0</v>
      </c>
      <c r="AD475" s="343"/>
      <c r="AE475" s="331"/>
      <c r="AF475" s="278">
        <f>+SUM(START:END!AF475)</f>
        <v>13725</v>
      </c>
      <c r="AG475" s="344"/>
      <c r="AH475" s="280">
        <f t="shared" si="211"/>
        <v>-525</v>
      </c>
      <c r="AI475" s="304">
        <f t="shared" si="214"/>
        <v>-3.6842105263157891E-2</v>
      </c>
      <c r="AJ475" s="343"/>
      <c r="AK475" s="330"/>
      <c r="AL475" s="345">
        <f>+SUM(START:END!AL475)</f>
        <v>5625</v>
      </c>
      <c r="AM475" s="346"/>
      <c r="AN475" s="280">
        <f t="shared" si="212"/>
        <v>8100</v>
      </c>
      <c r="AO475" s="287">
        <f t="shared" si="210"/>
        <v>1.44</v>
      </c>
      <c r="AP475" s="244"/>
      <c r="AQ475" s="244"/>
      <c r="AR475" s="244"/>
      <c r="AS475" s="244"/>
      <c r="AT475" s="308"/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</row>
    <row r="476" spans="1:62" ht="17.399999999999999">
      <c r="A476" t="str">
        <f t="shared" si="204"/>
        <v>Programme 360</v>
      </c>
      <c r="B476" s="7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102" t="s">
        <v>218</v>
      </c>
      <c r="W476" s="277"/>
      <c r="X476" s="277"/>
      <c r="Y476" s="277"/>
      <c r="Z476" s="278">
        <f>+SUM(START:END!Z476)</f>
        <v>0</v>
      </c>
      <c r="AA476" s="330"/>
      <c r="AB476" s="331">
        <f t="shared" si="213"/>
        <v>0</v>
      </c>
      <c r="AC476" s="278">
        <f>+SUM(START:END!AC476)</f>
        <v>0</v>
      </c>
      <c r="AD476" s="343"/>
      <c r="AE476" s="331"/>
      <c r="AF476" s="278">
        <f>+SUM(START:END!AF476)</f>
        <v>-925</v>
      </c>
      <c r="AG476" s="344"/>
      <c r="AH476" s="280">
        <f t="shared" si="211"/>
        <v>-925</v>
      </c>
      <c r="AI476" s="304" t="e">
        <f t="shared" si="214"/>
        <v>#DIV/0!</v>
      </c>
      <c r="AJ476" s="343"/>
      <c r="AK476" s="330"/>
      <c r="AL476" s="345">
        <f>+SUM(START:END!AL476)</f>
        <v>100</v>
      </c>
      <c r="AM476" s="346"/>
      <c r="AN476" s="280">
        <f t="shared" si="212"/>
        <v>-1025</v>
      </c>
      <c r="AO476" s="287">
        <f t="shared" si="210"/>
        <v>-10.25</v>
      </c>
      <c r="AP476" s="244"/>
      <c r="AQ476" s="244"/>
      <c r="AR476" s="244"/>
      <c r="AS476" s="244"/>
      <c r="AT476" s="308"/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</row>
    <row r="477" spans="1:62" ht="18" hidden="1" customHeight="1">
      <c r="A477" t="str">
        <f t="shared" si="204"/>
        <v>Programme used 3</v>
      </c>
      <c r="B477" s="7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102" t="s">
        <v>77</v>
      </c>
      <c r="W477" s="277"/>
      <c r="X477" s="277"/>
      <c r="Y477" s="277"/>
      <c r="Z477" s="278">
        <f>+SUM(START:END!Z477)</f>
        <v>0</v>
      </c>
      <c r="AA477" s="330"/>
      <c r="AB477" s="331">
        <f t="shared" si="213"/>
        <v>0</v>
      </c>
      <c r="AC477" s="278">
        <f>+SUM(START:END!AC477)</f>
        <v>0</v>
      </c>
      <c r="AD477" s="343"/>
      <c r="AE477" s="331"/>
      <c r="AF477" s="278">
        <f>+SUM(START:END!AF477)</f>
        <v>0</v>
      </c>
      <c r="AG477" s="344"/>
      <c r="AH477" s="280">
        <f t="shared" si="211"/>
        <v>0</v>
      </c>
      <c r="AI477" s="304">
        <f t="shared" si="214"/>
        <v>0</v>
      </c>
      <c r="AJ477" s="343"/>
      <c r="AK477" s="330"/>
      <c r="AL477" s="345">
        <f>+SUM(START:END!AL477)</f>
        <v>0</v>
      </c>
      <c r="AM477" s="346"/>
      <c r="AN477" s="280">
        <f t="shared" si="212"/>
        <v>0</v>
      </c>
      <c r="AO477" s="287">
        <f t="shared" si="210"/>
        <v>0</v>
      </c>
      <c r="AP477" s="244"/>
      <c r="AQ477" s="244"/>
      <c r="AR477" s="244"/>
      <c r="AS477" s="244"/>
      <c r="AT477" s="308"/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</row>
    <row r="478" spans="1:62" ht="17.399999999999999">
      <c r="A478" t="str">
        <f t="shared" si="204"/>
        <v>Facility Fund</v>
      </c>
      <c r="B478" s="7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102" t="s">
        <v>188</v>
      </c>
      <c r="W478" s="277"/>
      <c r="X478" s="277"/>
      <c r="Y478" s="277"/>
      <c r="Z478" s="278">
        <f>+SUM(START:END!Z478)</f>
        <v>75364.677142857137</v>
      </c>
      <c r="AA478" s="330"/>
      <c r="AB478" s="331">
        <f t="shared" si="213"/>
        <v>0</v>
      </c>
      <c r="AC478" s="278">
        <f>+SUM(START:END!AC478)</f>
        <v>0</v>
      </c>
      <c r="AD478" s="343"/>
      <c r="AE478" s="331"/>
      <c r="AF478" s="278">
        <f>+SUM(START:END!AF478)</f>
        <v>73276.850000000006</v>
      </c>
      <c r="AG478" s="344"/>
      <c r="AH478" s="280">
        <f t="shared" si="211"/>
        <v>-2087.8271428571315</v>
      </c>
      <c r="AI478" s="304">
        <f t="shared" si="214"/>
        <v>-2.7702993259024533E-2</v>
      </c>
      <c r="AJ478" s="343"/>
      <c r="AK478" s="330"/>
      <c r="AL478" s="345">
        <f>+SUM(START:END!AL478)</f>
        <v>53922.659999999996</v>
      </c>
      <c r="AM478" s="346"/>
      <c r="AN478" s="280">
        <f t="shared" si="212"/>
        <v>19354.19000000001</v>
      </c>
      <c r="AO478" s="287">
        <f t="shared" si="210"/>
        <v>0.35892498626736907</v>
      </c>
      <c r="AP478" s="244"/>
      <c r="AQ478" s="244"/>
      <c r="AR478" s="244"/>
      <c r="AS478" s="244"/>
      <c r="AT478" s="308"/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</row>
    <row r="479" spans="1:62" ht="18" hidden="1" customHeight="1">
      <c r="A479" t="str">
        <f t="shared" si="204"/>
        <v>[...]</v>
      </c>
      <c r="B479" s="7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102" t="s">
        <v>19</v>
      </c>
      <c r="W479" s="277"/>
      <c r="X479" s="277"/>
      <c r="Y479" s="277"/>
      <c r="Z479" s="280">
        <f>+SUM(START:END!Z479)</f>
        <v>0</v>
      </c>
      <c r="AA479" s="277"/>
      <c r="AB479" s="277">
        <f>IF(AC479=0,0,AC479/(G$13+G$97))</f>
        <v>0</v>
      </c>
      <c r="AC479" s="280">
        <f>+SUM(START:END!AC479)</f>
        <v>0</v>
      </c>
      <c r="AD479" s="286"/>
      <c r="AE479" s="285"/>
      <c r="AF479" s="278">
        <f>+SUM(START:END!AF479)</f>
        <v>0</v>
      </c>
      <c r="AG479" s="279"/>
      <c r="AH479" s="280">
        <f t="shared" si="211"/>
        <v>0</v>
      </c>
      <c r="AI479" s="281">
        <f t="shared" si="214"/>
        <v>0</v>
      </c>
      <c r="AJ479" s="286"/>
      <c r="AK479" s="277"/>
      <c r="AL479" s="278">
        <f>+SUM(START:END!AL479)</f>
        <v>0</v>
      </c>
      <c r="AM479" s="346"/>
      <c r="AN479" s="280">
        <f t="shared" si="212"/>
        <v>0</v>
      </c>
      <c r="AO479" s="287">
        <f t="shared" si="210"/>
        <v>0</v>
      </c>
      <c r="AP479" s="244"/>
      <c r="AQ479" s="244"/>
      <c r="AR479" s="244"/>
      <c r="AS479" s="244"/>
      <c r="AT479" s="308"/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</row>
    <row r="480" spans="1:62" ht="18" hidden="1" customHeight="1">
      <c r="A480" t="str">
        <f t="shared" si="204"/>
        <v>[...]</v>
      </c>
      <c r="B480" s="7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102" t="s">
        <v>19</v>
      </c>
      <c r="W480" s="277"/>
      <c r="X480" s="277"/>
      <c r="Y480" s="277"/>
      <c r="Z480" s="280">
        <f>+SUM(START:END!Z480)</f>
        <v>0</v>
      </c>
      <c r="AA480" s="277"/>
      <c r="AB480" s="277">
        <f>IF(AC480=0,0,AC480/(G$13+G$97))</f>
        <v>0</v>
      </c>
      <c r="AC480" s="280">
        <f>+SUM(START:END!AC480)</f>
        <v>0</v>
      </c>
      <c r="AD480" s="286"/>
      <c r="AE480" s="285"/>
      <c r="AF480" s="278">
        <f>+SUM(START:END!AF480)</f>
        <v>0</v>
      </c>
      <c r="AG480" s="279"/>
      <c r="AH480" s="280">
        <f t="shared" si="211"/>
        <v>0</v>
      </c>
      <c r="AI480" s="281">
        <f t="shared" si="214"/>
        <v>0</v>
      </c>
      <c r="AJ480" s="286"/>
      <c r="AK480" s="277"/>
      <c r="AL480" s="278">
        <f>+SUM(START:END!AL480)</f>
        <v>0</v>
      </c>
      <c r="AM480" s="346"/>
      <c r="AN480" s="280">
        <f t="shared" si="212"/>
        <v>0</v>
      </c>
      <c r="AO480" s="287">
        <f t="shared" si="210"/>
        <v>0</v>
      </c>
      <c r="AP480" s="244"/>
      <c r="AQ480" s="244"/>
      <c r="AR480" s="244"/>
      <c r="AS480" s="244"/>
      <c r="AT480" s="308"/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</row>
    <row r="481" spans="1:62" ht="17.399999999999999">
      <c r="A481" t="str">
        <f t="shared" si="204"/>
        <v>Frais administration</v>
      </c>
      <c r="B481" s="7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103" t="s">
        <v>67</v>
      </c>
      <c r="W481" s="277"/>
      <c r="X481" s="277"/>
      <c r="Y481" s="277"/>
      <c r="Z481" s="278">
        <f>+SUM(START:END!Z481)</f>
        <v>76255.199999999997</v>
      </c>
      <c r="AA481" s="330"/>
      <c r="AB481" s="331">
        <f>IF(AC481=0,0,AC481/(G$13+G$97))</f>
        <v>0</v>
      </c>
      <c r="AC481" s="278">
        <f>+SUM(START:END!AC481)</f>
        <v>0</v>
      </c>
      <c r="AD481" s="343"/>
      <c r="AE481" s="331"/>
      <c r="AF481" s="278">
        <f>+SUM(START:END!AF481)</f>
        <v>89250</v>
      </c>
      <c r="AG481" s="344"/>
      <c r="AH481" s="280">
        <f t="shared" si="211"/>
        <v>12994.800000000003</v>
      </c>
      <c r="AI481" s="304">
        <f t="shared" si="214"/>
        <v>0.17041198501872665</v>
      </c>
      <c r="AJ481" s="343"/>
      <c r="AK481" s="330"/>
      <c r="AL481" s="345">
        <f>+SUM(START:END!AL481)</f>
        <v>56525</v>
      </c>
      <c r="AM481" s="346"/>
      <c r="AN481" s="280">
        <f t="shared" si="212"/>
        <v>32725</v>
      </c>
      <c r="AO481" s="287">
        <f t="shared" si="210"/>
        <v>0.57894736842105265</v>
      </c>
      <c r="AP481" s="244"/>
      <c r="AQ481" s="244"/>
      <c r="AR481" s="244"/>
      <c r="AS481" s="244"/>
      <c r="AT481" s="308"/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</row>
    <row r="482" spans="1:62" ht="17.399999999999999">
      <c r="A482" t="str">
        <f t="shared" si="204"/>
        <v>TOTAL AUTRES REVENUS</v>
      </c>
      <c r="B482" s="7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94" t="s">
        <v>178</v>
      </c>
      <c r="W482" s="295"/>
      <c r="X482" s="296">
        <f>Z482/+Z408</f>
        <v>0.28836892026916761</v>
      </c>
      <c r="Y482" s="328"/>
      <c r="Z482" s="297">
        <f>SUM(Z470:Z481)</f>
        <v>415943.5785714286</v>
      </c>
      <c r="AA482" s="296" t="e">
        <f>AC482/+AC408</f>
        <v>#DIV/0!</v>
      </c>
      <c r="AB482" s="328"/>
      <c r="AC482" s="297">
        <f>SUM(AC470:AC481)</f>
        <v>0</v>
      </c>
      <c r="AD482" s="296">
        <f>AF482/+AF408</f>
        <v>0.33437932670637638</v>
      </c>
      <c r="AE482" s="328"/>
      <c r="AF482" s="297">
        <f>SUM(AF470:AF481)</f>
        <v>498448.93000000005</v>
      </c>
      <c r="AG482" s="306"/>
      <c r="AH482" s="300">
        <f t="shared" si="211"/>
        <v>82505.351428571448</v>
      </c>
      <c r="AI482" s="296">
        <f>AH482/Z482</f>
        <v>0.19835707456270557</v>
      </c>
      <c r="AJ482" s="347"/>
      <c r="AK482" s="348"/>
      <c r="AL482" s="297">
        <f>SUM(AL470:AL481)</f>
        <v>286755.76</v>
      </c>
      <c r="AM482" s="349"/>
      <c r="AN482" s="300">
        <f t="shared" si="212"/>
        <v>211693.17000000004</v>
      </c>
      <c r="AO482" s="329">
        <f t="shared" si="210"/>
        <v>0.73823510990677232</v>
      </c>
      <c r="AP482" s="244"/>
      <c r="AQ482" s="244"/>
      <c r="AR482" s="244"/>
      <c r="AS482" s="308"/>
      <c r="AT482" s="308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</row>
    <row r="483" spans="1:62" ht="18" thickBot="1">
      <c r="A483" t="str">
        <f t="shared" si="204"/>
        <v/>
      </c>
      <c r="B483" s="7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350"/>
      <c r="W483" s="351"/>
      <c r="X483" s="351"/>
      <c r="Y483" s="352"/>
      <c r="Z483" s="353"/>
      <c r="AA483" s="351"/>
      <c r="AB483" s="354"/>
      <c r="AC483" s="353"/>
      <c r="AD483" s="351"/>
      <c r="AE483" s="354"/>
      <c r="AF483" s="355"/>
      <c r="AG483" s="356"/>
      <c r="AH483" s="357"/>
      <c r="AI483" s="358"/>
      <c r="AJ483" s="359"/>
      <c r="AK483" s="360"/>
      <c r="AL483" s="355"/>
      <c r="AM483" s="361"/>
      <c r="AN483" s="357">
        <f t="shared" si="212"/>
        <v>0</v>
      </c>
      <c r="AO483" s="362">
        <f t="shared" si="210"/>
        <v>0</v>
      </c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</row>
    <row r="484" spans="1:62" ht="18.600000000000001" thickTop="1" thickBot="1">
      <c r="A484" t="str">
        <f t="shared" si="204"/>
        <v>BAIIA OPÉRATIONNEL</v>
      </c>
      <c r="B484" s="7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363" t="s">
        <v>179</v>
      </c>
      <c r="W484" s="364"/>
      <c r="X484" s="365" t="s">
        <v>180</v>
      </c>
      <c r="Y484" s="366">
        <f>Z484/Z407</f>
        <v>3.3234830001248598E-2</v>
      </c>
      <c r="Z484" s="367">
        <f>Z408-Z469+Z482</f>
        <v>470774.54366137233</v>
      </c>
      <c r="AA484" s="365" t="s">
        <v>180</v>
      </c>
      <c r="AB484" s="366" t="e">
        <f>AC484/AC407</f>
        <v>#DIV/0!</v>
      </c>
      <c r="AC484" s="367">
        <f>AC408-AC469+AC482</f>
        <v>0</v>
      </c>
      <c r="AD484" s="365" t="s">
        <v>180</v>
      </c>
      <c r="AE484" s="366">
        <f>AF484/AF407</f>
        <v>4.4185434273850903E-2</v>
      </c>
      <c r="AF484" s="368">
        <f>AF408-AF469+AF482</f>
        <v>669021.12000000023</v>
      </c>
      <c r="AG484" s="369"/>
      <c r="AH484" s="368">
        <f>AF484-Z484</f>
        <v>198246.5763386279</v>
      </c>
      <c r="AI484" s="481">
        <f>AH484/Z484</f>
        <v>0.42110725613325956</v>
      </c>
      <c r="AJ484" s="371" t="s">
        <v>180</v>
      </c>
      <c r="AK484" s="366" t="e">
        <f>IF($AL$406=0,0,AL484/$AL$406)</f>
        <v>#VALUE!</v>
      </c>
      <c r="AL484" s="368">
        <f>AL408-AL469+AL482</f>
        <v>154440.95999999903</v>
      </c>
      <c r="AM484" s="372"/>
      <c r="AN484" s="368">
        <f t="shared" si="212"/>
        <v>514580.1600000012</v>
      </c>
      <c r="AO484" s="373">
        <f t="shared" si="210"/>
        <v>3.3318891568661866</v>
      </c>
      <c r="AP484" s="244"/>
      <c r="AQ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</row>
    <row r="485" spans="1:62" ht="36" thickTop="1">
      <c r="A485" t="str">
        <f t="shared" si="204"/>
        <v/>
      </c>
      <c r="B485" s="7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6"/>
      <c r="W485" s="6"/>
      <c r="X485" s="6"/>
      <c r="Y485" s="6"/>
      <c r="Z485" s="82"/>
      <c r="AA485" s="13"/>
      <c r="AB485" s="13"/>
      <c r="AC485" s="82"/>
      <c r="AD485" s="13"/>
      <c r="AE485" s="13"/>
      <c r="AF485" s="374"/>
      <c r="AG485" s="13"/>
      <c r="AH485" s="13"/>
      <c r="AI485" s="13"/>
      <c r="AJ485" s="13"/>
      <c r="AK485" s="13"/>
      <c r="AL485" s="82"/>
      <c r="AM485" s="13"/>
      <c r="AN485" s="13"/>
      <c r="AO485" s="13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</row>
    <row r="486" spans="1:62" ht="35.4">
      <c r="A486" t="str">
        <f t="shared" si="204"/>
        <v>BMW Sherbrooke</v>
      </c>
      <c r="B486" s="7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6" t="str">
        <f>V403</f>
        <v>BMW Sherbrooke</v>
      </c>
      <c r="W486" s="6"/>
      <c r="X486" s="6"/>
      <c r="Y486" s="6"/>
      <c r="Z486" s="1"/>
      <c r="AA486" s="1"/>
      <c r="AB486" s="6"/>
      <c r="AC486" s="6"/>
      <c r="AD486" s="1"/>
      <c r="AE486" s="3" t="s">
        <v>181</v>
      </c>
      <c r="AF486" s="6"/>
      <c r="AG486" s="6"/>
      <c r="AH486" s="1"/>
      <c r="AI486" s="1"/>
      <c r="AJ486" s="253"/>
      <c r="AK486" s="2"/>
      <c r="AL486" s="1"/>
      <c r="AM486" s="6"/>
      <c r="AN486" s="6"/>
      <c r="AO486" s="5" t="str">
        <f>$S$1</f>
        <v>Réalisé  Q3 2026</v>
      </c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</row>
    <row r="487" spans="1:62" ht="35.25" hidden="1" customHeight="1" thickBot="1">
      <c r="A487" t="str">
        <f t="shared" si="204"/>
        <v/>
      </c>
      <c r="B487" s="7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4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</row>
    <row r="488" spans="1:62" ht="36" thickBot="1">
      <c r="A488" t="str">
        <f t="shared" si="204"/>
        <v/>
      </c>
      <c r="B488" s="7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4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</row>
    <row r="489" spans="1:62" ht="18.600000000000001" hidden="1" thickTop="1" thickBot="1">
      <c r="A489" t="str">
        <f t="shared" si="204"/>
        <v>BAIIA Corpo</v>
      </c>
      <c r="B489" s="7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441" t="s">
        <v>208</v>
      </c>
      <c r="W489" s="442"/>
      <c r="X489" s="443" t="s">
        <v>180</v>
      </c>
      <c r="Y489" s="444">
        <f>Z489/Z407</f>
        <v>3.9573864884582768E-2</v>
      </c>
      <c r="Z489" s="446">
        <f>+Z490+Z416</f>
        <v>560567.57868947531</v>
      </c>
      <c r="AA489" s="443"/>
      <c r="AB489" s="444"/>
      <c r="AC489" s="445"/>
      <c r="AD489" s="443" t="s">
        <v>180</v>
      </c>
      <c r="AE489" s="444">
        <f>AF489/AF407</f>
        <v>5.0244859195435913E-2</v>
      </c>
      <c r="AF489" s="446">
        <f>+AF490+AF416</f>
        <v>760768.17000000027</v>
      </c>
      <c r="AG489" s="447"/>
      <c r="AH489" s="446">
        <f>AF489-Z489</f>
        <v>200200.59131052496</v>
      </c>
      <c r="AI489" s="488">
        <f>AH489/Z489</f>
        <v>0.35713908353131046</v>
      </c>
      <c r="AJ489" s="443" t="s">
        <v>180</v>
      </c>
      <c r="AK489" s="444">
        <f>AL489/AL407</f>
        <v>2.3299805166319125E-2</v>
      </c>
      <c r="AL489" s="446">
        <f>+AL490+AL416</f>
        <v>231434.21999999904</v>
      </c>
      <c r="AM489" s="448"/>
      <c r="AN489" s="446">
        <f>AF489-AL489</f>
        <v>529333.95000000123</v>
      </c>
      <c r="AO489" s="449">
        <f>IF(AL489=0,0,AN489/AL489)</f>
        <v>2.2871896385936505</v>
      </c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</row>
    <row r="490" spans="1:62" ht="18.600000000000001" thickTop="1" thickBot="1">
      <c r="A490" t="str">
        <f t="shared" si="204"/>
        <v>BAIIA OPÉRATIONNEL</v>
      </c>
      <c r="B490" s="7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375" t="s">
        <v>179</v>
      </c>
      <c r="W490" s="376"/>
      <c r="X490" s="377" t="s">
        <v>180</v>
      </c>
      <c r="Y490" s="378">
        <f>Z490/Z407</f>
        <v>3.3234830001248598E-2</v>
      </c>
      <c r="Z490" s="379">
        <f>Z484</f>
        <v>470774.54366137233</v>
      </c>
      <c r="AA490" s="377" t="s">
        <v>180</v>
      </c>
      <c r="AB490" s="378" t="e">
        <f>AC490/AC407</f>
        <v>#DIV/0!</v>
      </c>
      <c r="AC490" s="379">
        <f>AC484</f>
        <v>0</v>
      </c>
      <c r="AD490" s="377" t="s">
        <v>180</v>
      </c>
      <c r="AE490" s="378">
        <f>AF490/AF407</f>
        <v>4.4185434273850903E-2</v>
      </c>
      <c r="AF490" s="379">
        <f>AF484</f>
        <v>669021.12000000023</v>
      </c>
      <c r="AG490" s="380"/>
      <c r="AH490" s="368">
        <f>AF490-Z490</f>
        <v>198246.5763386279</v>
      </c>
      <c r="AI490" s="481">
        <f>AH490/Z490</f>
        <v>0.42110725613325956</v>
      </c>
      <c r="AJ490" s="377" t="s">
        <v>180</v>
      </c>
      <c r="AK490" s="378" t="e">
        <f>IF($AL$406=0,0,AL490/$AL$406)</f>
        <v>#VALUE!</v>
      </c>
      <c r="AL490" s="381">
        <f>AL484</f>
        <v>154440.95999999903</v>
      </c>
      <c r="AM490" s="382"/>
      <c r="AN490" s="383">
        <f>AF490-AL490</f>
        <v>514580.1600000012</v>
      </c>
      <c r="AO490" s="384">
        <f>IF(AL490=0,0,AN490/AL490)</f>
        <v>3.3318891568661866</v>
      </c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</row>
    <row r="491" spans="1:62" ht="16.2" thickTop="1">
      <c r="A491" t="str">
        <f t="shared" si="204"/>
        <v/>
      </c>
      <c r="B491" s="7"/>
      <c r="C491" s="244"/>
      <c r="D491" s="244"/>
      <c r="E491" s="244"/>
      <c r="F491" s="308"/>
      <c r="G491" s="244"/>
      <c r="H491" s="244"/>
      <c r="I491" s="308"/>
      <c r="J491" s="244"/>
      <c r="K491" s="244"/>
      <c r="L491" s="244"/>
      <c r="M491" s="308"/>
      <c r="N491" s="244"/>
      <c r="O491" s="244"/>
      <c r="P491" s="244"/>
      <c r="Q491" s="308"/>
      <c r="R491" s="308"/>
      <c r="S491" s="308"/>
      <c r="T491" s="332"/>
      <c r="U491" s="332"/>
      <c r="V491" s="385"/>
      <c r="W491" s="244"/>
      <c r="X491" s="244"/>
      <c r="Y491" s="244"/>
      <c r="Z491" s="386"/>
      <c r="AA491" s="244"/>
      <c r="AB491" s="244"/>
      <c r="AC491" s="387"/>
      <c r="AD491" s="244"/>
      <c r="AE491" s="244"/>
      <c r="AF491" s="387"/>
      <c r="AG491" s="244"/>
      <c r="AH491" s="244"/>
      <c r="AI491" s="387"/>
      <c r="AJ491" s="244"/>
      <c r="AK491" s="244"/>
      <c r="AL491" s="388"/>
      <c r="AM491" s="389"/>
      <c r="AN491" s="244"/>
      <c r="AO491" s="390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</row>
    <row r="492" spans="1:62" ht="17.399999999999999">
      <c r="A492" t="str">
        <f t="shared" si="204"/>
        <v>Amortissement</v>
      </c>
      <c r="B492" s="7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102" t="s">
        <v>182</v>
      </c>
      <c r="W492" s="284"/>
      <c r="X492" s="277"/>
      <c r="Y492" s="285"/>
      <c r="Z492" s="278">
        <f>+SUM(START:END!Z492)</f>
        <v>12233.25</v>
      </c>
      <c r="AA492" s="277"/>
      <c r="AB492" s="285">
        <f t="shared" ref="AB492:AB496" si="215">IF(AC492=0,0,AC492/(G$13+G$97))</f>
        <v>0</v>
      </c>
      <c r="AC492" s="278">
        <f>+SUM(START:END!AC492)</f>
        <v>0</v>
      </c>
      <c r="AD492" s="277"/>
      <c r="AE492" s="285"/>
      <c r="AF492" s="278">
        <f>+SUM(START:END!AF492)</f>
        <v>12233.25</v>
      </c>
      <c r="AG492" s="277"/>
      <c r="AH492" s="280">
        <f t="shared" ref="AH492:AH499" si="216">AF492-Z492</f>
        <v>0</v>
      </c>
      <c r="AI492" s="304">
        <f t="shared" ref="AI492:AI498" si="217">IF(Z492=0,0,AH492/Z492)</f>
        <v>0</v>
      </c>
      <c r="AJ492" s="277"/>
      <c r="AK492" s="277"/>
      <c r="AL492" s="278">
        <f>+SUM(START:END!AL492)</f>
        <v>53900</v>
      </c>
      <c r="AM492" s="282"/>
      <c r="AN492" s="280">
        <f t="shared" ref="AN492:AN499" si="218">AF492-AL492</f>
        <v>-41666.75</v>
      </c>
      <c r="AO492" s="287">
        <f t="shared" ref="AO492:AO499" si="219">IF(AL492=0,0,AN492/AL492)</f>
        <v>-0.77303803339517629</v>
      </c>
      <c r="AP492" s="244"/>
      <c r="AQ492" s="494"/>
      <c r="AR492" s="308"/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</row>
    <row r="493" spans="1:62" ht="20.25" hidden="1" customHeight="1">
      <c r="A493" t="str">
        <f t="shared" si="204"/>
        <v>Intérêts sur marge</v>
      </c>
      <c r="B493" s="7"/>
      <c r="C493" s="244"/>
      <c r="D493" s="244"/>
      <c r="E493" s="244"/>
      <c r="F493" s="308"/>
      <c r="G493" s="244"/>
      <c r="H493" s="244"/>
      <c r="I493" s="308"/>
      <c r="J493" s="244"/>
      <c r="K493" s="244"/>
      <c r="L493" s="244"/>
      <c r="M493" s="308"/>
      <c r="N493" s="244"/>
      <c r="O493" s="244"/>
      <c r="P493" s="244"/>
      <c r="Q493" s="308"/>
      <c r="R493" s="308"/>
      <c r="S493" s="308"/>
      <c r="T493" s="244"/>
      <c r="U493" s="244"/>
      <c r="V493" s="102" t="s">
        <v>183</v>
      </c>
      <c r="W493" s="10"/>
      <c r="X493" s="10"/>
      <c r="Y493" s="10"/>
      <c r="Z493" s="278">
        <f>+SUM(START:END!Z493)</f>
        <v>0</v>
      </c>
      <c r="AA493" s="10"/>
      <c r="AB493" s="10">
        <f t="shared" si="215"/>
        <v>0</v>
      </c>
      <c r="AC493" s="278">
        <f>+SUM(START:END!AC493)</f>
        <v>0</v>
      </c>
      <c r="AD493" s="10"/>
      <c r="AE493" s="13"/>
      <c r="AF493" s="278">
        <f>+SUM(START:END!AF493)</f>
        <v>0</v>
      </c>
      <c r="AG493" s="10"/>
      <c r="AH493" s="280">
        <f t="shared" si="216"/>
        <v>0</v>
      </c>
      <c r="AI493" s="304">
        <f t="shared" si="217"/>
        <v>0</v>
      </c>
      <c r="AJ493" s="10"/>
      <c r="AK493" s="10"/>
      <c r="AL493" s="278">
        <f>+SUM(START:END!AL493)</f>
        <v>0</v>
      </c>
      <c r="AM493" s="391"/>
      <c r="AN493" s="280">
        <f t="shared" si="218"/>
        <v>0</v>
      </c>
      <c r="AO493" s="287">
        <f t="shared" si="219"/>
        <v>0</v>
      </c>
      <c r="AP493" s="244"/>
      <c r="AQ493" s="244"/>
      <c r="AR493" s="308"/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</row>
    <row r="494" spans="1:62" ht="22.5" hidden="1" customHeight="1">
      <c r="A494" t="str">
        <f t="shared" si="204"/>
        <v>Intérêts sur prêt</v>
      </c>
      <c r="B494" s="7"/>
      <c r="C494" s="244"/>
      <c r="D494" s="244"/>
      <c r="E494" s="244"/>
      <c r="F494" s="308"/>
      <c r="G494" s="244"/>
      <c r="H494" s="244"/>
      <c r="I494" s="308"/>
      <c r="J494" s="244"/>
      <c r="K494" s="244"/>
      <c r="L494" s="244"/>
      <c r="M494" s="308"/>
      <c r="N494" s="244"/>
      <c r="O494" s="244"/>
      <c r="P494" s="244"/>
      <c r="Q494" s="308"/>
      <c r="R494" s="308"/>
      <c r="S494" s="308"/>
      <c r="T494" s="244"/>
      <c r="U494" s="244"/>
      <c r="V494" s="102" t="s">
        <v>184</v>
      </c>
      <c r="W494" s="13"/>
      <c r="X494" s="13"/>
      <c r="Y494" s="13"/>
      <c r="Z494" s="278">
        <f>+SUM(START:END!Z494)</f>
        <v>0</v>
      </c>
      <c r="AA494" s="10"/>
      <c r="AB494" s="10">
        <f t="shared" si="215"/>
        <v>0</v>
      </c>
      <c r="AC494" s="278">
        <f>+SUM(START:END!AC494)</f>
        <v>0</v>
      </c>
      <c r="AD494" s="10"/>
      <c r="AE494" s="13"/>
      <c r="AF494" s="278">
        <f>+SUM(START:END!AF494)</f>
        <v>0</v>
      </c>
      <c r="AG494" s="10"/>
      <c r="AH494" s="280">
        <f t="shared" si="216"/>
        <v>0</v>
      </c>
      <c r="AI494" s="304">
        <f t="shared" si="217"/>
        <v>0</v>
      </c>
      <c r="AJ494" s="10"/>
      <c r="AK494" s="10"/>
      <c r="AL494" s="278">
        <f>+SUM(START:END!AL494)</f>
        <v>0</v>
      </c>
      <c r="AM494" s="391"/>
      <c r="AN494" s="280">
        <f t="shared" si="218"/>
        <v>0</v>
      </c>
      <c r="AO494" s="287">
        <f t="shared" si="219"/>
        <v>0</v>
      </c>
      <c r="AP494" s="244"/>
      <c r="AQ494" s="244"/>
      <c r="AR494" s="308"/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</row>
    <row r="495" spans="1:62" ht="20.25" hidden="1" customHeight="1">
      <c r="A495" t="str">
        <f t="shared" si="204"/>
        <v>Intérêts sur avance</v>
      </c>
      <c r="B495" s="7"/>
      <c r="C495" s="244"/>
      <c r="D495" s="244"/>
      <c r="E495" s="244"/>
      <c r="F495" s="308"/>
      <c r="G495" s="244"/>
      <c r="H495" s="244"/>
      <c r="I495" s="308"/>
      <c r="J495" s="244"/>
      <c r="K495" s="244"/>
      <c r="L495" s="244"/>
      <c r="M495" s="308"/>
      <c r="N495" s="244"/>
      <c r="O495" s="244"/>
      <c r="P495" s="244"/>
      <c r="Q495" s="308"/>
      <c r="R495" s="308"/>
      <c r="S495" s="308"/>
      <c r="T495" s="244"/>
      <c r="U495" s="244"/>
      <c r="V495" s="102" t="s">
        <v>185</v>
      </c>
      <c r="W495" s="13"/>
      <c r="X495" s="13"/>
      <c r="Y495" s="13"/>
      <c r="Z495" s="278">
        <f>+SUM(START:END!Z495)</f>
        <v>0</v>
      </c>
      <c r="AA495" s="10"/>
      <c r="AB495" s="10">
        <f t="shared" si="215"/>
        <v>0</v>
      </c>
      <c r="AC495" s="278">
        <f>+SUM(START:END!AC495)</f>
        <v>0</v>
      </c>
      <c r="AD495" s="10"/>
      <c r="AE495" s="13"/>
      <c r="AF495" s="278">
        <f>+SUM(START:END!AF495)</f>
        <v>0</v>
      </c>
      <c r="AG495" s="10"/>
      <c r="AH495" s="280">
        <f t="shared" si="216"/>
        <v>0</v>
      </c>
      <c r="AI495" s="304">
        <f t="shared" si="217"/>
        <v>0</v>
      </c>
      <c r="AJ495" s="10"/>
      <c r="AK495" s="10"/>
      <c r="AL495" s="278">
        <f>+SUM(START:END!AL495)</f>
        <v>0</v>
      </c>
      <c r="AM495" s="391"/>
      <c r="AN495" s="280">
        <f t="shared" si="218"/>
        <v>0</v>
      </c>
      <c r="AO495" s="287">
        <f t="shared" si="219"/>
        <v>0</v>
      </c>
      <c r="AP495" s="244"/>
      <c r="AQ495" s="244"/>
      <c r="AR495" s="308"/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</row>
    <row r="496" spans="1:62" ht="20.25" hidden="1" customHeight="1" thickBot="1">
      <c r="A496" t="str">
        <f t="shared" si="204"/>
        <v>[...]</v>
      </c>
      <c r="B496" s="7"/>
      <c r="C496" s="244"/>
      <c r="D496" s="244"/>
      <c r="E496" s="244"/>
      <c r="F496" s="308"/>
      <c r="G496" s="244"/>
      <c r="H496" s="244"/>
      <c r="I496" s="308"/>
      <c r="J496" s="244"/>
      <c r="K496" s="244"/>
      <c r="L496" s="244"/>
      <c r="M496" s="308"/>
      <c r="N496" s="244"/>
      <c r="O496" s="244"/>
      <c r="P496" s="244"/>
      <c r="Q496" s="308"/>
      <c r="R496" s="308"/>
      <c r="S496" s="308"/>
      <c r="T496" s="244"/>
      <c r="U496" s="244"/>
      <c r="V496" s="102" t="s">
        <v>19</v>
      </c>
      <c r="W496" s="13"/>
      <c r="X496" s="13"/>
      <c r="Y496" s="13"/>
      <c r="Z496" s="280">
        <f>+SUM(START:END!Z496)</f>
        <v>0</v>
      </c>
      <c r="AA496" s="277"/>
      <c r="AB496" s="277">
        <f t="shared" si="215"/>
        <v>0</v>
      </c>
      <c r="AC496" s="280">
        <f>+SUM(START:END!AC496)</f>
        <v>0</v>
      </c>
      <c r="AD496" s="286"/>
      <c r="AE496" s="285"/>
      <c r="AF496" s="278">
        <f>+SUM(START:END!AF496)</f>
        <v>0</v>
      </c>
      <c r="AG496" s="279"/>
      <c r="AH496" s="280">
        <f t="shared" si="216"/>
        <v>0</v>
      </c>
      <c r="AI496" s="281">
        <f t="shared" si="217"/>
        <v>0</v>
      </c>
      <c r="AJ496" s="286"/>
      <c r="AK496" s="277"/>
      <c r="AL496" s="278">
        <f>+SUM(START:END!AL496)</f>
        <v>0</v>
      </c>
      <c r="AM496" s="391"/>
      <c r="AN496" s="280">
        <f t="shared" si="218"/>
        <v>0</v>
      </c>
      <c r="AO496" s="287">
        <f t="shared" si="219"/>
        <v>0</v>
      </c>
      <c r="AP496" s="244"/>
      <c r="AQ496" s="244"/>
      <c r="AR496" s="308"/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</row>
    <row r="497" spans="1:62" ht="21" thickBot="1">
      <c r="A497" t="str">
        <f t="shared" si="204"/>
        <v>Revenus d'intérêts Floor plan</v>
      </c>
      <c r="B497" s="7"/>
      <c r="C497" s="244"/>
      <c r="D497" s="244"/>
      <c r="E497" s="244"/>
      <c r="F497" s="308"/>
      <c r="G497" s="244"/>
      <c r="H497" s="244"/>
      <c r="I497" s="308"/>
      <c r="J497" s="244"/>
      <c r="K497" s="244"/>
      <c r="L497" s="244"/>
      <c r="M497" s="308"/>
      <c r="N497" s="244"/>
      <c r="O497" s="244"/>
      <c r="P497" s="244"/>
      <c r="Q497" s="308"/>
      <c r="R497" s="308"/>
      <c r="S497" s="308"/>
      <c r="T497" s="244"/>
      <c r="U497" s="244"/>
      <c r="V497" s="102" t="s">
        <v>207</v>
      </c>
      <c r="W497" s="13"/>
      <c r="X497" s="13"/>
      <c r="Y497" s="13"/>
      <c r="Z497" s="280">
        <f>+SUM(START:END!Z497)</f>
        <v>0</v>
      </c>
      <c r="AA497" s="277"/>
      <c r="AB497" s="277">
        <f>IF(AC497=0,0,AC497/(G$13+G$97))</f>
        <v>0</v>
      </c>
      <c r="AC497" s="280">
        <f>+SUM(START:END!AC497)</f>
        <v>0</v>
      </c>
      <c r="AD497" s="286"/>
      <c r="AE497" s="285"/>
      <c r="AF497" s="278">
        <f>+SUM(START:END!AF497)</f>
        <v>-10795.9</v>
      </c>
      <c r="AG497" s="279"/>
      <c r="AH497" s="280">
        <f t="shared" si="216"/>
        <v>-10795.9</v>
      </c>
      <c r="AI497" s="281">
        <f t="shared" si="217"/>
        <v>0</v>
      </c>
      <c r="AJ497" s="286"/>
      <c r="AK497" s="277"/>
      <c r="AL497" s="278">
        <f>+SUM(START:END!AL497)</f>
        <v>-7812.46</v>
      </c>
      <c r="AM497" s="391"/>
      <c r="AN497" s="280">
        <f t="shared" si="218"/>
        <v>-2983.4399999999996</v>
      </c>
      <c r="AO497" s="287">
        <f t="shared" si="219"/>
        <v>0.38188227523724916</v>
      </c>
      <c r="AP497" s="244"/>
      <c r="AQ497" s="308"/>
      <c r="AR497" s="308"/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</row>
    <row r="498" spans="1:62" ht="21" hidden="1" customHeight="1" thickTop="1" thickBot="1">
      <c r="A498" t="str">
        <f t="shared" si="204"/>
        <v>[...]</v>
      </c>
      <c r="B498" s="7"/>
      <c r="C498" s="244"/>
      <c r="D498" s="244"/>
      <c r="E498" s="244"/>
      <c r="F498" s="308"/>
      <c r="G498" s="244"/>
      <c r="H498" s="244"/>
      <c r="I498" s="308"/>
      <c r="J498" s="244"/>
      <c r="K498" s="244"/>
      <c r="L498" s="244"/>
      <c r="M498" s="308"/>
      <c r="N498" s="244"/>
      <c r="O498" s="244"/>
      <c r="P498" s="244"/>
      <c r="Q498" s="308"/>
      <c r="R498" s="308"/>
      <c r="S498" s="308"/>
      <c r="T498" s="244"/>
      <c r="U498" s="244"/>
      <c r="V498" s="102" t="s">
        <v>19</v>
      </c>
      <c r="W498" s="13"/>
      <c r="X498" s="244"/>
      <c r="Y498" s="13"/>
      <c r="Z498" s="280">
        <f>+SUM(START:END!Z498)</f>
        <v>0</v>
      </c>
      <c r="AA498" s="277"/>
      <c r="AB498" s="277">
        <f t="shared" ref="AB498" si="220">IF(AC498=0,0,AC498/(G$13+G$97))</f>
        <v>0</v>
      </c>
      <c r="AC498" s="280">
        <f>+SUM(START:END!AC498)</f>
        <v>0</v>
      </c>
      <c r="AD498" s="286"/>
      <c r="AE498" s="285">
        <f>IF(AF498=0,0,AF498/(J$13+J$97))</f>
        <v>0</v>
      </c>
      <c r="AF498" s="278">
        <f>+SUM(START:END!AF498)</f>
        <v>0</v>
      </c>
      <c r="AG498" s="279"/>
      <c r="AH498" s="280">
        <f t="shared" si="216"/>
        <v>0</v>
      </c>
      <c r="AI498" s="281">
        <f t="shared" si="217"/>
        <v>0</v>
      </c>
      <c r="AJ498" s="286"/>
      <c r="AK498" s="277">
        <f>AL498/(O$13+O$97)</f>
        <v>0</v>
      </c>
      <c r="AL498" s="278">
        <f>+SUM(START:END!AL498)</f>
        <v>0</v>
      </c>
      <c r="AM498" s="391"/>
      <c r="AN498" s="280">
        <f t="shared" si="218"/>
        <v>0</v>
      </c>
      <c r="AO498" s="287">
        <f t="shared" si="219"/>
        <v>0</v>
      </c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</row>
    <row r="499" spans="1:62" ht="18.600000000000001" thickTop="1" thickBot="1">
      <c r="A499" t="str">
        <f t="shared" si="204"/>
        <v>Profit Net</v>
      </c>
      <c r="B499" s="7"/>
      <c r="C499" s="244"/>
      <c r="D499" s="244"/>
      <c r="E499" s="244"/>
      <c r="F499" s="308"/>
      <c r="G499" s="244"/>
      <c r="H499" s="244"/>
      <c r="I499" s="308"/>
      <c r="J499" s="244"/>
      <c r="K499" s="244"/>
      <c r="L499" s="244"/>
      <c r="M499" s="308"/>
      <c r="N499" s="244"/>
      <c r="O499" s="244"/>
      <c r="P499" s="244"/>
      <c r="Q499" s="308"/>
      <c r="R499" s="308"/>
      <c r="S499" s="308"/>
      <c r="T499" s="244"/>
      <c r="U499" s="244"/>
      <c r="V499" s="363" t="s">
        <v>186</v>
      </c>
      <c r="W499" s="364"/>
      <c r="X499" s="365" t="s">
        <v>180</v>
      </c>
      <c r="Y499" s="366">
        <f>Z499/Z407</f>
        <v>3.2371210696451991E-2</v>
      </c>
      <c r="Z499" s="367">
        <f>Z490-Z492-Z493-Z494-Z498-Z497-Z495-Z496</f>
        <v>458541.29366137233</v>
      </c>
      <c r="AA499" s="365"/>
      <c r="AB499" s="366"/>
      <c r="AC499" s="367"/>
      <c r="AD499" s="365" t="s">
        <v>180</v>
      </c>
      <c r="AE499" s="366">
        <f>AF499/AF407</f>
        <v>4.4090504634030983E-2</v>
      </c>
      <c r="AF499" s="368">
        <f>AF490-AF492-AF493-AF494-AF498-AF497-AF495-AF496</f>
        <v>667583.77000000025</v>
      </c>
      <c r="AG499" s="369"/>
      <c r="AH499" s="368">
        <f t="shared" si="216"/>
        <v>209042.47633862792</v>
      </c>
      <c r="AI499" s="481">
        <f>AH499/Z499</f>
        <v>0.45588582583143206</v>
      </c>
      <c r="AJ499" s="371" t="s">
        <v>180</v>
      </c>
      <c r="AK499" s="366">
        <f>IF($AL$407=0,0,AL499/$AL$407)</f>
        <v>1.0908557840341563E-2</v>
      </c>
      <c r="AL499" s="368">
        <f>AL490-AL492-AL493-AL494-AL498-AL497-AL495-AL496</f>
        <v>108353.41999999904</v>
      </c>
      <c r="AM499" s="372"/>
      <c r="AN499" s="368">
        <f t="shared" si="218"/>
        <v>559230.35000000126</v>
      </c>
      <c r="AO499" s="392">
        <f t="shared" si="219"/>
        <v>5.1611693474927343</v>
      </c>
      <c r="AP499" s="308"/>
      <c r="AQ499" s="244"/>
      <c r="AR499" s="244"/>
      <c r="AS499" s="308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</row>
    <row r="500" spans="1:62" ht="16.2" thickTop="1">
      <c r="A500" t="str">
        <f t="shared" si="204"/>
        <v/>
      </c>
      <c r="B500" s="7"/>
      <c r="C500" s="244"/>
      <c r="D500" s="244"/>
      <c r="E500" s="244"/>
      <c r="F500" s="308"/>
      <c r="G500" s="244"/>
      <c r="H500" s="244"/>
      <c r="I500" s="308"/>
      <c r="J500" s="244"/>
      <c r="K500" s="244"/>
      <c r="L500" s="244"/>
      <c r="M500" s="308"/>
      <c r="N500" s="244"/>
      <c r="O500" s="244"/>
      <c r="P500" s="244"/>
      <c r="Q500" s="308"/>
      <c r="R500" s="308"/>
      <c r="S500" s="308"/>
      <c r="T500" s="244"/>
      <c r="U500" s="244"/>
      <c r="V500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</row>
    <row r="501" spans="1:62" ht="15.75" customHeight="1" outlineLevel="1">
      <c r="B501" s="7"/>
      <c r="C501" s="244"/>
      <c r="D501" s="244"/>
      <c r="E501" s="244"/>
      <c r="F501" s="308"/>
      <c r="G501" s="244"/>
      <c r="H501" s="244"/>
      <c r="I501" s="308"/>
      <c r="J501" s="244"/>
      <c r="K501" s="244"/>
      <c r="L501" s="244"/>
      <c r="M501" s="308"/>
      <c r="N501" s="244"/>
      <c r="O501" s="244"/>
      <c r="P501" s="244"/>
      <c r="Q501" s="308"/>
      <c r="R501" s="308"/>
      <c r="S501" s="308"/>
      <c r="T501" s="244"/>
      <c r="U501" s="244"/>
      <c r="V501" s="244"/>
      <c r="W501" s="244"/>
      <c r="X501" s="244"/>
      <c r="Y501" s="244"/>
      <c r="Z501" s="244"/>
      <c r="AA501" s="244"/>
      <c r="AB501" s="244"/>
      <c r="AC501" s="244"/>
      <c r="AD501" s="244"/>
      <c r="AE501" s="393"/>
      <c r="AF501" s="244"/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</row>
    <row r="502" spans="1:62" ht="15.75" customHeight="1" outlineLevel="1" thickBot="1">
      <c r="B502" s="7"/>
      <c r="C502" s="244"/>
      <c r="D502" s="244"/>
      <c r="E502" s="244"/>
      <c r="F502" s="308"/>
      <c r="G502" s="244"/>
      <c r="H502" s="244"/>
      <c r="I502" s="308"/>
      <c r="J502" s="244"/>
      <c r="K502" s="244"/>
      <c r="L502" s="244"/>
      <c r="M502" s="308"/>
      <c r="N502" s="244"/>
      <c r="O502" s="244"/>
      <c r="P502" s="244"/>
      <c r="Q502" s="308"/>
      <c r="R502" s="308"/>
      <c r="S502" s="308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393"/>
      <c r="AF502" s="39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</row>
    <row r="503" spans="1:62" ht="15.75" customHeight="1" outlineLevel="1" thickTop="1" thickBot="1">
      <c r="B503" s="7"/>
      <c r="C503" s="244"/>
      <c r="D503" s="244"/>
      <c r="E503" s="244"/>
      <c r="F503" s="308"/>
      <c r="G503" s="244"/>
      <c r="H503" s="244"/>
      <c r="I503" s="308"/>
      <c r="J503" s="244"/>
      <c r="K503" s="244"/>
      <c r="L503" s="244"/>
      <c r="M503" s="308"/>
      <c r="N503" s="244"/>
      <c r="O503" s="244"/>
      <c r="P503" s="244"/>
      <c r="Q503" s="308"/>
      <c r="R503" s="308"/>
      <c r="S503" s="308"/>
      <c r="T503" s="244"/>
      <c r="U503" s="244"/>
      <c r="V503" s="363"/>
      <c r="W503" s="364"/>
      <c r="X503" s="365"/>
      <c r="Y503" s="366"/>
      <c r="Z503" s="367"/>
      <c r="AA503" s="365"/>
      <c r="AB503" s="366"/>
      <c r="AC503" s="367"/>
      <c r="AD503" s="365"/>
      <c r="AE503" s="366"/>
      <c r="AF503" s="368"/>
      <c r="AG503" s="369"/>
      <c r="AH503" s="369"/>
      <c r="AI503" s="370"/>
      <c r="AJ503" s="371"/>
      <c r="AK503" s="366"/>
      <c r="AL503" s="368"/>
      <c r="AM503" s="372"/>
      <c r="AN503" s="368"/>
      <c r="AO503" s="392"/>
      <c r="AP503" s="244"/>
      <c r="AQ503" s="244"/>
      <c r="AR503" s="308"/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</row>
    <row r="504" spans="1:62" ht="17.399999999999999" thickTop="1">
      <c r="B504" s="7"/>
      <c r="C504" s="244"/>
      <c r="D504" s="244"/>
      <c r="E504" s="244"/>
      <c r="F504" s="308"/>
      <c r="G504" s="244"/>
      <c r="H504" s="244"/>
      <c r="I504" s="308"/>
      <c r="J504" s="244"/>
      <c r="K504" s="244"/>
      <c r="L504" s="244"/>
      <c r="M504" s="308"/>
      <c r="N504" s="244"/>
      <c r="O504" s="244"/>
      <c r="P504" s="244"/>
      <c r="Q504" s="308"/>
      <c r="R504" s="308"/>
      <c r="S504" s="308"/>
      <c r="T504" s="244"/>
      <c r="U504" s="244"/>
      <c r="W504" s="244"/>
      <c r="X504" s="244"/>
      <c r="Y504" s="244"/>
      <c r="Z504" s="244"/>
      <c r="AA504" s="244"/>
      <c r="AB504" s="244"/>
      <c r="AC504" s="244"/>
      <c r="AD504" s="244"/>
      <c r="AE504" s="393"/>
      <c r="AF504" s="394"/>
      <c r="AG504" s="244"/>
      <c r="AH504" s="308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</row>
    <row r="505" spans="1:62" ht="17.399999999999999">
      <c r="B505" s="7"/>
      <c r="C505" s="244"/>
      <c r="D505" s="244"/>
      <c r="E505" s="244"/>
      <c r="F505" s="308"/>
      <c r="G505" s="244"/>
      <c r="H505" s="244"/>
      <c r="I505" s="308"/>
      <c r="J505" s="244"/>
      <c r="K505" s="244"/>
      <c r="L505" s="244"/>
      <c r="M505" s="308"/>
      <c r="N505" s="244"/>
      <c r="O505" s="244"/>
      <c r="P505" s="244"/>
      <c r="Q505" s="308"/>
      <c r="R505" s="308"/>
      <c r="S505" s="308"/>
      <c r="T505" s="244"/>
      <c r="U505" s="244"/>
      <c r="W505" s="244"/>
      <c r="X505" s="244"/>
      <c r="Y505" s="244"/>
      <c r="Z505" s="308"/>
      <c r="AA505" s="244"/>
      <c r="AB505" s="244"/>
      <c r="AC505" s="244"/>
      <c r="AD505" s="244"/>
      <c r="AE505" s="244"/>
      <c r="AF505" s="482"/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</row>
    <row r="506" spans="1:62" ht="16.8">
      <c r="B506" s="7"/>
      <c r="C506" s="244"/>
      <c r="D506" s="244"/>
      <c r="E506" s="244"/>
      <c r="F506" s="308"/>
      <c r="G506" s="244"/>
      <c r="H506" s="244"/>
      <c r="I506" s="308"/>
      <c r="J506" s="244"/>
      <c r="K506" s="244"/>
      <c r="L506" s="244"/>
      <c r="M506" s="308"/>
      <c r="N506" s="244"/>
      <c r="O506" s="244"/>
      <c r="P506" s="244"/>
      <c r="Q506" s="308"/>
      <c r="R506" s="308"/>
      <c r="S506" s="308"/>
      <c r="T506" s="332"/>
      <c r="U506" s="332"/>
      <c r="W506" s="244"/>
      <c r="X506" s="244"/>
      <c r="Y506" s="244"/>
      <c r="Z506" s="308"/>
      <c r="AA506" s="244"/>
      <c r="AB506" s="244"/>
      <c r="AC506" s="244"/>
      <c r="AD506" s="244"/>
      <c r="AE506" s="244"/>
      <c r="AF506" s="308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</row>
    <row r="507" spans="1:62" ht="17.399999999999999">
      <c r="B507" s="7"/>
      <c r="C507" s="244"/>
      <c r="D507" s="244"/>
      <c r="E507" s="244"/>
      <c r="F507" s="308"/>
      <c r="G507" s="244"/>
      <c r="H507" s="244"/>
      <c r="I507" s="308"/>
      <c r="J507" s="244"/>
      <c r="K507" s="244"/>
      <c r="L507" s="244"/>
      <c r="M507" s="308"/>
      <c r="N507" s="244"/>
      <c r="O507" s="244"/>
      <c r="P507" s="244"/>
      <c r="Q507" s="308"/>
      <c r="R507" s="308"/>
      <c r="S507" s="308"/>
      <c r="T507" s="332"/>
      <c r="U507" s="332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496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</row>
    <row r="508" spans="1:62" ht="17.399999999999999">
      <c r="B508" s="7"/>
      <c r="C508" s="244"/>
      <c r="D508" s="244"/>
      <c r="E508" s="244"/>
      <c r="F508" s="308"/>
      <c r="G508" s="244"/>
      <c r="H508" s="244"/>
      <c r="I508" s="308"/>
      <c r="J508" s="244"/>
      <c r="K508" s="244"/>
      <c r="L508" s="244"/>
      <c r="M508" s="308"/>
      <c r="N508" s="244"/>
      <c r="O508" s="244"/>
      <c r="P508" s="244"/>
      <c r="Q508" s="308"/>
      <c r="R508" s="308"/>
      <c r="S508" s="308"/>
      <c r="T508" s="332"/>
      <c r="U508" s="332"/>
      <c r="W508" s="244"/>
      <c r="X508" s="244"/>
      <c r="Y508" s="244"/>
      <c r="Z508" s="244"/>
      <c r="AA508" s="244"/>
      <c r="AB508" s="244"/>
      <c r="AC508" s="244"/>
      <c r="AD508" s="244"/>
      <c r="AE508" s="244"/>
      <c r="AF508" s="496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</row>
    <row r="509" spans="1:62" ht="17.399999999999999">
      <c r="B509" s="7"/>
      <c r="C509" s="244"/>
      <c r="D509" s="244"/>
      <c r="E509" s="244"/>
      <c r="F509" s="308"/>
      <c r="G509" s="244"/>
      <c r="H509" s="244"/>
      <c r="I509" s="308"/>
      <c r="J509" s="244"/>
      <c r="K509" s="244"/>
      <c r="L509" s="244"/>
      <c r="M509" s="308"/>
      <c r="N509" s="244"/>
      <c r="O509" s="244"/>
      <c r="P509" s="244"/>
      <c r="Q509" s="308"/>
      <c r="R509" s="308"/>
      <c r="S509" s="308"/>
      <c r="T509" s="332"/>
      <c r="U509" s="332"/>
      <c r="W509" s="244"/>
      <c r="X509" s="244"/>
      <c r="Y509" s="244"/>
      <c r="Z509" s="244"/>
      <c r="AA509" s="244"/>
      <c r="AB509" s="244"/>
      <c r="AC509" s="244"/>
      <c r="AD509" s="244"/>
      <c r="AE509" s="244"/>
      <c r="AF509" s="496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</row>
    <row r="510" spans="1:62" ht="17.399999999999999">
      <c r="B510" s="7"/>
      <c r="C510" s="244"/>
      <c r="D510" s="244"/>
      <c r="E510" s="244"/>
      <c r="F510" s="308"/>
      <c r="G510" s="244"/>
      <c r="H510" s="244"/>
      <c r="I510" s="308"/>
      <c r="J510" s="244"/>
      <c r="K510" s="244"/>
      <c r="L510" s="244"/>
      <c r="M510" s="308"/>
      <c r="N510" s="244"/>
      <c r="O510" s="244"/>
      <c r="P510" s="244"/>
      <c r="Q510" s="308"/>
      <c r="R510" s="308"/>
      <c r="S510" s="308"/>
      <c r="T510" s="332"/>
      <c r="U510" s="332"/>
      <c r="W510" s="244"/>
      <c r="X510" s="244"/>
      <c r="Y510" s="244"/>
      <c r="Z510" s="244"/>
      <c r="AA510" s="244"/>
      <c r="AB510" s="244"/>
      <c r="AC510" s="244"/>
      <c r="AD510" s="244"/>
      <c r="AE510" s="244"/>
      <c r="AF510" s="496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</row>
    <row r="511" spans="1:62" ht="17.399999999999999">
      <c r="B511" s="7"/>
      <c r="C511" s="244"/>
      <c r="D511" s="244"/>
      <c r="E511" s="244"/>
      <c r="F511" s="308"/>
      <c r="G511" s="244"/>
      <c r="H511" s="244"/>
      <c r="I511" s="308"/>
      <c r="J511" s="244"/>
      <c r="K511" s="244"/>
      <c r="L511" s="244"/>
      <c r="M511" s="308"/>
      <c r="N511" s="244"/>
      <c r="O511" s="244"/>
      <c r="P511" s="244"/>
      <c r="Q511" s="308"/>
      <c r="R511" s="308"/>
      <c r="S511" s="308"/>
      <c r="T511" s="332"/>
      <c r="U511" s="332"/>
      <c r="W511" s="244"/>
      <c r="X511" s="244"/>
      <c r="Y511" s="244"/>
      <c r="Z511" s="244"/>
      <c r="AA511" s="244"/>
      <c r="AB511" s="244"/>
      <c r="AC511" s="244"/>
      <c r="AD511" s="244"/>
      <c r="AE511" s="244"/>
      <c r="AF511" s="496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</row>
    <row r="512" spans="1:62" ht="17.399999999999999">
      <c r="B512" s="7"/>
      <c r="C512" s="244"/>
      <c r="D512" s="244"/>
      <c r="E512" s="244"/>
      <c r="F512" s="308"/>
      <c r="G512" s="244"/>
      <c r="H512" s="244"/>
      <c r="I512" s="308"/>
      <c r="J512" s="244"/>
      <c r="K512" s="244"/>
      <c r="L512" s="244"/>
      <c r="M512" s="308"/>
      <c r="N512" s="244"/>
      <c r="O512" s="244"/>
      <c r="P512" s="244"/>
      <c r="Q512" s="308"/>
      <c r="R512" s="308"/>
      <c r="S512" s="308"/>
      <c r="T512" s="332"/>
      <c r="U512" s="332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497"/>
      <c r="AG512" s="308"/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</row>
    <row r="513" spans="2:62" ht="16.8">
      <c r="B513" s="7"/>
      <c r="C513" s="244"/>
      <c r="D513" s="244"/>
      <c r="E513" s="244"/>
      <c r="F513" s="308"/>
      <c r="G513" s="244"/>
      <c r="H513" s="244"/>
      <c r="I513" s="308"/>
      <c r="J513" s="244"/>
      <c r="K513" s="244"/>
      <c r="L513" s="244"/>
      <c r="M513" s="308"/>
      <c r="N513" s="244"/>
      <c r="O513" s="244"/>
      <c r="P513" s="244"/>
      <c r="Q513" s="308"/>
      <c r="R513" s="308"/>
      <c r="S513" s="308"/>
      <c r="T513" s="332"/>
      <c r="U513" s="332"/>
      <c r="W513" s="332"/>
      <c r="X513" s="332"/>
      <c r="Y513" s="244"/>
      <c r="Z513" s="244"/>
      <c r="AA513" s="244"/>
      <c r="AB513" s="244"/>
      <c r="AC513" s="244"/>
      <c r="AD513" s="244"/>
      <c r="AE513" s="244"/>
      <c r="AF513" s="308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</row>
    <row r="514" spans="2:62" ht="16.8">
      <c r="B514" s="7"/>
      <c r="C514" s="244"/>
      <c r="D514" s="244"/>
      <c r="E514" s="244"/>
      <c r="F514" s="308"/>
      <c r="G514" s="244"/>
      <c r="H514" s="244"/>
      <c r="I514" s="308"/>
      <c r="J514" s="244"/>
      <c r="K514" s="244"/>
      <c r="L514" s="244"/>
      <c r="M514" s="308"/>
      <c r="N514" s="244"/>
      <c r="O514" s="244"/>
      <c r="P514" s="244"/>
      <c r="Q514" s="308"/>
      <c r="R514" s="308"/>
      <c r="S514" s="308"/>
      <c r="T514" s="332"/>
      <c r="U514" s="332"/>
      <c r="W514" s="332"/>
      <c r="X514" s="332"/>
      <c r="Y514" s="244"/>
      <c r="Z514" s="244"/>
      <c r="AA514" s="244"/>
      <c r="AB514" s="244"/>
      <c r="AC514" s="244"/>
      <c r="AD514" s="244"/>
      <c r="AE514" s="244"/>
      <c r="AF514" s="308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</row>
    <row r="515" spans="2:62" ht="16.8">
      <c r="B515" s="7"/>
      <c r="C515" s="244"/>
      <c r="D515" s="244"/>
      <c r="E515" s="244"/>
      <c r="F515" s="308"/>
      <c r="G515" s="244"/>
      <c r="H515" s="244"/>
      <c r="I515" s="308"/>
      <c r="J515" s="244"/>
      <c r="K515" s="244"/>
      <c r="L515" s="244"/>
      <c r="M515" s="308"/>
      <c r="N515" s="244"/>
      <c r="O515" s="244"/>
      <c r="P515" s="244"/>
      <c r="Q515" s="308"/>
      <c r="R515" s="308"/>
      <c r="S515" s="308"/>
      <c r="T515" s="332"/>
      <c r="U515" s="332"/>
      <c r="W515" s="332"/>
      <c r="X515" s="332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</row>
    <row r="516" spans="2:62" ht="16.8">
      <c r="B516" s="7"/>
      <c r="C516" s="244"/>
      <c r="D516" s="244"/>
      <c r="E516" s="244"/>
      <c r="F516" s="308"/>
      <c r="G516" s="244"/>
      <c r="H516" s="244"/>
      <c r="I516" s="308"/>
      <c r="J516" s="244"/>
      <c r="K516" s="244"/>
      <c r="L516" s="244"/>
      <c r="M516" s="308"/>
      <c r="N516" s="244"/>
      <c r="O516" s="244"/>
      <c r="P516" s="244"/>
      <c r="Q516" s="308"/>
      <c r="R516" s="308"/>
      <c r="S516" s="308"/>
      <c r="T516" s="332"/>
      <c r="U516" s="332"/>
      <c r="W516" s="332"/>
      <c r="X516" s="332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</row>
    <row r="517" spans="2:62" ht="16.8">
      <c r="B517" s="7"/>
      <c r="C517" s="244"/>
      <c r="D517" s="244"/>
      <c r="E517" s="244"/>
      <c r="F517" s="308"/>
      <c r="G517" s="244"/>
      <c r="H517" s="244"/>
      <c r="I517" s="308"/>
      <c r="J517" s="244"/>
      <c r="K517" s="244"/>
      <c r="L517" s="244"/>
      <c r="M517" s="308"/>
      <c r="N517" s="244"/>
      <c r="O517" s="244"/>
      <c r="P517" s="244"/>
      <c r="Q517" s="308"/>
      <c r="R517" s="308"/>
      <c r="S517" s="308"/>
      <c r="T517" s="332"/>
      <c r="U517" s="332"/>
      <c r="W517" s="332"/>
      <c r="X517" s="332"/>
      <c r="Y517" s="244"/>
      <c r="Z517" s="244"/>
      <c r="AA517" s="244"/>
      <c r="AB517" s="244"/>
      <c r="AC517" s="244"/>
      <c r="AD517" s="244"/>
      <c r="AE517" s="244"/>
      <c r="AF517" s="308"/>
      <c r="AG517" s="308"/>
      <c r="AH517" s="308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</row>
    <row r="518" spans="2:62" ht="16.8">
      <c r="B518" s="7"/>
      <c r="C518" s="244"/>
      <c r="D518" s="244"/>
      <c r="E518" s="244"/>
      <c r="F518" s="308"/>
      <c r="G518" s="244"/>
      <c r="H518" s="244"/>
      <c r="I518" s="308"/>
      <c r="J518" s="244"/>
      <c r="K518" s="244"/>
      <c r="L518" s="244"/>
      <c r="M518" s="308"/>
      <c r="N518" s="244"/>
      <c r="O518" s="244"/>
      <c r="P518" s="244"/>
      <c r="Q518" s="308"/>
      <c r="R518" s="308"/>
      <c r="S518" s="308"/>
      <c r="T518" s="332"/>
      <c r="U518" s="332"/>
      <c r="W518" s="332"/>
      <c r="X518" s="332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</row>
    <row r="519" spans="2:62" ht="16.8">
      <c r="B519" s="7"/>
      <c r="C519" s="395"/>
      <c r="D519" s="332"/>
      <c r="E519" s="332"/>
      <c r="F519" s="396"/>
      <c r="G519" s="332"/>
      <c r="H519" s="332"/>
      <c r="I519" s="396"/>
      <c r="J519" s="332"/>
      <c r="K519" s="332"/>
      <c r="L519" s="332"/>
      <c r="M519" s="396"/>
      <c r="N519" s="332"/>
      <c r="O519" s="332"/>
      <c r="P519" s="332"/>
      <c r="Q519" s="396"/>
      <c r="R519" s="396"/>
      <c r="S519" s="396"/>
      <c r="T519" s="332"/>
      <c r="U519" s="332"/>
      <c r="W519" s="332"/>
      <c r="X519" s="332"/>
      <c r="Y519" s="244"/>
      <c r="Z519" s="244"/>
      <c r="AA519" s="244"/>
      <c r="AB519" s="244"/>
      <c r="AC519" s="244"/>
      <c r="AD519" s="244"/>
      <c r="AE519" s="244"/>
      <c r="AF519" s="308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</row>
    <row r="520" spans="2:62" ht="16.8">
      <c r="B520" s="7"/>
      <c r="C520" s="397"/>
      <c r="D520" s="332"/>
      <c r="E520" s="332"/>
      <c r="F520" s="396"/>
      <c r="G520" s="332"/>
      <c r="H520" s="332"/>
      <c r="I520" s="396"/>
      <c r="J520" s="332"/>
      <c r="K520" s="332"/>
      <c r="L520" s="332"/>
      <c r="M520" s="396"/>
      <c r="N520" s="332"/>
      <c r="O520" s="332"/>
      <c r="P520" s="332"/>
      <c r="Q520" s="396"/>
      <c r="R520" s="396"/>
      <c r="S520" s="396"/>
      <c r="T520" s="332"/>
      <c r="U520" s="332"/>
      <c r="W520" s="332"/>
      <c r="X520" s="332"/>
      <c r="Y520" s="244"/>
      <c r="Z520" s="244"/>
      <c r="AA520" s="244"/>
      <c r="AB520" s="244"/>
      <c r="AC520" s="244"/>
      <c r="AD520" s="244"/>
      <c r="AE520" s="244"/>
      <c r="AF520" s="308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</row>
    <row r="521" spans="2:62" ht="16.8">
      <c r="B521" s="7"/>
      <c r="C521" s="332"/>
      <c r="D521" s="332"/>
      <c r="E521" s="332"/>
      <c r="F521" s="396"/>
      <c r="G521" s="332"/>
      <c r="H521" s="332"/>
      <c r="I521" s="396"/>
      <c r="J521" s="332"/>
      <c r="K521" s="332"/>
      <c r="L521" s="332"/>
      <c r="M521" s="396"/>
      <c r="N521" s="332"/>
      <c r="O521" s="332"/>
      <c r="P521" s="332"/>
      <c r="Q521" s="396"/>
      <c r="R521" s="396"/>
      <c r="S521" s="396"/>
      <c r="T521" s="332"/>
      <c r="U521" s="332"/>
      <c r="W521" s="332"/>
      <c r="X521" s="332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</row>
    <row r="522" spans="2:62" ht="16.8">
      <c r="B522" s="7"/>
      <c r="C522" s="332"/>
      <c r="D522" s="332"/>
      <c r="E522" s="332"/>
      <c r="F522" s="332"/>
      <c r="G522" s="332"/>
      <c r="H522" s="332"/>
      <c r="I522" s="332"/>
      <c r="J522" s="395"/>
      <c r="K522" s="395"/>
      <c r="L522" s="395"/>
      <c r="M522" s="396"/>
      <c r="N522" s="332"/>
      <c r="O522" s="332"/>
      <c r="P522" s="332"/>
      <c r="Q522" s="332"/>
      <c r="R522" s="332"/>
      <c r="S522" s="396"/>
      <c r="T522" s="332"/>
      <c r="U522" s="332"/>
      <c r="W522" s="332"/>
      <c r="X522" s="332"/>
      <c r="Y522" s="244"/>
      <c r="Z522" s="244"/>
      <c r="AA522" s="244"/>
      <c r="AB522" s="244"/>
      <c r="AC522" s="244"/>
      <c r="AD522" s="244"/>
      <c r="AE522" s="244"/>
      <c r="AF522" s="308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</row>
    <row r="523" spans="2:62" ht="16.8">
      <c r="B523" s="7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96"/>
      <c r="N523" s="332"/>
      <c r="O523" s="332"/>
      <c r="P523" s="332"/>
      <c r="Q523" s="332"/>
      <c r="R523" s="332"/>
      <c r="S523" s="396"/>
      <c r="T523" s="332"/>
      <c r="U523" s="332"/>
      <c r="W523" s="332"/>
      <c r="X523" s="332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</row>
    <row r="524" spans="2:62" ht="16.8">
      <c r="B524" s="7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96"/>
      <c r="N524" s="332"/>
      <c r="O524" s="332"/>
      <c r="P524" s="332"/>
      <c r="Q524" s="332"/>
      <c r="R524" s="332"/>
      <c r="S524" s="396"/>
      <c r="T524" s="332"/>
      <c r="U524" s="332"/>
      <c r="W524" s="332"/>
      <c r="X524" s="332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</row>
    <row r="525" spans="2:62" ht="16.8">
      <c r="B525" s="7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96"/>
      <c r="N525" s="332"/>
      <c r="O525" s="332"/>
      <c r="P525" s="332"/>
      <c r="Q525" s="332"/>
      <c r="R525" s="332"/>
      <c r="S525" s="396"/>
      <c r="T525" s="332"/>
      <c r="U525" s="332"/>
      <c r="W525" s="332"/>
      <c r="X525" s="332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</row>
    <row r="526" spans="2:62" ht="16.8">
      <c r="B526" s="7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96"/>
      <c r="N526" s="332"/>
      <c r="O526" s="332"/>
      <c r="P526" s="332"/>
      <c r="Q526" s="332"/>
      <c r="R526" s="332"/>
      <c r="S526" s="332"/>
      <c r="T526" s="332"/>
      <c r="U526" s="332"/>
      <c r="W526" s="332"/>
      <c r="X526" s="332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</row>
    <row r="527" spans="2:62" ht="15.6">
      <c r="B527" s="7"/>
      <c r="C527" s="332"/>
      <c r="D527" s="332"/>
      <c r="E527" s="332"/>
      <c r="F527" s="332"/>
      <c r="G527" s="332"/>
      <c r="H527" s="332"/>
      <c r="I527" s="332"/>
      <c r="J527" s="395"/>
      <c r="K527" s="395"/>
      <c r="L527" s="395"/>
      <c r="M527" s="398"/>
      <c r="N527" s="395"/>
      <c r="O527" s="395"/>
      <c r="P527" s="395"/>
      <c r="Q527" s="332"/>
      <c r="R527" s="332"/>
      <c r="S527" s="395"/>
      <c r="T527" s="332"/>
      <c r="U527" s="332"/>
      <c r="V527" s="244"/>
      <c r="W527" s="332"/>
      <c r="X527" s="332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</row>
    <row r="528" spans="2:62" ht="16.8">
      <c r="B528" s="7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W528" s="332"/>
      <c r="X528" s="332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</row>
    <row r="529" spans="2:62" ht="16.8">
      <c r="B529" s="7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W529" s="332"/>
      <c r="X529" s="332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</row>
    <row r="530" spans="2:62" ht="16.8">
      <c r="B530" s="7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W530" s="332"/>
      <c r="X530" s="332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</row>
    <row r="531" spans="2:62" ht="17.399999999999999">
      <c r="B531" s="7"/>
      <c r="C531" s="399"/>
      <c r="D531" s="400"/>
      <c r="E531" s="400"/>
      <c r="F531" s="400"/>
      <c r="G531" s="400"/>
      <c r="H531" s="400"/>
      <c r="I531" s="400"/>
      <c r="J531" s="400"/>
      <c r="K531" s="400"/>
      <c r="L531" s="400"/>
      <c r="M531" s="400"/>
      <c r="N531" s="400"/>
      <c r="O531" s="400"/>
      <c r="P531" s="400"/>
      <c r="Q531" s="400"/>
      <c r="R531" s="400"/>
      <c r="S531" s="400"/>
      <c r="T531" s="332"/>
      <c r="U531" s="332"/>
      <c r="W531" s="332"/>
      <c r="X531" s="332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</row>
    <row r="532" spans="2:62" ht="16.8">
      <c r="B532" s="7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401"/>
      <c r="R532" s="332"/>
      <c r="S532" s="332"/>
      <c r="T532" s="332"/>
      <c r="U532" s="332"/>
      <c r="W532" s="332"/>
      <c r="X532" s="332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</row>
    <row r="533" spans="2:62" ht="16.8">
      <c r="B533" s="7"/>
      <c r="C533" s="332"/>
      <c r="D533" s="332"/>
      <c r="E533" s="332"/>
      <c r="F533" s="332"/>
      <c r="G533" s="332"/>
      <c r="H533" s="332"/>
      <c r="I533" s="332"/>
      <c r="J533" s="332"/>
      <c r="K533" s="332"/>
      <c r="L533" s="402"/>
      <c r="M533" s="403"/>
      <c r="N533" s="403"/>
      <c r="O533" s="332"/>
      <c r="P533" s="402"/>
      <c r="Q533" s="403"/>
      <c r="R533" s="403"/>
      <c r="S533" s="402"/>
      <c r="T533" s="332"/>
      <c r="U533" s="332"/>
      <c r="W533" s="332"/>
      <c r="X533" s="332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</row>
    <row r="534" spans="2:62" ht="16.8">
      <c r="B534" s="7"/>
      <c r="C534" s="332"/>
      <c r="D534" s="332"/>
      <c r="E534" s="402"/>
      <c r="F534" s="404"/>
      <c r="G534" s="332"/>
      <c r="H534" s="402"/>
      <c r="I534" s="404"/>
      <c r="J534" s="403"/>
      <c r="K534" s="395"/>
      <c r="L534" s="402"/>
      <c r="M534" s="403"/>
      <c r="N534" s="403"/>
      <c r="O534" s="395"/>
      <c r="P534" s="402"/>
      <c r="Q534" s="403"/>
      <c r="R534" s="403"/>
      <c r="S534" s="402"/>
      <c r="T534" s="332"/>
      <c r="U534" s="332"/>
      <c r="W534" s="332"/>
      <c r="X534" s="332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</row>
    <row r="535" spans="2:62" ht="16.8">
      <c r="B535" s="7"/>
      <c r="C535" s="332"/>
      <c r="D535" s="405"/>
      <c r="E535" s="404"/>
      <c r="F535" s="404"/>
      <c r="G535" s="405"/>
      <c r="H535" s="404"/>
      <c r="I535" s="404"/>
      <c r="J535" s="404"/>
      <c r="K535" s="404"/>
      <c r="L535" s="404"/>
      <c r="M535" s="404"/>
      <c r="N535" s="404"/>
      <c r="O535" s="404"/>
      <c r="P535" s="404"/>
      <c r="Q535" s="404"/>
      <c r="R535" s="404"/>
      <c r="S535" s="404"/>
      <c r="T535" s="332"/>
      <c r="U535" s="332"/>
      <c r="W535" s="332"/>
      <c r="X535" s="332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</row>
    <row r="536" spans="2:62" ht="16.8">
      <c r="B536" s="7"/>
      <c r="C536" s="39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W536" s="332"/>
      <c r="X536" s="332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</row>
    <row r="537" spans="2:62" ht="16.8">
      <c r="B537" s="7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W537" s="332"/>
      <c r="X537" s="332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</row>
    <row r="538" spans="2:62" ht="16.8">
      <c r="B538" s="7"/>
      <c r="C538" s="332"/>
      <c r="D538" s="332"/>
      <c r="E538" s="396"/>
      <c r="F538" s="406"/>
      <c r="G538" s="332"/>
      <c r="H538" s="396"/>
      <c r="I538" s="406"/>
      <c r="J538" s="406"/>
      <c r="K538" s="396"/>
      <c r="L538" s="406"/>
      <c r="M538" s="396"/>
      <c r="N538" s="406"/>
      <c r="O538" s="396"/>
      <c r="P538" s="406"/>
      <c r="Q538" s="396"/>
      <c r="R538" s="396"/>
      <c r="S538" s="396"/>
      <c r="T538" s="332"/>
      <c r="U538" s="332"/>
      <c r="W538" s="332"/>
      <c r="X538" s="332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</row>
    <row r="539" spans="2:62" ht="16.8">
      <c r="B539" s="7"/>
      <c r="C539" s="332"/>
      <c r="D539" s="332"/>
      <c r="E539" s="396"/>
      <c r="F539" s="406"/>
      <c r="G539" s="332"/>
      <c r="H539" s="396"/>
      <c r="I539" s="406"/>
      <c r="J539" s="406"/>
      <c r="K539" s="396"/>
      <c r="L539" s="406"/>
      <c r="M539" s="396"/>
      <c r="N539" s="406"/>
      <c r="O539" s="396"/>
      <c r="P539" s="406"/>
      <c r="Q539" s="396"/>
      <c r="R539" s="396"/>
      <c r="S539" s="396"/>
      <c r="T539" s="332"/>
      <c r="U539" s="332"/>
      <c r="W539" s="332"/>
      <c r="X539" s="332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</row>
    <row r="540" spans="2:62" ht="16.8">
      <c r="B540" s="7"/>
      <c r="C540" s="332"/>
      <c r="D540" s="332"/>
      <c r="E540" s="396"/>
      <c r="F540" s="406"/>
      <c r="G540" s="332"/>
      <c r="H540" s="396"/>
      <c r="I540" s="406"/>
      <c r="J540" s="406"/>
      <c r="K540" s="396"/>
      <c r="L540" s="406"/>
      <c r="M540" s="396"/>
      <c r="N540" s="406"/>
      <c r="O540" s="396"/>
      <c r="P540" s="406"/>
      <c r="Q540" s="396"/>
      <c r="R540" s="396"/>
      <c r="S540" s="396"/>
      <c r="T540" s="332"/>
      <c r="U540" s="332"/>
      <c r="W540" s="332"/>
      <c r="X540" s="332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</row>
    <row r="541" spans="2:62" ht="16.8">
      <c r="B541" s="7"/>
      <c r="C541" s="332"/>
      <c r="D541" s="332"/>
      <c r="E541" s="396"/>
      <c r="F541" s="406"/>
      <c r="G541" s="332"/>
      <c r="H541" s="396"/>
      <c r="I541" s="406"/>
      <c r="J541" s="406"/>
      <c r="K541" s="396"/>
      <c r="L541" s="406"/>
      <c r="M541" s="396"/>
      <c r="N541" s="406"/>
      <c r="O541" s="396"/>
      <c r="P541" s="406"/>
      <c r="Q541" s="396"/>
      <c r="R541" s="396"/>
      <c r="S541" s="396"/>
      <c r="T541" s="332"/>
      <c r="U541" s="332"/>
      <c r="W541" s="332"/>
      <c r="X541" s="332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</row>
    <row r="542" spans="2:62" ht="16.8">
      <c r="B542" s="7"/>
      <c r="C542" s="332"/>
      <c r="D542" s="332"/>
      <c r="E542" s="396"/>
      <c r="F542" s="406"/>
      <c r="G542" s="332"/>
      <c r="H542" s="396"/>
      <c r="I542" s="406"/>
      <c r="J542" s="406"/>
      <c r="K542" s="396"/>
      <c r="L542" s="406"/>
      <c r="M542" s="396"/>
      <c r="N542" s="406"/>
      <c r="O542" s="396"/>
      <c r="P542" s="406"/>
      <c r="Q542" s="396"/>
      <c r="R542" s="396"/>
      <c r="S542" s="332"/>
      <c r="T542" s="332"/>
      <c r="U542" s="332"/>
      <c r="W542" s="332"/>
      <c r="X542" s="332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</row>
    <row r="543" spans="2:62" ht="16.8">
      <c r="B543" s="7"/>
      <c r="C543" s="332"/>
      <c r="D543" s="332"/>
      <c r="E543" s="396"/>
      <c r="F543" s="406"/>
      <c r="G543" s="332"/>
      <c r="H543" s="396"/>
      <c r="I543" s="406"/>
      <c r="J543" s="406"/>
      <c r="K543" s="396"/>
      <c r="L543" s="406"/>
      <c r="M543" s="396"/>
      <c r="N543" s="406"/>
      <c r="O543" s="396"/>
      <c r="P543" s="406"/>
      <c r="Q543" s="396"/>
      <c r="R543" s="396"/>
      <c r="S543" s="396"/>
      <c r="T543" s="332"/>
      <c r="U543" s="332"/>
      <c r="W543" s="332"/>
      <c r="X543" s="332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</row>
    <row r="544" spans="2:62" ht="16.8">
      <c r="B544" s="7"/>
      <c r="C544" s="332"/>
      <c r="D544" s="332"/>
      <c r="E544" s="396"/>
      <c r="F544" s="407"/>
      <c r="G544" s="332"/>
      <c r="H544" s="396"/>
      <c r="I544" s="407"/>
      <c r="J544" s="406"/>
      <c r="K544" s="396"/>
      <c r="L544" s="406"/>
      <c r="M544" s="396"/>
      <c r="N544" s="406"/>
      <c r="O544" s="396"/>
      <c r="P544" s="332"/>
      <c r="Q544" s="332"/>
      <c r="R544" s="396"/>
      <c r="S544" s="396"/>
      <c r="T544" s="332"/>
      <c r="U544" s="332"/>
      <c r="W544" s="332"/>
      <c r="X544" s="332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</row>
    <row r="545" spans="2:62" ht="16.8">
      <c r="B545" s="7"/>
      <c r="C545" s="395"/>
      <c r="D545" s="395"/>
      <c r="E545" s="398"/>
      <c r="F545" s="408"/>
      <c r="G545" s="395"/>
      <c r="H545" s="398"/>
      <c r="I545" s="408"/>
      <c r="J545" s="408"/>
      <c r="K545" s="398"/>
      <c r="L545" s="408"/>
      <c r="M545" s="398"/>
      <c r="N545" s="408"/>
      <c r="O545" s="398"/>
      <c r="P545" s="408"/>
      <c r="Q545" s="398"/>
      <c r="R545" s="398"/>
      <c r="S545" s="395"/>
      <c r="T545" s="332"/>
      <c r="U545" s="332"/>
      <c r="W545" s="332"/>
      <c r="X545" s="332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</row>
    <row r="546" spans="2:62" ht="16.8">
      <c r="B546" s="7"/>
      <c r="C546" s="332"/>
      <c r="D546" s="332"/>
      <c r="E546" s="396"/>
      <c r="F546" s="332"/>
      <c r="G546" s="332"/>
      <c r="H546" s="396"/>
      <c r="I546" s="332"/>
      <c r="J546" s="406"/>
      <c r="K546" s="396"/>
      <c r="L546" s="406"/>
      <c r="M546" s="396"/>
      <c r="N546" s="406"/>
      <c r="O546" s="396"/>
      <c r="P546" s="395"/>
      <c r="Q546" s="408"/>
      <c r="R546" s="408"/>
      <c r="S546" s="332"/>
      <c r="T546" s="332"/>
      <c r="U546" s="332"/>
      <c r="W546" s="332"/>
      <c r="X546" s="332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</row>
    <row r="547" spans="2:62" ht="16.8">
      <c r="B547" s="7"/>
      <c r="C547" s="332"/>
      <c r="D547" s="332"/>
      <c r="E547" s="396"/>
      <c r="F547" s="332"/>
      <c r="G547" s="332"/>
      <c r="H547" s="396"/>
      <c r="I547" s="332"/>
      <c r="J547" s="406"/>
      <c r="K547" s="396"/>
      <c r="L547" s="406"/>
      <c r="M547" s="396"/>
      <c r="N547" s="406"/>
      <c r="O547" s="396"/>
      <c r="P547" s="332"/>
      <c r="Q547" s="332"/>
      <c r="R547" s="396"/>
      <c r="S547" s="332"/>
      <c r="T547" s="332"/>
      <c r="U547" s="332"/>
      <c r="W547" s="332"/>
      <c r="X547" s="332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</row>
    <row r="548" spans="2:62" ht="16.8">
      <c r="B548" s="7"/>
      <c r="C548" s="395"/>
      <c r="D548" s="332"/>
      <c r="E548" s="396"/>
      <c r="F548" s="332"/>
      <c r="G548" s="332"/>
      <c r="H548" s="396"/>
      <c r="I548" s="332"/>
      <c r="J548" s="406"/>
      <c r="K548" s="396"/>
      <c r="L548" s="406"/>
      <c r="M548" s="396"/>
      <c r="N548" s="406"/>
      <c r="O548" s="396"/>
      <c r="P548" s="332"/>
      <c r="Q548" s="332"/>
      <c r="R548" s="396"/>
      <c r="S548" s="332"/>
      <c r="T548" s="332"/>
      <c r="U548" s="332"/>
      <c r="W548" s="332"/>
      <c r="X548" s="332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</row>
    <row r="549" spans="2:62" ht="16.8">
      <c r="B549" s="7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W549" s="332"/>
      <c r="X549" s="332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</row>
    <row r="550" spans="2:62" ht="16.8">
      <c r="B550" s="7"/>
      <c r="C550" s="332"/>
      <c r="D550" s="332"/>
      <c r="E550" s="396"/>
      <c r="F550" s="406"/>
      <c r="G550" s="332"/>
      <c r="H550" s="396"/>
      <c r="I550" s="406"/>
      <c r="J550" s="406"/>
      <c r="K550" s="332"/>
      <c r="L550" s="406"/>
      <c r="M550" s="332"/>
      <c r="N550" s="406"/>
      <c r="O550" s="332"/>
      <c r="P550" s="406"/>
      <c r="Q550" s="396"/>
      <c r="R550" s="396"/>
      <c r="S550" s="332"/>
      <c r="T550" s="332"/>
      <c r="U550" s="332"/>
      <c r="W550" s="332"/>
      <c r="X550" s="332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</row>
    <row r="551" spans="2:62" ht="16.8">
      <c r="B551" s="7"/>
      <c r="C551" s="332"/>
      <c r="D551" s="332"/>
      <c r="E551" s="396"/>
      <c r="F551" s="407"/>
      <c r="G551" s="332"/>
      <c r="H551" s="396"/>
      <c r="I551" s="407"/>
      <c r="J551" s="406"/>
      <c r="K551" s="396"/>
      <c r="L551" s="406"/>
      <c r="M551" s="396"/>
      <c r="N551" s="406"/>
      <c r="O551" s="396"/>
      <c r="P551" s="332"/>
      <c r="Q551" s="406"/>
      <c r="R551" s="406"/>
      <c r="S551" s="396"/>
      <c r="T551" s="332"/>
      <c r="U551" s="332"/>
      <c r="W551" s="332"/>
      <c r="X551" s="332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</row>
    <row r="552" spans="2:62" ht="16.8">
      <c r="B552" s="7"/>
      <c r="C552" s="332"/>
      <c r="D552" s="332"/>
      <c r="E552" s="396"/>
      <c r="F552" s="407"/>
      <c r="G552" s="332"/>
      <c r="H552" s="396"/>
      <c r="I552" s="407"/>
      <c r="J552" s="406"/>
      <c r="K552" s="396"/>
      <c r="L552" s="406"/>
      <c r="M552" s="396"/>
      <c r="N552" s="406"/>
      <c r="O552" s="396"/>
      <c r="P552" s="332"/>
      <c r="Q552" s="332"/>
      <c r="R552" s="396"/>
      <c r="S552" s="396"/>
      <c r="T552" s="332"/>
      <c r="U552" s="332"/>
      <c r="W552" s="332"/>
      <c r="X552" s="332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</row>
    <row r="553" spans="2:62" ht="16.8">
      <c r="B553" s="7"/>
      <c r="C553" s="332"/>
      <c r="D553" s="332"/>
      <c r="E553" s="396"/>
      <c r="F553" s="406"/>
      <c r="G553" s="332"/>
      <c r="H553" s="396"/>
      <c r="I553" s="406"/>
      <c r="J553" s="406"/>
      <c r="K553" s="396"/>
      <c r="L553" s="406"/>
      <c r="M553" s="396"/>
      <c r="N553" s="406"/>
      <c r="O553" s="396"/>
      <c r="P553" s="332"/>
      <c r="Q553" s="332"/>
      <c r="R553" s="396"/>
      <c r="S553" s="332"/>
      <c r="T553" s="332"/>
      <c r="U553" s="332"/>
      <c r="W553" s="332"/>
      <c r="X553" s="332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</row>
    <row r="554" spans="2:62" ht="16.8">
      <c r="B554" s="7"/>
      <c r="C554" s="395"/>
      <c r="D554" s="395"/>
      <c r="E554" s="398"/>
      <c r="F554" s="408"/>
      <c r="G554" s="395"/>
      <c r="H554" s="398"/>
      <c r="I554" s="408"/>
      <c r="J554" s="408"/>
      <c r="K554" s="398"/>
      <c r="L554" s="408"/>
      <c r="M554" s="398"/>
      <c r="N554" s="408"/>
      <c r="O554" s="398"/>
      <c r="P554" s="408"/>
      <c r="Q554" s="395"/>
      <c r="R554" s="398"/>
      <c r="S554" s="395"/>
      <c r="T554" s="332"/>
      <c r="U554" s="332"/>
      <c r="W554" s="332"/>
      <c r="X554" s="332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</row>
    <row r="555" spans="2:62" ht="16.8">
      <c r="B555" s="7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95"/>
      <c r="Q555" s="408"/>
      <c r="R555" s="408"/>
      <c r="S555" s="332"/>
      <c r="T555" s="332"/>
      <c r="U555" s="332"/>
      <c r="W555" s="332"/>
      <c r="X555" s="332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</row>
    <row r="556" spans="2:62" ht="16.8">
      <c r="B556" s="7"/>
      <c r="C556" s="332"/>
      <c r="D556" s="332"/>
      <c r="E556" s="396"/>
      <c r="F556" s="406"/>
      <c r="G556" s="332"/>
      <c r="H556" s="396"/>
      <c r="I556" s="406"/>
      <c r="J556" s="406"/>
      <c r="K556" s="396"/>
      <c r="L556" s="406"/>
      <c r="M556" s="396"/>
      <c r="N556" s="406"/>
      <c r="O556" s="396"/>
      <c r="P556" s="332"/>
      <c r="Q556" s="332"/>
      <c r="R556" s="396"/>
      <c r="S556" s="332"/>
      <c r="T556" s="332"/>
      <c r="U556" s="332"/>
      <c r="W556" s="332"/>
      <c r="X556" s="332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</row>
    <row r="557" spans="2:62" ht="16.8">
      <c r="B557" s="7"/>
      <c r="C557" s="395"/>
      <c r="D557" s="332"/>
      <c r="E557" s="396"/>
      <c r="F557" s="406"/>
      <c r="G557" s="332"/>
      <c r="H557" s="396"/>
      <c r="I557" s="406"/>
      <c r="J557" s="406"/>
      <c r="K557" s="396"/>
      <c r="L557" s="406"/>
      <c r="M557" s="396"/>
      <c r="N557" s="406"/>
      <c r="O557" s="396"/>
      <c r="P557" s="332"/>
      <c r="Q557" s="332"/>
      <c r="R557" s="396"/>
      <c r="S557" s="332"/>
      <c r="T557" s="332"/>
      <c r="U557" s="332"/>
      <c r="W557" s="332"/>
      <c r="X557" s="332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</row>
    <row r="558" spans="2:62" ht="16.8">
      <c r="B558" s="7"/>
      <c r="C558" s="332"/>
      <c r="D558" s="332"/>
      <c r="E558" s="396"/>
      <c r="F558" s="406"/>
      <c r="G558" s="332"/>
      <c r="H558" s="396"/>
      <c r="I558" s="406"/>
      <c r="J558" s="406"/>
      <c r="K558" s="396"/>
      <c r="L558" s="406"/>
      <c r="M558" s="396"/>
      <c r="N558" s="406"/>
      <c r="O558" s="396"/>
      <c r="P558" s="332"/>
      <c r="Q558" s="332"/>
      <c r="R558" s="396"/>
      <c r="S558" s="332"/>
      <c r="T558" s="332"/>
      <c r="U558" s="332"/>
      <c r="W558" s="332"/>
      <c r="X558" s="332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</row>
    <row r="559" spans="2:62" ht="16.8">
      <c r="B559" s="7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406"/>
      <c r="Q559" s="396"/>
      <c r="R559" s="332"/>
      <c r="S559" s="396"/>
      <c r="T559" s="332"/>
      <c r="U559" s="332"/>
      <c r="W559" s="332"/>
      <c r="X559" s="332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</row>
    <row r="560" spans="2:62" ht="16.8">
      <c r="B560" s="7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406"/>
      <c r="Q560" s="396"/>
      <c r="R560" s="332"/>
      <c r="S560" s="396"/>
      <c r="T560" s="332"/>
      <c r="U560" s="332"/>
      <c r="W560" s="332"/>
      <c r="X560" s="332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</row>
    <row r="561" spans="2:62" ht="16.8">
      <c r="B561" s="7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406"/>
      <c r="Q561" s="396"/>
      <c r="R561" s="332"/>
      <c r="S561" s="396"/>
      <c r="T561" s="332"/>
      <c r="U561" s="332"/>
      <c r="W561" s="332"/>
      <c r="X561" s="332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</row>
    <row r="562" spans="2:62" ht="16.8">
      <c r="B562" s="7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406"/>
      <c r="Q562" s="396"/>
      <c r="R562" s="332"/>
      <c r="S562" s="396"/>
      <c r="T562" s="332"/>
      <c r="U562" s="332"/>
      <c r="W562" s="332"/>
      <c r="X562" s="332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</row>
    <row r="563" spans="2:62" ht="16.8">
      <c r="B563" s="7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406"/>
      <c r="Q563" s="396"/>
      <c r="R563" s="332"/>
      <c r="S563" s="396"/>
      <c r="T563" s="332"/>
      <c r="U563" s="332"/>
      <c r="W563" s="332"/>
      <c r="X563" s="332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</row>
    <row r="564" spans="2:62" ht="16.8">
      <c r="B564" s="7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406"/>
      <c r="Q564" s="396"/>
      <c r="R564" s="332"/>
      <c r="S564" s="396"/>
      <c r="T564" s="332"/>
      <c r="U564" s="332"/>
      <c r="W564" s="332"/>
      <c r="X564" s="332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</row>
    <row r="565" spans="2:62" ht="16.8">
      <c r="B565" s="7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406"/>
      <c r="Q565" s="396"/>
      <c r="R565" s="332"/>
      <c r="S565" s="396"/>
      <c r="T565" s="332"/>
      <c r="U565" s="332"/>
      <c r="W565" s="332"/>
      <c r="X565" s="332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</row>
    <row r="566" spans="2:62" ht="16.8">
      <c r="B566" s="7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406"/>
      <c r="Q566" s="396"/>
      <c r="R566" s="332"/>
      <c r="S566" s="396"/>
      <c r="T566" s="332"/>
      <c r="U566" s="332"/>
      <c r="W566" s="332"/>
      <c r="X566" s="332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</row>
    <row r="567" spans="2:62" ht="16.8">
      <c r="B567" s="7"/>
      <c r="C567" s="395"/>
      <c r="D567" s="395"/>
      <c r="E567" s="332"/>
      <c r="F567" s="332"/>
      <c r="G567" s="395"/>
      <c r="H567" s="332"/>
      <c r="I567" s="332"/>
      <c r="J567" s="332"/>
      <c r="K567" s="332"/>
      <c r="L567" s="332"/>
      <c r="M567" s="332"/>
      <c r="N567" s="332"/>
      <c r="O567" s="332"/>
      <c r="P567" s="408"/>
      <c r="Q567" s="398"/>
      <c r="R567" s="332"/>
      <c r="S567" s="398"/>
      <c r="T567" s="332"/>
      <c r="U567" s="332"/>
      <c r="W567" s="332"/>
      <c r="X567" s="332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</row>
    <row r="568" spans="2:62" ht="16.8">
      <c r="B568" s="7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408"/>
      <c r="Q568" s="408"/>
      <c r="R568" s="332"/>
      <c r="S568" s="332"/>
      <c r="T568" s="332"/>
      <c r="U568" s="332"/>
      <c r="W568" s="332"/>
      <c r="X568" s="332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</row>
    <row r="569" spans="2:62" ht="16.8">
      <c r="B569" s="7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406"/>
      <c r="Q569" s="396"/>
      <c r="R569" s="332"/>
      <c r="S569" s="396"/>
      <c r="T569" s="332"/>
      <c r="U569" s="332"/>
      <c r="W569" s="332"/>
      <c r="X569" s="332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</row>
    <row r="570" spans="2:62" ht="16.8">
      <c r="B570" s="7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406"/>
      <c r="Q570" s="396"/>
      <c r="R570" s="332"/>
      <c r="S570" s="396"/>
      <c r="T570" s="332"/>
      <c r="U570" s="332"/>
      <c r="W570" s="332"/>
      <c r="X570" s="332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</row>
    <row r="571" spans="2:62" ht="16.8">
      <c r="B571" s="7"/>
      <c r="C571" s="39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408"/>
      <c r="Q571" s="398"/>
      <c r="R571" s="332"/>
      <c r="S571" s="398"/>
      <c r="T571" s="332"/>
      <c r="U571" s="332"/>
      <c r="W571" s="332"/>
      <c r="X571" s="332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</row>
    <row r="572" spans="2:62" ht="16.8">
      <c r="B572" s="7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408"/>
      <c r="Q572" s="408"/>
      <c r="R572" s="332"/>
      <c r="S572" s="332"/>
      <c r="T572" s="332"/>
      <c r="U572" s="332"/>
      <c r="W572" s="332"/>
      <c r="X572" s="332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</row>
    <row r="573" spans="2:62" ht="16.8">
      <c r="B573" s="7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406"/>
      <c r="Q573" s="396"/>
      <c r="R573" s="332"/>
      <c r="S573" s="396"/>
      <c r="T573" s="332"/>
      <c r="U573" s="332"/>
      <c r="W573" s="332"/>
      <c r="X573" s="332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</row>
    <row r="574" spans="2:62" ht="16.8">
      <c r="B574" s="7"/>
      <c r="C574" s="395"/>
      <c r="D574" s="395"/>
      <c r="E574" s="332"/>
      <c r="F574" s="332"/>
      <c r="G574" s="395"/>
      <c r="H574" s="332"/>
      <c r="I574" s="332"/>
      <c r="J574" s="332"/>
      <c r="K574" s="332"/>
      <c r="L574" s="332"/>
      <c r="M574" s="332"/>
      <c r="N574" s="332"/>
      <c r="O574" s="332"/>
      <c r="P574" s="408"/>
      <c r="Q574" s="398"/>
      <c r="R574" s="332"/>
      <c r="S574" s="398"/>
      <c r="T574" s="332"/>
      <c r="U574" s="332"/>
      <c r="W574" s="332"/>
      <c r="X574" s="332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</row>
    <row r="575" spans="2:62" ht="16.8">
      <c r="B575" s="7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408"/>
      <c r="Q575" s="408"/>
      <c r="R575" s="332"/>
      <c r="S575" s="332"/>
      <c r="T575" s="332"/>
      <c r="U575" s="332"/>
      <c r="W575" s="332"/>
      <c r="X575" s="332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</row>
    <row r="576" spans="2:62" ht="16.8">
      <c r="B576" s="7"/>
      <c r="C576" s="332"/>
      <c r="D576" s="332"/>
      <c r="E576" s="396"/>
      <c r="F576" s="406"/>
      <c r="G576" s="332"/>
      <c r="H576" s="396"/>
      <c r="I576" s="406"/>
      <c r="J576" s="406"/>
      <c r="K576" s="396"/>
      <c r="L576" s="406"/>
      <c r="M576" s="396"/>
      <c r="N576" s="406"/>
      <c r="O576" s="396"/>
      <c r="P576" s="406"/>
      <c r="Q576" s="396"/>
      <c r="R576" s="396"/>
      <c r="S576" s="332"/>
      <c r="T576" s="332"/>
      <c r="U576" s="332"/>
      <c r="W576" s="332"/>
      <c r="X576" s="332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</row>
    <row r="577" spans="2:62" ht="16.8">
      <c r="B577" s="7"/>
      <c r="C577" s="395"/>
      <c r="D577" s="395"/>
      <c r="E577" s="398"/>
      <c r="F577" s="408"/>
      <c r="G577" s="395"/>
      <c r="H577" s="398"/>
      <c r="I577" s="408"/>
      <c r="J577" s="408"/>
      <c r="K577" s="398"/>
      <c r="L577" s="408"/>
      <c r="M577" s="398"/>
      <c r="N577" s="408"/>
      <c r="O577" s="398"/>
      <c r="P577" s="408"/>
      <c r="Q577" s="398"/>
      <c r="R577" s="398"/>
      <c r="S577" s="398"/>
      <c r="T577" s="332"/>
      <c r="U577" s="332"/>
      <c r="W577" s="332"/>
      <c r="X577" s="332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</row>
    <row r="578" spans="2:62" ht="16.8">
      <c r="B578" s="7"/>
      <c r="C578" s="332"/>
      <c r="D578" s="332"/>
      <c r="E578" s="396"/>
      <c r="F578" s="406"/>
      <c r="G578" s="332"/>
      <c r="H578" s="396"/>
      <c r="I578" s="406"/>
      <c r="J578" s="396"/>
      <c r="K578" s="406"/>
      <c r="L578" s="396"/>
      <c r="M578" s="332"/>
      <c r="N578" s="396"/>
      <c r="O578" s="406"/>
      <c r="P578" s="398"/>
      <c r="Q578" s="408"/>
      <c r="R578" s="408"/>
      <c r="S578" s="396"/>
      <c r="T578" s="332"/>
      <c r="U578" s="332"/>
      <c r="W578" s="332"/>
      <c r="X578" s="332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</row>
    <row r="579" spans="2:62" ht="16.8">
      <c r="B579" s="7"/>
      <c r="C579" s="332"/>
      <c r="D579" s="332"/>
      <c r="E579" s="396"/>
      <c r="F579" s="406"/>
      <c r="G579" s="332"/>
      <c r="H579" s="396"/>
      <c r="I579" s="406"/>
      <c r="J579" s="396"/>
      <c r="K579" s="406"/>
      <c r="L579" s="396"/>
      <c r="M579" s="332"/>
      <c r="N579" s="396"/>
      <c r="O579" s="406"/>
      <c r="P579" s="396"/>
      <c r="Q579" s="332"/>
      <c r="R579" s="406"/>
      <c r="S579" s="396"/>
      <c r="T579" s="332"/>
      <c r="U579" s="332"/>
      <c r="W579" s="332"/>
      <c r="X579" s="332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</row>
    <row r="580" spans="2:62" ht="16.8">
      <c r="B580" s="7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406"/>
      <c r="S580" s="396"/>
      <c r="T580" s="332"/>
      <c r="U580" s="332"/>
      <c r="W580" s="332"/>
      <c r="X580" s="332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</row>
    <row r="581" spans="2:62" ht="16.8">
      <c r="B581" s="7"/>
      <c r="C581" s="332"/>
      <c r="D581" s="332"/>
      <c r="E581" s="396"/>
      <c r="F581" s="406"/>
      <c r="G581" s="332"/>
      <c r="H581" s="396"/>
      <c r="I581" s="406"/>
      <c r="J581" s="396"/>
      <c r="K581" s="406"/>
      <c r="L581" s="396"/>
      <c r="M581" s="332"/>
      <c r="N581" s="396"/>
      <c r="O581" s="406"/>
      <c r="P581" s="396"/>
      <c r="Q581" s="332"/>
      <c r="R581" s="406"/>
      <c r="S581" s="396"/>
      <c r="T581" s="332"/>
      <c r="U581" s="332"/>
      <c r="W581" s="332"/>
      <c r="X581" s="332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</row>
    <row r="582" spans="2:62" ht="16.8">
      <c r="B582" s="7"/>
      <c r="C582" s="332"/>
      <c r="D582" s="332"/>
      <c r="E582" s="396"/>
      <c r="F582" s="406"/>
      <c r="G582" s="332"/>
      <c r="H582" s="396"/>
      <c r="I582" s="406"/>
      <c r="J582" s="396"/>
      <c r="K582" s="406"/>
      <c r="L582" s="396"/>
      <c r="M582" s="332"/>
      <c r="N582" s="396"/>
      <c r="O582" s="406"/>
      <c r="P582" s="396"/>
      <c r="Q582" s="332"/>
      <c r="R582" s="406"/>
      <c r="S582" s="396"/>
      <c r="T582" s="332"/>
      <c r="U582" s="332"/>
      <c r="W582" s="332"/>
      <c r="X582" s="332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</row>
    <row r="583" spans="2:62" ht="16.8">
      <c r="B583" s="7"/>
      <c r="C583" s="332"/>
      <c r="D583" s="332"/>
      <c r="E583" s="396"/>
      <c r="F583" s="406"/>
      <c r="G583" s="332"/>
      <c r="H583" s="396"/>
      <c r="I583" s="406"/>
      <c r="J583" s="396"/>
      <c r="K583" s="406"/>
      <c r="L583" s="396"/>
      <c r="M583" s="332"/>
      <c r="N583" s="396"/>
      <c r="O583" s="406"/>
      <c r="P583" s="396"/>
      <c r="Q583" s="332"/>
      <c r="R583" s="406"/>
      <c r="S583" s="396"/>
      <c r="T583" s="332"/>
      <c r="U583" s="332"/>
      <c r="W583" s="332"/>
      <c r="X583" s="332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</row>
    <row r="584" spans="2:62" ht="16.8">
      <c r="B584" s="7"/>
      <c r="C584" s="332"/>
      <c r="D584" s="332"/>
      <c r="E584" s="396"/>
      <c r="F584" s="406"/>
      <c r="G584" s="332"/>
      <c r="H584" s="396"/>
      <c r="I584" s="406"/>
      <c r="J584" s="396"/>
      <c r="K584" s="406"/>
      <c r="L584" s="396"/>
      <c r="M584" s="332"/>
      <c r="N584" s="396"/>
      <c r="O584" s="406"/>
      <c r="P584" s="396"/>
      <c r="Q584" s="332"/>
      <c r="R584" s="406"/>
      <c r="S584" s="396"/>
      <c r="T584" s="332"/>
      <c r="U584" s="332"/>
      <c r="W584" s="332"/>
      <c r="X584" s="332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</row>
    <row r="585" spans="2:62" ht="16.8">
      <c r="B585" s="7"/>
      <c r="C585" s="332"/>
      <c r="D585" s="332"/>
      <c r="E585" s="396"/>
      <c r="F585" s="406"/>
      <c r="G585" s="332"/>
      <c r="H585" s="396"/>
      <c r="I585" s="406"/>
      <c r="J585" s="396"/>
      <c r="K585" s="406"/>
      <c r="L585" s="396"/>
      <c r="M585" s="332"/>
      <c r="N585" s="396"/>
      <c r="O585" s="406"/>
      <c r="P585" s="396"/>
      <c r="Q585" s="332"/>
      <c r="R585" s="406"/>
      <c r="S585" s="396"/>
      <c r="T585" s="332"/>
      <c r="U585" s="332"/>
      <c r="W585" s="332"/>
      <c r="X585" s="332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</row>
    <row r="586" spans="2:62" ht="16.8">
      <c r="B586" s="7"/>
      <c r="C586" s="332"/>
      <c r="D586" s="332"/>
      <c r="E586" s="396"/>
      <c r="F586" s="406"/>
      <c r="G586" s="332"/>
      <c r="H586" s="396"/>
      <c r="I586" s="406"/>
      <c r="J586" s="396"/>
      <c r="K586" s="406"/>
      <c r="L586" s="396"/>
      <c r="M586" s="332"/>
      <c r="N586" s="396"/>
      <c r="O586" s="406"/>
      <c r="P586" s="396"/>
      <c r="Q586" s="332"/>
      <c r="R586" s="406"/>
      <c r="S586" s="396"/>
      <c r="T586" s="332"/>
      <c r="U586" s="332"/>
      <c r="W586" s="332"/>
      <c r="X586" s="332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</row>
    <row r="587" spans="2:62" ht="16.8">
      <c r="B587" s="7"/>
      <c r="C587" s="332"/>
      <c r="D587" s="332"/>
      <c r="E587" s="396"/>
      <c r="F587" s="406"/>
      <c r="G587" s="332"/>
      <c r="H587" s="396"/>
      <c r="I587" s="406"/>
      <c r="J587" s="396"/>
      <c r="K587" s="406"/>
      <c r="L587" s="396"/>
      <c r="M587" s="332"/>
      <c r="N587" s="396"/>
      <c r="O587" s="406"/>
      <c r="P587" s="396"/>
      <c r="Q587" s="332"/>
      <c r="R587" s="406"/>
      <c r="S587" s="396"/>
      <c r="T587" s="332"/>
      <c r="U587" s="332"/>
      <c r="W587" s="332"/>
      <c r="X587" s="332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</row>
    <row r="588" spans="2:62" ht="16.8">
      <c r="B588" s="7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W588" s="332"/>
      <c r="X588" s="332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</row>
    <row r="589" spans="2:62" ht="16.8">
      <c r="B589" s="7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W589" s="332"/>
      <c r="X589" s="332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</row>
    <row r="590" spans="2:62" ht="16.8">
      <c r="B590" s="7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W590" s="332"/>
      <c r="X590" s="332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</row>
    <row r="591" spans="2:62" ht="16.8">
      <c r="B591" s="7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W591" s="332"/>
      <c r="X591" s="332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</row>
    <row r="592" spans="2:62" ht="16.8">
      <c r="B592" s="7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W592" s="332"/>
      <c r="X592" s="332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</row>
    <row r="593" spans="2:62" ht="16.8">
      <c r="B593" s="7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W593" s="332"/>
      <c r="X593" s="332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</row>
    <row r="594" spans="2:62" ht="16.8">
      <c r="B594" s="7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W594" s="332"/>
      <c r="X594" s="332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</row>
    <row r="595" spans="2:62" ht="16.8">
      <c r="B595" s="7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W595" s="332"/>
      <c r="X595" s="332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</row>
    <row r="596" spans="2:62" ht="16.8">
      <c r="B596" s="7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W596" s="332"/>
      <c r="X596" s="332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</row>
    <row r="597" spans="2:62" ht="16.8">
      <c r="B597" s="7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W597" s="332"/>
      <c r="X597" s="332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</row>
    <row r="598" spans="2:62" ht="16.8">
      <c r="B598" s="7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W598" s="332"/>
      <c r="X598" s="332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</row>
    <row r="599" spans="2:62" ht="16.8">
      <c r="B599" s="7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W599" s="332"/>
      <c r="X599" s="332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</row>
    <row r="600" spans="2:62" ht="16.8">
      <c r="B600" s="7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W600" s="332"/>
      <c r="X600" s="332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</row>
    <row r="601" spans="2:62" ht="16.8">
      <c r="B601" s="7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W601" s="332"/>
      <c r="X601" s="332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</row>
    <row r="602" spans="2:62" ht="16.8">
      <c r="B602" s="7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W602" s="332"/>
      <c r="X602" s="332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</row>
    <row r="603" spans="2:62" ht="16.8">
      <c r="B603" s="7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W603" s="332"/>
      <c r="X603" s="332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</row>
    <row r="604" spans="2:62" ht="16.8">
      <c r="B604" s="7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W604" s="332"/>
      <c r="X604" s="332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</row>
    <row r="605" spans="2:62" ht="16.8">
      <c r="B605" s="7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W605" s="332"/>
      <c r="X605" s="332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</row>
    <row r="606" spans="2:62" ht="16.8">
      <c r="B606" s="7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W606" s="332"/>
      <c r="X606" s="332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</row>
    <row r="607" spans="2:62" ht="16.8">
      <c r="B607" s="7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W607" s="332"/>
      <c r="X607" s="332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</row>
    <row r="608" spans="2:62" ht="16.8">
      <c r="B608" s="7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W608" s="332"/>
      <c r="X608" s="332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</row>
    <row r="609" spans="2:62" ht="16.8">
      <c r="B609" s="7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W609" s="332"/>
      <c r="X609" s="332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</row>
    <row r="610" spans="2:62" ht="16.8">
      <c r="B610" s="7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W610" s="332"/>
      <c r="X610" s="332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</row>
    <row r="611" spans="2:62" ht="16.8">
      <c r="B611" s="7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W611" s="332"/>
      <c r="X611" s="332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</row>
    <row r="612" spans="2:62" ht="16.8">
      <c r="B612" s="7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W612" s="332"/>
      <c r="X612" s="332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</row>
    <row r="613" spans="2:62" ht="16.8">
      <c r="B613" s="7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W613" s="332"/>
      <c r="X613" s="332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</row>
    <row r="614" spans="2:62" ht="16.8">
      <c r="B614" s="7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W614" s="332"/>
      <c r="X614" s="332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</row>
    <row r="615" spans="2:62" ht="16.8">
      <c r="B615" s="7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W615" s="332"/>
      <c r="X615" s="332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</row>
    <row r="616" spans="2:62" ht="16.8">
      <c r="B616" s="7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W616" s="332"/>
      <c r="X616" s="332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</row>
    <row r="617" spans="2:62" ht="16.8">
      <c r="B617" s="7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W617" s="332"/>
      <c r="X617" s="332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</row>
    <row r="618" spans="2:62" ht="16.8">
      <c r="B618" s="7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W618" s="332"/>
      <c r="X618" s="332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</row>
    <row r="619" spans="2:62" ht="16.8">
      <c r="B619" s="7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W619" s="332"/>
      <c r="X619" s="332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</row>
    <row r="620" spans="2:62" ht="16.8">
      <c r="B620" s="7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W620" s="332"/>
      <c r="X620" s="332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</row>
    <row r="621" spans="2:62" ht="16.8">
      <c r="B621" s="7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W621" s="332"/>
      <c r="X621" s="332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</row>
    <row r="622" spans="2:62" ht="16.8">
      <c r="B622" s="7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W622" s="332"/>
      <c r="X622" s="332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</row>
    <row r="623" spans="2:62" ht="16.8">
      <c r="B623" s="7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W623" s="332"/>
      <c r="X623" s="332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</row>
    <row r="624" spans="2:62" ht="16.8">
      <c r="B624" s="7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W624" s="332"/>
      <c r="X624" s="332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</row>
    <row r="625" spans="2:62" ht="16.8">
      <c r="B625" s="7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W625" s="332"/>
      <c r="X625" s="332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</row>
    <row r="626" spans="2:62" ht="16.8">
      <c r="B626" s="7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W626" s="332"/>
      <c r="X626" s="332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</row>
    <row r="627" spans="2:62" ht="16.8">
      <c r="B627" s="7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W627" s="332"/>
      <c r="X627" s="332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</row>
    <row r="628" spans="2:62" ht="16.8">
      <c r="B628" s="7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W628" s="332"/>
      <c r="X628" s="332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</row>
    <row r="629" spans="2:62" ht="16.8">
      <c r="B629" s="7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W629" s="332"/>
      <c r="X629" s="332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</row>
    <row r="630" spans="2:62" ht="16.8">
      <c r="B630" s="7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W630" s="332"/>
      <c r="X630" s="332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</row>
    <row r="631" spans="2:62" ht="16.8">
      <c r="B631" s="7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W631" s="332"/>
      <c r="X631" s="332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</row>
    <row r="632" spans="2:62" ht="16.8">
      <c r="B632" s="7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W632" s="332"/>
      <c r="X632" s="332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</row>
    <row r="633" spans="2:62" ht="16.8">
      <c r="B633" s="7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W633" s="332"/>
      <c r="X633" s="332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</row>
    <row r="634" spans="2:62" ht="16.8">
      <c r="B634" s="7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W634" s="332"/>
      <c r="X634" s="332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</row>
    <row r="635" spans="2:62" ht="16.8">
      <c r="B635" s="7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W635" s="332"/>
      <c r="X635" s="332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</row>
    <row r="636" spans="2:62" ht="16.8">
      <c r="B636" s="7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W636" s="332"/>
      <c r="X636" s="332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</row>
    <row r="637" spans="2:62" ht="16.8">
      <c r="B637" s="7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W637" s="332"/>
      <c r="X637" s="332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</row>
    <row r="638" spans="2:62" ht="16.8">
      <c r="B638" s="7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W638" s="332"/>
      <c r="X638" s="332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</row>
    <row r="639" spans="2:62" ht="16.8">
      <c r="B639" s="7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W639" s="332"/>
      <c r="X639" s="332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</row>
    <row r="640" spans="2:62" ht="16.8">
      <c r="B640" s="7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W640" s="332"/>
      <c r="X640" s="332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</row>
    <row r="641" spans="2:62" ht="16.8">
      <c r="B641" s="7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W641" s="332"/>
      <c r="X641" s="332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</row>
    <row r="642" spans="2:62" ht="16.8">
      <c r="B642" s="7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W642" s="332"/>
      <c r="X642" s="332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</row>
    <row r="643" spans="2:62" ht="16.8">
      <c r="B643" s="7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W643" s="332"/>
      <c r="X643" s="332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</row>
    <row r="644" spans="2:62" ht="16.8">
      <c r="B644" s="7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W644" s="332"/>
      <c r="X644" s="332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</row>
    <row r="645" spans="2:62" ht="16.8">
      <c r="B645" s="7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W645" s="332"/>
      <c r="X645" s="332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</row>
    <row r="646" spans="2:62" ht="16.8">
      <c r="B646" s="7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W646" s="332"/>
      <c r="X646" s="332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</row>
    <row r="647" spans="2:62" ht="16.8">
      <c r="B647" s="7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W647" s="332"/>
      <c r="X647" s="332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</row>
    <row r="648" spans="2:62" ht="16.8">
      <c r="B648" s="7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W648" s="332"/>
      <c r="X648" s="332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</row>
    <row r="649" spans="2:62" ht="16.8">
      <c r="B649" s="7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W649" s="332"/>
      <c r="X649" s="332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</row>
    <row r="650" spans="2:62" ht="16.8">
      <c r="B650" s="7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W650" s="332"/>
      <c r="X650" s="332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</row>
    <row r="651" spans="2:62" ht="30">
      <c r="B651" s="7"/>
      <c r="C651" s="409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410"/>
      <c r="P651" s="332"/>
      <c r="Q651" s="332"/>
      <c r="R651" s="332"/>
      <c r="S651" s="332"/>
      <c r="T651" s="332"/>
      <c r="U651" s="332"/>
      <c r="W651" s="332"/>
      <c r="X651" s="332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</row>
    <row r="652" spans="2:62" ht="17.399999999999999">
      <c r="B652" s="7"/>
      <c r="C652" s="399"/>
      <c r="D652" s="403"/>
      <c r="E652" s="403"/>
      <c r="F652" s="403"/>
      <c r="G652" s="403"/>
      <c r="H652" s="403"/>
      <c r="I652" s="403"/>
      <c r="J652" s="403"/>
      <c r="K652" s="403"/>
      <c r="L652" s="403"/>
      <c r="M652" s="403"/>
      <c r="N652" s="403"/>
      <c r="O652" s="403"/>
      <c r="P652" s="403"/>
      <c r="Q652" s="411"/>
      <c r="R652" s="403"/>
      <c r="S652" s="403"/>
      <c r="T652" s="332"/>
      <c r="U652" s="332"/>
      <c r="W652" s="332"/>
      <c r="X652" s="332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</row>
    <row r="653" spans="2:62" ht="16.8">
      <c r="B653" s="7"/>
      <c r="C653" s="332"/>
      <c r="D653" s="400"/>
      <c r="E653" s="400"/>
      <c r="F653" s="412"/>
      <c r="G653" s="400"/>
      <c r="H653" s="400"/>
      <c r="I653" s="412"/>
      <c r="J653" s="404"/>
      <c r="K653" s="404"/>
      <c r="L653" s="413"/>
      <c r="M653" s="404"/>
      <c r="N653" s="404"/>
      <c r="O653" s="404"/>
      <c r="P653" s="404"/>
      <c r="Q653" s="401"/>
      <c r="R653" s="400"/>
      <c r="S653" s="412"/>
      <c r="T653" s="332"/>
      <c r="U653" s="332"/>
      <c r="W653" s="332"/>
      <c r="X653" s="332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</row>
    <row r="654" spans="2:62" ht="16.8">
      <c r="B654" s="7"/>
      <c r="C654" s="414"/>
      <c r="D654" s="332"/>
      <c r="E654" s="332"/>
      <c r="F654" s="403"/>
      <c r="G654" s="332"/>
      <c r="H654" s="332"/>
      <c r="I654" s="403"/>
      <c r="J654" s="403"/>
      <c r="K654" s="403"/>
      <c r="L654" s="332"/>
      <c r="M654" s="403"/>
      <c r="N654" s="403"/>
      <c r="O654" s="332"/>
      <c r="P654" s="403"/>
      <c r="Q654" s="403"/>
      <c r="R654" s="332"/>
      <c r="S654" s="403"/>
      <c r="T654" s="332"/>
      <c r="U654" s="332"/>
      <c r="W654" s="332"/>
      <c r="X654" s="332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</row>
    <row r="655" spans="2:62" ht="16.8">
      <c r="B655" s="7"/>
      <c r="C655" s="332"/>
      <c r="D655" s="332"/>
      <c r="E655" s="332"/>
      <c r="F655" s="396"/>
      <c r="G655" s="332"/>
      <c r="H655" s="332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32"/>
      <c r="U655" s="332"/>
      <c r="W655" s="332"/>
      <c r="X655" s="332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</row>
    <row r="656" spans="2:62" ht="16.8">
      <c r="B656" s="7"/>
      <c r="C656" s="395"/>
      <c r="D656" s="395"/>
      <c r="E656" s="395"/>
      <c r="F656" s="398"/>
      <c r="G656" s="395"/>
      <c r="H656" s="395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32"/>
      <c r="U656" s="332"/>
      <c r="W656" s="332"/>
      <c r="X656" s="332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</row>
    <row r="657" spans="2:62" ht="16.8">
      <c r="B657" s="7"/>
      <c r="C657" s="332"/>
      <c r="D657" s="332"/>
      <c r="E657" s="332"/>
      <c r="F657" s="332"/>
      <c r="G657" s="332"/>
      <c r="H657" s="332"/>
      <c r="I657" s="332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32"/>
      <c r="U657" s="332"/>
      <c r="W657" s="332"/>
      <c r="X657" s="332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</row>
    <row r="658" spans="2:62" ht="16.8">
      <c r="B658" s="7"/>
      <c r="C658" s="332"/>
      <c r="D658" s="332"/>
      <c r="E658" s="332"/>
      <c r="F658" s="332"/>
      <c r="G658" s="332"/>
      <c r="H658" s="332"/>
      <c r="I658" s="332"/>
      <c r="J658" s="332"/>
      <c r="K658" s="396"/>
      <c r="L658" s="396"/>
      <c r="M658" s="332"/>
      <c r="N658" s="396"/>
      <c r="O658" s="396"/>
      <c r="P658" s="332"/>
      <c r="Q658" s="396"/>
      <c r="R658" s="396"/>
      <c r="S658" s="332"/>
      <c r="T658" s="332"/>
      <c r="U658" s="332"/>
      <c r="W658" s="332"/>
      <c r="X658" s="332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</row>
    <row r="659" spans="2:62" ht="16.8">
      <c r="B659" s="7"/>
      <c r="C659" s="332"/>
      <c r="D659" s="332"/>
      <c r="E659" s="332"/>
      <c r="F659" s="332"/>
      <c r="G659" s="332"/>
      <c r="H659" s="332"/>
      <c r="I659" s="332"/>
      <c r="J659" s="332"/>
      <c r="K659" s="396"/>
      <c r="L659" s="396"/>
      <c r="M659" s="332"/>
      <c r="N659" s="396"/>
      <c r="O659" s="396"/>
      <c r="P659" s="332"/>
      <c r="Q659" s="396"/>
      <c r="R659" s="396"/>
      <c r="S659" s="332"/>
      <c r="T659" s="332"/>
      <c r="U659" s="332"/>
      <c r="W659" s="332"/>
      <c r="X659" s="332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</row>
    <row r="660" spans="2:62" ht="16.8">
      <c r="B660" s="7"/>
      <c r="C660" s="332"/>
      <c r="D660" s="332"/>
      <c r="E660" s="332"/>
      <c r="F660" s="332"/>
      <c r="G660" s="332"/>
      <c r="H660" s="332"/>
      <c r="I660" s="332"/>
      <c r="J660" s="332"/>
      <c r="K660" s="396"/>
      <c r="L660" s="396"/>
      <c r="M660" s="332"/>
      <c r="N660" s="396"/>
      <c r="O660" s="396"/>
      <c r="P660" s="332"/>
      <c r="Q660" s="396"/>
      <c r="R660" s="396"/>
      <c r="S660" s="332"/>
      <c r="T660" s="332"/>
      <c r="U660" s="332"/>
      <c r="W660" s="332"/>
      <c r="X660" s="332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</row>
    <row r="661" spans="2:62" ht="16.8">
      <c r="B661" s="7"/>
      <c r="C661" s="332"/>
      <c r="D661" s="332"/>
      <c r="E661" s="332"/>
      <c r="F661" s="332"/>
      <c r="G661" s="332"/>
      <c r="H661" s="332"/>
      <c r="I661" s="332"/>
      <c r="J661" s="332"/>
      <c r="K661" s="396"/>
      <c r="L661" s="396"/>
      <c r="M661" s="332"/>
      <c r="N661" s="396"/>
      <c r="O661" s="396"/>
      <c r="P661" s="332"/>
      <c r="Q661" s="396"/>
      <c r="R661" s="396"/>
      <c r="S661" s="332"/>
      <c r="T661" s="332"/>
      <c r="U661" s="332"/>
      <c r="W661" s="332"/>
      <c r="X661" s="332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</row>
    <row r="662" spans="2:62" ht="16.8">
      <c r="B662" s="7"/>
      <c r="C662" s="332"/>
      <c r="D662" s="332"/>
      <c r="E662" s="332"/>
      <c r="F662" s="332"/>
      <c r="G662" s="332"/>
      <c r="H662" s="332"/>
      <c r="I662" s="332"/>
      <c r="J662" s="332"/>
      <c r="K662" s="396"/>
      <c r="L662" s="396"/>
      <c r="M662" s="332"/>
      <c r="N662" s="396"/>
      <c r="O662" s="396"/>
      <c r="P662" s="332"/>
      <c r="Q662" s="396"/>
      <c r="R662" s="396"/>
      <c r="S662" s="332"/>
      <c r="T662" s="332"/>
      <c r="U662" s="332"/>
      <c r="W662" s="332"/>
      <c r="X662" s="332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</row>
    <row r="663" spans="2:62" ht="16.8">
      <c r="B663" s="7"/>
      <c r="C663" s="332"/>
      <c r="D663" s="332"/>
      <c r="E663" s="332"/>
      <c r="F663" s="332"/>
      <c r="G663" s="332"/>
      <c r="H663" s="332"/>
      <c r="I663" s="332"/>
      <c r="J663" s="332"/>
      <c r="K663" s="396"/>
      <c r="L663" s="398"/>
      <c r="M663" s="332"/>
      <c r="N663" s="396"/>
      <c r="O663" s="396"/>
      <c r="P663" s="332"/>
      <c r="Q663" s="396"/>
      <c r="R663" s="398"/>
      <c r="S663" s="332"/>
      <c r="T663" s="332"/>
      <c r="U663" s="332"/>
      <c r="W663" s="332"/>
      <c r="X663" s="332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</row>
    <row r="664" spans="2:62" ht="16.8">
      <c r="B664" s="7"/>
      <c r="C664" s="332"/>
      <c r="D664" s="332"/>
      <c r="E664" s="332"/>
      <c r="F664" s="332"/>
      <c r="G664" s="332"/>
      <c r="H664" s="332"/>
      <c r="I664" s="332"/>
      <c r="J664" s="332"/>
      <c r="K664" s="396"/>
      <c r="L664" s="396"/>
      <c r="M664" s="332"/>
      <c r="N664" s="396"/>
      <c r="O664" s="396"/>
      <c r="P664" s="332"/>
      <c r="Q664" s="396"/>
      <c r="R664" s="396"/>
      <c r="S664" s="332"/>
      <c r="T664" s="332"/>
      <c r="U664" s="332"/>
      <c r="W664" s="332"/>
      <c r="X664" s="332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</row>
    <row r="665" spans="2:62" ht="16.8">
      <c r="B665" s="7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98"/>
      <c r="O665" s="398"/>
      <c r="P665" s="332"/>
      <c r="Q665" s="398"/>
      <c r="R665" s="332"/>
      <c r="S665" s="332"/>
      <c r="T665" s="332"/>
      <c r="U665" s="332"/>
      <c r="W665" s="332"/>
      <c r="X665" s="332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</row>
    <row r="666" spans="2:62" ht="16.8">
      <c r="B666" s="7"/>
      <c r="C666" s="332"/>
      <c r="D666" s="332"/>
      <c r="E666" s="332"/>
      <c r="F666" s="332"/>
      <c r="G666" s="332"/>
      <c r="H666" s="332"/>
      <c r="I666" s="332"/>
      <c r="J666" s="332"/>
      <c r="K666" s="398"/>
      <c r="L666" s="398"/>
      <c r="M666" s="332"/>
      <c r="N666" s="396"/>
      <c r="O666" s="396"/>
      <c r="P666" s="332"/>
      <c r="Q666" s="396"/>
      <c r="R666" s="398"/>
      <c r="S666" s="332"/>
      <c r="T666" s="332"/>
      <c r="U666" s="332"/>
      <c r="W666" s="332"/>
      <c r="X666" s="332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</row>
    <row r="667" spans="2:62" ht="16.8">
      <c r="B667" s="7"/>
      <c r="C667" s="332"/>
      <c r="D667" s="332"/>
      <c r="E667" s="332"/>
      <c r="F667" s="332"/>
      <c r="G667" s="332"/>
      <c r="H667" s="332"/>
      <c r="I667" s="332"/>
      <c r="J667" s="332"/>
      <c r="K667" s="396"/>
      <c r="L667" s="396"/>
      <c r="M667" s="332"/>
      <c r="N667" s="396"/>
      <c r="O667" s="396"/>
      <c r="P667" s="332"/>
      <c r="Q667" s="396"/>
      <c r="R667" s="396"/>
      <c r="S667" s="332"/>
      <c r="T667" s="332"/>
      <c r="U667" s="332"/>
      <c r="W667" s="332"/>
      <c r="X667" s="332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</row>
    <row r="668" spans="2:62" ht="16.8">
      <c r="B668" s="7"/>
      <c r="C668" s="332"/>
      <c r="D668" s="332"/>
      <c r="E668" s="332"/>
      <c r="F668" s="332"/>
      <c r="G668" s="332"/>
      <c r="H668" s="332"/>
      <c r="I668" s="332"/>
      <c r="J668" s="332"/>
      <c r="K668" s="396"/>
      <c r="L668" s="396"/>
      <c r="M668" s="332"/>
      <c r="N668" s="396"/>
      <c r="O668" s="396"/>
      <c r="P668" s="332"/>
      <c r="Q668" s="396"/>
      <c r="R668" s="396"/>
      <c r="S668" s="332"/>
      <c r="T668" s="332"/>
      <c r="U668" s="332"/>
      <c r="W668" s="332"/>
      <c r="X668" s="332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</row>
    <row r="669" spans="2:62" ht="16.8">
      <c r="B669" s="7"/>
      <c r="C669" s="332"/>
      <c r="D669" s="332"/>
      <c r="E669" s="332"/>
      <c r="F669" s="332"/>
      <c r="G669" s="332"/>
      <c r="H669" s="332"/>
      <c r="I669" s="332"/>
      <c r="J669" s="332"/>
      <c r="K669" s="396"/>
      <c r="L669" s="396"/>
      <c r="M669" s="332"/>
      <c r="N669" s="396"/>
      <c r="O669" s="396"/>
      <c r="P669" s="332"/>
      <c r="Q669" s="396"/>
      <c r="R669" s="396"/>
      <c r="S669" s="332"/>
      <c r="T669" s="332"/>
      <c r="U669" s="332"/>
      <c r="W669" s="332"/>
      <c r="X669" s="332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</row>
    <row r="670" spans="2:62" ht="16.8">
      <c r="B670" s="7"/>
      <c r="C670" s="332"/>
      <c r="D670" s="332"/>
      <c r="E670" s="332"/>
      <c r="F670" s="332"/>
      <c r="G670" s="332"/>
      <c r="H670" s="332"/>
      <c r="I670" s="332"/>
      <c r="J670" s="332"/>
      <c r="K670" s="396"/>
      <c r="L670" s="396"/>
      <c r="M670" s="332"/>
      <c r="N670" s="396"/>
      <c r="O670" s="396"/>
      <c r="P670" s="332"/>
      <c r="Q670" s="396"/>
      <c r="R670" s="396"/>
      <c r="S670" s="332"/>
      <c r="T670" s="332"/>
      <c r="U670" s="332"/>
      <c r="W670" s="332"/>
      <c r="X670" s="332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</row>
    <row r="671" spans="2:62" ht="16.8">
      <c r="B671" s="7"/>
      <c r="C671" s="332"/>
      <c r="D671" s="332"/>
      <c r="E671" s="332"/>
      <c r="F671" s="332"/>
      <c r="G671" s="332"/>
      <c r="H671" s="332"/>
      <c r="I671" s="332"/>
      <c r="J671" s="332"/>
      <c r="K671" s="396"/>
      <c r="L671" s="396"/>
      <c r="M671" s="332"/>
      <c r="N671" s="396"/>
      <c r="O671" s="396"/>
      <c r="P671" s="332"/>
      <c r="Q671" s="396"/>
      <c r="R671" s="396"/>
      <c r="S671" s="332"/>
      <c r="T671" s="332"/>
      <c r="U671" s="332"/>
      <c r="W671" s="332"/>
      <c r="X671" s="332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</row>
    <row r="672" spans="2:62" ht="16.8">
      <c r="B672" s="7"/>
      <c r="C672" s="332"/>
      <c r="D672" s="332"/>
      <c r="E672" s="332"/>
      <c r="F672" s="332"/>
      <c r="G672" s="332"/>
      <c r="H672" s="332"/>
      <c r="I672" s="332"/>
      <c r="J672" s="332"/>
      <c r="K672" s="396"/>
      <c r="L672" s="396"/>
      <c r="M672" s="332"/>
      <c r="N672" s="396"/>
      <c r="O672" s="396"/>
      <c r="P672" s="332"/>
      <c r="Q672" s="396"/>
      <c r="R672" s="396"/>
      <c r="S672" s="332"/>
      <c r="T672" s="332"/>
      <c r="U672" s="332"/>
      <c r="W672" s="332"/>
      <c r="X672" s="332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</row>
    <row r="673" spans="2:62" ht="16.8">
      <c r="B673" s="7"/>
      <c r="C673" s="332"/>
      <c r="D673" s="332"/>
      <c r="E673" s="332"/>
      <c r="F673" s="332"/>
      <c r="G673" s="332"/>
      <c r="H673" s="332"/>
      <c r="I673" s="332"/>
      <c r="J673" s="332"/>
      <c r="K673" s="396"/>
      <c r="L673" s="396"/>
      <c r="M673" s="332"/>
      <c r="N673" s="396"/>
      <c r="O673" s="396"/>
      <c r="P673" s="332"/>
      <c r="Q673" s="396"/>
      <c r="R673" s="396"/>
      <c r="S673" s="332"/>
      <c r="T673" s="332"/>
      <c r="U673" s="332"/>
      <c r="W673" s="332"/>
      <c r="X673" s="332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</row>
    <row r="674" spans="2:62" ht="16.8">
      <c r="B674" s="7"/>
      <c r="C674" s="332"/>
      <c r="D674" s="332"/>
      <c r="E674" s="332"/>
      <c r="F674" s="332"/>
      <c r="G674" s="332"/>
      <c r="H674" s="332"/>
      <c r="I674" s="332"/>
      <c r="J674" s="332"/>
      <c r="K674" s="396"/>
      <c r="L674" s="396"/>
      <c r="M674" s="332"/>
      <c r="N674" s="396"/>
      <c r="O674" s="396"/>
      <c r="P674" s="332"/>
      <c r="Q674" s="396"/>
      <c r="R674" s="396"/>
      <c r="S674" s="332"/>
      <c r="T674" s="332"/>
      <c r="U674" s="332"/>
      <c r="W674" s="332"/>
      <c r="X674" s="332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</row>
    <row r="675" spans="2:62" ht="16.8">
      <c r="B675" s="7"/>
      <c r="C675" s="332"/>
      <c r="D675" s="332"/>
      <c r="E675" s="332"/>
      <c r="F675" s="332"/>
      <c r="G675" s="332"/>
      <c r="H675" s="332"/>
      <c r="I675" s="332"/>
      <c r="J675" s="332"/>
      <c r="K675" s="396"/>
      <c r="L675" s="396"/>
      <c r="M675" s="332"/>
      <c r="N675" s="398"/>
      <c r="O675" s="398"/>
      <c r="P675" s="332"/>
      <c r="Q675" s="398"/>
      <c r="R675" s="396"/>
      <c r="S675" s="332"/>
      <c r="T675" s="332"/>
      <c r="U675" s="332"/>
      <c r="W675" s="332"/>
      <c r="X675" s="332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</row>
    <row r="676" spans="2:62" ht="16.8">
      <c r="B676" s="7"/>
      <c r="C676" s="332"/>
      <c r="D676" s="332"/>
      <c r="E676" s="332"/>
      <c r="F676" s="332"/>
      <c r="G676" s="332"/>
      <c r="H676" s="332"/>
      <c r="I676" s="332"/>
      <c r="J676" s="332"/>
      <c r="K676" s="398"/>
      <c r="L676" s="398"/>
      <c r="M676" s="332"/>
      <c r="N676" s="396"/>
      <c r="O676" s="396"/>
      <c r="P676" s="332"/>
      <c r="Q676" s="396"/>
      <c r="R676" s="398"/>
      <c r="S676" s="332"/>
      <c r="T676" s="332"/>
      <c r="U676" s="332"/>
      <c r="W676" s="332"/>
      <c r="X676" s="332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</row>
    <row r="677" spans="2:62" ht="16.8">
      <c r="B677" s="7"/>
      <c r="C677" s="332"/>
      <c r="D677" s="332"/>
      <c r="E677" s="332"/>
      <c r="F677" s="332"/>
      <c r="G677" s="332"/>
      <c r="H677" s="332"/>
      <c r="I677" s="332"/>
      <c r="J677" s="332"/>
      <c r="K677" s="396"/>
      <c r="L677" s="396"/>
      <c r="M677" s="332"/>
      <c r="N677" s="396"/>
      <c r="O677" s="396"/>
      <c r="P677" s="332"/>
      <c r="Q677" s="396"/>
      <c r="R677" s="396"/>
      <c r="S677" s="332"/>
      <c r="T677" s="332"/>
      <c r="U677" s="332"/>
      <c r="W677" s="332"/>
      <c r="X677" s="332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</row>
    <row r="678" spans="2:62" ht="16.8">
      <c r="B678" s="7"/>
      <c r="C678" s="332"/>
      <c r="D678" s="332"/>
      <c r="E678" s="332"/>
      <c r="F678" s="332"/>
      <c r="G678" s="332"/>
      <c r="H678" s="332"/>
      <c r="I678" s="332"/>
      <c r="J678" s="332"/>
      <c r="K678" s="396"/>
      <c r="L678" s="396"/>
      <c r="M678" s="332"/>
      <c r="N678" s="396"/>
      <c r="O678" s="396"/>
      <c r="P678" s="332"/>
      <c r="Q678" s="396"/>
      <c r="R678" s="396"/>
      <c r="S678" s="332"/>
      <c r="T678" s="332"/>
      <c r="U678" s="332"/>
      <c r="W678" s="332"/>
      <c r="X678" s="332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</row>
    <row r="679" spans="2:62" ht="16.8">
      <c r="B679" s="7"/>
      <c r="C679" s="332"/>
      <c r="D679" s="332"/>
      <c r="E679" s="332"/>
      <c r="F679" s="332"/>
      <c r="G679" s="332"/>
      <c r="H679" s="332"/>
      <c r="I679" s="332"/>
      <c r="J679" s="332"/>
      <c r="K679" s="396"/>
      <c r="L679" s="396"/>
      <c r="M679" s="332"/>
      <c r="N679" s="396"/>
      <c r="O679" s="396"/>
      <c r="P679" s="332"/>
      <c r="Q679" s="396"/>
      <c r="R679" s="396"/>
      <c r="S679" s="332"/>
      <c r="T679" s="332"/>
      <c r="U679" s="332"/>
      <c r="W679" s="332"/>
      <c r="X679" s="332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</row>
    <row r="680" spans="2:62" ht="16.8">
      <c r="B680" s="7"/>
      <c r="C680" s="332"/>
      <c r="D680" s="332"/>
      <c r="E680" s="332"/>
      <c r="F680" s="332"/>
      <c r="G680" s="332"/>
      <c r="H680" s="332"/>
      <c r="I680" s="332"/>
      <c r="J680" s="332"/>
      <c r="K680" s="396"/>
      <c r="L680" s="396"/>
      <c r="M680" s="332"/>
      <c r="N680" s="396"/>
      <c r="O680" s="396"/>
      <c r="P680" s="332"/>
      <c r="Q680" s="396"/>
      <c r="R680" s="396"/>
      <c r="S680" s="332"/>
      <c r="T680" s="332"/>
      <c r="U680" s="332"/>
      <c r="W680" s="332"/>
      <c r="X680" s="332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</row>
    <row r="681" spans="2:62" ht="16.8">
      <c r="B681" s="7"/>
      <c r="C681" s="332"/>
      <c r="D681" s="332"/>
      <c r="E681" s="332"/>
      <c r="F681" s="332"/>
      <c r="G681" s="332"/>
      <c r="H681" s="332"/>
      <c r="I681" s="332"/>
      <c r="J681" s="332"/>
      <c r="K681" s="396"/>
      <c r="L681" s="396"/>
      <c r="M681" s="332"/>
      <c r="N681" s="396"/>
      <c r="O681" s="396"/>
      <c r="P681" s="332"/>
      <c r="Q681" s="396"/>
      <c r="R681" s="396"/>
      <c r="S681" s="332"/>
      <c r="T681" s="332"/>
      <c r="U681" s="332"/>
      <c r="W681" s="332"/>
      <c r="X681" s="332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</row>
    <row r="682" spans="2:62" ht="16.8">
      <c r="B682" s="7"/>
      <c r="C682" s="332"/>
      <c r="D682" s="332"/>
      <c r="E682" s="332"/>
      <c r="F682" s="332"/>
      <c r="G682" s="332"/>
      <c r="H682" s="332"/>
      <c r="I682" s="332"/>
      <c r="J682" s="332"/>
      <c r="K682" s="396"/>
      <c r="L682" s="396"/>
      <c r="M682" s="332"/>
      <c r="N682" s="396"/>
      <c r="O682" s="396"/>
      <c r="P682" s="332"/>
      <c r="Q682" s="396"/>
      <c r="R682" s="396"/>
      <c r="S682" s="332"/>
      <c r="T682" s="332"/>
      <c r="U682" s="332"/>
      <c r="W682" s="332"/>
      <c r="X682" s="332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</row>
    <row r="683" spans="2:62" ht="16.8">
      <c r="B683" s="7"/>
      <c r="C683" s="332"/>
      <c r="D683" s="332"/>
      <c r="E683" s="332"/>
      <c r="F683" s="332"/>
      <c r="G683" s="332"/>
      <c r="H683" s="332"/>
      <c r="I683" s="332"/>
      <c r="J683" s="332"/>
      <c r="K683" s="396"/>
      <c r="L683" s="396"/>
      <c r="M683" s="332"/>
      <c r="N683" s="396"/>
      <c r="O683" s="396"/>
      <c r="P683" s="332"/>
      <c r="Q683" s="396"/>
      <c r="R683" s="396"/>
      <c r="S683" s="332"/>
      <c r="T683" s="332"/>
      <c r="U683" s="332"/>
      <c r="W683" s="332"/>
      <c r="X683" s="332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</row>
    <row r="684" spans="2:62" ht="16.8">
      <c r="B684" s="7"/>
      <c r="C684" s="332"/>
      <c r="D684" s="332"/>
      <c r="E684" s="332"/>
      <c r="F684" s="332"/>
      <c r="G684" s="332"/>
      <c r="H684" s="332"/>
      <c r="I684" s="332"/>
      <c r="J684" s="332"/>
      <c r="K684" s="396"/>
      <c r="L684" s="396"/>
      <c r="M684" s="332"/>
      <c r="N684" s="396"/>
      <c r="O684" s="396"/>
      <c r="P684" s="332"/>
      <c r="Q684" s="396"/>
      <c r="R684" s="396"/>
      <c r="S684" s="332"/>
      <c r="T684" s="332"/>
      <c r="U684" s="332"/>
      <c r="W684" s="332"/>
      <c r="X684" s="332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</row>
    <row r="685" spans="2:62" ht="16.8">
      <c r="B685" s="7"/>
      <c r="C685" s="332"/>
      <c r="D685" s="332"/>
      <c r="E685" s="332"/>
      <c r="F685" s="332"/>
      <c r="G685" s="332"/>
      <c r="H685" s="332"/>
      <c r="I685" s="332"/>
      <c r="J685" s="332"/>
      <c r="K685" s="396"/>
      <c r="L685" s="396"/>
      <c r="M685" s="332"/>
      <c r="N685" s="396"/>
      <c r="O685" s="396"/>
      <c r="P685" s="332"/>
      <c r="Q685" s="396"/>
      <c r="R685" s="396"/>
      <c r="S685" s="332"/>
      <c r="T685" s="332"/>
      <c r="U685" s="332"/>
      <c r="W685" s="332"/>
      <c r="X685" s="332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</row>
    <row r="686" spans="2:62" ht="16.8">
      <c r="B686" s="7"/>
      <c r="C686" s="332"/>
      <c r="D686" s="332"/>
      <c r="E686" s="332"/>
      <c r="F686" s="332"/>
      <c r="G686" s="332"/>
      <c r="H686" s="332"/>
      <c r="I686" s="332"/>
      <c r="J686" s="332"/>
      <c r="K686" s="396"/>
      <c r="L686" s="396"/>
      <c r="M686" s="332"/>
      <c r="N686" s="396"/>
      <c r="O686" s="396"/>
      <c r="P686" s="332"/>
      <c r="Q686" s="396"/>
      <c r="R686" s="396"/>
      <c r="S686" s="332"/>
      <c r="T686" s="332"/>
      <c r="U686" s="332"/>
      <c r="W686" s="332"/>
      <c r="X686" s="332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</row>
    <row r="687" spans="2:62" ht="16.8">
      <c r="B687" s="7"/>
      <c r="C687" s="332"/>
      <c r="D687" s="332"/>
      <c r="E687" s="332"/>
      <c r="F687" s="332"/>
      <c r="G687" s="332"/>
      <c r="H687" s="332"/>
      <c r="I687" s="332"/>
      <c r="J687" s="332"/>
      <c r="K687" s="396"/>
      <c r="L687" s="396"/>
      <c r="M687" s="332"/>
      <c r="N687" s="396"/>
      <c r="O687" s="396"/>
      <c r="P687" s="332"/>
      <c r="Q687" s="396"/>
      <c r="R687" s="396"/>
      <c r="S687" s="332"/>
      <c r="T687" s="332"/>
      <c r="U687" s="332"/>
      <c r="W687" s="332"/>
      <c r="X687" s="332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</row>
    <row r="688" spans="2:62" ht="16.8">
      <c r="B688" s="7"/>
      <c r="C688" s="332"/>
      <c r="D688" s="332"/>
      <c r="E688" s="332"/>
      <c r="F688" s="332"/>
      <c r="G688" s="332"/>
      <c r="H688" s="332"/>
      <c r="I688" s="332"/>
      <c r="J688" s="332"/>
      <c r="K688" s="396"/>
      <c r="L688" s="396"/>
      <c r="M688" s="332"/>
      <c r="N688" s="396"/>
      <c r="O688" s="396"/>
      <c r="P688" s="332"/>
      <c r="Q688" s="396"/>
      <c r="R688" s="396"/>
      <c r="S688" s="332"/>
      <c r="T688" s="332"/>
      <c r="U688" s="332"/>
      <c r="W688" s="332"/>
      <c r="X688" s="332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</row>
    <row r="689" spans="2:62" ht="16.8">
      <c r="B689" s="7"/>
      <c r="C689" s="332"/>
      <c r="D689" s="332"/>
      <c r="E689" s="332"/>
      <c r="F689" s="332"/>
      <c r="G689" s="332"/>
      <c r="H689" s="332"/>
      <c r="I689" s="332"/>
      <c r="J689" s="332"/>
      <c r="K689" s="396"/>
      <c r="L689" s="396"/>
      <c r="M689" s="332"/>
      <c r="N689" s="396"/>
      <c r="O689" s="396"/>
      <c r="P689" s="332"/>
      <c r="Q689" s="396"/>
      <c r="R689" s="396"/>
      <c r="S689" s="332"/>
      <c r="T689" s="332"/>
      <c r="U689" s="332"/>
      <c r="W689" s="332"/>
      <c r="X689" s="332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</row>
    <row r="690" spans="2:62" ht="16.8">
      <c r="B690" s="7"/>
      <c r="C690" s="332"/>
      <c r="D690" s="332"/>
      <c r="E690" s="332"/>
      <c r="F690" s="332"/>
      <c r="G690" s="332"/>
      <c r="H690" s="332"/>
      <c r="I690" s="332"/>
      <c r="J690" s="332"/>
      <c r="K690" s="396"/>
      <c r="L690" s="396"/>
      <c r="M690" s="332"/>
      <c r="N690" s="332"/>
      <c r="O690" s="332"/>
      <c r="P690" s="332"/>
      <c r="Q690" s="332"/>
      <c r="R690" s="396"/>
      <c r="S690" s="332"/>
      <c r="T690" s="332"/>
      <c r="U690" s="332"/>
      <c r="W690" s="332"/>
      <c r="X690" s="332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</row>
    <row r="691" spans="2:62" ht="16.8">
      <c r="B691" s="7"/>
      <c r="C691" s="332"/>
      <c r="D691" s="332"/>
      <c r="E691" s="332"/>
      <c r="F691" s="332"/>
      <c r="G691" s="332"/>
      <c r="H691" s="332"/>
      <c r="I691" s="332"/>
      <c r="J691" s="332"/>
      <c r="K691" s="396"/>
      <c r="L691" s="396"/>
      <c r="M691" s="332"/>
      <c r="N691" s="398"/>
      <c r="O691" s="398"/>
      <c r="P691" s="332"/>
      <c r="Q691" s="398"/>
      <c r="R691" s="396"/>
      <c r="S691" s="332"/>
      <c r="T691" s="332"/>
      <c r="U691" s="332"/>
      <c r="W691" s="332"/>
      <c r="X691" s="332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</row>
    <row r="692" spans="2:62" ht="16.8">
      <c r="B692" s="7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96"/>
      <c r="O692" s="396"/>
      <c r="P692" s="332"/>
      <c r="Q692" s="396"/>
      <c r="R692" s="332"/>
      <c r="S692" s="332"/>
      <c r="T692" s="332"/>
      <c r="U692" s="332"/>
      <c r="W692" s="332"/>
      <c r="X692" s="332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</row>
    <row r="693" spans="2:62" ht="16.8">
      <c r="B693" s="7"/>
      <c r="C693" s="332"/>
      <c r="D693" s="332"/>
      <c r="E693" s="332"/>
      <c r="F693" s="332"/>
      <c r="G693" s="332"/>
      <c r="H693" s="332"/>
      <c r="I693" s="332"/>
      <c r="J693" s="332"/>
      <c r="K693" s="398"/>
      <c r="L693" s="398"/>
      <c r="M693" s="332"/>
      <c r="N693" s="396"/>
      <c r="O693" s="396"/>
      <c r="P693" s="332"/>
      <c r="Q693" s="396"/>
      <c r="R693" s="398"/>
      <c r="S693" s="332"/>
      <c r="T693" s="332"/>
      <c r="U693" s="332"/>
      <c r="W693" s="332"/>
      <c r="X693" s="332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</row>
    <row r="694" spans="2:62" ht="16.8">
      <c r="B694" s="7"/>
      <c r="C694" s="332"/>
      <c r="D694" s="332"/>
      <c r="E694" s="332"/>
      <c r="F694" s="332"/>
      <c r="G694" s="332"/>
      <c r="H694" s="332"/>
      <c r="I694" s="332"/>
      <c r="J694" s="332"/>
      <c r="K694" s="396"/>
      <c r="L694" s="396"/>
      <c r="M694" s="332"/>
      <c r="N694" s="396"/>
      <c r="O694" s="396"/>
      <c r="P694" s="332"/>
      <c r="Q694" s="396"/>
      <c r="R694" s="396"/>
      <c r="S694" s="332"/>
      <c r="T694" s="332"/>
      <c r="U694" s="332"/>
      <c r="W694" s="332"/>
      <c r="X694" s="332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</row>
    <row r="695" spans="2:62" ht="16.8">
      <c r="B695" s="7"/>
      <c r="C695" s="332"/>
      <c r="D695" s="332"/>
      <c r="E695" s="332"/>
      <c r="F695" s="332"/>
      <c r="G695" s="332"/>
      <c r="H695" s="332"/>
      <c r="I695" s="332"/>
      <c r="J695" s="332"/>
      <c r="K695" s="396"/>
      <c r="L695" s="396"/>
      <c r="M695" s="332"/>
      <c r="N695" s="396"/>
      <c r="O695" s="396"/>
      <c r="P695" s="332"/>
      <c r="Q695" s="396"/>
      <c r="R695" s="396"/>
      <c r="S695" s="332"/>
      <c r="T695" s="332"/>
      <c r="U695" s="332"/>
      <c r="W695" s="332"/>
      <c r="X695" s="332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</row>
    <row r="696" spans="2:62" ht="16.8">
      <c r="B696" s="7"/>
      <c r="C696" s="332"/>
      <c r="D696" s="332"/>
      <c r="E696" s="332"/>
      <c r="F696" s="332"/>
      <c r="G696" s="332"/>
      <c r="H696" s="332"/>
      <c r="I696" s="332"/>
      <c r="J696" s="332"/>
      <c r="K696" s="396"/>
      <c r="L696" s="396"/>
      <c r="M696" s="332"/>
      <c r="N696" s="396"/>
      <c r="O696" s="396"/>
      <c r="P696" s="332"/>
      <c r="Q696" s="396"/>
      <c r="R696" s="396"/>
      <c r="S696" s="332"/>
      <c r="T696" s="332"/>
      <c r="U696" s="332"/>
      <c r="W696" s="332"/>
      <c r="X696" s="332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</row>
    <row r="697" spans="2:62" ht="16.8">
      <c r="B697" s="7"/>
      <c r="C697" s="332"/>
      <c r="D697" s="332"/>
      <c r="E697" s="332"/>
      <c r="F697" s="332"/>
      <c r="G697" s="332"/>
      <c r="H697" s="332"/>
      <c r="I697" s="332"/>
      <c r="J697" s="332"/>
      <c r="K697" s="396"/>
      <c r="L697" s="396"/>
      <c r="M697" s="332"/>
      <c r="N697" s="396"/>
      <c r="O697" s="396"/>
      <c r="P697" s="332"/>
      <c r="Q697" s="396"/>
      <c r="R697" s="396"/>
      <c r="S697" s="332"/>
      <c r="T697" s="332"/>
      <c r="U697" s="332"/>
      <c r="W697" s="332"/>
      <c r="X697" s="332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</row>
    <row r="698" spans="2:62" ht="16.8">
      <c r="B698" s="7"/>
      <c r="C698" s="332"/>
      <c r="D698" s="332"/>
      <c r="E698" s="332"/>
      <c r="F698" s="332"/>
      <c r="G698" s="332"/>
      <c r="H698" s="332"/>
      <c r="I698" s="332"/>
      <c r="J698" s="332"/>
      <c r="K698" s="396"/>
      <c r="L698" s="396"/>
      <c r="M698" s="332"/>
      <c r="N698" s="396"/>
      <c r="O698" s="396"/>
      <c r="P698" s="332"/>
      <c r="Q698" s="396"/>
      <c r="R698" s="396"/>
      <c r="S698" s="332"/>
      <c r="T698" s="332"/>
      <c r="U698" s="332"/>
      <c r="W698" s="332"/>
      <c r="X698" s="332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</row>
    <row r="699" spans="2:62" ht="16.8">
      <c r="B699" s="7"/>
      <c r="C699" s="332"/>
      <c r="D699" s="332"/>
      <c r="E699" s="332"/>
      <c r="F699" s="332"/>
      <c r="G699" s="332"/>
      <c r="H699" s="332"/>
      <c r="I699" s="332"/>
      <c r="J699" s="332"/>
      <c r="K699" s="396"/>
      <c r="L699" s="396"/>
      <c r="M699" s="332"/>
      <c r="N699" s="396"/>
      <c r="O699" s="396"/>
      <c r="P699" s="332"/>
      <c r="Q699" s="396"/>
      <c r="R699" s="396"/>
      <c r="S699" s="332"/>
      <c r="T699" s="332"/>
      <c r="U699" s="332"/>
      <c r="W699" s="332"/>
      <c r="X699" s="332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</row>
    <row r="700" spans="2:62" ht="16.8">
      <c r="B700" s="7"/>
      <c r="C700" s="332"/>
      <c r="D700" s="332"/>
      <c r="E700" s="332"/>
      <c r="F700" s="332"/>
      <c r="G700" s="332"/>
      <c r="H700" s="332"/>
      <c r="I700" s="332"/>
      <c r="J700" s="332"/>
      <c r="K700" s="396"/>
      <c r="L700" s="398"/>
      <c r="M700" s="332"/>
      <c r="N700" s="396"/>
      <c r="O700" s="396"/>
      <c r="P700" s="332"/>
      <c r="Q700" s="396"/>
      <c r="R700" s="398"/>
      <c r="S700" s="332"/>
      <c r="T700" s="332"/>
      <c r="U700" s="332"/>
      <c r="W700" s="332"/>
      <c r="X700" s="332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</row>
    <row r="701" spans="2:62" ht="16.8">
      <c r="B701" s="7"/>
      <c r="C701" s="332"/>
      <c r="D701" s="332"/>
      <c r="E701" s="332"/>
      <c r="F701" s="332"/>
      <c r="G701" s="332"/>
      <c r="H701" s="332"/>
      <c r="I701" s="332"/>
      <c r="J701" s="332"/>
      <c r="K701" s="396"/>
      <c r="L701" s="396"/>
      <c r="M701" s="332"/>
      <c r="N701" s="396"/>
      <c r="O701" s="396"/>
      <c r="P701" s="332"/>
      <c r="Q701" s="396"/>
      <c r="R701" s="396"/>
      <c r="S701" s="332"/>
      <c r="T701" s="332"/>
      <c r="U701" s="332"/>
      <c r="W701" s="332"/>
      <c r="X701" s="332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</row>
    <row r="702" spans="2:62" ht="16.8">
      <c r="B702" s="7"/>
      <c r="C702" s="332"/>
      <c r="D702" s="332"/>
      <c r="E702" s="332"/>
      <c r="F702" s="332"/>
      <c r="G702" s="332"/>
      <c r="H702" s="332"/>
      <c r="I702" s="332"/>
      <c r="J702" s="332"/>
      <c r="K702" s="396"/>
      <c r="L702" s="396"/>
      <c r="M702" s="332"/>
      <c r="N702" s="396"/>
      <c r="O702" s="396"/>
      <c r="P702" s="332"/>
      <c r="Q702" s="396"/>
      <c r="R702" s="396"/>
      <c r="S702" s="332"/>
      <c r="T702" s="332"/>
      <c r="U702" s="332"/>
      <c r="W702" s="332"/>
      <c r="X702" s="332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</row>
    <row r="703" spans="2:62" ht="16.8">
      <c r="B703" s="7"/>
      <c r="C703" s="332"/>
      <c r="D703" s="332"/>
      <c r="E703" s="332"/>
      <c r="F703" s="332"/>
      <c r="G703" s="332"/>
      <c r="H703" s="332"/>
      <c r="I703" s="332"/>
      <c r="J703" s="332"/>
      <c r="K703" s="396"/>
      <c r="L703" s="396"/>
      <c r="M703" s="332"/>
      <c r="N703" s="398"/>
      <c r="O703" s="398"/>
      <c r="P703" s="332"/>
      <c r="Q703" s="398"/>
      <c r="R703" s="396"/>
      <c r="S703" s="332"/>
      <c r="T703" s="332"/>
      <c r="U703" s="332"/>
      <c r="W703" s="332"/>
      <c r="X703" s="332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</row>
  </sheetData>
  <mergeCells count="42">
    <mergeCell ref="AM405:AO405"/>
    <mergeCell ref="X405:Z405"/>
    <mergeCell ref="AA405:AC405"/>
    <mergeCell ref="AD405:AF405"/>
    <mergeCell ref="AG405:AI405"/>
    <mergeCell ref="AJ405:AL405"/>
    <mergeCell ref="R294:S294"/>
    <mergeCell ref="D359:F359"/>
    <mergeCell ref="G359:I359"/>
    <mergeCell ref="J359:L359"/>
    <mergeCell ref="M359:N359"/>
    <mergeCell ref="O359:Q359"/>
    <mergeCell ref="R359:S359"/>
    <mergeCell ref="D294:F294"/>
    <mergeCell ref="G294:I294"/>
    <mergeCell ref="J294:L294"/>
    <mergeCell ref="M294:N294"/>
    <mergeCell ref="O294:Q294"/>
    <mergeCell ref="R171:S171"/>
    <mergeCell ref="D239:F239"/>
    <mergeCell ref="G239:I239"/>
    <mergeCell ref="J239:L239"/>
    <mergeCell ref="M239:N239"/>
    <mergeCell ref="O239:Q239"/>
    <mergeCell ref="R239:S239"/>
    <mergeCell ref="D171:F171"/>
    <mergeCell ref="G171:I171"/>
    <mergeCell ref="J171:L171"/>
    <mergeCell ref="M171:N171"/>
    <mergeCell ref="O171:Q171"/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</mergeCells>
  <phoneticPr fontId="28" type="noConversion"/>
  <conditionalFormatting sqref="D113:D114">
    <cfRule type="expression" dxfId="549" priority="26" stopIfTrue="1">
      <formula>"esterreur(reference)"</formula>
    </cfRule>
  </conditionalFormatting>
  <conditionalFormatting sqref="E103:E105">
    <cfRule type="expression" dxfId="548" priority="2" stopIfTrue="1">
      <formula>"esterreur(reference)"</formula>
    </cfRule>
  </conditionalFormatting>
  <conditionalFormatting sqref="F5">
    <cfRule type="expression" dxfId="547" priority="69" stopIfTrue="1">
      <formula>"esterreur(reference)"</formula>
    </cfRule>
  </conditionalFormatting>
  <conditionalFormatting sqref="F185">
    <cfRule type="expression" dxfId="546" priority="78" stopIfTrue="1">
      <formula>"esterreur(reference)"</formula>
    </cfRule>
  </conditionalFormatting>
  <conditionalFormatting sqref="G31:G32">
    <cfRule type="expression" dxfId="545" priority="30" stopIfTrue="1">
      <formula>"esterreur(reference)"</formula>
    </cfRule>
  </conditionalFormatting>
  <conditionalFormatting sqref="G113:G114">
    <cfRule type="expression" dxfId="544" priority="27" stopIfTrue="1">
      <formula>"esterreur(reference)"</formula>
    </cfRule>
  </conditionalFormatting>
  <conditionalFormatting sqref="H137:H153">
    <cfRule type="expression" dxfId="543" priority="35" stopIfTrue="1">
      <formula>"esterreur(reference)"</formula>
    </cfRule>
  </conditionalFormatting>
  <conditionalFormatting sqref="H361">
    <cfRule type="expression" dxfId="542" priority="108" stopIfTrue="1">
      <formula>"esterreur(reference)"</formula>
    </cfRule>
  </conditionalFormatting>
  <conditionalFormatting sqref="H198:L198">
    <cfRule type="expression" dxfId="541" priority="110" stopIfTrue="1">
      <formula>"esterreur(reference)"</formula>
    </cfRule>
  </conditionalFormatting>
  <conditionalFormatting sqref="H397:L400">
    <cfRule type="expression" dxfId="540" priority="106" stopIfTrue="1">
      <formula>"esterreur(reference)"</formula>
    </cfRule>
  </conditionalFormatting>
  <conditionalFormatting sqref="I378:L378 H379:H396">
    <cfRule type="expression" dxfId="539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538" priority="102" stopIfTrue="1">
      <formula>"esterreur(reference)"</formula>
    </cfRule>
  </conditionalFormatting>
  <conditionalFormatting sqref="J49:L72">
    <cfRule type="expression" dxfId="537" priority="36" stopIfTrue="1">
      <formula>"esterreur(reference)"</formula>
    </cfRule>
  </conditionalFormatting>
  <conditionalFormatting sqref="J103:L105">
    <cfRule type="expression" dxfId="536" priority="99" stopIfTrue="1">
      <formula>"esterreur(reference)"</formula>
    </cfRule>
  </conditionalFormatting>
  <conditionalFormatting sqref="J150:L153">
    <cfRule type="expression" dxfId="535" priority="34" stopIfTrue="1">
      <formula>"esterreur(reference)"</formula>
    </cfRule>
  </conditionalFormatting>
  <conditionalFormatting sqref="J296:L304">
    <cfRule type="expression" dxfId="534" priority="95" stopIfTrue="1">
      <formula>"esterreur(reference)"</formula>
    </cfRule>
  </conditionalFormatting>
  <conditionalFormatting sqref="J308:L309">
    <cfRule type="expression" dxfId="533" priority="85" stopIfTrue="1">
      <formula>"esterreur(reference)"</formula>
    </cfRule>
  </conditionalFormatting>
  <conditionalFormatting sqref="J361:L361">
    <cfRule type="expression" dxfId="532" priority="77" stopIfTrue="1">
      <formula>"esterreur(reference)"</formula>
    </cfRule>
  </conditionalFormatting>
  <conditionalFormatting sqref="J366:L377">
    <cfRule type="expression" dxfId="531" priority="82" stopIfTrue="1">
      <formula>"esterreur(reference)"</formula>
    </cfRule>
  </conditionalFormatting>
  <conditionalFormatting sqref="J379:L395">
    <cfRule type="expression" dxfId="530" priority="81" stopIfTrue="1">
      <formula>"esterreur(reference)"</formula>
    </cfRule>
  </conditionalFormatting>
  <conditionalFormatting sqref="J313:M313">
    <cfRule type="expression" dxfId="529" priority="83" stopIfTrue="1">
      <formula>"esterreur(reference)"</formula>
    </cfRule>
  </conditionalFormatting>
  <conditionalFormatting sqref="J113:Q122">
    <cfRule type="expression" dxfId="528" priority="28" stopIfTrue="1">
      <formula>"esterreur(reference)"</formula>
    </cfRule>
  </conditionalFormatting>
  <conditionalFormatting sqref="J124:Q135">
    <cfRule type="expression" dxfId="527" priority="61" stopIfTrue="1">
      <formula>"esterreur(reference)"</formula>
    </cfRule>
  </conditionalFormatting>
  <conditionalFormatting sqref="K5">
    <cfRule type="expression" dxfId="526" priority="92" stopIfTrue="1">
      <formula>"esterreur(reference)"</formula>
    </cfRule>
  </conditionalFormatting>
  <conditionalFormatting sqref="K176">
    <cfRule type="expression" dxfId="525" priority="89" stopIfTrue="1">
      <formula>"esterreur(reference)"</formula>
    </cfRule>
  </conditionalFormatting>
  <conditionalFormatting sqref="K184:K185">
    <cfRule type="expression" dxfId="524" priority="91" stopIfTrue="1">
      <formula>"esterreur(reference)"</formula>
    </cfRule>
  </conditionalFormatting>
  <conditionalFormatting sqref="K288">
    <cfRule type="expression" dxfId="523" priority="75" stopIfTrue="1">
      <formula>"esterreur(reference)"</formula>
    </cfRule>
  </conditionalFormatting>
  <conditionalFormatting sqref="K396">
    <cfRule type="expression" dxfId="522" priority="109" stopIfTrue="1">
      <formula>"esterreur(reference)"</formula>
    </cfRule>
  </conditionalFormatting>
  <conditionalFormatting sqref="K93:L96">
    <cfRule type="expression" dxfId="521" priority="80" stopIfTrue="1">
      <formula>"esterreur(reference)"</formula>
    </cfRule>
  </conditionalFormatting>
  <conditionalFormatting sqref="K100:L101">
    <cfRule type="expression" dxfId="520" priority="100" stopIfTrue="1">
      <formula>"esterreur(reference)"</formula>
    </cfRule>
  </conditionalFormatting>
  <conditionalFormatting sqref="K172:L174">
    <cfRule type="expression" dxfId="519" priority="90" stopIfTrue="1">
      <formula>"esterreur(reference)"</formula>
    </cfRule>
  </conditionalFormatting>
  <conditionalFormatting sqref="K177:L183">
    <cfRule type="expression" dxfId="518" priority="88" stopIfTrue="1">
      <formula>"esterreur(reference)"</formula>
    </cfRule>
  </conditionalFormatting>
  <conditionalFormatting sqref="K186:L197">
    <cfRule type="expression" dxfId="517" priority="84" stopIfTrue="1">
      <formula>"esterreur(reference)"</formula>
    </cfRule>
  </conditionalFormatting>
  <conditionalFormatting sqref="K240:L242">
    <cfRule type="expression" dxfId="516" priority="79" stopIfTrue="1">
      <formula>"esterreur(reference)"</formula>
    </cfRule>
  </conditionalFormatting>
  <conditionalFormatting sqref="K245:L245">
    <cfRule type="expression" dxfId="515" priority="87" stopIfTrue="1">
      <formula>"esterreur(reference)"</formula>
    </cfRule>
  </conditionalFormatting>
  <conditionalFormatting sqref="K248:L248">
    <cfRule type="expression" dxfId="514" priority="86" stopIfTrue="1">
      <formula>"esterreur(reference)"</formula>
    </cfRule>
  </conditionalFormatting>
  <conditionalFormatting sqref="L16:L24 Q16:Q24 O18:O24 D31:D32 L99 O99 Q99">
    <cfRule type="expression" dxfId="513" priority="31" stopIfTrue="1">
      <formula>"esterreur(reference)"</formula>
    </cfRule>
  </conditionalFormatting>
  <conditionalFormatting sqref="L42:L48">
    <cfRule type="expression" dxfId="512" priority="101" stopIfTrue="1">
      <formula>"esterreur(reference)"</formula>
    </cfRule>
  </conditionalFormatting>
  <conditionalFormatting sqref="L75:L82">
    <cfRule type="expression" dxfId="511" priority="70" stopIfTrue="1">
      <formula>"esterreur(reference)"</formula>
    </cfRule>
  </conditionalFormatting>
  <conditionalFormatting sqref="L137:L148">
    <cfRule type="expression" dxfId="510" priority="74" stopIfTrue="1">
      <formula>"esterreur(reference)"</formula>
    </cfRule>
  </conditionalFormatting>
  <conditionalFormatting sqref="L175:L176">
    <cfRule type="expression" dxfId="509" priority="98" stopIfTrue="1">
      <formula>"esterreur(reference)"</formula>
    </cfRule>
  </conditionalFormatting>
  <conditionalFormatting sqref="L199:L210">
    <cfRule type="expression" dxfId="508" priority="97" stopIfTrue="1">
      <formula>"esterreur(reference)"</formula>
    </cfRule>
  </conditionalFormatting>
  <conditionalFormatting sqref="L212:L229">
    <cfRule type="expression" dxfId="507" priority="73" stopIfTrue="1">
      <formula>"esterreur(reference)"</formula>
    </cfRule>
  </conditionalFormatting>
  <conditionalFormatting sqref="L255:L266">
    <cfRule type="expression" dxfId="506" priority="96" stopIfTrue="1">
      <formula>"esterreur(reference)"</formula>
    </cfRule>
  </conditionalFormatting>
  <conditionalFormatting sqref="L268:L285">
    <cfRule type="expression" dxfId="505" priority="72" stopIfTrue="1">
      <formula>"esterreur(reference)"</formula>
    </cfRule>
  </conditionalFormatting>
  <conditionalFormatting sqref="L319:L330">
    <cfRule type="expression" dxfId="504" priority="94" stopIfTrue="1">
      <formula>"esterreur(reference)"</formula>
    </cfRule>
  </conditionalFormatting>
  <conditionalFormatting sqref="L332">
    <cfRule type="expression" dxfId="503" priority="71" stopIfTrue="1">
      <formula>"esterreur(reference)"</formula>
    </cfRule>
  </conditionalFormatting>
  <conditionalFormatting sqref="L335:L344 L346:L349">
    <cfRule type="expression" dxfId="502" priority="93" stopIfTrue="1">
      <formula>"esterreur(reference)"</formula>
    </cfRule>
  </conditionalFormatting>
  <conditionalFormatting sqref="L357:L358 H358:I358 K358 J358:J359 H360:L360">
    <cfRule type="expression" dxfId="501" priority="105" stopIfTrue="1">
      <formula>"esterreur(reference)"</formula>
    </cfRule>
  </conditionalFormatting>
  <conditionalFormatting sqref="L5:Q14">
    <cfRule type="expression" dxfId="500" priority="65" stopIfTrue="1">
      <formula>"esterreur(reference)"</formula>
    </cfRule>
  </conditionalFormatting>
  <conditionalFormatting sqref="L157:Q163">
    <cfRule type="expression" dxfId="499" priority="32" stopIfTrue="1">
      <formula>"esterreur(reference)"</formula>
    </cfRule>
  </conditionalFormatting>
  <conditionalFormatting sqref="M95:M97">
    <cfRule type="expression" dxfId="498" priority="103" stopIfTrue="1">
      <formula>"esterreur(reference)"</formula>
    </cfRule>
  </conditionalFormatting>
  <conditionalFormatting sqref="O13:O14 O16 O83:Q85">
    <cfRule type="expression" dxfId="497" priority="68" stopIfTrue="1">
      <formula>"esterreur(reference)"</formula>
    </cfRule>
  </conditionalFormatting>
  <conditionalFormatting sqref="O173:O197 Q184 O199:P230 O233:Q233 O234:P234">
    <cfRule type="expression" dxfId="496" priority="59" stopIfTrue="1">
      <formula>"esterreur(reference)"</formula>
    </cfRule>
  </conditionalFormatting>
  <conditionalFormatting sqref="O319:P349 O350:Q350 O353:Q353 O354:P354">
    <cfRule type="expression" dxfId="495" priority="43" stopIfTrue="1">
      <formula>"esterreur(reference)"</formula>
    </cfRule>
  </conditionalFormatting>
  <conditionalFormatting sqref="O25:Q72">
    <cfRule type="expression" dxfId="494" priority="29" stopIfTrue="1">
      <formula>"esterreur(reference)"</formula>
    </cfRule>
  </conditionalFormatting>
  <conditionalFormatting sqref="O97:Q99 O123:Q123 O157:P158 O165:Q165 O166:P166">
    <cfRule type="expression" dxfId="493" priority="64" stopIfTrue="1">
      <formula>"esterreur(reference)"</formula>
    </cfRule>
  </conditionalFormatting>
  <conditionalFormatting sqref="O102:Q112">
    <cfRule type="expression" dxfId="492" priority="1" stopIfTrue="1">
      <formula>"esterreur(reference)"</formula>
    </cfRule>
  </conditionalFormatting>
  <conditionalFormatting sqref="O136:Q154">
    <cfRule type="expression" dxfId="491" priority="33" stopIfTrue="1">
      <formula>"esterreur(reference)"</formula>
    </cfRule>
  </conditionalFormatting>
  <conditionalFormatting sqref="O198:Q198">
    <cfRule type="expression" dxfId="490" priority="60" stopIfTrue="1">
      <formula>"esterreur(reference)"</formula>
    </cfRule>
  </conditionalFormatting>
  <conditionalFormatting sqref="O244:Q244 O253:Q254 O255:P285 O286:Q286 O289:Q289 O290:P290">
    <cfRule type="expression" dxfId="489" priority="50" stopIfTrue="1">
      <formula>"esterreur(reference)"</formula>
    </cfRule>
  </conditionalFormatting>
  <conditionalFormatting sqref="O296:Q318">
    <cfRule type="expression" dxfId="488" priority="41" stopIfTrue="1">
      <formula>"esterreur(reference)"</formula>
    </cfRule>
  </conditionalFormatting>
  <conditionalFormatting sqref="O360:Q395">
    <cfRule type="expression" dxfId="487" priority="37" stopIfTrue="1">
      <formula>"esterreur(reference)"</formula>
    </cfRule>
  </conditionalFormatting>
  <conditionalFormatting sqref="O397:Q400">
    <cfRule type="expression" dxfId="486" priority="38" stopIfTrue="1">
      <formula>"esterreur(reference)"</formula>
    </cfRule>
  </conditionalFormatting>
  <conditionalFormatting sqref="P5">
    <cfRule type="expression" dxfId="485" priority="66" stopIfTrue="1">
      <formula>"esterreur(reference)"</formula>
    </cfRule>
  </conditionalFormatting>
  <conditionalFormatting sqref="P176">
    <cfRule type="expression" dxfId="484" priority="54" stopIfTrue="1">
      <formula>"esterreur(reference)"</formula>
    </cfRule>
  </conditionalFormatting>
  <conditionalFormatting sqref="P184:P185">
    <cfRule type="expression" dxfId="483" priority="56" stopIfTrue="1">
      <formula>"esterreur(reference)"</formula>
    </cfRule>
  </conditionalFormatting>
  <conditionalFormatting sqref="P288">
    <cfRule type="expression" dxfId="482" priority="45" stopIfTrue="1">
      <formula>"esterreur(reference)"</formula>
    </cfRule>
  </conditionalFormatting>
  <conditionalFormatting sqref="P396">
    <cfRule type="expression" dxfId="481" priority="39" stopIfTrue="1">
      <formula>"esterreur(reference)"</formula>
    </cfRule>
  </conditionalFormatting>
  <conditionalFormatting sqref="P93:Q96">
    <cfRule type="expression" dxfId="480" priority="62" stopIfTrue="1">
      <formula>"esterreur(reference)"</formula>
    </cfRule>
  </conditionalFormatting>
  <conditionalFormatting sqref="P100:Q101">
    <cfRule type="expression" dxfId="479" priority="63" stopIfTrue="1">
      <formula>"esterreur(reference)"</formula>
    </cfRule>
  </conditionalFormatting>
  <conditionalFormatting sqref="P173:Q174">
    <cfRule type="expression" dxfId="478" priority="55" stopIfTrue="1">
      <formula>"esterreur(reference)"</formula>
    </cfRule>
  </conditionalFormatting>
  <conditionalFormatting sqref="P177:Q183">
    <cfRule type="expression" dxfId="477" priority="53" stopIfTrue="1">
      <formula>"esterreur(reference)"</formula>
    </cfRule>
  </conditionalFormatting>
  <conditionalFormatting sqref="P186:Q197">
    <cfRule type="expression" dxfId="476" priority="52" stopIfTrue="1">
      <formula>"esterreur(reference)"</formula>
    </cfRule>
  </conditionalFormatting>
  <conditionalFormatting sqref="P242:Q242">
    <cfRule type="expression" dxfId="475" priority="46" stopIfTrue="1">
      <formula>"esterreur(reference)"</formula>
    </cfRule>
  </conditionalFormatting>
  <conditionalFormatting sqref="P245:Q245">
    <cfRule type="expression" dxfId="474" priority="48" stopIfTrue="1">
      <formula>"esterreur(reference)"</formula>
    </cfRule>
  </conditionalFormatting>
  <conditionalFormatting sqref="P248:Q248">
    <cfRule type="expression" dxfId="473" priority="47" stopIfTrue="1">
      <formula>"esterreur(reference)"</formula>
    </cfRule>
  </conditionalFormatting>
  <conditionalFormatting sqref="Q75:Q82">
    <cfRule type="expression" dxfId="472" priority="67" stopIfTrue="1">
      <formula>"esterreur(reference)"</formula>
    </cfRule>
  </conditionalFormatting>
  <conditionalFormatting sqref="Q175:Q176">
    <cfRule type="expression" dxfId="471" priority="58" stopIfTrue="1">
      <formula>"esterreur(reference)"</formula>
    </cfRule>
  </conditionalFormatting>
  <conditionalFormatting sqref="Q199:Q210">
    <cfRule type="expression" dxfId="470" priority="57" stopIfTrue="1">
      <formula>"esterreur(reference)"</formula>
    </cfRule>
  </conditionalFormatting>
  <conditionalFormatting sqref="Q212:Q229">
    <cfRule type="expression" dxfId="469" priority="51" stopIfTrue="1">
      <formula>"esterreur(reference)"</formula>
    </cfRule>
  </conditionalFormatting>
  <conditionalFormatting sqref="Q255:Q266">
    <cfRule type="expression" dxfId="468" priority="49" stopIfTrue="1">
      <formula>"esterreur(reference)"</formula>
    </cfRule>
  </conditionalFormatting>
  <conditionalFormatting sqref="Q268:Q285">
    <cfRule type="expression" dxfId="467" priority="44" stopIfTrue="1">
      <formula>"esterreur(reference)"</formula>
    </cfRule>
  </conditionalFormatting>
  <conditionalFormatting sqref="Q319:Q330">
    <cfRule type="expression" dxfId="466" priority="42" stopIfTrue="1">
      <formula>"esterreur(reference)"</formula>
    </cfRule>
  </conditionalFormatting>
  <conditionalFormatting sqref="Q332:Q349">
    <cfRule type="expression" dxfId="465" priority="40" stopIfTrue="1">
      <formula>"esterreur(reference)"</formula>
    </cfRule>
  </conditionalFormatting>
  <conditionalFormatting sqref="R313">
    <cfRule type="expression" dxfId="464" priority="104" stopIfTrue="1">
      <formula>"esterreur(reference)"</formula>
    </cfRule>
  </conditionalFormatting>
  <conditionalFormatting sqref="S187">
    <cfRule type="expression" dxfId="463" priority="76" stopIfTrue="1">
      <formula>"esterreur(reference)"</formula>
    </cfRule>
  </conditionalFormatting>
  <conditionalFormatting sqref="Z426:Z428">
    <cfRule type="cellIs" dxfId="462" priority="20" operator="greaterThan">
      <formula>0</formula>
    </cfRule>
  </conditionalFormatting>
  <conditionalFormatting sqref="Z433">
    <cfRule type="cellIs" dxfId="461" priority="17" operator="greaterThan">
      <formula>0</formula>
    </cfRule>
  </conditionalFormatting>
  <conditionalFormatting sqref="Z450:Z452">
    <cfRule type="cellIs" dxfId="460" priority="13" operator="greaterThan">
      <formula>0</formula>
    </cfRule>
  </conditionalFormatting>
  <conditionalFormatting sqref="Z464:Z466">
    <cfRule type="cellIs" dxfId="459" priority="9" operator="greaterThan">
      <formula>0</formula>
    </cfRule>
  </conditionalFormatting>
  <conditionalFormatting sqref="Z479:Z480">
    <cfRule type="cellIs" dxfId="458" priority="6" operator="greaterThan">
      <formula>0</formula>
    </cfRule>
  </conditionalFormatting>
  <conditionalFormatting sqref="Z496:Z498">
    <cfRule type="cellIs" dxfId="457" priority="3" operator="greaterThan">
      <formula>0</formula>
    </cfRule>
  </conditionalFormatting>
  <conditionalFormatting sqref="AC426:AC428">
    <cfRule type="cellIs" dxfId="456" priority="21" operator="greaterThan">
      <formula>0</formula>
    </cfRule>
  </conditionalFormatting>
  <conditionalFormatting sqref="AC433">
    <cfRule type="cellIs" dxfId="455" priority="18" operator="greaterThan">
      <formula>0</formula>
    </cfRule>
  </conditionalFormatting>
  <conditionalFormatting sqref="AC450:AC452">
    <cfRule type="cellIs" dxfId="454" priority="14" operator="greaterThan">
      <formula>0</formula>
    </cfRule>
  </conditionalFormatting>
  <conditionalFormatting sqref="AC464:AC466">
    <cfRule type="cellIs" dxfId="453" priority="10" operator="greaterThan">
      <formula>0</formula>
    </cfRule>
  </conditionalFormatting>
  <conditionalFormatting sqref="AC479:AC480">
    <cfRule type="cellIs" dxfId="452" priority="7" operator="greaterThan">
      <formula>0</formula>
    </cfRule>
  </conditionalFormatting>
  <conditionalFormatting sqref="AC496:AC498">
    <cfRule type="cellIs" dxfId="451" priority="4" operator="greaterThan">
      <formula>0</formula>
    </cfRule>
  </conditionalFormatting>
  <conditionalFormatting sqref="AG410:AI419">
    <cfRule type="cellIs" dxfId="450" priority="23" operator="greaterThan">
      <formula>0</formula>
    </cfRule>
  </conditionalFormatting>
  <conditionalFormatting sqref="AH450:AH453">
    <cfRule type="cellIs" dxfId="449" priority="15" operator="greaterThan">
      <formula>0</formula>
    </cfRule>
  </conditionalFormatting>
  <conditionalFormatting sqref="AH462:AH467">
    <cfRule type="cellIs" dxfId="448" priority="11" operator="greaterThan">
      <formula>0</formula>
    </cfRule>
  </conditionalFormatting>
  <conditionalFormatting sqref="AH421:AI449">
    <cfRule type="cellIs" dxfId="447" priority="19" operator="greaterThan">
      <formula>0</formula>
    </cfRule>
  </conditionalFormatting>
  <conditionalFormatting sqref="AH454:AI461 AH468:AI469">
    <cfRule type="cellIs" dxfId="446" priority="24" operator="greaterThan">
      <formula>0</formula>
    </cfRule>
  </conditionalFormatting>
  <conditionalFormatting sqref="AH470:AI478 AH481:AI481">
    <cfRule type="cellIs" dxfId="445" priority="25" operator="lessThan">
      <formula>0</formula>
    </cfRule>
  </conditionalFormatting>
  <conditionalFormatting sqref="AH479:AI480">
    <cfRule type="cellIs" dxfId="444" priority="8" operator="greaterThan">
      <formula>0</formula>
    </cfRule>
  </conditionalFormatting>
  <conditionalFormatting sqref="AH492:AI498">
    <cfRule type="cellIs" dxfId="443" priority="5" operator="greaterThan">
      <formula>0</formula>
    </cfRule>
  </conditionalFormatting>
  <conditionalFormatting sqref="AI450:AI452">
    <cfRule type="cellIs" dxfId="442" priority="16" operator="greaterThan">
      <formula>0</formula>
    </cfRule>
  </conditionalFormatting>
  <conditionalFormatting sqref="AI464:AI466">
    <cfRule type="cellIs" dxfId="441" priority="12" operator="greaterThan">
      <formula>0</formula>
    </cfRule>
  </conditionalFormatting>
  <conditionalFormatting sqref="AO410:AO419">
    <cfRule type="cellIs" dxfId="440" priority="22" operator="greaterThan">
      <formula>0</formula>
    </cfRule>
  </conditionalFormatting>
  <printOptions horizontalCentered="1"/>
  <pageMargins left="0" right="0" top="0.51181102362204722" bottom="0.23622047244094491" header="0" footer="0"/>
  <pageSetup scale="39" fitToHeight="0" orientation="landscape" r:id="rId1"/>
  <rowBreaks count="12" manualBreakCount="12">
    <brk id="87" min="2" max="18" man="1"/>
    <brk id="88" min="1" max="1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5" min="1" max="1" man="1"/>
    <brk id="399" min="1" max="1" man="1"/>
    <brk id="483" min="1" max="1" man="1"/>
    <brk id="484" min="1" max="1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/>
  <dimension ref="A1"/>
  <sheetViews>
    <sheetView workbookViewId="0">
      <selection activeCell="E14" sqref="E14"/>
    </sheetView>
  </sheetViews>
  <sheetFormatPr baseColWidth="10" defaultRowHeight="13.8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Feuil21">
    <tabColor rgb="FF00B050"/>
  </sheetPr>
  <dimension ref="A1:BJ705"/>
  <sheetViews>
    <sheetView topLeftCell="A220" zoomScale="60" zoomScaleNormal="60" workbookViewId="0">
      <selection sqref="A1:XFD1048576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489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209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268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399999999999999" thickBot="1">
      <c r="B2" s="7"/>
      <c r="C2" s="8"/>
      <c r="D2" s="451" t="s">
        <v>2</v>
      </c>
      <c r="E2" s="451" t="s">
        <v>3</v>
      </c>
      <c r="F2" s="451" t="s">
        <v>4</v>
      </c>
      <c r="G2" s="451"/>
      <c r="H2" s="451"/>
      <c r="I2" s="451"/>
      <c r="J2" s="451" t="s">
        <v>210</v>
      </c>
      <c r="K2" s="451"/>
      <c r="L2" s="451" t="s">
        <v>211</v>
      </c>
      <c r="M2" s="452"/>
      <c r="N2" s="452"/>
      <c r="O2" s="451" t="s">
        <v>2</v>
      </c>
      <c r="P2" s="451" t="s">
        <v>3</v>
      </c>
      <c r="Q2" s="451" t="s">
        <v>4</v>
      </c>
      <c r="R2" s="10"/>
      <c r="S2" s="10"/>
      <c r="T2" s="10"/>
      <c r="U2" s="10"/>
    </row>
    <row r="3" spans="1:40" ht="21.6" thickTop="1">
      <c r="B3" s="11"/>
      <c r="C3" s="12"/>
      <c r="D3" s="506" t="s">
        <v>5</v>
      </c>
      <c r="E3" s="507"/>
      <c r="F3" s="508"/>
      <c r="G3" s="509"/>
      <c r="H3" s="507"/>
      <c r="I3" s="508"/>
      <c r="J3" s="509" t="s">
        <v>7</v>
      </c>
      <c r="K3" s="507"/>
      <c r="L3" s="508"/>
      <c r="M3" s="509" t="s">
        <v>212</v>
      </c>
      <c r="N3" s="508"/>
      <c r="O3" s="506" t="s">
        <v>8</v>
      </c>
      <c r="P3" s="507"/>
      <c r="Q3" s="508"/>
      <c r="R3" s="504" t="s">
        <v>213</v>
      </c>
      <c r="S3" s="505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214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1899517.9411764706</v>
      </c>
      <c r="G5" s="23"/>
      <c r="H5" s="21"/>
      <c r="I5" s="24"/>
      <c r="J5" s="23"/>
      <c r="K5" s="25"/>
      <c r="L5" s="22">
        <v>2533152.0900000003</v>
      </c>
      <c r="M5" s="26"/>
      <c r="N5" s="27"/>
      <c r="O5" s="23"/>
      <c r="P5" s="25"/>
      <c r="Q5" s="22">
        <v>1665036.25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5</v>
      </c>
      <c r="E6" s="30">
        <f>IF(D6=0,0,F6/D6)</f>
        <v>4701.1764705882351</v>
      </c>
      <c r="F6" s="30">
        <v>23505.882352941175</v>
      </c>
      <c r="G6" s="31"/>
      <c r="H6" s="30"/>
      <c r="I6" s="30"/>
      <c r="J6" s="31">
        <v>8</v>
      </c>
      <c r="K6" s="30">
        <f>IF(J6=0,0,L6/J6)</f>
        <v>5754.4687499999945</v>
      </c>
      <c r="L6" s="32">
        <v>46035.749999999956</v>
      </c>
      <c r="M6" s="31">
        <f t="shared" ref="M6:M12" si="2">J6-D6</f>
        <v>3</v>
      </c>
      <c r="N6" s="33">
        <f t="shared" ref="N6:N12" si="3">L6-F6</f>
        <v>22529.867647058782</v>
      </c>
      <c r="O6" s="31">
        <v>7</v>
      </c>
      <c r="P6" s="30">
        <f t="shared" ref="P6:P12" si="4">IF(O6=0,0,Q6/O6)</f>
        <v>5502.9071428571424</v>
      </c>
      <c r="Q6" s="32">
        <v>38520.35</v>
      </c>
      <c r="R6" s="31">
        <f>J6-O6</f>
        <v>1</v>
      </c>
      <c r="S6" s="34">
        <f>L6-Q6</f>
        <v>7515.3999999999578</v>
      </c>
      <c r="T6" s="13"/>
      <c r="U6" s="13"/>
      <c r="W6" s="11" t="s">
        <v>246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13</v>
      </c>
      <c r="E7" s="30">
        <f t="shared" ref="E7:E12" si="5">IF(D7=0,0,F7/D7)</f>
        <v>3928.5</v>
      </c>
      <c r="F7" s="30">
        <v>51070.5</v>
      </c>
      <c r="G7" s="31"/>
      <c r="H7" s="30"/>
      <c r="I7" s="30"/>
      <c r="J7" s="31">
        <v>14</v>
      </c>
      <c r="K7" s="30">
        <f t="shared" ref="K7:K12" si="6">IF(J7=0,0,L7/J7)</f>
        <v>3670.9135714285781</v>
      </c>
      <c r="L7" s="32">
        <v>51392.790000000095</v>
      </c>
      <c r="M7" s="31">
        <f t="shared" si="2"/>
        <v>1</v>
      </c>
      <c r="N7" s="33">
        <f t="shared" si="3"/>
        <v>322.29000000009546</v>
      </c>
      <c r="O7" s="31">
        <v>8</v>
      </c>
      <c r="P7" s="30">
        <f t="shared" si="4"/>
        <v>3987.5362499999874</v>
      </c>
      <c r="Q7" s="32">
        <v>31900.289999999899</v>
      </c>
      <c r="R7" s="31">
        <f t="shared" ref="R7:R12" si="7">J7-O7</f>
        <v>6</v>
      </c>
      <c r="S7" s="34">
        <f t="shared" ref="S7:S12" si="8">L7-Q7</f>
        <v>19492.500000000196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18</v>
      </c>
      <c r="E13" s="36">
        <f>IF(D13&lt;=0,0,F13/D13)</f>
        <v>4143.1323529411766</v>
      </c>
      <c r="F13" s="37">
        <f>+SUM(F6:F12)</f>
        <v>74576.382352941175</v>
      </c>
      <c r="G13" s="38"/>
      <c r="H13" s="36"/>
      <c r="I13" s="37"/>
      <c r="J13" s="38">
        <f>+SUM(J6:J12)</f>
        <v>22</v>
      </c>
      <c r="K13" s="36">
        <f>IF(J13&lt;=0,0,L13/J13)</f>
        <v>4428.5700000000024</v>
      </c>
      <c r="L13" s="37">
        <f>+SUM(L6:L12)</f>
        <v>97428.540000000052</v>
      </c>
      <c r="M13" s="38">
        <f>+SUM(M6:M12)</f>
        <v>4</v>
      </c>
      <c r="N13" s="37">
        <f>+SUM(N6:N12)</f>
        <v>22852.157647058877</v>
      </c>
      <c r="O13" s="38">
        <f>+SUM(O6:O12)</f>
        <v>15</v>
      </c>
      <c r="P13" s="36">
        <f>IF(O13&lt;=0,0,Q13/O13)</f>
        <v>4694.7093333333269</v>
      </c>
      <c r="Q13" s="37">
        <f>+SUM(Q6:Q12)</f>
        <v>70420.639999999898</v>
      </c>
      <c r="R13" s="38">
        <f>+SUM(R6:R12)</f>
        <v>7</v>
      </c>
      <c r="S13" s="39">
        <f>+SUM(S6:S12)</f>
        <v>27007.900000000154</v>
      </c>
      <c r="T13" s="13"/>
      <c r="U13" s="13"/>
      <c r="W13" s="11">
        <v>22</v>
      </c>
      <c r="X13" s="11">
        <v>97429</v>
      </c>
      <c r="Y13" s="499">
        <f>L13-X13</f>
        <v>-0.45999999994819518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0.22222222222222221</v>
      </c>
      <c r="N14" s="43">
        <f>IF(F13=0,0,N13/F13)</f>
        <v>0.30642620258661052</v>
      </c>
      <c r="O14" s="41"/>
      <c r="P14" s="30"/>
      <c r="Q14" s="40"/>
      <c r="R14" s="42">
        <f>R13/O13</f>
        <v>0.46666666666666667</v>
      </c>
      <c r="S14" s="44">
        <f>IF(Q13=0,0,(S13/Q13))</f>
        <v>0.38352250135755928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1200</v>
      </c>
      <c r="F15" s="22">
        <v>3600</v>
      </c>
      <c r="G15" s="46"/>
      <c r="H15" s="47"/>
      <c r="I15" s="48"/>
      <c r="J15" s="49">
        <v>2</v>
      </c>
      <c r="K15" s="50">
        <f>IF(J15=0,0,L15/J15)</f>
        <v>878.34999999999127</v>
      </c>
      <c r="L15" s="50">
        <v>1756.6999999999825</v>
      </c>
      <c r="M15" s="51">
        <f>J15-D15</f>
        <v>-1</v>
      </c>
      <c r="N15" s="48">
        <f>L15-F15</f>
        <v>-1843.3000000000175</v>
      </c>
      <c r="O15" s="49">
        <v>3</v>
      </c>
      <c r="P15" s="50">
        <f>IF(O15=0,0,Q15/O15)</f>
        <v>1692.6766666666633</v>
      </c>
      <c r="Q15" s="50">
        <v>5078.0299999999897</v>
      </c>
      <c r="R15" s="51">
        <f>J15-O15</f>
        <v>-1</v>
      </c>
      <c r="S15" s="52">
        <f>L15-Q15</f>
        <v>-3321.3300000000072</v>
      </c>
      <c r="T15" s="13"/>
      <c r="U15" s="13"/>
      <c r="W15" s="453">
        <v>2</v>
      </c>
      <c r="X15" s="11">
        <f>-250+2007</f>
        <v>1757</v>
      </c>
      <c r="Y15" s="499">
        <f>L15-X15</f>
        <v>-0.3000000000174623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1</v>
      </c>
      <c r="E17" s="30">
        <f>IF(D17=0,0,F17/D17)</f>
        <v>750</v>
      </c>
      <c r="F17" s="30">
        <v>750</v>
      </c>
      <c r="G17" s="31"/>
      <c r="H17" s="30"/>
      <c r="I17" s="30"/>
      <c r="J17" s="51">
        <v>2</v>
      </c>
      <c r="K17" s="30">
        <f>IF(J17=0,0,L17/J17)</f>
        <v>2520.7699999999968</v>
      </c>
      <c r="L17" s="33">
        <v>5041.5399999999936</v>
      </c>
      <c r="M17" s="51">
        <f>J17-D17</f>
        <v>1</v>
      </c>
      <c r="N17" s="33">
        <f>L17-F17</f>
        <v>4291.5399999999936</v>
      </c>
      <c r="O17" s="51">
        <v>1</v>
      </c>
      <c r="P17" s="30">
        <f>IF(O17=0,0,Q17/O17)</f>
        <v>2881.0099999999902</v>
      </c>
      <c r="Q17" s="33">
        <v>2881.0099999999902</v>
      </c>
      <c r="R17" s="31">
        <f>J17-O17</f>
        <v>1</v>
      </c>
      <c r="S17" s="34">
        <f>L17-Q17</f>
        <v>2160.5300000000034</v>
      </c>
      <c r="T17" s="13"/>
      <c r="U17" s="13"/>
      <c r="W17" s="11">
        <v>2</v>
      </c>
      <c r="X17" s="11">
        <v>5042</v>
      </c>
      <c r="Y17" s="499">
        <f>L17-X17</f>
        <v>-0.46000000000640284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56"/>
      <c r="K18" s="54"/>
      <c r="L18" s="55"/>
      <c r="M18" s="56"/>
      <c r="N18" s="55"/>
      <c r="O18" s="56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B19" s="11" t="str">
        <f t="shared" si="0"/>
        <v>Véhicules neufs</v>
      </c>
      <c r="C19" s="490"/>
      <c r="D19" s="25"/>
      <c r="E19" s="25"/>
      <c r="F19" s="22"/>
      <c r="G19" s="46"/>
      <c r="H19" s="25"/>
      <c r="I19" s="22"/>
      <c r="J19" s="46"/>
      <c r="K19" s="25"/>
      <c r="L19" s="22"/>
      <c r="M19" s="46"/>
      <c r="N19" s="22"/>
      <c r="O19" s="46"/>
      <c r="P19" s="25"/>
      <c r="Q19" s="22"/>
      <c r="R19" s="46"/>
      <c r="S19" s="491"/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9"/>
        <v>Véhicules neufs</v>
      </c>
      <c r="B20" s="11" t="str">
        <f t="shared" si="0"/>
        <v>Véhicules neufs</v>
      </c>
      <c r="C20" s="53"/>
      <c r="D20" s="30"/>
      <c r="E20" s="30"/>
      <c r="F20" s="33"/>
      <c r="G20" s="31"/>
      <c r="H20" s="30"/>
      <c r="I20" s="33"/>
      <c r="J20" s="31"/>
      <c r="K20" s="30"/>
      <c r="L20" s="33"/>
      <c r="M20" s="31"/>
      <c r="N20" s="33"/>
      <c r="O20" s="31"/>
      <c r="P20" s="30"/>
      <c r="Q20" s="33"/>
      <c r="R20" s="31"/>
      <c r="S20" s="34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/>
      <c r="E21" s="30">
        <f>IF(D13=0,0,F21/(D13+D15))</f>
        <v>7</v>
      </c>
      <c r="F21" s="30">
        <v>147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-147</v>
      </c>
      <c r="O21" s="31"/>
      <c r="P21" s="30">
        <f>IF(O13=0,0,Q21/(O13+O15))</f>
        <v>0</v>
      </c>
      <c r="Q21" s="33">
        <v>0</v>
      </c>
      <c r="R21" s="31">
        <f>O21-K21</f>
        <v>0</v>
      </c>
      <c r="S21" s="34">
        <f>L21-Q21</f>
        <v>0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/>
      <c r="E22" s="30">
        <f>IF(D13=0,0,F22/(D13+D15))</f>
        <v>1150</v>
      </c>
      <c r="F22" s="30">
        <v>24150</v>
      </c>
      <c r="G22" s="41"/>
      <c r="H22" s="30"/>
      <c r="I22" s="30"/>
      <c r="J22" s="31"/>
      <c r="K22" s="30">
        <f>IF(J13=0,0,L22/(J13+J15))</f>
        <v>253.54166666666666</v>
      </c>
      <c r="L22" s="33">
        <v>6085</v>
      </c>
      <c r="M22" s="31"/>
      <c r="N22" s="33">
        <f>L22-F22</f>
        <v>-18065</v>
      </c>
      <c r="O22" s="31"/>
      <c r="P22" s="30">
        <f>IF(O13=0,0,Q22/(O13+O15))</f>
        <v>1654.6972222222221</v>
      </c>
      <c r="Q22" s="33">
        <v>29784.55</v>
      </c>
      <c r="R22" s="31">
        <f>O22-K22</f>
        <v>-253.54166666666666</v>
      </c>
      <c r="S22" s="34">
        <f>L22-Q22</f>
        <v>-23699.55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/>
      <c r="E23" s="30">
        <f>IF(D13=0,0,F23/(D13+D15))</f>
        <v>443</v>
      </c>
      <c r="F23" s="30">
        <v>9303</v>
      </c>
      <c r="G23" s="41"/>
      <c r="H23" s="30"/>
      <c r="I23" s="30"/>
      <c r="J23" s="31"/>
      <c r="K23" s="30">
        <f>IF(J13=0,0,L23/(J13+J15))</f>
        <v>388.91624999999999</v>
      </c>
      <c r="L23" s="33">
        <v>9333.99</v>
      </c>
      <c r="M23" s="51"/>
      <c r="N23" s="33">
        <f>L23-F23</f>
        <v>30.989999999999782</v>
      </c>
      <c r="O23" s="31"/>
      <c r="P23" s="30">
        <f>IF(O13=0,0,Q23/(O13+O15))</f>
        <v>1082.163888888889</v>
      </c>
      <c r="Q23" s="33">
        <v>19478.95</v>
      </c>
      <c r="R23" s="31">
        <f>O23-K23</f>
        <v>-388.91624999999999</v>
      </c>
      <c r="S23" s="34">
        <f>L23-Q23</f>
        <v>-10144.960000000001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21</v>
      </c>
      <c r="E24" s="36">
        <f>IF(D24&lt;=0,0,F24/D24)</f>
        <v>1600</v>
      </c>
      <c r="F24" s="37">
        <f>F21+F22+F23</f>
        <v>33600</v>
      </c>
      <c r="G24" s="38"/>
      <c r="H24" s="36"/>
      <c r="I24" s="37"/>
      <c r="J24" s="38">
        <f>+J15+J13</f>
        <v>24</v>
      </c>
      <c r="K24" s="36">
        <f>IF(J24&lt;=0,0,L24/J24)</f>
        <v>642.45791666666662</v>
      </c>
      <c r="L24" s="37">
        <f>L21+L22+L23</f>
        <v>15418.99</v>
      </c>
      <c r="M24" s="58">
        <f>J24-D24</f>
        <v>3</v>
      </c>
      <c r="N24" s="37">
        <f>L24-F24</f>
        <v>-18181.010000000002</v>
      </c>
      <c r="O24" s="38">
        <f>+O15+O13</f>
        <v>18</v>
      </c>
      <c r="P24" s="36">
        <f>IF(O24&lt;=0,0,Q24/O24)</f>
        <v>2736.8611111111113</v>
      </c>
      <c r="Q24" s="37">
        <f>Q21+Q22+Q23</f>
        <v>49263.5</v>
      </c>
      <c r="R24" s="56"/>
      <c r="S24" s="39">
        <f>L24-Q24</f>
        <v>-33844.51</v>
      </c>
      <c r="T24" s="13"/>
      <c r="U24" s="13"/>
      <c r="W24" s="11"/>
      <c r="X24" s="11">
        <v>15419</v>
      </c>
      <c r="Y24" s="499">
        <f>L24-X24</f>
        <v>-1.0000000000218279E-2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-0.54110148809523817</v>
      </c>
      <c r="O25" s="41"/>
      <c r="P25" s="13"/>
      <c r="Q25" s="59"/>
      <c r="R25" s="60"/>
      <c r="S25" s="44">
        <f>IF(Q24=0,0,(S24/Q24))</f>
        <v>-0.68700985516660407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22</v>
      </c>
      <c r="E27" s="64">
        <f>IF(D27&lt;=0,0,F27/D27)</f>
        <v>5114.8355614973261</v>
      </c>
      <c r="F27" s="65">
        <f>F13+F17+F24+F15</f>
        <v>112526.38235294117</v>
      </c>
      <c r="G27" s="66"/>
      <c r="H27" s="67"/>
      <c r="I27" s="65"/>
      <c r="J27" s="66">
        <f>+J13+J15+J17</f>
        <v>26</v>
      </c>
      <c r="K27" s="67">
        <f>IF(J27&lt;=0,0,L27/J27)</f>
        <v>4601.7603846153861</v>
      </c>
      <c r="L27" s="65">
        <f>L13+L17+L24+L15</f>
        <v>119645.77000000003</v>
      </c>
      <c r="M27" s="66">
        <f>J27-D27</f>
        <v>4</v>
      </c>
      <c r="N27" s="65">
        <f>L27-F27</f>
        <v>7119.3876470588584</v>
      </c>
      <c r="O27" s="66">
        <f>+O13+O15+O17</f>
        <v>19</v>
      </c>
      <c r="P27" s="67">
        <f>IF(O27&lt;=0,0,Q27/O27)</f>
        <v>6718.0621052631514</v>
      </c>
      <c r="Q27" s="65">
        <f>Q13+Q17+Q24+Q15</f>
        <v>127643.17999999988</v>
      </c>
      <c r="R27" s="66">
        <f>J27-O27</f>
        <v>7</v>
      </c>
      <c r="S27" s="68">
        <f>L27-Q27</f>
        <v>-7997.4099999998434</v>
      </c>
      <c r="T27" s="13"/>
      <c r="U27" s="13"/>
      <c r="W27" s="11">
        <f>SUM(W13:W26)</f>
        <v>26</v>
      </c>
      <c r="X27" s="11">
        <f>SUM(X13:X26)</f>
        <v>119647</v>
      </c>
      <c r="Y27" s="499">
        <f>L27-X27</f>
        <v>-1.2299999999668216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0.18181818181818182</v>
      </c>
      <c r="N28" s="74">
        <f>N27/F27</f>
        <v>6.3268608642627122E-2</v>
      </c>
      <c r="O28" s="72"/>
      <c r="P28" s="70"/>
      <c r="Q28" s="71"/>
      <c r="R28" s="73">
        <f>R27/O27</f>
        <v>0.36842105263157893</v>
      </c>
      <c r="S28" s="75">
        <f>IF(Q27=0,0,S27/Q27)</f>
        <v>-6.2654424623390381E-2</v>
      </c>
      <c r="T28" s="13"/>
      <c r="U28" s="13"/>
      <c r="W28" s="11"/>
      <c r="X28" s="484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7">
        <f>F31/(F13+F15)</f>
        <v>0.29497583616737116</v>
      </c>
      <c r="E31" s="82">
        <f t="shared" ref="E31:E40" si="10">F31/D$24</f>
        <v>1098.1020834809019</v>
      </c>
      <c r="F31" s="30">
        <v>23060.143753098942</v>
      </c>
      <c r="G31" s="156"/>
      <c r="H31" s="82"/>
      <c r="I31" s="30"/>
      <c r="J31" s="156">
        <f>L31/(L13+L15)</f>
        <v>0.26231413061056252</v>
      </c>
      <c r="K31" s="82">
        <f t="shared" ref="K31:K40" si="11">IF(L31=0,0,L31/J$24)</f>
        <v>1084.0704166666667</v>
      </c>
      <c r="L31" s="30">
        <v>26017.69</v>
      </c>
      <c r="M31" s="41"/>
      <c r="N31" s="59">
        <f t="shared" ref="N31:N53" si="12">L31-F31</f>
        <v>2957.5462469010563</v>
      </c>
      <c r="O31" s="156">
        <f>Q31/(Q13+Q15+Q17)</f>
        <v>0.27364031085607948</v>
      </c>
      <c r="P31" s="82">
        <f t="shared" ref="P31:P40" si="13">Q31/O$24</f>
        <v>1191.5466666666666</v>
      </c>
      <c r="Q31" s="33">
        <v>21447.84</v>
      </c>
      <c r="R31" s="41"/>
      <c r="S31" s="85">
        <f t="shared" ref="S31:S36" si="14">L31-Q31</f>
        <v>4569.8499999999985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7">
        <f>F32/F24</f>
        <v>0.30499999999999999</v>
      </c>
      <c r="E32" s="88">
        <f t="shared" si="10"/>
        <v>488</v>
      </c>
      <c r="F32" s="22">
        <v>10248</v>
      </c>
      <c r="G32" s="161"/>
      <c r="H32" s="90"/>
      <c r="I32" s="22"/>
      <c r="J32" s="161">
        <f>L32/L24</f>
        <v>0.16544209445625166</v>
      </c>
      <c r="K32" s="88">
        <f t="shared" si="11"/>
        <v>106.28958333333333</v>
      </c>
      <c r="L32" s="22">
        <v>2550.9499999999998</v>
      </c>
      <c r="M32" s="23"/>
      <c r="N32" s="91">
        <f t="shared" si="12"/>
        <v>-7697.05</v>
      </c>
      <c r="O32" s="161">
        <f>Q32/Q24</f>
        <v>0.34380545434246451</v>
      </c>
      <c r="P32" s="88">
        <f t="shared" si="13"/>
        <v>940.9477777777779</v>
      </c>
      <c r="Q32" s="22">
        <v>16937.060000000001</v>
      </c>
      <c r="R32" s="23"/>
      <c r="S32" s="92">
        <f t="shared" si="14"/>
        <v>-14386.11</v>
      </c>
      <c r="T32" s="13"/>
      <c r="U32" s="13"/>
      <c r="V32" s="495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120</v>
      </c>
      <c r="F33" s="30">
        <v>2520</v>
      </c>
      <c r="G33" s="83"/>
      <c r="H33" s="82"/>
      <c r="I33" s="30"/>
      <c r="J33" s="41"/>
      <c r="K33" s="82">
        <f t="shared" si="11"/>
        <v>322.75</v>
      </c>
      <c r="L33" s="30">
        <v>7746</v>
      </c>
      <c r="M33" s="41"/>
      <c r="N33" s="59">
        <f t="shared" si="12"/>
        <v>5226</v>
      </c>
      <c r="O33" s="41"/>
      <c r="P33" s="82">
        <f t="shared" si="13"/>
        <v>148.78444444444443</v>
      </c>
      <c r="Q33" s="33">
        <v>2678.12</v>
      </c>
      <c r="R33" s="41"/>
      <c r="S33" s="85">
        <f t="shared" si="14"/>
        <v>5067.88</v>
      </c>
      <c r="T33" s="13"/>
      <c r="U33" s="13"/>
      <c r="V33" s="489" t="s">
        <v>247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35</v>
      </c>
      <c r="F34" s="30">
        <v>735</v>
      </c>
      <c r="G34" s="83"/>
      <c r="H34" s="82"/>
      <c r="I34" s="30"/>
      <c r="J34" s="41"/>
      <c r="K34" s="82">
        <f t="shared" si="11"/>
        <v>61.666666666666664</v>
      </c>
      <c r="L34" s="30">
        <v>1480</v>
      </c>
      <c r="M34" s="41"/>
      <c r="N34" s="59">
        <f t="shared" si="12"/>
        <v>745</v>
      </c>
      <c r="O34" s="41"/>
      <c r="P34" s="82">
        <f t="shared" si="13"/>
        <v>24.611111111111111</v>
      </c>
      <c r="Q34" s="33">
        <v>443</v>
      </c>
      <c r="R34" s="41"/>
      <c r="S34" s="85">
        <f t="shared" si="14"/>
        <v>1037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100.61904761904762</v>
      </c>
      <c r="F35" s="22">
        <v>2113</v>
      </c>
      <c r="G35" s="89"/>
      <c r="H35" s="90"/>
      <c r="I35" s="22"/>
      <c r="J35" s="23"/>
      <c r="K35" s="88">
        <f t="shared" si="11"/>
        <v>82.10208333333334</v>
      </c>
      <c r="L35" s="22">
        <v>1970.45</v>
      </c>
      <c r="M35" s="23"/>
      <c r="N35" s="91">
        <f t="shared" si="12"/>
        <v>-142.54999999999995</v>
      </c>
      <c r="O35" s="23"/>
      <c r="P35" s="88">
        <f t="shared" si="13"/>
        <v>184.9361111111111</v>
      </c>
      <c r="Q35" s="33">
        <v>3328.85</v>
      </c>
      <c r="R35" s="23"/>
      <c r="S35" s="92">
        <f t="shared" si="14"/>
        <v>-1358.3999999999999</v>
      </c>
      <c r="T35" s="13"/>
      <c r="U35" s="1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234.88787878787875</v>
      </c>
      <c r="F36" s="30">
        <v>4932.6454545454535</v>
      </c>
      <c r="G36" s="83"/>
      <c r="H36" s="82"/>
      <c r="I36" s="30"/>
      <c r="J36" s="41"/>
      <c r="K36" s="82">
        <f t="shared" si="11"/>
        <v>184.60916666666671</v>
      </c>
      <c r="L36" s="454">
        <v>4430.6200000000008</v>
      </c>
      <c r="M36" s="13"/>
      <c r="N36" s="59">
        <f t="shared" si="12"/>
        <v>-502.0254545454527</v>
      </c>
      <c r="O36" s="41"/>
      <c r="P36" s="82">
        <f t="shared" si="13"/>
        <v>568.04222222222222</v>
      </c>
      <c r="Q36" s="55">
        <v>10224.76</v>
      </c>
      <c r="R36" s="41"/>
      <c r="S36" s="85">
        <f t="shared" si="14"/>
        <v>-5794.1399999999994</v>
      </c>
      <c r="T36" s="13"/>
      <c r="U36" s="13"/>
      <c r="W36" s="489"/>
      <c r="X36" s="453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1011.0149443515111</v>
      </c>
      <c r="F37" s="30">
        <v>21231.313831381733</v>
      </c>
      <c r="G37" s="83"/>
      <c r="H37" s="82"/>
      <c r="I37" s="30"/>
      <c r="J37" s="41"/>
      <c r="K37" s="82">
        <f t="shared" si="11"/>
        <v>992.09708333333344</v>
      </c>
      <c r="L37" s="455">
        <v>23810.33</v>
      </c>
      <c r="M37" s="13"/>
      <c r="N37" s="59">
        <f t="shared" si="12"/>
        <v>2579.0161686182691</v>
      </c>
      <c r="O37" s="41"/>
      <c r="P37" s="82">
        <f t="shared" si="13"/>
        <v>1226.4177777777777</v>
      </c>
      <c r="Q37" s="33">
        <v>22075.52</v>
      </c>
      <c r="R37" s="41"/>
      <c r="S37" s="85">
        <f>L37-Q37</f>
        <v>1734.8100000000013</v>
      </c>
      <c r="T37" s="13"/>
      <c r="U37" s="13"/>
      <c r="V37" s="489">
        <v>23810</v>
      </c>
      <c r="W37" s="49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v>0</v>
      </c>
      <c r="G38" s="83"/>
      <c r="H38" s="82"/>
      <c r="I38" s="30"/>
      <c r="J38" s="41"/>
      <c r="K38" s="82">
        <f t="shared" si="11"/>
        <v>0</v>
      </c>
      <c r="L38" s="455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v>0</v>
      </c>
      <c r="G39" s="83"/>
      <c r="H39" s="82"/>
      <c r="I39" s="30"/>
      <c r="J39" s="41"/>
      <c r="K39" s="82">
        <f t="shared" si="11"/>
        <v>0</v>
      </c>
      <c r="L39" s="455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v>0</v>
      </c>
      <c r="G40" s="83"/>
      <c r="H40" s="82"/>
      <c r="I40" s="30"/>
      <c r="J40" s="41"/>
      <c r="K40" s="82">
        <f t="shared" si="11"/>
        <v>0</v>
      </c>
      <c r="L40" s="456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0.57622134190410468</v>
      </c>
      <c r="F41" s="96">
        <f>SUM(F31:F40)</f>
        <v>64840.103039026129</v>
      </c>
      <c r="G41" s="97"/>
      <c r="H41" s="95"/>
      <c r="I41" s="96"/>
      <c r="J41" s="97" t="s">
        <v>38</v>
      </c>
      <c r="K41" s="95">
        <f>L41/L$27</f>
        <v>0.56839485424348879</v>
      </c>
      <c r="L41" s="96">
        <f>SUM(L31:L40)</f>
        <v>68006.040000000008</v>
      </c>
      <c r="M41" s="98"/>
      <c r="N41" s="96">
        <f t="shared" si="12"/>
        <v>3165.9369609738787</v>
      </c>
      <c r="O41" s="97" t="s">
        <v>38</v>
      </c>
      <c r="P41" s="95">
        <f>Q41/Q$27</f>
        <v>0.6043029482656268</v>
      </c>
      <c r="Q41" s="99">
        <f>SUM(Q31:Q40)</f>
        <v>77135.150000000009</v>
      </c>
      <c r="R41" s="100"/>
      <c r="S41" s="101">
        <f t="shared" ref="S41:S45" si="16">L41-Q41</f>
        <v>-9129.11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12289.214537493159</v>
      </c>
      <c r="G42" s="41"/>
      <c r="H42" s="13"/>
      <c r="I42" s="30"/>
      <c r="J42" s="41"/>
      <c r="K42" s="13"/>
      <c r="L42" s="33">
        <v>10413.32</v>
      </c>
      <c r="M42" s="41"/>
      <c r="N42" s="59">
        <f t="shared" si="12"/>
        <v>-1875.8945374931591</v>
      </c>
      <c r="O42" s="41"/>
      <c r="P42" s="13"/>
      <c r="Q42" s="33">
        <v>11717.38</v>
      </c>
      <c r="R42" s="41"/>
      <c r="S42" s="85">
        <f t="shared" si="16"/>
        <v>-1304.0599999999995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5364.3166130268201</v>
      </c>
      <c r="G43" s="83"/>
      <c r="H43" s="13"/>
      <c r="I43" s="22"/>
      <c r="J43" s="41"/>
      <c r="K43" s="13"/>
      <c r="L43" s="33">
        <v>3371.29</v>
      </c>
      <c r="M43" s="41"/>
      <c r="N43" s="59">
        <f t="shared" si="12"/>
        <v>-1993.0266130268201</v>
      </c>
      <c r="O43" s="41"/>
      <c r="P43" s="13"/>
      <c r="Q43" s="33">
        <v>8797.9500000000007</v>
      </c>
      <c r="R43" s="41"/>
      <c r="S43" s="85">
        <f t="shared" si="16"/>
        <v>-5426.6600000000008</v>
      </c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0</v>
      </c>
      <c r="G44" s="106"/>
      <c r="H44" s="105"/>
      <c r="I44" s="30"/>
      <c r="J44" s="107"/>
      <c r="K44" s="105"/>
      <c r="L44" s="108">
        <v>135</v>
      </c>
      <c r="M44" s="107"/>
      <c r="N44" s="109">
        <f t="shared" si="12"/>
        <v>135</v>
      </c>
      <c r="O44" s="107"/>
      <c r="P44" s="105"/>
      <c r="Q44" s="108">
        <v>342</v>
      </c>
      <c r="R44" s="107"/>
      <c r="S44" s="110">
        <f t="shared" si="16"/>
        <v>-207</v>
      </c>
      <c r="T44" s="13"/>
      <c r="U44" s="13"/>
      <c r="V44" s="489" t="s">
        <v>243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7963.6678827391588</v>
      </c>
      <c r="G49" s="83"/>
      <c r="H49" s="13"/>
      <c r="I49" s="22"/>
      <c r="J49" s="41"/>
      <c r="K49" s="13"/>
      <c r="L49" s="22">
        <v>7199.8</v>
      </c>
      <c r="M49" s="41"/>
      <c r="N49" s="59">
        <f t="shared" si="12"/>
        <v>-763.86788273915863</v>
      </c>
      <c r="O49" s="41"/>
      <c r="P49" s="13"/>
      <c r="Q49" s="22">
        <v>10908.19</v>
      </c>
      <c r="R49" s="41"/>
      <c r="S49" s="85">
        <f t="shared" ref="S49:S53" si="18">L49-Q49</f>
        <v>-3708.3900000000003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7249.6154932205645</v>
      </c>
      <c r="G50" s="106"/>
      <c r="H50" s="105"/>
      <c r="I50" s="30"/>
      <c r="J50" s="107"/>
      <c r="K50" s="105"/>
      <c r="L50" s="33">
        <v>8517.01</v>
      </c>
      <c r="M50" s="107"/>
      <c r="N50" s="109">
        <f t="shared" si="12"/>
        <v>1267.3945067794357</v>
      </c>
      <c r="O50" s="107"/>
      <c r="P50" s="105"/>
      <c r="Q50" s="33">
        <v>8031.37</v>
      </c>
      <c r="R50" s="107"/>
      <c r="S50" s="110">
        <f t="shared" si="18"/>
        <v>485.64000000000033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5074.7308452543948</v>
      </c>
      <c r="G51" s="83"/>
      <c r="H51" s="13"/>
      <c r="I51" s="30"/>
      <c r="J51" s="41"/>
      <c r="K51" s="13"/>
      <c r="L51" s="33">
        <v>4625.8900000000003</v>
      </c>
      <c r="M51" s="41"/>
      <c r="N51" s="59">
        <f t="shared" si="12"/>
        <v>-448.84084525439448</v>
      </c>
      <c r="O51" s="41"/>
      <c r="P51" s="13"/>
      <c r="Q51" s="33">
        <v>5558.62</v>
      </c>
      <c r="R51" s="41"/>
      <c r="S51" s="85">
        <f t="shared" si="18"/>
        <v>-932.72999999999956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1420.9246366712307</v>
      </c>
      <c r="G52" s="83"/>
      <c r="H52" s="13"/>
      <c r="I52" s="30"/>
      <c r="J52" s="41"/>
      <c r="K52" s="13"/>
      <c r="L52" s="33">
        <v>1463.85</v>
      </c>
      <c r="M52" s="41"/>
      <c r="N52" s="59">
        <f t="shared" si="12"/>
        <v>42.925363328769208</v>
      </c>
      <c r="O52" s="41"/>
      <c r="P52" s="13"/>
      <c r="Q52" s="33">
        <v>1980</v>
      </c>
      <c r="R52" s="41"/>
      <c r="S52" s="85">
        <f t="shared" si="18"/>
        <v>-516.15000000000009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0.3498065892222873</v>
      </c>
      <c r="F54" s="96">
        <f>+SUM(F42:F53)</f>
        <v>39362.470008405333</v>
      </c>
      <c r="G54" s="97"/>
      <c r="H54" s="95"/>
      <c r="I54" s="96"/>
      <c r="J54" s="97" t="s">
        <v>38</v>
      </c>
      <c r="K54" s="95">
        <f>L54/L$27</f>
        <v>0.29859944066555788</v>
      </c>
      <c r="L54" s="96">
        <f>+SUM(L42:L53)</f>
        <v>35726.159999999996</v>
      </c>
      <c r="M54" s="100"/>
      <c r="N54" s="96">
        <f>+SUM(N42:N53)</f>
        <v>-3636.3100084053276</v>
      </c>
      <c r="O54" s="97" t="s">
        <v>38</v>
      </c>
      <c r="P54" s="95">
        <f>Q54/Q$27</f>
        <v>0.37084245315730974</v>
      </c>
      <c r="Q54" s="96">
        <f>+SUM(Q42:Q53)</f>
        <v>47335.510000000009</v>
      </c>
      <c r="R54" s="100"/>
      <c r="S54" s="101">
        <f>+SUM(S42:S53)</f>
        <v>-11609.35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2036.5</v>
      </c>
      <c r="G57" s="89"/>
      <c r="H57" s="111"/>
      <c r="I57" s="22"/>
      <c r="J57" s="23"/>
      <c r="K57" s="111"/>
      <c r="L57" s="22">
        <v>881.59</v>
      </c>
      <c r="M57" s="23"/>
      <c r="N57" s="91">
        <f t="shared" si="19"/>
        <v>-1154.9099999999999</v>
      </c>
      <c r="O57" s="23"/>
      <c r="P57" s="111"/>
      <c r="Q57" s="22">
        <v>9997.42</v>
      </c>
      <c r="R57" s="23"/>
      <c r="S57" s="92">
        <f t="shared" si="20"/>
        <v>-9115.83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9195.3521666666675</v>
      </c>
      <c r="G58" s="83"/>
      <c r="H58" s="13"/>
      <c r="I58" s="30"/>
      <c r="J58" s="41"/>
      <c r="K58" s="13"/>
      <c r="L58" s="33">
        <v>9638.23</v>
      </c>
      <c r="M58" s="41"/>
      <c r="N58" s="59">
        <f t="shared" si="19"/>
        <v>442.87783333333209</v>
      </c>
      <c r="O58" s="41"/>
      <c r="P58" s="13"/>
      <c r="Q58" s="33">
        <v>4744.13</v>
      </c>
      <c r="R58" s="41"/>
      <c r="S58" s="85">
        <f t="shared" si="20"/>
        <v>4894.0999999999995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1330</v>
      </c>
      <c r="G59" s="83"/>
      <c r="H59" s="13"/>
      <c r="I59" s="30"/>
      <c r="J59" s="41"/>
      <c r="K59" s="13"/>
      <c r="L59" s="33">
        <v>3011.58</v>
      </c>
      <c r="M59" s="41"/>
      <c r="N59" s="59">
        <f t="shared" si="19"/>
        <v>1681.58</v>
      </c>
      <c r="O59" s="41"/>
      <c r="P59" s="13"/>
      <c r="Q59" s="33">
        <v>646.1</v>
      </c>
      <c r="R59" s="41"/>
      <c r="S59" s="85">
        <f t="shared" si="20"/>
        <v>2365.48</v>
      </c>
      <c r="T59" s="13"/>
      <c r="U59" s="13"/>
      <c r="V59" s="489" t="s">
        <v>248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2672.3603333333335</v>
      </c>
      <c r="G60" s="89"/>
      <c r="H60" s="111"/>
      <c r="I60" s="22"/>
      <c r="J60" s="23"/>
      <c r="K60" s="111"/>
      <c r="L60" s="22">
        <v>3269.68</v>
      </c>
      <c r="M60" s="23"/>
      <c r="N60" s="91">
        <f t="shared" si="19"/>
        <v>597.31966666666631</v>
      </c>
      <c r="O60" s="23"/>
      <c r="P60" s="111"/>
      <c r="Q60" s="22">
        <v>3019.73</v>
      </c>
      <c r="R60" s="23"/>
      <c r="S60" s="92">
        <f t="shared" si="20"/>
        <v>249.94999999999982</v>
      </c>
      <c r="T60" s="13"/>
      <c r="U60" s="13"/>
      <c r="V60" s="489" t="s">
        <v>249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75</v>
      </c>
      <c r="G61" s="83"/>
      <c r="H61" s="13"/>
      <c r="I61" s="30"/>
      <c r="J61" s="41"/>
      <c r="K61" s="13"/>
      <c r="L61" s="33">
        <v>182.09</v>
      </c>
      <c r="M61" s="41"/>
      <c r="N61" s="59">
        <f t="shared" si="19"/>
        <v>107.09</v>
      </c>
      <c r="O61" s="41"/>
      <c r="P61" s="13"/>
      <c r="Q61" s="33">
        <v>60.91</v>
      </c>
      <c r="R61" s="41"/>
      <c r="S61" s="85">
        <f t="shared" si="20"/>
        <v>121.18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186.48</v>
      </c>
      <c r="M62" s="41"/>
      <c r="N62" s="59">
        <f t="shared" si="19"/>
        <v>156.47999999999999</v>
      </c>
      <c r="O62" s="41"/>
      <c r="P62" s="13"/>
      <c r="Q62" s="33">
        <v>0</v>
      </c>
      <c r="R62" s="41"/>
      <c r="S62" s="85">
        <f t="shared" si="20"/>
        <v>186.48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580</v>
      </c>
      <c r="G63" s="83"/>
      <c r="H63" s="13"/>
      <c r="I63" s="30"/>
      <c r="J63" s="41"/>
      <c r="K63" s="13"/>
      <c r="L63" s="32">
        <v>531.85</v>
      </c>
      <c r="M63" s="41"/>
      <c r="N63" s="59">
        <f t="shared" si="19"/>
        <v>-48.149999999999977</v>
      </c>
      <c r="O63" s="41"/>
      <c r="P63" s="13"/>
      <c r="Q63" s="32">
        <v>336.91</v>
      </c>
      <c r="R63" s="41"/>
      <c r="S63" s="85">
        <f t="shared" si="20"/>
        <v>194.94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157.6</v>
      </c>
      <c r="G64" s="83"/>
      <c r="H64" s="13"/>
      <c r="I64" s="30"/>
      <c r="J64" s="41"/>
      <c r="K64" s="13"/>
      <c r="L64" s="33">
        <v>205.23</v>
      </c>
      <c r="M64" s="41"/>
      <c r="N64" s="59">
        <f t="shared" si="19"/>
        <v>47.629999999999995</v>
      </c>
      <c r="O64" s="41"/>
      <c r="P64" s="13"/>
      <c r="Q64" s="33">
        <v>184.93</v>
      </c>
      <c r="R64" s="41"/>
      <c r="S64" s="85">
        <f t="shared" si="20"/>
        <v>20.299999999999983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226.66666666666666</v>
      </c>
      <c r="G65" s="83"/>
      <c r="H65" s="13"/>
      <c r="I65" s="30"/>
      <c r="J65" s="41"/>
      <c r="K65" s="13"/>
      <c r="L65" s="33">
        <v>34.450000000000003</v>
      </c>
      <c r="M65" s="41"/>
      <c r="N65" s="59">
        <f t="shared" si="19"/>
        <v>-192.21666666666664</v>
      </c>
      <c r="O65" s="41"/>
      <c r="P65" s="13"/>
      <c r="Q65" s="33">
        <v>96.66</v>
      </c>
      <c r="R65" s="41"/>
      <c r="S65" s="85">
        <f t="shared" si="20"/>
        <v>-62.209999999999994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629.08333333333326</v>
      </c>
      <c r="G66" s="83"/>
      <c r="H66" s="13"/>
      <c r="I66" s="30"/>
      <c r="J66" s="41"/>
      <c r="K66" s="13"/>
      <c r="L66" s="33">
        <v>521.54</v>
      </c>
      <c r="M66" s="41"/>
      <c r="N66" s="59">
        <f t="shared" si="19"/>
        <v>-107.54333333333329</v>
      </c>
      <c r="O66" s="41"/>
      <c r="P66" s="13"/>
      <c r="Q66" s="33">
        <v>866.7</v>
      </c>
      <c r="R66" s="41"/>
      <c r="S66" s="85">
        <f t="shared" si="20"/>
        <v>-345.16000000000008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321.5946666666668</v>
      </c>
      <c r="G67" s="83"/>
      <c r="H67" s="13"/>
      <c r="I67" s="30"/>
      <c r="J67" s="41"/>
      <c r="K67" s="13"/>
      <c r="L67" s="33">
        <v>213.85</v>
      </c>
      <c r="M67" s="41"/>
      <c r="N67" s="59">
        <f t="shared" si="19"/>
        <v>-107.7446666666668</v>
      </c>
      <c r="O67" s="41"/>
      <c r="P67" s="13"/>
      <c r="Q67" s="33">
        <v>1094.6400000000001</v>
      </c>
      <c r="R67" s="41"/>
      <c r="S67" s="85">
        <f>L67-Q67</f>
        <v>-880.79000000000008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3219.8758124157907</v>
      </c>
      <c r="G68" s="83"/>
      <c r="H68" s="13"/>
      <c r="I68" s="30"/>
      <c r="J68" s="41"/>
      <c r="K68" s="13"/>
      <c r="L68" s="32">
        <v>3212.48</v>
      </c>
      <c r="M68" s="41"/>
      <c r="N68" s="59">
        <f t="shared" si="19"/>
        <v>-7.395812415790715</v>
      </c>
      <c r="O68" s="41"/>
      <c r="P68" s="13"/>
      <c r="Q68" s="33">
        <v>3010.11</v>
      </c>
      <c r="R68" s="41"/>
      <c r="S68" s="85">
        <f>L68-Q68</f>
        <v>202.36999999999989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0.18194873549622576</v>
      </c>
      <c r="F72" s="96">
        <f>+SUM(F55:F71)</f>
        <v>20474.032979082458</v>
      </c>
      <c r="G72" s="97"/>
      <c r="H72" s="95"/>
      <c r="I72" s="96"/>
      <c r="J72" s="97" t="s">
        <v>38</v>
      </c>
      <c r="K72" s="95">
        <f>L72/L$27</f>
        <v>0.18294879961071744</v>
      </c>
      <c r="L72" s="96">
        <f>+SUM(L55:L71)</f>
        <v>21889.049999999996</v>
      </c>
      <c r="M72" s="100"/>
      <c r="N72" s="96">
        <f>+SUM(N55:N71)</f>
        <v>1415.0170209175412</v>
      </c>
      <c r="O72" s="97" t="s">
        <v>38</v>
      </c>
      <c r="P72" s="95">
        <f>Q72/Q$27</f>
        <v>0.18848041861696038</v>
      </c>
      <c r="Q72" s="96">
        <f>+SUM(Q55:Q71)</f>
        <v>24058.240000000002</v>
      </c>
      <c r="R72" s="100"/>
      <c r="S72" s="101">
        <f>+SUM(S55:S71)</f>
        <v>-2169.190000000001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1.1079766666226178</v>
      </c>
      <c r="F74" s="96">
        <f>F41+F54+F72</f>
        <v>124676.60602651392</v>
      </c>
      <c r="G74" s="97"/>
      <c r="H74" s="95"/>
      <c r="I74" s="96"/>
      <c r="J74" s="97" t="s">
        <v>38</v>
      </c>
      <c r="K74" s="95">
        <f>L74/L$27</f>
        <v>1.0499430945197641</v>
      </c>
      <c r="L74" s="96">
        <f>L41+L54+L72</f>
        <v>125621.25</v>
      </c>
      <c r="M74" s="100"/>
      <c r="N74" s="113">
        <f t="shared" ref="N74:N82" si="23">L74-F74</f>
        <v>944.64397348607599</v>
      </c>
      <c r="O74" s="97" t="s">
        <v>38</v>
      </c>
      <c r="P74" s="95">
        <f>Q74/Q$27</f>
        <v>1.163625820039897</v>
      </c>
      <c r="Q74" s="96">
        <f>Q41+Q54+Q72</f>
        <v>148528.90000000002</v>
      </c>
      <c r="R74" s="100"/>
      <c r="S74" s="114">
        <f>L74-Q74</f>
        <v>-22907.650000000023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21"/>
        <v>Véhicules neufsRBSC neuf</v>
      </c>
      <c r="B75" s="11" t="str">
        <f t="shared" si="0"/>
        <v>Véhicules neufs</v>
      </c>
      <c r="C75" s="29" t="s">
        <v>215</v>
      </c>
      <c r="D75" s="81"/>
      <c r="E75" s="13"/>
      <c r="F75" s="30">
        <v>30329.687142857147</v>
      </c>
      <c r="G75" s="83"/>
      <c r="H75" s="13"/>
      <c r="I75" s="30"/>
      <c r="J75" s="41"/>
      <c r="K75" s="13"/>
      <c r="L75" s="32">
        <v>35427.29</v>
      </c>
      <c r="M75" s="41"/>
      <c r="N75" s="59">
        <f t="shared" si="23"/>
        <v>5097.6028571428542</v>
      </c>
      <c r="O75" s="41"/>
      <c r="P75" s="13"/>
      <c r="Q75" s="32">
        <v>21262.21</v>
      </c>
      <c r="R75" s="41"/>
      <c r="S75" s="85">
        <f>L75-Q75</f>
        <v>14165.080000000002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187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36763.257142857146</v>
      </c>
      <c r="G78" s="83"/>
      <c r="H78" s="13"/>
      <c r="I78" s="30"/>
      <c r="J78" s="41"/>
      <c r="K78" s="13"/>
      <c r="L78" s="33">
        <v>44158</v>
      </c>
      <c r="M78" s="41"/>
      <c r="N78" s="59">
        <f t="shared" si="23"/>
        <v>7394.7428571428536</v>
      </c>
      <c r="O78" s="41"/>
      <c r="P78" s="13"/>
      <c r="Q78" s="32">
        <v>29948.799999999999</v>
      </c>
      <c r="R78" s="41"/>
      <c r="S78" s="85">
        <f t="shared" si="24"/>
        <v>14209.2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12245.1</v>
      </c>
      <c r="G82" s="83"/>
      <c r="H82" s="13"/>
      <c r="I82" s="30"/>
      <c r="J82" s="41"/>
      <c r="K82" s="13"/>
      <c r="L82" s="32">
        <v>14280</v>
      </c>
      <c r="M82" s="41"/>
      <c r="N82" s="59">
        <f t="shared" si="23"/>
        <v>2034.8999999999996</v>
      </c>
      <c r="O82" s="41"/>
      <c r="P82" s="13"/>
      <c r="Q82" s="32">
        <v>11305</v>
      </c>
      <c r="R82" s="41"/>
      <c r="S82" s="85">
        <f t="shared" ref="S82" si="26">L82-Q82</f>
        <v>2975</v>
      </c>
      <c r="T82" s="13"/>
      <c r="U82" s="13"/>
      <c r="V82" s="489">
        <f>L82/595</f>
        <v>24</v>
      </c>
      <c r="W82" s="483">
        <f>V82/J27</f>
        <v>0.92307692307692313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79338.044285714306</v>
      </c>
      <c r="G83" s="97"/>
      <c r="H83" s="95"/>
      <c r="I83" s="96"/>
      <c r="J83" s="97"/>
      <c r="K83" s="95"/>
      <c r="L83" s="96">
        <f>+SUM(L75:L82)</f>
        <v>93865.290000000008</v>
      </c>
      <c r="M83" s="100"/>
      <c r="N83" s="96">
        <f>+SUM(N75:N82)</f>
        <v>14527.245714285707</v>
      </c>
      <c r="O83" s="97"/>
      <c r="P83" s="95"/>
      <c r="Q83" s="96">
        <f>+SUM(Q75:Q82)</f>
        <v>62516.009999999995</v>
      </c>
      <c r="R83" s="100"/>
      <c r="S83" s="101">
        <f>+SUM(S75:S82)</f>
        <v>31349.280000000002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67187.820612141557</v>
      </c>
      <c r="G85" s="128"/>
      <c r="H85" s="126"/>
      <c r="I85" s="127"/>
      <c r="J85" s="128"/>
      <c r="K85" s="125"/>
      <c r="L85" s="127">
        <f>L27-L74+L83</f>
        <v>87889.810000000041</v>
      </c>
      <c r="M85" s="128"/>
      <c r="N85" s="127">
        <f>N27-N41-N54-N72+N83</f>
        <v>20701.989387858473</v>
      </c>
      <c r="O85" s="128"/>
      <c r="P85" s="125"/>
      <c r="Q85" s="127">
        <f>Q27-Q74+Q83</f>
        <v>41630.289999999848</v>
      </c>
      <c r="R85" s="128"/>
      <c r="S85" s="129">
        <f>S27-S41-S54-S72+S83</f>
        <v>46259.520000000164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8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Juillet 2026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399999999999999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06" t="s">
        <v>5</v>
      </c>
      <c r="E91" s="507"/>
      <c r="F91" s="508"/>
      <c r="G91" s="509"/>
      <c r="H91" s="507"/>
      <c r="I91" s="508"/>
      <c r="J91" s="509" t="s">
        <v>7</v>
      </c>
      <c r="K91" s="507"/>
      <c r="L91" s="508"/>
      <c r="M91" s="509" t="s">
        <v>212</v>
      </c>
      <c r="N91" s="508"/>
      <c r="O91" s="506" t="s">
        <v>8</v>
      </c>
      <c r="P91" s="507"/>
      <c r="Q91" s="508"/>
      <c r="R91" s="504" t="s">
        <v>213</v>
      </c>
      <c r="S91" s="505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214</v>
      </c>
      <c r="N92" s="134" t="s">
        <v>216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9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1945706.0767454284</v>
      </c>
      <c r="G93" s="46"/>
      <c r="H93" s="25"/>
      <c r="I93" s="22"/>
      <c r="J93" s="23"/>
      <c r="K93" s="25"/>
      <c r="L93" s="22">
        <v>2085276.12</v>
      </c>
      <c r="M93" s="137"/>
      <c r="N93" s="138"/>
      <c r="O93" s="23"/>
      <c r="P93" s="25"/>
      <c r="Q93" s="22">
        <v>1404731.62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7"/>
        <v>Véhicules usagésCertifié</v>
      </c>
      <c r="B94" s="11" t="s">
        <v>70</v>
      </c>
      <c r="C94" s="29" t="s">
        <v>72</v>
      </c>
      <c r="D94" s="30">
        <v>14</v>
      </c>
      <c r="E94" s="30">
        <f>IF(D94=0,0,F94/D94)</f>
        <v>2400</v>
      </c>
      <c r="F94" s="30">
        <v>33600</v>
      </c>
      <c r="G94" s="31"/>
      <c r="H94" s="30"/>
      <c r="I94" s="30"/>
      <c r="J94" s="31">
        <v>14</v>
      </c>
      <c r="K94" s="30">
        <f>IF(J94=0,0,L94/J94)</f>
        <v>1980.7307142857098</v>
      </c>
      <c r="L94" s="33">
        <v>27730.229999999938</v>
      </c>
      <c r="M94" s="31">
        <f>J94-D94</f>
        <v>0</v>
      </c>
      <c r="N94" s="33">
        <f>L94-F94</f>
        <v>-5869.7700000000623</v>
      </c>
      <c r="O94" s="31">
        <v>10</v>
      </c>
      <c r="P94" s="30">
        <f t="shared" ref="P94:P96" si="28">IF(O94=0,0,Q94/O94)</f>
        <v>1754.4559999999899</v>
      </c>
      <c r="Q94" s="33">
        <v>17544.559999999899</v>
      </c>
      <c r="R94" s="31">
        <f>J94-O94</f>
        <v>4</v>
      </c>
      <c r="S94" s="34">
        <f>L94-Q94</f>
        <v>10185.670000000038</v>
      </c>
      <c r="T94" s="13"/>
      <c r="U94" s="13"/>
      <c r="W94" s="11" t="s">
        <v>246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399999999999999">
      <c r="A95" t="str">
        <f t="shared" si="27"/>
        <v>Véhicules usagésNon Certifié</v>
      </c>
      <c r="B95" s="11" t="s">
        <v>70</v>
      </c>
      <c r="C95" s="29" t="s">
        <v>73</v>
      </c>
      <c r="D95" s="30">
        <v>4</v>
      </c>
      <c r="E95" s="30">
        <f t="shared" ref="E95:E97" si="29">IF(D95=0,0,F95/D95)</f>
        <v>1400</v>
      </c>
      <c r="F95" s="30">
        <v>5600</v>
      </c>
      <c r="G95" s="31"/>
      <c r="H95" s="30"/>
      <c r="I95" s="30"/>
      <c r="J95" s="31">
        <v>10</v>
      </c>
      <c r="K95" s="30">
        <f>IF(J95=0,0,L95/J95)</f>
        <v>2340.7010000000018</v>
      </c>
      <c r="L95" s="32">
        <v>23407.01000000002</v>
      </c>
      <c r="M95" s="31">
        <f>J95-D95</f>
        <v>6</v>
      </c>
      <c r="N95" s="33">
        <f>L95-F95</f>
        <v>17807.01000000002</v>
      </c>
      <c r="O95" s="31">
        <v>1</v>
      </c>
      <c r="P95" s="30">
        <f t="shared" si="28"/>
        <v>1766.85</v>
      </c>
      <c r="Q95" s="32">
        <v>1766.85</v>
      </c>
      <c r="R95" s="31">
        <f>J95-O95</f>
        <v>9</v>
      </c>
      <c r="S95" s="34">
        <f>L95-Q95</f>
        <v>21640.160000000022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399999999999999">
      <c r="A96" t="str">
        <f t="shared" si="27"/>
        <v>Véhicules usagésAutres marques</v>
      </c>
      <c r="B96" s="11" t="s">
        <v>70</v>
      </c>
      <c r="C96" s="29" t="s">
        <v>206</v>
      </c>
      <c r="D96" s="30">
        <v>6</v>
      </c>
      <c r="E96" s="25">
        <f t="shared" si="29"/>
        <v>1500</v>
      </c>
      <c r="F96" s="30">
        <v>9000</v>
      </c>
      <c r="G96" s="31"/>
      <c r="H96" s="30"/>
      <c r="I96" s="30"/>
      <c r="J96" s="31">
        <v>4</v>
      </c>
      <c r="K96" s="30">
        <f>IF(J96=0,0,L96/J96)</f>
        <v>2803.3150000000001</v>
      </c>
      <c r="L96" s="32">
        <v>11213.26</v>
      </c>
      <c r="M96" s="31">
        <f>J96-D96</f>
        <v>-2</v>
      </c>
      <c r="N96" s="33">
        <f>L96-F96</f>
        <v>2213.2600000000002</v>
      </c>
      <c r="O96" s="31">
        <v>4</v>
      </c>
      <c r="P96" s="30">
        <f t="shared" si="28"/>
        <v>663.05499999999995</v>
      </c>
      <c r="Q96" s="32">
        <v>2652.22</v>
      </c>
      <c r="R96" s="31">
        <f>J96-O96</f>
        <v>0</v>
      </c>
      <c r="S96" s="34">
        <f>L96-Q96</f>
        <v>8561.0400000000009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24</v>
      </c>
      <c r="E97" s="30">
        <f t="shared" si="29"/>
        <v>2008.3333333333333</v>
      </c>
      <c r="F97" s="37">
        <f>+F94+F95+F96</f>
        <v>48200</v>
      </c>
      <c r="G97" s="38"/>
      <c r="H97" s="36"/>
      <c r="I97" s="37"/>
      <c r="J97" s="38">
        <f>+J94+J95+J96</f>
        <v>28</v>
      </c>
      <c r="K97" s="36">
        <f>IF(J97&lt;=0,0,L97/J97)</f>
        <v>2226.8035714285702</v>
      </c>
      <c r="L97" s="37">
        <f>+L94+L95+L96</f>
        <v>62350.499999999964</v>
      </c>
      <c r="M97" s="38">
        <f>J97-D97</f>
        <v>4</v>
      </c>
      <c r="N97" s="37">
        <f>L97-F97</f>
        <v>14150.499999999964</v>
      </c>
      <c r="O97" s="38">
        <f>+O95+O94+O96</f>
        <v>15</v>
      </c>
      <c r="P97" s="36">
        <f>IF(O97=0,0,Q97/O97)</f>
        <v>1464.2419999999934</v>
      </c>
      <c r="Q97" s="37">
        <f>+Q94+Q95+Q96</f>
        <v>21963.629999999899</v>
      </c>
      <c r="R97" s="38">
        <f>J97-O97</f>
        <v>13</v>
      </c>
      <c r="S97" s="39">
        <f>L97-Q97</f>
        <v>40386.870000000068</v>
      </c>
      <c r="T97" s="13"/>
      <c r="U97" s="13"/>
      <c r="W97" s="457">
        <v>28</v>
      </c>
      <c r="X97" s="13">
        <v>62351</v>
      </c>
      <c r="Y97" s="499">
        <f>L97-X97</f>
        <v>-0.50000000003637979</v>
      </c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0.16666666666666666</v>
      </c>
      <c r="N98" s="43">
        <f>N97/F97</f>
        <v>0.2935788381742731</v>
      </c>
      <c r="O98" s="41"/>
      <c r="P98" s="13"/>
      <c r="Q98" s="40"/>
      <c r="R98" s="42">
        <f>R97/O97</f>
        <v>0.8666666666666667</v>
      </c>
      <c r="S98" s="44">
        <f>IF(Q97=0,0,(S97/Q97))</f>
        <v>1.8388066999853965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1">
      <c r="A99" t="str">
        <f>+B99&amp;C99</f>
        <v>Véhicules neufsRachat bail</v>
      </c>
      <c r="B99" s="11" t="str">
        <f t="shared" ref="B99" si="30">+$K$1</f>
        <v>Véhicules neufs</v>
      </c>
      <c r="C99" s="53" t="s">
        <v>23</v>
      </c>
      <c r="D99" s="30">
        <v>0</v>
      </c>
      <c r="E99" s="30">
        <f>IF(D99=0,0,F99/D99)</f>
        <v>0</v>
      </c>
      <c r="F99" s="30">
        <v>2102.295817364572</v>
      </c>
      <c r="G99" s="31"/>
      <c r="H99" s="30"/>
      <c r="I99" s="30"/>
      <c r="J99" s="31"/>
      <c r="K99" s="30"/>
      <c r="L99" s="33">
        <v>999</v>
      </c>
      <c r="M99" s="31"/>
      <c r="N99" s="33">
        <f>L99-F99</f>
        <v>-1103.295817364572</v>
      </c>
      <c r="O99" s="31"/>
      <c r="P99" s="30"/>
      <c r="Q99" s="33">
        <v>2498</v>
      </c>
      <c r="R99" s="31">
        <f>O99-K99</f>
        <v>0</v>
      </c>
      <c r="S99" s="34">
        <f>L99-Q99</f>
        <v>-1499</v>
      </c>
      <c r="T99" s="13"/>
      <c r="U99" s="13"/>
      <c r="W99" s="11"/>
      <c r="X99" s="11">
        <v>999</v>
      </c>
      <c r="Y99" s="499">
        <f>L99-X99</f>
        <v>0</v>
      </c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spans="1:40" ht="20.399999999999999">
      <c r="A100" t="str">
        <f t="shared" ref="A100:A118" si="31">+B100&amp;C100</f>
        <v>Véhicules usagés</v>
      </c>
      <c r="B100" s="11" t="s">
        <v>70</v>
      </c>
      <c r="C100" s="29"/>
      <c r="D100" s="30"/>
      <c r="E100" s="30"/>
      <c r="F100" s="30"/>
      <c r="G100" s="4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13"/>
      <c r="X100" s="13"/>
      <c r="Y100" s="13"/>
      <c r="Z100" s="13"/>
      <c r="AA100" s="13"/>
      <c r="AB100" s="13"/>
      <c r="AC100" s="11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20.399999999999999">
      <c r="A101" t="str">
        <f t="shared" si="31"/>
        <v>Véhicules usagésVentes au Gros</v>
      </c>
      <c r="B101" s="11" t="s">
        <v>70</v>
      </c>
      <c r="C101" s="29" t="s">
        <v>75</v>
      </c>
      <c r="D101" s="30">
        <v>22</v>
      </c>
      <c r="E101" s="30">
        <f t="shared" ref="E101" si="32">IF(D101=0,0,F101/D101)</f>
        <v>500</v>
      </c>
      <c r="F101" s="30">
        <v>11000</v>
      </c>
      <c r="G101" s="31"/>
      <c r="H101" s="30"/>
      <c r="I101" s="30"/>
      <c r="J101" s="31">
        <v>24</v>
      </c>
      <c r="K101" s="30">
        <f>IF(J101=0,0,L101/J101)</f>
        <v>167.28291666666578</v>
      </c>
      <c r="L101" s="33">
        <v>4014.789999999979</v>
      </c>
      <c r="M101" s="31">
        <f>J101-D101</f>
        <v>2</v>
      </c>
      <c r="N101" s="33">
        <f>L101-F101</f>
        <v>-6985.210000000021</v>
      </c>
      <c r="O101" s="31">
        <v>23</v>
      </c>
      <c r="P101" s="30">
        <f>IF(O101=0,0,Q101/O101)</f>
        <v>264.54652173913041</v>
      </c>
      <c r="Q101" s="33">
        <v>6084.57</v>
      </c>
      <c r="R101" s="31">
        <f>J101-O101</f>
        <v>1</v>
      </c>
      <c r="S101" s="34">
        <f>L101-Q101</f>
        <v>-2069.7800000000207</v>
      </c>
      <c r="T101" s="13"/>
      <c r="U101" s="13"/>
      <c r="W101" s="457">
        <v>24</v>
      </c>
      <c r="X101" s="13">
        <v>4015</v>
      </c>
      <c r="Y101" s="499">
        <f>L101-X101</f>
        <v>-0.21000000002095476</v>
      </c>
      <c r="Z101" s="13"/>
      <c r="AA101" s="13"/>
      <c r="AB101" s="13"/>
      <c r="AC101" s="82"/>
      <c r="AD101" s="13"/>
      <c r="AE101" s="13"/>
      <c r="AF101" s="140"/>
      <c r="AG101" s="13"/>
      <c r="AH101" s="13"/>
      <c r="AI101" s="13"/>
      <c r="AJ101" s="13"/>
      <c r="AK101" s="13"/>
      <c r="AL101" s="13"/>
      <c r="AM101" s="13"/>
      <c r="AN101" s="13"/>
    </row>
    <row r="102" spans="1:40" ht="21">
      <c r="A102" t="str">
        <f t="shared" si="31"/>
        <v>Véhicules usagés</v>
      </c>
      <c r="B102" s="11" t="s">
        <v>70</v>
      </c>
      <c r="C102" s="86"/>
      <c r="D102" s="25"/>
      <c r="E102" s="25"/>
      <c r="F102" s="48"/>
      <c r="G102" s="51"/>
      <c r="H102" s="47"/>
      <c r="I102" s="48"/>
      <c r="J102" s="51"/>
      <c r="K102" s="47"/>
      <c r="L102" s="48"/>
      <c r="M102" s="49"/>
      <c r="N102" s="141"/>
      <c r="O102" s="51"/>
      <c r="P102" s="47"/>
      <c r="Q102" s="48"/>
      <c r="R102" s="49"/>
      <c r="S102" s="142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40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31"/>
        <v>Véhicules usagésRev. Finances</v>
      </c>
      <c r="B103" s="11" t="s">
        <v>70</v>
      </c>
      <c r="C103" s="29" t="s">
        <v>24</v>
      </c>
      <c r="D103" s="30"/>
      <c r="E103" s="30">
        <f>IF(D97=0,0,F103/D97)</f>
        <v>350</v>
      </c>
      <c r="F103" s="33">
        <v>8400</v>
      </c>
      <c r="G103" s="31"/>
      <c r="H103" s="30"/>
      <c r="I103" s="30"/>
      <c r="J103" s="31"/>
      <c r="K103" s="30">
        <f>IF(J97=0,0,L103/J97)</f>
        <v>330.96857142857141</v>
      </c>
      <c r="L103" s="33">
        <v>9267.119999999999</v>
      </c>
      <c r="M103" s="31"/>
      <c r="N103" s="33">
        <f>L103-F103</f>
        <v>867.11999999999898</v>
      </c>
      <c r="O103" s="31"/>
      <c r="P103" s="30">
        <f>IF(O97=0,0,Q103/O97)</f>
        <v>-51.541333333333263</v>
      </c>
      <c r="Q103" s="33">
        <v>-773.11999999999898</v>
      </c>
      <c r="R103" s="31">
        <f>O103-K103</f>
        <v>-330.96857142857141</v>
      </c>
      <c r="S103" s="34">
        <f>L103-Q103</f>
        <v>10040.239999999998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31"/>
        <v>Véhicules usagésRev. Protections</v>
      </c>
      <c r="B104" s="11" t="s">
        <v>70</v>
      </c>
      <c r="C104" s="29" t="s">
        <v>25</v>
      </c>
      <c r="D104" s="30"/>
      <c r="E104" s="30">
        <f>IF(D97=0,0,F104/D97)</f>
        <v>950</v>
      </c>
      <c r="F104" s="33">
        <v>22800</v>
      </c>
      <c r="G104" s="31"/>
      <c r="H104" s="30"/>
      <c r="I104" s="30"/>
      <c r="J104" s="31"/>
      <c r="K104" s="30">
        <f>IF(J97=0,0,L104/J97)</f>
        <v>389.14285714285717</v>
      </c>
      <c r="L104" s="33">
        <v>10896</v>
      </c>
      <c r="M104" s="31"/>
      <c r="N104" s="33">
        <f>L104-F104</f>
        <v>-11904</v>
      </c>
      <c r="O104" s="31"/>
      <c r="P104" s="30">
        <f>IF(O97=0,0,Q104/O97)</f>
        <v>1057.0806666666665</v>
      </c>
      <c r="Q104" s="33">
        <v>15856.21</v>
      </c>
      <c r="R104" s="31">
        <f>O104-K104</f>
        <v>-389.14285714285717</v>
      </c>
      <c r="S104" s="34">
        <f>L104-Q104</f>
        <v>-4960.2099999999991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399999999999999">
      <c r="A105" t="str">
        <f t="shared" si="31"/>
        <v>Véhicules usagésRev. Autres</v>
      </c>
      <c r="B105" s="11" t="s">
        <v>70</v>
      </c>
      <c r="C105" s="29" t="s">
        <v>26</v>
      </c>
      <c r="D105" s="30"/>
      <c r="E105" s="47">
        <f>IF(D97=0,0,F105/D97)</f>
        <v>200</v>
      </c>
      <c r="F105" s="33">
        <v>4800</v>
      </c>
      <c r="G105" s="31"/>
      <c r="H105" s="47"/>
      <c r="I105" s="30"/>
      <c r="J105" s="31"/>
      <c r="K105" s="47">
        <f>IF(J97=0,0,L105/J97)</f>
        <v>0</v>
      </c>
      <c r="L105" s="33">
        <v>0</v>
      </c>
      <c r="M105" s="51"/>
      <c r="N105" s="33">
        <f>L105-F105</f>
        <v>-4800</v>
      </c>
      <c r="O105" s="31"/>
      <c r="P105" s="47">
        <f>IF(O97=0,0,Q105/O97)</f>
        <v>768.64599999999336</v>
      </c>
      <c r="Q105" s="33">
        <v>11529.6899999999</v>
      </c>
      <c r="R105" s="31">
        <f>O105-K105</f>
        <v>0</v>
      </c>
      <c r="S105" s="34">
        <f>L105-Q105</f>
        <v>-11529.6899999999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31"/>
        <v>Véhicules usagésTotal F&amp;I</v>
      </c>
      <c r="B106" s="11" t="s">
        <v>70</v>
      </c>
      <c r="C106" s="35" t="s">
        <v>27</v>
      </c>
      <c r="D106" s="36">
        <f>D97</f>
        <v>24</v>
      </c>
      <c r="E106" s="30">
        <f t="shared" ref="E106" si="33">IF(D106=0,0,F106/D106)</f>
        <v>1500</v>
      </c>
      <c r="F106" s="37">
        <f>F103+F104+F105</f>
        <v>36000</v>
      </c>
      <c r="G106" s="38"/>
      <c r="H106" s="36"/>
      <c r="I106" s="37"/>
      <c r="J106" s="38">
        <f>J97</f>
        <v>28</v>
      </c>
      <c r="K106" s="36">
        <f>IF(J106&lt;=0,0,L106/J106)</f>
        <v>720.11142857142852</v>
      </c>
      <c r="L106" s="37">
        <f>L103+L104+L105</f>
        <v>20163.12</v>
      </c>
      <c r="M106" s="31">
        <f>J106-D106</f>
        <v>4</v>
      </c>
      <c r="N106" s="37">
        <f>L106-F106</f>
        <v>-15836.880000000001</v>
      </c>
      <c r="O106" s="38">
        <f>O97</f>
        <v>15</v>
      </c>
      <c r="P106" s="36">
        <f t="shared" ref="P106" si="34">IF(O106=0,0,Q106/O106)</f>
        <v>1774.1853333333268</v>
      </c>
      <c r="Q106" s="37">
        <f>Q103+Q104+Q105</f>
        <v>26612.779999999901</v>
      </c>
      <c r="R106" s="56"/>
      <c r="S106" s="39">
        <f>L106-Q106</f>
        <v>-6449.6599999999016</v>
      </c>
      <c r="T106" s="13"/>
      <c r="U106" s="13"/>
      <c r="W106" s="13"/>
      <c r="X106" s="13">
        <v>20163</v>
      </c>
      <c r="Y106" s="499">
        <f>L106-X106</f>
        <v>0.11999999999898137</v>
      </c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>
      <c r="A107" t="str">
        <f t="shared" si="31"/>
        <v>Véhicules usagés</v>
      </c>
      <c r="B107" s="11" t="s">
        <v>70</v>
      </c>
      <c r="C107" s="29"/>
      <c r="D107" s="13"/>
      <c r="E107" s="13"/>
      <c r="F107" s="59"/>
      <c r="G107" s="41"/>
      <c r="H107" s="143"/>
      <c r="I107" s="59"/>
      <c r="J107" s="41"/>
      <c r="K107" s="13"/>
      <c r="L107" s="59"/>
      <c r="M107" s="42"/>
      <c r="N107" s="43">
        <f>N106/F106</f>
        <v>-0.43991333333333338</v>
      </c>
      <c r="O107" s="41"/>
      <c r="P107" s="13"/>
      <c r="Q107" s="59"/>
      <c r="R107" s="60"/>
      <c r="S107" s="44">
        <f>IF(Q106=0,0,(S106/Q106))</f>
        <v>-0.24235198276917802</v>
      </c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Bot="1">
      <c r="A108" t="str">
        <f t="shared" si="31"/>
        <v>Véhicules usagés</v>
      </c>
      <c r="B108" s="11" t="s">
        <v>70</v>
      </c>
      <c r="C108" s="29"/>
      <c r="D108" s="13"/>
      <c r="E108" s="13"/>
      <c r="F108" s="59"/>
      <c r="G108" s="41"/>
      <c r="H108" s="143"/>
      <c r="I108" s="59"/>
      <c r="J108" s="41"/>
      <c r="K108" s="13"/>
      <c r="L108" s="59"/>
      <c r="M108" s="42"/>
      <c r="N108" s="43"/>
      <c r="O108" s="41"/>
      <c r="P108" s="13"/>
      <c r="Q108" s="59"/>
      <c r="R108" s="60"/>
      <c r="S108" s="44"/>
      <c r="T108" s="13"/>
      <c r="U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Top="1">
      <c r="A109" t="str">
        <f t="shared" si="31"/>
        <v>Véhicules usagésTotal Dépt. Usagés</v>
      </c>
      <c r="B109" s="11" t="s">
        <v>70</v>
      </c>
      <c r="C109" s="62" t="s">
        <v>76</v>
      </c>
      <c r="D109" s="63">
        <f>D97+D101</f>
        <v>46</v>
      </c>
      <c r="E109" s="67">
        <f>IF(D109&lt;=0,0,F109/D109)</f>
        <v>2115.2673003774908</v>
      </c>
      <c r="F109" s="65">
        <f>F97+F106+F101+F99</f>
        <v>97302.295817364575</v>
      </c>
      <c r="G109" s="66"/>
      <c r="H109" s="67"/>
      <c r="I109" s="65"/>
      <c r="J109" s="66">
        <f>J97+J101</f>
        <v>52</v>
      </c>
      <c r="K109" s="67">
        <f>IF(J109&lt;=0,0,L109/J109)</f>
        <v>1683.2194230769221</v>
      </c>
      <c r="L109" s="65">
        <f>L97+L106+L101+L99</f>
        <v>87527.409999999945</v>
      </c>
      <c r="M109" s="66">
        <f>J109-D109</f>
        <v>6</v>
      </c>
      <c r="N109" s="65">
        <f>L109-F109</f>
        <v>-9774.8858173646295</v>
      </c>
      <c r="O109" s="66">
        <f>O97+O101</f>
        <v>38</v>
      </c>
      <c r="P109" s="67">
        <f>IF(O109&lt;=0,0,Q109/O109)</f>
        <v>1504.1836842105211</v>
      </c>
      <c r="Q109" s="65">
        <f>Q97+Q106+Q101+Q99</f>
        <v>57158.979999999799</v>
      </c>
      <c r="R109" s="66">
        <f>J109-O109</f>
        <v>14</v>
      </c>
      <c r="S109" s="68">
        <f>L109-Q109</f>
        <v>30368.430000000146</v>
      </c>
      <c r="T109" s="13"/>
      <c r="U109" s="13"/>
      <c r="W109" s="484">
        <f>SUM(W95:W108)</f>
        <v>52</v>
      </c>
      <c r="X109" s="484">
        <f>SUM(X95:X108)</f>
        <v>87528</v>
      </c>
      <c r="Y109" s="499">
        <f>L109-X109</f>
        <v>-0.5900000000547152</v>
      </c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Bot="1">
      <c r="A110" t="str">
        <f t="shared" si="31"/>
        <v>Véhicules usagés</v>
      </c>
      <c r="B110" s="11" t="s">
        <v>70</v>
      </c>
      <c r="C110" s="69"/>
      <c r="D110" s="70"/>
      <c r="E110" s="70"/>
      <c r="F110" s="71"/>
      <c r="G110" s="72"/>
      <c r="H110" s="70"/>
      <c r="I110" s="71"/>
      <c r="J110" s="72"/>
      <c r="K110" s="70"/>
      <c r="L110" s="71"/>
      <c r="M110" s="73">
        <f>M109/D109</f>
        <v>0.13043478260869565</v>
      </c>
      <c r="N110" s="74">
        <f>N109/F109</f>
        <v>-0.10045894328857349</v>
      </c>
      <c r="O110" s="72"/>
      <c r="P110" s="70"/>
      <c r="Q110" s="71"/>
      <c r="R110" s="73">
        <f>O109/R109</f>
        <v>2.7142857142857144</v>
      </c>
      <c r="S110" s="144">
        <f>IF(Q109=0,0,(S109/Q109))</f>
        <v>0.53129761937669728</v>
      </c>
      <c r="T110" s="13"/>
      <c r="U110" s="13"/>
      <c r="W110" s="13"/>
      <c r="X110" s="30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.6" thickTop="1">
      <c r="A111" t="str">
        <f t="shared" si="31"/>
        <v>Véhicules usagés</v>
      </c>
      <c r="B111" s="11" t="s">
        <v>70</v>
      </c>
      <c r="C111" s="53"/>
      <c r="D111" s="76"/>
      <c r="E111" s="76"/>
      <c r="F111" s="77"/>
      <c r="G111" s="78"/>
      <c r="H111" s="76"/>
      <c r="I111" s="77"/>
      <c r="J111" s="78"/>
      <c r="K111" s="76"/>
      <c r="L111" s="77"/>
      <c r="M111" s="42"/>
      <c r="N111" s="43"/>
      <c r="O111" s="78"/>
      <c r="P111" s="76"/>
      <c r="Q111" s="77"/>
      <c r="R111" s="42"/>
      <c r="S111" s="44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1">
      <c r="A112" t="str">
        <f t="shared" si="31"/>
        <v>Véhicules usagésDEPENSES</v>
      </c>
      <c r="B112" s="11" t="s">
        <v>70</v>
      </c>
      <c r="C112" s="79" t="s">
        <v>29</v>
      </c>
      <c r="D112" s="13"/>
      <c r="E112" s="80"/>
      <c r="F112" s="59"/>
      <c r="G112" s="41"/>
      <c r="H112" s="80"/>
      <c r="I112" s="59"/>
      <c r="J112" s="41"/>
      <c r="K112" s="80"/>
      <c r="L112" s="40"/>
      <c r="M112" s="41"/>
      <c r="N112" s="40"/>
      <c r="O112" s="41"/>
      <c r="P112" s="80"/>
      <c r="Q112" s="40"/>
      <c r="R112" s="41"/>
      <c r="S112" s="61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31"/>
        <v>Véhicules usagésComm. vendeurs</v>
      </c>
      <c r="B113" s="11" t="s">
        <v>70</v>
      </c>
      <c r="C113" s="29" t="s">
        <v>30</v>
      </c>
      <c r="D113" s="147">
        <f>F113/(F97+F106)</f>
        <v>0.19606132097828735</v>
      </c>
      <c r="E113" s="82">
        <f t="shared" ref="E113:E122" si="35">F113/D$97</f>
        <v>687.84846776549148</v>
      </c>
      <c r="F113" s="30">
        <v>16508.363226371795</v>
      </c>
      <c r="G113" s="156"/>
      <c r="H113" s="82"/>
      <c r="I113" s="30"/>
      <c r="J113" s="156">
        <f>L113/L97</f>
        <v>0.40176887113976656</v>
      </c>
      <c r="K113" s="82">
        <f>IF($J$97=0,0,L113/(J$94+J$95+J96))</f>
        <v>894.66035714285715</v>
      </c>
      <c r="L113" s="33">
        <v>25050.49</v>
      </c>
      <c r="M113" s="41"/>
      <c r="N113" s="59">
        <f t="shared" ref="N113:N154" si="36">L113-F113</f>
        <v>8542.1267736282061</v>
      </c>
      <c r="O113" s="156">
        <f>Q113/Q97</f>
        <v>0.29214524192950025</v>
      </c>
      <c r="P113" s="82">
        <f t="shared" ref="P113:P122" si="37">Q113/O$97</f>
        <v>427.7713333333333</v>
      </c>
      <c r="Q113" s="33">
        <v>6416.57</v>
      </c>
      <c r="R113" s="41"/>
      <c r="S113" s="85">
        <f t="shared" ref="S113:S118" si="38">L113-Q113</f>
        <v>18633.920000000002</v>
      </c>
      <c r="T113" s="13"/>
      <c r="U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31"/>
        <v>Véhicules usagésComm. F&amp;I</v>
      </c>
      <c r="B114" s="11" t="s">
        <v>70</v>
      </c>
      <c r="C114" s="86" t="s">
        <v>31</v>
      </c>
      <c r="D114" s="217">
        <f>F114/(F106+F99)</f>
        <v>0.25510273833867642</v>
      </c>
      <c r="E114" s="88">
        <f t="shared" si="35"/>
        <v>405</v>
      </c>
      <c r="F114" s="22">
        <v>9720</v>
      </c>
      <c r="G114" s="161"/>
      <c r="H114" s="88"/>
      <c r="I114" s="22"/>
      <c r="J114" s="161">
        <f>L114/L106</f>
        <v>0.16193376818666955</v>
      </c>
      <c r="K114" s="88">
        <f>IF($J$97=0,0,L114/(J$94+J$95+J96))</f>
        <v>116.61035714285715</v>
      </c>
      <c r="L114" s="33">
        <v>3265.09</v>
      </c>
      <c r="M114" s="23"/>
      <c r="N114" s="91">
        <f t="shared" si="36"/>
        <v>-6454.91</v>
      </c>
      <c r="O114" s="161">
        <f>Q114/(Q106+Q99)</f>
        <v>0.26703990755314788</v>
      </c>
      <c r="P114" s="88">
        <f t="shared" si="37"/>
        <v>518.24933333333331</v>
      </c>
      <c r="Q114" s="33">
        <v>7773.74</v>
      </c>
      <c r="R114" s="23"/>
      <c r="S114" s="92">
        <f t="shared" si="38"/>
        <v>-4508.6499999999996</v>
      </c>
      <c r="T114" s="13"/>
      <c r="U114" s="13"/>
      <c r="V114" s="4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31"/>
        <v>Véhicules usagésFrais de livraison</v>
      </c>
      <c r="B115" s="11" t="s">
        <v>70</v>
      </c>
      <c r="C115" s="29" t="s">
        <v>32</v>
      </c>
      <c r="D115" s="81"/>
      <c r="E115" s="82">
        <f t="shared" si="35"/>
        <v>85</v>
      </c>
      <c r="F115" s="30">
        <v>2040</v>
      </c>
      <c r="G115" s="83"/>
      <c r="H115" s="82"/>
      <c r="I115" s="30"/>
      <c r="J115" s="41"/>
      <c r="K115" s="82">
        <f>IF($J$97=0,0,L115/(J$94+J$95+J96))</f>
        <v>45.272500000000001</v>
      </c>
      <c r="L115" s="108">
        <v>1267.6300000000001</v>
      </c>
      <c r="M115" s="41"/>
      <c r="N115" s="59">
        <f t="shared" si="36"/>
        <v>-772.36999999999989</v>
      </c>
      <c r="O115" s="41"/>
      <c r="P115" s="82">
        <f t="shared" si="37"/>
        <v>119.45733333333332</v>
      </c>
      <c r="Q115" s="108">
        <v>1791.86</v>
      </c>
      <c r="R115" s="41"/>
      <c r="S115" s="85">
        <f t="shared" si="38"/>
        <v>-524.22999999999979</v>
      </c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31"/>
        <v>Véhicules usagésService gratuit 1</v>
      </c>
      <c r="B116" s="11" t="s">
        <v>70</v>
      </c>
      <c r="C116" s="29" t="s">
        <v>33</v>
      </c>
      <c r="D116" s="81"/>
      <c r="E116" s="82">
        <f t="shared" si="35"/>
        <v>80</v>
      </c>
      <c r="F116" s="30">
        <v>1920</v>
      </c>
      <c r="G116" s="83"/>
      <c r="H116" s="82"/>
      <c r="I116" s="30"/>
      <c r="J116" s="41"/>
      <c r="K116" s="82">
        <f>IF($J$97=0,0,L116/(J$94+J$95+J96))</f>
        <v>160.53749999999999</v>
      </c>
      <c r="L116" s="33">
        <v>4495.05</v>
      </c>
      <c r="M116" s="41"/>
      <c r="N116" s="59">
        <f t="shared" si="36"/>
        <v>2575.0500000000002</v>
      </c>
      <c r="O116" s="41"/>
      <c r="P116" s="82">
        <f t="shared" si="37"/>
        <v>85.835999999999999</v>
      </c>
      <c r="Q116" s="33">
        <v>1287.54</v>
      </c>
      <c r="R116" s="41"/>
      <c r="S116" s="85">
        <f t="shared" si="38"/>
        <v>3207.51</v>
      </c>
      <c r="T116" s="13"/>
      <c r="U116" s="13"/>
      <c r="V116" s="489" t="s">
        <v>250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31"/>
        <v>Véhicules usagésEntretien stock</v>
      </c>
      <c r="B117" s="11" t="s">
        <v>70</v>
      </c>
      <c r="C117" s="86" t="s">
        <v>34</v>
      </c>
      <c r="D117" s="87"/>
      <c r="E117" s="88">
        <f t="shared" si="35"/>
        <v>47.291666666666664</v>
      </c>
      <c r="F117" s="22">
        <v>1135</v>
      </c>
      <c r="G117" s="89"/>
      <c r="H117" s="88"/>
      <c r="I117" s="22"/>
      <c r="J117" s="23"/>
      <c r="K117" s="88">
        <f>IF($J$97=0,0,L117/(J$94+J$95+J96))</f>
        <v>46.068928571428572</v>
      </c>
      <c r="L117" s="48">
        <v>1289.93</v>
      </c>
      <c r="M117" s="23"/>
      <c r="N117" s="91">
        <f t="shared" si="36"/>
        <v>154.93000000000006</v>
      </c>
      <c r="O117" s="23"/>
      <c r="P117" s="88">
        <f t="shared" si="37"/>
        <v>337.69533333333334</v>
      </c>
      <c r="Q117" s="48">
        <v>5065.43</v>
      </c>
      <c r="R117" s="23"/>
      <c r="S117" s="92">
        <f t="shared" si="38"/>
        <v>-3775.5</v>
      </c>
      <c r="T117" s="13"/>
      <c r="U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 t="shared" si="31"/>
        <v>Véhicules usagésPublicité 1</v>
      </c>
      <c r="B118" s="11" t="s">
        <v>70</v>
      </c>
      <c r="C118" s="29" t="s">
        <v>35</v>
      </c>
      <c r="D118" s="81"/>
      <c r="E118" s="82">
        <f t="shared" si="35"/>
        <v>31.5625</v>
      </c>
      <c r="F118" s="30">
        <v>757.5</v>
      </c>
      <c r="G118" s="83"/>
      <c r="H118" s="82"/>
      <c r="I118" s="30"/>
      <c r="J118" s="41"/>
      <c r="K118" s="82">
        <f>IF($J$97=0,0,L118/(J$94+J$95+J96))</f>
        <v>10.182499999999989</v>
      </c>
      <c r="L118" s="33">
        <v>285.10999999999967</v>
      </c>
      <c r="M118" s="41"/>
      <c r="N118" s="59">
        <f t="shared" si="36"/>
        <v>-472.39000000000033</v>
      </c>
      <c r="O118" s="41"/>
      <c r="P118" s="82">
        <f t="shared" si="37"/>
        <v>302.17933333333332</v>
      </c>
      <c r="Q118" s="33">
        <v>4532.6899999999996</v>
      </c>
      <c r="R118" s="41"/>
      <c r="S118" s="85">
        <f t="shared" si="38"/>
        <v>-4247.58</v>
      </c>
      <c r="T118" s="13"/>
      <c r="U118" s="13"/>
      <c r="W118" s="48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>
      <c r="A119" t="str">
        <f>+B119&amp;C119</f>
        <v>Véhicules usagésIntérêt de gros</v>
      </c>
      <c r="B119" s="11" t="s">
        <v>70</v>
      </c>
      <c r="C119" s="29" t="s">
        <v>36</v>
      </c>
      <c r="D119" s="81"/>
      <c r="E119" s="82">
        <f t="shared" si="35"/>
        <v>318.63910710382504</v>
      </c>
      <c r="F119" s="30">
        <v>7647.338570491801</v>
      </c>
      <c r="G119" s="83"/>
      <c r="H119" s="82"/>
      <c r="I119" s="30"/>
      <c r="J119" s="41"/>
      <c r="K119" s="82">
        <f>IF($J$97=0,0,L119/(J$94+J$95+J96))</f>
        <v>228.87392857142859</v>
      </c>
      <c r="L119" s="33">
        <v>6408.47</v>
      </c>
      <c r="M119" s="41"/>
      <c r="N119" s="59">
        <f t="shared" si="36"/>
        <v>-1238.8685704918007</v>
      </c>
      <c r="O119" s="41"/>
      <c r="P119" s="82">
        <f t="shared" si="37"/>
        <v>306.11333333333334</v>
      </c>
      <c r="Q119" s="33">
        <v>4591.7</v>
      </c>
      <c r="R119" s="41"/>
      <c r="S119" s="85">
        <f>L119-Q119</f>
        <v>1816.7700000000004</v>
      </c>
      <c r="T119" s="13"/>
      <c r="U119" s="13"/>
      <c r="V119" s="489">
        <v>6408</v>
      </c>
      <c r="W119" s="49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5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36"/>
        <v>0</v>
      </c>
      <c r="O120" s="41"/>
      <c r="P120" s="82">
        <f t="shared" si="37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5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36"/>
        <v>0</v>
      </c>
      <c r="O121" s="41"/>
      <c r="P121" s="82">
        <f t="shared" si="37"/>
        <v>0</v>
      </c>
      <c r="Q121" s="33">
        <v>0</v>
      </c>
      <c r="R121" s="41"/>
      <c r="S121" s="85">
        <f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399999999999999" hidden="1">
      <c r="A122" t="str">
        <f>+B122&amp;C122</f>
        <v>Véhicules usagés[...]</v>
      </c>
      <c r="B122" s="11" t="s">
        <v>70</v>
      </c>
      <c r="C122" s="29" t="s">
        <v>19</v>
      </c>
      <c r="D122" s="81"/>
      <c r="E122" s="82">
        <f t="shared" si="35"/>
        <v>0</v>
      </c>
      <c r="F122" s="30">
        <v>0</v>
      </c>
      <c r="G122" s="83"/>
      <c r="H122" s="82"/>
      <c r="I122" s="30"/>
      <c r="J122" s="41"/>
      <c r="K122" s="82">
        <f>IF($J$97=0,0,L122/(J$94+J$95))</f>
        <v>0</v>
      </c>
      <c r="L122" s="33">
        <v>0</v>
      </c>
      <c r="M122" s="41"/>
      <c r="N122" s="59">
        <f t="shared" si="36"/>
        <v>0</v>
      </c>
      <c r="O122" s="41"/>
      <c r="P122" s="82">
        <f t="shared" si="37"/>
        <v>0</v>
      </c>
      <c r="Q122" s="33">
        <v>0</v>
      </c>
      <c r="R122" s="41"/>
      <c r="S122" s="85">
        <f t="shared" ref="S122:S127" si="39">L122-Q122</f>
        <v>0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1">
      <c r="A123" t="str">
        <f t="shared" ref="A123:A127" si="40">+B123&amp;C123</f>
        <v>Véhicules usagésTOTAL VARIABLES</v>
      </c>
      <c r="B123" s="11" t="s">
        <v>70</v>
      </c>
      <c r="C123" s="93" t="s">
        <v>37</v>
      </c>
      <c r="D123" s="94" t="s">
        <v>38</v>
      </c>
      <c r="E123" s="95">
        <f>F123/F$109</f>
        <v>0.40829665387785952</v>
      </c>
      <c r="F123" s="96">
        <f>SUM(F113:F122)</f>
        <v>39728.201796863599</v>
      </c>
      <c r="G123" s="97"/>
      <c r="H123" s="95"/>
      <c r="I123" s="96"/>
      <c r="J123" s="97" t="s">
        <v>38</v>
      </c>
      <c r="K123" s="95">
        <f>L123/L$109</f>
        <v>0.48055540544384928</v>
      </c>
      <c r="L123" s="96">
        <f>SUM(L113:L122)</f>
        <v>42061.770000000004</v>
      </c>
      <c r="M123" s="100"/>
      <c r="N123" s="96">
        <f t="shared" si="36"/>
        <v>2333.5682031364049</v>
      </c>
      <c r="O123" s="97" t="s">
        <v>38</v>
      </c>
      <c r="P123" s="95">
        <f>Q123/Q$109</f>
        <v>0.55038648345369545</v>
      </c>
      <c r="Q123" s="96">
        <f>SUM(Q113:Q122)</f>
        <v>31459.53</v>
      </c>
      <c r="R123" s="100"/>
      <c r="S123" s="101">
        <f t="shared" si="39"/>
        <v>10602.240000000005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40"/>
        <v>Véhicules usagésSalaires cadres</v>
      </c>
      <c r="B124" s="11" t="s">
        <v>70</v>
      </c>
      <c r="C124" s="102" t="s">
        <v>40</v>
      </c>
      <c r="D124" s="13"/>
      <c r="E124" s="13"/>
      <c r="F124" s="30">
        <v>6952.5612490421454</v>
      </c>
      <c r="G124" s="41"/>
      <c r="H124" s="13"/>
      <c r="I124" s="30"/>
      <c r="J124" s="41"/>
      <c r="K124" s="13"/>
      <c r="L124" s="33">
        <v>8538.24</v>
      </c>
      <c r="M124" s="41"/>
      <c r="N124" s="59">
        <f t="shared" si="36"/>
        <v>1585.6787509578544</v>
      </c>
      <c r="O124" s="41"/>
      <c r="P124" s="13"/>
      <c r="Q124" s="33">
        <v>3221.48</v>
      </c>
      <c r="R124" s="41"/>
      <c r="S124" s="85">
        <f t="shared" si="39"/>
        <v>5316.76</v>
      </c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40"/>
        <v>Véhicules usagésSalaires commis</v>
      </c>
      <c r="B125" s="11" t="s">
        <v>70</v>
      </c>
      <c r="C125" s="103" t="s">
        <v>41</v>
      </c>
      <c r="D125" s="81"/>
      <c r="E125" s="13"/>
      <c r="F125" s="22">
        <v>2060.3064693486585</v>
      </c>
      <c r="G125" s="83"/>
      <c r="H125" s="13"/>
      <c r="I125" s="22"/>
      <c r="J125" s="41"/>
      <c r="K125" s="13"/>
      <c r="L125" s="22">
        <v>1264.24</v>
      </c>
      <c r="M125" s="41"/>
      <c r="N125" s="59">
        <f t="shared" si="36"/>
        <v>-796.06646934865853</v>
      </c>
      <c r="O125" s="41"/>
      <c r="P125" s="13"/>
      <c r="Q125" s="22">
        <v>2898.72</v>
      </c>
      <c r="R125" s="41"/>
      <c r="S125" s="85">
        <f t="shared" si="39"/>
        <v>-1634.4799999999998</v>
      </c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>
      <c r="A126" t="str">
        <f t="shared" si="40"/>
        <v>Véhicules usagésSalaires autres</v>
      </c>
      <c r="B126" s="11" t="s">
        <v>70</v>
      </c>
      <c r="C126" s="102" t="s">
        <v>42</v>
      </c>
      <c r="D126" s="104"/>
      <c r="E126" s="105"/>
      <c r="F126" s="30">
        <v>0</v>
      </c>
      <c r="G126" s="106"/>
      <c r="H126" s="105"/>
      <c r="I126" s="30"/>
      <c r="J126" s="107"/>
      <c r="K126" s="105"/>
      <c r="L126" s="33">
        <v>0</v>
      </c>
      <c r="M126" s="107"/>
      <c r="N126" s="109">
        <f t="shared" si="36"/>
        <v>0</v>
      </c>
      <c r="O126" s="107"/>
      <c r="P126" s="105"/>
      <c r="Q126" s="33">
        <v>2809</v>
      </c>
      <c r="R126" s="107"/>
      <c r="S126" s="110">
        <f t="shared" si="39"/>
        <v>-2809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 t="shared" si="40"/>
        <v>Véhicules usagésSalaires spécialistes</v>
      </c>
      <c r="B127" s="11" t="s">
        <v>70</v>
      </c>
      <c r="C127" s="102" t="s">
        <v>43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6"/>
        <v>0</v>
      </c>
      <c r="O127" s="41"/>
      <c r="P127" s="13"/>
      <c r="Q127" s="33">
        <v>0</v>
      </c>
      <c r="R127" s="41"/>
      <c r="S127" s="85">
        <f t="shared" si="39"/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6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6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 hidden="1">
      <c r="A130" t="str">
        <f>+B130&amp;C130</f>
        <v>Véhicules usagés[...]</v>
      </c>
      <c r="B130" s="11" t="s">
        <v>70</v>
      </c>
      <c r="C130" s="102" t="s">
        <v>19</v>
      </c>
      <c r="D130" s="81"/>
      <c r="E130" s="13"/>
      <c r="F130" s="30">
        <v>0</v>
      </c>
      <c r="G130" s="83"/>
      <c r="H130" s="13"/>
      <c r="I130" s="30"/>
      <c r="J130" s="41"/>
      <c r="K130" s="13"/>
      <c r="L130" s="33">
        <v>0</v>
      </c>
      <c r="M130" s="41"/>
      <c r="N130" s="59">
        <f t="shared" si="36"/>
        <v>0</v>
      </c>
      <c r="O130" s="41"/>
      <c r="P130" s="13"/>
      <c r="Q130" s="33">
        <v>0</v>
      </c>
      <c r="R130" s="41"/>
      <c r="S130" s="85">
        <f>L130-Q130</f>
        <v>0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ref="A131:A149" si="41">+B131&amp;C131</f>
        <v>Véhicules usagésSalaires en absences</v>
      </c>
      <c r="B131" s="11" t="s">
        <v>70</v>
      </c>
      <c r="C131" s="103" t="s">
        <v>44</v>
      </c>
      <c r="D131" s="81"/>
      <c r="E131" s="13"/>
      <c r="F131" s="30">
        <v>4858.7958340916857</v>
      </c>
      <c r="G131" s="83"/>
      <c r="H131" s="13"/>
      <c r="I131" s="30"/>
      <c r="J131" s="41"/>
      <c r="K131" s="13"/>
      <c r="L131" s="33">
        <v>3710.59</v>
      </c>
      <c r="M131" s="41"/>
      <c r="N131" s="59">
        <f t="shared" si="36"/>
        <v>-1148.2058340916856</v>
      </c>
      <c r="O131" s="41"/>
      <c r="P131" s="13"/>
      <c r="Q131" s="33">
        <v>5062.3999999999996</v>
      </c>
      <c r="R131" s="41"/>
      <c r="S131" s="85">
        <f>L131-Q131</f>
        <v>-1351.8099999999995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41"/>
        <v>Véhicules usagésDéduction à la source</v>
      </c>
      <c r="B132" s="11" t="s">
        <v>70</v>
      </c>
      <c r="C132" s="102" t="s">
        <v>45</v>
      </c>
      <c r="D132" s="104"/>
      <c r="E132" s="105"/>
      <c r="F132" s="54">
        <v>4734.9311669459003</v>
      </c>
      <c r="G132" s="106"/>
      <c r="H132" s="105"/>
      <c r="I132" s="54"/>
      <c r="J132" s="107"/>
      <c r="K132" s="105"/>
      <c r="L132" s="55">
        <v>4433.01</v>
      </c>
      <c r="M132" s="107"/>
      <c r="N132" s="109">
        <f t="shared" si="36"/>
        <v>-301.92116694590004</v>
      </c>
      <c r="O132" s="107"/>
      <c r="P132" s="105"/>
      <c r="Q132" s="55">
        <v>3049.56</v>
      </c>
      <c r="R132" s="107"/>
      <c r="S132" s="110">
        <f t="shared" ref="S132:S149" si="42">L132-Q132</f>
        <v>1383.4500000000003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41"/>
        <v>Véhicules usagésBénéfices marginaux</v>
      </c>
      <c r="B133" s="11" t="s">
        <v>70</v>
      </c>
      <c r="C133" s="102" t="s">
        <v>46</v>
      </c>
      <c r="D133" s="81"/>
      <c r="E133" s="13"/>
      <c r="F133" s="30">
        <v>3314.4518168621298</v>
      </c>
      <c r="G133" s="83"/>
      <c r="H133" s="13"/>
      <c r="I133" s="30"/>
      <c r="J133" s="41"/>
      <c r="K133" s="13"/>
      <c r="L133" s="33">
        <v>2228.11</v>
      </c>
      <c r="M133" s="41"/>
      <c r="N133" s="59">
        <f t="shared" si="36"/>
        <v>-1086.3418168621297</v>
      </c>
      <c r="O133" s="41"/>
      <c r="P133" s="13"/>
      <c r="Q133" s="33">
        <v>2676.34</v>
      </c>
      <c r="R133" s="41"/>
      <c r="S133" s="85">
        <f t="shared" si="42"/>
        <v>-448.23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>
      <c r="A134" t="str">
        <f t="shared" si="41"/>
        <v>Véhicules usagésCsst</v>
      </c>
      <c r="B134" s="11" t="s">
        <v>70</v>
      </c>
      <c r="C134" s="102" t="s">
        <v>47</v>
      </c>
      <c r="D134" s="81"/>
      <c r="E134" s="13"/>
      <c r="F134" s="30">
        <v>928.04650872139644</v>
      </c>
      <c r="G134" s="83"/>
      <c r="H134" s="13"/>
      <c r="I134" s="30"/>
      <c r="J134" s="41"/>
      <c r="K134" s="13"/>
      <c r="L134" s="33">
        <v>723.87</v>
      </c>
      <c r="M134" s="41"/>
      <c r="N134" s="59">
        <f t="shared" si="36"/>
        <v>-204.17650872139643</v>
      </c>
      <c r="O134" s="41"/>
      <c r="P134" s="13"/>
      <c r="Q134" s="33">
        <v>847.33</v>
      </c>
      <c r="R134" s="41"/>
      <c r="S134" s="85">
        <f t="shared" si="42"/>
        <v>-123.46000000000004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399999999999999" hidden="1">
      <c r="A135" t="str">
        <f t="shared" si="41"/>
        <v>Véhicules usagés[...]</v>
      </c>
      <c r="B135" s="11" t="s">
        <v>70</v>
      </c>
      <c r="C135" s="29" t="s">
        <v>19</v>
      </c>
      <c r="D135" s="87"/>
      <c r="E135" s="111"/>
      <c r="F135" s="30">
        <v>0</v>
      </c>
      <c r="G135" s="89"/>
      <c r="H135" s="111"/>
      <c r="I135" s="30"/>
      <c r="J135" s="23"/>
      <c r="K135" s="111"/>
      <c r="L135" s="33">
        <v>0</v>
      </c>
      <c r="M135" s="41"/>
      <c r="N135" s="59">
        <f t="shared" si="36"/>
        <v>0</v>
      </c>
      <c r="O135" s="23"/>
      <c r="P135" s="111"/>
      <c r="Q135" s="33">
        <v>0</v>
      </c>
      <c r="R135" s="23"/>
      <c r="S135" s="92">
        <f t="shared" si="42"/>
        <v>0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1">
      <c r="A136" t="str">
        <f t="shared" si="41"/>
        <v>Véhicules usagésTOTAL PERSONNEL</v>
      </c>
      <c r="B136" s="11" t="s">
        <v>70</v>
      </c>
      <c r="C136" s="93" t="s">
        <v>48</v>
      </c>
      <c r="D136" s="94" t="s">
        <v>38</v>
      </c>
      <c r="E136" s="95">
        <f>F136/F$109</f>
        <v>0.23482583687336039</v>
      </c>
      <c r="F136" s="96">
        <f>+SUM(F124:F135)</f>
        <v>22849.093045011912</v>
      </c>
      <c r="G136" s="97"/>
      <c r="H136" s="95"/>
      <c r="I136" s="96"/>
      <c r="J136" s="97" t="s">
        <v>38</v>
      </c>
      <c r="K136" s="95">
        <f>L136/L$109</f>
        <v>0.23876017809735275</v>
      </c>
      <c r="L136" s="96">
        <f>SUM(L124:L135)</f>
        <v>20898.060000000001</v>
      </c>
      <c r="M136" s="458"/>
      <c r="N136" s="459">
        <f t="shared" si="36"/>
        <v>-1951.0330450119109</v>
      </c>
      <c r="O136" s="97" t="s">
        <v>38</v>
      </c>
      <c r="P136" s="95">
        <f>Q136/Q$109</f>
        <v>0.35978301222310255</v>
      </c>
      <c r="Q136" s="96">
        <f>+SUM(Q124:Q135)</f>
        <v>20564.830000000002</v>
      </c>
      <c r="R136" s="146"/>
      <c r="S136" s="114">
        <f t="shared" si="42"/>
        <v>333.22999999999956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si="41"/>
        <v>Véhicules usagésPublicité 2</v>
      </c>
      <c r="B137" s="11" t="s">
        <v>70</v>
      </c>
      <c r="C137" s="29" t="s">
        <v>49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6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 hidden="1">
      <c r="A138" t="str">
        <f t="shared" si="41"/>
        <v>Véhicules usagésService gratuit 2</v>
      </c>
      <c r="B138" s="11" t="s">
        <v>70</v>
      </c>
      <c r="C138" s="29" t="s">
        <v>50</v>
      </c>
      <c r="D138" s="81"/>
      <c r="E138" s="13"/>
      <c r="F138" s="30">
        <v>0</v>
      </c>
      <c r="G138" s="83"/>
      <c r="H138" s="13"/>
      <c r="I138" s="30"/>
      <c r="J138" s="41"/>
      <c r="K138" s="13"/>
      <c r="L138" s="33">
        <v>0</v>
      </c>
      <c r="M138" s="41"/>
      <c r="N138" s="59">
        <f t="shared" si="36"/>
        <v>0</v>
      </c>
      <c r="O138" s="41"/>
      <c r="P138" s="13"/>
      <c r="Q138" s="33">
        <v>0</v>
      </c>
      <c r="R138" s="41"/>
      <c r="S138" s="85">
        <f t="shared" si="42"/>
        <v>0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41"/>
        <v>Véhicules usagésFrais véhicules de cie</v>
      </c>
      <c r="B139" s="11" t="s">
        <v>70</v>
      </c>
      <c r="C139" s="86" t="s">
        <v>51</v>
      </c>
      <c r="D139" s="87"/>
      <c r="E139" s="111"/>
      <c r="F139" s="22">
        <v>763.58333333333337</v>
      </c>
      <c r="G139" s="89"/>
      <c r="H139" s="111"/>
      <c r="I139" s="22"/>
      <c r="J139" s="23"/>
      <c r="K139" s="111"/>
      <c r="L139" s="22">
        <v>280.79000000000002</v>
      </c>
      <c r="M139" s="23"/>
      <c r="N139" s="91">
        <f t="shared" si="36"/>
        <v>-482.79333333333335</v>
      </c>
      <c r="O139" s="23"/>
      <c r="P139" s="111"/>
      <c r="Q139" s="22">
        <v>1007.99</v>
      </c>
      <c r="R139" s="23"/>
      <c r="S139" s="92">
        <f t="shared" si="42"/>
        <v>-727.2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41"/>
        <v>Véhicules usagésInformatique</v>
      </c>
      <c r="B140" s="11" t="s">
        <v>70</v>
      </c>
      <c r="C140" s="29" t="s">
        <v>52</v>
      </c>
      <c r="D140" s="81"/>
      <c r="E140" s="13"/>
      <c r="F140" s="30">
        <v>4084.5149999999999</v>
      </c>
      <c r="G140" s="83"/>
      <c r="H140" s="13"/>
      <c r="I140" s="30"/>
      <c r="J140" s="41"/>
      <c r="K140" s="13"/>
      <c r="L140" s="33">
        <v>5722.05</v>
      </c>
      <c r="M140" s="41"/>
      <c r="N140" s="59">
        <f t="shared" si="36"/>
        <v>1637.5350000000003</v>
      </c>
      <c r="O140" s="41"/>
      <c r="P140" s="13"/>
      <c r="Q140" s="33">
        <v>1466.88</v>
      </c>
      <c r="R140" s="41"/>
      <c r="S140" s="85">
        <f t="shared" si="42"/>
        <v>4255.17</v>
      </c>
      <c r="T140" s="13"/>
      <c r="U140" s="13"/>
      <c r="V140" s="489" t="s">
        <v>251</v>
      </c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41"/>
        <v>Véhicules usagésFrais de déplacement</v>
      </c>
      <c r="B141" s="11" t="s">
        <v>70</v>
      </c>
      <c r="C141" s="29" t="s">
        <v>53</v>
      </c>
      <c r="D141" s="81"/>
      <c r="E141" s="13"/>
      <c r="F141" s="30">
        <v>498.75</v>
      </c>
      <c r="G141" s="83"/>
      <c r="H141" s="13"/>
      <c r="I141" s="30"/>
      <c r="J141" s="41"/>
      <c r="K141" s="13"/>
      <c r="L141" s="33">
        <v>1116.1400000000001</v>
      </c>
      <c r="M141" s="41"/>
      <c r="N141" s="59">
        <f t="shared" si="36"/>
        <v>617.3900000000001</v>
      </c>
      <c r="O141" s="41"/>
      <c r="P141" s="13"/>
      <c r="Q141" s="33">
        <v>82.92</v>
      </c>
      <c r="R141" s="41"/>
      <c r="S141" s="85">
        <f t="shared" si="42"/>
        <v>1033.22</v>
      </c>
      <c r="T141" s="147"/>
      <c r="U141" s="13"/>
      <c r="V141" s="489" t="s">
        <v>248</v>
      </c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41"/>
        <v>Véhicules usagésServices extérieurs</v>
      </c>
      <c r="B142" s="11" t="s">
        <v>70</v>
      </c>
      <c r="C142" s="86" t="s">
        <v>54</v>
      </c>
      <c r="D142" s="87"/>
      <c r="E142" s="111"/>
      <c r="F142" s="22">
        <v>2897.8903333333333</v>
      </c>
      <c r="G142" s="89"/>
      <c r="H142" s="111"/>
      <c r="I142" s="22"/>
      <c r="J142" s="23"/>
      <c r="K142" s="111"/>
      <c r="L142" s="22">
        <v>3384.13</v>
      </c>
      <c r="M142" s="23"/>
      <c r="N142" s="91">
        <f t="shared" si="36"/>
        <v>486.23966666666684</v>
      </c>
      <c r="O142" s="23"/>
      <c r="P142" s="111"/>
      <c r="Q142" s="22">
        <v>675.99</v>
      </c>
      <c r="R142" s="23"/>
      <c r="S142" s="92">
        <f t="shared" si="42"/>
        <v>2708.1400000000003</v>
      </c>
      <c r="T142" s="13"/>
      <c r="U142" s="13"/>
      <c r="V142" s="489" t="s">
        <v>249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41"/>
        <v>Véhicules usagésFournitures autres</v>
      </c>
      <c r="B143" s="11" t="s">
        <v>70</v>
      </c>
      <c r="C143" s="29" t="s">
        <v>55</v>
      </c>
      <c r="D143" s="81"/>
      <c r="E143" s="13"/>
      <c r="F143" s="30">
        <v>13.75</v>
      </c>
      <c r="G143" s="83"/>
      <c r="H143" s="13"/>
      <c r="I143" s="30"/>
      <c r="J143" s="41"/>
      <c r="K143" s="13"/>
      <c r="L143" s="33">
        <v>91.57</v>
      </c>
      <c r="M143" s="41"/>
      <c r="N143" s="59">
        <f t="shared" si="36"/>
        <v>77.819999999999993</v>
      </c>
      <c r="O143" s="41"/>
      <c r="P143" s="13"/>
      <c r="Q143" s="33">
        <v>13.54</v>
      </c>
      <c r="R143" s="41"/>
      <c r="S143" s="85">
        <f t="shared" si="42"/>
        <v>78.03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41"/>
        <v>Véhicules usagésUniformes</v>
      </c>
      <c r="B144" s="11" t="s">
        <v>70</v>
      </c>
      <c r="C144" s="29" t="s">
        <v>56</v>
      </c>
      <c r="D144" s="81"/>
      <c r="E144" s="13"/>
      <c r="F144" s="30">
        <v>7.5</v>
      </c>
      <c r="G144" s="83"/>
      <c r="H144" s="13"/>
      <c r="I144" s="30"/>
      <c r="J144" s="41"/>
      <c r="K144" s="13"/>
      <c r="L144" s="33">
        <v>69.930000000000007</v>
      </c>
      <c r="M144" s="41"/>
      <c r="N144" s="59">
        <f t="shared" si="36"/>
        <v>62.430000000000007</v>
      </c>
      <c r="O144" s="41"/>
      <c r="P144" s="13"/>
      <c r="Q144" s="33">
        <v>0</v>
      </c>
      <c r="R144" s="41"/>
      <c r="S144" s="85">
        <f t="shared" si="42"/>
        <v>69.930000000000007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41"/>
        <v>Véhicules usagésPapeterie</v>
      </c>
      <c r="B145" s="11" t="s">
        <v>70</v>
      </c>
      <c r="C145" s="29" t="s">
        <v>57</v>
      </c>
      <c r="D145" s="81"/>
      <c r="E145" s="13"/>
      <c r="F145" s="30">
        <v>217.5</v>
      </c>
      <c r="G145" s="83"/>
      <c r="H145" s="13"/>
      <c r="I145" s="30"/>
      <c r="J145" s="41"/>
      <c r="K145" s="13"/>
      <c r="L145" s="32">
        <v>385.74</v>
      </c>
      <c r="M145" s="41"/>
      <c r="N145" s="59">
        <f t="shared" si="36"/>
        <v>168.24</v>
      </c>
      <c r="O145" s="41"/>
      <c r="P145" s="13"/>
      <c r="Q145" s="32">
        <v>74.87</v>
      </c>
      <c r="R145" s="41"/>
      <c r="S145" s="85">
        <f t="shared" si="42"/>
        <v>310.87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41"/>
        <v>Véhicules usagésTéléphone</v>
      </c>
      <c r="B146" s="11" t="s">
        <v>70</v>
      </c>
      <c r="C146" s="29" t="s">
        <v>58</v>
      </c>
      <c r="D146" s="81"/>
      <c r="E146" s="13"/>
      <c r="F146" s="30">
        <v>63.35</v>
      </c>
      <c r="G146" s="83"/>
      <c r="H146" s="13"/>
      <c r="I146" s="30"/>
      <c r="J146" s="41"/>
      <c r="K146" s="13"/>
      <c r="L146" s="33">
        <v>86.73</v>
      </c>
      <c r="M146" s="41"/>
      <c r="N146" s="59">
        <f t="shared" si="36"/>
        <v>23.380000000000003</v>
      </c>
      <c r="O146" s="41"/>
      <c r="P146" s="13"/>
      <c r="Q146" s="33">
        <v>60.76</v>
      </c>
      <c r="R146" s="41"/>
      <c r="S146" s="85">
        <f t="shared" si="42"/>
        <v>25.970000000000006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41"/>
        <v>Véhicules usagésFrais postaux</v>
      </c>
      <c r="B147" s="11" t="s">
        <v>70</v>
      </c>
      <c r="C147" s="29" t="s">
        <v>59</v>
      </c>
      <c r="D147" s="81"/>
      <c r="E147" s="13"/>
      <c r="F147" s="30">
        <v>84.999999999999986</v>
      </c>
      <c r="G147" s="83"/>
      <c r="H147" s="13"/>
      <c r="I147" s="30"/>
      <c r="J147" s="41"/>
      <c r="K147" s="13"/>
      <c r="L147" s="33">
        <v>58.19</v>
      </c>
      <c r="M147" s="41"/>
      <c r="N147" s="59">
        <f t="shared" si="36"/>
        <v>-26.809999999999988</v>
      </c>
      <c r="O147" s="41"/>
      <c r="P147" s="13"/>
      <c r="Q147" s="33">
        <v>164.05</v>
      </c>
      <c r="R147" s="41"/>
      <c r="S147" s="85">
        <f t="shared" si="42"/>
        <v>-105.86000000000001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41"/>
        <v>Véhicules usagésDivers</v>
      </c>
      <c r="B148" s="11" t="s">
        <v>70</v>
      </c>
      <c r="C148" s="29" t="s">
        <v>60</v>
      </c>
      <c r="D148" s="81"/>
      <c r="E148" s="13"/>
      <c r="F148" s="30">
        <v>238.91666666666663</v>
      </c>
      <c r="G148" s="83"/>
      <c r="H148" s="13"/>
      <c r="I148" s="30"/>
      <c r="J148" s="41"/>
      <c r="K148" s="13"/>
      <c r="L148" s="33">
        <v>195.59</v>
      </c>
      <c r="M148" s="41"/>
      <c r="N148" s="59">
        <f t="shared" si="36"/>
        <v>-43.326666666666625</v>
      </c>
      <c r="O148" s="41"/>
      <c r="P148" s="13"/>
      <c r="Q148" s="33">
        <v>192.6</v>
      </c>
      <c r="R148" s="41"/>
      <c r="S148" s="85">
        <f t="shared" si="42"/>
        <v>2.9900000000000091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 t="shared" si="41"/>
        <v>Véhicules usagésFormation</v>
      </c>
      <c r="B149" s="11" t="s">
        <v>70</v>
      </c>
      <c r="C149" s="29" t="s">
        <v>61</v>
      </c>
      <c r="D149" s="81"/>
      <c r="E149" s="13"/>
      <c r="F149" s="30">
        <v>114.34800000000004</v>
      </c>
      <c r="G149" s="83"/>
      <c r="H149" s="13"/>
      <c r="I149" s="30"/>
      <c r="J149" s="41"/>
      <c r="K149" s="13"/>
      <c r="L149" s="59">
        <v>80.19</v>
      </c>
      <c r="M149" s="41"/>
      <c r="N149" s="59">
        <f t="shared" si="36"/>
        <v>-34.158000000000044</v>
      </c>
      <c r="O149" s="41"/>
      <c r="P149" s="13"/>
      <c r="Q149" s="33">
        <v>60.7</v>
      </c>
      <c r="R149" s="41"/>
      <c r="S149" s="85">
        <f t="shared" si="42"/>
        <v>19.489999999999995</v>
      </c>
      <c r="T149" s="13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>
      <c r="A150" t="str">
        <f>+B150&amp;C150</f>
        <v>Véhicules usagésFrais bancaires</v>
      </c>
      <c r="B150" s="11" t="s">
        <v>70</v>
      </c>
      <c r="C150" s="29" t="s">
        <v>62</v>
      </c>
      <c r="D150" s="81"/>
      <c r="E150" s="13"/>
      <c r="F150" s="30">
        <v>1207.4534296559214</v>
      </c>
      <c r="G150" s="83"/>
      <c r="H150" s="13"/>
      <c r="I150" s="30"/>
      <c r="J150" s="41"/>
      <c r="K150" s="13"/>
      <c r="L150" s="33">
        <v>1210.92</v>
      </c>
      <c r="M150" s="41"/>
      <c r="N150" s="59">
        <f t="shared" si="36"/>
        <v>3.4665703440787183</v>
      </c>
      <c r="O150" s="41"/>
      <c r="P150" s="13"/>
      <c r="Q150" s="33">
        <v>668.91</v>
      </c>
      <c r="R150" s="41"/>
      <c r="S150" s="85">
        <f>L150-Q150</f>
        <v>542.0100000000001</v>
      </c>
      <c r="T150" s="82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6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6"/>
        <v>0</v>
      </c>
      <c r="O152" s="41"/>
      <c r="P152" s="13"/>
      <c r="Q152" s="33">
        <v>0</v>
      </c>
      <c r="R152" s="41"/>
      <c r="S152" s="85">
        <f>L152-Q152</f>
        <v>0</v>
      </c>
      <c r="T152" s="13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399999999999999" hidden="1">
      <c r="A153" t="str">
        <f>+B153&amp;C153</f>
        <v>Véhicules usagés[...]</v>
      </c>
      <c r="B153" s="11" t="s">
        <v>70</v>
      </c>
      <c r="C153" s="29" t="s">
        <v>19</v>
      </c>
      <c r="D153" s="81"/>
      <c r="E153" s="13"/>
      <c r="F153" s="30">
        <v>0</v>
      </c>
      <c r="G153" s="83"/>
      <c r="H153" s="13"/>
      <c r="I153" s="30"/>
      <c r="J153" s="41"/>
      <c r="K153" s="13"/>
      <c r="L153" s="33">
        <v>0</v>
      </c>
      <c r="M153" s="41"/>
      <c r="N153" s="59">
        <f t="shared" si="36"/>
        <v>0</v>
      </c>
      <c r="O153" s="41"/>
      <c r="P153" s="13"/>
      <c r="Q153" s="33">
        <v>0</v>
      </c>
      <c r="R153" s="41"/>
      <c r="S153" s="85">
        <f>L153-Q153</f>
        <v>0</v>
      </c>
      <c r="T153" s="8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ref="A154:A159" si="43">+B154&amp;C154</f>
        <v>Véhicules usagésTOTAL SEMI-FIXES</v>
      </c>
      <c r="B154" s="11" t="s">
        <v>70</v>
      </c>
      <c r="C154" s="93" t="s">
        <v>63</v>
      </c>
      <c r="D154" s="94" t="s">
        <v>38</v>
      </c>
      <c r="E154" s="95">
        <f>F154/F$109</f>
        <v>0.10475145192997892</v>
      </c>
      <c r="F154" s="96">
        <f>+SUM(F137:F153)</f>
        <v>10192.556762989254</v>
      </c>
      <c r="G154" s="97"/>
      <c r="H154" s="95"/>
      <c r="I154" s="96"/>
      <c r="J154" s="97" t="s">
        <v>38</v>
      </c>
      <c r="K154" s="95">
        <f>L154/L$109</f>
        <v>0.14489141173033693</v>
      </c>
      <c r="L154" s="96">
        <f>+SUM(L137:L153)</f>
        <v>12681.970000000001</v>
      </c>
      <c r="M154" s="100"/>
      <c r="N154" s="96">
        <f t="shared" si="36"/>
        <v>2489.4132370107473</v>
      </c>
      <c r="O154" s="97" t="s">
        <v>38</v>
      </c>
      <c r="P154" s="95">
        <f>Q154/Q$109</f>
        <v>7.8189113941501687E-2</v>
      </c>
      <c r="Q154" s="96">
        <f>+SUM(Q137:Q153)</f>
        <v>4469.21</v>
      </c>
      <c r="R154" s="100"/>
      <c r="S154" s="101">
        <f>L154-Q154</f>
        <v>8212.760000000002</v>
      </c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43"/>
        <v>Véhicules usagés</v>
      </c>
      <c r="B155" s="11" t="s">
        <v>70</v>
      </c>
      <c r="C155" s="86"/>
      <c r="D155" s="87"/>
      <c r="E155" s="111"/>
      <c r="F155" s="59"/>
      <c r="G155" s="89"/>
      <c r="H155" s="111"/>
      <c r="I155" s="59"/>
      <c r="J155" s="23"/>
      <c r="K155" s="111"/>
      <c r="L155" s="91"/>
      <c r="M155" s="23"/>
      <c r="N155" s="91"/>
      <c r="O155" s="23"/>
      <c r="P155" s="111"/>
      <c r="Q155" s="91"/>
      <c r="R155" s="23"/>
      <c r="S155" s="92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43"/>
        <v>Véhicules usagésTOTAL DES DÉPENSES</v>
      </c>
      <c r="B156" s="11" t="s">
        <v>70</v>
      </c>
      <c r="C156" s="93" t="s">
        <v>64</v>
      </c>
      <c r="D156" s="94" t="s">
        <v>38</v>
      </c>
      <c r="E156" s="95">
        <f>F156/F$109</f>
        <v>0.74787394268119878</v>
      </c>
      <c r="F156" s="96">
        <f>F123+F136+F154</f>
        <v>72769.851604864758</v>
      </c>
      <c r="G156" s="97"/>
      <c r="H156" s="95"/>
      <c r="I156" s="96"/>
      <c r="J156" s="97" t="s">
        <v>38</v>
      </c>
      <c r="K156" s="95">
        <f>L156/L$109</f>
        <v>0.86420699527153899</v>
      </c>
      <c r="L156" s="96">
        <f>L123+L136+L154</f>
        <v>75641.8</v>
      </c>
      <c r="M156" s="100"/>
      <c r="N156" s="113">
        <f t="shared" ref="N156:N163" si="44">L156-F156</f>
        <v>2871.9483951352449</v>
      </c>
      <c r="O156" s="97" t="s">
        <v>38</v>
      </c>
      <c r="P156" s="95">
        <f>Q156/Q$109</f>
        <v>0.98835860961829969</v>
      </c>
      <c r="Q156" s="96">
        <f>Q123+Q136+Q154</f>
        <v>56493.57</v>
      </c>
      <c r="R156" s="100"/>
      <c r="S156" s="114">
        <f t="shared" ref="S156:S163" si="45">L156-Q156</f>
        <v>19148.230000000003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43"/>
        <v>Véhicules usagésRBSC used</v>
      </c>
      <c r="B157" s="11" t="s">
        <v>70</v>
      </c>
      <c r="C157" s="29" t="s">
        <v>217</v>
      </c>
      <c r="D157" s="148"/>
      <c r="E157" s="149"/>
      <c r="F157" s="30">
        <v>5250</v>
      </c>
      <c r="G157" s="150"/>
      <c r="H157" s="149"/>
      <c r="I157" s="30"/>
      <c r="J157" s="150"/>
      <c r="K157" s="149"/>
      <c r="L157" s="32">
        <v>6800</v>
      </c>
      <c r="M157" s="41"/>
      <c r="N157" s="59">
        <f t="shared" si="44"/>
        <v>1550</v>
      </c>
      <c r="O157" s="150"/>
      <c r="P157" s="149"/>
      <c r="Q157" s="33">
        <v>5625</v>
      </c>
      <c r="R157" s="41"/>
      <c r="S157" s="85">
        <f t="shared" si="45"/>
        <v>1175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>
      <c r="A158" t="str">
        <f t="shared" si="43"/>
        <v>Véhicules usagésProgramme 360</v>
      </c>
      <c r="B158" s="11" t="s">
        <v>70</v>
      </c>
      <c r="C158" s="29" t="s">
        <v>218</v>
      </c>
      <c r="D158" s="148"/>
      <c r="E158" s="149"/>
      <c r="F158" s="30">
        <v>0</v>
      </c>
      <c r="G158" s="150"/>
      <c r="H158" s="149"/>
      <c r="I158" s="30"/>
      <c r="J158" s="150"/>
      <c r="K158" s="149"/>
      <c r="L158" s="33">
        <v>-3625</v>
      </c>
      <c r="M158" s="41"/>
      <c r="N158" s="59">
        <f t="shared" si="44"/>
        <v>-3625</v>
      </c>
      <c r="O158" s="150"/>
      <c r="P158" s="149"/>
      <c r="Q158" s="33">
        <v>0</v>
      </c>
      <c r="R158" s="41"/>
      <c r="S158" s="85">
        <f t="shared" si="45"/>
        <v>-3625</v>
      </c>
      <c r="T158" s="112"/>
      <c r="U158" s="13"/>
      <c r="V158" s="489" t="s">
        <v>252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 hidden="1">
      <c r="A159" t="str">
        <f t="shared" si="43"/>
        <v>Véhicules usagésProgramme used 3</v>
      </c>
      <c r="B159" s="11" t="s">
        <v>70</v>
      </c>
      <c r="C159" s="29" t="s">
        <v>77</v>
      </c>
      <c r="D159" s="81"/>
      <c r="E159" s="13"/>
      <c r="F159" s="30">
        <v>0</v>
      </c>
      <c r="G159" s="83"/>
      <c r="H159" s="13"/>
      <c r="I159" s="30"/>
      <c r="J159" s="41"/>
      <c r="K159" s="13"/>
      <c r="L159" s="33">
        <v>0</v>
      </c>
      <c r="M159" s="41"/>
      <c r="N159" s="59">
        <f t="shared" si="44"/>
        <v>0</v>
      </c>
      <c r="O159" s="41"/>
      <c r="P159" s="13"/>
      <c r="Q159" s="33">
        <v>0</v>
      </c>
      <c r="R159" s="41"/>
      <c r="S159" s="85">
        <f t="shared" si="45"/>
        <v>0</v>
      </c>
      <c r="T159" s="112"/>
      <c r="U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489">
        <f>L160/595</f>
        <v>0</v>
      </c>
      <c r="W160" s="483">
        <f>V160/J97</f>
        <v>0</v>
      </c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29" t="s">
        <v>19</v>
      </c>
      <c r="D162" s="81"/>
      <c r="E162" s="13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A163" t="str">
        <f>+B163&amp;C163</f>
        <v>Véhicules usagésFrais administration</v>
      </c>
      <c r="B163" s="11" t="s">
        <v>70</v>
      </c>
      <c r="C163" s="86" t="s">
        <v>67</v>
      </c>
      <c r="D163" s="87"/>
      <c r="E163" s="111"/>
      <c r="F163" s="30">
        <v>12138</v>
      </c>
      <c r="G163" s="83"/>
      <c r="H163" s="13"/>
      <c r="I163" s="30"/>
      <c r="J163" s="41"/>
      <c r="K163" s="13"/>
      <c r="L163" s="32">
        <v>16660</v>
      </c>
      <c r="M163" s="41"/>
      <c r="N163" s="59">
        <f t="shared" si="44"/>
        <v>4522</v>
      </c>
      <c r="O163" s="41"/>
      <c r="P163" s="13"/>
      <c r="Q163" s="33">
        <v>7140</v>
      </c>
      <c r="R163" s="41"/>
      <c r="S163" s="85">
        <f t="shared" si="45"/>
        <v>9520</v>
      </c>
      <c r="T163" s="112"/>
      <c r="U163" s="13"/>
      <c r="V163" s="489">
        <f>L163/595</f>
        <v>28</v>
      </c>
      <c r="W163" s="483">
        <f>V163/J97</f>
        <v>1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93" t="s">
        <v>68</v>
      </c>
      <c r="D164" s="94"/>
      <c r="E164" s="95"/>
      <c r="F164" s="96">
        <f>+SUM(F157:F163)</f>
        <v>17388</v>
      </c>
      <c r="G164" s="97"/>
      <c r="H164" s="95"/>
      <c r="I164" s="96"/>
      <c r="J164" s="97"/>
      <c r="K164" s="95"/>
      <c r="L164" s="96">
        <f>+SUM(L157:L163)</f>
        <v>19835</v>
      </c>
      <c r="M164" s="100"/>
      <c r="N164" s="96">
        <f>SUM(N157:N160)</f>
        <v>-2075</v>
      </c>
      <c r="O164" s="97"/>
      <c r="P164" s="95"/>
      <c r="Q164" s="96">
        <f>+SUM(Q157:Q163)</f>
        <v>12765</v>
      </c>
      <c r="R164" s="100"/>
      <c r="S164" s="101">
        <f>+SUM(S157:S163)</f>
        <v>7070</v>
      </c>
      <c r="T164" s="112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>
      <c r="B165" s="11"/>
      <c r="C165" s="29"/>
      <c r="D165" s="81"/>
      <c r="E165" s="13"/>
      <c r="F165" s="59"/>
      <c r="G165" s="83"/>
      <c r="H165" s="13"/>
      <c r="I165" s="59"/>
      <c r="J165" s="41"/>
      <c r="K165" s="13"/>
      <c r="L165" s="59"/>
      <c r="M165" s="41"/>
      <c r="N165" s="59"/>
      <c r="O165" s="41"/>
      <c r="P165" s="13"/>
      <c r="Q165" s="59"/>
      <c r="R165" s="41"/>
      <c r="S165" s="85"/>
      <c r="T165" s="149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.6" thickBot="1">
      <c r="B166" s="11"/>
      <c r="C166" s="124" t="s">
        <v>69</v>
      </c>
      <c r="D166" s="151"/>
      <c r="E166" s="125"/>
      <c r="F166" s="127">
        <f>F109-F156+F164</f>
        <v>41920.444212499817</v>
      </c>
      <c r="G166" s="152"/>
      <c r="H166" s="125"/>
      <c r="I166" s="127"/>
      <c r="J166" s="153"/>
      <c r="K166" s="126"/>
      <c r="L166" s="127">
        <f>L109-L156+L164</f>
        <v>31720.609999999942</v>
      </c>
      <c r="M166" s="153"/>
      <c r="N166" s="127">
        <f>L166-F166</f>
        <v>-10199.834212499874</v>
      </c>
      <c r="O166" s="153"/>
      <c r="P166" s="126"/>
      <c r="Q166" s="127">
        <f>Q109-Q156+Q164</f>
        <v>13430.4099999998</v>
      </c>
      <c r="R166" s="153"/>
      <c r="S166" s="129">
        <f>L166-Q166</f>
        <v>18290.200000000143</v>
      </c>
      <c r="T166" s="82"/>
      <c r="U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1" thickTop="1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54"/>
      <c r="M167" s="10"/>
      <c r="N167" s="10"/>
      <c r="O167" s="10"/>
      <c r="P167" s="10"/>
      <c r="Q167" s="10"/>
      <c r="R167" s="10"/>
      <c r="S167" s="10"/>
      <c r="T167" s="154"/>
      <c r="U167" s="10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20.399999999999999"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54"/>
      <c r="U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5.4">
      <c r="B169" s="11"/>
      <c r="C169" s="6" t="str">
        <f>C1</f>
        <v>BMW Sherbrooke</v>
      </c>
      <c r="D169" s="2"/>
      <c r="E169" s="2"/>
      <c r="F169" s="2"/>
      <c r="G169" s="2"/>
      <c r="H169" s="1"/>
      <c r="I169" s="1"/>
      <c r="J169" s="1"/>
      <c r="K169" s="3" t="s">
        <v>78</v>
      </c>
      <c r="L169" s="2"/>
      <c r="M169" s="2"/>
      <c r="N169" s="1"/>
      <c r="O169" s="1"/>
      <c r="P169" s="2"/>
      <c r="Q169" s="1"/>
      <c r="R169" s="2"/>
      <c r="S169" s="5" t="str">
        <f>$S$1</f>
        <v>Réalisé, Juillet 2026</v>
      </c>
      <c r="T169" s="2"/>
      <c r="U169" s="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t="36" thickBot="1">
      <c r="B170" s="11"/>
      <c r="C170" s="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21.6" thickTop="1">
      <c r="B171" s="11"/>
      <c r="C171" s="12"/>
      <c r="D171" s="506" t="s">
        <v>5</v>
      </c>
      <c r="E171" s="507"/>
      <c r="F171" s="508"/>
      <c r="G171" s="509"/>
      <c r="H171" s="507"/>
      <c r="I171" s="508"/>
      <c r="J171" s="509" t="s">
        <v>7</v>
      </c>
      <c r="K171" s="507"/>
      <c r="L171" s="508"/>
      <c r="M171" s="509" t="s">
        <v>212</v>
      </c>
      <c r="N171" s="508"/>
      <c r="O171" s="506" t="s">
        <v>8</v>
      </c>
      <c r="P171" s="507"/>
      <c r="Q171" s="508"/>
      <c r="R171" s="504" t="s">
        <v>213</v>
      </c>
      <c r="S171" s="505"/>
      <c r="T171" s="148"/>
      <c r="U171" s="13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t="20.399999999999999">
      <c r="A172" t="str">
        <f t="shared" ref="A172:A217" si="46">+B172&amp;C172</f>
        <v>Service</v>
      </c>
      <c r="B172" s="11" t="s">
        <v>78</v>
      </c>
      <c r="C172" s="29"/>
      <c r="D172" s="80" t="s">
        <v>39</v>
      </c>
      <c r="E172" s="80" t="s">
        <v>79</v>
      </c>
      <c r="F172" s="134" t="s">
        <v>12</v>
      </c>
      <c r="G172" s="135"/>
      <c r="H172" s="80"/>
      <c r="I172" s="134"/>
      <c r="J172" s="135" t="s">
        <v>39</v>
      </c>
      <c r="K172" s="80" t="s">
        <v>79</v>
      </c>
      <c r="L172" s="134" t="s">
        <v>12</v>
      </c>
      <c r="M172" s="135" t="s">
        <v>219</v>
      </c>
      <c r="N172" s="134" t="s">
        <v>216</v>
      </c>
      <c r="O172" s="80" t="s">
        <v>39</v>
      </c>
      <c r="P172" s="80" t="s">
        <v>79</v>
      </c>
      <c r="Q172" s="134" t="s">
        <v>12</v>
      </c>
      <c r="R172" s="135" t="s">
        <v>80</v>
      </c>
      <c r="S172" s="136" t="s">
        <v>12</v>
      </c>
      <c r="T172" s="80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46"/>
        <v>ServiceM/O Client</v>
      </c>
      <c r="B173" s="11" t="s">
        <v>78</v>
      </c>
      <c r="C173" s="29" t="s">
        <v>81</v>
      </c>
      <c r="D173" s="485">
        <v>245.75458680165934</v>
      </c>
      <c r="E173" s="82">
        <v>87242.878314589063</v>
      </c>
      <c r="F173" s="82">
        <v>68921.873868525363</v>
      </c>
      <c r="G173" s="155"/>
      <c r="H173" s="82"/>
      <c r="I173" s="82"/>
      <c r="J173" s="60">
        <v>196</v>
      </c>
      <c r="K173" s="30">
        <v>95147.63</v>
      </c>
      <c r="L173" s="33">
        <v>74278.12000000001</v>
      </c>
      <c r="M173" s="156">
        <f>(K173-E173)/E173</f>
        <v>9.0606268822392588E-2</v>
      </c>
      <c r="N173" s="59">
        <f>L173-F173</f>
        <v>5356.246131474647</v>
      </c>
      <c r="O173" s="60">
        <v>191</v>
      </c>
      <c r="P173" s="30">
        <v>71461.8</v>
      </c>
      <c r="Q173" s="33">
        <v>56493.51</v>
      </c>
      <c r="R173" s="156">
        <f>IF(O173=0,0,J173/O173)</f>
        <v>1.0261780104712042</v>
      </c>
      <c r="S173" s="85">
        <f>L173-Q173</f>
        <v>17784.610000000008</v>
      </c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46"/>
        <v>Service% profit / ventes</v>
      </c>
      <c r="B174" s="11" t="s">
        <v>78</v>
      </c>
      <c r="C174" s="29" t="s">
        <v>82</v>
      </c>
      <c r="D174" s="485"/>
      <c r="E174" s="143"/>
      <c r="F174" s="157">
        <f>F173/E173</f>
        <v>0.79</v>
      </c>
      <c r="G174" s="41"/>
      <c r="H174" s="143"/>
      <c r="I174" s="157"/>
      <c r="J174" s="60"/>
      <c r="K174" s="13"/>
      <c r="L174" s="157">
        <f>IF(L173=0,0,L173/K173)</f>
        <v>0.78066179893287946</v>
      </c>
      <c r="M174" s="156"/>
      <c r="N174" s="59"/>
      <c r="O174" s="60"/>
      <c r="P174" s="13"/>
      <c r="Q174" s="157">
        <f>Q173/P173</f>
        <v>0.79054138014995423</v>
      </c>
      <c r="R174" s="60"/>
      <c r="S174" s="85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46"/>
        <v>Service</v>
      </c>
      <c r="B175" s="11" t="s">
        <v>78</v>
      </c>
      <c r="C175" s="86"/>
      <c r="D175" s="486"/>
      <c r="E175" s="158">
        <f>IFERROR(E173/D173,0)</f>
        <v>355</v>
      </c>
      <c r="F175" s="159"/>
      <c r="G175" s="23"/>
      <c r="H175" s="158"/>
      <c r="I175" s="159"/>
      <c r="J175" s="160"/>
      <c r="K175" s="460">
        <f>IFERROR(K173/J173,0)</f>
        <v>485.44709183673473</v>
      </c>
      <c r="L175" s="159"/>
      <c r="M175" s="161"/>
      <c r="N175" s="91"/>
      <c r="O175" s="160"/>
      <c r="P175" s="460">
        <f>IFERROR(P173/O173,0)</f>
        <v>374.14554973821993</v>
      </c>
      <c r="Q175" s="159"/>
      <c r="R175" s="160"/>
      <c r="S175" s="92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399999999999999">
      <c r="A176" t="str">
        <f t="shared" si="46"/>
        <v>ServiceM/O Garantie</v>
      </c>
      <c r="B176" s="11" t="s">
        <v>78</v>
      </c>
      <c r="C176" s="14" t="s">
        <v>83</v>
      </c>
      <c r="D176" s="487">
        <v>242.71829138087605</v>
      </c>
      <c r="E176" s="82">
        <v>46116.475362366451</v>
      </c>
      <c r="F176" s="82">
        <v>30621.339640611324</v>
      </c>
      <c r="G176" s="163"/>
      <c r="H176" s="82"/>
      <c r="I176" s="82"/>
      <c r="J176" s="163">
        <v>216</v>
      </c>
      <c r="K176" s="164">
        <v>34024.619999999995</v>
      </c>
      <c r="L176" s="33">
        <v>22979.329999999991</v>
      </c>
      <c r="M176" s="156">
        <f>(K176-E176)/E176</f>
        <v>-0.26220250501264603</v>
      </c>
      <c r="N176" s="109">
        <f>L176-F176</f>
        <v>-7642.0096406113335</v>
      </c>
      <c r="O176" s="163">
        <v>212</v>
      </c>
      <c r="P176" s="164">
        <v>45755.069999999898</v>
      </c>
      <c r="Q176" s="33">
        <v>31394.639999999901</v>
      </c>
      <c r="R176" s="156">
        <f>IF(O176=0,0,J176/O176)</f>
        <v>1.0188679245283019</v>
      </c>
      <c r="S176" s="85">
        <f>L176-Q176</f>
        <v>-8415.3099999999104</v>
      </c>
      <c r="T176" s="82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46"/>
        <v>Service% profit / ventes</v>
      </c>
      <c r="B177" s="11" t="s">
        <v>78</v>
      </c>
      <c r="C177" s="29" t="s">
        <v>82</v>
      </c>
      <c r="D177" s="485"/>
      <c r="E177" s="13"/>
      <c r="F177" s="157">
        <f>F176/E176</f>
        <v>0.66400000000000003</v>
      </c>
      <c r="G177" s="41"/>
      <c r="H177" s="13"/>
      <c r="I177" s="157"/>
      <c r="J177" s="41"/>
      <c r="K177" s="13"/>
      <c r="L177" s="157">
        <f>IF(L176=0,0,L176/K176)</f>
        <v>0.67537359711879208</v>
      </c>
      <c r="M177" s="42"/>
      <c r="N177" s="43"/>
      <c r="O177" s="41"/>
      <c r="P177" s="13"/>
      <c r="Q177" s="157">
        <f>Q176/P176</f>
        <v>0.68614560091373422</v>
      </c>
      <c r="R177" s="42"/>
      <c r="S177" s="44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1">
      <c r="A178" t="str">
        <f t="shared" si="46"/>
        <v>Service</v>
      </c>
      <c r="B178" s="11" t="s">
        <v>78</v>
      </c>
      <c r="C178" s="86"/>
      <c r="D178" s="486"/>
      <c r="E178" s="111"/>
      <c r="F178" s="159"/>
      <c r="G178" s="23"/>
      <c r="H178" s="111"/>
      <c r="I178" s="159"/>
      <c r="J178" s="23"/>
      <c r="K178" s="165"/>
      <c r="L178" s="159"/>
      <c r="M178" s="166"/>
      <c r="N178" s="167"/>
      <c r="O178" s="23"/>
      <c r="P178" s="165">
        <f>IFERROR(P176/O176,0)</f>
        <v>215.82580188679196</v>
      </c>
      <c r="Q178" s="159"/>
      <c r="R178" s="166"/>
      <c r="S178" s="168"/>
      <c r="T178" s="13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46"/>
        <v>ServiceM/O Interne</v>
      </c>
      <c r="B179" s="11" t="s">
        <v>78</v>
      </c>
      <c r="C179" s="29" t="s">
        <v>84</v>
      </c>
      <c r="D179" s="485">
        <v>172.5</v>
      </c>
      <c r="E179" s="82">
        <v>69000</v>
      </c>
      <c r="F179" s="82">
        <v>51957</v>
      </c>
      <c r="G179" s="41"/>
      <c r="H179" s="82"/>
      <c r="I179" s="82"/>
      <c r="J179" s="60">
        <v>229</v>
      </c>
      <c r="K179" s="164">
        <v>72925.810000000012</v>
      </c>
      <c r="L179" s="33">
        <v>57330.80000000001</v>
      </c>
      <c r="M179" s="156">
        <f>(K179-E179)/E179</f>
        <v>5.6895797101449451E-2</v>
      </c>
      <c r="N179" s="59">
        <f>L179-F179</f>
        <v>5373.8000000000102</v>
      </c>
      <c r="O179" s="60">
        <v>147</v>
      </c>
      <c r="P179" s="164">
        <v>61596.59</v>
      </c>
      <c r="Q179" s="33">
        <v>46782.64</v>
      </c>
      <c r="R179" s="156">
        <f>IF(O179=0,0,J179/O179)</f>
        <v>1.5578231292517006</v>
      </c>
      <c r="S179" s="85">
        <f>L179-Q179</f>
        <v>10548.160000000011</v>
      </c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46"/>
        <v>Service% profit / ventes</v>
      </c>
      <c r="B180" s="11" t="s">
        <v>78</v>
      </c>
      <c r="C180" s="29" t="s">
        <v>82</v>
      </c>
      <c r="D180" s="485"/>
      <c r="E180" s="143"/>
      <c r="F180" s="157">
        <f>F179/E179</f>
        <v>0.753</v>
      </c>
      <c r="G180" s="41"/>
      <c r="H180" s="143"/>
      <c r="I180" s="157"/>
      <c r="J180" s="60"/>
      <c r="K180" s="143"/>
      <c r="L180" s="157">
        <f>IF(L179=0,0,L179/K179)</f>
        <v>0.78615239241086254</v>
      </c>
      <c r="M180" s="156"/>
      <c r="N180" s="59">
        <f>L180-F180</f>
        <v>3.3152392410862541E-2</v>
      </c>
      <c r="O180" s="60"/>
      <c r="P180" s="143"/>
      <c r="Q180" s="157">
        <f>Q179/P179</f>
        <v>0.75950048533530834</v>
      </c>
      <c r="R180" s="60">
        <f>O180-K180</f>
        <v>0</v>
      </c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46"/>
        <v>Service</v>
      </c>
      <c r="B181" s="11" t="s">
        <v>78</v>
      </c>
      <c r="C181" s="29"/>
      <c r="D181" s="485"/>
      <c r="E181" s="169"/>
      <c r="F181" s="170"/>
      <c r="G181" s="41"/>
      <c r="H181" s="169"/>
      <c r="I181" s="159"/>
      <c r="J181" s="60"/>
      <c r="K181" s="450"/>
      <c r="L181" s="157"/>
      <c r="M181" s="156"/>
      <c r="N181" s="59"/>
      <c r="O181" s="60"/>
      <c r="P181" s="450">
        <f>IFERROR(P179/O179,0)</f>
        <v>419.02442176870744</v>
      </c>
      <c r="Q181" s="157"/>
      <c r="R181" s="171"/>
      <c r="S181" s="85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399999999999999">
      <c r="A182" t="str">
        <f t="shared" si="46"/>
        <v>ServiceM/O Esthétique</v>
      </c>
      <c r="B182" s="11" t="s">
        <v>78</v>
      </c>
      <c r="C182" s="14" t="s">
        <v>85</v>
      </c>
      <c r="D182" s="487">
        <v>40.200570145555119</v>
      </c>
      <c r="E182" s="82">
        <v>11055.156790027655</v>
      </c>
      <c r="F182" s="82">
        <v>7915.4922616598005</v>
      </c>
      <c r="G182" s="107"/>
      <c r="H182" s="82"/>
      <c r="I182" s="82"/>
      <c r="J182" s="163">
        <v>25</v>
      </c>
      <c r="K182" s="164">
        <v>4208.88</v>
      </c>
      <c r="L182" s="108">
        <v>3236.03</v>
      </c>
      <c r="M182" s="172">
        <f>IF(E182=0,0,(K182-E182)/E182)</f>
        <v>-0.61928355427788817</v>
      </c>
      <c r="N182" s="109">
        <f>L182-F182</f>
        <v>-4679.4622616598008</v>
      </c>
      <c r="O182" s="163">
        <v>35</v>
      </c>
      <c r="P182" s="164">
        <v>6415.65</v>
      </c>
      <c r="Q182" s="108">
        <v>5118.3599999999997</v>
      </c>
      <c r="R182" s="156">
        <f>IF(O182=0,0,J182/O182)</f>
        <v>0.7142857142857143</v>
      </c>
      <c r="S182" s="110">
        <f>L182-Q182</f>
        <v>-1882.3299999999995</v>
      </c>
      <c r="T182" s="8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46"/>
        <v>Service% profit / ventes</v>
      </c>
      <c r="B183" s="11" t="s">
        <v>78</v>
      </c>
      <c r="C183" s="29" t="s">
        <v>82</v>
      </c>
      <c r="D183" s="76"/>
      <c r="E183" s="173"/>
      <c r="F183" s="157">
        <f>IFERROR(F182/E182,0)</f>
        <v>0.71599999999999997</v>
      </c>
      <c r="G183" s="78"/>
      <c r="H183" s="173"/>
      <c r="I183" s="157"/>
      <c r="J183" s="174"/>
      <c r="K183" s="173"/>
      <c r="L183" s="157">
        <f>IF(L182=0,0,L182/K182)</f>
        <v>0.76885774837961651</v>
      </c>
      <c r="M183" s="60">
        <f>J183-D183</f>
        <v>0</v>
      </c>
      <c r="N183" s="175"/>
      <c r="O183" s="174"/>
      <c r="P183" s="173"/>
      <c r="Q183" s="157">
        <f>IFERROR(Q182/P182,0)</f>
        <v>0.79779289705641676</v>
      </c>
      <c r="R183" s="41"/>
      <c r="S183" s="176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>
      <c r="A184" t="str">
        <f t="shared" si="46"/>
        <v>Service</v>
      </c>
      <c r="B184" s="11" t="s">
        <v>78</v>
      </c>
      <c r="C184" s="86"/>
      <c r="D184" s="177"/>
      <c r="E184" s="178"/>
      <c r="F184" s="159"/>
      <c r="G184" s="179"/>
      <c r="H184" s="178"/>
      <c r="I184" s="159"/>
      <c r="J184" s="180"/>
      <c r="K184" s="25"/>
      <c r="L184" s="159"/>
      <c r="M184" s="160"/>
      <c r="N184" s="181"/>
      <c r="O184" s="180"/>
      <c r="P184" s="25">
        <f>IFERROR(P182/O182,0)</f>
        <v>183.3042857142857</v>
      </c>
      <c r="Q184" s="159"/>
      <c r="R184" s="23"/>
      <c r="S184" s="182"/>
      <c r="T184" s="112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Bot="1">
      <c r="A185" t="str">
        <f t="shared" si="46"/>
        <v>ServiceAjustement M/O</v>
      </c>
      <c r="B185" s="11" t="s">
        <v>78</v>
      </c>
      <c r="C185" s="29" t="s">
        <v>86</v>
      </c>
      <c r="D185" s="13"/>
      <c r="E185" s="13"/>
      <c r="F185" s="59">
        <v>-3060.0068719990777</v>
      </c>
      <c r="G185" s="41"/>
      <c r="H185" s="82"/>
      <c r="I185" s="82"/>
      <c r="J185" s="60"/>
      <c r="K185" s="82"/>
      <c r="L185" s="82">
        <v>-1307.78</v>
      </c>
      <c r="M185" s="174"/>
      <c r="N185" s="59">
        <f>L185-F185</f>
        <v>1752.2268719990777</v>
      </c>
      <c r="O185" s="60"/>
      <c r="P185" s="82"/>
      <c r="Q185" s="82">
        <v>-2250.91</v>
      </c>
      <c r="R185" s="183"/>
      <c r="S185" s="85">
        <f>L185-Q185</f>
        <v>943.12999999999988</v>
      </c>
      <c r="T185" s="13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.6" thickTop="1">
      <c r="A186" t="str">
        <f t="shared" si="46"/>
        <v>ServiceSous-total M/O</v>
      </c>
      <c r="B186" s="11" t="s">
        <v>78</v>
      </c>
      <c r="C186" s="184" t="s">
        <v>87</v>
      </c>
      <c r="D186" s="185">
        <f>D173+D176+D179+D182+D185</f>
        <v>701.17344832809056</v>
      </c>
      <c r="E186" s="185">
        <f>E173+E176+E179+E182+E185</f>
        <v>213414.51046698316</v>
      </c>
      <c r="F186" s="186">
        <f>F173+F176+F179+F182+F185</f>
        <v>156355.69889879742</v>
      </c>
      <c r="G186" s="187"/>
      <c r="H186" s="185"/>
      <c r="I186" s="186"/>
      <c r="J186" s="187">
        <f>J173+J176+J179+J182+J185</f>
        <v>666</v>
      </c>
      <c r="K186" s="185">
        <f>K173+K176+K179+K182+K185</f>
        <v>206306.94</v>
      </c>
      <c r="L186" s="186">
        <f>L173+L176+L179+L182+L185</f>
        <v>156516.5</v>
      </c>
      <c r="M186" s="188">
        <f>(K186-E186)/E186</f>
        <v>-3.3304063774439348E-2</v>
      </c>
      <c r="N186" s="186">
        <f>L186-F186</f>
        <v>160.80110120258178</v>
      </c>
      <c r="O186" s="187">
        <f t="shared" ref="O186:Q186" si="47">O173+O176+O179+O182+O185</f>
        <v>585</v>
      </c>
      <c r="P186" s="185">
        <f t="shared" si="47"/>
        <v>185229.1099999999</v>
      </c>
      <c r="Q186" s="186">
        <f t="shared" si="47"/>
        <v>137538.2399999999</v>
      </c>
      <c r="R186" s="42">
        <f>IF(O186=0,0,J186/O186)</f>
        <v>1.1384615384615384</v>
      </c>
      <c r="S186" s="189">
        <f>L186-Q186</f>
        <v>18978.260000000097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46"/>
        <v>Service% protit / ventes</v>
      </c>
      <c r="B187" s="11" t="s">
        <v>78</v>
      </c>
      <c r="C187" s="190" t="s">
        <v>88</v>
      </c>
      <c r="D187" s="191"/>
      <c r="E187" s="191"/>
      <c r="F187" s="192">
        <f>F186/E186</f>
        <v>0.73263855656612831</v>
      </c>
      <c r="G187" s="193"/>
      <c r="H187" s="191"/>
      <c r="I187" s="43"/>
      <c r="J187" s="193"/>
      <c r="K187" s="440">
        <f>IF(J186=0,0,K186/J186)</f>
        <v>309.7701801801802</v>
      </c>
      <c r="L187" s="43">
        <f>IF(L186=0,0,L186/K186)</f>
        <v>0.75865843388496768</v>
      </c>
      <c r="M187" s="193"/>
      <c r="N187" s="192">
        <f>N186/F186</f>
        <v>1.028431341710555E-3</v>
      </c>
      <c r="O187" s="193"/>
      <c r="P187" s="440">
        <f>IF(O186=0,0,P186/O186)</f>
        <v>316.63095726495709</v>
      </c>
      <c r="Q187" s="43">
        <f>Q186/P186</f>
        <v>0.74253037225088425</v>
      </c>
      <c r="R187" s="193"/>
      <c r="S187" s="44">
        <f>IF(R186=0,0,S186/R186)</f>
        <v>16670.093243243329</v>
      </c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46"/>
        <v>Service</v>
      </c>
      <c r="B188" s="11" t="s">
        <v>78</v>
      </c>
      <c r="C188" s="35"/>
      <c r="D188" s="194"/>
      <c r="E188" s="195"/>
      <c r="F188" s="196"/>
      <c r="G188" s="197"/>
      <c r="H188" s="195"/>
      <c r="I188" s="196"/>
      <c r="J188" s="197"/>
      <c r="K188" s="195"/>
      <c r="L188" s="196"/>
      <c r="M188" s="197"/>
      <c r="N188" s="196"/>
      <c r="O188" s="197"/>
      <c r="P188" s="195"/>
      <c r="Q188" s="196"/>
      <c r="R188" s="197"/>
      <c r="S188" s="198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46"/>
        <v>ServiceSous-traitement</v>
      </c>
      <c r="B189" s="11" t="s">
        <v>78</v>
      </c>
      <c r="C189" s="29" t="s">
        <v>89</v>
      </c>
      <c r="D189" s="82"/>
      <c r="E189" s="82">
        <v>4944.228434961844</v>
      </c>
      <c r="F189" s="82">
        <v>741.63426524427655</v>
      </c>
      <c r="G189" s="60"/>
      <c r="H189" s="82"/>
      <c r="I189" s="82"/>
      <c r="J189" s="60"/>
      <c r="K189" s="30">
        <v>4138.3599999999997</v>
      </c>
      <c r="L189" s="33">
        <v>1081.9099999999996</v>
      </c>
      <c r="M189" s="84">
        <f>IF(E189=0,0,(K189-E189)/E189)</f>
        <v>-0.16299174796685206</v>
      </c>
      <c r="N189" s="59">
        <f>L189-F189</f>
        <v>340.27573475572308</v>
      </c>
      <c r="O189" s="60"/>
      <c r="P189" s="30">
        <v>4300</v>
      </c>
      <c r="Q189" s="33">
        <v>360.4</v>
      </c>
      <c r="R189" s="156">
        <f>IF(O189=0,0,J189/O189)</f>
        <v>0</v>
      </c>
      <c r="S189" s="85">
        <f>L189-Q189</f>
        <v>721.50999999999965</v>
      </c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>
      <c r="A190" t="str">
        <f t="shared" si="46"/>
        <v>Service% profit / ventes</v>
      </c>
      <c r="B190" s="11" t="s">
        <v>78</v>
      </c>
      <c r="C190" s="29" t="s">
        <v>82</v>
      </c>
      <c r="D190" s="13"/>
      <c r="E190" s="143"/>
      <c r="F190" s="157">
        <f>IFERROR(F189/E189,0)</f>
        <v>0.15</v>
      </c>
      <c r="G190" s="41"/>
      <c r="H190" s="143"/>
      <c r="I190" s="157"/>
      <c r="J190" s="174"/>
      <c r="K190" s="173"/>
      <c r="L190" s="157">
        <f>IF(L189=0,0,L189/K189)</f>
        <v>0.261434481292106</v>
      </c>
      <c r="M190" s="174"/>
      <c r="N190" s="175"/>
      <c r="O190" s="174"/>
      <c r="P190" s="173"/>
      <c r="Q190" s="157">
        <f>IFERROR(Q189/P189,0)</f>
        <v>8.3813953488372089E-2</v>
      </c>
      <c r="R190" s="174"/>
      <c r="S190" s="176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46"/>
        <v>Service</v>
      </c>
      <c r="B191" s="11" t="s">
        <v>78</v>
      </c>
      <c r="C191" s="29"/>
      <c r="D191" s="13"/>
      <c r="E191" s="143"/>
      <c r="F191" s="157"/>
      <c r="G191" s="41"/>
      <c r="H191" s="143"/>
      <c r="I191" s="157"/>
      <c r="J191" s="174"/>
      <c r="K191" s="173"/>
      <c r="L191" s="157"/>
      <c r="M191" s="174"/>
      <c r="N191" s="175"/>
      <c r="O191" s="174"/>
      <c r="P191" s="173"/>
      <c r="Q191" s="157"/>
      <c r="R191" s="174"/>
      <c r="S191" s="176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46"/>
        <v>ServiceM.O. Recond. MCPA</v>
      </c>
      <c r="B192" s="11" t="s">
        <v>78</v>
      </c>
      <c r="C192" s="29" t="s">
        <v>90</v>
      </c>
      <c r="D192" s="13"/>
      <c r="E192" s="82">
        <v>0</v>
      </c>
      <c r="F192" s="82">
        <v>0</v>
      </c>
      <c r="G192" s="41"/>
      <c r="H192" s="82"/>
      <c r="I192" s="82"/>
      <c r="J192" s="174"/>
      <c r="K192" s="30">
        <v>0</v>
      </c>
      <c r="L192" s="157"/>
      <c r="M192" s="174"/>
      <c r="N192" s="175"/>
      <c r="O192" s="174"/>
      <c r="P192" s="30">
        <v>0</v>
      </c>
      <c r="Q192" s="157">
        <v>0</v>
      </c>
      <c r="R192" s="174"/>
      <c r="S192" s="176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hidden="1">
      <c r="A193" t="str">
        <f t="shared" si="46"/>
        <v>Service% profit / ventes</v>
      </c>
      <c r="B193" s="11" t="s">
        <v>78</v>
      </c>
      <c r="C193" s="29" t="s">
        <v>82</v>
      </c>
      <c r="D193" s="13"/>
      <c r="E193" s="143"/>
      <c r="F193" s="157">
        <f>IF(F192=0,0,F192/E192)</f>
        <v>0</v>
      </c>
      <c r="G193" s="41"/>
      <c r="H193" s="143"/>
      <c r="I193" s="157"/>
      <c r="J193" s="174"/>
      <c r="K193" s="173"/>
      <c r="L193" s="157">
        <f>IF(L192=0,0,L192/K192)</f>
        <v>0</v>
      </c>
      <c r="M193" s="174"/>
      <c r="N193" s="175"/>
      <c r="O193" s="174"/>
      <c r="P193" s="173"/>
      <c r="Q193" s="157">
        <f>IF(Q192=0,0,Q192/P192)</f>
        <v>0</v>
      </c>
      <c r="R193" s="174"/>
      <c r="S193" s="176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Bot="1">
      <c r="A194" t="str">
        <f t="shared" si="46"/>
        <v>Service</v>
      </c>
      <c r="B194" s="11" t="s">
        <v>78</v>
      </c>
      <c r="C194" s="199"/>
      <c r="D194" s="200"/>
      <c r="E194" s="201"/>
      <c r="F194" s="202"/>
      <c r="G194" s="203"/>
      <c r="H194" s="201"/>
      <c r="I194" s="202"/>
      <c r="J194" s="203"/>
      <c r="K194" s="201"/>
      <c r="L194" s="202"/>
      <c r="M194" s="203"/>
      <c r="N194" s="202"/>
      <c r="O194" s="203"/>
      <c r="P194" s="201"/>
      <c r="Q194" s="202"/>
      <c r="R194" s="203"/>
      <c r="S194" s="204"/>
      <c r="T194" s="112"/>
      <c r="U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Top="1">
      <c r="A195" t="str">
        <f t="shared" si="46"/>
        <v>ServiceTotal Mécanique</v>
      </c>
      <c r="B195" s="11" t="s">
        <v>78</v>
      </c>
      <c r="C195" s="62" t="s">
        <v>91</v>
      </c>
      <c r="D195" s="63"/>
      <c r="E195" s="63">
        <f>E186+E189+E192</f>
        <v>218358.73890194501</v>
      </c>
      <c r="F195" s="65">
        <f>F186+F189+F192</f>
        <v>157097.33316404169</v>
      </c>
      <c r="G195" s="66"/>
      <c r="H195" s="63"/>
      <c r="I195" s="65"/>
      <c r="J195" s="66"/>
      <c r="K195" s="63">
        <f>K186+K189+K192</f>
        <v>210445.3</v>
      </c>
      <c r="L195" s="65">
        <f>L186+L189+L192</f>
        <v>157598.41</v>
      </c>
      <c r="M195" s="205">
        <f>L196-F196</f>
        <v>2.943458101142804E-2</v>
      </c>
      <c r="N195" s="65">
        <f>L195-F195</f>
        <v>501.07683595831622</v>
      </c>
      <c r="O195" s="66"/>
      <c r="P195" s="63">
        <f t="shared" ref="P195:Q195" si="48">P186+P189+P192</f>
        <v>189529.1099999999</v>
      </c>
      <c r="Q195" s="65">
        <f t="shared" si="48"/>
        <v>137898.6399999999</v>
      </c>
      <c r="R195" s="205">
        <f>L196-Q196</f>
        <v>2.1295094673102755E-2</v>
      </c>
      <c r="S195" s="68">
        <f>L195-Q195</f>
        <v>19699.770000000106</v>
      </c>
      <c r="T195" s="112"/>
      <c r="U195" s="13"/>
      <c r="W195" s="11"/>
      <c r="X195" s="48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Bot="1">
      <c r="A196" t="str">
        <f t="shared" si="46"/>
        <v>Service</v>
      </c>
      <c r="B196" s="11" t="s">
        <v>78</v>
      </c>
      <c r="C196" s="69"/>
      <c r="D196" s="70"/>
      <c r="E196" s="70"/>
      <c r="F196" s="74">
        <f>F195/E195</f>
        <v>0.71944605447912469</v>
      </c>
      <c r="G196" s="72"/>
      <c r="H196" s="70"/>
      <c r="I196" s="74"/>
      <c r="J196" s="72"/>
      <c r="K196" s="70"/>
      <c r="L196" s="74">
        <f>L195/K195</f>
        <v>0.74888063549055273</v>
      </c>
      <c r="M196" s="73"/>
      <c r="N196" s="74">
        <f>N195/F195</f>
        <v>3.1895947936626634E-3</v>
      </c>
      <c r="O196" s="72"/>
      <c r="P196" s="70"/>
      <c r="Q196" s="74">
        <f>Q195/P195</f>
        <v>0.72758554081744997</v>
      </c>
      <c r="R196" s="73"/>
      <c r="S196" s="75">
        <f>L195/S195</f>
        <v>8.0000126905034499</v>
      </c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.6" thickTop="1">
      <c r="A197" t="str">
        <f t="shared" si="46"/>
        <v>Service</v>
      </c>
      <c r="B197" s="11" t="s">
        <v>78</v>
      </c>
      <c r="C197" s="53"/>
      <c r="D197" s="76"/>
      <c r="E197" s="76"/>
      <c r="F197" s="43"/>
      <c r="G197" s="78"/>
      <c r="H197" s="76"/>
      <c r="I197" s="43"/>
      <c r="J197" s="78"/>
      <c r="K197" s="76"/>
      <c r="L197" s="461"/>
      <c r="M197" s="42"/>
      <c r="N197" s="43"/>
      <c r="O197" s="78"/>
      <c r="P197" s="76"/>
      <c r="Q197" s="43"/>
      <c r="R197" s="42"/>
      <c r="S197" s="44"/>
      <c r="T197" s="76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1">
      <c r="A198" t="str">
        <f t="shared" si="46"/>
        <v>ServiceDEPENSES</v>
      </c>
      <c r="B198" s="11" t="s">
        <v>78</v>
      </c>
      <c r="C198" s="79" t="s">
        <v>29</v>
      </c>
      <c r="D198" s="13"/>
      <c r="E198" s="13"/>
      <c r="F198" s="59"/>
      <c r="G198" s="41"/>
      <c r="H198" s="13"/>
      <c r="I198" s="59"/>
      <c r="J198" s="41"/>
      <c r="K198" s="13"/>
      <c r="L198" s="40"/>
      <c r="M198" s="41"/>
      <c r="N198" s="40"/>
      <c r="O198" s="41"/>
      <c r="P198" s="13"/>
      <c r="Q198" s="40"/>
      <c r="R198" s="41"/>
      <c r="S198" s="61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46"/>
        <v>ServiceSalaires cadres</v>
      </c>
      <c r="B199" s="11" t="s">
        <v>78</v>
      </c>
      <c r="C199" s="102" t="s">
        <v>40</v>
      </c>
      <c r="D199" s="13"/>
      <c r="E199" s="13"/>
      <c r="F199" s="30">
        <v>11522.955371763124</v>
      </c>
      <c r="G199" s="41"/>
      <c r="H199" s="13"/>
      <c r="I199" s="30"/>
      <c r="J199" s="41"/>
      <c r="K199" s="13"/>
      <c r="L199" s="33">
        <v>10832.22</v>
      </c>
      <c r="M199" s="41"/>
      <c r="N199" s="59">
        <f t="shared" ref="N199:N230" si="49">L199-F199</f>
        <v>-690.73537176312493</v>
      </c>
      <c r="O199" s="41"/>
      <c r="P199" s="13"/>
      <c r="Q199" s="33">
        <v>12343.02</v>
      </c>
      <c r="R199" s="41"/>
      <c r="S199" s="85">
        <f t="shared" ref="S199:S204" si="50">L199-Q199</f>
        <v>-1510.8000000000011</v>
      </c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46"/>
        <v>ServiceSalaires commis</v>
      </c>
      <c r="B200" s="11" t="s">
        <v>78</v>
      </c>
      <c r="C200" s="103" t="s">
        <v>41</v>
      </c>
      <c r="D200" s="81"/>
      <c r="E200" s="13"/>
      <c r="F200" s="22">
        <v>5530.752077279888</v>
      </c>
      <c r="G200" s="83"/>
      <c r="H200" s="13"/>
      <c r="I200" s="22"/>
      <c r="J200" s="41"/>
      <c r="K200" s="13"/>
      <c r="L200" s="33">
        <v>2107.0700000000002</v>
      </c>
      <c r="M200" s="41"/>
      <c r="N200" s="59">
        <f t="shared" si="49"/>
        <v>-3423.6820772798878</v>
      </c>
      <c r="O200" s="41"/>
      <c r="P200" s="13"/>
      <c r="Q200" s="33">
        <v>4215.83</v>
      </c>
      <c r="R200" s="41"/>
      <c r="S200" s="85">
        <f t="shared" si="50"/>
        <v>-2108.7599999999998</v>
      </c>
      <c r="T200" s="13"/>
      <c r="U200" s="13"/>
      <c r="V200" s="489" t="s">
        <v>245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46"/>
        <v>ServiceSalaires autres</v>
      </c>
      <c r="B201" s="11" t="s">
        <v>78</v>
      </c>
      <c r="C201" s="102" t="s">
        <v>42</v>
      </c>
      <c r="D201" s="104"/>
      <c r="E201" s="105"/>
      <c r="F201" s="30">
        <v>14446.139083923792</v>
      </c>
      <c r="G201" s="106"/>
      <c r="H201" s="105"/>
      <c r="I201" s="30"/>
      <c r="J201" s="107"/>
      <c r="K201" s="105"/>
      <c r="L201" s="108">
        <v>12719.07</v>
      </c>
      <c r="M201" s="107"/>
      <c r="N201" s="109">
        <f t="shared" si="49"/>
        <v>-1727.0690839237923</v>
      </c>
      <c r="O201" s="107"/>
      <c r="P201" s="105"/>
      <c r="Q201" s="108">
        <v>6749.91</v>
      </c>
      <c r="R201" s="107"/>
      <c r="S201" s="110">
        <f t="shared" si="50"/>
        <v>5969.16</v>
      </c>
      <c r="T201" s="13"/>
      <c r="U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>
      <c r="A202" t="str">
        <f t="shared" si="46"/>
        <v>ServiceSalaires spécialistes</v>
      </c>
      <c r="B202" s="11" t="s">
        <v>78</v>
      </c>
      <c r="C202" s="102" t="s">
        <v>43</v>
      </c>
      <c r="D202" s="81"/>
      <c r="E202" s="13"/>
      <c r="F202" s="30">
        <v>15636.432950191571</v>
      </c>
      <c r="G202" s="83"/>
      <c r="H202" s="13"/>
      <c r="I202" s="30"/>
      <c r="J202" s="41"/>
      <c r="K202" s="13"/>
      <c r="L202" s="33">
        <v>12723.46</v>
      </c>
      <c r="M202" s="41"/>
      <c r="N202" s="59">
        <f t="shared" si="49"/>
        <v>-2912.9729501915717</v>
      </c>
      <c r="O202" s="41"/>
      <c r="P202" s="13"/>
      <c r="Q202" s="33">
        <v>14553.25</v>
      </c>
      <c r="R202" s="41"/>
      <c r="S202" s="85">
        <f t="shared" si="50"/>
        <v>-1829.7900000000009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 t="shared" si="50"/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 hidden="1">
      <c r="A205" t="str">
        <f t="shared" si="46"/>
        <v>Service[...]</v>
      </c>
      <c r="B205" s="11" t="s">
        <v>78</v>
      </c>
      <c r="C205" s="29" t="s">
        <v>19</v>
      </c>
      <c r="D205" s="81"/>
      <c r="E205" s="13"/>
      <c r="F205" s="30">
        <v>0</v>
      </c>
      <c r="G205" s="83"/>
      <c r="H205" s="13"/>
      <c r="I205" s="30"/>
      <c r="J205" s="41"/>
      <c r="K205" s="13"/>
      <c r="L205" s="33">
        <v>0</v>
      </c>
      <c r="M205" s="41"/>
      <c r="N205" s="59">
        <f t="shared" si="49"/>
        <v>0</v>
      </c>
      <c r="O205" s="41"/>
      <c r="P205" s="13"/>
      <c r="Q205" s="33">
        <v>0</v>
      </c>
      <c r="R205" s="41"/>
      <c r="S205" s="85">
        <f>L205-Q205</f>
        <v>0</v>
      </c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46"/>
        <v>ServiceSalaires en absences</v>
      </c>
      <c r="B206" s="11" t="s">
        <v>78</v>
      </c>
      <c r="C206" s="103" t="s">
        <v>44</v>
      </c>
      <c r="D206" s="81"/>
      <c r="E206" s="13"/>
      <c r="F206" s="30">
        <v>15093.551259504773</v>
      </c>
      <c r="G206" s="83"/>
      <c r="H206" s="13"/>
      <c r="I206" s="30"/>
      <c r="J206" s="41"/>
      <c r="K206" s="13"/>
      <c r="L206" s="33">
        <v>12274.74</v>
      </c>
      <c r="M206" s="41"/>
      <c r="N206" s="59">
        <f t="shared" si="49"/>
        <v>-2818.8112595047733</v>
      </c>
      <c r="O206" s="41"/>
      <c r="P206" s="13"/>
      <c r="Q206" s="33">
        <v>13922.95</v>
      </c>
      <c r="R206" s="41"/>
      <c r="S206" s="85">
        <f>L206-Q206</f>
        <v>-1648.2100000000009</v>
      </c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46"/>
        <v>ServiceDéduction à la source</v>
      </c>
      <c r="B207" s="11" t="s">
        <v>78</v>
      </c>
      <c r="C207" s="102" t="s">
        <v>45</v>
      </c>
      <c r="D207" s="104"/>
      <c r="E207" s="105"/>
      <c r="F207" s="55">
        <v>14432.283766812419</v>
      </c>
      <c r="G207" s="106"/>
      <c r="H207" s="105"/>
      <c r="I207" s="55"/>
      <c r="J207" s="107"/>
      <c r="K207" s="105"/>
      <c r="L207" s="108">
        <v>14970.13</v>
      </c>
      <c r="M207" s="107"/>
      <c r="N207" s="109">
        <f t="shared" si="49"/>
        <v>537.84623318757986</v>
      </c>
      <c r="O207" s="107"/>
      <c r="P207" s="105"/>
      <c r="Q207" s="108">
        <v>15432.49</v>
      </c>
      <c r="R207" s="107"/>
      <c r="S207" s="110">
        <f t="shared" ref="S207:S217" si="51">L207-Q207</f>
        <v>-462.36000000000058</v>
      </c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46"/>
        <v>ServiceBénéfices marginaux</v>
      </c>
      <c r="B208" s="11" t="s">
        <v>78</v>
      </c>
      <c r="C208" s="102" t="s">
        <v>46</v>
      </c>
      <c r="D208" s="81"/>
      <c r="E208" s="13"/>
      <c r="F208" s="30">
        <v>10656.79833341429</v>
      </c>
      <c r="G208" s="83"/>
      <c r="H208" s="13"/>
      <c r="I208" s="30"/>
      <c r="J208" s="41"/>
      <c r="K208" s="13"/>
      <c r="L208" s="33">
        <v>6452.88</v>
      </c>
      <c r="M208" s="41"/>
      <c r="N208" s="59">
        <f t="shared" si="49"/>
        <v>-4203.9183334142899</v>
      </c>
      <c r="O208" s="41"/>
      <c r="P208" s="13"/>
      <c r="Q208" s="33">
        <v>6808.22</v>
      </c>
      <c r="R208" s="41"/>
      <c r="S208" s="85">
        <f t="shared" si="51"/>
        <v>-355.34000000000015</v>
      </c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>
      <c r="A209" t="str">
        <f t="shared" si="46"/>
        <v>ServiceCsst</v>
      </c>
      <c r="B209" s="11" t="s">
        <v>78</v>
      </c>
      <c r="C209" s="102" t="s">
        <v>47</v>
      </c>
      <c r="D209" s="81"/>
      <c r="E209" s="13"/>
      <c r="F209" s="30">
        <v>2828.7276182952342</v>
      </c>
      <c r="G209" s="83"/>
      <c r="H209" s="13"/>
      <c r="I209" s="30"/>
      <c r="J209" s="41"/>
      <c r="K209" s="13"/>
      <c r="L209" s="33">
        <v>1955.18</v>
      </c>
      <c r="M209" s="462"/>
      <c r="N209" s="145">
        <f t="shared" si="49"/>
        <v>-873.54761829523409</v>
      </c>
      <c r="O209" s="462"/>
      <c r="P209" s="463"/>
      <c r="Q209" s="22">
        <v>2737.99</v>
      </c>
      <c r="R209" s="462"/>
      <c r="S209" s="464">
        <f t="shared" si="51"/>
        <v>-782.80999999999972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399999999999999" hidden="1">
      <c r="A210" t="str">
        <f t="shared" si="46"/>
        <v>Service[...]</v>
      </c>
      <c r="B210" s="11" t="s">
        <v>78</v>
      </c>
      <c r="C210" s="29" t="s">
        <v>19</v>
      </c>
      <c r="D210" s="87"/>
      <c r="E210" s="111"/>
      <c r="F210" s="30">
        <v>0</v>
      </c>
      <c r="G210" s="89"/>
      <c r="H210" s="111"/>
      <c r="I210" s="30"/>
      <c r="J210" s="23"/>
      <c r="K210" s="111"/>
      <c r="L210" s="33">
        <v>0</v>
      </c>
      <c r="M210" s="23"/>
      <c r="N210" s="91">
        <f t="shared" si="49"/>
        <v>0</v>
      </c>
      <c r="O210" s="23"/>
      <c r="P210" s="111"/>
      <c r="Q210" s="33">
        <v>0</v>
      </c>
      <c r="R210" s="23"/>
      <c r="S210" s="92">
        <f t="shared" si="51"/>
        <v>0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1">
      <c r="A211" t="str">
        <f t="shared" si="46"/>
        <v>ServiceTOTAL PERSONNEL</v>
      </c>
      <c r="B211" s="11" t="s">
        <v>78</v>
      </c>
      <c r="C211" s="93" t="s">
        <v>48</v>
      </c>
      <c r="D211" s="94" t="s">
        <v>92</v>
      </c>
      <c r="E211" s="95">
        <f>F211/F$195</f>
        <v>0.57383304124617152</v>
      </c>
      <c r="F211" s="96">
        <f>+SUM(F199:F210)</f>
        <v>90147.640461185088</v>
      </c>
      <c r="G211" s="97"/>
      <c r="H211" s="95"/>
      <c r="I211" s="96"/>
      <c r="J211" s="97" t="s">
        <v>92</v>
      </c>
      <c r="K211" s="95">
        <f>L211/L$195</f>
        <v>0.46976838154648892</v>
      </c>
      <c r="L211" s="96">
        <f>+SUM(L199:L210)</f>
        <v>74034.75</v>
      </c>
      <c r="M211" s="146"/>
      <c r="N211" s="113">
        <f t="shared" si="49"/>
        <v>-16112.890461185088</v>
      </c>
      <c r="O211" s="97" t="s">
        <v>92</v>
      </c>
      <c r="P211" s="95">
        <f>Q211/Q$195</f>
        <v>0.55666727387594295</v>
      </c>
      <c r="Q211" s="96">
        <f>+SUM(Q199:Q210)</f>
        <v>76763.66</v>
      </c>
      <c r="R211" s="146"/>
      <c r="S211" s="114">
        <f t="shared" si="51"/>
        <v>-2728.9100000000035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46"/>
        <v>ServicePublicité 2</v>
      </c>
      <c r="B212" s="11" t="s">
        <v>78</v>
      </c>
      <c r="C212" s="29" t="s">
        <v>49</v>
      </c>
      <c r="D212" s="81"/>
      <c r="E212" s="13"/>
      <c r="F212" s="30">
        <v>2129.9114389697861</v>
      </c>
      <c r="G212" s="83"/>
      <c r="H212" s="13"/>
      <c r="I212" s="30"/>
      <c r="J212" s="41"/>
      <c r="K212" s="13"/>
      <c r="L212" s="33">
        <v>673.44</v>
      </c>
      <c r="M212" s="41"/>
      <c r="N212" s="59">
        <f t="shared" si="49"/>
        <v>-1456.471438969786</v>
      </c>
      <c r="O212" s="41"/>
      <c r="P212" s="13"/>
      <c r="Q212" s="33">
        <v>4692.8500000000004</v>
      </c>
      <c r="R212" s="41"/>
      <c r="S212" s="85">
        <f t="shared" si="51"/>
        <v>-4019.4100000000003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46"/>
        <v>ServiceService gratuit 2</v>
      </c>
      <c r="B213" s="11" t="s">
        <v>78</v>
      </c>
      <c r="C213" s="29" t="s">
        <v>50</v>
      </c>
      <c r="D213" s="81"/>
      <c r="E213" s="13"/>
      <c r="F213" s="30">
        <v>3750</v>
      </c>
      <c r="G213" s="83"/>
      <c r="H213" s="13"/>
      <c r="I213" s="30"/>
      <c r="J213" s="41"/>
      <c r="K213" s="13"/>
      <c r="L213" s="33">
        <v>4815.59</v>
      </c>
      <c r="M213" s="41"/>
      <c r="N213" s="59">
        <f t="shared" si="49"/>
        <v>1065.5900000000001</v>
      </c>
      <c r="O213" s="41"/>
      <c r="P213" s="13"/>
      <c r="Q213" s="33">
        <v>4203.25</v>
      </c>
      <c r="R213" s="41"/>
      <c r="S213" s="85">
        <f t="shared" si="51"/>
        <v>612.34000000000015</v>
      </c>
      <c r="T213" s="13"/>
      <c r="U213" s="13"/>
      <c r="V213" s="489" t="s">
        <v>253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46"/>
        <v>ServiceFrais véhicules de cie</v>
      </c>
      <c r="B214" s="11" t="s">
        <v>78</v>
      </c>
      <c r="C214" s="86" t="s">
        <v>51</v>
      </c>
      <c r="D214" s="87"/>
      <c r="E214" s="111"/>
      <c r="F214" s="22">
        <v>7453.2500000000009</v>
      </c>
      <c r="G214" s="89"/>
      <c r="H214" s="111"/>
      <c r="I214" s="22"/>
      <c r="J214" s="23"/>
      <c r="K214" s="111"/>
      <c r="L214" s="33">
        <v>8296.65</v>
      </c>
      <c r="M214" s="23"/>
      <c r="N214" s="91">
        <f t="shared" si="49"/>
        <v>843.39999999999873</v>
      </c>
      <c r="O214" s="23"/>
      <c r="P214" s="111"/>
      <c r="Q214" s="33">
        <v>6466.99</v>
      </c>
      <c r="R214" s="23"/>
      <c r="S214" s="92">
        <f t="shared" si="51"/>
        <v>1829.6599999999999</v>
      </c>
      <c r="T214" s="13"/>
      <c r="U214" s="13"/>
      <c r="V214" s="489" t="s">
        <v>254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46"/>
        <v>ServiceInformatique</v>
      </c>
      <c r="B215" s="11" t="s">
        <v>78</v>
      </c>
      <c r="C215" s="29" t="s">
        <v>52</v>
      </c>
      <c r="D215" s="81"/>
      <c r="E215" s="13"/>
      <c r="F215" s="30">
        <v>6636.4108333333334</v>
      </c>
      <c r="G215" s="83"/>
      <c r="H215" s="13"/>
      <c r="I215" s="30"/>
      <c r="J215" s="41"/>
      <c r="K215" s="13"/>
      <c r="L215" s="108">
        <v>6192.27</v>
      </c>
      <c r="M215" s="41"/>
      <c r="N215" s="59">
        <f t="shared" si="49"/>
        <v>-444.14083333333292</v>
      </c>
      <c r="O215" s="41"/>
      <c r="P215" s="13"/>
      <c r="Q215" s="108">
        <v>6092.24</v>
      </c>
      <c r="R215" s="41"/>
      <c r="S215" s="85">
        <f t="shared" si="51"/>
        <v>100.03000000000065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46"/>
        <v>ServiceFrais de déplacement</v>
      </c>
      <c r="B216" s="11" t="s">
        <v>78</v>
      </c>
      <c r="C216" s="29" t="s">
        <v>53</v>
      </c>
      <c r="D216" s="81"/>
      <c r="E216" s="13"/>
      <c r="F216" s="30">
        <v>1331.25</v>
      </c>
      <c r="G216" s="83"/>
      <c r="H216" s="13"/>
      <c r="I216" s="30"/>
      <c r="J216" s="41"/>
      <c r="K216" s="13"/>
      <c r="L216" s="33">
        <v>2179.11</v>
      </c>
      <c r="M216" s="41"/>
      <c r="N216" s="59">
        <f t="shared" si="49"/>
        <v>847.86000000000013</v>
      </c>
      <c r="O216" s="41"/>
      <c r="P216" s="13"/>
      <c r="Q216" s="33">
        <v>1258.22</v>
      </c>
      <c r="R216" s="41"/>
      <c r="S216" s="85">
        <f t="shared" si="51"/>
        <v>920.8900000000001</v>
      </c>
      <c r="T216" s="13"/>
      <c r="U216" s="13"/>
      <c r="V216" s="489" t="s">
        <v>248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>
      <c r="A217" t="str">
        <f t="shared" si="46"/>
        <v>ServiceServices extérieurs</v>
      </c>
      <c r="B217" s="11" t="s">
        <v>78</v>
      </c>
      <c r="C217" s="86" t="s">
        <v>54</v>
      </c>
      <c r="D217" s="87"/>
      <c r="E217" s="111"/>
      <c r="F217" s="22">
        <v>2199.8866666666668</v>
      </c>
      <c r="G217" s="89"/>
      <c r="H217" s="111"/>
      <c r="I217" s="22"/>
      <c r="J217" s="23"/>
      <c r="K217" s="111"/>
      <c r="L217" s="22">
        <v>16216.45</v>
      </c>
      <c r="M217" s="462"/>
      <c r="N217" s="145">
        <f t="shared" si="49"/>
        <v>14016.563333333334</v>
      </c>
      <c r="O217" s="462"/>
      <c r="P217" s="463"/>
      <c r="Q217" s="22">
        <v>2685.77</v>
      </c>
      <c r="R217" s="23"/>
      <c r="S217" s="92">
        <f t="shared" si="51"/>
        <v>13530.68</v>
      </c>
      <c r="T217" s="13"/>
      <c r="U217" s="13"/>
      <c r="V217" s="495" t="s">
        <v>255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 hidden="1">
      <c r="A218" t="str">
        <f>+B218&amp;C218</f>
        <v>ServiceFournitures d'atelier</v>
      </c>
      <c r="B218" s="11" t="s">
        <v>78</v>
      </c>
      <c r="C218" s="29" t="s">
        <v>93</v>
      </c>
      <c r="D218" s="81"/>
      <c r="E218" s="13"/>
      <c r="F218" s="30"/>
      <c r="G218" s="83"/>
      <c r="H218" s="13"/>
      <c r="I218" s="30"/>
      <c r="J218" s="41"/>
      <c r="K218" s="13"/>
      <c r="L218" s="33">
        <v>0</v>
      </c>
      <c r="M218" s="41"/>
      <c r="N218" s="59">
        <f t="shared" si="49"/>
        <v>0</v>
      </c>
      <c r="O218" s="41"/>
      <c r="P218" s="13"/>
      <c r="Q218" s="33">
        <v>0</v>
      </c>
      <c r="R218" s="41"/>
      <c r="S218" s="85">
        <f>L218-Q218</f>
        <v>0</v>
      </c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ref="A219:A227" si="52">+B219&amp;C219</f>
        <v>ServiceFournitures autres</v>
      </c>
      <c r="B219" s="11" t="s">
        <v>78</v>
      </c>
      <c r="C219" s="29" t="s">
        <v>55</v>
      </c>
      <c r="D219" s="81"/>
      <c r="E219" s="13"/>
      <c r="F219" s="30">
        <v>3250</v>
      </c>
      <c r="G219" s="83"/>
      <c r="H219" s="13"/>
      <c r="I219" s="30"/>
      <c r="J219" s="41"/>
      <c r="K219" s="13"/>
      <c r="L219" s="33">
        <v>3158.42</v>
      </c>
      <c r="M219" s="41"/>
      <c r="N219" s="59">
        <f t="shared" si="49"/>
        <v>-91.579999999999927</v>
      </c>
      <c r="O219" s="41"/>
      <c r="P219" s="13"/>
      <c r="Q219" s="33">
        <v>1862.54</v>
      </c>
      <c r="R219" s="41"/>
      <c r="S219" s="85">
        <f t="shared" ref="S219:S227" si="53">L219-Q219</f>
        <v>1295.8800000000001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52"/>
        <v>ServiceUniformes</v>
      </c>
      <c r="B220" s="11" t="s">
        <v>78</v>
      </c>
      <c r="C220" s="29" t="s">
        <v>56</v>
      </c>
      <c r="D220" s="81"/>
      <c r="E220" s="13"/>
      <c r="F220" s="30">
        <v>1325</v>
      </c>
      <c r="G220" s="83"/>
      <c r="H220" s="13"/>
      <c r="I220" s="30"/>
      <c r="J220" s="41"/>
      <c r="K220" s="13"/>
      <c r="L220" s="33">
        <v>1008.43</v>
      </c>
      <c r="M220" s="41"/>
      <c r="N220" s="59">
        <f t="shared" si="49"/>
        <v>-316.57000000000005</v>
      </c>
      <c r="O220" s="41"/>
      <c r="P220" s="13"/>
      <c r="Q220" s="33">
        <v>903.4</v>
      </c>
      <c r="R220" s="41"/>
      <c r="S220" s="85">
        <f t="shared" si="53"/>
        <v>105.02999999999997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52"/>
        <v>ServicePapeterie</v>
      </c>
      <c r="B221" s="11" t="s">
        <v>78</v>
      </c>
      <c r="C221" s="29" t="s">
        <v>57</v>
      </c>
      <c r="D221" s="81"/>
      <c r="E221" s="13"/>
      <c r="F221" s="30">
        <v>362.5</v>
      </c>
      <c r="G221" s="83"/>
      <c r="H221" s="13"/>
      <c r="I221" s="30"/>
      <c r="J221" s="41"/>
      <c r="K221" s="13"/>
      <c r="L221" s="32">
        <v>862.19</v>
      </c>
      <c r="M221" s="41"/>
      <c r="N221" s="59">
        <f t="shared" si="49"/>
        <v>499.69000000000005</v>
      </c>
      <c r="O221" s="41"/>
      <c r="P221" s="13"/>
      <c r="Q221" s="32">
        <v>686.18</v>
      </c>
      <c r="R221" s="41"/>
      <c r="S221" s="85">
        <f t="shared" si="53"/>
        <v>176.0100000000001</v>
      </c>
      <c r="T221" s="13"/>
      <c r="U221" s="13"/>
      <c r="V221" s="489" t="s">
        <v>256</v>
      </c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52"/>
        <v>ServiceTéléphone</v>
      </c>
      <c r="B222" s="11" t="s">
        <v>78</v>
      </c>
      <c r="C222" s="29" t="s">
        <v>58</v>
      </c>
      <c r="D222" s="81"/>
      <c r="E222" s="13"/>
      <c r="F222" s="30">
        <v>114.25</v>
      </c>
      <c r="G222" s="83"/>
      <c r="H222" s="13"/>
      <c r="I222" s="30"/>
      <c r="J222" s="41"/>
      <c r="K222" s="13"/>
      <c r="L222" s="33">
        <v>136.9</v>
      </c>
      <c r="M222" s="41"/>
      <c r="N222" s="59">
        <f t="shared" si="49"/>
        <v>22.650000000000006</v>
      </c>
      <c r="O222" s="41"/>
      <c r="P222" s="13"/>
      <c r="Q222" s="33">
        <v>107.64</v>
      </c>
      <c r="R222" s="41"/>
      <c r="S222" s="85">
        <f t="shared" si="53"/>
        <v>29.260000000000005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52"/>
        <v>ServiceFrais postaux</v>
      </c>
      <c r="B223" s="11" t="s">
        <v>78</v>
      </c>
      <c r="C223" s="29" t="s">
        <v>59</v>
      </c>
      <c r="D223" s="81"/>
      <c r="E223" s="13"/>
      <c r="F223" s="30">
        <v>141.66666666666666</v>
      </c>
      <c r="G223" s="83"/>
      <c r="H223" s="13"/>
      <c r="I223" s="30"/>
      <c r="J223" s="41"/>
      <c r="K223" s="13"/>
      <c r="L223" s="33">
        <v>412.41</v>
      </c>
      <c r="M223" s="41"/>
      <c r="N223" s="59">
        <f t="shared" si="49"/>
        <v>270.74333333333334</v>
      </c>
      <c r="O223" s="41"/>
      <c r="P223" s="13"/>
      <c r="Q223" s="33">
        <v>27.37</v>
      </c>
      <c r="R223" s="41"/>
      <c r="S223" s="85">
        <f t="shared" si="53"/>
        <v>385.04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52"/>
        <v>ServiceDivers</v>
      </c>
      <c r="B224" s="11" t="s">
        <v>78</v>
      </c>
      <c r="C224" s="29" t="s">
        <v>60</v>
      </c>
      <c r="D224" s="81"/>
      <c r="E224" s="13"/>
      <c r="F224" s="30">
        <v>381.66666666666663</v>
      </c>
      <c r="G224" s="83"/>
      <c r="H224" s="13"/>
      <c r="I224" s="30"/>
      <c r="J224" s="41"/>
      <c r="K224" s="13"/>
      <c r="L224" s="33">
        <v>325.98</v>
      </c>
      <c r="M224" s="41"/>
      <c r="N224" s="59">
        <f t="shared" si="49"/>
        <v>-55.686666666666611</v>
      </c>
      <c r="O224" s="41"/>
      <c r="P224" s="13"/>
      <c r="Q224" s="33">
        <v>1481.5</v>
      </c>
      <c r="R224" s="41"/>
      <c r="S224" s="85">
        <f t="shared" si="53"/>
        <v>-1155.52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52"/>
        <v>ServiceFormation</v>
      </c>
      <c r="B225" s="11" t="s">
        <v>78</v>
      </c>
      <c r="C225" s="29" t="s">
        <v>61</v>
      </c>
      <c r="D225" s="81"/>
      <c r="E225" s="13"/>
      <c r="F225" s="30">
        <v>1782.2466666666669</v>
      </c>
      <c r="G225" s="83"/>
      <c r="H225" s="13"/>
      <c r="I225" s="30"/>
      <c r="J225" s="41"/>
      <c r="K225" s="13"/>
      <c r="L225" s="33">
        <v>2429.8000000000002</v>
      </c>
      <c r="M225" s="41"/>
      <c r="N225" s="59">
        <f t="shared" si="49"/>
        <v>647.55333333333328</v>
      </c>
      <c r="O225" s="41"/>
      <c r="P225" s="13"/>
      <c r="Q225" s="33">
        <v>1295.19</v>
      </c>
      <c r="R225" s="41"/>
      <c r="S225" s="85">
        <f t="shared" si="53"/>
        <v>1134.6100000000001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>
      <c r="A226" t="str">
        <f t="shared" si="52"/>
        <v>ServiceFrais bancaires</v>
      </c>
      <c r="B226" s="11" t="s">
        <v>78</v>
      </c>
      <c r="C226" s="29" t="s">
        <v>62</v>
      </c>
      <c r="D226" s="81"/>
      <c r="E226" s="13"/>
      <c r="F226" s="30">
        <v>2012.4223827598689</v>
      </c>
      <c r="G226" s="83"/>
      <c r="H226" s="13"/>
      <c r="I226" s="30"/>
      <c r="J226" s="41"/>
      <c r="K226" s="13"/>
      <c r="L226" s="33">
        <v>2451.9499999999998</v>
      </c>
      <c r="M226" s="41"/>
      <c r="N226" s="59">
        <f t="shared" si="49"/>
        <v>439.52761724013089</v>
      </c>
      <c r="O226" s="41"/>
      <c r="P226" s="13"/>
      <c r="Q226" s="33">
        <v>1672.3</v>
      </c>
      <c r="R226" s="41"/>
      <c r="S226" s="85">
        <f t="shared" si="53"/>
        <v>779.64999999999986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 t="shared" si="52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 t="shared" si="53"/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399999999999999" hidden="1">
      <c r="A229" t="str">
        <f t="shared" ref="A229" si="54">+B229&amp;C229</f>
        <v>Service[...]</v>
      </c>
      <c r="B229" s="11" t="s">
        <v>78</v>
      </c>
      <c r="C229" s="29" t="s">
        <v>19</v>
      </c>
      <c r="D229" s="81"/>
      <c r="E229" s="13"/>
      <c r="F229" s="30">
        <v>0</v>
      </c>
      <c r="G229" s="83"/>
      <c r="H229" s="13"/>
      <c r="I229" s="30"/>
      <c r="J229" s="41"/>
      <c r="K229" s="13"/>
      <c r="L229" s="33">
        <v>0</v>
      </c>
      <c r="M229" s="41"/>
      <c r="N229" s="59">
        <f t="shared" si="49"/>
        <v>0</v>
      </c>
      <c r="O229" s="41"/>
      <c r="P229" s="13"/>
      <c r="Q229" s="33">
        <v>0</v>
      </c>
      <c r="R229" s="41"/>
      <c r="S229" s="85">
        <f t="shared" ref="S229" si="55">L229-Q229</f>
        <v>0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1">
      <c r="B230" s="11"/>
      <c r="C230" s="93" t="s">
        <v>63</v>
      </c>
      <c r="D230" s="94" t="s">
        <v>92</v>
      </c>
      <c r="E230" s="95">
        <f>F230/F$195</f>
        <v>0.20923627829764738</v>
      </c>
      <c r="F230" s="96">
        <f>+SUM(F212:F229)</f>
        <v>32870.461321729657</v>
      </c>
      <c r="G230" s="97"/>
      <c r="H230" s="95"/>
      <c r="I230" s="96"/>
      <c r="J230" s="97" t="s">
        <v>92</v>
      </c>
      <c r="K230" s="95">
        <f>L230/L$195</f>
        <v>0.31192947949157618</v>
      </c>
      <c r="L230" s="96">
        <f>+SUM(L212:L229)</f>
        <v>49159.590000000011</v>
      </c>
      <c r="M230" s="100"/>
      <c r="N230" s="96">
        <f t="shared" si="49"/>
        <v>16289.128678270354</v>
      </c>
      <c r="O230" s="97" t="s">
        <v>92</v>
      </c>
      <c r="P230" s="95">
        <f>Q230/Q$195</f>
        <v>0.24246388506804728</v>
      </c>
      <c r="Q230" s="96">
        <f>+SUM(Q212:Q229)</f>
        <v>33435.440000000002</v>
      </c>
      <c r="R230" s="100"/>
      <c r="S230" s="101">
        <f>L230-Q230</f>
        <v>15724.150000000009</v>
      </c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399999999999999">
      <c r="B231" s="11"/>
      <c r="C231" s="86"/>
      <c r="D231" s="87"/>
      <c r="E231" s="111"/>
      <c r="F231" s="59"/>
      <c r="G231" s="89"/>
      <c r="H231" s="111"/>
      <c r="I231" s="59"/>
      <c r="J231" s="23"/>
      <c r="K231" s="111"/>
      <c r="L231" s="91"/>
      <c r="M231" s="23"/>
      <c r="N231" s="91"/>
      <c r="O231" s="23"/>
      <c r="P231" s="111"/>
      <c r="Q231" s="91"/>
      <c r="R231" s="23"/>
      <c r="S231" s="92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1">
      <c r="B232" s="11"/>
      <c r="C232" s="93" t="s">
        <v>64</v>
      </c>
      <c r="D232" s="94" t="s">
        <v>38</v>
      </c>
      <c r="E232" s="95">
        <f>F232/F$195</f>
        <v>0.78306931954381898</v>
      </c>
      <c r="F232" s="96">
        <f>F211+F230</f>
        <v>123018.10178291475</v>
      </c>
      <c r="G232" s="97"/>
      <c r="H232" s="95"/>
      <c r="I232" s="96"/>
      <c r="J232" s="97" t="s">
        <v>38</v>
      </c>
      <c r="K232" s="95">
        <f>L232/L$195</f>
        <v>0.78169786103806504</v>
      </c>
      <c r="L232" s="96">
        <f>L211+L230</f>
        <v>123194.34000000001</v>
      </c>
      <c r="M232" s="100"/>
      <c r="N232" s="113">
        <f>L232-F232</f>
        <v>176.23821708526521</v>
      </c>
      <c r="O232" s="97" t="s">
        <v>38</v>
      </c>
      <c r="P232" s="95">
        <f>Q232/Q$195</f>
        <v>0.79913115894399023</v>
      </c>
      <c r="Q232" s="96">
        <f>Q211+Q230</f>
        <v>110199.1</v>
      </c>
      <c r="R232" s="100"/>
      <c r="S232" s="114">
        <f>L232-Q232</f>
        <v>12995.240000000005</v>
      </c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0.399999999999999">
      <c r="B233" s="11"/>
      <c r="C233" s="29"/>
      <c r="D233" s="81"/>
      <c r="E233" s="13"/>
      <c r="F233" s="59"/>
      <c r="G233" s="83"/>
      <c r="H233" s="13"/>
      <c r="I233" s="59"/>
      <c r="J233" s="41"/>
      <c r="K233" s="13"/>
      <c r="L233" s="59"/>
      <c r="M233" s="41"/>
      <c r="N233" s="59"/>
      <c r="O233" s="41"/>
      <c r="P233" s="13"/>
      <c r="Q233" s="59"/>
      <c r="R233" s="41"/>
      <c r="S233" s="85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.6" thickBot="1">
      <c r="B234" s="11"/>
      <c r="C234" s="124" t="s">
        <v>69</v>
      </c>
      <c r="D234" s="151"/>
      <c r="E234" s="125"/>
      <c r="F234" s="127">
        <f>F195-F232</f>
        <v>34079.231381126941</v>
      </c>
      <c r="G234" s="152"/>
      <c r="H234" s="125"/>
      <c r="I234" s="127"/>
      <c r="J234" s="153"/>
      <c r="K234" s="126"/>
      <c r="L234" s="127">
        <f>L195-L232</f>
        <v>34404.069999999992</v>
      </c>
      <c r="M234" s="153"/>
      <c r="N234" s="127">
        <f>L234-F234</f>
        <v>324.83861887305102</v>
      </c>
      <c r="O234" s="153"/>
      <c r="P234" s="126"/>
      <c r="Q234" s="127">
        <f>Q195-Q232</f>
        <v>27699.539999999892</v>
      </c>
      <c r="R234" s="153"/>
      <c r="S234" s="129">
        <f>L234-Q234</f>
        <v>6704.5300000001007</v>
      </c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1" thickTop="1">
      <c r="B235" s="11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13"/>
      <c r="O235" s="82"/>
      <c r="P235" s="13"/>
      <c r="Q235" s="82"/>
      <c r="R235" s="13"/>
      <c r="S235" s="13"/>
      <c r="T235" s="13"/>
      <c r="U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20.399999999999999">
      <c r="B236" s="11"/>
      <c r="C236" s="10"/>
      <c r="D236" s="10"/>
      <c r="E236" s="10"/>
      <c r="F236" s="10"/>
      <c r="G236" s="10"/>
      <c r="H236" s="10"/>
      <c r="I236" s="10"/>
      <c r="J236" s="10"/>
      <c r="K236" s="10"/>
      <c r="L236" s="154"/>
      <c r="M236" s="154"/>
      <c r="N236" s="10"/>
      <c r="O236" s="154"/>
      <c r="P236" s="10"/>
      <c r="Q236" s="154"/>
      <c r="R236" s="10"/>
      <c r="S236" s="10"/>
      <c r="T236" s="10"/>
      <c r="U236" s="1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35.4" hidden="1">
      <c r="B237" s="11"/>
      <c r="C237" s="6" t="str">
        <f>C1</f>
        <v>BMW Sherbrooke</v>
      </c>
      <c r="D237" s="2"/>
      <c r="E237" s="2"/>
      <c r="F237" s="2"/>
      <c r="G237" s="2"/>
      <c r="H237" s="1"/>
      <c r="I237" s="1"/>
      <c r="J237" s="1"/>
      <c r="K237" s="3" t="s">
        <v>94</v>
      </c>
      <c r="L237" s="2"/>
      <c r="M237" s="2"/>
      <c r="N237" s="1"/>
      <c r="O237" s="1"/>
      <c r="P237" s="2"/>
      <c r="Q237" s="1"/>
      <c r="R237" s="2"/>
      <c r="S237" s="5" t="str">
        <f>$S$1</f>
        <v>Réalisé, Juillet 2026</v>
      </c>
      <c r="T237" s="2"/>
      <c r="U237" s="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35.4" hidden="1">
      <c r="B238" s="11"/>
      <c r="C238" s="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21.6" hidden="1" thickTop="1">
      <c r="B239" s="11"/>
      <c r="C239" s="12"/>
      <c r="D239" s="506" t="s">
        <v>5</v>
      </c>
      <c r="E239" s="507"/>
      <c r="F239" s="508"/>
      <c r="G239" s="509"/>
      <c r="H239" s="507"/>
      <c r="I239" s="508"/>
      <c r="J239" s="509" t="s">
        <v>7</v>
      </c>
      <c r="K239" s="507"/>
      <c r="L239" s="508"/>
      <c r="M239" s="509" t="s">
        <v>212</v>
      </c>
      <c r="N239" s="508"/>
      <c r="O239" s="506" t="s">
        <v>8</v>
      </c>
      <c r="P239" s="507"/>
      <c r="Q239" s="508"/>
      <c r="R239" s="504" t="s">
        <v>213</v>
      </c>
      <c r="S239" s="505"/>
      <c r="T239" s="148"/>
      <c r="U239" s="13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20.399999999999999" hidden="1">
      <c r="A240" t="str">
        <f t="shared" ref="A240:A273" si="56">+B240&amp;C240</f>
        <v>Carrosserie</v>
      </c>
      <c r="B240" s="11" t="s">
        <v>94</v>
      </c>
      <c r="C240" s="29"/>
      <c r="D240" s="80" t="s">
        <v>39</v>
      </c>
      <c r="E240" s="80" t="s">
        <v>79</v>
      </c>
      <c r="F240" s="134" t="s">
        <v>12</v>
      </c>
      <c r="G240" s="135"/>
      <c r="H240" s="80"/>
      <c r="I240" s="134"/>
      <c r="J240" s="135" t="s">
        <v>39</v>
      </c>
      <c r="K240" s="80" t="s">
        <v>79</v>
      </c>
      <c r="L240" s="134" t="s">
        <v>12</v>
      </c>
      <c r="M240" s="135" t="s">
        <v>39</v>
      </c>
      <c r="N240" s="134" t="s">
        <v>216</v>
      </c>
      <c r="O240" s="80" t="s">
        <v>39</v>
      </c>
      <c r="P240" s="80" t="s">
        <v>79</v>
      </c>
      <c r="Q240" s="134" t="s">
        <v>12</v>
      </c>
      <c r="R240" s="135" t="s">
        <v>80</v>
      </c>
      <c r="S240" s="136" t="s">
        <v>12</v>
      </c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 hidden="1">
      <c r="A241" t="str">
        <f t="shared" si="56"/>
        <v>Carrosserie</v>
      </c>
      <c r="B241" s="11" t="s">
        <v>94</v>
      </c>
      <c r="C241" s="29"/>
      <c r="D241" s="80"/>
      <c r="E241" s="80"/>
      <c r="F241" s="134"/>
      <c r="G241" s="135"/>
      <c r="H241" s="80"/>
      <c r="I241" s="134"/>
      <c r="J241" s="135"/>
      <c r="K241" s="30"/>
      <c r="L241" s="33"/>
      <c r="M241" s="135"/>
      <c r="N241" s="134"/>
      <c r="O241" s="80"/>
      <c r="P241" s="80"/>
      <c r="Q241" s="134"/>
      <c r="R241" s="135"/>
      <c r="S241" s="136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 hidden="1">
      <c r="A242" t="str">
        <f t="shared" si="56"/>
        <v>CarrosserieM/O Sous-traitement</v>
      </c>
      <c r="B242" s="11" t="s">
        <v>94</v>
      </c>
      <c r="C242" s="29" t="s">
        <v>95</v>
      </c>
      <c r="D242" s="80">
        <v>0</v>
      </c>
      <c r="E242" s="82">
        <v>0</v>
      </c>
      <c r="F242" s="82">
        <v>0</v>
      </c>
      <c r="G242" s="155"/>
      <c r="H242" s="82"/>
      <c r="I242" s="82"/>
      <c r="J242" s="60">
        <v>0</v>
      </c>
      <c r="K242" s="30">
        <v>0</v>
      </c>
      <c r="L242" s="33">
        <v>0</v>
      </c>
      <c r="M242" s="156">
        <f>IFERROR((K242-E242)/E242,0)</f>
        <v>0</v>
      </c>
      <c r="N242" s="59">
        <f>L242-F242</f>
        <v>0</v>
      </c>
      <c r="O242" s="60">
        <v>1</v>
      </c>
      <c r="P242" s="30">
        <v>0</v>
      </c>
      <c r="Q242" s="33">
        <v>0</v>
      </c>
      <c r="R242" s="156">
        <f>IF(O242=0,0,J242/O242)</f>
        <v>0</v>
      </c>
      <c r="S242" s="85">
        <f>L242-Q242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 hidden="1">
      <c r="A243" t="str">
        <f t="shared" si="56"/>
        <v>Carrosserie% profit / ventes</v>
      </c>
      <c r="B243" s="11" t="s">
        <v>94</v>
      </c>
      <c r="C243" s="29" t="s">
        <v>82</v>
      </c>
      <c r="D243" s="80"/>
      <c r="E243" s="143"/>
      <c r="F243" s="157">
        <f>IFERROR(F242/E242,0)</f>
        <v>0</v>
      </c>
      <c r="G243" s="41"/>
      <c r="H243" s="143"/>
      <c r="I243" s="157"/>
      <c r="J243" s="60"/>
      <c r="K243" s="13"/>
      <c r="L243" s="157">
        <f>IFERROR(L242/K242,0)</f>
        <v>0</v>
      </c>
      <c r="M243" s="156"/>
      <c r="N243" s="465">
        <f>IFERROR(N242/M242,0)</f>
        <v>0</v>
      </c>
      <c r="O243" s="60"/>
      <c r="P243" s="13"/>
      <c r="Q243" s="157">
        <f>IFERROR(Q242/P242,0)</f>
        <v>0</v>
      </c>
      <c r="R243" s="60"/>
      <c r="S243" s="85">
        <f>IFERROR(S242/R242,0)</f>
        <v>0</v>
      </c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 hidden="1">
      <c r="A244" t="str">
        <f t="shared" si="56"/>
        <v>Carrosserie</v>
      </c>
      <c r="B244" s="11" t="s">
        <v>94</v>
      </c>
      <c r="C244" s="29"/>
      <c r="D244" s="80"/>
      <c r="E244" s="206"/>
      <c r="F244" s="466"/>
      <c r="G244" s="135"/>
      <c r="H244" s="206"/>
      <c r="I244" s="466"/>
      <c r="J244" s="135"/>
      <c r="K244" s="80"/>
      <c r="L244" s="134"/>
      <c r="M244" s="135"/>
      <c r="N244" s="134"/>
      <c r="O244" s="135"/>
      <c r="P244" s="80"/>
      <c r="Q244" s="134"/>
      <c r="R244" s="207"/>
      <c r="S244" s="136"/>
      <c r="T244" s="80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 hidden="1">
      <c r="A245" t="str">
        <f t="shared" si="56"/>
        <v>CarrosserieM/O Carrosserie</v>
      </c>
      <c r="B245" s="11" t="s">
        <v>94</v>
      </c>
      <c r="C245" s="14" t="s">
        <v>96</v>
      </c>
      <c r="D245" s="105">
        <v>0</v>
      </c>
      <c r="E245" s="82">
        <v>0</v>
      </c>
      <c r="F245" s="82">
        <v>0</v>
      </c>
      <c r="G245" s="208"/>
      <c r="H245" s="82"/>
      <c r="I245" s="82"/>
      <c r="J245" s="163">
        <v>0</v>
      </c>
      <c r="K245" s="164">
        <v>0</v>
      </c>
      <c r="L245" s="108">
        <v>0</v>
      </c>
      <c r="M245" s="172">
        <f>IFERROR((K245-E245)/E245,0)</f>
        <v>0</v>
      </c>
      <c r="N245" s="109">
        <f>L245-F245</f>
        <v>0</v>
      </c>
      <c r="O245" s="163">
        <v>0</v>
      </c>
      <c r="P245" s="164">
        <v>0</v>
      </c>
      <c r="Q245" s="108">
        <v>0</v>
      </c>
      <c r="R245" s="156">
        <f>IF(O245=0,0,J245/O245)</f>
        <v>0</v>
      </c>
      <c r="S245" s="110">
        <f>L245-Q245</f>
        <v>0</v>
      </c>
      <c r="T245" s="147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 hidden="1">
      <c r="A246" t="str">
        <f t="shared" si="56"/>
        <v>Carrosserie% profit / ventes</v>
      </c>
      <c r="B246" s="11" t="s">
        <v>94</v>
      </c>
      <c r="C246" s="29" t="s">
        <v>82</v>
      </c>
      <c r="D246" s="13"/>
      <c r="E246" s="143"/>
      <c r="F246" s="157" t="e">
        <f>F245/E245</f>
        <v>#DIV/0!</v>
      </c>
      <c r="G246" s="41"/>
      <c r="H246" s="143"/>
      <c r="I246" s="157"/>
      <c r="J246" s="60"/>
      <c r="K246" s="13"/>
      <c r="L246" s="157">
        <f>IFERROR(L245/K245,0)</f>
        <v>0</v>
      </c>
      <c r="M246" s="156"/>
      <c r="N246" s="59">
        <f>IFERROR(N245/F245,0)</f>
        <v>0</v>
      </c>
      <c r="O246" s="60"/>
      <c r="P246" s="13"/>
      <c r="Q246" s="157">
        <f>IFERROR(Q245/P245,0)</f>
        <v>0</v>
      </c>
      <c r="R246" s="60"/>
      <c r="S246" s="85">
        <f>IF(Q245=0,0,S245/Q245)</f>
        <v>0</v>
      </c>
      <c r="T246" s="147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 hidden="1">
      <c r="A247" t="str">
        <f t="shared" si="56"/>
        <v>Carrosserie</v>
      </c>
      <c r="B247" s="11" t="s">
        <v>94</v>
      </c>
      <c r="C247" s="86"/>
      <c r="D247" s="111"/>
      <c r="E247" s="158"/>
      <c r="F247" s="159"/>
      <c r="G247" s="23"/>
      <c r="H247" s="169"/>
      <c r="I247" s="159"/>
      <c r="J247" s="160"/>
      <c r="K247" s="209"/>
      <c r="L247" s="159"/>
      <c r="M247" s="161"/>
      <c r="N247" s="91"/>
      <c r="O247" s="160"/>
      <c r="P247" s="209"/>
      <c r="Q247" s="159"/>
      <c r="R247" s="160"/>
      <c r="S247" s="92"/>
      <c r="T247" s="147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399999999999999" hidden="1">
      <c r="A248" t="str">
        <f t="shared" si="56"/>
        <v>CarrosserieM/O Esthétique Carr.</v>
      </c>
      <c r="B248" s="11" t="s">
        <v>94</v>
      </c>
      <c r="C248" s="14" t="s">
        <v>97</v>
      </c>
      <c r="D248" s="162">
        <v>0</v>
      </c>
      <c r="E248" s="82">
        <v>0</v>
      </c>
      <c r="F248" s="82">
        <v>0</v>
      </c>
      <c r="G248" s="163"/>
      <c r="H248" s="82"/>
      <c r="I248" s="82"/>
      <c r="J248" s="163">
        <v>0</v>
      </c>
      <c r="K248" s="30">
        <v>0</v>
      </c>
      <c r="L248" s="33">
        <v>0</v>
      </c>
      <c r="M248" s="156">
        <f>IFERROR((K248-E248)/E248,0)</f>
        <v>0</v>
      </c>
      <c r="N248" s="109">
        <f>L248-F248</f>
        <v>0</v>
      </c>
      <c r="O248" s="163">
        <v>0</v>
      </c>
      <c r="P248" s="30">
        <v>0</v>
      </c>
      <c r="Q248" s="33">
        <v>0</v>
      </c>
      <c r="R248" s="156">
        <f>IF(O248=0,0,J248/O248)</f>
        <v>0</v>
      </c>
      <c r="S248" s="85">
        <f>L248-Q248</f>
        <v>0</v>
      </c>
      <c r="T248" s="147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hidden="1">
      <c r="A249" t="str">
        <f t="shared" si="56"/>
        <v>Carrosserie% profit / ventes</v>
      </c>
      <c r="B249" s="11" t="s">
        <v>94</v>
      </c>
      <c r="C249" s="29" t="s">
        <v>82</v>
      </c>
      <c r="D249" s="13"/>
      <c r="E249" s="13"/>
      <c r="F249" s="157" t="e">
        <f>F248/E248</f>
        <v>#DIV/0!</v>
      </c>
      <c r="G249" s="41"/>
      <c r="H249" s="13"/>
      <c r="I249" s="157"/>
      <c r="J249" s="41"/>
      <c r="K249" s="13"/>
      <c r="L249" s="157">
        <f>IFERROR(L248/K248,0)</f>
        <v>0</v>
      </c>
      <c r="M249" s="42"/>
      <c r="N249" s="43">
        <f>IF(L248=0,0,N248/L248)</f>
        <v>0</v>
      </c>
      <c r="O249" s="41"/>
      <c r="P249" s="13"/>
      <c r="Q249" s="157">
        <f>IFERROR(Q248/P248,0)</f>
        <v>0</v>
      </c>
      <c r="R249" s="42"/>
      <c r="S249" s="44">
        <f>IF(Q248=0,0,S248/Q248)</f>
        <v>0</v>
      </c>
      <c r="T249" s="147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hidden="1">
      <c r="A250" t="str">
        <f t="shared" si="56"/>
        <v>Carrosserie</v>
      </c>
      <c r="B250" s="11" t="s">
        <v>94</v>
      </c>
      <c r="C250" s="29"/>
      <c r="D250" s="13"/>
      <c r="E250" s="13"/>
      <c r="F250" s="157"/>
      <c r="G250" s="41"/>
      <c r="H250" s="13"/>
      <c r="I250" s="157"/>
      <c r="J250" s="41"/>
      <c r="K250" s="13"/>
      <c r="L250" s="157"/>
      <c r="M250" s="42"/>
      <c r="N250" s="43"/>
      <c r="O250" s="41"/>
      <c r="P250" s="13"/>
      <c r="Q250" s="157"/>
      <c r="R250" s="42"/>
      <c r="S250" s="44"/>
      <c r="T250" s="147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hidden="1" thickTop="1">
      <c r="A251" t="str">
        <f t="shared" si="56"/>
        <v>CarrosserieTotal Mécanique</v>
      </c>
      <c r="B251" s="11" t="s">
        <v>94</v>
      </c>
      <c r="C251" s="62" t="s">
        <v>91</v>
      </c>
      <c r="D251" s="63"/>
      <c r="E251" s="63">
        <f>E245+E248+E242</f>
        <v>0</v>
      </c>
      <c r="F251" s="65">
        <f>F245+F248+F242</f>
        <v>0</v>
      </c>
      <c r="G251" s="66"/>
      <c r="H251" s="63"/>
      <c r="I251" s="65"/>
      <c r="J251" s="66"/>
      <c r="K251" s="63">
        <f>K245+K248+K242</f>
        <v>0</v>
      </c>
      <c r="L251" s="65">
        <f>L245+L248+L242</f>
        <v>0</v>
      </c>
      <c r="M251" s="205" t="e">
        <f>L252-F252</f>
        <v>#DIV/0!</v>
      </c>
      <c r="N251" s="65">
        <f>L251-F251</f>
        <v>0</v>
      </c>
      <c r="O251" s="66"/>
      <c r="P251" s="63">
        <f t="shared" ref="P251:Q251" si="57">P245+P248+P242</f>
        <v>0</v>
      </c>
      <c r="Q251" s="65">
        <f t="shared" si="57"/>
        <v>0</v>
      </c>
      <c r="R251" s="205" t="e">
        <f>L252-Q252</f>
        <v>#DIV/0!</v>
      </c>
      <c r="S251" s="68">
        <f>L251-Q251</f>
        <v>0</v>
      </c>
      <c r="T251" s="147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.6" hidden="1" thickBot="1">
      <c r="A252" t="str">
        <f t="shared" si="56"/>
        <v>Carrosserie</v>
      </c>
      <c r="B252" s="11" t="s">
        <v>94</v>
      </c>
      <c r="C252" s="69"/>
      <c r="D252" s="70"/>
      <c r="E252" s="70"/>
      <c r="F252" s="74" t="e">
        <f>F251/E251</f>
        <v>#DIV/0!</v>
      </c>
      <c r="G252" s="72"/>
      <c r="H252" s="70"/>
      <c r="I252" s="74"/>
      <c r="J252" s="72"/>
      <c r="K252" s="70"/>
      <c r="L252" s="74">
        <f>IF(K251=0,0,L251/K251)</f>
        <v>0</v>
      </c>
      <c r="M252" s="73"/>
      <c r="N252" s="74" t="e">
        <f>N251/F251</f>
        <v>#DIV/0!</v>
      </c>
      <c r="O252" s="72"/>
      <c r="P252" s="70"/>
      <c r="Q252" s="74" t="e">
        <f>Q251/P251</f>
        <v>#DIV/0!</v>
      </c>
      <c r="R252" s="73"/>
      <c r="S252" s="75" t="e">
        <f>IF(R251=0,0,S251/R251)</f>
        <v>#DIV/0!</v>
      </c>
      <c r="T252" s="147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399999999999999" hidden="1">
      <c r="A253" t="str">
        <f t="shared" si="56"/>
        <v>Carrosserie</v>
      </c>
      <c r="B253" s="11" t="s">
        <v>94</v>
      </c>
      <c r="C253" s="2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1" hidden="1">
      <c r="A254" t="str">
        <f t="shared" si="56"/>
        <v>CarrosserieDEPENSES</v>
      </c>
      <c r="B254" s="11" t="s">
        <v>94</v>
      </c>
      <c r="C254" s="79" t="s">
        <v>29</v>
      </c>
      <c r="D254" s="13"/>
      <c r="E254" s="13"/>
      <c r="F254" s="59"/>
      <c r="G254" s="41"/>
      <c r="H254" s="13"/>
      <c r="I254" s="59"/>
      <c r="J254" s="41"/>
      <c r="K254" s="13"/>
      <c r="L254" s="40"/>
      <c r="M254" s="41"/>
      <c r="N254" s="40"/>
      <c r="O254" s="41"/>
      <c r="P254" s="13"/>
      <c r="Q254" s="40"/>
      <c r="R254" s="41"/>
      <c r="S254" s="61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 hidden="1">
      <c r="A255" t="str">
        <f t="shared" si="56"/>
        <v>CarrosserieSalaires cadres</v>
      </c>
      <c r="B255" s="11" t="s">
        <v>94</v>
      </c>
      <c r="C255" s="102" t="s">
        <v>40</v>
      </c>
      <c r="D255" s="13"/>
      <c r="E255" s="13"/>
      <c r="F255" s="30">
        <v>0</v>
      </c>
      <c r="G255" s="41"/>
      <c r="H255" s="13"/>
      <c r="I255" s="30"/>
      <c r="J255" s="41"/>
      <c r="K255" s="13"/>
      <c r="L255" s="33">
        <v>0</v>
      </c>
      <c r="M255" s="41"/>
      <c r="N255" s="59">
        <f t="shared" ref="N255:N285" si="58">L255-F255</f>
        <v>0</v>
      </c>
      <c r="O255" s="41"/>
      <c r="P255" s="13"/>
      <c r="Q255" s="33">
        <v>0</v>
      </c>
      <c r="R255" s="41"/>
      <c r="S255" s="85">
        <f t="shared" ref="S255" si="59">L255-Q255</f>
        <v>0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 hidden="1">
      <c r="A256" t="str">
        <f t="shared" si="56"/>
        <v>CarrosserieSalaires commis</v>
      </c>
      <c r="B256" s="11" t="s">
        <v>94</v>
      </c>
      <c r="C256" s="103" t="s">
        <v>41</v>
      </c>
      <c r="D256" s="81"/>
      <c r="E256" s="13"/>
      <c r="F256" s="22">
        <v>0</v>
      </c>
      <c r="G256" s="83"/>
      <c r="H256" s="13"/>
      <c r="I256" s="22"/>
      <c r="J256" s="41"/>
      <c r="K256" s="13"/>
      <c r="L256" s="33">
        <v>0</v>
      </c>
      <c r="M256" s="41"/>
      <c r="N256" s="59">
        <f t="shared" si="58"/>
        <v>0</v>
      </c>
      <c r="O256" s="41"/>
      <c r="P256" s="13"/>
      <c r="Q256" s="33">
        <v>0</v>
      </c>
      <c r="R256" s="41"/>
      <c r="S256" s="85">
        <f>L256-Q256</f>
        <v>0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 hidden="1">
      <c r="A257" t="str">
        <f t="shared" si="56"/>
        <v>CarrosserieSalaires autres</v>
      </c>
      <c r="B257" s="11" t="s">
        <v>94</v>
      </c>
      <c r="C257" s="102" t="s">
        <v>42</v>
      </c>
      <c r="D257" s="104"/>
      <c r="E257" s="105"/>
      <c r="F257" s="30">
        <v>0</v>
      </c>
      <c r="G257" s="106"/>
      <c r="H257" s="105"/>
      <c r="I257" s="30"/>
      <c r="J257" s="107"/>
      <c r="K257" s="105"/>
      <c r="L257" s="108">
        <v>0</v>
      </c>
      <c r="M257" s="107"/>
      <c r="N257" s="109">
        <f t="shared" si="58"/>
        <v>0</v>
      </c>
      <c r="O257" s="107"/>
      <c r="P257" s="105"/>
      <c r="Q257" s="108">
        <v>0</v>
      </c>
      <c r="R257" s="107"/>
      <c r="S257" s="110">
        <f t="shared" ref="S257:S273" si="60">L257-Q257</f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56"/>
        <v>CarrosserieSalaires spécialistes</v>
      </c>
      <c r="B258" s="11" t="s">
        <v>94</v>
      </c>
      <c r="C258" s="102" t="s">
        <v>43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 hidden="1">
      <c r="A261" t="str">
        <f t="shared" si="56"/>
        <v>Carrosserie[...]</v>
      </c>
      <c r="B261" s="11" t="s">
        <v>94</v>
      </c>
      <c r="C261" s="29" t="s">
        <v>19</v>
      </c>
      <c r="D261" s="81"/>
      <c r="E261" s="13"/>
      <c r="F261" s="30">
        <v>0</v>
      </c>
      <c r="G261" s="83"/>
      <c r="H261" s="13"/>
      <c r="I261" s="30"/>
      <c r="J261" s="41"/>
      <c r="K261" s="13"/>
      <c r="L261" s="33">
        <v>0</v>
      </c>
      <c r="M261" s="41"/>
      <c r="N261" s="59">
        <f t="shared" si="58"/>
        <v>0</v>
      </c>
      <c r="O261" s="41"/>
      <c r="P261" s="13"/>
      <c r="Q261" s="33">
        <v>0</v>
      </c>
      <c r="R261" s="41"/>
      <c r="S261" s="85">
        <f t="shared" si="60"/>
        <v>0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 hidden="1">
      <c r="A262" t="str">
        <f t="shared" si="56"/>
        <v>CarrosserieSalaires en absences</v>
      </c>
      <c r="B262" s="11" t="s">
        <v>94</v>
      </c>
      <c r="C262" s="103" t="s">
        <v>44</v>
      </c>
      <c r="D262" s="81"/>
      <c r="E262" s="13"/>
      <c r="F262" s="22">
        <v>0</v>
      </c>
      <c r="G262" s="83"/>
      <c r="H262" s="13"/>
      <c r="I262" s="22"/>
      <c r="J262" s="41"/>
      <c r="K262" s="13"/>
      <c r="L262" s="33">
        <v>0</v>
      </c>
      <c r="M262" s="41"/>
      <c r="N262" s="59">
        <f t="shared" si="58"/>
        <v>0</v>
      </c>
      <c r="O262" s="41"/>
      <c r="P262" s="13"/>
      <c r="Q262" s="33">
        <v>0</v>
      </c>
      <c r="R262" s="41"/>
      <c r="S262" s="85">
        <f t="shared" si="60"/>
        <v>0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 hidden="1">
      <c r="A263" t="str">
        <f t="shared" si="56"/>
        <v>CarrosserieDéduction à la source</v>
      </c>
      <c r="B263" s="11" t="s">
        <v>94</v>
      </c>
      <c r="C263" s="102" t="s">
        <v>45</v>
      </c>
      <c r="D263" s="104"/>
      <c r="E263" s="105"/>
      <c r="F263" s="30">
        <v>0</v>
      </c>
      <c r="G263" s="106"/>
      <c r="H263" s="105"/>
      <c r="I263" s="30"/>
      <c r="J263" s="107"/>
      <c r="K263" s="105"/>
      <c r="L263" s="108">
        <v>0</v>
      </c>
      <c r="M263" s="107"/>
      <c r="N263" s="109">
        <f t="shared" si="58"/>
        <v>0</v>
      </c>
      <c r="O263" s="107"/>
      <c r="P263" s="105"/>
      <c r="Q263" s="108">
        <v>0</v>
      </c>
      <c r="R263" s="107"/>
      <c r="S263" s="110">
        <f t="shared" si="60"/>
        <v>0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 hidden="1">
      <c r="A264" t="str">
        <f t="shared" si="56"/>
        <v>CarrosserieBénéfices marginaux</v>
      </c>
      <c r="B264" s="11" t="s">
        <v>94</v>
      </c>
      <c r="C264" s="102" t="s">
        <v>46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1"/>
      <c r="N264" s="59">
        <f t="shared" si="58"/>
        <v>0</v>
      </c>
      <c r="O264" s="41"/>
      <c r="P264" s="13"/>
      <c r="Q264" s="33">
        <v>0</v>
      </c>
      <c r="R264" s="41"/>
      <c r="S264" s="85">
        <f t="shared" si="60"/>
        <v>0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56"/>
        <v>CarrosserieCsst</v>
      </c>
      <c r="B265" s="11" t="s">
        <v>94</v>
      </c>
      <c r="C265" s="102" t="s">
        <v>47</v>
      </c>
      <c r="D265" s="81"/>
      <c r="E265" s="13"/>
      <c r="F265" s="30">
        <v>0</v>
      </c>
      <c r="G265" s="83"/>
      <c r="H265" s="13"/>
      <c r="I265" s="30"/>
      <c r="J265" s="41"/>
      <c r="K265" s="13"/>
      <c r="L265" s="33">
        <v>0</v>
      </c>
      <c r="M265" s="462"/>
      <c r="N265" s="145">
        <f t="shared" si="58"/>
        <v>0</v>
      </c>
      <c r="O265" s="41"/>
      <c r="P265" s="13"/>
      <c r="Q265" s="33">
        <v>0</v>
      </c>
      <c r="R265" s="41"/>
      <c r="S265" s="85">
        <f t="shared" si="60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399999999999999" hidden="1">
      <c r="A266" t="str">
        <f t="shared" si="56"/>
        <v>Carrosserie[...]</v>
      </c>
      <c r="B266" s="11" t="s">
        <v>94</v>
      </c>
      <c r="C266" s="29" t="s">
        <v>19</v>
      </c>
      <c r="D266" s="87"/>
      <c r="E266" s="111"/>
      <c r="F266" s="30">
        <v>0</v>
      </c>
      <c r="G266" s="89"/>
      <c r="H266" s="111"/>
      <c r="I266" s="30"/>
      <c r="J266" s="23"/>
      <c r="K266" s="111"/>
      <c r="L266" s="33">
        <v>0</v>
      </c>
      <c r="M266" s="23"/>
      <c r="N266" s="91">
        <f t="shared" si="58"/>
        <v>0</v>
      </c>
      <c r="O266" s="23"/>
      <c r="P266" s="111"/>
      <c r="Q266" s="33">
        <v>0</v>
      </c>
      <c r="R266" s="23"/>
      <c r="S266" s="92">
        <f t="shared" si="60"/>
        <v>0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1" hidden="1">
      <c r="A267" t="str">
        <f t="shared" si="56"/>
        <v>CarrosserieTOTAL PERSONNEL</v>
      </c>
      <c r="B267" s="11" t="s">
        <v>94</v>
      </c>
      <c r="C267" s="93" t="s">
        <v>48</v>
      </c>
      <c r="D267" s="94" t="s">
        <v>38</v>
      </c>
      <c r="E267" s="95" t="e">
        <f>F267/F$245</f>
        <v>#DIV/0!</v>
      </c>
      <c r="F267" s="96">
        <f>+SUM(F255:F266)</f>
        <v>0</v>
      </c>
      <c r="G267" s="97"/>
      <c r="H267" s="95"/>
      <c r="I267" s="96"/>
      <c r="J267" s="97" t="s">
        <v>38</v>
      </c>
      <c r="K267" s="95">
        <f>IF(L245=0,0,L267/L$245)</f>
        <v>0</v>
      </c>
      <c r="L267" s="96">
        <f>+SUM(L255:L266)</f>
        <v>0</v>
      </c>
      <c r="M267" s="146"/>
      <c r="N267" s="113">
        <f t="shared" si="58"/>
        <v>0</v>
      </c>
      <c r="O267" s="97" t="s">
        <v>38</v>
      </c>
      <c r="P267" s="95">
        <f>IF(Q245=0,0,Q267/Q$245)</f>
        <v>0</v>
      </c>
      <c r="Q267" s="96">
        <f>+SUM(Q255:Q266)</f>
        <v>0</v>
      </c>
      <c r="R267" s="146"/>
      <c r="S267" s="114">
        <f t="shared" si="60"/>
        <v>0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 hidden="1">
      <c r="A268" t="str">
        <f t="shared" si="56"/>
        <v>CarrosseriePublicité 2</v>
      </c>
      <c r="B268" s="11" t="s">
        <v>94</v>
      </c>
      <c r="C268" s="210" t="s">
        <v>49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0</v>
      </c>
      <c r="R268" s="41"/>
      <c r="S268" s="85">
        <f t="shared" si="60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 hidden="1">
      <c r="A269" t="str">
        <f t="shared" si="56"/>
        <v>CarrosserieService gratuit 2</v>
      </c>
      <c r="B269" s="11" t="s">
        <v>94</v>
      </c>
      <c r="C269" s="102" t="s">
        <v>50</v>
      </c>
      <c r="D269" s="81"/>
      <c r="E269" s="13"/>
      <c r="F269" s="30">
        <v>0</v>
      </c>
      <c r="G269" s="83"/>
      <c r="H269" s="13"/>
      <c r="I269" s="30"/>
      <c r="J269" s="41"/>
      <c r="K269" s="13"/>
      <c r="L269" s="33">
        <v>0</v>
      </c>
      <c r="M269" s="41"/>
      <c r="N269" s="59">
        <f t="shared" si="58"/>
        <v>0</v>
      </c>
      <c r="O269" s="41"/>
      <c r="P269" s="13"/>
      <c r="Q269" s="33">
        <v>0</v>
      </c>
      <c r="R269" s="41"/>
      <c r="S269" s="85">
        <f t="shared" si="60"/>
        <v>0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 hidden="1">
      <c r="A270" t="str">
        <f t="shared" si="56"/>
        <v>CarrosserieFrais véhicules de cie</v>
      </c>
      <c r="B270" s="11" t="s">
        <v>94</v>
      </c>
      <c r="C270" s="103" t="s">
        <v>51</v>
      </c>
      <c r="D270" s="87"/>
      <c r="E270" s="111"/>
      <c r="F270" s="22">
        <v>0</v>
      </c>
      <c r="G270" s="89"/>
      <c r="H270" s="111"/>
      <c r="I270" s="22"/>
      <c r="J270" s="23"/>
      <c r="K270" s="111"/>
      <c r="L270" s="33">
        <v>0</v>
      </c>
      <c r="M270" s="23"/>
      <c r="N270" s="91">
        <f t="shared" si="58"/>
        <v>0</v>
      </c>
      <c r="O270" s="23"/>
      <c r="P270" s="111"/>
      <c r="Q270" s="33">
        <v>0</v>
      </c>
      <c r="R270" s="23"/>
      <c r="S270" s="92">
        <f t="shared" si="60"/>
        <v>0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 hidden="1">
      <c r="A271" t="str">
        <f t="shared" si="56"/>
        <v>CarrosserieInformatique</v>
      </c>
      <c r="B271" s="11" t="s">
        <v>94</v>
      </c>
      <c r="C271" s="102" t="s">
        <v>52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108">
        <v>0</v>
      </c>
      <c r="M271" s="41"/>
      <c r="N271" s="59">
        <f t="shared" si="58"/>
        <v>0</v>
      </c>
      <c r="O271" s="41"/>
      <c r="P271" s="13"/>
      <c r="Q271" s="108">
        <v>0</v>
      </c>
      <c r="R271" s="41"/>
      <c r="S271" s="85">
        <f t="shared" si="60"/>
        <v>0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 hidden="1">
      <c r="A272" t="str">
        <f t="shared" si="56"/>
        <v>CarrosserieFrais de déplacement</v>
      </c>
      <c r="B272" s="11" t="s">
        <v>94</v>
      </c>
      <c r="C272" s="102" t="s">
        <v>53</v>
      </c>
      <c r="D272" s="81"/>
      <c r="E272" s="13"/>
      <c r="F272" s="30">
        <v>0</v>
      </c>
      <c r="G272" s="83"/>
      <c r="H272" s="13"/>
      <c r="I272" s="30"/>
      <c r="J272" s="41"/>
      <c r="K272" s="13"/>
      <c r="L272" s="33">
        <v>0</v>
      </c>
      <c r="M272" s="41"/>
      <c r="N272" s="59">
        <f t="shared" si="58"/>
        <v>0</v>
      </c>
      <c r="O272" s="41"/>
      <c r="P272" s="13"/>
      <c r="Q272" s="33">
        <v>0</v>
      </c>
      <c r="R272" s="41"/>
      <c r="S272" s="85">
        <f t="shared" si="60"/>
        <v>0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 hidden="1">
      <c r="A273" t="str">
        <f t="shared" si="56"/>
        <v>CarrosserieServices extérieurs</v>
      </c>
      <c r="B273" s="11" t="s">
        <v>94</v>
      </c>
      <c r="C273" s="102" t="s">
        <v>54</v>
      </c>
      <c r="D273" s="87"/>
      <c r="E273" s="111"/>
      <c r="F273" s="22">
        <v>0</v>
      </c>
      <c r="G273" s="89"/>
      <c r="H273" s="111"/>
      <c r="I273" s="22"/>
      <c r="J273" s="23"/>
      <c r="K273" s="111"/>
      <c r="L273" s="33">
        <v>0</v>
      </c>
      <c r="M273" s="23"/>
      <c r="N273" s="91">
        <f t="shared" si="58"/>
        <v>0</v>
      </c>
      <c r="O273" s="23"/>
      <c r="P273" s="111"/>
      <c r="Q273" s="22">
        <v>0</v>
      </c>
      <c r="R273" s="23"/>
      <c r="S273" s="92">
        <f t="shared" si="60"/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 hidden="1">
      <c r="A274" t="str">
        <f>+B274&amp;C274</f>
        <v>CarrosserieFournitures d'atelier</v>
      </c>
      <c r="B274" s="11" t="s">
        <v>94</v>
      </c>
      <c r="C274" s="211" t="s">
        <v>93</v>
      </c>
      <c r="D274" s="81"/>
      <c r="E274" s="13"/>
      <c r="F274" s="30"/>
      <c r="G274" s="83"/>
      <c r="H274" s="13"/>
      <c r="I274" s="30"/>
      <c r="J274" s="41"/>
      <c r="K274" s="13"/>
      <c r="L274" s="55">
        <v>0</v>
      </c>
      <c r="M274" s="41"/>
      <c r="N274" s="59">
        <f t="shared" si="58"/>
        <v>0</v>
      </c>
      <c r="O274" s="41"/>
      <c r="P274" s="13"/>
      <c r="Q274" s="33">
        <v>0</v>
      </c>
      <c r="R274" s="41"/>
      <c r="S274" s="85">
        <f>L274-Q274</f>
        <v>0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 hidden="1">
      <c r="A275" t="str">
        <f t="shared" ref="A275:A283" si="61">+B275&amp;C275</f>
        <v>CarrosserieFournitures autres</v>
      </c>
      <c r="B275" s="11" t="s">
        <v>94</v>
      </c>
      <c r="C275" s="102" t="s">
        <v>55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ref="S275:S283" si="62">L275-Q275</f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 hidden="1">
      <c r="A276" t="str">
        <f t="shared" si="61"/>
        <v>CarrosserieUniformes</v>
      </c>
      <c r="B276" s="11" t="s">
        <v>94</v>
      </c>
      <c r="C276" s="102" t="s">
        <v>56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3">
        <v>0</v>
      </c>
      <c r="M276" s="41"/>
      <c r="N276" s="59">
        <f t="shared" si="58"/>
        <v>0</v>
      </c>
      <c r="O276" s="41"/>
      <c r="P276" s="13"/>
      <c r="Q276" s="33">
        <v>0</v>
      </c>
      <c r="R276" s="41"/>
      <c r="S276" s="85">
        <f t="shared" si="62"/>
        <v>0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 hidden="1">
      <c r="A277" t="str">
        <f t="shared" si="61"/>
        <v>CarrosseriePapeterie</v>
      </c>
      <c r="B277" s="11" t="s">
        <v>94</v>
      </c>
      <c r="C277" s="102" t="s">
        <v>57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2">
        <v>0</v>
      </c>
      <c r="M277" s="41"/>
      <c r="N277" s="59">
        <f t="shared" si="58"/>
        <v>0</v>
      </c>
      <c r="O277" s="41"/>
      <c r="P277" s="13"/>
      <c r="Q277" s="32">
        <v>0</v>
      </c>
      <c r="R277" s="41"/>
      <c r="S277" s="85">
        <f t="shared" si="62"/>
        <v>0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 hidden="1">
      <c r="A278" t="str">
        <f t="shared" si="61"/>
        <v>CarrosserieTéléphone</v>
      </c>
      <c r="B278" s="11" t="s">
        <v>94</v>
      </c>
      <c r="C278" s="102" t="s">
        <v>58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8"/>
        <v>0</v>
      </c>
      <c r="O278" s="41"/>
      <c r="P278" s="13"/>
      <c r="Q278" s="33">
        <v>0</v>
      </c>
      <c r="R278" s="41"/>
      <c r="S278" s="85">
        <f t="shared" si="62"/>
        <v>0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 hidden="1">
      <c r="A279" t="str">
        <f t="shared" si="61"/>
        <v>CarrosserieFrais postaux</v>
      </c>
      <c r="B279" s="11" t="s">
        <v>94</v>
      </c>
      <c r="C279" s="102" t="s">
        <v>59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8"/>
        <v>0</v>
      </c>
      <c r="O279" s="41"/>
      <c r="P279" s="13"/>
      <c r="Q279" s="33">
        <v>0</v>
      </c>
      <c r="R279" s="41"/>
      <c r="S279" s="85">
        <f t="shared" si="62"/>
        <v>0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 hidden="1">
      <c r="A280" t="str">
        <f t="shared" si="61"/>
        <v>CarrosserieDivers</v>
      </c>
      <c r="B280" s="11" t="s">
        <v>94</v>
      </c>
      <c r="C280" s="102" t="s">
        <v>60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8"/>
        <v>0</v>
      </c>
      <c r="O280" s="41"/>
      <c r="P280" s="13"/>
      <c r="Q280" s="33">
        <v>0</v>
      </c>
      <c r="R280" s="41"/>
      <c r="S280" s="85">
        <f t="shared" si="62"/>
        <v>0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 hidden="1">
      <c r="A281" t="str">
        <f t="shared" si="61"/>
        <v>CarrosserieFormation</v>
      </c>
      <c r="B281" s="11" t="s">
        <v>94</v>
      </c>
      <c r="C281" s="102" t="s">
        <v>61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8"/>
        <v>0</v>
      </c>
      <c r="O281" s="41"/>
      <c r="P281" s="13"/>
      <c r="Q281" s="33">
        <v>0</v>
      </c>
      <c r="R281" s="41"/>
      <c r="S281" s="85">
        <f t="shared" si="62"/>
        <v>0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61"/>
        <v>CarrosserieFrais bancaires</v>
      </c>
      <c r="B282" s="11" t="s">
        <v>94</v>
      </c>
      <c r="C282" s="102" t="s">
        <v>62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 t="shared" si="61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 t="shared" si="62"/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399999999999999" hidden="1">
      <c r="A285" t="str">
        <f t="shared" ref="A285" si="63">+B285&amp;C285</f>
        <v>Carrosserie[...]</v>
      </c>
      <c r="B285" s="11" t="s">
        <v>94</v>
      </c>
      <c r="C285" s="102" t="s">
        <v>19</v>
      </c>
      <c r="D285" s="81"/>
      <c r="E285" s="13"/>
      <c r="F285" s="30">
        <v>0</v>
      </c>
      <c r="G285" s="83"/>
      <c r="H285" s="13"/>
      <c r="I285" s="30"/>
      <c r="J285" s="41"/>
      <c r="K285" s="13"/>
      <c r="L285" s="33">
        <v>0</v>
      </c>
      <c r="M285" s="41"/>
      <c r="N285" s="59">
        <f t="shared" si="58"/>
        <v>0</v>
      </c>
      <c r="O285" s="41"/>
      <c r="P285" s="13"/>
      <c r="Q285" s="33">
        <v>0</v>
      </c>
      <c r="R285" s="41"/>
      <c r="S285" s="85">
        <f t="shared" ref="S285" si="64">L285-Q285</f>
        <v>0</v>
      </c>
      <c r="T285" s="13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 hidden="1">
      <c r="B286" s="11"/>
      <c r="C286" s="93" t="s">
        <v>63</v>
      </c>
      <c r="D286" s="94" t="s">
        <v>38</v>
      </c>
      <c r="E286" s="95" t="e">
        <f>F286/F$245</f>
        <v>#DIV/0!</v>
      </c>
      <c r="F286" s="96">
        <f>+SUM(F268:F285)</f>
        <v>0</v>
      </c>
      <c r="G286" s="97"/>
      <c r="H286" s="95"/>
      <c r="I286" s="96"/>
      <c r="J286" s="97" t="s">
        <v>38</v>
      </c>
      <c r="K286" s="95">
        <f>IF(L263=0,0,L286/L$245)</f>
        <v>0</v>
      </c>
      <c r="L286" s="96">
        <f>+SUM(L268:L285)</f>
        <v>0</v>
      </c>
      <c r="M286" s="100"/>
      <c r="N286" s="96">
        <f>+SUM(N268:N285)</f>
        <v>0</v>
      </c>
      <c r="O286" s="97" t="s">
        <v>38</v>
      </c>
      <c r="P286" s="95">
        <f>IF(Q$245=0,0,Q286/Q$245)</f>
        <v>0</v>
      </c>
      <c r="Q286" s="96">
        <f>+SUM(Q268:Q285)</f>
        <v>0</v>
      </c>
      <c r="R286" s="100"/>
      <c r="S286" s="101">
        <f>L286-Q286</f>
        <v>0</v>
      </c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 hidden="1">
      <c r="B287" s="11"/>
      <c r="C287" s="86"/>
      <c r="D287" s="87"/>
      <c r="E287" s="111"/>
      <c r="F287" s="59"/>
      <c r="G287" s="89"/>
      <c r="H287" s="111"/>
      <c r="I287" s="59"/>
      <c r="J287" s="23"/>
      <c r="K287" s="111"/>
      <c r="L287" s="91"/>
      <c r="M287" s="23"/>
      <c r="N287" s="91"/>
      <c r="O287" s="23"/>
      <c r="P287" s="111"/>
      <c r="Q287" s="91"/>
      <c r="R287" s="23"/>
      <c r="S287" s="92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1" hidden="1">
      <c r="B288" s="11"/>
      <c r="C288" s="93" t="s">
        <v>64</v>
      </c>
      <c r="D288" s="94" t="s">
        <v>38</v>
      </c>
      <c r="E288" s="95" t="e">
        <f>F288/F$245</f>
        <v>#DIV/0!</v>
      </c>
      <c r="F288" s="96">
        <f>F267+F286</f>
        <v>0</v>
      </c>
      <c r="G288" s="97"/>
      <c r="H288" s="95"/>
      <c r="I288" s="96"/>
      <c r="J288" s="97" t="s">
        <v>38</v>
      </c>
      <c r="K288" s="95">
        <f>IF(L265=0,0,L288/L$245)</f>
        <v>0</v>
      </c>
      <c r="L288" s="96">
        <f>L267+L286</f>
        <v>0</v>
      </c>
      <c r="M288" s="100"/>
      <c r="N288" s="113">
        <f>L288-F288</f>
        <v>0</v>
      </c>
      <c r="O288" s="97" t="s">
        <v>38</v>
      </c>
      <c r="P288" s="95">
        <f>IF(Q$245=0,0,Q288/Q$245)</f>
        <v>0</v>
      </c>
      <c r="Q288" s="96">
        <f>Q267+Q286</f>
        <v>0</v>
      </c>
      <c r="R288" s="100"/>
      <c r="S288" s="114">
        <f>L288-Q288</f>
        <v>0</v>
      </c>
      <c r="T288" s="76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0.399999999999999" hidden="1">
      <c r="B289" s="11"/>
      <c r="C289" s="29"/>
      <c r="D289" s="81"/>
      <c r="E289" s="13"/>
      <c r="F289" s="59"/>
      <c r="G289" s="83"/>
      <c r="H289" s="13"/>
      <c r="I289" s="59"/>
      <c r="J289" s="41"/>
      <c r="K289" s="13"/>
      <c r="L289" s="59"/>
      <c r="M289" s="41"/>
      <c r="N289" s="59"/>
      <c r="O289" s="41"/>
      <c r="P289" s="13"/>
      <c r="Q289" s="59"/>
      <c r="R289" s="41"/>
      <c r="S289" s="85"/>
      <c r="T289" s="13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.6" hidden="1" thickBot="1">
      <c r="B290" s="11"/>
      <c r="C290" s="124" t="s">
        <v>69</v>
      </c>
      <c r="D290" s="151"/>
      <c r="E290" s="125"/>
      <c r="F290" s="127">
        <f>F251-F288</f>
        <v>0</v>
      </c>
      <c r="G290" s="152"/>
      <c r="H290" s="125"/>
      <c r="I290" s="127"/>
      <c r="J290" s="153"/>
      <c r="K290" s="126"/>
      <c r="L290" s="127">
        <f>L251-L288</f>
        <v>0</v>
      </c>
      <c r="M290" s="153"/>
      <c r="N290" s="127">
        <f>L290-F290</f>
        <v>0</v>
      </c>
      <c r="O290" s="153"/>
      <c r="P290" s="126"/>
      <c r="Q290" s="127">
        <f>Q251-Q288</f>
        <v>0</v>
      </c>
      <c r="R290" s="153"/>
      <c r="S290" s="129">
        <f>L290-Q290</f>
        <v>0</v>
      </c>
      <c r="T290" s="76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20.399999999999999" hidden="1">
      <c r="B291" s="11"/>
      <c r="C291" s="13"/>
      <c r="D291" s="13"/>
      <c r="E291" s="13"/>
      <c r="F291" s="13"/>
      <c r="G291" s="13"/>
      <c r="H291" s="13"/>
      <c r="I291" s="13"/>
      <c r="J291" s="13"/>
      <c r="K291" s="13"/>
      <c r="L291" s="82"/>
      <c r="M291" s="13"/>
      <c r="N291" s="13"/>
      <c r="O291" s="13"/>
      <c r="P291" s="13"/>
      <c r="Q291" s="13"/>
      <c r="R291" s="13"/>
      <c r="S291" s="13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35.4">
      <c r="B292" s="11"/>
      <c r="C292" s="6" t="str">
        <f>C1</f>
        <v>BMW Sherbrooke</v>
      </c>
      <c r="D292" s="2"/>
      <c r="E292" s="2"/>
      <c r="F292" s="2"/>
      <c r="G292" s="2"/>
      <c r="H292" s="1"/>
      <c r="I292" s="1"/>
      <c r="J292" s="1"/>
      <c r="K292" s="3" t="s">
        <v>98</v>
      </c>
      <c r="L292" s="2"/>
      <c r="M292" s="2"/>
      <c r="N292" s="1"/>
      <c r="O292" s="1"/>
      <c r="P292" s="2"/>
      <c r="Q292" s="1"/>
      <c r="R292" s="2"/>
      <c r="S292" s="5" t="str">
        <f>$S$1</f>
        <v>Réalisé, Juillet 2026</v>
      </c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Bot="1">
      <c r="B293" s="11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1.6" thickTop="1">
      <c r="B294" s="11"/>
      <c r="C294" s="12"/>
      <c r="D294" s="506" t="s">
        <v>5</v>
      </c>
      <c r="E294" s="507"/>
      <c r="F294" s="508"/>
      <c r="G294" s="509"/>
      <c r="H294" s="507"/>
      <c r="I294" s="508"/>
      <c r="J294" s="509" t="s">
        <v>7</v>
      </c>
      <c r="K294" s="507"/>
      <c r="L294" s="508"/>
      <c r="M294" s="509" t="s">
        <v>212</v>
      </c>
      <c r="N294" s="508"/>
      <c r="O294" s="506" t="s">
        <v>8</v>
      </c>
      <c r="P294" s="507"/>
      <c r="Q294" s="508"/>
      <c r="R294" s="504" t="s">
        <v>213</v>
      </c>
      <c r="S294" s="505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ref="A295:A300" si="65">+B295&amp;C295</f>
        <v>Pièces</v>
      </c>
      <c r="B295" s="11" t="s">
        <v>98</v>
      </c>
      <c r="C295" s="29"/>
      <c r="D295" s="80" t="s">
        <v>79</v>
      </c>
      <c r="E295" s="80" t="s">
        <v>99</v>
      </c>
      <c r="F295" s="134" t="s">
        <v>12</v>
      </c>
      <c r="G295" s="135"/>
      <c r="H295" s="80"/>
      <c r="I295" s="134"/>
      <c r="J295" s="135" t="s">
        <v>79</v>
      </c>
      <c r="K295" s="80" t="s">
        <v>99</v>
      </c>
      <c r="L295" s="134" t="s">
        <v>12</v>
      </c>
      <c r="M295" s="135" t="s">
        <v>39</v>
      </c>
      <c r="N295" s="134" t="s">
        <v>216</v>
      </c>
      <c r="O295" s="80" t="s">
        <v>79</v>
      </c>
      <c r="P295" s="80" t="s">
        <v>99</v>
      </c>
      <c r="Q295" s="134" t="s">
        <v>12</v>
      </c>
      <c r="R295" s="135" t="s">
        <v>80</v>
      </c>
      <c r="S295" s="136" t="s">
        <v>12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65"/>
        <v>PiècesPièces Ro Clients</v>
      </c>
      <c r="B296" s="11" t="s">
        <v>98</v>
      </c>
      <c r="C296" s="29" t="s">
        <v>100</v>
      </c>
      <c r="D296" s="82">
        <v>74080.040009590492</v>
      </c>
      <c r="E296" s="147">
        <f>IF(D296=0,0,F296/D296)</f>
        <v>0.40200000000000002</v>
      </c>
      <c r="F296" s="85">
        <v>29780.176083855378</v>
      </c>
      <c r="G296" s="82"/>
      <c r="H296" s="147"/>
      <c r="I296" s="85"/>
      <c r="J296" s="30">
        <v>111455.03999999999</v>
      </c>
      <c r="K296" s="147">
        <f t="shared" ref="K296:K301" si="66">IF(J296&lt;=0,0,L296/J296)</f>
        <v>0.39936857050161206</v>
      </c>
      <c r="L296" s="33">
        <v>44511.639999999992</v>
      </c>
      <c r="M296" s="156">
        <f t="shared" ref="M296:M302" si="67">(+J296-D296)/D296</f>
        <v>0.50452186561415047</v>
      </c>
      <c r="N296" s="59">
        <f t="shared" ref="N296:N305" si="68">L296-F296</f>
        <v>14731.463916144614</v>
      </c>
      <c r="O296" s="30">
        <v>69391.56</v>
      </c>
      <c r="P296" s="147">
        <f t="shared" ref="P296:P304" si="69">IF(O296=0,0,Q296/O296)</f>
        <v>0.42826317782738993</v>
      </c>
      <c r="Q296" s="33">
        <v>29717.85</v>
      </c>
      <c r="R296" s="156">
        <f>IF(O296=0,0,(J296-O296)/O296)</f>
        <v>0.60617573664578228</v>
      </c>
      <c r="S296" s="85">
        <f t="shared" ref="S296:S301" si="70">L296-Q296</f>
        <v>14793.789999999994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65"/>
        <v>PiècesPièces Ro Carrosserie</v>
      </c>
      <c r="B297" s="11" t="s">
        <v>98</v>
      </c>
      <c r="C297" s="29" t="s">
        <v>101</v>
      </c>
      <c r="D297" s="82">
        <v>0</v>
      </c>
      <c r="E297" s="147">
        <f t="shared" ref="E297:E301" si="71">IF(D297=0,0,F297/D297)</f>
        <v>0</v>
      </c>
      <c r="F297" s="85">
        <v>0</v>
      </c>
      <c r="G297" s="82"/>
      <c r="H297" s="147"/>
      <c r="I297" s="85"/>
      <c r="J297" s="30">
        <v>0</v>
      </c>
      <c r="K297" s="147">
        <f t="shared" si="66"/>
        <v>0</v>
      </c>
      <c r="L297" s="33">
        <v>0</v>
      </c>
      <c r="M297" s="156" t="e">
        <f t="shared" si="67"/>
        <v>#DIV/0!</v>
      </c>
      <c r="N297" s="59">
        <f t="shared" si="68"/>
        <v>0</v>
      </c>
      <c r="O297" s="30">
        <v>0</v>
      </c>
      <c r="P297" s="147">
        <f t="shared" si="69"/>
        <v>0</v>
      </c>
      <c r="Q297" s="33">
        <v>0</v>
      </c>
      <c r="R297" s="156">
        <f t="shared" ref="R297:R301" si="72">IF(O297=0,0,(J297-O297)/O297)</f>
        <v>0</v>
      </c>
      <c r="S297" s="85">
        <f t="shared" si="70"/>
        <v>0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65"/>
        <v>PiècesP/A Garantie</v>
      </c>
      <c r="B298" s="11" t="s">
        <v>98</v>
      </c>
      <c r="C298" s="29" t="s">
        <v>102</v>
      </c>
      <c r="D298" s="82">
        <v>72746.992857298566</v>
      </c>
      <c r="E298" s="147">
        <f t="shared" si="71"/>
        <v>0.27700000000000002</v>
      </c>
      <c r="F298" s="85">
        <v>20150.917021471705</v>
      </c>
      <c r="G298" s="82"/>
      <c r="H298" s="147"/>
      <c r="I298" s="85"/>
      <c r="J298" s="30">
        <v>46610.36</v>
      </c>
      <c r="K298" s="147">
        <f t="shared" si="66"/>
        <v>0.29279456326876679</v>
      </c>
      <c r="L298" s="33">
        <v>13647.259999999998</v>
      </c>
      <c r="M298" s="156">
        <f t="shared" si="67"/>
        <v>-0.35928128202589105</v>
      </c>
      <c r="N298" s="59">
        <f t="shared" si="68"/>
        <v>-6503.6570214717067</v>
      </c>
      <c r="O298" s="30">
        <v>84145.25</v>
      </c>
      <c r="P298" s="147">
        <f t="shared" si="69"/>
        <v>0.26860957689233794</v>
      </c>
      <c r="Q298" s="33">
        <v>22602.22</v>
      </c>
      <c r="R298" s="156">
        <f t="shared" si="72"/>
        <v>-0.44607259470974298</v>
      </c>
      <c r="S298" s="85">
        <f t="shared" si="70"/>
        <v>-8954.9600000000028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65"/>
        <v>PiècesVentes Internes</v>
      </c>
      <c r="B299" s="11" t="s">
        <v>98</v>
      </c>
      <c r="C299" s="29" t="s">
        <v>103</v>
      </c>
      <c r="D299" s="82">
        <v>27600</v>
      </c>
      <c r="E299" s="147">
        <f t="shared" si="71"/>
        <v>0.33800000000000002</v>
      </c>
      <c r="F299" s="85">
        <v>9328.8000000000011</v>
      </c>
      <c r="G299" s="82"/>
      <c r="H299" s="147"/>
      <c r="I299" s="85"/>
      <c r="J299" s="30">
        <v>25840.93</v>
      </c>
      <c r="K299" s="147">
        <f t="shared" si="66"/>
        <v>0.21396675738837578</v>
      </c>
      <c r="L299" s="33">
        <v>5529.1000000000013</v>
      </c>
      <c r="M299" s="156">
        <f t="shared" si="67"/>
        <v>-6.3734420289855057E-2</v>
      </c>
      <c r="N299" s="59">
        <f t="shared" si="68"/>
        <v>-3799.7</v>
      </c>
      <c r="O299" s="30">
        <v>16698.669999999998</v>
      </c>
      <c r="P299" s="147">
        <f t="shared" si="69"/>
        <v>0.37965957767894098</v>
      </c>
      <c r="Q299" s="33">
        <v>6339.81</v>
      </c>
      <c r="R299" s="156">
        <f t="shared" si="72"/>
        <v>0.54748432060756957</v>
      </c>
      <c r="S299" s="85">
        <f t="shared" si="70"/>
        <v>-810.70999999999913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 t="shared" si="65"/>
        <v>PiècesVentes Détails</v>
      </c>
      <c r="B300" s="11" t="s">
        <v>98</v>
      </c>
      <c r="C300" s="29" t="s">
        <v>104</v>
      </c>
      <c r="D300" s="82">
        <v>17361.874781996583</v>
      </c>
      <c r="E300" s="147">
        <f t="shared" si="71"/>
        <v>0.33100000000000002</v>
      </c>
      <c r="F300" s="85">
        <v>5746.7805528408689</v>
      </c>
      <c r="G300" s="82"/>
      <c r="H300" s="147"/>
      <c r="I300" s="85"/>
      <c r="J300" s="30">
        <v>18732.53</v>
      </c>
      <c r="K300" s="147">
        <f t="shared" si="66"/>
        <v>0.35273291968570181</v>
      </c>
      <c r="L300" s="33">
        <v>6607.579999999999</v>
      </c>
      <c r="M300" s="156">
        <f t="shared" si="67"/>
        <v>7.8946267912536644E-2</v>
      </c>
      <c r="N300" s="59">
        <f t="shared" si="68"/>
        <v>860.79944715913007</v>
      </c>
      <c r="O300" s="30">
        <v>17857.32</v>
      </c>
      <c r="P300" s="147">
        <f t="shared" si="69"/>
        <v>0.3781877683773377</v>
      </c>
      <c r="Q300" s="33">
        <v>6753.42</v>
      </c>
      <c r="R300" s="156">
        <f t="shared" si="72"/>
        <v>4.9011273808163773E-2</v>
      </c>
      <c r="S300" s="85">
        <f t="shared" si="70"/>
        <v>-145.84000000000106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>
      <c r="A301" t="str">
        <f>+B301&amp;C301</f>
        <v>PiècesVentes de Gros</v>
      </c>
      <c r="B301" s="11" t="s">
        <v>98</v>
      </c>
      <c r="C301" s="29" t="s">
        <v>105</v>
      </c>
      <c r="D301" s="82">
        <v>110400</v>
      </c>
      <c r="E301" s="147">
        <f t="shared" si="71"/>
        <v>0.2</v>
      </c>
      <c r="F301" s="85">
        <v>22080</v>
      </c>
      <c r="G301" s="82"/>
      <c r="H301" s="147"/>
      <c r="I301" s="85"/>
      <c r="J301" s="30">
        <v>23218.63</v>
      </c>
      <c r="K301" s="147">
        <f t="shared" si="66"/>
        <v>8.3892546631735024E-2</v>
      </c>
      <c r="L301" s="33">
        <v>1947.8700000000017</v>
      </c>
      <c r="M301" s="156">
        <f t="shared" si="67"/>
        <v>-0.78968632246376802</v>
      </c>
      <c r="N301" s="59">
        <f t="shared" si="68"/>
        <v>-20132.129999999997</v>
      </c>
      <c r="O301" s="30">
        <v>38006.58</v>
      </c>
      <c r="P301" s="147">
        <f t="shared" si="69"/>
        <v>0.18203347946592405</v>
      </c>
      <c r="Q301" s="33">
        <v>6918.47</v>
      </c>
      <c r="R301" s="156">
        <f t="shared" si="72"/>
        <v>-0.38908920507975198</v>
      </c>
      <c r="S301" s="85">
        <f t="shared" si="70"/>
        <v>-4970.5999999999985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 hidden="1">
      <c r="A302" t="str">
        <f>+B302&amp;C302</f>
        <v>Pièces[...]</v>
      </c>
      <c r="B302" s="11" t="s">
        <v>98</v>
      </c>
      <c r="C302" s="29" t="s">
        <v>19</v>
      </c>
      <c r="D302" s="82">
        <v>0</v>
      </c>
      <c r="E302" s="147">
        <f>IF(D302=0,0,F302/D302)</f>
        <v>0</v>
      </c>
      <c r="F302" s="85">
        <v>0</v>
      </c>
      <c r="G302" s="82"/>
      <c r="H302" s="147"/>
      <c r="I302" s="85"/>
      <c r="J302" s="30">
        <v>0</v>
      </c>
      <c r="K302" s="147">
        <f>IF(J302&lt;=0,0,L302/J302)</f>
        <v>0</v>
      </c>
      <c r="L302" s="33">
        <v>0</v>
      </c>
      <c r="M302" s="156" t="e">
        <f t="shared" si="67"/>
        <v>#DIV/0!</v>
      </c>
      <c r="N302" s="59">
        <f t="shared" si="68"/>
        <v>0</v>
      </c>
      <c r="O302" s="30">
        <v>0</v>
      </c>
      <c r="P302" s="147">
        <f t="shared" si="69"/>
        <v>0</v>
      </c>
      <c r="Q302" s="33">
        <v>0</v>
      </c>
      <c r="R302" s="156">
        <f>IF(O302=0,0,(J302-O302)/O302)</f>
        <v>0</v>
      </c>
      <c r="S302" s="85">
        <f>L302-Q302</f>
        <v>0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ref="A303:A322" si="73">+B303&amp;C303</f>
        <v>PiècesEscomptes</v>
      </c>
      <c r="B303" s="11" t="s">
        <v>98</v>
      </c>
      <c r="C303" s="29" t="s">
        <v>106</v>
      </c>
      <c r="D303" s="82">
        <v>0</v>
      </c>
      <c r="E303" s="147">
        <f t="shared" ref="E303:E304" si="74">IF(D303=0,0,F303/D303)</f>
        <v>0</v>
      </c>
      <c r="F303" s="85">
        <v>11192.181764773542</v>
      </c>
      <c r="G303" s="82"/>
      <c r="H303" s="147"/>
      <c r="I303" s="85"/>
      <c r="J303" s="30">
        <v>0</v>
      </c>
      <c r="K303" s="147">
        <f>IF(J303&lt;=0,0,L303/J303)</f>
        <v>0</v>
      </c>
      <c r="L303" s="33">
        <v>27763.54</v>
      </c>
      <c r="M303" s="156"/>
      <c r="N303" s="59">
        <f t="shared" si="68"/>
        <v>16571.358235226457</v>
      </c>
      <c r="O303" s="30">
        <v>0</v>
      </c>
      <c r="P303" s="147">
        <f t="shared" si="69"/>
        <v>0</v>
      </c>
      <c r="Q303" s="33">
        <v>3265.21</v>
      </c>
      <c r="R303" s="156">
        <f t="shared" ref="R303:R304" si="75">IF(O303=0,0,(J303-O303)/O303)</f>
        <v>0</v>
      </c>
      <c r="S303" s="85">
        <f>L303-Q303</f>
        <v>24498.33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399999999999999">
      <c r="A304" t="str">
        <f t="shared" si="73"/>
        <v>PiècesRectif. Inventaire</v>
      </c>
      <c r="B304" s="11" t="s">
        <v>98</v>
      </c>
      <c r="C304" s="86" t="s">
        <v>107</v>
      </c>
      <c r="D304" s="82">
        <v>0</v>
      </c>
      <c r="E304" s="147">
        <f t="shared" si="74"/>
        <v>0</v>
      </c>
      <c r="F304" s="85">
        <v>0</v>
      </c>
      <c r="G304" s="82"/>
      <c r="H304" s="147"/>
      <c r="I304" s="85"/>
      <c r="J304" s="30">
        <v>0</v>
      </c>
      <c r="K304" s="147">
        <f>IF(J304&lt;=0,0,L304/J304)</f>
        <v>0</v>
      </c>
      <c r="L304" s="33">
        <v>0</v>
      </c>
      <c r="M304" s="156"/>
      <c r="N304" s="59">
        <f t="shared" si="68"/>
        <v>0</v>
      </c>
      <c r="O304" s="30">
        <v>0</v>
      </c>
      <c r="P304" s="147">
        <f t="shared" si="69"/>
        <v>0</v>
      </c>
      <c r="Q304" s="33">
        <v>0</v>
      </c>
      <c r="R304" s="156">
        <f t="shared" si="75"/>
        <v>0</v>
      </c>
      <c r="S304" s="85">
        <f>L304-Q304</f>
        <v>0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73"/>
        <v>PiècesSous-total Pièces</v>
      </c>
      <c r="B305" s="11" t="s">
        <v>98</v>
      </c>
      <c r="C305" s="53" t="s">
        <v>108</v>
      </c>
      <c r="D305" s="194">
        <f>SUM(D296:D304)</f>
        <v>302188.90764888562</v>
      </c>
      <c r="E305" s="212">
        <f>IF(D305&lt;=0,0,F305/D305)</f>
        <v>0.32522323928955083</v>
      </c>
      <c r="F305" s="198">
        <f>SUM(F296:F304)</f>
        <v>98278.855422941502</v>
      </c>
      <c r="G305" s="194"/>
      <c r="H305" s="212"/>
      <c r="I305" s="198"/>
      <c r="J305" s="194">
        <f>SUM(J296:J304)</f>
        <v>225857.49</v>
      </c>
      <c r="K305" s="212">
        <f>IF(J305&lt;=0,0,L305/J305)</f>
        <v>0.44278801646117644</v>
      </c>
      <c r="L305" s="196">
        <f>SUM(L296:L304)</f>
        <v>100006.98999999999</v>
      </c>
      <c r="M305" s="213">
        <f>(+J305-D305)/D305</f>
        <v>-0.25259503481701379</v>
      </c>
      <c r="N305" s="196">
        <f t="shared" si="68"/>
        <v>1728.1345770584885</v>
      </c>
      <c r="O305" s="194">
        <f>SUM(O296:O304)</f>
        <v>226099.38</v>
      </c>
      <c r="P305" s="212">
        <f>IF(O305&lt;=0,0,Q305/O305)</f>
        <v>0.33435288500127686</v>
      </c>
      <c r="Q305" s="196">
        <f t="shared" ref="Q305" si="76">SUM(Q296:Q304)</f>
        <v>75596.98</v>
      </c>
      <c r="R305" s="213">
        <f>IF(O305=0,0,(J305-O305)/O305)</f>
        <v>-1.0698392892541941E-3</v>
      </c>
      <c r="S305" s="198">
        <f>L305-Q305</f>
        <v>24410.009999999995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73"/>
        <v>Pièces</v>
      </c>
      <c r="B306" s="11" t="s">
        <v>98</v>
      </c>
      <c r="C306" s="29"/>
      <c r="D306" s="13"/>
      <c r="E306" s="13"/>
      <c r="F306" s="40"/>
      <c r="G306" s="41"/>
      <c r="H306" s="13"/>
      <c r="I306" s="40"/>
      <c r="J306" s="41"/>
      <c r="K306" s="13"/>
      <c r="L306" s="40"/>
      <c r="M306" s="41"/>
      <c r="N306" s="43">
        <f>N305/F305</f>
        <v>1.7583991689987522E-2</v>
      </c>
      <c r="O306" s="41"/>
      <c r="P306" s="13"/>
      <c r="Q306" s="40"/>
      <c r="R306" s="41"/>
      <c r="S306" s="44">
        <f>IF(Q305=0,0,S305/Q305)</f>
        <v>0.32289662893940996</v>
      </c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1">
      <c r="A307" t="str">
        <f t="shared" si="73"/>
        <v>Pièces</v>
      </c>
      <c r="B307" s="11" t="s">
        <v>98</v>
      </c>
      <c r="C307" s="86"/>
      <c r="D307" s="111"/>
      <c r="E307" s="111"/>
      <c r="F307" s="214"/>
      <c r="G307" s="23"/>
      <c r="H307" s="215"/>
      <c r="I307" s="214"/>
      <c r="J307" s="23"/>
      <c r="K307" s="111"/>
      <c r="L307" s="214"/>
      <c r="M307" s="23"/>
      <c r="N307" s="167"/>
      <c r="O307" s="23"/>
      <c r="P307" s="111"/>
      <c r="Q307" s="214"/>
      <c r="R307" s="23"/>
      <c r="S307" s="168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73"/>
        <v>PiècesVentes Pneus</v>
      </c>
      <c r="B308" s="11" t="s">
        <v>98</v>
      </c>
      <c r="C308" s="29" t="s">
        <v>109</v>
      </c>
      <c r="D308" s="82">
        <v>59316.085231414167</v>
      </c>
      <c r="E308" s="147">
        <f>IF(D308=0,0,F308/D308)</f>
        <v>0.25</v>
      </c>
      <c r="F308" s="110">
        <v>14829.021307853542</v>
      </c>
      <c r="G308" s="82"/>
      <c r="H308" s="147"/>
      <c r="I308" s="110"/>
      <c r="J308" s="30">
        <v>37519.83</v>
      </c>
      <c r="K308" s="147">
        <f>IF(J308&lt;=0,0,L308/J308)</f>
        <v>0.21850845273019631</v>
      </c>
      <c r="L308" s="33">
        <v>8198.4000000000015</v>
      </c>
      <c r="M308" s="156">
        <f>(+J308-D308)/D308</f>
        <v>-0.36745943611043863</v>
      </c>
      <c r="N308" s="59">
        <f>L308-F308</f>
        <v>-6630.6213078535402</v>
      </c>
      <c r="O308" s="30">
        <v>51192.24</v>
      </c>
      <c r="P308" s="147">
        <f t="shared" ref="P308:P309" si="77">IF(O308=0,0,Q308/O308)</f>
        <v>0.26016990075058255</v>
      </c>
      <c r="Q308" s="33">
        <v>13318.68</v>
      </c>
      <c r="R308" s="156">
        <f>IF(O308=0,0,(J308-O308)/O308)</f>
        <v>-0.26707973708515192</v>
      </c>
      <c r="S308" s="85">
        <f>L308-Q308</f>
        <v>-5120.2799999999988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399999999999999">
      <c r="A309" t="str">
        <f t="shared" si="73"/>
        <v>PiècesHuiles et Graisse</v>
      </c>
      <c r="B309" s="11" t="s">
        <v>98</v>
      </c>
      <c r="C309" s="86" t="s">
        <v>110</v>
      </c>
      <c r="D309" s="82">
        <v>14554.58235482435</v>
      </c>
      <c r="E309" s="147">
        <f>IF(D309=0,0,F309/D309)</f>
        <v>0.35499999999999998</v>
      </c>
      <c r="F309" s="92">
        <v>5166.8767359626436</v>
      </c>
      <c r="G309" s="82"/>
      <c r="H309" s="147"/>
      <c r="I309" s="92"/>
      <c r="J309" s="30">
        <v>18482.88</v>
      </c>
      <c r="K309" s="147">
        <f>IF(J309&lt;=0,0,L309/J309)</f>
        <v>0.33980959677279737</v>
      </c>
      <c r="L309" s="33">
        <v>6280.6600000000017</v>
      </c>
      <c r="M309" s="156">
        <f>(+J309-D309)/D309</f>
        <v>0.26990109021393899</v>
      </c>
      <c r="N309" s="59">
        <f>L309-F309</f>
        <v>1113.7832640373581</v>
      </c>
      <c r="O309" s="30">
        <v>15796.7599999999</v>
      </c>
      <c r="P309" s="147">
        <f t="shared" si="77"/>
        <v>0.35621798394101234</v>
      </c>
      <c r="Q309" s="33">
        <v>5627.0899999999901</v>
      </c>
      <c r="R309" s="156">
        <f>IF(O309=0,0,(J309-O309)/O309)</f>
        <v>0.17004246440410045</v>
      </c>
      <c r="S309" s="85">
        <f>L309-Q309</f>
        <v>653.57000000001153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73"/>
        <v>PiècesSous-total Pièces et Acc.</v>
      </c>
      <c r="B310" s="11" t="s">
        <v>98</v>
      </c>
      <c r="C310" s="53" t="s">
        <v>111</v>
      </c>
      <c r="D310" s="194">
        <f>D305+D308+D309</f>
        <v>376059.57523512415</v>
      </c>
      <c r="E310" s="212">
        <f>IF(D310&lt;=0,0,F310/D310)</f>
        <v>0.31451068196524079</v>
      </c>
      <c r="F310" s="196">
        <f>F305+F308+F309</f>
        <v>118274.75346675768</v>
      </c>
      <c r="G310" s="197"/>
      <c r="H310" s="212"/>
      <c r="I310" s="196"/>
      <c r="J310" s="197">
        <f>J305+J308+J309</f>
        <v>281860.2</v>
      </c>
      <c r="K310" s="212">
        <f>IF(J310&lt;=0,0,L310/J310)</f>
        <v>0.40618026241377814</v>
      </c>
      <c r="L310" s="196">
        <f>L305+L308+L309</f>
        <v>114486.04999999999</v>
      </c>
      <c r="M310" s="213">
        <f>(+J310-D310)/D310</f>
        <v>-0.25049056436397815</v>
      </c>
      <c r="N310" s="196">
        <f>L310-F310</f>
        <v>-3788.7034667576954</v>
      </c>
      <c r="O310" s="197">
        <f>O305+O308+O309</f>
        <v>293088.37999999989</v>
      </c>
      <c r="P310" s="212">
        <f>IF(O310&lt;=0,0,Q310/O310)</f>
        <v>0.3225742009969827</v>
      </c>
      <c r="Q310" s="196">
        <f t="shared" ref="Q310" si="78">Q305+Q308+Q309</f>
        <v>94542.75</v>
      </c>
      <c r="R310" s="213">
        <f>IF(O310=0,0,(J310-O310)/O310)</f>
        <v>-3.8309877723572257E-2</v>
      </c>
      <c r="S310" s="198">
        <f>L310-Q310</f>
        <v>19943.299999999988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>
        <f>N310/F310</f>
        <v>-3.2033070082217917E-2</v>
      </c>
      <c r="O311" s="41"/>
      <c r="P311" s="13"/>
      <c r="Q311" s="40"/>
      <c r="R311" s="41"/>
      <c r="S311" s="44">
        <f>IF(Q310=0,0,S310/Q310)</f>
        <v>0.21094478423781821</v>
      </c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1">
      <c r="A312" t="str">
        <f t="shared" si="73"/>
        <v>Pièces</v>
      </c>
      <c r="B312" s="11" t="s">
        <v>98</v>
      </c>
      <c r="C312" s="29"/>
      <c r="D312" s="13"/>
      <c r="E312" s="13"/>
      <c r="F312" s="40"/>
      <c r="G312" s="41"/>
      <c r="H312" s="13"/>
      <c r="I312" s="40"/>
      <c r="J312" s="41"/>
      <c r="K312" s="13"/>
      <c r="L312" s="40"/>
      <c r="M312" s="41"/>
      <c r="N312" s="43"/>
      <c r="O312" s="41"/>
      <c r="P312" s="13"/>
      <c r="Q312" s="40"/>
      <c r="R312" s="41"/>
      <c r="S312" s="44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0.399999999999999">
      <c r="A313" t="str">
        <f t="shared" si="73"/>
        <v>PiècesAutostock</v>
      </c>
      <c r="B313" s="11" t="s">
        <v>98</v>
      </c>
      <c r="C313" s="86" t="s">
        <v>112</v>
      </c>
      <c r="D313" s="90">
        <v>0</v>
      </c>
      <c r="E313" s="216">
        <f>IF(D313=0,0,F313/D313)</f>
        <v>0</v>
      </c>
      <c r="F313" s="145">
        <v>0</v>
      </c>
      <c r="G313" s="171"/>
      <c r="H313" s="216"/>
      <c r="I313" s="145"/>
      <c r="J313" s="46">
        <v>0</v>
      </c>
      <c r="K313" s="217">
        <f>IF(J313&lt;=0,0,L313/J313)</f>
        <v>0</v>
      </c>
      <c r="L313" s="22">
        <v>0</v>
      </c>
      <c r="M313" s="217">
        <f>IF(F313=0,0,(+L313-F313)/F313)</f>
        <v>0</v>
      </c>
      <c r="N313" s="91">
        <f>L313-F313</f>
        <v>0</v>
      </c>
      <c r="O313" s="46">
        <v>0</v>
      </c>
      <c r="P313" s="217">
        <f>IF(O313=0,0,Q313/O313)</f>
        <v>0</v>
      </c>
      <c r="Q313" s="22">
        <v>0</v>
      </c>
      <c r="R313" s="217">
        <f>IF(S313=0,0,(+O313-K313)/K313)</f>
        <v>0</v>
      </c>
      <c r="S313" s="92">
        <f>L313-Q313</f>
        <v>0</v>
      </c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Bot="1">
      <c r="A314" t="str">
        <f t="shared" si="73"/>
        <v>Pièces</v>
      </c>
      <c r="B314" s="11" t="s">
        <v>98</v>
      </c>
      <c r="C314" s="29"/>
      <c r="D314" s="82"/>
      <c r="E314" s="147"/>
      <c r="F314" s="59"/>
      <c r="G314" s="60"/>
      <c r="H314" s="147"/>
      <c r="I314" s="59"/>
      <c r="J314" s="60"/>
      <c r="K314" s="147"/>
      <c r="L314" s="59"/>
      <c r="M314" s="156"/>
      <c r="N314" s="59"/>
      <c r="O314" s="60"/>
      <c r="P314" s="147"/>
      <c r="Q314" s="59"/>
      <c r="R314" s="156"/>
      <c r="S314" s="85"/>
      <c r="T314" s="13"/>
      <c r="U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Top="1">
      <c r="A315" t="str">
        <f t="shared" si="73"/>
        <v>PiècesTotal Dépt. Pièces</v>
      </c>
      <c r="B315" s="11" t="s">
        <v>98</v>
      </c>
      <c r="C315" s="62" t="s">
        <v>113</v>
      </c>
      <c r="D315" s="63">
        <f>D310+D313</f>
        <v>376059.57523512415</v>
      </c>
      <c r="E315" s="218">
        <f>IF(D315&lt;=0,0,F315/D315)</f>
        <v>0.31451068196524079</v>
      </c>
      <c r="F315" s="65">
        <f>F310+F313</f>
        <v>118274.75346675768</v>
      </c>
      <c r="G315" s="66"/>
      <c r="H315" s="218"/>
      <c r="I315" s="65"/>
      <c r="J315" s="66">
        <f>J310+J313</f>
        <v>281860.2</v>
      </c>
      <c r="K315" s="218">
        <f>IF(J315&lt;=0,0,L315/J315)</f>
        <v>0.40618026241377814</v>
      </c>
      <c r="L315" s="65">
        <f>L310+L313</f>
        <v>114486.04999999999</v>
      </c>
      <c r="M315" s="219">
        <f>(+J315-D315)/D315</f>
        <v>-0.25049056436397815</v>
      </c>
      <c r="N315" s="220">
        <f>L315-F315</f>
        <v>-3788.7034667576954</v>
      </c>
      <c r="O315" s="66">
        <f>O310+O313</f>
        <v>293088.37999999989</v>
      </c>
      <c r="P315" s="218">
        <f>IF(O315&lt;=0,0,Q315/O315)</f>
        <v>0.3225742009969827</v>
      </c>
      <c r="Q315" s="65">
        <f t="shared" ref="Q315" si="79">Q310+Q313</f>
        <v>94542.75</v>
      </c>
      <c r="R315" s="219">
        <f>IF(O315=0,0,(J315-O315)/O315)</f>
        <v>-3.8309877723572257E-2</v>
      </c>
      <c r="S315" s="221">
        <f>L315-Q315</f>
        <v>19943.299999999988</v>
      </c>
      <c r="T315" s="13"/>
      <c r="U315" s="13"/>
      <c r="W315" s="11"/>
      <c r="X315" s="484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Bot="1">
      <c r="A316" t="str">
        <f t="shared" si="73"/>
        <v>Pièces</v>
      </c>
      <c r="B316" s="11" t="s">
        <v>98</v>
      </c>
      <c r="C316" s="222"/>
      <c r="D316" s="223"/>
      <c r="E316" s="224"/>
      <c r="F316" s="225"/>
      <c r="G316" s="226"/>
      <c r="H316" s="224"/>
      <c r="I316" s="225"/>
      <c r="J316" s="226"/>
      <c r="K316" s="224"/>
      <c r="L316" s="225"/>
      <c r="M316" s="227"/>
      <c r="N316" s="74">
        <f>N315/F315</f>
        <v>-3.2033070082217917E-2</v>
      </c>
      <c r="O316" s="226"/>
      <c r="P316" s="224"/>
      <c r="Q316" s="225"/>
      <c r="R316" s="227"/>
      <c r="S316" s="75">
        <f>IF(Q315=0,0,S315/Q315)</f>
        <v>0.21094478423781821</v>
      </c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.6" thickTop="1">
      <c r="A317" t="str">
        <f t="shared" si="73"/>
        <v>Pièces</v>
      </c>
      <c r="B317" s="11" t="s">
        <v>98</v>
      </c>
      <c r="C317" s="53"/>
      <c r="D317" s="112"/>
      <c r="E317" s="173"/>
      <c r="F317" s="175"/>
      <c r="G317" s="174"/>
      <c r="H317" s="173"/>
      <c r="I317" s="175"/>
      <c r="J317" s="174"/>
      <c r="K317" s="173"/>
      <c r="L317" s="175"/>
      <c r="M317" s="41"/>
      <c r="N317" s="43"/>
      <c r="O317" s="174"/>
      <c r="P317" s="173"/>
      <c r="Q317" s="175"/>
      <c r="R317" s="41"/>
      <c r="S317" s="44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1">
      <c r="A318" t="str">
        <f t="shared" si="73"/>
        <v>PiècesDEPENSES</v>
      </c>
      <c r="B318" s="11" t="s">
        <v>98</v>
      </c>
      <c r="C318" s="79" t="s">
        <v>29</v>
      </c>
      <c r="D318" s="13"/>
      <c r="E318" s="13"/>
      <c r="F318" s="59"/>
      <c r="G318" s="41"/>
      <c r="H318" s="13"/>
      <c r="I318" s="59"/>
      <c r="J318" s="41"/>
      <c r="K318" s="13"/>
      <c r="L318" s="40"/>
      <c r="M318" s="41"/>
      <c r="N318" s="40"/>
      <c r="O318" s="41"/>
      <c r="P318" s="13"/>
      <c r="Q318" s="40"/>
      <c r="R318" s="41"/>
      <c r="S318" s="61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73"/>
        <v>PiècesSalaires cadres</v>
      </c>
      <c r="B319" s="11" t="s">
        <v>98</v>
      </c>
      <c r="C319" s="102" t="s">
        <v>40</v>
      </c>
      <c r="D319" s="13"/>
      <c r="E319" s="13"/>
      <c r="F319" s="30">
        <v>4686.9938697318012</v>
      </c>
      <c r="G319" s="41"/>
      <c r="H319" s="13"/>
      <c r="I319" s="30"/>
      <c r="J319" s="41"/>
      <c r="K319" s="13"/>
      <c r="L319" s="33">
        <v>1757.12</v>
      </c>
      <c r="M319" s="41"/>
      <c r="N319" s="59">
        <f t="shared" ref="N319:N349" si="80">L319-F319</f>
        <v>-2929.8738697318013</v>
      </c>
      <c r="O319" s="41"/>
      <c r="P319" s="13"/>
      <c r="Q319" s="33">
        <v>4407.5200000000004</v>
      </c>
      <c r="R319" s="41"/>
      <c r="S319" s="85">
        <f t="shared" ref="S319:S322" si="81">L319-Q319</f>
        <v>-2650.4000000000005</v>
      </c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73"/>
        <v>PiècesSalaires commis</v>
      </c>
      <c r="B320" s="11" t="s">
        <v>98</v>
      </c>
      <c r="C320" s="103" t="s">
        <v>41</v>
      </c>
      <c r="D320" s="81"/>
      <c r="E320" s="13"/>
      <c r="F320" s="22">
        <v>2533.2311034482759</v>
      </c>
      <c r="G320" s="83"/>
      <c r="H320" s="13"/>
      <c r="I320" s="22"/>
      <c r="J320" s="41"/>
      <c r="K320" s="13"/>
      <c r="L320" s="33">
        <v>1685.64</v>
      </c>
      <c r="M320" s="41"/>
      <c r="N320" s="59">
        <f t="shared" si="80"/>
        <v>-847.59110344827582</v>
      </c>
      <c r="O320" s="41"/>
      <c r="P320" s="13"/>
      <c r="Q320" s="33">
        <v>2584.0700000000002</v>
      </c>
      <c r="R320" s="41"/>
      <c r="S320" s="85">
        <f t="shared" si="81"/>
        <v>-898.43000000000006</v>
      </c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>
      <c r="A321" t="str">
        <f t="shared" si="73"/>
        <v>PiècesSalaires autres</v>
      </c>
      <c r="B321" s="11" t="s">
        <v>98</v>
      </c>
      <c r="C321" s="102" t="s">
        <v>42</v>
      </c>
      <c r="D321" s="104"/>
      <c r="E321" s="105"/>
      <c r="F321" s="30">
        <v>19699.114903698384</v>
      </c>
      <c r="G321" s="106"/>
      <c r="H321" s="105"/>
      <c r="I321" s="30"/>
      <c r="J321" s="107"/>
      <c r="K321" s="105"/>
      <c r="L321" s="108">
        <v>17677.86</v>
      </c>
      <c r="M321" s="107"/>
      <c r="N321" s="109">
        <f t="shared" si="80"/>
        <v>-2021.2549036983837</v>
      </c>
      <c r="O321" s="107"/>
      <c r="P321" s="105"/>
      <c r="Q321" s="108">
        <v>11880.96</v>
      </c>
      <c r="R321" s="107"/>
      <c r="S321" s="110">
        <f t="shared" si="81"/>
        <v>5796.9000000000015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 t="shared" si="73"/>
        <v>PiècesSalaires spécialistes</v>
      </c>
      <c r="B322" s="11" t="s">
        <v>98</v>
      </c>
      <c r="C322" s="102" t="s">
        <v>43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 t="shared" si="81"/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>+B323&amp;C323</f>
        <v>Pièces[...]</v>
      </c>
      <c r="B323" s="11" t="s">
        <v>98</v>
      </c>
      <c r="C323" s="228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>+B324&amp;C324</f>
        <v>Pièces[...]</v>
      </c>
      <c r="B324" s="11" t="s">
        <v>98</v>
      </c>
      <c r="C324" s="228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 hidden="1">
      <c r="A325" t="str">
        <f>+B325&amp;C325</f>
        <v>Pièces[...]</v>
      </c>
      <c r="B325" s="11" t="s">
        <v>98</v>
      </c>
      <c r="C325" s="228" t="s">
        <v>19</v>
      </c>
      <c r="D325" s="81"/>
      <c r="E325" s="13"/>
      <c r="F325" s="30">
        <v>0</v>
      </c>
      <c r="G325" s="83"/>
      <c r="H325" s="13"/>
      <c r="I325" s="30"/>
      <c r="J325" s="41"/>
      <c r="K325" s="13"/>
      <c r="L325" s="33">
        <v>0</v>
      </c>
      <c r="M325" s="41"/>
      <c r="N325" s="59">
        <f t="shared" si="80"/>
        <v>0</v>
      </c>
      <c r="O325" s="41"/>
      <c r="P325" s="13"/>
      <c r="Q325" s="33">
        <v>0</v>
      </c>
      <c r="R325" s="41"/>
      <c r="S325" s="85">
        <f>L325-Q325</f>
        <v>0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ref="A326:A337" si="82">+B326&amp;C326</f>
        <v>PiècesSalaires en absences</v>
      </c>
      <c r="B326" s="11" t="s">
        <v>98</v>
      </c>
      <c r="C326" s="103" t="s">
        <v>44</v>
      </c>
      <c r="D326" s="81"/>
      <c r="E326" s="13"/>
      <c r="F326" s="22">
        <v>3988.4598224346064</v>
      </c>
      <c r="G326" s="83"/>
      <c r="H326" s="13"/>
      <c r="I326" s="22"/>
      <c r="J326" s="41"/>
      <c r="K326" s="13"/>
      <c r="L326" s="33">
        <v>3239.52</v>
      </c>
      <c r="M326" s="41"/>
      <c r="N326" s="59">
        <f t="shared" si="80"/>
        <v>-748.93982243460641</v>
      </c>
      <c r="O326" s="41"/>
      <c r="P326" s="13"/>
      <c r="Q326" s="33">
        <v>3424.88</v>
      </c>
      <c r="R326" s="41"/>
      <c r="S326" s="85">
        <f t="shared" ref="S326:S337" si="83">L326-Q326</f>
        <v>-185.36000000000013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82"/>
        <v>PiècesDéduction à la source</v>
      </c>
      <c r="B327" s="11" t="s">
        <v>98</v>
      </c>
      <c r="C327" s="102" t="s">
        <v>45</v>
      </c>
      <c r="D327" s="104"/>
      <c r="E327" s="105"/>
      <c r="F327" s="30">
        <v>3804.6205497439073</v>
      </c>
      <c r="G327" s="106"/>
      <c r="H327" s="105"/>
      <c r="I327" s="30"/>
      <c r="J327" s="107"/>
      <c r="K327" s="105"/>
      <c r="L327" s="108">
        <v>3168.96</v>
      </c>
      <c r="M327" s="107"/>
      <c r="N327" s="109">
        <f t="shared" si="80"/>
        <v>-635.66054974390727</v>
      </c>
      <c r="O327" s="107"/>
      <c r="P327" s="105"/>
      <c r="Q327" s="108">
        <v>4926.8500000000004</v>
      </c>
      <c r="R327" s="107"/>
      <c r="S327" s="110">
        <f t="shared" si="83"/>
        <v>-1757.8900000000003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82"/>
        <v>PiècesBénéfices marginaux</v>
      </c>
      <c r="B328" s="11" t="s">
        <v>98</v>
      </c>
      <c r="C328" s="102" t="s">
        <v>46</v>
      </c>
      <c r="D328" s="81"/>
      <c r="E328" s="13"/>
      <c r="F328" s="30">
        <v>2982.8225109992236</v>
      </c>
      <c r="G328" s="83"/>
      <c r="H328" s="13"/>
      <c r="I328" s="30"/>
      <c r="J328" s="41"/>
      <c r="K328" s="13"/>
      <c r="L328" s="33">
        <v>2797.91</v>
      </c>
      <c r="M328" s="41"/>
      <c r="N328" s="59">
        <f t="shared" si="80"/>
        <v>-184.91251099922374</v>
      </c>
      <c r="O328" s="41"/>
      <c r="P328" s="13"/>
      <c r="Q328" s="33">
        <v>2818.49</v>
      </c>
      <c r="R328" s="41"/>
      <c r="S328" s="85">
        <f t="shared" si="83"/>
        <v>-20.579999999999927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>
      <c r="A329" t="str">
        <f t="shared" si="82"/>
        <v>PiècesCsst</v>
      </c>
      <c r="B329" s="11" t="s">
        <v>98</v>
      </c>
      <c r="C329" s="102" t="s">
        <v>47</v>
      </c>
      <c r="D329" s="81"/>
      <c r="E329" s="13"/>
      <c r="F329" s="30">
        <v>745.7056277498059</v>
      </c>
      <c r="G329" s="83"/>
      <c r="H329" s="13"/>
      <c r="I329" s="30"/>
      <c r="J329" s="41"/>
      <c r="K329" s="13"/>
      <c r="L329" s="33">
        <v>525.44000000000005</v>
      </c>
      <c r="M329" s="462"/>
      <c r="N329" s="145">
        <f t="shared" si="80"/>
        <v>-220.26562774980584</v>
      </c>
      <c r="O329" s="41"/>
      <c r="P329" s="13"/>
      <c r="Q329" s="33">
        <v>871.61</v>
      </c>
      <c r="R329" s="41"/>
      <c r="S329" s="85">
        <f t="shared" si="83"/>
        <v>-346.16999999999996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399999999999999" hidden="1">
      <c r="A330" t="str">
        <f t="shared" si="82"/>
        <v>Pièces[...]</v>
      </c>
      <c r="B330" s="11" t="s">
        <v>98</v>
      </c>
      <c r="C330" s="29" t="s">
        <v>19</v>
      </c>
      <c r="D330" s="87"/>
      <c r="E330" s="111"/>
      <c r="F330" s="30">
        <v>0</v>
      </c>
      <c r="G330" s="89"/>
      <c r="H330" s="111"/>
      <c r="I330" s="30"/>
      <c r="J330" s="23"/>
      <c r="K330" s="111"/>
      <c r="L330" s="33">
        <v>0</v>
      </c>
      <c r="M330" s="23"/>
      <c r="N330" s="91">
        <f t="shared" si="80"/>
        <v>0</v>
      </c>
      <c r="O330" s="23"/>
      <c r="P330" s="111"/>
      <c r="Q330" s="33">
        <v>0</v>
      </c>
      <c r="R330" s="23"/>
      <c r="S330" s="92">
        <f t="shared" si="83"/>
        <v>0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1">
      <c r="A331" t="str">
        <f t="shared" si="82"/>
        <v>PiècesTOTAL PERSONNEL</v>
      </c>
      <c r="B331" s="11" t="s">
        <v>98</v>
      </c>
      <c r="C331" s="93" t="s">
        <v>48</v>
      </c>
      <c r="D331" s="94" t="s">
        <v>38</v>
      </c>
      <c r="E331" s="95">
        <f>F331/F$315</f>
        <v>0.32501398025412259</v>
      </c>
      <c r="F331" s="96">
        <f>+SUM(F319:F330)</f>
        <v>38440.948387805998</v>
      </c>
      <c r="G331" s="97"/>
      <c r="H331" s="95"/>
      <c r="I331" s="96"/>
      <c r="J331" s="97" t="s">
        <v>38</v>
      </c>
      <c r="K331" s="95">
        <f>L331/L$315</f>
        <v>0.26948654443052233</v>
      </c>
      <c r="L331" s="96">
        <f>+SUM(L319:L330)</f>
        <v>30852.45</v>
      </c>
      <c r="M331" s="146"/>
      <c r="N331" s="113">
        <f t="shared" si="80"/>
        <v>-7588.4983878059975</v>
      </c>
      <c r="O331" s="97" t="s">
        <v>38</v>
      </c>
      <c r="P331" s="95">
        <f>Q331/Q$315</f>
        <v>0.32698837298470795</v>
      </c>
      <c r="Q331" s="96">
        <f>+SUM(Q319:Q330)</f>
        <v>30914.379999999997</v>
      </c>
      <c r="R331" s="146"/>
      <c r="S331" s="114">
        <f t="shared" si="83"/>
        <v>-61.929999999996653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82"/>
        <v>PiècesPublicité 2</v>
      </c>
      <c r="B332" s="11" t="s">
        <v>98</v>
      </c>
      <c r="C332" s="210" t="s">
        <v>49</v>
      </c>
      <c r="D332" s="81"/>
      <c r="E332" s="13"/>
      <c r="F332" s="30">
        <v>1193.3497491888591</v>
      </c>
      <c r="G332" s="83"/>
      <c r="H332" s="13"/>
      <c r="I332" s="30"/>
      <c r="J332" s="41"/>
      <c r="K332" s="13"/>
      <c r="L332" s="33">
        <v>448.96</v>
      </c>
      <c r="M332" s="41"/>
      <c r="N332" s="59">
        <f t="shared" si="80"/>
        <v>-744.38974918885901</v>
      </c>
      <c r="O332" s="41"/>
      <c r="P332" s="13"/>
      <c r="Q332" s="33">
        <v>2421.9499999999998</v>
      </c>
      <c r="R332" s="41"/>
      <c r="S332" s="85">
        <f t="shared" si="83"/>
        <v>-1972.9899999999998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82"/>
        <v>PiècesService gratuit 2</v>
      </c>
      <c r="B333" s="11" t="s">
        <v>98</v>
      </c>
      <c r="C333" s="102" t="s">
        <v>50</v>
      </c>
      <c r="D333" s="81"/>
      <c r="E333" s="13"/>
      <c r="F333" s="30">
        <v>625</v>
      </c>
      <c r="G333" s="83"/>
      <c r="H333" s="13"/>
      <c r="I333" s="30"/>
      <c r="J333" s="41"/>
      <c r="K333" s="13"/>
      <c r="L333" s="30">
        <v>213.25</v>
      </c>
      <c r="M333" s="41"/>
      <c r="N333" s="59">
        <f t="shared" si="80"/>
        <v>-411.75</v>
      </c>
      <c r="O333" s="41"/>
      <c r="P333" s="13"/>
      <c r="Q333" s="33">
        <v>0</v>
      </c>
      <c r="R333" s="41"/>
      <c r="S333" s="85">
        <f t="shared" si="83"/>
        <v>213.25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82"/>
        <v>PiècesFrais véhicules de cie</v>
      </c>
      <c r="B334" s="11" t="s">
        <v>98</v>
      </c>
      <c r="C334" s="103" t="s">
        <v>51</v>
      </c>
      <c r="D334" s="87"/>
      <c r="E334" s="111"/>
      <c r="F334" s="22">
        <v>4823.666666666667</v>
      </c>
      <c r="G334" s="89"/>
      <c r="H334" s="111"/>
      <c r="I334" s="22"/>
      <c r="J334" s="23"/>
      <c r="K334" s="111"/>
      <c r="L334" s="22">
        <v>5187.74</v>
      </c>
      <c r="M334" s="23"/>
      <c r="N334" s="91">
        <f t="shared" si="80"/>
        <v>364.07333333333281</v>
      </c>
      <c r="O334" s="23"/>
      <c r="P334" s="111"/>
      <c r="Q334" s="33">
        <v>5672.7599999999902</v>
      </c>
      <c r="R334" s="23"/>
      <c r="S334" s="92">
        <f t="shared" si="83"/>
        <v>-485.01999999999043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82"/>
        <v>PiècesInformatique</v>
      </c>
      <c r="B335" s="11" t="s">
        <v>98</v>
      </c>
      <c r="C335" s="102" t="s">
        <v>52</v>
      </c>
      <c r="D335" s="81"/>
      <c r="E335" s="13"/>
      <c r="F335" s="30">
        <v>2651.4753333333338</v>
      </c>
      <c r="G335" s="83"/>
      <c r="H335" s="13"/>
      <c r="I335" s="30"/>
      <c r="J335" s="41"/>
      <c r="K335" s="13"/>
      <c r="L335" s="108">
        <v>2173.69</v>
      </c>
      <c r="M335" s="41"/>
      <c r="N335" s="59">
        <f t="shared" si="80"/>
        <v>-477.78533333333371</v>
      </c>
      <c r="O335" s="41"/>
      <c r="P335" s="13"/>
      <c r="Q335" s="108">
        <v>2052.11</v>
      </c>
      <c r="R335" s="41"/>
      <c r="S335" s="85">
        <f t="shared" si="83"/>
        <v>121.57999999999993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82"/>
        <v>PiècesFrais de déplacement</v>
      </c>
      <c r="B336" s="11" t="s">
        <v>98</v>
      </c>
      <c r="C336" s="102" t="s">
        <v>53</v>
      </c>
      <c r="D336" s="81"/>
      <c r="E336" s="13"/>
      <c r="F336" s="30">
        <v>998.33333333333326</v>
      </c>
      <c r="G336" s="83"/>
      <c r="H336" s="13"/>
      <c r="I336" s="30"/>
      <c r="J336" s="41"/>
      <c r="K336" s="13"/>
      <c r="L336" s="33">
        <v>1566.31</v>
      </c>
      <c r="M336" s="41"/>
      <c r="N336" s="59">
        <f t="shared" si="80"/>
        <v>567.97666666666669</v>
      </c>
      <c r="O336" s="41"/>
      <c r="P336" s="13"/>
      <c r="Q336" s="33">
        <v>165.84</v>
      </c>
      <c r="R336" s="41"/>
      <c r="S336" s="85">
        <f t="shared" si="83"/>
        <v>1400.47</v>
      </c>
      <c r="T336" s="13"/>
      <c r="U336" s="13"/>
      <c r="V336" s="489" t="s">
        <v>248</v>
      </c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>
      <c r="A337" t="str">
        <f t="shared" si="82"/>
        <v>PiècesServices extérieurs</v>
      </c>
      <c r="B337" s="11" t="s">
        <v>98</v>
      </c>
      <c r="C337" s="229" t="s">
        <v>54</v>
      </c>
      <c r="D337" s="87"/>
      <c r="E337" s="111"/>
      <c r="F337" s="22">
        <v>1318.576</v>
      </c>
      <c r="G337" s="89"/>
      <c r="H337" s="111"/>
      <c r="I337" s="22"/>
      <c r="J337" s="23"/>
      <c r="K337" s="111"/>
      <c r="L337" s="48">
        <v>1548.64</v>
      </c>
      <c r="M337" s="23"/>
      <c r="N337" s="91">
        <f t="shared" si="80"/>
        <v>230.06400000000008</v>
      </c>
      <c r="O337" s="23"/>
      <c r="P337" s="111"/>
      <c r="Q337" s="48">
        <v>2035.41</v>
      </c>
      <c r="R337" s="23"/>
      <c r="S337" s="92">
        <f t="shared" si="83"/>
        <v>-486.77</v>
      </c>
      <c r="T337" s="13"/>
      <c r="U337" s="13"/>
      <c r="V337" s="489" t="s">
        <v>249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 hidden="1">
      <c r="A338" t="str">
        <f>+B338&amp;C338</f>
        <v>PiècesFournitures d'atelier</v>
      </c>
      <c r="B338" s="11" t="s">
        <v>98</v>
      </c>
      <c r="C338" s="102" t="s">
        <v>93</v>
      </c>
      <c r="D338" s="81"/>
      <c r="E338" s="13"/>
      <c r="F338" s="30"/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0</v>
      </c>
      <c r="O338" s="41"/>
      <c r="P338" s="13"/>
      <c r="Q338" s="33">
        <v>0</v>
      </c>
      <c r="R338" s="41"/>
      <c r="S338" s="85">
        <f>L338-Q338</f>
        <v>0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ref="A339:A344" si="84">+B339&amp;C339</f>
        <v>PiècesFournitures autres</v>
      </c>
      <c r="B339" s="11" t="s">
        <v>98</v>
      </c>
      <c r="C339" s="102" t="s">
        <v>55</v>
      </c>
      <c r="D339" s="81"/>
      <c r="E339" s="13"/>
      <c r="F339" s="30">
        <v>15</v>
      </c>
      <c r="G339" s="83"/>
      <c r="H339" s="13"/>
      <c r="I339" s="30"/>
      <c r="J339" s="41"/>
      <c r="K339" s="13"/>
      <c r="L339" s="33">
        <v>213.77</v>
      </c>
      <c r="M339" s="41"/>
      <c r="N339" s="59">
        <f t="shared" si="80"/>
        <v>198.77</v>
      </c>
      <c r="O339" s="41"/>
      <c r="P339" s="13"/>
      <c r="Q339" s="33">
        <v>27.06</v>
      </c>
      <c r="R339" s="41"/>
      <c r="S339" s="85">
        <f t="shared" ref="S339:S344" si="85">L339-Q339</f>
        <v>186.71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84"/>
        <v>PiècesUniformes</v>
      </c>
      <c r="B340" s="11" t="s">
        <v>98</v>
      </c>
      <c r="C340" s="102" t="s">
        <v>56</v>
      </c>
      <c r="D340" s="81"/>
      <c r="E340" s="13"/>
      <c r="F340" s="30">
        <v>37.5</v>
      </c>
      <c r="G340" s="83"/>
      <c r="H340" s="13"/>
      <c r="I340" s="30"/>
      <c r="J340" s="41"/>
      <c r="K340" s="13"/>
      <c r="L340" s="33">
        <v>93.24</v>
      </c>
      <c r="M340" s="41"/>
      <c r="N340" s="59">
        <f t="shared" si="80"/>
        <v>55.739999999999995</v>
      </c>
      <c r="O340" s="41"/>
      <c r="P340" s="13"/>
      <c r="Q340" s="33">
        <v>0</v>
      </c>
      <c r="R340" s="41"/>
      <c r="S340" s="85">
        <f t="shared" si="85"/>
        <v>93.24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84"/>
        <v>PiècesPapeterie</v>
      </c>
      <c r="B341" s="11" t="s">
        <v>98</v>
      </c>
      <c r="C341" s="102" t="s">
        <v>57</v>
      </c>
      <c r="D341" s="81"/>
      <c r="E341" s="13"/>
      <c r="F341" s="30">
        <v>290</v>
      </c>
      <c r="G341" s="83"/>
      <c r="H341" s="13"/>
      <c r="I341" s="30"/>
      <c r="J341" s="41"/>
      <c r="K341" s="13"/>
      <c r="L341" s="32">
        <v>229.56</v>
      </c>
      <c r="M341" s="41"/>
      <c r="N341" s="59">
        <f t="shared" si="80"/>
        <v>-60.44</v>
      </c>
      <c r="O341" s="41"/>
      <c r="P341" s="13"/>
      <c r="Q341" s="32">
        <v>149.72</v>
      </c>
      <c r="R341" s="41"/>
      <c r="S341" s="85">
        <f t="shared" si="85"/>
        <v>79.84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84"/>
        <v>PiècesTéléphone</v>
      </c>
      <c r="B342" s="11" t="s">
        <v>98</v>
      </c>
      <c r="C342" s="102" t="s">
        <v>58</v>
      </c>
      <c r="D342" s="81"/>
      <c r="E342" s="13"/>
      <c r="F342" s="30">
        <v>113.8</v>
      </c>
      <c r="G342" s="83"/>
      <c r="H342" s="13"/>
      <c r="I342" s="30"/>
      <c r="J342" s="41"/>
      <c r="K342" s="13"/>
      <c r="L342" s="33">
        <v>118.77</v>
      </c>
      <c r="M342" s="41"/>
      <c r="N342" s="59">
        <f t="shared" si="80"/>
        <v>4.9699999999999989</v>
      </c>
      <c r="O342" s="41"/>
      <c r="P342" s="13"/>
      <c r="Q342" s="33">
        <v>106.82</v>
      </c>
      <c r="R342" s="41"/>
      <c r="S342" s="85">
        <f t="shared" si="85"/>
        <v>11.950000000000003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84"/>
        <v>PiècesFrais postaux</v>
      </c>
      <c r="B343" s="11" t="s">
        <v>98</v>
      </c>
      <c r="C343" s="102" t="s">
        <v>59</v>
      </c>
      <c r="D343" s="81"/>
      <c r="E343" s="13"/>
      <c r="F343" s="30">
        <v>2371.666666666667</v>
      </c>
      <c r="G343" s="83"/>
      <c r="H343" s="13"/>
      <c r="I343" s="30"/>
      <c r="J343" s="41"/>
      <c r="K343" s="13"/>
      <c r="L343" s="33">
        <v>-1441.73</v>
      </c>
      <c r="M343" s="41"/>
      <c r="N343" s="59">
        <f t="shared" si="80"/>
        <v>-3813.396666666667</v>
      </c>
      <c r="O343" s="41"/>
      <c r="P343" s="13"/>
      <c r="Q343" s="33">
        <v>165.58</v>
      </c>
      <c r="R343" s="41"/>
      <c r="S343" s="85">
        <f t="shared" si="85"/>
        <v>-1607.31</v>
      </c>
      <c r="T343" s="13"/>
      <c r="U343" s="13"/>
      <c r="V343" s="489" t="s">
        <v>257</v>
      </c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 t="shared" si="84"/>
        <v>PiècesDivers</v>
      </c>
      <c r="B344" s="11" t="s">
        <v>98</v>
      </c>
      <c r="C344" s="102" t="s">
        <v>60</v>
      </c>
      <c r="D344" s="81"/>
      <c r="E344" s="13"/>
      <c r="F344" s="30">
        <v>305.33333333333331</v>
      </c>
      <c r="G344" s="83"/>
      <c r="H344" s="13"/>
      <c r="I344" s="30"/>
      <c r="J344" s="41"/>
      <c r="K344" s="13"/>
      <c r="L344" s="33">
        <v>260.74</v>
      </c>
      <c r="M344" s="41"/>
      <c r="N344" s="59">
        <f t="shared" si="80"/>
        <v>-44.593333333333305</v>
      </c>
      <c r="O344" s="41"/>
      <c r="P344" s="13"/>
      <c r="Q344" s="33">
        <v>385.18999999999897</v>
      </c>
      <c r="R344" s="41"/>
      <c r="S344" s="85">
        <f t="shared" si="85"/>
        <v>-124.44999999999897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>+B345&amp;C345</f>
        <v>PiècesFormation</v>
      </c>
      <c r="B345" s="11" t="s">
        <v>98</v>
      </c>
      <c r="C345" s="102" t="s">
        <v>61</v>
      </c>
      <c r="D345" s="81"/>
      <c r="E345" s="13"/>
      <c r="F345" s="30">
        <v>152.46400000000006</v>
      </c>
      <c r="G345" s="83"/>
      <c r="H345" s="13"/>
      <c r="I345" s="30"/>
      <c r="J345" s="41"/>
      <c r="K345" s="13"/>
      <c r="L345" s="59">
        <v>605</v>
      </c>
      <c r="M345" s="41"/>
      <c r="N345" s="59">
        <f t="shared" si="80"/>
        <v>452.53599999999994</v>
      </c>
      <c r="O345" s="41"/>
      <c r="P345" s="13"/>
      <c r="Q345" s="33">
        <v>121.42</v>
      </c>
      <c r="R345" s="41"/>
      <c r="S345" s="85">
        <f>L345-Q345</f>
        <v>483.58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>
      <c r="A346" t="str">
        <f>+B346&amp;C346</f>
        <v>PiècesFrais bancaires</v>
      </c>
      <c r="B346" s="11" t="s">
        <v>98</v>
      </c>
      <c r="C346" s="102" t="s">
        <v>62</v>
      </c>
      <c r="D346" s="81"/>
      <c r="E346" s="13"/>
      <c r="F346" s="30">
        <v>1609.9379062078954</v>
      </c>
      <c r="G346" s="83"/>
      <c r="H346" s="13"/>
      <c r="I346" s="30"/>
      <c r="J346" s="41"/>
      <c r="K346" s="13"/>
      <c r="L346" s="32">
        <v>1567.87</v>
      </c>
      <c r="M346" s="41"/>
      <c r="N346" s="59">
        <f t="shared" si="80"/>
        <v>-42.067906207895476</v>
      </c>
      <c r="O346" s="41"/>
      <c r="P346" s="13"/>
      <c r="Q346" s="33">
        <v>1337.84</v>
      </c>
      <c r="R346" s="41"/>
      <c r="S346" s="85">
        <f>L346-Q346</f>
        <v>230.02999999999997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399999999999999" hidden="1">
      <c r="A349" t="str">
        <f>+B349&amp;C349</f>
        <v>Pièces[...]</v>
      </c>
      <c r="B349" s="11" t="s">
        <v>98</v>
      </c>
      <c r="C349" s="102" t="s">
        <v>19</v>
      </c>
      <c r="D349" s="81"/>
      <c r="E349" s="13"/>
      <c r="F349" s="30">
        <v>0</v>
      </c>
      <c r="G349" s="83"/>
      <c r="H349" s="13"/>
      <c r="I349" s="30"/>
      <c r="J349" s="41"/>
      <c r="K349" s="13"/>
      <c r="L349" s="33">
        <v>0</v>
      </c>
      <c r="M349" s="41"/>
      <c r="N349" s="59">
        <f t="shared" si="80"/>
        <v>0</v>
      </c>
      <c r="O349" s="41"/>
      <c r="P349" s="13"/>
      <c r="Q349" s="33">
        <v>0</v>
      </c>
      <c r="R349" s="41"/>
      <c r="S349" s="85">
        <f>L349-Q349</f>
        <v>0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1">
      <c r="B350" s="7"/>
      <c r="C350" s="93" t="s">
        <v>63</v>
      </c>
      <c r="D350" s="94" t="s">
        <v>38</v>
      </c>
      <c r="E350" s="95">
        <f>F350/F$315</f>
        <v>0.13955728086441793</v>
      </c>
      <c r="F350" s="96">
        <f>+SUM(F332:F349)</f>
        <v>16506.10298873009</v>
      </c>
      <c r="G350" s="97"/>
      <c r="H350" s="95"/>
      <c r="I350" s="96"/>
      <c r="J350" s="97" t="s">
        <v>38</v>
      </c>
      <c r="K350" s="95">
        <f>L350/L$315</f>
        <v>0.11168006931848901</v>
      </c>
      <c r="L350" s="96">
        <f>+SUM(L332:L349)</f>
        <v>12785.809999999998</v>
      </c>
      <c r="M350" s="100"/>
      <c r="N350" s="96">
        <f>+SUM(N332:N349)</f>
        <v>-3720.2929887300888</v>
      </c>
      <c r="O350" s="97" t="s">
        <v>38</v>
      </c>
      <c r="P350" s="95">
        <f>Q350/Q$315</f>
        <v>0.15486856474980881</v>
      </c>
      <c r="Q350" s="96">
        <f>+SUM(Q332:Q349)</f>
        <v>14641.699999999988</v>
      </c>
      <c r="R350" s="100"/>
      <c r="S350" s="101">
        <f>+SUM(S332:S349)</f>
        <v>-1855.8899999999892</v>
      </c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399999999999999">
      <c r="B351" s="7"/>
      <c r="C351" s="86"/>
      <c r="D351" s="87"/>
      <c r="E351" s="111"/>
      <c r="F351" s="59"/>
      <c r="G351" s="89"/>
      <c r="H351" s="111"/>
      <c r="I351" s="59"/>
      <c r="J351" s="23"/>
      <c r="K351" s="111"/>
      <c r="L351" s="91"/>
      <c r="M351" s="23"/>
      <c r="N351" s="91"/>
      <c r="O351" s="23"/>
      <c r="P351" s="111"/>
      <c r="Q351" s="91"/>
      <c r="R351" s="23"/>
      <c r="S351" s="92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1">
      <c r="B352" s="7"/>
      <c r="C352" s="93" t="s">
        <v>64</v>
      </c>
      <c r="D352" s="94" t="s">
        <v>38</v>
      </c>
      <c r="E352" s="95">
        <f>F352/F$315</f>
        <v>0.46457126111854052</v>
      </c>
      <c r="F352" s="96">
        <f>F331+F350</f>
        <v>54947.051376536088</v>
      </c>
      <c r="G352" s="97"/>
      <c r="H352" s="95"/>
      <c r="I352" s="96"/>
      <c r="J352" s="97" t="s">
        <v>38</v>
      </c>
      <c r="K352" s="95">
        <f>L352/L$315</f>
        <v>0.38116661374901134</v>
      </c>
      <c r="L352" s="96">
        <f>L331+L350</f>
        <v>43638.259999999995</v>
      </c>
      <c r="M352" s="100"/>
      <c r="N352" s="113">
        <f>L352-F352</f>
        <v>-11308.791376536094</v>
      </c>
      <c r="O352" s="97" t="s">
        <v>38</v>
      </c>
      <c r="P352" s="95">
        <f>Q352/Q$315</f>
        <v>0.48185693773451677</v>
      </c>
      <c r="Q352" s="96">
        <f>Q331+Q350</f>
        <v>45556.079999999987</v>
      </c>
      <c r="R352" s="100"/>
      <c r="S352" s="114">
        <f>L352-Q352</f>
        <v>-1917.8199999999924</v>
      </c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0.399999999999999">
      <c r="B353" s="7"/>
      <c r="C353" s="29"/>
      <c r="D353" s="81"/>
      <c r="E353" s="13"/>
      <c r="F353" s="59"/>
      <c r="G353" s="83"/>
      <c r="H353" s="13"/>
      <c r="I353" s="59"/>
      <c r="J353" s="41"/>
      <c r="K353" s="13"/>
      <c r="L353" s="59"/>
      <c r="M353" s="41"/>
      <c r="N353" s="59"/>
      <c r="O353" s="41"/>
      <c r="P353" s="13"/>
      <c r="Q353" s="59"/>
      <c r="R353" s="41"/>
      <c r="S353" s="85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Bot="1">
      <c r="B354" s="7"/>
      <c r="C354" s="124" t="s">
        <v>69</v>
      </c>
      <c r="D354" s="151"/>
      <c r="E354" s="125"/>
      <c r="F354" s="127">
        <f>F315-F352</f>
        <v>63327.702090221595</v>
      </c>
      <c r="G354" s="152"/>
      <c r="H354" s="125"/>
      <c r="I354" s="127"/>
      <c r="J354" s="153"/>
      <c r="K354" s="126"/>
      <c r="L354" s="127">
        <f>L315-L352</f>
        <v>70847.789999999994</v>
      </c>
      <c r="M354" s="153"/>
      <c r="N354" s="127">
        <f>L354-F354</f>
        <v>7520.0879097783982</v>
      </c>
      <c r="O354" s="153"/>
      <c r="P354" s="126"/>
      <c r="Q354" s="127">
        <f>Q315-Q352</f>
        <v>48986.670000000013</v>
      </c>
      <c r="R354" s="153"/>
      <c r="S354" s="129">
        <f>L354-Q354</f>
        <v>21861.119999999981</v>
      </c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.6" thickTop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21" hidden="1">
      <c r="B356" s="7"/>
      <c r="C356" s="76"/>
      <c r="D356" s="81"/>
      <c r="E356" s="13"/>
      <c r="F356" s="112"/>
      <c r="G356" s="81"/>
      <c r="H356" s="13"/>
      <c r="I356" s="112"/>
      <c r="J356" s="76"/>
      <c r="K356" s="76"/>
      <c r="L356" s="112"/>
      <c r="M356" s="76"/>
      <c r="N356" s="112"/>
      <c r="O356" s="76"/>
      <c r="P356" s="76"/>
      <c r="Q356" s="112"/>
      <c r="R356" s="76"/>
      <c r="S356" s="112"/>
      <c r="T356" s="13"/>
      <c r="U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35.4" hidden="1">
      <c r="B357" s="7"/>
      <c r="C357" s="6" t="str">
        <f>+C292</f>
        <v>BMW Sherbrooke</v>
      </c>
      <c r="D357" s="2"/>
      <c r="E357" s="2"/>
      <c r="F357" s="2"/>
      <c r="G357" s="2"/>
      <c r="H357" s="1"/>
      <c r="I357" s="1"/>
      <c r="J357" s="1"/>
      <c r="K357" s="3" t="s">
        <v>114</v>
      </c>
      <c r="L357" s="2"/>
      <c r="M357" s="2"/>
      <c r="N357" s="1"/>
      <c r="O357" s="1"/>
      <c r="P357" s="2"/>
      <c r="Q357" s="1"/>
      <c r="R357" s="2"/>
      <c r="S357" s="5" t="str">
        <f>$S$1</f>
        <v>Réalisé, Juillet 2026</v>
      </c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16.8" hidden="1">
      <c r="B358" s="7"/>
      <c r="C358" s="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.6" hidden="1" thickTop="1">
      <c r="B359" s="7"/>
      <c r="C359" s="12"/>
      <c r="D359" s="506" t="s">
        <v>5</v>
      </c>
      <c r="E359" s="507"/>
      <c r="F359" s="508"/>
      <c r="G359" s="509"/>
      <c r="H359" s="507"/>
      <c r="I359" s="508"/>
      <c r="J359" s="509" t="s">
        <v>7</v>
      </c>
      <c r="K359" s="507"/>
      <c r="L359" s="508"/>
      <c r="M359" s="509"/>
      <c r="N359" s="508"/>
      <c r="O359" s="506" t="s">
        <v>8</v>
      </c>
      <c r="P359" s="507"/>
      <c r="Q359" s="508"/>
      <c r="R359" s="509" t="s">
        <v>9</v>
      </c>
      <c r="S359" s="510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Bot="1">
      <c r="A360" t="str">
        <f t="shared" ref="A360:A395" si="86">+B360&amp;C360</f>
        <v>Boutique</v>
      </c>
      <c r="B360" s="11" t="s">
        <v>114</v>
      </c>
      <c r="C360" s="29"/>
      <c r="D360" s="230" t="s">
        <v>79</v>
      </c>
      <c r="E360" s="230" t="s">
        <v>99</v>
      </c>
      <c r="F360" s="231" t="s">
        <v>12</v>
      </c>
      <c r="G360" s="232"/>
      <c r="H360" s="230"/>
      <c r="I360" s="231"/>
      <c r="J360" s="135" t="s">
        <v>79</v>
      </c>
      <c r="K360" s="80" t="s">
        <v>99</v>
      </c>
      <c r="L360" s="134" t="s">
        <v>12</v>
      </c>
      <c r="M360" s="135"/>
      <c r="N360" s="134"/>
      <c r="O360" s="135" t="s">
        <v>79</v>
      </c>
      <c r="P360" s="80" t="s">
        <v>99</v>
      </c>
      <c r="Q360" s="134" t="s">
        <v>12</v>
      </c>
      <c r="R360" s="135" t="s">
        <v>80</v>
      </c>
      <c r="S360" s="136" t="s">
        <v>12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Top="1">
      <c r="A361" t="str">
        <f t="shared" si="86"/>
        <v>BoutiqueBoutique</v>
      </c>
      <c r="B361" s="11" t="s">
        <v>114</v>
      </c>
      <c r="C361" s="62" t="s">
        <v>114</v>
      </c>
      <c r="D361" s="233">
        <v>0</v>
      </c>
      <c r="E361" s="234">
        <f>IFERROR(F361/D361,0)</f>
        <v>0</v>
      </c>
      <c r="F361" s="235">
        <v>0</v>
      </c>
      <c r="G361" s="233"/>
      <c r="H361" s="234"/>
      <c r="I361" s="233"/>
      <c r="J361" s="236">
        <v>0</v>
      </c>
      <c r="K361" s="218">
        <f>IF(J361&lt;=0,0,L361/J361)</f>
        <v>0</v>
      </c>
      <c r="L361" s="237">
        <v>0</v>
      </c>
      <c r="M361" s="219"/>
      <c r="N361" s="220"/>
      <c r="O361" s="236">
        <v>0</v>
      </c>
      <c r="P361" s="218">
        <f>IFERROR(Q361/O361,0)</f>
        <v>0</v>
      </c>
      <c r="Q361" s="237">
        <v>0</v>
      </c>
      <c r="R361" s="219">
        <f>IF(O361=0,0,(J361-O361)/O361)</f>
        <v>0</v>
      </c>
      <c r="S361" s="221">
        <f>L361-Q361</f>
        <v>0</v>
      </c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Bot="1">
      <c r="A362" t="str">
        <f t="shared" si="86"/>
        <v>Boutique</v>
      </c>
      <c r="B362" s="11" t="s">
        <v>114</v>
      </c>
      <c r="C362" s="222"/>
      <c r="D362" s="223"/>
      <c r="E362" s="224"/>
      <c r="F362" s="225"/>
      <c r="G362" s="226"/>
      <c r="H362" s="224"/>
      <c r="I362" s="225"/>
      <c r="J362" s="226"/>
      <c r="K362" s="224"/>
      <c r="L362" s="225"/>
      <c r="M362" s="227"/>
      <c r="N362" s="74"/>
      <c r="O362" s="226"/>
      <c r="P362" s="224"/>
      <c r="Q362" s="225"/>
      <c r="R362" s="227"/>
      <c r="S362" s="75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.6" hidden="1" thickTop="1">
      <c r="A363" t="str">
        <f t="shared" si="86"/>
        <v>BoutiqueTotal Dépt. Boutique</v>
      </c>
      <c r="B363" s="11" t="s">
        <v>114</v>
      </c>
      <c r="C363" s="53" t="s">
        <v>115</v>
      </c>
      <c r="D363" s="238">
        <f>+D361</f>
        <v>0</v>
      </c>
      <c r="E363" s="173">
        <f>IF(D363&lt;=0,0,F363/D363)</f>
        <v>0</v>
      </c>
      <c r="F363" s="175">
        <f>+F361</f>
        <v>0</v>
      </c>
      <c r="G363" s="174"/>
      <c r="H363" s="173"/>
      <c r="I363" s="175"/>
      <c r="J363" s="174">
        <f>+J361</f>
        <v>0</v>
      </c>
      <c r="K363" s="173">
        <f>IF(J363&lt;=0,0,L363/J363)</f>
        <v>0</v>
      </c>
      <c r="L363" s="175">
        <f>+L361</f>
        <v>0</v>
      </c>
      <c r="M363" s="239"/>
      <c r="N363" s="240"/>
      <c r="O363" s="174">
        <f>+O361</f>
        <v>0</v>
      </c>
      <c r="P363" s="173">
        <f>IF(O363&lt;=0,0,Q363/O363)</f>
        <v>0</v>
      </c>
      <c r="Q363" s="175">
        <f t="shared" ref="Q363" si="87">+Q361</f>
        <v>0</v>
      </c>
      <c r="R363" s="41">
        <f>IF(O363=0,0,(J363-O363)/O363)</f>
        <v>0</v>
      </c>
      <c r="S363" s="44">
        <f>L363-Q363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86"/>
        <v>Boutique</v>
      </c>
      <c r="B364" s="11" t="s">
        <v>114</v>
      </c>
      <c r="C364" s="79"/>
      <c r="D364" s="13"/>
      <c r="E364" s="13"/>
      <c r="F364" s="59"/>
      <c r="G364" s="41"/>
      <c r="H364" s="241"/>
      <c r="I364" s="59"/>
      <c r="J364" s="41"/>
      <c r="K364" s="13"/>
      <c r="L364" s="40"/>
      <c r="M364" s="41"/>
      <c r="N364" s="242"/>
      <c r="O364" s="41"/>
      <c r="P364" s="13"/>
      <c r="Q364" s="40"/>
      <c r="R364" s="41"/>
      <c r="S364" s="61">
        <f>IF(Q363=0,0,S363/Q363)</f>
        <v>0</v>
      </c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1" hidden="1">
      <c r="A365" t="str">
        <f t="shared" si="86"/>
        <v>BoutiqueDEPENSES</v>
      </c>
      <c r="B365" s="11" t="s">
        <v>114</v>
      </c>
      <c r="C365" s="79" t="s">
        <v>29</v>
      </c>
      <c r="D365" s="13"/>
      <c r="E365" s="13"/>
      <c r="F365" s="59"/>
      <c r="G365" s="41"/>
      <c r="H365" s="13"/>
      <c r="I365" s="59"/>
      <c r="J365" s="41"/>
      <c r="K365" s="13"/>
      <c r="L365" s="40"/>
      <c r="M365" s="41"/>
      <c r="N365" s="40"/>
      <c r="O365" s="41"/>
      <c r="P365" s="13"/>
      <c r="Q365" s="40"/>
      <c r="R365" s="41"/>
      <c r="S365" s="61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86"/>
        <v>BoutiqueSalaires cadres</v>
      </c>
      <c r="B366" s="11" t="s">
        <v>114</v>
      </c>
      <c r="C366" s="102" t="s">
        <v>40</v>
      </c>
      <c r="D366" s="13"/>
      <c r="E366" s="13"/>
      <c r="F366" s="30">
        <v>0</v>
      </c>
      <c r="G366" s="41"/>
      <c r="H366" s="13"/>
      <c r="I366" s="30"/>
      <c r="J366" s="41"/>
      <c r="K366" s="13"/>
      <c r="L366" s="33">
        <v>0</v>
      </c>
      <c r="M366" s="41"/>
      <c r="N366" s="40"/>
      <c r="O366" s="41"/>
      <c r="P366" s="13"/>
      <c r="Q366" s="33">
        <v>0</v>
      </c>
      <c r="R366" s="41"/>
      <c r="S366" s="34">
        <f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86"/>
        <v>BoutiqueSalaires commis</v>
      </c>
      <c r="B367" s="11" t="s">
        <v>114</v>
      </c>
      <c r="C367" s="103" t="s">
        <v>41</v>
      </c>
      <c r="D367" s="81"/>
      <c r="E367" s="13"/>
      <c r="F367" s="22">
        <v>0</v>
      </c>
      <c r="G367" s="83"/>
      <c r="H367" s="13"/>
      <c r="I367" s="22"/>
      <c r="J367" s="41"/>
      <c r="K367" s="13"/>
      <c r="L367" s="22">
        <v>0</v>
      </c>
      <c r="M367" s="41"/>
      <c r="N367" s="59"/>
      <c r="O367" s="41"/>
      <c r="P367" s="13"/>
      <c r="Q367" s="22">
        <v>0</v>
      </c>
      <c r="R367" s="41"/>
      <c r="S367" s="85">
        <f t="shared" ref="S367:S395" si="88">L367-Q367</f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86"/>
        <v>BoutiqueSalaires autres</v>
      </c>
      <c r="B368" s="11" t="s">
        <v>114</v>
      </c>
      <c r="C368" s="102" t="s">
        <v>42</v>
      </c>
      <c r="D368" s="104"/>
      <c r="E368" s="105"/>
      <c r="F368" s="30">
        <v>0</v>
      </c>
      <c r="G368" s="106"/>
      <c r="H368" s="105"/>
      <c r="I368" s="30"/>
      <c r="J368" s="107"/>
      <c r="K368" s="105"/>
      <c r="L368" s="33">
        <v>0</v>
      </c>
      <c r="M368" s="107"/>
      <c r="N368" s="109"/>
      <c r="O368" s="107"/>
      <c r="P368" s="105"/>
      <c r="Q368" s="33">
        <v>0</v>
      </c>
      <c r="R368" s="107"/>
      <c r="S368" s="110">
        <f t="shared" si="88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86"/>
        <v>BoutiqueSalaires spécialistes</v>
      </c>
      <c r="B369" s="11" t="s">
        <v>114</v>
      </c>
      <c r="C369" s="102" t="s">
        <v>43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86"/>
        <v>Boutique[...]</v>
      </c>
      <c r="B372" s="11" t="s">
        <v>114</v>
      </c>
      <c r="C372" s="29" t="s">
        <v>19</v>
      </c>
      <c r="D372" s="81"/>
      <c r="E372" s="13"/>
      <c r="F372" s="30">
        <v>0</v>
      </c>
      <c r="G372" s="83"/>
      <c r="H372" s="13"/>
      <c r="I372" s="30"/>
      <c r="J372" s="41"/>
      <c r="K372" s="13"/>
      <c r="L372" s="33">
        <v>0</v>
      </c>
      <c r="M372" s="41"/>
      <c r="N372" s="59"/>
      <c r="O372" s="41"/>
      <c r="P372" s="13"/>
      <c r="Q372" s="33">
        <v>0</v>
      </c>
      <c r="R372" s="41"/>
      <c r="S372" s="85">
        <f t="shared" si="88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86"/>
        <v>BoutiqueSalaires en absences</v>
      </c>
      <c r="B373" s="11" t="s">
        <v>114</v>
      </c>
      <c r="C373" s="103" t="s">
        <v>44</v>
      </c>
      <c r="D373" s="81"/>
      <c r="E373" s="13"/>
      <c r="F373" s="22">
        <v>0</v>
      </c>
      <c r="G373" s="83"/>
      <c r="H373" s="13"/>
      <c r="I373" s="22"/>
      <c r="J373" s="41"/>
      <c r="K373" s="13"/>
      <c r="L373" s="22">
        <v>0</v>
      </c>
      <c r="M373" s="41"/>
      <c r="N373" s="59"/>
      <c r="O373" s="41"/>
      <c r="P373" s="13"/>
      <c r="Q373" s="22">
        <v>0</v>
      </c>
      <c r="R373" s="41"/>
      <c r="S373" s="85">
        <f t="shared" si="88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86"/>
        <v>BoutiqueDéduction à la source</v>
      </c>
      <c r="B374" s="11" t="s">
        <v>114</v>
      </c>
      <c r="C374" s="102" t="s">
        <v>45</v>
      </c>
      <c r="D374" s="104"/>
      <c r="E374" s="105"/>
      <c r="F374" s="30">
        <v>0</v>
      </c>
      <c r="G374" s="106"/>
      <c r="H374" s="105"/>
      <c r="I374" s="30"/>
      <c r="J374" s="107"/>
      <c r="K374" s="105"/>
      <c r="L374" s="33">
        <v>0</v>
      </c>
      <c r="M374" s="107"/>
      <c r="N374" s="109"/>
      <c r="O374" s="107"/>
      <c r="P374" s="105"/>
      <c r="Q374" s="33">
        <v>0</v>
      </c>
      <c r="R374" s="107"/>
      <c r="S374" s="110">
        <f t="shared" si="88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86"/>
        <v>BoutiqueBénéfices marginaux</v>
      </c>
      <c r="B375" s="11" t="s">
        <v>114</v>
      </c>
      <c r="C375" s="102" t="s">
        <v>46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86"/>
        <v>BoutiqueCsst</v>
      </c>
      <c r="B376" s="11" t="s">
        <v>114</v>
      </c>
      <c r="C376" s="102" t="s">
        <v>47</v>
      </c>
      <c r="D376" s="81"/>
      <c r="E376" s="13"/>
      <c r="F376" s="30">
        <v>0</v>
      </c>
      <c r="G376" s="83"/>
      <c r="H376" s="13"/>
      <c r="I376" s="30"/>
      <c r="J376" s="41"/>
      <c r="K376" s="13"/>
      <c r="L376" s="33">
        <v>0</v>
      </c>
      <c r="M376" s="41"/>
      <c r="N376" s="59"/>
      <c r="O376" s="41"/>
      <c r="P376" s="13"/>
      <c r="Q376" s="33">
        <v>0</v>
      </c>
      <c r="R376" s="41"/>
      <c r="S376" s="85">
        <f t="shared" si="88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399999999999999" hidden="1">
      <c r="A377" t="str">
        <f t="shared" si="86"/>
        <v>Boutique[...]</v>
      </c>
      <c r="B377" s="11" t="s">
        <v>114</v>
      </c>
      <c r="C377" s="29" t="s">
        <v>19</v>
      </c>
      <c r="D377" s="87"/>
      <c r="E377" s="111"/>
      <c r="F377" s="30">
        <v>0</v>
      </c>
      <c r="G377" s="89"/>
      <c r="H377" s="111"/>
      <c r="I377" s="30"/>
      <c r="J377" s="23"/>
      <c r="K377" s="111"/>
      <c r="L377" s="33">
        <v>0</v>
      </c>
      <c r="M377" s="23"/>
      <c r="N377" s="91"/>
      <c r="O377" s="23"/>
      <c r="P377" s="111"/>
      <c r="Q377" s="33">
        <v>0</v>
      </c>
      <c r="R377" s="23"/>
      <c r="S377" s="92">
        <f t="shared" si="88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1" hidden="1">
      <c r="A378" t="str">
        <f t="shared" si="86"/>
        <v>BoutiqueTOTAL PERSONNEL</v>
      </c>
      <c r="B378" s="11" t="s">
        <v>114</v>
      </c>
      <c r="C378" s="93" t="s">
        <v>48</v>
      </c>
      <c r="D378" s="94" t="s">
        <v>38</v>
      </c>
      <c r="E378" s="95">
        <f>IFERROR(F378/F$361,0)</f>
        <v>0</v>
      </c>
      <c r="F378" s="96">
        <f>+SUM(F366:F377)</f>
        <v>0</v>
      </c>
      <c r="G378" s="97"/>
      <c r="H378" s="95"/>
      <c r="I378" s="96"/>
      <c r="J378" s="97" t="s">
        <v>38</v>
      </c>
      <c r="K378" s="95">
        <f>IFERROR(L378/L$361,0)</f>
        <v>0</v>
      </c>
      <c r="L378" s="96">
        <f>+SUM(L366:L377)</f>
        <v>0</v>
      </c>
      <c r="M378" s="146"/>
      <c r="N378" s="113"/>
      <c r="O378" s="97" t="s">
        <v>38</v>
      </c>
      <c r="P378" s="95">
        <f>IFERROR(Q378/Q$361,0)</f>
        <v>0</v>
      </c>
      <c r="Q378" s="96">
        <f>+SUM(Q366:Q377)</f>
        <v>0</v>
      </c>
      <c r="R378" s="146"/>
      <c r="S378" s="114">
        <f t="shared" si="88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86"/>
        <v>BoutiquePublicité 2</v>
      </c>
      <c r="B379" s="11" t="s">
        <v>114</v>
      </c>
      <c r="C379" s="210" t="s">
        <v>49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86"/>
        <v>BoutiqueService gratuit 2</v>
      </c>
      <c r="B380" s="11" t="s">
        <v>114</v>
      </c>
      <c r="C380" s="102" t="s">
        <v>50</v>
      </c>
      <c r="D380" s="81"/>
      <c r="E380" s="13"/>
      <c r="F380" s="30">
        <v>0</v>
      </c>
      <c r="G380" s="83"/>
      <c r="H380" s="13"/>
      <c r="I380" s="30"/>
      <c r="J380" s="41"/>
      <c r="K380" s="13"/>
      <c r="L380" s="33">
        <v>0</v>
      </c>
      <c r="M380" s="41"/>
      <c r="N380" s="59"/>
      <c r="O380" s="41"/>
      <c r="P380" s="13"/>
      <c r="Q380" s="33">
        <v>0</v>
      </c>
      <c r="R380" s="41"/>
      <c r="S380" s="85">
        <f t="shared" si="88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86"/>
        <v>BoutiqueFrais véhicules de cie</v>
      </c>
      <c r="B381" s="11" t="s">
        <v>114</v>
      </c>
      <c r="C381" s="103" t="s">
        <v>51</v>
      </c>
      <c r="D381" s="87"/>
      <c r="E381" s="111"/>
      <c r="F381" s="22">
        <v>0</v>
      </c>
      <c r="G381" s="89"/>
      <c r="H381" s="111"/>
      <c r="I381" s="22"/>
      <c r="J381" s="23"/>
      <c r="K381" s="111"/>
      <c r="L381" s="22">
        <v>0</v>
      </c>
      <c r="M381" s="23"/>
      <c r="N381" s="91"/>
      <c r="O381" s="23"/>
      <c r="P381" s="111"/>
      <c r="Q381" s="22">
        <v>0</v>
      </c>
      <c r="R381" s="23"/>
      <c r="S381" s="92">
        <f t="shared" si="88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86"/>
        <v>BoutiqueInformatique</v>
      </c>
      <c r="B382" s="11" t="s">
        <v>114</v>
      </c>
      <c r="C382" s="102" t="s">
        <v>52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86"/>
        <v>BoutiqueFrais de déplacement</v>
      </c>
      <c r="B383" s="11" t="s">
        <v>114</v>
      </c>
      <c r="C383" s="102" t="s">
        <v>53</v>
      </c>
      <c r="D383" s="81"/>
      <c r="E383" s="13"/>
      <c r="F383" s="30">
        <v>0</v>
      </c>
      <c r="G383" s="83"/>
      <c r="H383" s="13"/>
      <c r="I383" s="30"/>
      <c r="J383" s="41"/>
      <c r="K383" s="13"/>
      <c r="L383" s="33">
        <v>0</v>
      </c>
      <c r="M383" s="41"/>
      <c r="N383" s="59"/>
      <c r="O383" s="41"/>
      <c r="P383" s="13"/>
      <c r="Q383" s="33">
        <v>0</v>
      </c>
      <c r="R383" s="41"/>
      <c r="S383" s="85">
        <f t="shared" si="88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86"/>
        <v>BoutiqueServices extérieurs</v>
      </c>
      <c r="B384" s="11" t="s">
        <v>114</v>
      </c>
      <c r="C384" s="102" t="s">
        <v>54</v>
      </c>
      <c r="D384" s="87"/>
      <c r="E384" s="111"/>
      <c r="F384" s="22">
        <v>0</v>
      </c>
      <c r="G384" s="89"/>
      <c r="H384" s="111"/>
      <c r="I384" s="22"/>
      <c r="J384" s="23"/>
      <c r="K384" s="111"/>
      <c r="L384" s="22">
        <v>0</v>
      </c>
      <c r="M384" s="23"/>
      <c r="N384" s="91"/>
      <c r="O384" s="23"/>
      <c r="P384" s="111"/>
      <c r="Q384" s="22">
        <v>0</v>
      </c>
      <c r="R384" s="23"/>
      <c r="S384" s="92">
        <f t="shared" si="88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86"/>
        <v>BoutiqueFournitures autres</v>
      </c>
      <c r="B385" s="11" t="s">
        <v>114</v>
      </c>
      <c r="C385" s="210" t="s">
        <v>55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86"/>
        <v>BoutiqueUniformes</v>
      </c>
      <c r="B386" s="11" t="s">
        <v>114</v>
      </c>
      <c r="C386" s="102" t="s">
        <v>56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86"/>
        <v>BoutiquePapeterie</v>
      </c>
      <c r="B387" s="11" t="s">
        <v>114</v>
      </c>
      <c r="C387" s="102" t="s">
        <v>57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86"/>
        <v>BoutiqueTéléphone</v>
      </c>
      <c r="B388" s="11" t="s">
        <v>114</v>
      </c>
      <c r="C388" s="102" t="s">
        <v>58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86"/>
        <v>BoutiqueFrais postaux</v>
      </c>
      <c r="B389" s="11" t="s">
        <v>114</v>
      </c>
      <c r="C389" s="102" t="s">
        <v>59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86"/>
        <v>BoutiqueDivers</v>
      </c>
      <c r="B390" s="11" t="s">
        <v>114</v>
      </c>
      <c r="C390" s="102" t="s">
        <v>60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86"/>
        <v>BoutiqueFormation</v>
      </c>
      <c r="B391" s="11" t="s">
        <v>114</v>
      </c>
      <c r="C391" s="102" t="s">
        <v>61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86"/>
        <v>BoutiqueFrais bancaires</v>
      </c>
      <c r="B392" s="11" t="s">
        <v>114</v>
      </c>
      <c r="C392" s="102" t="s">
        <v>62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86"/>
        <v>Boutique[...]</v>
      </c>
      <c r="B394" s="11" t="s">
        <v>114</v>
      </c>
      <c r="C394" s="102" t="s">
        <v>19</v>
      </c>
      <c r="D394" s="81"/>
      <c r="E394" s="13"/>
      <c r="F394" s="30">
        <v>0</v>
      </c>
      <c r="G394" s="83"/>
      <c r="H394" s="13"/>
      <c r="I394" s="30"/>
      <c r="J394" s="41"/>
      <c r="K394" s="13"/>
      <c r="L394" s="33">
        <v>0</v>
      </c>
      <c r="M394" s="41"/>
      <c r="N394" s="59"/>
      <c r="O394" s="41"/>
      <c r="P394" s="13"/>
      <c r="Q394" s="33">
        <v>0</v>
      </c>
      <c r="R394" s="41"/>
      <c r="S394" s="85">
        <f t="shared" si="88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399999999999999" hidden="1">
      <c r="A395" t="str">
        <f t="shared" si="86"/>
        <v>Boutique[...]</v>
      </c>
      <c r="B395" s="11" t="s">
        <v>114</v>
      </c>
      <c r="C395" s="102" t="s">
        <v>19</v>
      </c>
      <c r="D395" s="87"/>
      <c r="E395" s="111"/>
      <c r="F395" s="30">
        <v>0</v>
      </c>
      <c r="G395" s="89"/>
      <c r="H395" s="111"/>
      <c r="I395" s="30"/>
      <c r="J395" s="23"/>
      <c r="K395" s="111"/>
      <c r="L395" s="33">
        <v>0</v>
      </c>
      <c r="M395" s="23"/>
      <c r="N395" s="91"/>
      <c r="O395" s="23"/>
      <c r="P395" s="111"/>
      <c r="Q395" s="33">
        <v>0</v>
      </c>
      <c r="R395" s="23"/>
      <c r="S395" s="92">
        <f t="shared" si="88"/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93" t="s">
        <v>63</v>
      </c>
      <c r="D396" s="94" t="s">
        <v>38</v>
      </c>
      <c r="E396" s="95">
        <f>IFERROR(F396/F$361,0)</f>
        <v>0</v>
      </c>
      <c r="F396" s="96">
        <f>+SUM(F379:F395)</f>
        <v>0</v>
      </c>
      <c r="G396" s="97"/>
      <c r="H396" s="95"/>
      <c r="I396" s="96"/>
      <c r="J396" s="97" t="s">
        <v>38</v>
      </c>
      <c r="K396" s="95">
        <f>IFERROR(L396/L$361,0)</f>
        <v>0</v>
      </c>
      <c r="L396" s="96">
        <f>+SUM(L379:L395)</f>
        <v>0</v>
      </c>
      <c r="M396" s="146"/>
      <c r="N396" s="96"/>
      <c r="O396" s="97" t="s">
        <v>38</v>
      </c>
      <c r="P396" s="95">
        <f>IFERROR(Q396/Q$361,0)</f>
        <v>0</v>
      </c>
      <c r="Q396" s="96">
        <f>+SUM(Q379:Q395)</f>
        <v>0</v>
      </c>
      <c r="R396" s="146"/>
      <c r="S396" s="114">
        <f>+SUM(S379:S395)</f>
        <v>0</v>
      </c>
      <c r="T396" s="10"/>
      <c r="U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29"/>
      <c r="D397" s="13"/>
      <c r="E397" s="13"/>
      <c r="F397" s="40"/>
      <c r="G397" s="41"/>
      <c r="H397" s="13"/>
      <c r="I397" s="40"/>
      <c r="J397" s="41"/>
      <c r="K397" s="13"/>
      <c r="L397" s="40"/>
      <c r="M397" s="78"/>
      <c r="N397" s="77"/>
      <c r="O397" s="41"/>
      <c r="P397" s="13"/>
      <c r="Q397" s="40"/>
      <c r="R397" s="41"/>
      <c r="S397" s="243"/>
      <c r="T397" s="244"/>
      <c r="U397" s="244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93" t="s">
        <v>64</v>
      </c>
      <c r="D398" s="94" t="s">
        <v>38</v>
      </c>
      <c r="E398" s="95">
        <f>IFERROR(F398/F$361,0)</f>
        <v>0</v>
      </c>
      <c r="F398" s="96">
        <f>F378+F396</f>
        <v>0</v>
      </c>
      <c r="G398" s="97"/>
      <c r="H398" s="95"/>
      <c r="I398" s="96"/>
      <c r="J398" s="97" t="s">
        <v>38</v>
      </c>
      <c r="K398" s="95">
        <f>IFERROR(L398/L$361,0)</f>
        <v>0</v>
      </c>
      <c r="L398" s="96">
        <f>L378+L396</f>
        <v>0</v>
      </c>
      <c r="M398" s="245"/>
      <c r="N398" s="96"/>
      <c r="O398" s="97" t="s">
        <v>38</v>
      </c>
      <c r="P398" s="95">
        <f>IFERROR(Q398/Q$361,0)</f>
        <v>0</v>
      </c>
      <c r="Q398" s="96">
        <f>Q378+Q396</f>
        <v>0</v>
      </c>
      <c r="R398" s="100"/>
      <c r="S398" s="101">
        <f>L398-Q398</f>
        <v>0</v>
      </c>
      <c r="T398" s="244"/>
      <c r="U398" s="244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" hidden="1">
      <c r="B399" s="7"/>
      <c r="C399" s="29"/>
      <c r="D399" s="13"/>
      <c r="E399" s="13"/>
      <c r="F399" s="59"/>
      <c r="G399" s="41"/>
      <c r="H399" s="13"/>
      <c r="I399" s="59"/>
      <c r="J399" s="41"/>
      <c r="K399" s="13"/>
      <c r="L399" s="59"/>
      <c r="M399" s="78"/>
      <c r="N399" s="77"/>
      <c r="O399" s="41"/>
      <c r="P399" s="13"/>
      <c r="Q399" s="59"/>
      <c r="R399" s="41"/>
      <c r="S399" s="243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2.2" hidden="1" thickTop="1" thickBot="1">
      <c r="B400" s="7"/>
      <c r="C400" s="246" t="s">
        <v>69</v>
      </c>
      <c r="D400" s="247"/>
      <c r="E400" s="247"/>
      <c r="F400" s="248">
        <f>F363-F398</f>
        <v>0</v>
      </c>
      <c r="G400" s="249"/>
      <c r="H400" s="247"/>
      <c r="I400" s="248"/>
      <c r="J400" s="250"/>
      <c r="K400" s="251"/>
      <c r="L400" s="248">
        <f>L363-L398</f>
        <v>0</v>
      </c>
      <c r="M400" s="249"/>
      <c r="N400" s="248"/>
      <c r="O400" s="250"/>
      <c r="P400" s="251"/>
      <c r="Q400" s="248">
        <f>Q363-Q398</f>
        <v>0</v>
      </c>
      <c r="R400" s="250"/>
      <c r="S400" s="252">
        <f>L400-Q400</f>
        <v>0</v>
      </c>
      <c r="T400" s="10"/>
      <c r="U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61" ht="21" hidden="1">
      <c r="B401" s="7"/>
      <c r="C401" s="76"/>
      <c r="D401" s="81"/>
      <c r="E401" s="13"/>
      <c r="F401" s="112"/>
      <c r="G401" s="81"/>
      <c r="H401" s="13"/>
      <c r="I401" s="112"/>
      <c r="J401" s="76"/>
      <c r="K401" s="76"/>
      <c r="L401" s="112"/>
      <c r="M401" s="76"/>
      <c r="N401" s="112"/>
      <c r="O401" s="76"/>
      <c r="P401" s="76"/>
      <c r="Q401" s="112"/>
      <c r="R401" s="76"/>
      <c r="S401" s="112"/>
      <c r="T401" s="13"/>
      <c r="U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61" ht="20.399999999999999">
      <c r="B402" s="7"/>
      <c r="C402" s="13"/>
      <c r="D402" s="13"/>
      <c r="E402" s="13"/>
      <c r="F402" s="82">
        <f>F354+F290+F234</f>
        <v>97406.933471348544</v>
      </c>
      <c r="G402" s="13"/>
      <c r="H402" s="13"/>
      <c r="I402" s="13"/>
      <c r="J402" s="13"/>
      <c r="K402" s="13"/>
      <c r="L402" s="82">
        <f>L354+L290+L234</f>
        <v>105251.85999999999</v>
      </c>
      <c r="M402" s="13"/>
      <c r="N402" s="13"/>
      <c r="O402" s="13"/>
      <c r="P402" s="13"/>
      <c r="Q402" s="13"/>
      <c r="R402" s="13"/>
      <c r="S402" s="13"/>
      <c r="T402" s="10"/>
      <c r="U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Q402" s="467"/>
      <c r="AU402" s="467"/>
      <c r="AV402" s="468"/>
    </row>
    <row r="403" spans="1:61" ht="35.4">
      <c r="B403" s="7"/>
      <c r="C403" s="10"/>
      <c r="D403" s="10"/>
      <c r="E403" s="10"/>
      <c r="F403" s="154"/>
      <c r="G403" s="10"/>
      <c r="H403" s="10"/>
      <c r="I403" s="10"/>
      <c r="J403" s="10"/>
      <c r="K403" s="10"/>
      <c r="L403" s="493">
        <f>L402/F402</f>
        <v>1.0805376604013406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6" t="str">
        <f>C1</f>
        <v>BMW Sherbrooke</v>
      </c>
      <c r="W403" s="6"/>
      <c r="X403" s="6"/>
      <c r="Y403" s="6"/>
      <c r="Z403" s="1"/>
      <c r="AA403" s="1"/>
      <c r="AB403" s="6"/>
      <c r="AC403" s="6"/>
      <c r="AD403" s="1"/>
      <c r="AE403" s="3" t="s">
        <v>116</v>
      </c>
      <c r="AF403" s="6"/>
      <c r="AG403" s="6"/>
      <c r="AH403" s="1"/>
      <c r="AI403" s="1"/>
      <c r="AJ403" s="253"/>
      <c r="AK403" s="2"/>
      <c r="AL403" s="1"/>
      <c r="AM403" s="6"/>
      <c r="AN403" s="6"/>
      <c r="AO403" s="5" t="str">
        <f>$S$1</f>
        <v>Réalisé, Juillet 2026</v>
      </c>
      <c r="AP403" s="244"/>
      <c r="AQ403" s="467"/>
      <c r="AS403" s="468"/>
      <c r="AT403" s="469"/>
      <c r="AU403" s="467"/>
      <c r="AV403" s="468"/>
      <c r="AW403" s="468"/>
      <c r="AX403" s="468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</row>
    <row r="404" spans="1:61" ht="18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10"/>
      <c r="AN404" s="10"/>
      <c r="AO404" s="10"/>
      <c r="AP404" s="244"/>
      <c r="AQ404" s="470"/>
      <c r="AR404" s="244"/>
      <c r="AS404" s="468"/>
      <c r="AT404" s="471"/>
      <c r="AU404" s="470"/>
      <c r="AV404" s="472"/>
      <c r="AW404" s="472"/>
      <c r="AX404" s="472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</row>
    <row r="405" spans="1:61" ht="22.2" thickTop="1" thickBot="1">
      <c r="A405" t="str">
        <f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55"/>
      <c r="W405" s="256"/>
      <c r="X405" s="514" t="s">
        <v>117</v>
      </c>
      <c r="Y405" s="512"/>
      <c r="Z405" s="515"/>
      <c r="AA405" s="511"/>
      <c r="AB405" s="512"/>
      <c r="AC405" s="515"/>
      <c r="AD405" s="511" t="s">
        <v>7</v>
      </c>
      <c r="AE405" s="512"/>
      <c r="AF405" s="515"/>
      <c r="AG405" s="511" t="s">
        <v>212</v>
      </c>
      <c r="AH405" s="512"/>
      <c r="AI405" s="515"/>
      <c r="AJ405" s="511" t="s">
        <v>118</v>
      </c>
      <c r="AK405" s="512"/>
      <c r="AL405" s="512"/>
      <c r="AM405" s="511" t="s">
        <v>119</v>
      </c>
      <c r="AN405" s="512"/>
      <c r="AO405" s="513"/>
      <c r="AP405" s="244"/>
      <c r="AQ405" s="470"/>
      <c r="AR405" s="244"/>
      <c r="AS405" s="472"/>
      <c r="AT405" s="471"/>
      <c r="AU405" s="470"/>
      <c r="AV405" s="472"/>
      <c r="AW405" s="472"/>
      <c r="AX405" s="472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</row>
    <row r="406" spans="1:61" ht="20.399999999999999">
      <c r="A406" t="str">
        <f t="shared" ref="A406:A485" si="89">+U406&amp;V406</f>
        <v/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6"/>
      <c r="W406" s="257" t="s">
        <v>120</v>
      </c>
      <c r="X406" s="257" t="s">
        <v>121</v>
      </c>
      <c r="Y406" s="257" t="s">
        <v>122</v>
      </c>
      <c r="Z406" s="258" t="s">
        <v>123</v>
      </c>
      <c r="AA406" s="257"/>
      <c r="AB406" s="257"/>
      <c r="AC406" s="258"/>
      <c r="AD406" s="259" t="s">
        <v>121</v>
      </c>
      <c r="AE406" s="257" t="s">
        <v>122</v>
      </c>
      <c r="AF406" s="257" t="s">
        <v>123</v>
      </c>
      <c r="AG406" s="259" t="s">
        <v>124</v>
      </c>
      <c r="AH406" s="257" t="s">
        <v>125</v>
      </c>
      <c r="AI406" s="257" t="s">
        <v>126</v>
      </c>
      <c r="AJ406" s="259" t="s">
        <v>121</v>
      </c>
      <c r="AK406" s="257" t="s">
        <v>122</v>
      </c>
      <c r="AL406" s="257" t="s">
        <v>123</v>
      </c>
      <c r="AM406" s="260" t="s">
        <v>124</v>
      </c>
      <c r="AN406" s="257" t="s">
        <v>125</v>
      </c>
      <c r="AO406" s="139" t="s">
        <v>126</v>
      </c>
      <c r="AP406" s="244"/>
      <c r="AQ406" s="473"/>
      <c r="AR406" s="393"/>
      <c r="AS406" s="393"/>
      <c r="AT406" s="474"/>
      <c r="AU406" s="473"/>
      <c r="AV406" s="475"/>
      <c r="AW406" s="475"/>
      <c r="AX406" s="475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</row>
    <row r="407" spans="1:61" ht="17.399999999999999">
      <c r="A407" t="str">
        <f t="shared" si="89"/>
        <v>Ventes nettes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4"/>
      <c r="U407" s="244"/>
      <c r="V407" s="103" t="s">
        <v>14</v>
      </c>
      <c r="W407" s="261"/>
      <c r="X407" s="261"/>
      <c r="Y407" s="261"/>
      <c r="Z407" s="262">
        <f>F5+F93+E195+E251+D315+D363</f>
        <v>4439642.332058968</v>
      </c>
      <c r="AA407" s="261"/>
      <c r="AB407" s="261"/>
      <c r="AC407" s="262"/>
      <c r="AD407" s="263"/>
      <c r="AE407" s="264"/>
      <c r="AF407" s="264">
        <f>L5+L93+K195+K251+J315+J363</f>
        <v>5110733.7100000009</v>
      </c>
      <c r="AG407" s="263"/>
      <c r="AH407" s="264"/>
      <c r="AI407" s="265"/>
      <c r="AJ407" s="263"/>
      <c r="AK407" s="264"/>
      <c r="AL407" s="264">
        <f>Q5+Q93+P195+P251+O315+O363</f>
        <v>3552385.36</v>
      </c>
      <c r="AM407" s="266"/>
      <c r="AN407" s="264"/>
      <c r="AO407" s="267"/>
      <c r="AP407" s="244"/>
      <c r="AQ407" s="244"/>
      <c r="AR407" s="244"/>
      <c r="AS407" s="244"/>
      <c r="AT407" s="244"/>
      <c r="AU407" s="244"/>
      <c r="AV407" s="472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</row>
    <row r="408" spans="1:61" ht="17.399999999999999">
      <c r="A408" t="str">
        <f t="shared" si="89"/>
        <v>Profit brut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4"/>
      <c r="U408" s="244"/>
      <c r="V408" s="268" t="s">
        <v>127</v>
      </c>
      <c r="W408" s="269"/>
      <c r="X408" s="269"/>
      <c r="Y408" s="269"/>
      <c r="Z408" s="270">
        <f>F27+F109+F195+F251+F315+F363</f>
        <v>485200.76480110514</v>
      </c>
      <c r="AA408" s="269"/>
      <c r="AB408" s="269"/>
      <c r="AC408" s="270"/>
      <c r="AD408" s="271"/>
      <c r="AE408" s="272"/>
      <c r="AF408" s="272">
        <f>L27+L109+L195+L251+L315+L363</f>
        <v>479257.63999999996</v>
      </c>
      <c r="AG408" s="271"/>
      <c r="AH408" s="272">
        <f>AF408-Z408</f>
        <v>-5943.1248011051794</v>
      </c>
      <c r="AI408" s="273">
        <f>AH408/Z408</f>
        <v>-1.224879520447871E-2</v>
      </c>
      <c r="AJ408" s="271">
        <f>+AL408/AL407</f>
        <v>0.11745447290099169</v>
      </c>
      <c r="AK408" s="272"/>
      <c r="AL408" s="272">
        <f>Q27+Q109+Q195+Q251+Q315+Q363</f>
        <v>417243.54999999958</v>
      </c>
      <c r="AM408" s="274"/>
      <c r="AN408" s="272">
        <f>AF408-AL408</f>
        <v>62014.090000000375</v>
      </c>
      <c r="AO408" s="275">
        <f>IF(AL408=0,0,AN408/AL408)</f>
        <v>0.1486280375095084</v>
      </c>
      <c r="AP408" s="244"/>
      <c r="AQ408" s="244"/>
      <c r="AR408" s="308"/>
      <c r="AS408" s="308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</row>
    <row r="409" spans="1:61" ht="17.399999999999999">
      <c r="A409" t="str">
        <f t="shared" si="89"/>
        <v>DÉPENSES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4"/>
      <c r="U409" s="244"/>
      <c r="V409" s="276" t="s">
        <v>128</v>
      </c>
      <c r="W409" s="277"/>
      <c r="X409" s="277"/>
      <c r="Y409" s="277"/>
      <c r="Z409" s="278"/>
      <c r="AA409" s="277"/>
      <c r="AB409" s="277"/>
      <c r="AC409" s="278"/>
      <c r="AD409" s="279"/>
      <c r="AE409" s="277"/>
      <c r="AF409" s="280"/>
      <c r="AG409" s="279"/>
      <c r="AH409" s="280"/>
      <c r="AI409" s="281"/>
      <c r="AJ409" s="279"/>
      <c r="AK409" s="277"/>
      <c r="AL409" s="280"/>
      <c r="AM409" s="282"/>
      <c r="AN409" s="280"/>
      <c r="AO409" s="283"/>
      <c r="AP409" s="244"/>
      <c r="AQ409" s="244"/>
      <c r="AR409" s="244"/>
      <c r="AS409" s="244"/>
      <c r="AT409" s="244"/>
      <c r="AU409" s="470"/>
      <c r="AV409" s="470"/>
      <c r="AW409" s="470"/>
      <c r="AX409" s="470"/>
      <c r="AY409" s="470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</row>
    <row r="410" spans="1:61" ht="17.399999999999999">
      <c r="A410" t="str">
        <f t="shared" si="89"/>
        <v>Comm. vendeurs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4"/>
      <c r="U410" s="244"/>
      <c r="V410" s="102" t="s">
        <v>30</v>
      </c>
      <c r="W410" s="284" t="s">
        <v>129</v>
      </c>
      <c r="X410" s="277"/>
      <c r="Y410" s="285">
        <f t="shared" ref="Y410:Y419" si="90">Z410/(D$13+D$97)</f>
        <v>942.10730903501758</v>
      </c>
      <c r="Z410" s="278">
        <f t="shared" ref="Z410:Z416" si="91">+SUMIF($C:$C,$V410,F:F)</f>
        <v>39568.506979470738</v>
      </c>
      <c r="AA410" s="277"/>
      <c r="AB410" s="285"/>
      <c r="AC410" s="278"/>
      <c r="AD410" s="286"/>
      <c r="AE410" s="285">
        <f t="shared" ref="AE410:AE415" si="92">IF(AF410=0,0,AF410/(J$13+J$97))</f>
        <v>1021.3636</v>
      </c>
      <c r="AF410" s="278">
        <f t="shared" ref="AF410:AF416" si="93">+SUMIF($C:$C,$V410,L:L)</f>
        <v>51068.18</v>
      </c>
      <c r="AG410" s="279">
        <f t="shared" ref="AG410:AH425" si="94">AE410-Y410</f>
        <v>79.256290964982441</v>
      </c>
      <c r="AH410" s="280">
        <f t="shared" si="94"/>
        <v>11499.673020529262</v>
      </c>
      <c r="AI410" s="281">
        <f t="shared" ref="AI410:AI419" si="95">IF(Z410=0,0,AH410/Z410)</f>
        <v>0.29062691262259704</v>
      </c>
      <c r="AJ410" s="286"/>
      <c r="AK410" s="280">
        <f t="shared" ref="AK410:AK419" si="96">AL410/(O$13+O$97)</f>
        <v>928.81366666666668</v>
      </c>
      <c r="AL410" s="278">
        <f t="shared" ref="AL410:AL415" si="97">+SUMIF($C:$C,$V410,Q:Q)</f>
        <v>27864.41</v>
      </c>
      <c r="AM410" s="282">
        <f t="shared" ref="AM410:AM415" si="98">AE410-Y410</f>
        <v>79.256290964982441</v>
      </c>
      <c r="AN410" s="280">
        <f t="shared" ref="AN410:AN415" si="99">AF410-AL410</f>
        <v>23203.77</v>
      </c>
      <c r="AO410" s="287">
        <f t="shared" ref="AO410:AO432" si="100">IF(AL410=0,0,AN410/AL410)</f>
        <v>0.83273860813848199</v>
      </c>
      <c r="AP410" s="244"/>
      <c r="AQ410" s="244"/>
      <c r="AS410" s="476"/>
      <c r="AT410" s="469"/>
      <c r="AU410" s="470"/>
      <c r="AV410" s="470"/>
      <c r="AW410" s="470"/>
      <c r="AX410" s="470"/>
      <c r="AY410" s="470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</row>
    <row r="411" spans="1:61" ht="17.399999999999999">
      <c r="A411" t="str">
        <f t="shared" si="89"/>
        <v>Comm. F&amp;I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4"/>
      <c r="U411" s="244"/>
      <c r="V411" s="103" t="s">
        <v>31</v>
      </c>
      <c r="W411" s="288" t="s">
        <v>130</v>
      </c>
      <c r="X411" s="261"/>
      <c r="Y411" s="289">
        <f t="shared" si="90"/>
        <v>475.42857142857144</v>
      </c>
      <c r="Z411" s="262">
        <f t="shared" si="91"/>
        <v>19968</v>
      </c>
      <c r="AA411" s="261"/>
      <c r="AB411" s="289"/>
      <c r="AC411" s="262"/>
      <c r="AD411" s="290"/>
      <c r="AE411" s="289">
        <f t="shared" si="92"/>
        <v>116.32080000000001</v>
      </c>
      <c r="AF411" s="262">
        <f t="shared" si="93"/>
        <v>5816.04</v>
      </c>
      <c r="AG411" s="263">
        <f t="shared" si="94"/>
        <v>-359.10777142857143</v>
      </c>
      <c r="AH411" s="264">
        <f t="shared" si="94"/>
        <v>-14151.96</v>
      </c>
      <c r="AI411" s="291">
        <f t="shared" si="95"/>
        <v>-0.70873197115384612</v>
      </c>
      <c r="AJ411" s="290"/>
      <c r="AK411" s="264">
        <f t="shared" si="96"/>
        <v>823.69333333333338</v>
      </c>
      <c r="AL411" s="262">
        <f t="shared" si="97"/>
        <v>24710.800000000003</v>
      </c>
      <c r="AM411" s="266">
        <f t="shared" si="98"/>
        <v>-359.10777142857143</v>
      </c>
      <c r="AN411" s="264">
        <f t="shared" si="99"/>
        <v>-18894.760000000002</v>
      </c>
      <c r="AO411" s="292">
        <f t="shared" si="100"/>
        <v>-0.76463570584521745</v>
      </c>
      <c r="AP411" s="244"/>
      <c r="AQ411" s="244"/>
      <c r="AS411" s="436"/>
      <c r="AT411" s="469"/>
      <c r="AU411" s="470"/>
      <c r="AV411" s="470"/>
      <c r="AW411" s="470"/>
      <c r="AX411" s="470"/>
      <c r="AY411" s="470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</row>
    <row r="412" spans="1:61" ht="17.399999999999999">
      <c r="A412" t="str">
        <f t="shared" si="89"/>
        <v>Frais de livraison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4"/>
      <c r="U412" s="244"/>
      <c r="V412" s="102" t="s">
        <v>32</v>
      </c>
      <c r="W412" s="284" t="s">
        <v>131</v>
      </c>
      <c r="X412" s="277"/>
      <c r="Y412" s="285">
        <f t="shared" si="90"/>
        <v>108.57142857142857</v>
      </c>
      <c r="Z412" s="278">
        <f t="shared" si="91"/>
        <v>4560</v>
      </c>
      <c r="AA412" s="277"/>
      <c r="AB412" s="285"/>
      <c r="AC412" s="278"/>
      <c r="AD412" s="286"/>
      <c r="AE412" s="285">
        <f t="shared" si="92"/>
        <v>180.27260000000001</v>
      </c>
      <c r="AF412" s="278">
        <f t="shared" si="93"/>
        <v>9013.630000000001</v>
      </c>
      <c r="AG412" s="279">
        <f t="shared" si="94"/>
        <v>71.701171428571442</v>
      </c>
      <c r="AH412" s="280">
        <f t="shared" si="94"/>
        <v>4453.630000000001</v>
      </c>
      <c r="AI412" s="281">
        <f t="shared" si="95"/>
        <v>0.97667324561403535</v>
      </c>
      <c r="AJ412" s="286"/>
      <c r="AK412" s="280">
        <f t="shared" si="96"/>
        <v>148.99933333333331</v>
      </c>
      <c r="AL412" s="278">
        <f t="shared" si="97"/>
        <v>4469.9799999999996</v>
      </c>
      <c r="AM412" s="282">
        <f t="shared" si="98"/>
        <v>71.701171428571442</v>
      </c>
      <c r="AN412" s="280">
        <f t="shared" si="99"/>
        <v>4543.6500000000015</v>
      </c>
      <c r="AO412" s="287">
        <f t="shared" si="100"/>
        <v>1.0164810580807973</v>
      </c>
      <c r="AP412" s="244"/>
      <c r="AQ412" s="244"/>
      <c r="AS412" s="436"/>
      <c r="AT412" s="469"/>
      <c r="AU412" s="470"/>
      <c r="AV412" s="470"/>
      <c r="AW412" s="470"/>
      <c r="AX412" s="470"/>
      <c r="AY412" s="470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</row>
    <row r="413" spans="1:61" ht="17.399999999999999">
      <c r="A413" t="str">
        <f t="shared" si="89"/>
        <v>Service gratuit 1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4"/>
      <c r="U413" s="244"/>
      <c r="V413" s="102" t="s">
        <v>33</v>
      </c>
      <c r="W413" s="284" t="s">
        <v>148</v>
      </c>
      <c r="X413" s="277"/>
      <c r="Y413" s="285">
        <f t="shared" si="90"/>
        <v>63.214285714285715</v>
      </c>
      <c r="Z413" s="278">
        <f t="shared" si="91"/>
        <v>2655</v>
      </c>
      <c r="AA413" s="277"/>
      <c r="AB413" s="285"/>
      <c r="AC413" s="278"/>
      <c r="AD413" s="286"/>
      <c r="AE413" s="285">
        <f t="shared" si="92"/>
        <v>119.501</v>
      </c>
      <c r="AF413" s="278">
        <f t="shared" si="93"/>
        <v>5975.05</v>
      </c>
      <c r="AG413" s="279">
        <f t="shared" si="94"/>
        <v>56.286714285714289</v>
      </c>
      <c r="AH413" s="280">
        <f t="shared" si="94"/>
        <v>3320.05</v>
      </c>
      <c r="AI413" s="281">
        <f t="shared" si="95"/>
        <v>1.2504896421845575</v>
      </c>
      <c r="AJ413" s="286"/>
      <c r="AK413" s="280">
        <f t="shared" si="96"/>
        <v>57.684666666666665</v>
      </c>
      <c r="AL413" s="278">
        <f t="shared" si="97"/>
        <v>1730.54</v>
      </c>
      <c r="AM413" s="282">
        <f t="shared" si="98"/>
        <v>56.286714285714289</v>
      </c>
      <c r="AN413" s="280">
        <f t="shared" si="99"/>
        <v>4244.51</v>
      </c>
      <c r="AO413" s="293">
        <f t="shared" si="100"/>
        <v>2.4527084031573962</v>
      </c>
      <c r="AP413" s="244"/>
      <c r="AQ413" s="244"/>
      <c r="AS413" s="436"/>
      <c r="AT413" s="469"/>
      <c r="AU413" s="470"/>
      <c r="AV413" s="470"/>
      <c r="AW413" s="470"/>
      <c r="AX413" s="470"/>
      <c r="AY413" s="470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</row>
    <row r="414" spans="1:61" ht="17.399999999999999">
      <c r="A414" t="str">
        <f t="shared" si="89"/>
        <v>Entretien stock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4"/>
      <c r="U414" s="244"/>
      <c r="V414" s="103" t="s">
        <v>34</v>
      </c>
      <c r="W414" s="288" t="s">
        <v>220</v>
      </c>
      <c r="X414" s="261"/>
      <c r="Y414" s="289">
        <f t="shared" si="90"/>
        <v>77.333333333333329</v>
      </c>
      <c r="Z414" s="262">
        <f t="shared" si="91"/>
        <v>3248</v>
      </c>
      <c r="AA414" s="261"/>
      <c r="AB414" s="289"/>
      <c r="AC414" s="262"/>
      <c r="AD414" s="290"/>
      <c r="AE414" s="289">
        <f t="shared" si="92"/>
        <v>65.207599999999999</v>
      </c>
      <c r="AF414" s="262">
        <f t="shared" si="93"/>
        <v>3260.38</v>
      </c>
      <c r="AG414" s="263">
        <f t="shared" si="94"/>
        <v>-12.125733333333329</v>
      </c>
      <c r="AH414" s="264">
        <f t="shared" si="94"/>
        <v>12.380000000000109</v>
      </c>
      <c r="AI414" s="291">
        <f t="shared" si="95"/>
        <v>3.8115763546798364E-3</v>
      </c>
      <c r="AJ414" s="290"/>
      <c r="AK414" s="264">
        <f t="shared" si="96"/>
        <v>279.80933333333337</v>
      </c>
      <c r="AL414" s="262">
        <f t="shared" si="97"/>
        <v>8394.2800000000007</v>
      </c>
      <c r="AM414" s="266">
        <f t="shared" si="98"/>
        <v>-12.125733333333329</v>
      </c>
      <c r="AN414" s="264">
        <f t="shared" si="99"/>
        <v>-5133.9000000000005</v>
      </c>
      <c r="AO414" s="292">
        <f t="shared" si="100"/>
        <v>-0.61159503852623454</v>
      </c>
      <c r="AP414" s="244"/>
      <c r="AQ414" s="244"/>
      <c r="AS414" s="436"/>
      <c r="AT414" s="469"/>
      <c r="AU414" s="470"/>
      <c r="AV414" s="470"/>
      <c r="AW414" s="470"/>
      <c r="AX414" s="470"/>
      <c r="AY414" s="470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</row>
    <row r="415" spans="1:61" ht="17.399999999999999">
      <c r="A415" t="str">
        <f t="shared" si="89"/>
        <v>Publicité 1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4"/>
      <c r="U415" s="244"/>
      <c r="V415" s="102" t="s">
        <v>35</v>
      </c>
      <c r="W415" s="284" t="s">
        <v>221</v>
      </c>
      <c r="X415" s="281"/>
      <c r="Y415" s="285">
        <f t="shared" si="90"/>
        <v>135.47965367965367</v>
      </c>
      <c r="Z415" s="278">
        <f t="shared" si="91"/>
        <v>5690.1454545454535</v>
      </c>
      <c r="AA415" s="281"/>
      <c r="AB415" s="285"/>
      <c r="AC415" s="278"/>
      <c r="AD415" s="286"/>
      <c r="AE415" s="285">
        <f t="shared" si="92"/>
        <v>94.314600000000013</v>
      </c>
      <c r="AF415" s="278">
        <f t="shared" si="93"/>
        <v>4715.7300000000005</v>
      </c>
      <c r="AG415" s="279">
        <f t="shared" si="94"/>
        <v>-41.165053679653653</v>
      </c>
      <c r="AH415" s="280">
        <f t="shared" si="94"/>
        <v>-974.41545454545303</v>
      </c>
      <c r="AI415" s="281">
        <f t="shared" si="95"/>
        <v>-0.17124614165479049</v>
      </c>
      <c r="AJ415" s="286"/>
      <c r="AK415" s="280">
        <f t="shared" si="96"/>
        <v>491.91500000000002</v>
      </c>
      <c r="AL415" s="278">
        <f t="shared" si="97"/>
        <v>14757.45</v>
      </c>
      <c r="AM415" s="282">
        <f t="shared" si="98"/>
        <v>-41.165053679653653</v>
      </c>
      <c r="AN415" s="280">
        <f t="shared" si="99"/>
        <v>-10041.720000000001</v>
      </c>
      <c r="AO415" s="287">
        <f t="shared" si="100"/>
        <v>-0.68045089090594923</v>
      </c>
      <c r="AP415" s="244"/>
      <c r="AQ415" s="244"/>
      <c r="AR415" s="437"/>
      <c r="AS415" s="436"/>
      <c r="AT415" s="469"/>
      <c r="AU415" s="470"/>
      <c r="AV415" s="470"/>
      <c r="AW415" s="470"/>
      <c r="AX415" s="470"/>
      <c r="AY415" s="470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</row>
    <row r="416" spans="1:61" ht="20.399999999999999">
      <c r="A416" t="str">
        <f t="shared" si="89"/>
        <v>Intérêt de gros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4"/>
      <c r="U416" s="244"/>
      <c r="V416" s="102" t="s">
        <v>36</v>
      </c>
      <c r="W416" s="284" t="s">
        <v>222</v>
      </c>
      <c r="X416" s="277"/>
      <c r="Y416" s="285">
        <f t="shared" si="90"/>
        <v>687.58696194936988</v>
      </c>
      <c r="Z416" s="278">
        <f t="shared" si="91"/>
        <v>28878.652401873533</v>
      </c>
      <c r="AA416" s="277"/>
      <c r="AB416" s="285"/>
      <c r="AC416" s="278"/>
      <c r="AD416" s="286"/>
      <c r="AE416" s="285">
        <f>IF(AF416=0,0,AF416/(J$13+J$13))</f>
        <v>686.79090909090917</v>
      </c>
      <c r="AF416" s="278">
        <f t="shared" si="93"/>
        <v>30218.800000000003</v>
      </c>
      <c r="AG416" s="279">
        <f t="shared" si="94"/>
        <v>-0.79605285846071183</v>
      </c>
      <c r="AH416" s="280">
        <f t="shared" si="94"/>
        <v>1340.1475981264703</v>
      </c>
      <c r="AI416" s="281">
        <f t="shared" si="95"/>
        <v>4.6406168109129869E-2</v>
      </c>
      <c r="AJ416" s="286"/>
      <c r="AK416" s="280">
        <f t="shared" si="96"/>
        <v>888.90733333333333</v>
      </c>
      <c r="AL416" s="278">
        <f>IFERROR(SUMIF($C:$C,$V416,Q:Q),0)</f>
        <v>26667.22</v>
      </c>
      <c r="AM416" s="282">
        <f>AE416-Y416</f>
        <v>-0.79605285846071183</v>
      </c>
      <c r="AN416" s="280">
        <f>AF416-AL416</f>
        <v>3551.5800000000017</v>
      </c>
      <c r="AO416" s="292">
        <f t="shared" si="100"/>
        <v>0.13318148648415551</v>
      </c>
      <c r="AP416" s="244"/>
      <c r="AQ416" s="470">
        <v>30219</v>
      </c>
      <c r="AR416" s="13"/>
      <c r="AS416" s="477"/>
      <c r="AT416" s="244"/>
      <c r="AU416" s="470"/>
      <c r="AV416" s="470"/>
      <c r="AW416" s="470"/>
      <c r="AX416" s="470"/>
      <c r="AY416" s="470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</row>
    <row r="417" spans="1:61" ht="20.25" hidden="1" customHeight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4"/>
      <c r="U417" s="244"/>
      <c r="V417" s="102" t="s">
        <v>19</v>
      </c>
      <c r="W417" s="284"/>
      <c r="X417" s="281"/>
      <c r="Y417" s="285">
        <f t="shared" si="90"/>
        <v>0</v>
      </c>
      <c r="Z417" s="278">
        <f>IFERROR(SUMIF($C:$C,$V417,F:F),0)</f>
        <v>0</v>
      </c>
      <c r="AA417" s="277"/>
      <c r="AB417" s="285"/>
      <c r="AC417" s="278"/>
      <c r="AD417" s="286"/>
      <c r="AE417" s="285">
        <f>IF(AF417=0,0,AF417/(J$13+J$13))</f>
        <v>0</v>
      </c>
      <c r="AF417" s="278">
        <f>IFERROR(SUMIF($C:$C,$V417,L:L),0)</f>
        <v>0</v>
      </c>
      <c r="AG417" s="279">
        <f t="shared" si="94"/>
        <v>0</v>
      </c>
      <c r="AH417" s="280">
        <f t="shared" si="94"/>
        <v>0</v>
      </c>
      <c r="AI417" s="281">
        <f t="shared" si="95"/>
        <v>0</v>
      </c>
      <c r="AJ417" s="286"/>
      <c r="AK417" s="280">
        <f t="shared" si="96"/>
        <v>0</v>
      </c>
      <c r="AL417" s="278">
        <f>IFERROR(SUMIF($C:$C,$V417,Q:Q),0)</f>
        <v>0</v>
      </c>
      <c r="AM417" s="282">
        <f>AE417-Y417</f>
        <v>0</v>
      </c>
      <c r="AN417" s="280">
        <f>AF417-AL417</f>
        <v>0</v>
      </c>
      <c r="AO417" s="287">
        <f t="shared" si="100"/>
        <v>0</v>
      </c>
      <c r="AP417" s="244"/>
      <c r="AQ417" s="244"/>
      <c r="AR417" s="13"/>
      <c r="AS417" s="244"/>
      <c r="AT417" s="244"/>
      <c r="AU417" s="470"/>
      <c r="AV417" s="470"/>
      <c r="AW417" s="470"/>
      <c r="AX417" s="470"/>
      <c r="AY417" s="470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</row>
    <row r="418" spans="1:61" ht="20.25" hidden="1" customHeight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4"/>
      <c r="U418" s="244"/>
      <c r="V418" s="102" t="s">
        <v>19</v>
      </c>
      <c r="W418" s="284"/>
      <c r="X418" s="281"/>
      <c r="Y418" s="285">
        <f t="shared" si="90"/>
        <v>0</v>
      </c>
      <c r="Z418" s="278">
        <f>IFERROR(SUMIF($C:$C,$V418,F:F),0)</f>
        <v>0</v>
      </c>
      <c r="AA418" s="277"/>
      <c r="AB418" s="285"/>
      <c r="AC418" s="278"/>
      <c r="AD418" s="286"/>
      <c r="AE418" s="285">
        <f>IF(AF418=0,0,AF418/(J$13+J$13))</f>
        <v>0</v>
      </c>
      <c r="AF418" s="278">
        <f>IFERROR(SUMIF($C:$C,$V418,L:L),0)</f>
        <v>0</v>
      </c>
      <c r="AG418" s="279">
        <f t="shared" si="94"/>
        <v>0</v>
      </c>
      <c r="AH418" s="280">
        <f t="shared" si="94"/>
        <v>0</v>
      </c>
      <c r="AI418" s="281">
        <f t="shared" si="95"/>
        <v>0</v>
      </c>
      <c r="AJ418" s="286"/>
      <c r="AK418" s="280">
        <f t="shared" si="96"/>
        <v>0</v>
      </c>
      <c r="AL418" s="278">
        <f>IFERROR(SUMIF($C:$C,$V418,Q:Q),0)</f>
        <v>0</v>
      </c>
      <c r="AM418" s="282">
        <f>AE418-Y418</f>
        <v>0</v>
      </c>
      <c r="AN418" s="280">
        <f>AF418-AL418</f>
        <v>0</v>
      </c>
      <c r="AO418" s="287">
        <f t="shared" si="100"/>
        <v>0</v>
      </c>
      <c r="AP418" s="244"/>
      <c r="AQ418" s="244"/>
      <c r="AR418" s="13"/>
      <c r="AS418" s="244"/>
      <c r="AT418" s="244"/>
      <c r="AU418" s="470"/>
      <c r="AV418" s="470"/>
      <c r="AW418" s="470"/>
      <c r="AX418" s="470"/>
      <c r="AY418" s="470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</row>
    <row r="419" spans="1:61" ht="20.25" hidden="1" customHeight="1">
      <c r="A419" t="str">
        <f t="shared" si="89"/>
        <v>[...]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4"/>
      <c r="U419" s="244"/>
      <c r="V419" s="102" t="s">
        <v>19</v>
      </c>
      <c r="W419" s="284" t="s">
        <v>134</v>
      </c>
      <c r="X419" s="277"/>
      <c r="Y419" s="285">
        <f t="shared" si="90"/>
        <v>0</v>
      </c>
      <c r="Z419" s="278">
        <f>IFERROR(SUMIF($C:$C,$V419,F:F),0)</f>
        <v>0</v>
      </c>
      <c r="AA419" s="277"/>
      <c r="AB419" s="285"/>
      <c r="AC419" s="278"/>
      <c r="AD419" s="286"/>
      <c r="AE419" s="285">
        <f>IF(AF419=0,0,AF419/(J$13+J$13))</f>
        <v>0</v>
      </c>
      <c r="AF419" s="278">
        <f>IFERROR(SUMIF($C:$C,$V419,L:L),0)</f>
        <v>0</v>
      </c>
      <c r="AG419" s="279">
        <f t="shared" si="94"/>
        <v>0</v>
      </c>
      <c r="AH419" s="280">
        <f t="shared" si="94"/>
        <v>0</v>
      </c>
      <c r="AI419" s="281">
        <f t="shared" si="95"/>
        <v>0</v>
      </c>
      <c r="AJ419" s="286"/>
      <c r="AK419" s="280">
        <f t="shared" si="96"/>
        <v>0</v>
      </c>
      <c r="AL419" s="278">
        <f>IFERROR(SUMIF($C:$C,$V419,Q:Q),0)</f>
        <v>0</v>
      </c>
      <c r="AM419" s="282">
        <f>AE419-Y419</f>
        <v>0</v>
      </c>
      <c r="AN419" s="280">
        <f>AF419-AL419</f>
        <v>0</v>
      </c>
      <c r="AO419" s="287">
        <f t="shared" si="100"/>
        <v>0</v>
      </c>
      <c r="AP419" s="244"/>
      <c r="AQ419" s="244"/>
      <c r="AR419" s="13"/>
      <c r="AS419" s="244"/>
      <c r="AT419" s="244"/>
      <c r="AU419" s="470"/>
      <c r="AV419" s="470"/>
      <c r="AW419" s="470"/>
      <c r="AX419" s="470"/>
      <c r="AY419" s="470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</row>
    <row r="420" spans="1:61" ht="20.399999999999999">
      <c r="A420" t="str">
        <f t="shared" si="89"/>
        <v>TOTAL VARIABLES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44"/>
      <c r="U420" s="244"/>
      <c r="V420" s="294" t="s">
        <v>37</v>
      </c>
      <c r="W420" s="295"/>
      <c r="X420" s="296">
        <f>Z420/Z408</f>
        <v>0.21551554000281647</v>
      </c>
      <c r="Y420" s="295"/>
      <c r="Z420" s="297">
        <f>SUM(Z410:Z419)</f>
        <v>104568.30483588972</v>
      </c>
      <c r="AA420" s="296"/>
      <c r="AB420" s="295"/>
      <c r="AC420" s="297"/>
      <c r="AD420" s="298">
        <f>AF420/AF408</f>
        <v>0.22966313067017569</v>
      </c>
      <c r="AE420" s="295"/>
      <c r="AF420" s="297">
        <f>SUM(AF410:AF419)</f>
        <v>110067.81000000001</v>
      </c>
      <c r="AG420" s="299"/>
      <c r="AH420" s="300">
        <f t="shared" si="94"/>
        <v>5499.5051641102909</v>
      </c>
      <c r="AI420" s="296">
        <f>AH420/Z420</f>
        <v>5.2592467409137554E-2</v>
      </c>
      <c r="AJ420" s="298">
        <f>IF($AL$408=0,0,AL420/$AL$408)</f>
        <v>0.2602668872892106</v>
      </c>
      <c r="AK420" s="295"/>
      <c r="AL420" s="297">
        <f>SUM(AL410:AL419)</f>
        <v>108594.68000000001</v>
      </c>
      <c r="AM420" s="301"/>
      <c r="AN420" s="300">
        <f t="shared" ref="AN420:AN432" si="101">AF420-AL420</f>
        <v>1473.1300000000047</v>
      </c>
      <c r="AO420" s="275">
        <f t="shared" si="100"/>
        <v>1.3565397494610274E-2</v>
      </c>
      <c r="AP420" s="244"/>
      <c r="AQ420" s="244"/>
      <c r="AR420" s="13"/>
      <c r="AS420" s="244"/>
      <c r="AT420" s="244"/>
      <c r="AU420" s="470"/>
      <c r="AV420" s="470"/>
      <c r="AW420" s="470"/>
      <c r="AX420" s="470"/>
      <c r="AY420" s="470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</row>
    <row r="421" spans="1:61" ht="17.399999999999999">
      <c r="A421" t="str">
        <f t="shared" si="89"/>
        <v>Salaires propriétaire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2"/>
      <c r="P421" s="154"/>
      <c r="Q421" s="10"/>
      <c r="R421" s="10"/>
      <c r="S421" s="10"/>
      <c r="T421" s="244"/>
      <c r="U421" s="244"/>
      <c r="V421" s="102" t="s">
        <v>135</v>
      </c>
      <c r="W421" s="284" t="s">
        <v>137</v>
      </c>
      <c r="X421" s="277"/>
      <c r="Y421" s="277"/>
      <c r="Z421" s="278">
        <v>17588.122605363984</v>
      </c>
      <c r="AA421" s="277"/>
      <c r="AB421" s="277"/>
      <c r="AC421" s="278"/>
      <c r="AD421" s="286"/>
      <c r="AE421" s="285"/>
      <c r="AF421" s="278">
        <v>17950.030000000002</v>
      </c>
      <c r="AG421" s="279"/>
      <c r="AH421" s="280">
        <f t="shared" si="94"/>
        <v>361.90739463601858</v>
      </c>
      <c r="AI421" s="281">
        <f t="shared" ref="AI421:AI433" si="102">IF(Z421=0,0,AH421/Z421)</f>
        <v>2.0576806448099522E-2</v>
      </c>
      <c r="AJ421" s="286"/>
      <c r="AK421" s="277"/>
      <c r="AL421" s="278">
        <v>13081.7</v>
      </c>
      <c r="AM421" s="282"/>
      <c r="AN421" s="280">
        <f t="shared" si="101"/>
        <v>4868.3300000000017</v>
      </c>
      <c r="AO421" s="287">
        <f t="shared" si="100"/>
        <v>0.37214811530611475</v>
      </c>
      <c r="AP421" s="244"/>
      <c r="AQ421" s="244"/>
      <c r="AS421" s="244"/>
      <c r="AT421" s="244"/>
      <c r="AU421" s="470"/>
      <c r="AV421" s="470"/>
      <c r="AW421" s="470"/>
      <c r="AX421" s="470"/>
      <c r="AY421" s="470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</row>
    <row r="422" spans="1:61" ht="17.399999999999999">
      <c r="A422" t="str">
        <f t="shared" si="89"/>
        <v>Salaires cadres</v>
      </c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02"/>
      <c r="P422" s="154"/>
      <c r="Q422" s="10"/>
      <c r="R422" s="10"/>
      <c r="S422" s="10"/>
      <c r="T422" s="244"/>
      <c r="U422" s="244"/>
      <c r="V422" s="102" t="s">
        <v>40</v>
      </c>
      <c r="W422" s="284" t="s">
        <v>140</v>
      </c>
      <c r="X422" s="277"/>
      <c r="Y422" s="277"/>
      <c r="Z422" s="278">
        <f t="shared" ref="Z422:Z432" si="103">+SUMIF($C:$C,$V422,F:F)</f>
        <v>35451.725028030232</v>
      </c>
      <c r="AA422" s="277"/>
      <c r="AB422" s="277"/>
      <c r="AC422" s="278"/>
      <c r="AD422" s="286"/>
      <c r="AE422" s="285"/>
      <c r="AF422" s="278">
        <f t="shared" ref="AF422:AF433" si="104">+SUMIF($C:$C,$V422,L:L)</f>
        <v>31540.899999999998</v>
      </c>
      <c r="AG422" s="279"/>
      <c r="AH422" s="280">
        <f t="shared" si="94"/>
        <v>-3910.8250280302345</v>
      </c>
      <c r="AI422" s="281">
        <f t="shared" si="102"/>
        <v>-0.11031409684403523</v>
      </c>
      <c r="AJ422" s="286"/>
      <c r="AK422" s="277"/>
      <c r="AL422" s="278">
        <f t="shared" ref="AL422:AL430" si="105">+SUMIF($C:$C,$V422,Q:Q)</f>
        <v>31689.399999999998</v>
      </c>
      <c r="AM422" s="282"/>
      <c r="AN422" s="280">
        <f t="shared" si="101"/>
        <v>-148.5</v>
      </c>
      <c r="AO422" s="287">
        <f t="shared" si="100"/>
        <v>-4.6861095508277219E-3</v>
      </c>
      <c r="AP422" s="244"/>
      <c r="AQ422" s="244"/>
      <c r="AR422" s="437"/>
      <c r="AS422" s="244"/>
      <c r="AT422" s="244"/>
      <c r="AU422" s="470"/>
      <c r="AV422" s="470"/>
      <c r="AW422" s="470"/>
      <c r="AX422" s="470"/>
      <c r="AY422" s="470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</row>
    <row r="423" spans="1:61" ht="17.399999999999999">
      <c r="A423" t="str">
        <f t="shared" si="89"/>
        <v>Salaires commis</v>
      </c>
      <c r="B423" s="7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303"/>
      <c r="P423" s="154"/>
      <c r="Q423" s="244"/>
      <c r="R423" s="244"/>
      <c r="S423" s="244"/>
      <c r="T423" s="244"/>
      <c r="U423" s="244"/>
      <c r="V423" s="103" t="s">
        <v>41</v>
      </c>
      <c r="W423" s="288" t="s">
        <v>138</v>
      </c>
      <c r="X423" s="261"/>
      <c r="Y423" s="261"/>
      <c r="Z423" s="262">
        <f t="shared" si="103"/>
        <v>15488.606263103642</v>
      </c>
      <c r="AA423" s="261"/>
      <c r="AB423" s="261"/>
      <c r="AC423" s="262"/>
      <c r="AD423" s="290"/>
      <c r="AE423" s="289"/>
      <c r="AF423" s="262">
        <f t="shared" si="104"/>
        <v>8428.24</v>
      </c>
      <c r="AG423" s="263"/>
      <c r="AH423" s="264">
        <f t="shared" si="94"/>
        <v>-7060.3662631036423</v>
      </c>
      <c r="AI423" s="291">
        <f t="shared" si="102"/>
        <v>-0.45584258151894358</v>
      </c>
      <c r="AJ423" s="290"/>
      <c r="AK423" s="261"/>
      <c r="AL423" s="262">
        <f t="shared" si="105"/>
        <v>18496.57</v>
      </c>
      <c r="AM423" s="266"/>
      <c r="AN423" s="264">
        <f t="shared" si="101"/>
        <v>-10068.33</v>
      </c>
      <c r="AO423" s="267">
        <f t="shared" si="100"/>
        <v>-0.54433497670108566</v>
      </c>
      <c r="AP423" s="244"/>
      <c r="AQ423" s="244"/>
      <c r="AR423" s="437"/>
      <c r="AS423" s="244"/>
      <c r="AT423" s="244"/>
      <c r="AU423" s="470"/>
      <c r="AV423" s="470"/>
      <c r="AW423" s="470"/>
      <c r="AX423" s="470"/>
      <c r="AY423" s="470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</row>
    <row r="424" spans="1:61" ht="17.399999999999999">
      <c r="A424" t="str">
        <f t="shared" si="89"/>
        <v>Salaires autres</v>
      </c>
      <c r="B424" s="7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303"/>
      <c r="P424" s="154"/>
      <c r="Q424" s="244"/>
      <c r="R424" s="244"/>
      <c r="S424" s="244"/>
      <c r="T424" s="244"/>
      <c r="U424" s="244"/>
      <c r="V424" s="102" t="s">
        <v>42</v>
      </c>
      <c r="W424" s="284" t="s">
        <v>139</v>
      </c>
      <c r="X424" s="277"/>
      <c r="Y424" s="277"/>
      <c r="Z424" s="278">
        <f t="shared" si="103"/>
        <v>34145.253987622178</v>
      </c>
      <c r="AA424" s="277"/>
      <c r="AB424" s="277"/>
      <c r="AC424" s="278"/>
      <c r="AD424" s="286"/>
      <c r="AE424" s="285"/>
      <c r="AF424" s="278">
        <f t="shared" si="104"/>
        <v>30531.93</v>
      </c>
      <c r="AG424" s="279"/>
      <c r="AH424" s="280">
        <f t="shared" si="94"/>
        <v>-3613.3239876221778</v>
      </c>
      <c r="AI424" s="281">
        <f t="shared" si="102"/>
        <v>-0.10582214409452118</v>
      </c>
      <c r="AJ424" s="286"/>
      <c r="AK424" s="277"/>
      <c r="AL424" s="278">
        <f t="shared" si="105"/>
        <v>21781.87</v>
      </c>
      <c r="AM424" s="282"/>
      <c r="AN424" s="280">
        <f t="shared" si="101"/>
        <v>8750.0600000000013</v>
      </c>
      <c r="AO424" s="287">
        <f t="shared" si="100"/>
        <v>0.40171298423872703</v>
      </c>
      <c r="AP424" s="244"/>
      <c r="AQ424" s="244"/>
      <c r="AS424" s="244"/>
      <c r="AT424" s="244"/>
      <c r="AU424" s="470"/>
      <c r="AV424" s="470"/>
      <c r="AW424" s="470"/>
      <c r="AX424" s="470"/>
      <c r="AY424" s="470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</row>
    <row r="425" spans="1:61" ht="17.399999999999999">
      <c r="A425" t="str">
        <f t="shared" si="89"/>
        <v>Salaires spécialistes</v>
      </c>
      <c r="B425" s="7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303"/>
      <c r="P425" s="154"/>
      <c r="Q425" s="244"/>
      <c r="R425" s="244"/>
      <c r="S425" s="244"/>
      <c r="T425" s="244"/>
      <c r="U425" s="244"/>
      <c r="V425" s="102" t="s">
        <v>43</v>
      </c>
      <c r="W425" s="284" t="s">
        <v>223</v>
      </c>
      <c r="X425" s="277"/>
      <c r="Y425" s="277"/>
      <c r="Z425" s="278">
        <f t="shared" si="103"/>
        <v>15636.432950191571</v>
      </c>
      <c r="AA425" s="277"/>
      <c r="AB425" s="277"/>
      <c r="AC425" s="278"/>
      <c r="AD425" s="286"/>
      <c r="AE425" s="285"/>
      <c r="AF425" s="278">
        <f t="shared" si="104"/>
        <v>12723.46</v>
      </c>
      <c r="AG425" s="279"/>
      <c r="AH425" s="280">
        <f t="shared" si="94"/>
        <v>-2912.9729501915717</v>
      </c>
      <c r="AI425" s="281">
        <f t="shared" si="102"/>
        <v>-0.18629395588307007</v>
      </c>
      <c r="AJ425" s="286"/>
      <c r="AK425" s="277"/>
      <c r="AL425" s="278">
        <f t="shared" si="105"/>
        <v>14553.25</v>
      </c>
      <c r="AM425" s="282"/>
      <c r="AN425" s="280">
        <f t="shared" si="101"/>
        <v>-1829.7900000000009</v>
      </c>
      <c r="AO425" s="287">
        <f t="shared" si="100"/>
        <v>-0.12573067871437657</v>
      </c>
      <c r="AP425" s="244"/>
      <c r="AQ425" s="244"/>
      <c r="AS425" s="470"/>
      <c r="AT425" s="470"/>
      <c r="AU425" s="470"/>
      <c r="AV425" s="470"/>
      <c r="AW425" s="470"/>
      <c r="AX425" s="470"/>
      <c r="AY425" s="470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</row>
    <row r="426" spans="1:61" ht="18" hidden="1" customHeight="1">
      <c r="A426" t="str">
        <f t="shared" si="89"/>
        <v>[...]</v>
      </c>
      <c r="B426" s="7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303"/>
      <c r="P426" s="154"/>
      <c r="Q426" s="244"/>
      <c r="R426" s="244"/>
      <c r="S426" s="244"/>
      <c r="T426" s="244"/>
      <c r="U426" s="244"/>
      <c r="V426" s="102" t="s">
        <v>19</v>
      </c>
      <c r="W426" s="284"/>
      <c r="X426" s="277"/>
      <c r="Y426" s="277"/>
      <c r="Z426" s="280">
        <f t="shared" si="103"/>
        <v>0</v>
      </c>
      <c r="AA426" s="277"/>
      <c r="AB426" s="277"/>
      <c r="AC426" s="280"/>
      <c r="AD426" s="286"/>
      <c r="AE426" s="285"/>
      <c r="AF426" s="278">
        <f t="shared" si="104"/>
        <v>0</v>
      </c>
      <c r="AG426" s="279"/>
      <c r="AH426" s="280">
        <f t="shared" ref="AH426:AH452" si="106">AF426-Z426</f>
        <v>0</v>
      </c>
      <c r="AI426" s="281">
        <f t="shared" si="102"/>
        <v>0</v>
      </c>
      <c r="AJ426" s="286"/>
      <c r="AK426" s="277"/>
      <c r="AL426" s="278">
        <f t="shared" si="105"/>
        <v>0</v>
      </c>
      <c r="AM426" s="282"/>
      <c r="AN426" s="280">
        <f t="shared" si="101"/>
        <v>0</v>
      </c>
      <c r="AO426" s="287">
        <f t="shared" si="100"/>
        <v>0</v>
      </c>
      <c r="AP426" s="244"/>
      <c r="AQ426" s="244"/>
      <c r="AR426" s="437"/>
      <c r="AS426" s="470"/>
      <c r="AT426" s="470"/>
      <c r="AU426" s="470"/>
      <c r="AV426" s="470"/>
      <c r="AW426" s="470"/>
      <c r="AX426" s="470"/>
      <c r="AY426" s="470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</row>
    <row r="427" spans="1:61" ht="18" hidden="1" customHeight="1">
      <c r="A427" t="str">
        <f t="shared" si="89"/>
        <v>[...]</v>
      </c>
      <c r="B427" s="7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303"/>
      <c r="P427" s="154"/>
      <c r="Q427" s="244"/>
      <c r="R427" s="244"/>
      <c r="S427" s="244"/>
      <c r="T427" s="244"/>
      <c r="U427" s="244"/>
      <c r="V427" s="102" t="s">
        <v>19</v>
      </c>
      <c r="W427" s="284"/>
      <c r="X427" s="277"/>
      <c r="Y427" s="277"/>
      <c r="Z427" s="280">
        <f t="shared" si="103"/>
        <v>0</v>
      </c>
      <c r="AA427" s="277"/>
      <c r="AB427" s="277"/>
      <c r="AC427" s="280"/>
      <c r="AD427" s="286"/>
      <c r="AE427" s="285"/>
      <c r="AF427" s="278">
        <f t="shared" si="104"/>
        <v>0</v>
      </c>
      <c r="AG427" s="279"/>
      <c r="AH427" s="280">
        <f t="shared" si="106"/>
        <v>0</v>
      </c>
      <c r="AI427" s="281">
        <f t="shared" si="102"/>
        <v>0</v>
      </c>
      <c r="AJ427" s="286"/>
      <c r="AK427" s="277"/>
      <c r="AL427" s="278">
        <f t="shared" si="105"/>
        <v>0</v>
      </c>
      <c r="AM427" s="282"/>
      <c r="AN427" s="280">
        <f t="shared" si="101"/>
        <v>0</v>
      </c>
      <c r="AO427" s="287">
        <f t="shared" si="100"/>
        <v>0</v>
      </c>
      <c r="AP427" s="244"/>
      <c r="AQ427" s="244"/>
      <c r="AS427" s="470"/>
      <c r="AT427" s="470"/>
      <c r="AU427" s="470"/>
      <c r="AV427" s="470"/>
      <c r="AW427" s="470"/>
      <c r="AX427" s="470"/>
      <c r="AY427" s="470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</row>
    <row r="428" spans="1:61" ht="18" hidden="1" customHeight="1">
      <c r="A428" t="str">
        <f t="shared" si="89"/>
        <v>[...]</v>
      </c>
      <c r="B428" s="7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303"/>
      <c r="P428" s="154"/>
      <c r="Q428" s="244"/>
      <c r="R428" s="244"/>
      <c r="S428" s="244"/>
      <c r="T428" s="244"/>
      <c r="U428" s="244"/>
      <c r="V428" s="102" t="s">
        <v>19</v>
      </c>
      <c r="W428" s="284"/>
      <c r="X428" s="277"/>
      <c r="Y428" s="277"/>
      <c r="Z428" s="280">
        <f t="shared" si="103"/>
        <v>0</v>
      </c>
      <c r="AA428" s="277"/>
      <c r="AB428" s="277"/>
      <c r="AC428" s="280"/>
      <c r="AD428" s="286"/>
      <c r="AE428" s="285"/>
      <c r="AF428" s="278">
        <f t="shared" si="104"/>
        <v>0</v>
      </c>
      <c r="AG428" s="279"/>
      <c r="AH428" s="280">
        <f t="shared" si="106"/>
        <v>0</v>
      </c>
      <c r="AI428" s="281">
        <f t="shared" si="102"/>
        <v>0</v>
      </c>
      <c r="AJ428" s="286"/>
      <c r="AK428" s="277"/>
      <c r="AL428" s="278">
        <f t="shared" si="105"/>
        <v>0</v>
      </c>
      <c r="AM428" s="282"/>
      <c r="AN428" s="280">
        <f t="shared" si="101"/>
        <v>0</v>
      </c>
      <c r="AO428" s="287">
        <f t="shared" si="100"/>
        <v>0</v>
      </c>
      <c r="AP428" s="244"/>
      <c r="AQ428" s="244"/>
      <c r="AS428" s="470"/>
      <c r="AT428" s="470"/>
      <c r="AU428" s="470"/>
      <c r="AV428" s="470"/>
      <c r="AW428" s="470"/>
      <c r="AX428" s="470"/>
      <c r="AY428" s="470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</row>
    <row r="429" spans="1:61" ht="17.399999999999999">
      <c r="A429" t="str">
        <f t="shared" si="89"/>
        <v>Salaires en absences</v>
      </c>
      <c r="B429" s="7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303"/>
      <c r="P429" s="154"/>
      <c r="Q429" s="244"/>
      <c r="R429" s="244"/>
      <c r="S429" s="244"/>
      <c r="T429" s="244"/>
      <c r="U429" s="244"/>
      <c r="V429" s="103" t="s">
        <v>44</v>
      </c>
      <c r="W429" s="288" t="s">
        <v>141</v>
      </c>
      <c r="X429" s="261"/>
      <c r="Y429" s="261"/>
      <c r="Z429" s="262">
        <f t="shared" si="103"/>
        <v>31904.474798770221</v>
      </c>
      <c r="AA429" s="261"/>
      <c r="AB429" s="261"/>
      <c r="AC429" s="262"/>
      <c r="AD429" s="290"/>
      <c r="AE429" s="289"/>
      <c r="AF429" s="262">
        <f t="shared" si="104"/>
        <v>26424.649999999998</v>
      </c>
      <c r="AG429" s="263"/>
      <c r="AH429" s="264">
        <f t="shared" si="106"/>
        <v>-5479.8247987702234</v>
      </c>
      <c r="AI429" s="291">
        <f t="shared" si="102"/>
        <v>-0.17175724826479347</v>
      </c>
      <c r="AJ429" s="290"/>
      <c r="AK429" s="261"/>
      <c r="AL429" s="262">
        <f t="shared" si="105"/>
        <v>33318.42</v>
      </c>
      <c r="AM429" s="266"/>
      <c r="AN429" s="264">
        <f t="shared" si="101"/>
        <v>-6893.77</v>
      </c>
      <c r="AO429" s="292">
        <f t="shared" si="100"/>
        <v>-0.20690566959657752</v>
      </c>
      <c r="AP429" s="470"/>
      <c r="AQ429" s="478"/>
      <c r="AR429" s="478"/>
      <c r="AS429" s="470"/>
      <c r="AT429" s="470"/>
      <c r="AU429" s="470"/>
      <c r="AV429" s="470"/>
      <c r="AW429" s="470"/>
      <c r="AX429" s="470"/>
      <c r="AY429" s="470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</row>
    <row r="430" spans="1:61" ht="17.399999999999999">
      <c r="A430" t="str">
        <f t="shared" si="89"/>
        <v>Déduction à la source</v>
      </c>
      <c r="B430" s="7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303"/>
      <c r="P430" s="154"/>
      <c r="Q430" s="244"/>
      <c r="R430" s="244"/>
      <c r="S430" s="244"/>
      <c r="T430" s="244"/>
      <c r="U430" s="244"/>
      <c r="V430" s="102" t="s">
        <v>45</v>
      </c>
      <c r="W430" s="284" t="s">
        <v>142</v>
      </c>
      <c r="X430" s="277"/>
      <c r="Y430" s="277"/>
      <c r="Z430" s="278">
        <f t="shared" si="103"/>
        <v>30221.450976722794</v>
      </c>
      <c r="AA430" s="277"/>
      <c r="AB430" s="277"/>
      <c r="AC430" s="278"/>
      <c r="AD430" s="286"/>
      <c r="AE430" s="285"/>
      <c r="AF430" s="278">
        <f t="shared" si="104"/>
        <v>31089.11</v>
      </c>
      <c r="AG430" s="279"/>
      <c r="AH430" s="280">
        <f t="shared" si="106"/>
        <v>867.65902327720687</v>
      </c>
      <c r="AI430" s="281">
        <f>IF(Z430=0,0,AH430/Z430)</f>
        <v>2.8710038573114719E-2</v>
      </c>
      <c r="AJ430" s="286"/>
      <c r="AK430" s="277"/>
      <c r="AL430" s="278">
        <f t="shared" si="105"/>
        <v>31440.269999999997</v>
      </c>
      <c r="AM430" s="282"/>
      <c r="AN430" s="280">
        <f t="shared" si="101"/>
        <v>-351.15999999999622</v>
      </c>
      <c r="AO430" s="287">
        <f t="shared" si="100"/>
        <v>-1.1169115277953919E-2</v>
      </c>
      <c r="AP430" s="470"/>
      <c r="AQ430" s="469"/>
      <c r="AR430" s="469"/>
      <c r="AS430" s="470"/>
      <c r="AT430" s="470"/>
      <c r="AU430" s="470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</row>
    <row r="431" spans="1:61" ht="17.399999999999999">
      <c r="A431" t="str">
        <f t="shared" si="89"/>
        <v>Bénéfices marginaux</v>
      </c>
      <c r="B431" s="7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303"/>
      <c r="P431" s="154"/>
      <c r="Q431" s="244"/>
      <c r="R431" s="244"/>
      <c r="S431" s="244"/>
      <c r="T431" s="244"/>
      <c r="U431" s="244"/>
      <c r="V431" s="102" t="s">
        <v>46</v>
      </c>
      <c r="W431" s="284" t="s">
        <v>224</v>
      </c>
      <c r="X431" s="277"/>
      <c r="Y431" s="277"/>
      <c r="Z431" s="278">
        <f t="shared" si="103"/>
        <v>22028.803506530039</v>
      </c>
      <c r="AA431" s="277"/>
      <c r="AB431" s="277"/>
      <c r="AC431" s="278"/>
      <c r="AD431" s="286"/>
      <c r="AE431" s="285"/>
      <c r="AF431" s="278">
        <f t="shared" si="104"/>
        <v>16104.79</v>
      </c>
      <c r="AG431" s="279"/>
      <c r="AH431" s="280">
        <f t="shared" si="106"/>
        <v>-5924.0135065300383</v>
      </c>
      <c r="AI431" s="281">
        <f t="shared" si="102"/>
        <v>-0.26892125597170868</v>
      </c>
      <c r="AJ431" s="286"/>
      <c r="AK431" s="277"/>
      <c r="AL431" s="278">
        <f>IFERROR(SUMIF($C:$C,$V431,Q:Q),0)</f>
        <v>17861.669999999998</v>
      </c>
      <c r="AM431" s="282"/>
      <c r="AN431" s="280">
        <f t="shared" si="101"/>
        <v>-1756.8799999999974</v>
      </c>
      <c r="AO431" s="287">
        <f t="shared" si="100"/>
        <v>-9.8360343685668677E-2</v>
      </c>
      <c r="AP431" s="470"/>
      <c r="AQ431" s="469"/>
      <c r="AR431" s="469"/>
      <c r="AS431" s="470"/>
      <c r="AT431" s="470"/>
      <c r="AU431" s="470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</row>
    <row r="432" spans="1:61" ht="17.399999999999999">
      <c r="A432" t="str">
        <f t="shared" si="89"/>
        <v>Csst</v>
      </c>
      <c r="B432" s="7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303"/>
      <c r="P432" s="154"/>
      <c r="Q432" s="244"/>
      <c r="R432" s="244"/>
      <c r="S432" s="244"/>
      <c r="T432" s="244"/>
      <c r="U432" s="244"/>
      <c r="V432" s="102" t="s">
        <v>47</v>
      </c>
      <c r="W432" s="284" t="s">
        <v>225</v>
      </c>
      <c r="X432" s="277"/>
      <c r="Y432" s="277"/>
      <c r="Z432" s="278">
        <f t="shared" si="103"/>
        <v>5923.4043914376671</v>
      </c>
      <c r="AA432" s="277"/>
      <c r="AB432" s="277"/>
      <c r="AC432" s="278"/>
      <c r="AD432" s="286"/>
      <c r="AE432" s="285"/>
      <c r="AF432" s="278">
        <f t="shared" si="104"/>
        <v>4668.34</v>
      </c>
      <c r="AG432" s="279"/>
      <c r="AH432" s="280">
        <f t="shared" si="106"/>
        <v>-1255.0643914376669</v>
      </c>
      <c r="AI432" s="304">
        <f t="shared" si="102"/>
        <v>-0.21188227385789724</v>
      </c>
      <c r="AJ432" s="286"/>
      <c r="AK432" s="277"/>
      <c r="AL432" s="278">
        <f>IFERROR(SUMIF($C:$C,$V432,Q:Q),0)</f>
        <v>6436.9299999999994</v>
      </c>
      <c r="AM432" s="282"/>
      <c r="AN432" s="280">
        <f t="shared" si="101"/>
        <v>-1768.5899999999992</v>
      </c>
      <c r="AO432" s="292">
        <f t="shared" si="100"/>
        <v>-0.2747567551612336</v>
      </c>
      <c r="AP432" s="470"/>
      <c r="AQ432" s="469"/>
      <c r="AR432" s="469"/>
      <c r="AS432" s="470"/>
      <c r="AT432" s="470"/>
      <c r="AU432" s="470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</row>
    <row r="433" spans="1:62" ht="18" hidden="1" customHeight="1">
      <c r="A433" t="str">
        <f t="shared" si="89"/>
        <v>[...]</v>
      </c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44"/>
      <c r="U433" s="244"/>
      <c r="V433" s="29" t="s">
        <v>19</v>
      </c>
      <c r="W433" s="284"/>
      <c r="X433" s="277"/>
      <c r="Y433" s="285"/>
      <c r="Z433" s="280">
        <f>IFERROR(SUMIF($C:$C,$V433,F:F),0)</f>
        <v>0</v>
      </c>
      <c r="AA433" s="277"/>
      <c r="AB433" s="277"/>
      <c r="AC433" s="280"/>
      <c r="AD433" s="286"/>
      <c r="AE433" s="285"/>
      <c r="AF433" s="278">
        <f t="shared" si="104"/>
        <v>0</v>
      </c>
      <c r="AG433" s="279"/>
      <c r="AH433" s="280">
        <f t="shared" si="106"/>
        <v>0</v>
      </c>
      <c r="AI433" s="281">
        <f t="shared" si="102"/>
        <v>0</v>
      </c>
      <c r="AJ433" s="286"/>
      <c r="AK433" s="277"/>
      <c r="AL433" s="278">
        <f>IFERROR(SUMIF($C:$C,$V433,Q:Q),0)</f>
        <v>0</v>
      </c>
      <c r="AM433" s="282"/>
      <c r="AN433" s="280"/>
      <c r="AO433" s="292"/>
      <c r="AP433" s="244"/>
      <c r="AQ433" s="244"/>
      <c r="AR433" s="469"/>
      <c r="AS433" s="470"/>
      <c r="AT433" s="470"/>
      <c r="AU433" s="470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</row>
    <row r="434" spans="1:62" ht="17.399999999999999">
      <c r="A434" t="str">
        <f t="shared" si="89"/>
        <v>TOTAL PERSONNEL</v>
      </c>
      <c r="B434" s="7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R434" s="244"/>
      <c r="S434" s="244"/>
      <c r="T434" s="244"/>
      <c r="U434" s="244"/>
      <c r="V434" s="294" t="s">
        <v>48</v>
      </c>
      <c r="W434" s="295"/>
      <c r="X434" s="296">
        <f>Z434/Z408</f>
        <v>0.42948875934520714</v>
      </c>
      <c r="Y434" s="295"/>
      <c r="Z434" s="297">
        <f>SUM(Z421:Z433)</f>
        <v>208388.27450777229</v>
      </c>
      <c r="AA434" s="296"/>
      <c r="AB434" s="295"/>
      <c r="AC434" s="297"/>
      <c r="AD434" s="298">
        <f>AF434/AF408</f>
        <v>0.37445715002060276</v>
      </c>
      <c r="AE434" s="305"/>
      <c r="AF434" s="297">
        <f>SUM(AF421:AF433)</f>
        <v>179461.45</v>
      </c>
      <c r="AG434" s="306"/>
      <c r="AH434" s="300">
        <f t="shared" si="106"/>
        <v>-28926.824507772282</v>
      </c>
      <c r="AI434" s="296">
        <f>AH434/Z434</f>
        <v>-0.13881215042496739</v>
      </c>
      <c r="AJ434" s="298">
        <f>IF($AL$408=0,0,AL434/$AL$408)</f>
        <v>0.45215816997051278</v>
      </c>
      <c r="AK434" s="295"/>
      <c r="AL434" s="297">
        <f>SUM(AL421:AL433)</f>
        <v>188660.07999999996</v>
      </c>
      <c r="AM434" s="307"/>
      <c r="AN434" s="300">
        <f t="shared" ref="AN434:AN448" si="107">AF434-AL434</f>
        <v>-9198.6299999999464</v>
      </c>
      <c r="AO434" s="275">
        <f>IF(AL434=0,0,AN434/AL434)</f>
        <v>-4.8757691611282836E-2</v>
      </c>
      <c r="AP434" s="244"/>
      <c r="AQ434" s="244"/>
      <c r="AR434" s="469"/>
      <c r="AS434" s="470"/>
      <c r="AT434" s="470"/>
      <c r="AU434" s="470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</row>
    <row r="435" spans="1:62" ht="17.399999999999999">
      <c r="A435" t="str">
        <f t="shared" si="89"/>
        <v>Publicité 2</v>
      </c>
      <c r="B435" s="7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308"/>
      <c r="S435" s="244"/>
      <c r="T435" s="244"/>
      <c r="U435" s="244"/>
      <c r="V435" s="210" t="s">
        <v>49</v>
      </c>
      <c r="W435" s="309" t="s">
        <v>226</v>
      </c>
      <c r="X435" s="310"/>
      <c r="Y435" s="310"/>
      <c r="Z435" s="311">
        <f t="shared" ref="Z435:Z449" si="108">+SUMIF($C:$C,$V435,F:F)</f>
        <v>3323.2611881586454</v>
      </c>
      <c r="AA435" s="310"/>
      <c r="AB435" s="310"/>
      <c r="AC435" s="311"/>
      <c r="AD435" s="312"/>
      <c r="AE435" s="313"/>
      <c r="AF435" s="311">
        <f t="shared" ref="AF435:AF452" si="109">+SUMIF($C:$C,$V435,L:L)</f>
        <v>1122.4000000000001</v>
      </c>
      <c r="AG435" s="312"/>
      <c r="AH435" s="314">
        <f t="shared" si="106"/>
        <v>-2200.8611881586453</v>
      </c>
      <c r="AI435" s="315">
        <f t="shared" ref="AI435:AI452" si="110">IF(Z435=0,0,AH435/Z435)</f>
        <v>-0.66225946850060857</v>
      </c>
      <c r="AJ435" s="312"/>
      <c r="AK435" s="310"/>
      <c r="AL435" s="311">
        <f t="shared" ref="AL435:AL449" si="111">+SUMIF($C:$C,$V435,Q:Q)</f>
        <v>7114.8</v>
      </c>
      <c r="AM435" s="316"/>
      <c r="AN435" s="314">
        <f t="shared" si="107"/>
        <v>-5992.4</v>
      </c>
      <c r="AO435" s="283">
        <f t="shared" ref="AO435:AO448" si="112">IF(AL435=0,0,AN435/AL435)</f>
        <v>-0.84224433575082913</v>
      </c>
      <c r="AP435" s="244"/>
      <c r="AQ435" s="244">
        <f>972+150</f>
        <v>1122</v>
      </c>
      <c r="AR435" s="244"/>
      <c r="AS435" s="479"/>
      <c r="AT435" s="470"/>
      <c r="AU435" s="470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</row>
    <row r="436" spans="1:62" ht="17.399999999999999">
      <c r="A436" t="str">
        <f t="shared" si="89"/>
        <v>Service gratuit 2</v>
      </c>
      <c r="B436" s="7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Q436" s="308"/>
      <c r="S436" s="244"/>
      <c r="T436" s="244"/>
      <c r="U436" s="244"/>
      <c r="V436" s="102" t="s">
        <v>50</v>
      </c>
      <c r="W436" s="284" t="s">
        <v>148</v>
      </c>
      <c r="X436" s="277"/>
      <c r="Y436" s="277"/>
      <c r="Z436" s="278">
        <f t="shared" si="108"/>
        <v>4375</v>
      </c>
      <c r="AA436" s="277"/>
      <c r="AB436" s="277"/>
      <c r="AC436" s="278"/>
      <c r="AD436" s="286"/>
      <c r="AE436" s="285"/>
      <c r="AF436" s="278">
        <f t="shared" si="109"/>
        <v>5028.84</v>
      </c>
      <c r="AG436" s="279"/>
      <c r="AH436" s="280">
        <f t="shared" si="106"/>
        <v>653.84000000000015</v>
      </c>
      <c r="AI436" s="281">
        <f t="shared" si="110"/>
        <v>0.14944914285714289</v>
      </c>
      <c r="AJ436" s="286"/>
      <c r="AK436" s="277"/>
      <c r="AL436" s="278">
        <f t="shared" si="111"/>
        <v>4203.25</v>
      </c>
      <c r="AM436" s="282"/>
      <c r="AN436" s="280">
        <f t="shared" si="107"/>
        <v>825.59000000000015</v>
      </c>
      <c r="AO436" s="287">
        <f t="shared" si="112"/>
        <v>0.19641705822875161</v>
      </c>
      <c r="AP436" s="244"/>
      <c r="AQ436" s="244">
        <f>2112+2906+10</f>
        <v>5028</v>
      </c>
      <c r="AR436" s="244"/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</row>
    <row r="437" spans="1:62" ht="17.399999999999999">
      <c r="A437" t="str">
        <f t="shared" si="89"/>
        <v>Frais véhicules de cie</v>
      </c>
      <c r="B437" s="7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308"/>
      <c r="S437" s="244"/>
      <c r="T437" s="244"/>
      <c r="U437" s="244"/>
      <c r="V437" s="103" t="s">
        <v>51</v>
      </c>
      <c r="W437" s="288" t="s">
        <v>227</v>
      </c>
      <c r="X437" s="261"/>
      <c r="Y437" s="261"/>
      <c r="Z437" s="262">
        <f t="shared" si="108"/>
        <v>15077</v>
      </c>
      <c r="AA437" s="261"/>
      <c r="AB437" s="261"/>
      <c r="AC437" s="262"/>
      <c r="AD437" s="290"/>
      <c r="AE437" s="289"/>
      <c r="AF437" s="262">
        <f t="shared" si="109"/>
        <v>14646.769999999999</v>
      </c>
      <c r="AG437" s="263"/>
      <c r="AH437" s="264">
        <f t="shared" si="106"/>
        <v>-430.23000000000138</v>
      </c>
      <c r="AI437" s="291">
        <f t="shared" si="110"/>
        <v>-2.8535517675930315E-2</v>
      </c>
      <c r="AJ437" s="290"/>
      <c r="AK437" s="261"/>
      <c r="AL437" s="262">
        <f t="shared" si="111"/>
        <v>23145.159999999993</v>
      </c>
      <c r="AM437" s="266"/>
      <c r="AN437" s="264">
        <f t="shared" si="107"/>
        <v>-8498.389999999994</v>
      </c>
      <c r="AO437" s="267">
        <f t="shared" si="112"/>
        <v>-0.36717784625381705</v>
      </c>
      <c r="AP437" s="244"/>
      <c r="AQ437" s="480">
        <v>14647</v>
      </c>
      <c r="AR437" s="480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</row>
    <row r="438" spans="1:62" ht="17.399999999999999">
      <c r="A438" t="str">
        <f t="shared" si="89"/>
        <v>Informatique</v>
      </c>
      <c r="B438" s="7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308"/>
      <c r="S438" s="244"/>
      <c r="T438" s="244"/>
      <c r="U438" s="244"/>
      <c r="V438" s="102" t="s">
        <v>52</v>
      </c>
      <c r="W438" s="284" t="s">
        <v>228</v>
      </c>
      <c r="X438" s="277"/>
      <c r="Y438" s="277"/>
      <c r="Z438" s="278">
        <f t="shared" si="108"/>
        <v>22567.753333333334</v>
      </c>
      <c r="AA438" s="277"/>
      <c r="AB438" s="277"/>
      <c r="AC438" s="278"/>
      <c r="AD438" s="286"/>
      <c r="AE438" s="285"/>
      <c r="AF438" s="278">
        <f t="shared" si="109"/>
        <v>23726.239999999998</v>
      </c>
      <c r="AG438" s="279"/>
      <c r="AH438" s="280">
        <f>AF438-Z438</f>
        <v>1158.486666666664</v>
      </c>
      <c r="AI438" s="281">
        <f t="shared" si="110"/>
        <v>5.1333717165170357E-2</v>
      </c>
      <c r="AJ438" s="286"/>
      <c r="AK438" s="277"/>
      <c r="AL438" s="278">
        <f t="shared" si="111"/>
        <v>14355.36</v>
      </c>
      <c r="AM438" s="282"/>
      <c r="AN438" s="280">
        <f t="shared" si="107"/>
        <v>9370.8799999999974</v>
      </c>
      <c r="AO438" s="287">
        <f t="shared" si="112"/>
        <v>0.65277917098561078</v>
      </c>
      <c r="AP438" s="480"/>
      <c r="AQ438" s="244">
        <f>24761-2405+1000+370</f>
        <v>23726</v>
      </c>
      <c r="AR438" s="480"/>
      <c r="AS438" s="480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</row>
    <row r="439" spans="1:62" ht="17.399999999999999">
      <c r="A439" t="str">
        <f t="shared" si="89"/>
        <v>Frais de déplacement</v>
      </c>
      <c r="B439" s="7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308"/>
      <c r="S439" s="244"/>
      <c r="T439" s="244"/>
      <c r="U439" s="244"/>
      <c r="V439" s="102" t="s">
        <v>53</v>
      </c>
      <c r="W439" s="284" t="s">
        <v>229</v>
      </c>
      <c r="X439" s="277"/>
      <c r="Y439" s="277"/>
      <c r="Z439" s="278">
        <f t="shared" si="108"/>
        <v>4158.333333333333</v>
      </c>
      <c r="AA439" s="277"/>
      <c r="AB439" s="277"/>
      <c r="AC439" s="278"/>
      <c r="AD439" s="286"/>
      <c r="AE439" s="285"/>
      <c r="AF439" s="278">
        <f t="shared" si="109"/>
        <v>7873.1399999999994</v>
      </c>
      <c r="AG439" s="279"/>
      <c r="AH439" s="280">
        <f t="shared" si="106"/>
        <v>3714.8066666666664</v>
      </c>
      <c r="AI439" s="281">
        <f t="shared" si="110"/>
        <v>0.89334028056112225</v>
      </c>
      <c r="AJ439" s="286"/>
      <c r="AK439" s="277"/>
      <c r="AL439" s="278">
        <f t="shared" si="111"/>
        <v>2153.08</v>
      </c>
      <c r="AM439" s="282"/>
      <c r="AN439" s="280">
        <f t="shared" si="107"/>
        <v>5720.0599999999995</v>
      </c>
      <c r="AO439" s="287">
        <f t="shared" si="112"/>
        <v>2.6566871644342056</v>
      </c>
      <c r="AP439" s="480"/>
      <c r="AQ439" s="244">
        <v>7873</v>
      </c>
      <c r="AR439" s="244" t="s">
        <v>258</v>
      </c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</row>
    <row r="440" spans="1:62" ht="17.399999999999999">
      <c r="A440" t="str">
        <f t="shared" si="89"/>
        <v>Services extérieurs</v>
      </c>
      <c r="B440" s="7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308"/>
      <c r="S440" s="244"/>
      <c r="T440" s="244"/>
      <c r="U440" s="244"/>
      <c r="V440" s="102" t="s">
        <v>54</v>
      </c>
      <c r="W440" s="284" t="s">
        <v>230</v>
      </c>
      <c r="X440" s="277"/>
      <c r="Y440" s="277"/>
      <c r="Z440" s="278">
        <f t="shared" si="108"/>
        <v>9088.7133333333331</v>
      </c>
      <c r="AA440" s="277"/>
      <c r="AB440" s="277"/>
      <c r="AC440" s="278"/>
      <c r="AD440" s="286"/>
      <c r="AE440" s="285"/>
      <c r="AF440" s="278">
        <f t="shared" si="109"/>
        <v>24418.9</v>
      </c>
      <c r="AG440" s="279"/>
      <c r="AH440" s="280">
        <f t="shared" si="106"/>
        <v>15330.186666666668</v>
      </c>
      <c r="AI440" s="281">
        <f t="shared" si="110"/>
        <v>1.6867279343537445</v>
      </c>
      <c r="AJ440" s="286"/>
      <c r="AK440" s="277"/>
      <c r="AL440" s="278">
        <f t="shared" si="111"/>
        <v>8416.9</v>
      </c>
      <c r="AM440" s="282"/>
      <c r="AN440" s="280">
        <f t="shared" si="107"/>
        <v>16002.000000000002</v>
      </c>
      <c r="AO440" s="287">
        <f t="shared" si="112"/>
        <v>1.9011750169302239</v>
      </c>
      <c r="AP440" s="244"/>
      <c r="AQ440" s="480">
        <v>24419</v>
      </c>
      <c r="AR440" s="480" t="s">
        <v>259</v>
      </c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</row>
    <row r="441" spans="1:62" ht="18" hidden="1" customHeight="1">
      <c r="B441" s="7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308"/>
      <c r="S441" s="244"/>
      <c r="T441" s="244"/>
      <c r="U441" s="244"/>
      <c r="V441" s="211" t="s">
        <v>93</v>
      </c>
      <c r="W441" s="317"/>
      <c r="X441" s="318"/>
      <c r="Y441" s="318"/>
      <c r="Z441" s="319">
        <f t="shared" si="108"/>
        <v>0</v>
      </c>
      <c r="AA441" s="318"/>
      <c r="AB441" s="318"/>
      <c r="AC441" s="319"/>
      <c r="AD441" s="320"/>
      <c r="AE441" s="321"/>
      <c r="AF441" s="498">
        <f t="shared" si="109"/>
        <v>0</v>
      </c>
      <c r="AG441" s="322"/>
      <c r="AH441" s="323">
        <f t="shared" si="106"/>
        <v>0</v>
      </c>
      <c r="AI441" s="324">
        <f t="shared" si="110"/>
        <v>0</v>
      </c>
      <c r="AJ441" s="320"/>
      <c r="AK441" s="318"/>
      <c r="AL441" s="319">
        <f t="shared" si="111"/>
        <v>0</v>
      </c>
      <c r="AM441" s="325"/>
      <c r="AN441" s="323">
        <f>AF441-AL441</f>
        <v>0</v>
      </c>
      <c r="AO441" s="326">
        <f>IF(AL441=0,0,AN441/AL441)</f>
        <v>0</v>
      </c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</row>
    <row r="442" spans="1:62" ht="17.399999999999999">
      <c r="A442" t="str">
        <f t="shared" si="89"/>
        <v>Fournitures autres</v>
      </c>
      <c r="B442" s="7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327"/>
      <c r="Q442" s="308"/>
      <c r="R442" s="244"/>
      <c r="S442" s="244"/>
      <c r="T442" s="244"/>
      <c r="U442" s="244"/>
      <c r="V442" s="102" t="s">
        <v>55</v>
      </c>
      <c r="W442" s="284" t="s">
        <v>149</v>
      </c>
      <c r="X442" s="277"/>
      <c r="Y442" s="285"/>
      <c r="Z442" s="278">
        <f t="shared" si="108"/>
        <v>3353.75</v>
      </c>
      <c r="AA442" s="277"/>
      <c r="AB442" s="285"/>
      <c r="AC442" s="278"/>
      <c r="AD442" s="286"/>
      <c r="AE442" s="285"/>
      <c r="AF442" s="278">
        <f t="shared" si="109"/>
        <v>3645.85</v>
      </c>
      <c r="AG442" s="279"/>
      <c r="AH442" s="280">
        <f t="shared" si="106"/>
        <v>292.09999999999991</v>
      </c>
      <c r="AI442" s="281">
        <f t="shared" si="110"/>
        <v>8.7096533730898221E-2</v>
      </c>
      <c r="AJ442" s="286"/>
      <c r="AK442" s="277"/>
      <c r="AL442" s="278">
        <f t="shared" si="111"/>
        <v>1964.05</v>
      </c>
      <c r="AM442" s="282"/>
      <c r="AN442" s="280">
        <f t="shared" si="107"/>
        <v>1681.8</v>
      </c>
      <c r="AO442" s="287">
        <f t="shared" si="112"/>
        <v>0.85629184593060259</v>
      </c>
      <c r="AP442" s="244"/>
      <c r="AQ442" s="244">
        <v>3646</v>
      </c>
      <c r="AR442" s="480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</row>
    <row r="443" spans="1:62" ht="17.399999999999999">
      <c r="A443" t="str">
        <f t="shared" si="89"/>
        <v>Uniformes</v>
      </c>
      <c r="B443" s="7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Q443" s="308"/>
      <c r="S443" s="244"/>
      <c r="T443" s="244"/>
      <c r="U443" s="244"/>
      <c r="V443" s="102" t="s">
        <v>56</v>
      </c>
      <c r="W443" s="284" t="s">
        <v>145</v>
      </c>
      <c r="X443" s="277"/>
      <c r="Y443" s="277"/>
      <c r="Z443" s="278">
        <f t="shared" si="108"/>
        <v>1400</v>
      </c>
      <c r="AA443" s="277"/>
      <c r="AB443" s="277"/>
      <c r="AC443" s="278"/>
      <c r="AD443" s="286"/>
      <c r="AE443" s="285"/>
      <c r="AF443" s="278">
        <f t="shared" si="109"/>
        <v>1358.08</v>
      </c>
      <c r="AG443" s="279"/>
      <c r="AH443" s="280">
        <f t="shared" si="106"/>
        <v>-41.920000000000073</v>
      </c>
      <c r="AI443" s="304">
        <f t="shared" si="110"/>
        <v>-2.9942857142857195E-2</v>
      </c>
      <c r="AJ443" s="286"/>
      <c r="AK443" s="277"/>
      <c r="AL443" s="278">
        <f t="shared" si="111"/>
        <v>903.4</v>
      </c>
      <c r="AM443" s="282"/>
      <c r="AN443" s="280">
        <f t="shared" si="107"/>
        <v>454.67999999999995</v>
      </c>
      <c r="AO443" s="287">
        <f t="shared" si="112"/>
        <v>0.50329864954615888</v>
      </c>
      <c r="AP443" s="244"/>
      <c r="AQ443" s="244">
        <f>1158+200</f>
        <v>1358</v>
      </c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</row>
    <row r="444" spans="1:62" ht="17.399999999999999">
      <c r="A444" t="str">
        <f>+U444&amp;V444</f>
        <v>Papeterie</v>
      </c>
      <c r="B444" s="7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327"/>
      <c r="Q444" s="308"/>
      <c r="R444" s="244"/>
      <c r="S444" s="244"/>
      <c r="T444" s="244"/>
      <c r="U444" s="244"/>
      <c r="V444" s="102" t="s">
        <v>57</v>
      </c>
      <c r="W444" s="284" t="s">
        <v>151</v>
      </c>
      <c r="X444" s="277"/>
      <c r="Y444" s="277"/>
      <c r="Z444" s="278">
        <f t="shared" si="108"/>
        <v>1450</v>
      </c>
      <c r="AA444" s="277"/>
      <c r="AB444" s="277"/>
      <c r="AC444" s="278"/>
      <c r="AD444" s="286"/>
      <c r="AE444" s="285"/>
      <c r="AF444" s="278">
        <f t="shared" si="109"/>
        <v>2009.3400000000001</v>
      </c>
      <c r="AG444" s="279"/>
      <c r="AH444" s="280">
        <f t="shared" si="106"/>
        <v>559.34000000000015</v>
      </c>
      <c r="AI444" s="281">
        <f t="shared" si="110"/>
        <v>0.38575172413793113</v>
      </c>
      <c r="AJ444" s="286"/>
      <c r="AK444" s="277"/>
      <c r="AL444" s="278">
        <f t="shared" si="111"/>
        <v>1247.68</v>
      </c>
      <c r="AM444" s="282"/>
      <c r="AN444" s="280">
        <f t="shared" si="107"/>
        <v>761.66000000000008</v>
      </c>
      <c r="AO444" s="287">
        <f t="shared" si="112"/>
        <v>0.61046101564503719</v>
      </c>
      <c r="AP444" s="244"/>
      <c r="AQ444" s="244">
        <f>2572-675+113</f>
        <v>2010</v>
      </c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</row>
    <row r="445" spans="1:62" ht="17.399999999999999">
      <c r="A445" t="str">
        <f t="shared" si="89"/>
        <v>Téléphone</v>
      </c>
      <c r="B445" s="7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308"/>
      <c r="S445" s="244"/>
      <c r="T445" s="244"/>
      <c r="U445" s="244"/>
      <c r="V445" s="102" t="s">
        <v>58</v>
      </c>
      <c r="W445" s="284" t="s">
        <v>231</v>
      </c>
      <c r="X445" s="277"/>
      <c r="Y445" s="277"/>
      <c r="Z445" s="278">
        <f t="shared" si="108"/>
        <v>449</v>
      </c>
      <c r="AA445" s="277"/>
      <c r="AB445" s="277"/>
      <c r="AC445" s="278"/>
      <c r="AD445" s="286"/>
      <c r="AE445" s="285"/>
      <c r="AF445" s="278">
        <f t="shared" si="109"/>
        <v>547.63</v>
      </c>
      <c r="AG445" s="279"/>
      <c r="AH445" s="280">
        <f t="shared" si="106"/>
        <v>98.63</v>
      </c>
      <c r="AI445" s="304">
        <f t="shared" si="110"/>
        <v>0.21966592427616927</v>
      </c>
      <c r="AJ445" s="286"/>
      <c r="AK445" s="277"/>
      <c r="AL445" s="278">
        <f t="shared" si="111"/>
        <v>460.15</v>
      </c>
      <c r="AM445" s="282"/>
      <c r="AN445" s="280">
        <f t="shared" si="107"/>
        <v>87.480000000000018</v>
      </c>
      <c r="AO445" s="287">
        <f t="shared" si="112"/>
        <v>0.19011192002607849</v>
      </c>
      <c r="AP445" s="244"/>
      <c r="AQ445" s="244">
        <v>548</v>
      </c>
      <c r="AR445" s="480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</row>
    <row r="446" spans="1:62" ht="17.399999999999999">
      <c r="A446" t="str">
        <f t="shared" si="89"/>
        <v>Frais postaux</v>
      </c>
      <c r="B446" s="7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308"/>
      <c r="S446" s="244"/>
      <c r="T446" s="244"/>
      <c r="U446" s="244"/>
      <c r="V446" s="102" t="s">
        <v>59</v>
      </c>
      <c r="W446" s="284" t="s">
        <v>232</v>
      </c>
      <c r="X446" s="277"/>
      <c r="Y446" s="277"/>
      <c r="Z446" s="278">
        <f t="shared" si="108"/>
        <v>2825</v>
      </c>
      <c r="AA446" s="277"/>
      <c r="AB446" s="277"/>
      <c r="AC446" s="278"/>
      <c r="AD446" s="286"/>
      <c r="AE446" s="285"/>
      <c r="AF446" s="278">
        <f t="shared" si="109"/>
        <v>-936.68000000000006</v>
      </c>
      <c r="AG446" s="279"/>
      <c r="AH446" s="280">
        <f t="shared" si="106"/>
        <v>-3761.6800000000003</v>
      </c>
      <c r="AI446" s="281">
        <f t="shared" si="110"/>
        <v>-1.3315681415929204</v>
      </c>
      <c r="AJ446" s="286"/>
      <c r="AK446" s="277"/>
      <c r="AL446" s="278">
        <f t="shared" si="111"/>
        <v>453.66000000000008</v>
      </c>
      <c r="AM446" s="282"/>
      <c r="AN446" s="280">
        <f t="shared" si="107"/>
        <v>-1390.3400000000001</v>
      </c>
      <c r="AO446" s="287">
        <f t="shared" si="112"/>
        <v>-3.0647180708019217</v>
      </c>
      <c r="AP446" s="244"/>
      <c r="AQ446" s="244">
        <v>-937</v>
      </c>
      <c r="AR446" s="244" t="s">
        <v>260</v>
      </c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</row>
    <row r="447" spans="1:62" ht="17.399999999999999">
      <c r="A447" t="str">
        <f t="shared" si="89"/>
        <v>Divers</v>
      </c>
      <c r="B447" s="7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308"/>
      <c r="R447" s="244"/>
      <c r="S447" s="244"/>
      <c r="T447" s="244"/>
      <c r="U447" s="244"/>
      <c r="V447" s="102" t="s">
        <v>60</v>
      </c>
      <c r="W447" s="284" t="s">
        <v>233</v>
      </c>
      <c r="X447" s="277"/>
      <c r="Y447" s="285"/>
      <c r="Z447" s="278">
        <f t="shared" si="108"/>
        <v>1554.9999999999998</v>
      </c>
      <c r="AA447" s="277"/>
      <c r="AB447" s="285"/>
      <c r="AC447" s="278"/>
      <c r="AD447" s="286"/>
      <c r="AE447" s="285"/>
      <c r="AF447" s="278">
        <f t="shared" si="109"/>
        <v>1303.8500000000001</v>
      </c>
      <c r="AG447" s="279"/>
      <c r="AH447" s="280">
        <f t="shared" si="106"/>
        <v>-251.14999999999964</v>
      </c>
      <c r="AI447" s="304">
        <f t="shared" si="110"/>
        <v>-0.16151125401929239</v>
      </c>
      <c r="AJ447" s="286"/>
      <c r="AK447" s="277"/>
      <c r="AL447" s="278">
        <f t="shared" si="111"/>
        <v>2925.9899999999993</v>
      </c>
      <c r="AM447" s="282"/>
      <c r="AN447" s="280">
        <f t="shared" si="107"/>
        <v>-1622.1399999999992</v>
      </c>
      <c r="AO447" s="287">
        <f t="shared" si="112"/>
        <v>-0.55439013803874915</v>
      </c>
      <c r="AP447" s="244"/>
      <c r="AQ447" s="244">
        <v>1304</v>
      </c>
      <c r="AR447" s="480"/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</row>
    <row r="448" spans="1:62" ht="17.399999999999999">
      <c r="A448" t="str">
        <f t="shared" si="89"/>
        <v>Formation</v>
      </c>
      <c r="B448" s="7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308"/>
      <c r="R448" s="244"/>
      <c r="S448" s="244"/>
      <c r="T448" s="244"/>
      <c r="U448" s="244"/>
      <c r="V448" s="102" t="s">
        <v>61</v>
      </c>
      <c r="W448" s="284" t="s">
        <v>234</v>
      </c>
      <c r="X448" s="277"/>
      <c r="Y448" s="285"/>
      <c r="Z448" s="278">
        <f t="shared" si="108"/>
        <v>2370.6533333333336</v>
      </c>
      <c r="AA448" s="277"/>
      <c r="AB448" s="285"/>
      <c r="AC448" s="278"/>
      <c r="AD448" s="286"/>
      <c r="AE448" s="285"/>
      <c r="AF448" s="278">
        <f t="shared" si="109"/>
        <v>3328.84</v>
      </c>
      <c r="AG448" s="279"/>
      <c r="AH448" s="280">
        <f t="shared" si="106"/>
        <v>958.1866666666665</v>
      </c>
      <c r="AI448" s="281">
        <f t="shared" si="110"/>
        <v>0.40418675020669392</v>
      </c>
      <c r="AJ448" s="286"/>
      <c r="AK448" s="277"/>
      <c r="AL448" s="278">
        <f t="shared" si="111"/>
        <v>2571.9500000000003</v>
      </c>
      <c r="AM448" s="282"/>
      <c r="AN448" s="280">
        <f t="shared" si="107"/>
        <v>756.88999999999987</v>
      </c>
      <c r="AO448" s="287">
        <f t="shared" si="112"/>
        <v>0.29428643636151552</v>
      </c>
      <c r="AP448" s="244"/>
      <c r="AQ448" s="244">
        <f>5751-2422</f>
        <v>3329</v>
      </c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</row>
    <row r="449" spans="1:62" ht="17.399999999999999">
      <c r="A449" t="str">
        <f t="shared" si="89"/>
        <v>Frais bancaires</v>
      </c>
      <c r="B449" s="7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308"/>
      <c r="R449" s="244"/>
      <c r="S449" s="244"/>
      <c r="T449" s="244"/>
      <c r="U449" s="244"/>
      <c r="V449" s="102" t="s">
        <v>62</v>
      </c>
      <c r="W449" s="284" t="s">
        <v>235</v>
      </c>
      <c r="X449" s="277"/>
      <c r="Y449" s="285">
        <f>Z449/Z407</f>
        <v>1.8131391965771891E-3</v>
      </c>
      <c r="Z449" s="278">
        <f t="shared" si="108"/>
        <v>8049.6895310394757</v>
      </c>
      <c r="AA449" s="277"/>
      <c r="AB449" s="285"/>
      <c r="AC449" s="278"/>
      <c r="AD449" s="286"/>
      <c r="AE449" s="285"/>
      <c r="AF449" s="278">
        <f t="shared" si="109"/>
        <v>8443.2199999999993</v>
      </c>
      <c r="AG449" s="279"/>
      <c r="AH449" s="280">
        <f t="shared" si="106"/>
        <v>393.53046896052365</v>
      </c>
      <c r="AI449" s="281">
        <f t="shared" si="110"/>
        <v>4.8887658019986534E-2</v>
      </c>
      <c r="AJ449" s="286"/>
      <c r="AK449" s="277"/>
      <c r="AL449" s="278">
        <f t="shared" si="111"/>
        <v>6689.16</v>
      </c>
      <c r="AM449" s="282"/>
      <c r="AN449" s="280">
        <f>AF449-AL449</f>
        <v>1754.0599999999995</v>
      </c>
      <c r="AO449" s="287">
        <f>IF(AL449=0,0,AN449/AL449)</f>
        <v>0.26222425536240718</v>
      </c>
      <c r="AP449" s="244"/>
      <c r="AQ449" s="244">
        <v>8443</v>
      </c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</row>
    <row r="450" spans="1:62" ht="18" hidden="1" customHeight="1">
      <c r="A450" t="str">
        <f t="shared" si="89"/>
        <v>[...]</v>
      </c>
      <c r="B450" s="7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308"/>
      <c r="R450" s="244"/>
      <c r="S450" s="244"/>
      <c r="T450" s="244"/>
      <c r="U450" s="244"/>
      <c r="V450" s="102" t="s">
        <v>19</v>
      </c>
      <c r="W450" s="284"/>
      <c r="X450" s="277"/>
      <c r="Y450" s="285"/>
      <c r="Z450" s="280">
        <f>IFERROR(SUMIF($C:$C,$V450,F:F),0)</f>
        <v>0</v>
      </c>
      <c r="AA450" s="277"/>
      <c r="AB450" s="277"/>
      <c r="AC450" s="280"/>
      <c r="AD450" s="286"/>
      <c r="AE450" s="285"/>
      <c r="AF450" s="278">
        <f t="shared" si="109"/>
        <v>0</v>
      </c>
      <c r="AG450" s="279"/>
      <c r="AH450" s="280">
        <f t="shared" si="106"/>
        <v>0</v>
      </c>
      <c r="AI450" s="281">
        <f t="shared" si="110"/>
        <v>0</v>
      </c>
      <c r="AJ450" s="286"/>
      <c r="AK450" s="277"/>
      <c r="AL450" s="278">
        <f>IFERROR(SUMIF($C:$C,$V450,Q:Q),0)</f>
        <v>0</v>
      </c>
      <c r="AM450" s="282"/>
      <c r="AN450" s="280">
        <f>AF450-AL450</f>
        <v>0</v>
      </c>
      <c r="AO450" s="287">
        <f>IF(AL450=0,0,AN450/AL450)</f>
        <v>0</v>
      </c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</row>
    <row r="451" spans="1:62" ht="18" hidden="1" customHeight="1">
      <c r="A451" t="str">
        <f t="shared" si="89"/>
        <v>[...]</v>
      </c>
      <c r="B451" s="7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308"/>
      <c r="R451" s="244"/>
      <c r="S451" s="244"/>
      <c r="T451" s="244"/>
      <c r="U451" s="244"/>
      <c r="V451" s="102" t="s">
        <v>19</v>
      </c>
      <c r="W451" s="284"/>
      <c r="X451" s="277"/>
      <c r="Y451" s="285"/>
      <c r="Z451" s="280">
        <f>IFERROR(SUMIF($C:$C,$V451,F:F),0)</f>
        <v>0</v>
      </c>
      <c r="AA451" s="277"/>
      <c r="AB451" s="277"/>
      <c r="AC451" s="280"/>
      <c r="AD451" s="286"/>
      <c r="AE451" s="285"/>
      <c r="AF451" s="278">
        <f t="shared" si="109"/>
        <v>0</v>
      </c>
      <c r="AG451" s="279"/>
      <c r="AH451" s="280">
        <f t="shared" si="106"/>
        <v>0</v>
      </c>
      <c r="AI451" s="281">
        <f t="shared" si="110"/>
        <v>0</v>
      </c>
      <c r="AJ451" s="286"/>
      <c r="AK451" s="277"/>
      <c r="AL451" s="278">
        <f>IFERROR(SUMIF($C:$C,$V451,Q:Q),0)</f>
        <v>0</v>
      </c>
      <c r="AM451" s="282"/>
      <c r="AN451" s="280">
        <f>AF451-AL451</f>
        <v>0</v>
      </c>
      <c r="AO451" s="287">
        <f>IF(AL451=0,0,AN451/AL451)</f>
        <v>0</v>
      </c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</row>
    <row r="452" spans="1:62" ht="18" hidden="1" customHeight="1">
      <c r="A452" t="str">
        <f t="shared" si="89"/>
        <v>[...]</v>
      </c>
      <c r="B452" s="7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327"/>
      <c r="Q452" s="308"/>
      <c r="R452" s="244"/>
      <c r="S452" s="244"/>
      <c r="T452" s="244"/>
      <c r="U452" s="244"/>
      <c r="V452" s="102" t="s">
        <v>19</v>
      </c>
      <c r="W452" s="284"/>
      <c r="X452" s="277"/>
      <c r="Y452" s="285"/>
      <c r="Z452" s="280">
        <f>IFERROR(SUMIF($C:$C,$V452,F:F),0)</f>
        <v>0</v>
      </c>
      <c r="AA452" s="277"/>
      <c r="AB452" s="277"/>
      <c r="AC452" s="280"/>
      <c r="AD452" s="286"/>
      <c r="AE452" s="285"/>
      <c r="AF452" s="278">
        <f t="shared" si="109"/>
        <v>0</v>
      </c>
      <c r="AG452" s="279"/>
      <c r="AH452" s="280">
        <f t="shared" si="106"/>
        <v>0</v>
      </c>
      <c r="AI452" s="281">
        <f t="shared" si="110"/>
        <v>0</v>
      </c>
      <c r="AJ452" s="286"/>
      <c r="AK452" s="277"/>
      <c r="AL452" s="278">
        <f>IFERROR(SUMIF($C:$C,$V452,Q:Q),0)</f>
        <v>0</v>
      </c>
      <c r="AM452" s="282"/>
      <c r="AN452" s="280">
        <f>AF452-AL452</f>
        <v>0</v>
      </c>
      <c r="AO452" s="287">
        <f>IF(AL452=0,0,AN452/AL452)</f>
        <v>0</v>
      </c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</row>
    <row r="453" spans="1:62" ht="17.399999999999999">
      <c r="A453" t="str">
        <f t="shared" si="89"/>
        <v>TOTAL SEMI-FIXES</v>
      </c>
      <c r="B453" s="7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308"/>
      <c r="R453" s="244"/>
      <c r="S453" s="244"/>
      <c r="T453" s="244"/>
      <c r="U453" s="244"/>
      <c r="V453" s="294" t="s">
        <v>63</v>
      </c>
      <c r="W453" s="328"/>
      <c r="X453" s="296">
        <f>Z453/+Z408</f>
        <v>0.16496914238241764</v>
      </c>
      <c r="Y453" s="295"/>
      <c r="Z453" s="297">
        <f>+SUM(Z435:Z452)</f>
        <v>80043.154052531449</v>
      </c>
      <c r="AA453" s="296"/>
      <c r="AB453" s="295"/>
      <c r="AC453" s="297"/>
      <c r="AD453" s="298">
        <f>AF453/AF408</f>
        <v>0.20138733729941172</v>
      </c>
      <c r="AE453" s="295"/>
      <c r="AF453" s="297">
        <f>+SUM(AF435:AF452)</f>
        <v>96516.420000000027</v>
      </c>
      <c r="AG453" s="306"/>
      <c r="AH453" s="300">
        <f>+SUM(AH435:AH452)</f>
        <v>16473.265947468542</v>
      </c>
      <c r="AI453" s="296">
        <f>AH453/Z453</f>
        <v>0.20580480794968822</v>
      </c>
      <c r="AJ453" s="298">
        <f>IF($AL$408=0,0,AL453/$AL$408)</f>
        <v>0.18359682252727474</v>
      </c>
      <c r="AK453" s="296"/>
      <c r="AL453" s="297">
        <f>+SUM(AL435:AL452)</f>
        <v>76604.590000000011</v>
      </c>
      <c r="AM453" s="307"/>
      <c r="AN453" s="300">
        <f>+SUM(AN435:AN452)</f>
        <v>19911.830000000002</v>
      </c>
      <c r="AO453" s="329">
        <f>IF(AL453=0,0,AN453/AL453)</f>
        <v>0.25992998591859834</v>
      </c>
      <c r="AP453" s="244"/>
      <c r="AQ453" s="308">
        <f>SUM(AQ435:AQ449)-AF453</f>
        <v>-0.4200000000273576</v>
      </c>
      <c r="AR453" s="308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</row>
    <row r="454" spans="1:62" ht="17.399999999999999">
      <c r="A454" t="str">
        <f t="shared" si="89"/>
        <v>Loyer</v>
      </c>
      <c r="B454" s="7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102" t="s">
        <v>157</v>
      </c>
      <c r="W454" s="284" t="s">
        <v>158</v>
      </c>
      <c r="X454" s="277"/>
      <c r="Y454" s="285"/>
      <c r="Z454" s="278">
        <v>50000</v>
      </c>
      <c r="AA454" s="277"/>
      <c r="AB454" s="285"/>
      <c r="AC454" s="278"/>
      <c r="AD454" s="286"/>
      <c r="AE454" s="285"/>
      <c r="AF454" s="278">
        <v>50000</v>
      </c>
      <c r="AG454" s="279"/>
      <c r="AH454" s="280">
        <f t="shared" ref="AH454:AH462" si="113">AF454-Z454</f>
        <v>0</v>
      </c>
      <c r="AI454" s="281">
        <f t="shared" ref="AI454:AI462" si="114">IF(Z454=0,0,AH454/Z454)</f>
        <v>0</v>
      </c>
      <c r="AJ454" s="286"/>
      <c r="AK454" s="277"/>
      <c r="AL454" s="278">
        <v>50000</v>
      </c>
      <c r="AM454" s="282"/>
      <c r="AN454" s="280">
        <f>AF454-AL454</f>
        <v>0</v>
      </c>
      <c r="AO454" s="287">
        <f t="shared" ref="AO454:AO462" si="115">IF(AL454=0,0,AN454/AL454)</f>
        <v>0</v>
      </c>
      <c r="AP454" s="244"/>
      <c r="AQ454" s="494">
        <v>50000</v>
      </c>
      <c r="AR454" s="308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</row>
    <row r="455" spans="1:62" ht="17.399999999999999">
      <c r="A455" t="str">
        <f t="shared" si="89"/>
        <v>Taxes foncières</v>
      </c>
      <c r="B455" s="7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102" t="s">
        <v>159</v>
      </c>
      <c r="W455" s="284" t="s">
        <v>160</v>
      </c>
      <c r="X455" s="277"/>
      <c r="Y455" s="285"/>
      <c r="Z455" s="278">
        <v>6346.5300000000007</v>
      </c>
      <c r="AA455" s="277"/>
      <c r="AB455" s="285"/>
      <c r="AC455" s="278"/>
      <c r="AD455" s="286"/>
      <c r="AE455" s="285"/>
      <c r="AF455" s="278">
        <v>6134.96</v>
      </c>
      <c r="AG455" s="279"/>
      <c r="AH455" s="280">
        <f t="shared" si="113"/>
        <v>-211.57000000000062</v>
      </c>
      <c r="AI455" s="281">
        <f t="shared" si="114"/>
        <v>-3.333632709527893E-2</v>
      </c>
      <c r="AJ455" s="286"/>
      <c r="AK455" s="277"/>
      <c r="AL455" s="278">
        <v>6166.78999999999</v>
      </c>
      <c r="AM455" s="282"/>
      <c r="AN455" s="280">
        <f t="shared" ref="AN455:AN462" si="116">AF455-AL455</f>
        <v>-31.829999999989923</v>
      </c>
      <c r="AO455" s="287">
        <f t="shared" si="115"/>
        <v>-5.1615183912521708E-3</v>
      </c>
      <c r="AP455" s="244"/>
      <c r="AQ455" s="494">
        <v>6135</v>
      </c>
      <c r="AR455" s="308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</row>
    <row r="456" spans="1:62" ht="17.399999999999999">
      <c r="A456" t="str">
        <f t="shared" si="89"/>
        <v>Taxes d`affaires</v>
      </c>
      <c r="B456" s="7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103" t="s">
        <v>161</v>
      </c>
      <c r="W456" s="288" t="s">
        <v>162</v>
      </c>
      <c r="X456" s="261"/>
      <c r="Y456" s="289"/>
      <c r="Z456" s="262">
        <v>2719.9400000000005</v>
      </c>
      <c r="AA456" s="261"/>
      <c r="AB456" s="289"/>
      <c r="AC456" s="262"/>
      <c r="AD456" s="290"/>
      <c r="AE456" s="289"/>
      <c r="AF456" s="262">
        <v>2629.27</v>
      </c>
      <c r="AG456" s="263"/>
      <c r="AH456" s="264">
        <f t="shared" si="113"/>
        <v>-90.670000000000528</v>
      </c>
      <c r="AI456" s="291">
        <f t="shared" si="114"/>
        <v>-3.3335294160900794E-2</v>
      </c>
      <c r="AJ456" s="290"/>
      <c r="AK456" s="261"/>
      <c r="AL456" s="262">
        <v>2642.91</v>
      </c>
      <c r="AM456" s="266"/>
      <c r="AN456" s="264">
        <f t="shared" si="116"/>
        <v>-13.639999999999873</v>
      </c>
      <c r="AO456" s="267">
        <f t="shared" si="115"/>
        <v>-5.1609778615238026E-3</v>
      </c>
      <c r="AP456" s="244"/>
      <c r="AQ456" s="494">
        <v>2629</v>
      </c>
      <c r="AR456" s="308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</row>
    <row r="457" spans="1:62" ht="18" hidden="1" customHeight="1">
      <c r="A457" t="str">
        <f t="shared" si="89"/>
        <v>Taxe sur le capital</v>
      </c>
      <c r="B457" s="7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102" t="s">
        <v>163</v>
      </c>
      <c r="W457" s="284"/>
      <c r="X457" s="277"/>
      <c r="Y457" s="285"/>
      <c r="Z457" s="278">
        <v>0</v>
      </c>
      <c r="AA457" s="277"/>
      <c r="AB457" s="285"/>
      <c r="AC457" s="278"/>
      <c r="AD457" s="286"/>
      <c r="AE457" s="285"/>
      <c r="AF457" s="278">
        <v>0</v>
      </c>
      <c r="AG457" s="279"/>
      <c r="AH457" s="280">
        <f t="shared" si="113"/>
        <v>0</v>
      </c>
      <c r="AI457" s="281">
        <f t="shared" si="114"/>
        <v>0</v>
      </c>
      <c r="AJ457" s="286"/>
      <c r="AK457" s="277"/>
      <c r="AL457" s="278">
        <v>0</v>
      </c>
      <c r="AM457" s="282"/>
      <c r="AN457" s="280">
        <f t="shared" si="116"/>
        <v>0</v>
      </c>
      <c r="AO457" s="287">
        <f t="shared" si="115"/>
        <v>0</v>
      </c>
      <c r="AP457" s="244"/>
      <c r="AQ457" s="244"/>
      <c r="AR457" s="308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</row>
    <row r="458" spans="1:62" ht="17.399999999999999">
      <c r="A458" t="str">
        <f t="shared" si="89"/>
        <v>Assurances</v>
      </c>
      <c r="B458" s="7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103" t="s">
        <v>164</v>
      </c>
      <c r="W458" s="288" t="s">
        <v>165</v>
      </c>
      <c r="X458" s="261"/>
      <c r="Y458" s="289"/>
      <c r="Z458" s="262">
        <v>3571.166666666667</v>
      </c>
      <c r="AA458" s="261"/>
      <c r="AB458" s="289"/>
      <c r="AC458" s="262"/>
      <c r="AD458" s="290"/>
      <c r="AE458" s="289"/>
      <c r="AF458" s="262">
        <v>3571.16</v>
      </c>
      <c r="AG458" s="263"/>
      <c r="AH458" s="264">
        <f t="shared" si="113"/>
        <v>-6.6666666671153507E-3</v>
      </c>
      <c r="AI458" s="291">
        <f t="shared" si="114"/>
        <v>-1.8668035657204508E-6</v>
      </c>
      <c r="AJ458" s="290"/>
      <c r="AK458" s="261"/>
      <c r="AL458" s="262">
        <v>4853.83</v>
      </c>
      <c r="AM458" s="266"/>
      <c r="AN458" s="264">
        <f t="shared" si="116"/>
        <v>-1282.67</v>
      </c>
      <c r="AO458" s="267">
        <f t="shared" si="115"/>
        <v>-0.26425935807393341</v>
      </c>
      <c r="AP458" s="244"/>
      <c r="AQ458" s="494">
        <v>3571</v>
      </c>
      <c r="AR458" s="308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</row>
    <row r="459" spans="1:62" ht="17.399999999999999">
      <c r="A459" t="str">
        <f t="shared" si="89"/>
        <v>Chauffage, éclairage</v>
      </c>
      <c r="B459" s="7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102" t="s">
        <v>166</v>
      </c>
      <c r="W459" s="284" t="s">
        <v>167</v>
      </c>
      <c r="X459" s="330"/>
      <c r="Y459" s="331"/>
      <c r="Z459" s="278">
        <v>6675</v>
      </c>
      <c r="AA459" s="330"/>
      <c r="AB459" s="331"/>
      <c r="AC459" s="278"/>
      <c r="AD459" s="286"/>
      <c r="AE459" s="285"/>
      <c r="AF459" s="278">
        <v>5651.21</v>
      </c>
      <c r="AG459" s="279"/>
      <c r="AH459" s="280">
        <f t="shared" si="113"/>
        <v>-1023.79</v>
      </c>
      <c r="AI459" s="281">
        <f t="shared" si="114"/>
        <v>-0.15337677902621721</v>
      </c>
      <c r="AJ459" s="286"/>
      <c r="AK459" s="277"/>
      <c r="AL459" s="278">
        <v>5094.8500000000004</v>
      </c>
      <c r="AM459" s="282"/>
      <c r="AN459" s="280">
        <f t="shared" si="116"/>
        <v>556.35999999999967</v>
      </c>
      <c r="AO459" s="287">
        <f t="shared" si="115"/>
        <v>0.10920046713838477</v>
      </c>
      <c r="AP459" s="244"/>
      <c r="AQ459" s="244">
        <f>4651+1000</f>
        <v>5651</v>
      </c>
      <c r="AR459" s="308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</row>
    <row r="460" spans="1:62" ht="17.399999999999999">
      <c r="A460" t="str">
        <f t="shared" si="89"/>
        <v>Honoraires</v>
      </c>
      <c r="B460" s="7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102" t="s">
        <v>168</v>
      </c>
      <c r="W460" s="284" t="s">
        <v>152</v>
      </c>
      <c r="X460" s="277"/>
      <c r="Y460" s="285"/>
      <c r="Z460" s="278">
        <v>1750</v>
      </c>
      <c r="AA460" s="277"/>
      <c r="AB460" s="285"/>
      <c r="AC460" s="278"/>
      <c r="AD460" s="286"/>
      <c r="AE460" s="285"/>
      <c r="AF460" s="278">
        <v>1500</v>
      </c>
      <c r="AG460" s="279"/>
      <c r="AH460" s="280">
        <f t="shared" si="113"/>
        <v>-250</v>
      </c>
      <c r="AI460" s="281">
        <f t="shared" si="114"/>
        <v>-0.14285714285714285</v>
      </c>
      <c r="AJ460" s="286"/>
      <c r="AK460" s="277"/>
      <c r="AL460" s="278">
        <v>6307.33</v>
      </c>
      <c r="AM460" s="282"/>
      <c r="AN460" s="280">
        <f t="shared" si="116"/>
        <v>-4807.33</v>
      </c>
      <c r="AO460" s="287">
        <f t="shared" si="115"/>
        <v>-0.76218146188640834</v>
      </c>
      <c r="AP460" s="244"/>
      <c r="AQ460" s="494">
        <f>1500</f>
        <v>1500</v>
      </c>
      <c r="AR460" s="308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</row>
    <row r="461" spans="1:62" ht="17.399999999999999">
      <c r="A461" t="str">
        <f t="shared" si="89"/>
        <v>Réparation équipement</v>
      </c>
      <c r="B461" s="7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103" t="s">
        <v>170</v>
      </c>
      <c r="W461" s="288" t="s">
        <v>236</v>
      </c>
      <c r="X461" s="261"/>
      <c r="Y461" s="289"/>
      <c r="Z461" s="262">
        <v>450</v>
      </c>
      <c r="AA461" s="261"/>
      <c r="AB461" s="289"/>
      <c r="AC461" s="262"/>
      <c r="AD461" s="290"/>
      <c r="AE461" s="289"/>
      <c r="AF461" s="262">
        <v>450</v>
      </c>
      <c r="AG461" s="263"/>
      <c r="AH461" s="264">
        <f t="shared" si="113"/>
        <v>0</v>
      </c>
      <c r="AI461" s="291">
        <f t="shared" si="114"/>
        <v>0</v>
      </c>
      <c r="AJ461" s="290"/>
      <c r="AK461" s="261"/>
      <c r="AL461" s="262">
        <v>400</v>
      </c>
      <c r="AM461" s="266"/>
      <c r="AN461" s="264">
        <f t="shared" si="116"/>
        <v>50</v>
      </c>
      <c r="AO461" s="267">
        <f t="shared" si="115"/>
        <v>0.125</v>
      </c>
      <c r="AP461" s="244"/>
      <c r="AQ461" s="244">
        <v>450</v>
      </c>
      <c r="AR461" s="308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</row>
    <row r="462" spans="1:62" ht="17.399999999999999">
      <c r="A462" t="str">
        <f t="shared" si="89"/>
        <v>Location équipement</v>
      </c>
      <c r="B462" s="7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332"/>
      <c r="V462" s="102" t="s">
        <v>172</v>
      </c>
      <c r="W462" s="284" t="s">
        <v>173</v>
      </c>
      <c r="X462" s="277"/>
      <c r="Y462" s="285"/>
      <c r="Z462" s="278">
        <v>279</v>
      </c>
      <c r="AA462" s="277"/>
      <c r="AB462" s="285"/>
      <c r="AC462" s="278"/>
      <c r="AD462" s="286"/>
      <c r="AE462" s="285"/>
      <c r="AF462" s="278">
        <v>746.31999999999994</v>
      </c>
      <c r="AG462" s="279"/>
      <c r="AH462" s="280">
        <f t="shared" si="113"/>
        <v>467.31999999999994</v>
      </c>
      <c r="AI462" s="333">
        <f t="shared" si="114"/>
        <v>1.6749820788530463</v>
      </c>
      <c r="AJ462" s="277"/>
      <c r="AK462" s="277"/>
      <c r="AL462" s="278">
        <v>164</v>
      </c>
      <c r="AM462" s="282"/>
      <c r="AN462" s="280">
        <f t="shared" si="116"/>
        <v>582.31999999999994</v>
      </c>
      <c r="AO462" s="287">
        <f t="shared" si="115"/>
        <v>3.5507317073170728</v>
      </c>
      <c r="AP462" s="244"/>
      <c r="AQ462" s="244">
        <f>2046-1300</f>
        <v>746</v>
      </c>
      <c r="AR462" s="308" t="s">
        <v>261</v>
      </c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</row>
    <row r="463" spans="1:62" ht="18" hidden="1" customHeight="1">
      <c r="A463" t="str">
        <f t="shared" si="89"/>
        <v>Dons</v>
      </c>
      <c r="B463" s="7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332"/>
      <c r="V463" s="102" t="s">
        <v>174</v>
      </c>
      <c r="W463" s="284" t="s">
        <v>175</v>
      </c>
      <c r="X463" s="277"/>
      <c r="Y463" s="285"/>
      <c r="Z463" s="278">
        <v>0</v>
      </c>
      <c r="AA463" s="277"/>
      <c r="AB463" s="285"/>
      <c r="AC463" s="278"/>
      <c r="AD463" s="286"/>
      <c r="AE463" s="285"/>
      <c r="AF463" s="278">
        <v>0</v>
      </c>
      <c r="AG463" s="279"/>
      <c r="AH463" s="280">
        <v>0</v>
      </c>
      <c r="AI463" s="304">
        <v>0</v>
      </c>
      <c r="AJ463" s="277"/>
      <c r="AK463" s="277"/>
      <c r="AL463" s="278">
        <v>0</v>
      </c>
      <c r="AM463" s="282"/>
      <c r="AN463" s="280">
        <v>0</v>
      </c>
      <c r="AO463" s="287">
        <v>0</v>
      </c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</row>
    <row r="464" spans="1:62" ht="18" hidden="1" customHeight="1">
      <c r="A464" t="str">
        <f t="shared" si="89"/>
        <v>[...]</v>
      </c>
      <c r="B464" s="7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332"/>
      <c r="V464" s="102" t="s">
        <v>19</v>
      </c>
      <c r="W464" s="284"/>
      <c r="X464" s="277"/>
      <c r="Y464" s="285"/>
      <c r="Z464" s="280">
        <f>IFERROR(SUMIF($C:$C,$V464,F:F),0)</f>
        <v>0</v>
      </c>
      <c r="AA464" s="277"/>
      <c r="AB464" s="277"/>
      <c r="AC464" s="280"/>
      <c r="AD464" s="286"/>
      <c r="AE464" s="285"/>
      <c r="AF464" s="278">
        <f>+SUMIF($C:$C,$V464,L:L)</f>
        <v>0</v>
      </c>
      <c r="AG464" s="279"/>
      <c r="AH464" s="280">
        <f>AF464-Z464</f>
        <v>0</v>
      </c>
      <c r="AI464" s="281">
        <f>IF(Z464=0,0,AH464/Z464)</f>
        <v>0</v>
      </c>
      <c r="AJ464" s="286"/>
      <c r="AK464" s="277"/>
      <c r="AL464" s="278">
        <f>IFERROR(SUMIF($C:$C,$V464,Q:Q),0)</f>
        <v>0</v>
      </c>
      <c r="AM464" s="282"/>
      <c r="AN464" s="280">
        <v>0</v>
      </c>
      <c r="AO464" s="287">
        <v>1</v>
      </c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</row>
    <row r="465" spans="1:62" ht="18" hidden="1" customHeight="1">
      <c r="A465" t="str">
        <f t="shared" si="89"/>
        <v>[...]</v>
      </c>
      <c r="B465" s="7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332"/>
      <c r="V465" s="102" t="s">
        <v>19</v>
      </c>
      <c r="W465" s="284"/>
      <c r="X465" s="277"/>
      <c r="Y465" s="285"/>
      <c r="Z465" s="280">
        <f>IFERROR(SUMIF($C:$C,$V465,F:F),0)</f>
        <v>0</v>
      </c>
      <c r="AA465" s="277"/>
      <c r="AB465" s="277"/>
      <c r="AC465" s="280"/>
      <c r="AD465" s="286"/>
      <c r="AE465" s="285"/>
      <c r="AF465" s="278">
        <f>+SUMIF($C:$C,$V465,L:L)</f>
        <v>0</v>
      </c>
      <c r="AG465" s="279"/>
      <c r="AH465" s="280">
        <f>AF465-Z465</f>
        <v>0</v>
      </c>
      <c r="AI465" s="281">
        <f>IF(Z465=0,0,AH465/Z465)</f>
        <v>0</v>
      </c>
      <c r="AJ465" s="286"/>
      <c r="AK465" s="277"/>
      <c r="AL465" s="278">
        <f>IFERROR(SUMIF($C:$C,$V465,Q:Q),0)</f>
        <v>0</v>
      </c>
      <c r="AM465" s="282"/>
      <c r="AN465" s="280">
        <v>0</v>
      </c>
      <c r="AO465" s="287">
        <v>2</v>
      </c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</row>
    <row r="466" spans="1:62" ht="18" hidden="1" customHeight="1">
      <c r="A466" t="str">
        <f t="shared" si="89"/>
        <v>[...]</v>
      </c>
      <c r="B466" s="7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102" t="s">
        <v>19</v>
      </c>
      <c r="W466" s="284"/>
      <c r="X466" s="277"/>
      <c r="Y466" s="285"/>
      <c r="Z466" s="280">
        <f>IFERROR(SUMIF($C:$C,$V466,F:F),0)</f>
        <v>0</v>
      </c>
      <c r="AA466" s="277"/>
      <c r="AB466" s="277"/>
      <c r="AC466" s="280"/>
      <c r="AD466" s="286"/>
      <c r="AE466" s="285"/>
      <c r="AF466" s="278">
        <f>+SUMIF($C:$C,$V466,L:L)</f>
        <v>0</v>
      </c>
      <c r="AG466" s="279"/>
      <c r="AH466" s="280">
        <f>AF466-Z466</f>
        <v>0</v>
      </c>
      <c r="AI466" s="281">
        <f>IF(Z466=0,0,AH466/Z466)</f>
        <v>0</v>
      </c>
      <c r="AJ466" s="286"/>
      <c r="AK466" s="277"/>
      <c r="AL466" s="278">
        <f>IFERROR(SUMIF($C:$C,$V466,Q:Q),0)</f>
        <v>0</v>
      </c>
      <c r="AM466" s="282"/>
      <c r="AN466" s="280">
        <v>0</v>
      </c>
      <c r="AO466" s="287">
        <v>3</v>
      </c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</row>
    <row r="467" spans="1:62" ht="17.399999999999999">
      <c r="A467" t="str">
        <f t="shared" si="89"/>
        <v>TOTAL DÉPENSES FIXES</v>
      </c>
      <c r="B467" s="7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94" t="s">
        <v>176</v>
      </c>
      <c r="W467" s="295"/>
      <c r="X467" s="296">
        <f>Z467/+Z408</f>
        <v>0.14796274423865693</v>
      </c>
      <c r="Y467" s="295"/>
      <c r="Z467" s="297">
        <f>SUM(Z454:Z466)</f>
        <v>71791.636666666658</v>
      </c>
      <c r="AA467" s="296"/>
      <c r="AB467" s="295"/>
      <c r="AC467" s="297"/>
      <c r="AD467" s="298">
        <f>AF467/AF408</f>
        <v>0.14748417990790927</v>
      </c>
      <c r="AE467" s="295"/>
      <c r="AF467" s="297">
        <f>SUM(AF454:AF466)</f>
        <v>70682.920000000013</v>
      </c>
      <c r="AG467" s="306"/>
      <c r="AH467" s="300">
        <f>SUM(AH454:AH466)</f>
        <v>-1108.7166666666683</v>
      </c>
      <c r="AI467" s="296">
        <f>IF(Z467=0,0,AH467/Z467)</f>
        <v>-1.5443535182440727E-2</v>
      </c>
      <c r="AJ467" s="298">
        <f>IF($AL$408=0,0,AL467/$AL$408)</f>
        <v>0.18126034542655023</v>
      </c>
      <c r="AK467" s="296"/>
      <c r="AL467" s="297">
        <f>SUM(AL454:AL466)</f>
        <v>75629.710000000006</v>
      </c>
      <c r="AM467" s="307"/>
      <c r="AN467" s="300">
        <f>SUM(AN454:AN466)</f>
        <v>-4946.78999999999</v>
      </c>
      <c r="AO467" s="329">
        <f t="shared" ref="AO467:AO484" si="117">IF(AL467=0,0,AN467/AL467)</f>
        <v>-6.5408025496858174E-2</v>
      </c>
      <c r="AP467" s="244"/>
      <c r="AQ467" s="308">
        <f>SUM(AQ454:AQ462)-AF467</f>
        <v>-0.92000000001280569</v>
      </c>
      <c r="AR467" s="308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</row>
    <row r="468" spans="1:62" ht="17.399999999999999">
      <c r="A468" t="str">
        <f t="shared" si="89"/>
        <v/>
      </c>
      <c r="B468" s="7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102"/>
      <c r="W468" s="277"/>
      <c r="X468" s="277"/>
      <c r="Y468" s="277"/>
      <c r="Z468" s="334"/>
      <c r="AA468" s="277"/>
      <c r="AB468" s="277"/>
      <c r="AC468" s="334"/>
      <c r="AD468" s="286"/>
      <c r="AE468" s="277"/>
      <c r="AF468" s="334"/>
      <c r="AG468" s="286"/>
      <c r="AH468" s="280">
        <f t="shared" ref="AH468:AH482" si="118">AF468-Z468</f>
        <v>0</v>
      </c>
      <c r="AI468" s="281"/>
      <c r="AJ468" s="286"/>
      <c r="AK468" s="277"/>
      <c r="AL468" s="334"/>
      <c r="AM468" s="335"/>
      <c r="AN468" s="280">
        <f t="shared" ref="AN468:AN484" si="119">AF468-AL468</f>
        <v>0</v>
      </c>
      <c r="AO468" s="336">
        <f t="shared" si="117"/>
        <v>0</v>
      </c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</row>
    <row r="469" spans="1:62" ht="17.399999999999999">
      <c r="A469" t="str">
        <f t="shared" si="89"/>
        <v>TOTAL DES DÉPENSES</v>
      </c>
      <c r="B469" s="7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94" t="s">
        <v>64</v>
      </c>
      <c r="W469" s="295"/>
      <c r="X469" s="296">
        <f>Z469/+Z408</f>
        <v>0.95793618596909824</v>
      </c>
      <c r="Y469" s="295"/>
      <c r="Z469" s="297">
        <f>Z420+Z434+Z453+Z467</f>
        <v>464791.37006286014</v>
      </c>
      <c r="AA469" s="296"/>
      <c r="AB469" s="295"/>
      <c r="AC469" s="297"/>
      <c r="AD469" s="298">
        <f>AF469/AF408</f>
        <v>0.95299179789809951</v>
      </c>
      <c r="AE469" s="295"/>
      <c r="AF469" s="297">
        <f>AF420+AF434+AF453+AF467</f>
        <v>456728.60000000009</v>
      </c>
      <c r="AG469" s="306"/>
      <c r="AH469" s="300">
        <f t="shared" si="118"/>
        <v>-8062.7700628600433</v>
      </c>
      <c r="AI469" s="296">
        <f>AH469/Z469</f>
        <v>-1.7347073509066238E-2</v>
      </c>
      <c r="AJ469" s="298">
        <f>IF($AL$408=0,0,AL469/$AL$408)</f>
        <v>1.0772822252135483</v>
      </c>
      <c r="AK469" s="296"/>
      <c r="AL469" s="297">
        <f>AL420+AL434+AL453+AL467</f>
        <v>449489.06</v>
      </c>
      <c r="AM469" s="307"/>
      <c r="AN469" s="300">
        <f t="shared" si="119"/>
        <v>7239.5400000000955</v>
      </c>
      <c r="AO469" s="275">
        <f t="shared" si="117"/>
        <v>1.6106153951778262E-2</v>
      </c>
      <c r="AP469" s="308"/>
      <c r="AQ469" s="244"/>
      <c r="AR469" s="244"/>
      <c r="AS469" s="308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</row>
    <row r="470" spans="1:62" ht="17.399999999999999">
      <c r="A470" t="str">
        <f t="shared" si="89"/>
        <v>Revenus autres</v>
      </c>
      <c r="B470" s="7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102" t="s">
        <v>177</v>
      </c>
      <c r="W470" s="331"/>
      <c r="X470" s="331"/>
      <c r="Y470" s="277"/>
      <c r="Z470" s="311">
        <v>0</v>
      </c>
      <c r="AA470" s="337"/>
      <c r="AB470" s="338"/>
      <c r="AC470" s="311"/>
      <c r="AD470" s="339"/>
      <c r="AE470" s="338"/>
      <c r="AF470" s="278">
        <v>1533.53</v>
      </c>
      <c r="AG470" s="340"/>
      <c r="AH470" s="280">
        <f t="shared" si="118"/>
        <v>1533.53</v>
      </c>
      <c r="AI470" s="333" t="e">
        <f>IF(AH470=0,0,AH470/Z470)</f>
        <v>#DIV/0!</v>
      </c>
      <c r="AJ470" s="339"/>
      <c r="AK470" s="337"/>
      <c r="AL470" s="341">
        <v>-19.98</v>
      </c>
      <c r="AM470" s="342"/>
      <c r="AN470" s="280">
        <f t="shared" si="119"/>
        <v>1553.51</v>
      </c>
      <c r="AO470" s="287">
        <f t="shared" si="117"/>
        <v>-77.753253253253249</v>
      </c>
      <c r="AP470" s="244" t="s">
        <v>244</v>
      </c>
      <c r="AQ470" s="244">
        <v>1534</v>
      </c>
      <c r="AR470" s="244"/>
      <c r="AS470" s="244">
        <f>AQ470+AR470</f>
        <v>1534</v>
      </c>
      <c r="AT470" s="308">
        <f>AS470-AF470</f>
        <v>0.47000000000002728</v>
      </c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</row>
    <row r="471" spans="1:62" ht="17.399999999999999">
      <c r="A471" t="str">
        <f t="shared" si="89"/>
        <v>Holdbacks</v>
      </c>
      <c r="B471" s="7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102" t="s">
        <v>66</v>
      </c>
      <c r="W471" s="277"/>
      <c r="X471" s="277"/>
      <c r="Y471" s="277"/>
      <c r="Z471" s="278">
        <f>+SUMIF($C:$C,$V471,F:F)</f>
        <v>36763.257142857146</v>
      </c>
      <c r="AA471" s="330"/>
      <c r="AB471" s="331"/>
      <c r="AC471" s="278"/>
      <c r="AD471" s="343"/>
      <c r="AE471" s="331"/>
      <c r="AF471" s="278">
        <f t="shared" ref="AF471:AF477" si="120">+SUMIF($C:$C,$V471,L:L)</f>
        <v>44158</v>
      </c>
      <c r="AG471" s="344"/>
      <c r="AH471" s="280">
        <f t="shared" si="118"/>
        <v>7394.7428571428536</v>
      </c>
      <c r="AI471" s="304">
        <f>IF(Z471=0,0,AH471/Z471)</f>
        <v>0.20114493197400499</v>
      </c>
      <c r="AJ471" s="343"/>
      <c r="AK471" s="330"/>
      <c r="AL471" s="345">
        <f>+SUMIF($C:$C,$V471,Q:Q)</f>
        <v>29948.799999999999</v>
      </c>
      <c r="AM471" s="346"/>
      <c r="AN471" s="280">
        <f t="shared" si="119"/>
        <v>14209.2</v>
      </c>
      <c r="AO471" s="287">
        <f t="shared" si="117"/>
        <v>0.47444972753499309</v>
      </c>
      <c r="AP471" s="244"/>
      <c r="AQ471" s="244">
        <v>46361</v>
      </c>
      <c r="AR471" s="244">
        <v>-2203</v>
      </c>
      <c r="AS471" s="244">
        <f>AQ471+AR471</f>
        <v>44158</v>
      </c>
      <c r="AT471" s="308">
        <f t="shared" ref="AT471:AT481" si="121">AS471-AF471</f>
        <v>0</v>
      </c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</row>
    <row r="472" spans="1:62" ht="17.399999999999999">
      <c r="A472" t="str">
        <f t="shared" si="89"/>
        <v>RBSC neuf</v>
      </c>
      <c r="B472" s="7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102" t="s">
        <v>215</v>
      </c>
      <c r="W472" s="277"/>
      <c r="X472" s="277"/>
      <c r="Y472" s="277"/>
      <c r="Z472" s="278">
        <v>30329.687142857147</v>
      </c>
      <c r="AA472" s="330"/>
      <c r="AB472" s="331"/>
      <c r="AC472" s="278"/>
      <c r="AD472" s="343"/>
      <c r="AE472" s="331"/>
      <c r="AF472" s="278">
        <f t="shared" si="120"/>
        <v>35427.29</v>
      </c>
      <c r="AG472" s="344"/>
      <c r="AH472" s="280">
        <f t="shared" si="118"/>
        <v>5097.6028571428542</v>
      </c>
      <c r="AI472" s="304">
        <f t="shared" ref="AI472:AI481" si="122">IF(AH472=0,0,AH472/Z472)</f>
        <v>0.16807304451023244</v>
      </c>
      <c r="AJ472" s="343"/>
      <c r="AK472" s="330"/>
      <c r="AL472" s="345">
        <v>21262.21</v>
      </c>
      <c r="AM472" s="346"/>
      <c r="AN472" s="280">
        <f t="shared" si="119"/>
        <v>14165.080000000002</v>
      </c>
      <c r="AO472" s="287">
        <f t="shared" si="117"/>
        <v>0.66620920402912032</v>
      </c>
      <c r="AP472" s="244"/>
      <c r="AQ472" s="244">
        <v>33696</v>
      </c>
      <c r="AR472" s="244">
        <f>4558.5-1450.63-1376.88</f>
        <v>1730.9899999999998</v>
      </c>
      <c r="AS472" s="244">
        <f>AQ472+AR472</f>
        <v>35426.99</v>
      </c>
      <c r="AT472" s="308">
        <f t="shared" si="121"/>
        <v>-0.30000000000291038</v>
      </c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</row>
    <row r="473" spans="1:62" ht="18" hidden="1" customHeight="1">
      <c r="A473" t="str">
        <f t="shared" si="89"/>
        <v>Programme neuf 2</v>
      </c>
      <c r="B473" s="7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102" t="s">
        <v>187</v>
      </c>
      <c r="W473" s="277"/>
      <c r="X473" s="277"/>
      <c r="Y473" s="277"/>
      <c r="Z473" s="278">
        <f>+SUMIF($C:$C,$V473,F:F)</f>
        <v>0</v>
      </c>
      <c r="AA473" s="330"/>
      <c r="AB473" s="331"/>
      <c r="AC473" s="278"/>
      <c r="AD473" s="343"/>
      <c r="AE473" s="331"/>
      <c r="AF473" s="278">
        <f t="shared" si="120"/>
        <v>0</v>
      </c>
      <c r="AG473" s="344"/>
      <c r="AH473" s="280">
        <f t="shared" si="118"/>
        <v>0</v>
      </c>
      <c r="AI473" s="304">
        <f t="shared" si="122"/>
        <v>0</v>
      </c>
      <c r="AJ473" s="343"/>
      <c r="AK473" s="330"/>
      <c r="AL473" s="345">
        <f>+SUMIF($C:$C,$V473,Q:Q)</f>
        <v>0</v>
      </c>
      <c r="AM473" s="346"/>
      <c r="AN473" s="280">
        <f t="shared" si="119"/>
        <v>0</v>
      </c>
      <c r="AO473" s="287">
        <f t="shared" si="117"/>
        <v>0</v>
      </c>
      <c r="AP473" s="244"/>
      <c r="AQ473" s="244"/>
      <c r="AR473" s="244"/>
      <c r="AS473" s="244">
        <f t="shared" ref="AS473:AS481" si="123">AQ473+AR473</f>
        <v>0</v>
      </c>
      <c r="AT473" s="308">
        <f t="shared" si="121"/>
        <v>0</v>
      </c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</row>
    <row r="474" spans="1:62" ht="18" hidden="1" customHeight="1">
      <c r="A474" t="str">
        <f t="shared" si="89"/>
        <v>Programme neuf 3</v>
      </c>
      <c r="B474" s="7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102" t="s">
        <v>65</v>
      </c>
      <c r="W474" s="277"/>
      <c r="X474" s="277"/>
      <c r="Y474" s="277"/>
      <c r="Z474" s="278">
        <f>+SUMIF($C:$C,$V474,F:F)</f>
        <v>0</v>
      </c>
      <c r="AA474" s="330"/>
      <c r="AB474" s="331"/>
      <c r="AC474" s="278"/>
      <c r="AD474" s="343"/>
      <c r="AE474" s="331"/>
      <c r="AF474" s="278">
        <f t="shared" si="120"/>
        <v>0</v>
      </c>
      <c r="AG474" s="344"/>
      <c r="AH474" s="280">
        <f t="shared" si="118"/>
        <v>0</v>
      </c>
      <c r="AI474" s="304">
        <f t="shared" si="122"/>
        <v>0</v>
      </c>
      <c r="AJ474" s="343"/>
      <c r="AK474" s="330"/>
      <c r="AL474" s="345">
        <f>+SUMIF($C:$C,$V474,Q:Q)</f>
        <v>0</v>
      </c>
      <c r="AM474" s="346"/>
      <c r="AN474" s="280">
        <f t="shared" si="119"/>
        <v>0</v>
      </c>
      <c r="AO474" s="287">
        <f t="shared" si="117"/>
        <v>0</v>
      </c>
      <c r="AP474" s="244"/>
      <c r="AQ474" s="244"/>
      <c r="AR474" s="244"/>
      <c r="AS474" s="244">
        <f t="shared" si="123"/>
        <v>0</v>
      </c>
      <c r="AT474" s="308">
        <f t="shared" si="121"/>
        <v>0</v>
      </c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</row>
    <row r="475" spans="1:62" ht="17.399999999999999">
      <c r="A475" t="str">
        <f t="shared" si="89"/>
        <v>RBSC used</v>
      </c>
      <c r="B475" s="7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102" t="s">
        <v>217</v>
      </c>
      <c r="W475" s="277"/>
      <c r="X475" s="277"/>
      <c r="Y475" s="277"/>
      <c r="Z475" s="278">
        <v>5250</v>
      </c>
      <c r="AA475" s="330"/>
      <c r="AB475" s="331"/>
      <c r="AC475" s="278"/>
      <c r="AD475" s="343"/>
      <c r="AE475" s="331"/>
      <c r="AF475" s="278">
        <f t="shared" si="120"/>
        <v>6800</v>
      </c>
      <c r="AG475" s="344"/>
      <c r="AH475" s="280">
        <f t="shared" si="118"/>
        <v>1550</v>
      </c>
      <c r="AI475" s="304">
        <f t="shared" si="122"/>
        <v>0.29523809523809524</v>
      </c>
      <c r="AJ475" s="343"/>
      <c r="AK475" s="330"/>
      <c r="AL475" s="345">
        <v>5625</v>
      </c>
      <c r="AM475" s="346"/>
      <c r="AN475" s="280">
        <f t="shared" si="119"/>
        <v>1175</v>
      </c>
      <c r="AO475" s="287">
        <f t="shared" si="117"/>
        <v>0.2088888888888889</v>
      </c>
      <c r="AP475" s="244"/>
      <c r="AQ475" s="244">
        <v>6800</v>
      </c>
      <c r="AR475" s="244"/>
      <c r="AS475" s="244">
        <f t="shared" si="123"/>
        <v>6800</v>
      </c>
      <c r="AT475" s="308">
        <f t="shared" si="121"/>
        <v>0</v>
      </c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</row>
    <row r="476" spans="1:62" ht="17.399999999999999">
      <c r="A476" t="str">
        <f t="shared" si="89"/>
        <v>Programme 360</v>
      </c>
      <c r="B476" s="7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102" t="s">
        <v>218</v>
      </c>
      <c r="W476" s="277"/>
      <c r="X476" s="277"/>
      <c r="Y476" s="277"/>
      <c r="Z476" s="278">
        <f>+SUMIF($C:$C,$V476,F:F)</f>
        <v>0</v>
      </c>
      <c r="AA476" s="330"/>
      <c r="AB476" s="331"/>
      <c r="AC476" s="278"/>
      <c r="AD476" s="343"/>
      <c r="AE476" s="331"/>
      <c r="AF476" s="278">
        <f t="shared" si="120"/>
        <v>-3625</v>
      </c>
      <c r="AG476" s="344"/>
      <c r="AH476" s="280">
        <f t="shared" si="118"/>
        <v>-3625</v>
      </c>
      <c r="AI476" s="304" t="e">
        <f t="shared" si="122"/>
        <v>#DIV/0!</v>
      </c>
      <c r="AJ476" s="343"/>
      <c r="AK476" s="330"/>
      <c r="AL476" s="345">
        <f>+SUMIF($C:$C,$V476,Q:Q)</f>
        <v>0</v>
      </c>
      <c r="AM476" s="346"/>
      <c r="AN476" s="280">
        <f t="shared" si="119"/>
        <v>-3625</v>
      </c>
      <c r="AO476" s="287">
        <f t="shared" si="117"/>
        <v>0</v>
      </c>
      <c r="AP476" s="244"/>
      <c r="AQ476" s="244">
        <v>-3625</v>
      </c>
      <c r="AR476" s="244"/>
      <c r="AS476" s="244">
        <f t="shared" si="123"/>
        <v>-3625</v>
      </c>
      <c r="AT476" s="308">
        <f t="shared" si="121"/>
        <v>0</v>
      </c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</row>
    <row r="477" spans="1:62" ht="18" hidden="1" customHeight="1">
      <c r="A477" t="str">
        <f t="shared" si="89"/>
        <v>Programme used 3</v>
      </c>
      <c r="B477" s="7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102" t="s">
        <v>77</v>
      </c>
      <c r="W477" s="277"/>
      <c r="X477" s="277"/>
      <c r="Y477" s="277"/>
      <c r="Z477" s="278">
        <f>+SUMIF($C:$C,$V477,F:F)</f>
        <v>0</v>
      </c>
      <c r="AA477" s="330"/>
      <c r="AB477" s="331"/>
      <c r="AC477" s="278"/>
      <c r="AD477" s="343"/>
      <c r="AE477" s="331"/>
      <c r="AF477" s="278">
        <f t="shared" si="120"/>
        <v>0</v>
      </c>
      <c r="AG477" s="344"/>
      <c r="AH477" s="280">
        <f t="shared" si="118"/>
        <v>0</v>
      </c>
      <c r="AI477" s="304">
        <f t="shared" si="122"/>
        <v>0</v>
      </c>
      <c r="AJ477" s="343"/>
      <c r="AK477" s="330"/>
      <c r="AL477" s="345">
        <f>+SUMIF($C:$C,$V477,Q:Q)</f>
        <v>0</v>
      </c>
      <c r="AM477" s="346"/>
      <c r="AN477" s="280">
        <f t="shared" si="119"/>
        <v>0</v>
      </c>
      <c r="AO477" s="287">
        <f t="shared" si="117"/>
        <v>0</v>
      </c>
      <c r="AP477" s="244"/>
      <c r="AQ477" s="244"/>
      <c r="AR477" s="244"/>
      <c r="AS477" s="244">
        <f t="shared" si="123"/>
        <v>0</v>
      </c>
      <c r="AT477" s="308">
        <f t="shared" si="121"/>
        <v>0</v>
      </c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</row>
    <row r="478" spans="1:62" ht="17.399999999999999">
      <c r="A478" t="str">
        <f t="shared" si="89"/>
        <v>Facility Fund</v>
      </c>
      <c r="B478" s="7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102" t="s">
        <v>188</v>
      </c>
      <c r="W478" s="277"/>
      <c r="X478" s="277"/>
      <c r="Y478" s="277"/>
      <c r="Z478" s="278">
        <v>20219.791428571429</v>
      </c>
      <c r="AA478" s="330"/>
      <c r="AB478" s="331"/>
      <c r="AC478" s="278"/>
      <c r="AD478" s="343"/>
      <c r="AE478" s="331"/>
      <c r="AF478" s="278">
        <v>22650.09</v>
      </c>
      <c r="AG478" s="344"/>
      <c r="AH478" s="280">
        <f t="shared" si="118"/>
        <v>2430.2985714285714</v>
      </c>
      <c r="AI478" s="304">
        <f t="shared" si="122"/>
        <v>0.12019404750112585</v>
      </c>
      <c r="AJ478" s="343"/>
      <c r="AK478" s="330"/>
      <c r="AL478" s="345">
        <v>17324.45</v>
      </c>
      <c r="AM478" s="346"/>
      <c r="AN478" s="280">
        <f t="shared" si="119"/>
        <v>5325.6399999999994</v>
      </c>
      <c r="AO478" s="287">
        <f t="shared" si="117"/>
        <v>0.30740600711710903</v>
      </c>
      <c r="AP478" s="244"/>
      <c r="AQ478" s="244">
        <v>21527</v>
      </c>
      <c r="AR478" s="244">
        <f>3083.85-1079.27-881.2</f>
        <v>1123.3799999999999</v>
      </c>
      <c r="AS478" s="244">
        <f t="shared" si="123"/>
        <v>22650.38</v>
      </c>
      <c r="AT478" s="308">
        <f t="shared" si="121"/>
        <v>0.29000000000087311</v>
      </c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</row>
    <row r="479" spans="1:62" ht="18" hidden="1" customHeight="1">
      <c r="A479" t="str">
        <f t="shared" si="89"/>
        <v>[...]</v>
      </c>
      <c r="B479" s="7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102" t="s">
        <v>19</v>
      </c>
      <c r="W479" s="277"/>
      <c r="X479" s="277"/>
      <c r="Y479" s="277"/>
      <c r="Z479" s="280">
        <f>IFERROR(SUMIF($C:$C,$V479,F:F),0)</f>
        <v>0</v>
      </c>
      <c r="AA479" s="277"/>
      <c r="AB479" s="277"/>
      <c r="AC479" s="280"/>
      <c r="AD479" s="286"/>
      <c r="AE479" s="285"/>
      <c r="AF479" s="278">
        <f>+SUMIF($C:$C,$V479,L:L)</f>
        <v>0</v>
      </c>
      <c r="AG479" s="279"/>
      <c r="AH479" s="280">
        <f t="shared" si="118"/>
        <v>0</v>
      </c>
      <c r="AI479" s="281">
        <f t="shared" si="122"/>
        <v>0</v>
      </c>
      <c r="AJ479" s="286"/>
      <c r="AK479" s="277"/>
      <c r="AL479" s="278">
        <f>+SUMIF($C:$C,$V479,Q:Q)</f>
        <v>0</v>
      </c>
      <c r="AM479" s="346"/>
      <c r="AN479" s="280">
        <f t="shared" si="119"/>
        <v>0</v>
      </c>
      <c r="AO479" s="287">
        <f t="shared" si="117"/>
        <v>0</v>
      </c>
      <c r="AP479" s="244"/>
      <c r="AQ479" s="244"/>
      <c r="AR479" s="244"/>
      <c r="AS479" s="244">
        <f t="shared" si="123"/>
        <v>0</v>
      </c>
      <c r="AT479" s="308">
        <f t="shared" si="121"/>
        <v>0</v>
      </c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</row>
    <row r="480" spans="1:62" ht="18" hidden="1" customHeight="1">
      <c r="A480" t="str">
        <f t="shared" si="89"/>
        <v>[...]</v>
      </c>
      <c r="B480" s="7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102" t="s">
        <v>19</v>
      </c>
      <c r="W480" s="277"/>
      <c r="X480" s="277"/>
      <c r="Y480" s="277"/>
      <c r="Z480" s="280">
        <f>IFERROR(SUMIF($C:$C,$V480,F:F),0)</f>
        <v>0</v>
      </c>
      <c r="AA480" s="277"/>
      <c r="AB480" s="277"/>
      <c r="AC480" s="280"/>
      <c r="AD480" s="286"/>
      <c r="AE480" s="285"/>
      <c r="AF480" s="278">
        <f>+SUMIF($C:$C,$V480,L:L)</f>
        <v>0</v>
      </c>
      <c r="AG480" s="279"/>
      <c r="AH480" s="280">
        <f t="shared" si="118"/>
        <v>0</v>
      </c>
      <c r="AI480" s="281">
        <f t="shared" si="122"/>
        <v>0</v>
      </c>
      <c r="AJ480" s="286"/>
      <c r="AK480" s="277"/>
      <c r="AL480" s="278">
        <f>+SUMIF($C:$C,$V480,Q:Q)</f>
        <v>0</v>
      </c>
      <c r="AM480" s="346"/>
      <c r="AN480" s="280">
        <f t="shared" si="119"/>
        <v>0</v>
      </c>
      <c r="AO480" s="287">
        <f t="shared" si="117"/>
        <v>0</v>
      </c>
      <c r="AP480" s="244"/>
      <c r="AQ480" s="244"/>
      <c r="AR480" s="244"/>
      <c r="AS480" s="244">
        <f t="shared" si="123"/>
        <v>0</v>
      </c>
      <c r="AT480" s="308">
        <f t="shared" si="121"/>
        <v>0</v>
      </c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</row>
    <row r="481" spans="1:62" ht="17.399999999999999">
      <c r="A481" t="str">
        <f t="shared" si="89"/>
        <v>Frais administration</v>
      </c>
      <c r="B481" s="7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103" t="s">
        <v>67</v>
      </c>
      <c r="W481" s="277"/>
      <c r="X481" s="277"/>
      <c r="Y481" s="277"/>
      <c r="Z481" s="278">
        <f>+SUMIF($C:$C,$V481,F:F)</f>
        <v>24383.1</v>
      </c>
      <c r="AA481" s="330"/>
      <c r="AB481" s="331"/>
      <c r="AC481" s="278"/>
      <c r="AD481" s="343"/>
      <c r="AE481" s="331"/>
      <c r="AF481" s="278">
        <f>+SUMIF($C:$C,$V481,L:L)</f>
        <v>30940</v>
      </c>
      <c r="AG481" s="344"/>
      <c r="AH481" s="280">
        <f t="shared" si="118"/>
        <v>6556.9000000000015</v>
      </c>
      <c r="AI481" s="304">
        <f t="shared" si="122"/>
        <v>0.26891166422645202</v>
      </c>
      <c r="AJ481" s="343"/>
      <c r="AK481" s="330"/>
      <c r="AL481" s="345">
        <v>18445</v>
      </c>
      <c r="AM481" s="346"/>
      <c r="AN481" s="280">
        <f t="shared" si="119"/>
        <v>12495</v>
      </c>
      <c r="AO481" s="287">
        <f t="shared" si="117"/>
        <v>0.67741935483870963</v>
      </c>
      <c r="AP481" s="244"/>
      <c r="AQ481" s="244">
        <v>30940</v>
      </c>
      <c r="AR481" s="244"/>
      <c r="AS481" s="244">
        <f t="shared" si="123"/>
        <v>30940</v>
      </c>
      <c r="AT481" s="308">
        <f t="shared" si="121"/>
        <v>0</v>
      </c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</row>
    <row r="482" spans="1:62" ht="17.399999999999999">
      <c r="A482" t="str">
        <f t="shared" si="89"/>
        <v>TOTAL AUTRES REVENUS</v>
      </c>
      <c r="B482" s="7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94" t="s">
        <v>178</v>
      </c>
      <c r="W482" s="295"/>
      <c r="X482" s="296">
        <f>Z482/+Z408</f>
        <v>0.24102566236107334</v>
      </c>
      <c r="Y482" s="328"/>
      <c r="Z482" s="297">
        <f>SUM(Z470:Z481)</f>
        <v>116945.83571428573</v>
      </c>
      <c r="AA482" s="296"/>
      <c r="AB482" s="328"/>
      <c r="AC482" s="297"/>
      <c r="AD482" s="296">
        <f>AF482/+AF408</f>
        <v>0.28770310265685073</v>
      </c>
      <c r="AE482" s="328"/>
      <c r="AF482" s="297">
        <f>SUM(AF470:AF481)</f>
        <v>137883.91</v>
      </c>
      <c r="AG482" s="306"/>
      <c r="AH482" s="300">
        <f t="shared" si="118"/>
        <v>20938.074285714276</v>
      </c>
      <c r="AI482" s="296">
        <f>AH482/Z482</f>
        <v>0.1790407854869564</v>
      </c>
      <c r="AJ482" s="347"/>
      <c r="AK482" s="348"/>
      <c r="AL482" s="297">
        <f>SUM(AL470:AL481)</f>
        <v>92585.48</v>
      </c>
      <c r="AM482" s="349"/>
      <c r="AN482" s="300">
        <f t="shared" si="119"/>
        <v>45298.430000000008</v>
      </c>
      <c r="AO482" s="329">
        <f t="shared" si="117"/>
        <v>0.48926062704432716</v>
      </c>
      <c r="AP482" s="244"/>
      <c r="AQ482" s="244">
        <f>SUM(AQ470:AQ481)</f>
        <v>137233</v>
      </c>
      <c r="AR482" s="244">
        <f>SUM(AR470:AR481)</f>
        <v>651.36999999999966</v>
      </c>
      <c r="AS482" s="308">
        <f>SUM(AS470:AS481)-AF482</f>
        <v>0.45999999999185093</v>
      </c>
      <c r="AT482" s="308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</row>
    <row r="483" spans="1:62" ht="18" thickBot="1">
      <c r="A483" t="str">
        <f t="shared" si="89"/>
        <v/>
      </c>
      <c r="B483" s="7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350"/>
      <c r="W483" s="351"/>
      <c r="X483" s="351"/>
      <c r="Y483" s="352"/>
      <c r="Z483" s="353"/>
      <c r="AA483" s="351"/>
      <c r="AB483" s="354"/>
      <c r="AC483" s="353"/>
      <c r="AD483" s="351"/>
      <c r="AE483" s="354"/>
      <c r="AF483" s="355"/>
      <c r="AG483" s="356"/>
      <c r="AH483" s="357"/>
      <c r="AI483" s="358"/>
      <c r="AJ483" s="359"/>
      <c r="AK483" s="360"/>
      <c r="AL483" s="355"/>
      <c r="AM483" s="361"/>
      <c r="AN483" s="357">
        <f t="shared" si="119"/>
        <v>0</v>
      </c>
      <c r="AO483" s="362">
        <f t="shared" si="117"/>
        <v>0</v>
      </c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</row>
    <row r="484" spans="1:62" ht="18.600000000000001" thickTop="1" thickBot="1">
      <c r="A484" t="str">
        <f t="shared" si="89"/>
        <v>BAIIA OPÉRATIONNEL</v>
      </c>
      <c r="B484" s="7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363" t="s">
        <v>179</v>
      </c>
      <c r="W484" s="364"/>
      <c r="X484" s="365" t="s">
        <v>180</v>
      </c>
      <c r="Y484" s="366">
        <f>Z484/Z407</f>
        <v>3.0938354979787221E-2</v>
      </c>
      <c r="Z484" s="367">
        <f>Z408-Z469+Z482</f>
        <v>137355.23045253073</v>
      </c>
      <c r="AA484" s="365"/>
      <c r="AB484" s="366"/>
      <c r="AC484" s="367"/>
      <c r="AD484" s="365" t="s">
        <v>180</v>
      </c>
      <c r="AE484" s="366">
        <f>AF484/AF407</f>
        <v>3.1387460020882177E-2</v>
      </c>
      <c r="AF484" s="368">
        <f>AF408-AF469+AF482</f>
        <v>160412.94999999987</v>
      </c>
      <c r="AG484" s="369"/>
      <c r="AH484" s="368">
        <f>AF484-Z484</f>
        <v>23057.71954746914</v>
      </c>
      <c r="AI484" s="481">
        <f>AH484/Z484</f>
        <v>0.16786925020258162</v>
      </c>
      <c r="AJ484" s="371" t="s">
        <v>180</v>
      </c>
      <c r="AK484" s="366">
        <f>IF($AL$407=0,0,AL484/$AL$407)</f>
        <v>1.6985761364583369E-2</v>
      </c>
      <c r="AL484" s="368">
        <f>AL408-AL469+AL482</f>
        <v>60339.969999999579</v>
      </c>
      <c r="AM484" s="372"/>
      <c r="AN484" s="368">
        <f t="shared" si="119"/>
        <v>100072.98000000029</v>
      </c>
      <c r="AO484" s="373">
        <f t="shared" si="117"/>
        <v>1.6584857433638265</v>
      </c>
      <c r="AP484" s="244"/>
      <c r="AQ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</row>
    <row r="485" spans="1:62" ht="36" thickTop="1">
      <c r="A485" t="str">
        <f t="shared" si="89"/>
        <v/>
      </c>
      <c r="B485" s="7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6"/>
      <c r="W485" s="6"/>
      <c r="X485" s="6"/>
      <c r="Y485" s="6"/>
      <c r="Z485" s="82"/>
      <c r="AA485" s="13"/>
      <c r="AB485" s="13"/>
      <c r="AC485" s="82"/>
      <c r="AD485" s="13"/>
      <c r="AE485" s="13"/>
      <c r="AF485" s="374"/>
      <c r="AG485" s="13"/>
      <c r="AH485" s="13"/>
      <c r="AI485" s="13"/>
      <c r="AJ485" s="13"/>
      <c r="AK485" s="13"/>
      <c r="AL485" s="82"/>
      <c r="AM485" s="13"/>
      <c r="AN485" s="13"/>
      <c r="AO485" s="13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</row>
    <row r="486" spans="1:62" ht="35.4">
      <c r="A486" t="str">
        <f t="shared" ref="A486:A499" si="124">+U486&amp;V486</f>
        <v>BMW Sherbrooke</v>
      </c>
      <c r="B486" s="7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6" t="str">
        <f>C1</f>
        <v>BMW Sherbrooke</v>
      </c>
      <c r="W486" s="6"/>
      <c r="X486" s="6"/>
      <c r="Y486" s="6"/>
      <c r="Z486" s="1"/>
      <c r="AA486" s="1"/>
      <c r="AB486" s="6"/>
      <c r="AC486" s="6"/>
      <c r="AD486" s="1"/>
      <c r="AE486" s="3" t="s">
        <v>181</v>
      </c>
      <c r="AF486" s="6"/>
      <c r="AG486" s="6"/>
      <c r="AH486" s="1"/>
      <c r="AI486" s="1"/>
      <c r="AJ486" s="253"/>
      <c r="AK486" s="2"/>
      <c r="AL486" s="1"/>
      <c r="AM486" s="6"/>
      <c r="AN486" s="6"/>
      <c r="AO486" s="5" t="str">
        <f>$S$1</f>
        <v>Réalisé, Juillet 2026</v>
      </c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</row>
    <row r="487" spans="1:62" ht="35.25" hidden="1" customHeight="1" thickBot="1">
      <c r="A487" t="str">
        <f t="shared" si="124"/>
        <v/>
      </c>
      <c r="B487" s="7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4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</row>
    <row r="488" spans="1:62" ht="36" thickBot="1">
      <c r="A488" t="str">
        <f t="shared" si="124"/>
        <v/>
      </c>
      <c r="B488" s="7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4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</row>
    <row r="489" spans="1:62" ht="18.600000000000001" hidden="1" thickTop="1" thickBot="1">
      <c r="A489" t="e">
        <f>+U489&amp;#REF!</f>
        <v>#REF!</v>
      </c>
      <c r="B489" s="7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441" t="s">
        <v>208</v>
      </c>
      <c r="W489" s="442"/>
      <c r="X489" s="443" t="s">
        <v>180</v>
      </c>
      <c r="Y489" s="444">
        <f>Z489/Z407</f>
        <v>3.7443079964802062E-2</v>
      </c>
      <c r="Z489" s="446">
        <f>Z490+Z416</f>
        <v>166233.88285440425</v>
      </c>
      <c r="AA489" s="443"/>
      <c r="AB489" s="444"/>
      <c r="AC489" s="445"/>
      <c r="AD489" s="443" t="s">
        <v>180</v>
      </c>
      <c r="AE489" s="444">
        <f>AF489/AF407</f>
        <v>3.7300270531997616E-2</v>
      </c>
      <c r="AF489" s="446">
        <f>AF490+AF416</f>
        <v>190631.74999999988</v>
      </c>
      <c r="AG489" s="447"/>
      <c r="AH489" s="446">
        <f t="shared" ref="AH489" si="125">AF489-Z489</f>
        <v>24397.867145595636</v>
      </c>
      <c r="AI489" s="488">
        <f>AH489/Z489</f>
        <v>0.14676831658299458</v>
      </c>
      <c r="AJ489" s="443" t="s">
        <v>180</v>
      </c>
      <c r="AK489" s="444">
        <f>IF($AL$407=0,0,AL489/$AL$407)</f>
        <v>2.4492610227399313E-2</v>
      </c>
      <c r="AL489" s="446">
        <f>AL490+AL416</f>
        <v>87007.18999999958</v>
      </c>
      <c r="AM489" s="448"/>
      <c r="AN489" s="446">
        <f t="shared" ref="AN489" si="126">AF489-AL489</f>
        <v>103624.5600000003</v>
      </c>
      <c r="AO489" s="449">
        <f t="shared" ref="AO489" si="127">IF(AL489=0,0,AN489/AL489)</f>
        <v>1.1909884688840175</v>
      </c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</row>
    <row r="490" spans="1:62" ht="18.600000000000001" thickTop="1" thickBot="1">
      <c r="A490" t="str">
        <f t="shared" si="124"/>
        <v>BAIIA OPÉRATIONNEL</v>
      </c>
      <c r="B490" s="7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375" t="s">
        <v>179</v>
      </c>
      <c r="W490" s="376"/>
      <c r="X490" s="377" t="s">
        <v>180</v>
      </c>
      <c r="Y490" s="378">
        <f>Z490/Z407</f>
        <v>3.0938354979787221E-2</v>
      </c>
      <c r="Z490" s="379">
        <f>Z484</f>
        <v>137355.23045253073</v>
      </c>
      <c r="AA490" s="377"/>
      <c r="AB490" s="378"/>
      <c r="AC490" s="379"/>
      <c r="AD490" s="377" t="s">
        <v>180</v>
      </c>
      <c r="AE490" s="378">
        <f>AF490/AF407</f>
        <v>3.1387460020882177E-2</v>
      </c>
      <c r="AF490" s="379">
        <f>AF484</f>
        <v>160412.94999999987</v>
      </c>
      <c r="AG490" s="380"/>
      <c r="AH490" s="368">
        <f>AF490-Z490</f>
        <v>23057.71954746914</v>
      </c>
      <c r="AI490" s="481">
        <f>AH490/Z490</f>
        <v>0.16786925020258162</v>
      </c>
      <c r="AJ490" s="377" t="s">
        <v>180</v>
      </c>
      <c r="AK490" s="378">
        <f>IF($AL$407=0,0,AL490/$AL$407)</f>
        <v>1.6985761364583369E-2</v>
      </c>
      <c r="AL490" s="381">
        <f>AL484</f>
        <v>60339.969999999579</v>
      </c>
      <c r="AM490" s="382"/>
      <c r="AN490" s="383">
        <f>AF490-AL490</f>
        <v>100072.98000000029</v>
      </c>
      <c r="AO490" s="384">
        <f>IF(AL490=0,0,AN490/AL490)</f>
        <v>1.6584857433638265</v>
      </c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</row>
    <row r="491" spans="1:62" ht="16.2" thickTop="1">
      <c r="A491" t="str">
        <f t="shared" si="124"/>
        <v/>
      </c>
      <c r="B491" s="7"/>
      <c r="C491" s="244"/>
      <c r="D491" s="244"/>
      <c r="E491" s="244"/>
      <c r="F491" s="308"/>
      <c r="G491" s="244"/>
      <c r="H491" s="244"/>
      <c r="I491" s="308"/>
      <c r="J491" s="244"/>
      <c r="K491" s="244"/>
      <c r="L491" s="244"/>
      <c r="M491" s="308"/>
      <c r="N491" s="244"/>
      <c r="O491" s="244"/>
      <c r="P491" s="244"/>
      <c r="Q491" s="308"/>
      <c r="R491" s="308"/>
      <c r="S491" s="308"/>
      <c r="T491" s="332"/>
      <c r="U491" s="332"/>
      <c r="V491" s="385"/>
      <c r="W491" s="244"/>
      <c r="X491" s="244"/>
      <c r="Y491" s="244"/>
      <c r="Z491" s="386"/>
      <c r="AA491" s="244"/>
      <c r="AB491" s="244"/>
      <c r="AC491" s="387"/>
      <c r="AD491" s="244"/>
      <c r="AE491" s="244"/>
      <c r="AF491" s="387"/>
      <c r="AG491" s="244"/>
      <c r="AH491" s="244"/>
      <c r="AI491" s="387"/>
      <c r="AJ491" s="244"/>
      <c r="AK491" s="244"/>
      <c r="AL491" s="388"/>
      <c r="AM491" s="389"/>
      <c r="AN491" s="244"/>
      <c r="AO491" s="390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</row>
    <row r="492" spans="1:62" ht="17.399999999999999">
      <c r="A492" t="str">
        <f t="shared" si="124"/>
        <v>Amortissement</v>
      </c>
      <c r="B492" s="7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102" t="s">
        <v>182</v>
      </c>
      <c r="W492" s="284"/>
      <c r="X492" s="277"/>
      <c r="Y492" s="285"/>
      <c r="Z492" s="278">
        <v>4077.75</v>
      </c>
      <c r="AA492" s="277"/>
      <c r="AB492" s="285"/>
      <c r="AC492" s="278"/>
      <c r="AD492" s="277"/>
      <c r="AE492" s="285"/>
      <c r="AF492" s="278">
        <v>4077.75</v>
      </c>
      <c r="AG492" s="277"/>
      <c r="AH492" s="280">
        <f t="shared" ref="AH492:AH499" si="128">AF492-Z492</f>
        <v>0</v>
      </c>
      <c r="AI492" s="304">
        <f t="shared" ref="AI492:AI498" si="129">IF(Z492=0,0,AH492/Z492)</f>
        <v>0</v>
      </c>
      <c r="AJ492" s="277"/>
      <c r="AK492" s="277"/>
      <c r="AL492" s="278">
        <v>19300</v>
      </c>
      <c r="AM492" s="282"/>
      <c r="AN492" s="280">
        <f t="shared" ref="AN492:AN499" si="130">AF492-AL492</f>
        <v>-15222.25</v>
      </c>
      <c r="AO492" s="287">
        <f t="shared" ref="AO492:AO499" si="131">IF(AL492=0,0,AN492/AL492)</f>
        <v>-0.78871761658031092</v>
      </c>
      <c r="AP492" s="244"/>
      <c r="AQ492" s="494">
        <v>4078</v>
      </c>
      <c r="AR492" s="308">
        <f>AQ492-AF492</f>
        <v>0.25</v>
      </c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</row>
    <row r="493" spans="1:62" ht="20.25" hidden="1" customHeight="1">
      <c r="A493" t="str">
        <f t="shared" si="124"/>
        <v>Intérêts sur marge</v>
      </c>
      <c r="B493" s="7"/>
      <c r="C493" s="244"/>
      <c r="D493" s="244"/>
      <c r="E493" s="244"/>
      <c r="F493" s="308"/>
      <c r="G493" s="244"/>
      <c r="H493" s="244"/>
      <c r="I493" s="308"/>
      <c r="J493" s="244"/>
      <c r="K493" s="244"/>
      <c r="L493" s="244"/>
      <c r="M493" s="308"/>
      <c r="N493" s="244"/>
      <c r="O493" s="244"/>
      <c r="P493" s="244"/>
      <c r="Q493" s="308"/>
      <c r="R493" s="308"/>
      <c r="S493" s="308"/>
      <c r="T493" s="244"/>
      <c r="U493" s="244"/>
      <c r="V493" s="102" t="s">
        <v>183</v>
      </c>
      <c r="W493" s="10"/>
      <c r="X493" s="10"/>
      <c r="Y493" s="10"/>
      <c r="Z493" s="278">
        <v>0</v>
      </c>
      <c r="AA493" s="10"/>
      <c r="AB493" s="10"/>
      <c r="AC493" s="278"/>
      <c r="AD493" s="10"/>
      <c r="AE493" s="13"/>
      <c r="AF493" s="278">
        <v>0</v>
      </c>
      <c r="AG493" s="10"/>
      <c r="AH493" s="280">
        <f t="shared" si="128"/>
        <v>0</v>
      </c>
      <c r="AI493" s="304">
        <f t="shared" si="129"/>
        <v>0</v>
      </c>
      <c r="AJ493" s="10"/>
      <c r="AK493" s="10"/>
      <c r="AL493" s="278">
        <v>0</v>
      </c>
      <c r="AM493" s="391"/>
      <c r="AN493" s="280">
        <f t="shared" si="130"/>
        <v>0</v>
      </c>
      <c r="AO493" s="287">
        <f t="shared" si="131"/>
        <v>0</v>
      </c>
      <c r="AP493" s="244"/>
      <c r="AQ493" s="244"/>
      <c r="AR493" s="308">
        <f t="shared" ref="AR493:AR497" si="132">AQ493-AF493</f>
        <v>0</v>
      </c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</row>
    <row r="494" spans="1:62" ht="22.5" hidden="1" customHeight="1">
      <c r="A494" t="str">
        <f t="shared" si="124"/>
        <v>Intérêts sur prêt</v>
      </c>
      <c r="B494" s="7"/>
      <c r="C494" s="244"/>
      <c r="D494" s="244"/>
      <c r="E494" s="244"/>
      <c r="F494" s="308"/>
      <c r="G494" s="244"/>
      <c r="H494" s="244"/>
      <c r="I494" s="308"/>
      <c r="J494" s="244"/>
      <c r="K494" s="244"/>
      <c r="L494" s="244"/>
      <c r="M494" s="308"/>
      <c r="N494" s="244"/>
      <c r="O494" s="244"/>
      <c r="P494" s="244"/>
      <c r="Q494" s="308"/>
      <c r="R494" s="308"/>
      <c r="S494" s="308"/>
      <c r="T494" s="244"/>
      <c r="U494" s="244"/>
      <c r="V494" s="102" t="s">
        <v>184</v>
      </c>
      <c r="W494" s="13"/>
      <c r="X494" s="13"/>
      <c r="Y494" s="13"/>
      <c r="Z494" s="278">
        <v>0</v>
      </c>
      <c r="AA494" s="10"/>
      <c r="AB494" s="10"/>
      <c r="AC494" s="278"/>
      <c r="AD494" s="10"/>
      <c r="AE494" s="13"/>
      <c r="AF494" s="278">
        <v>0</v>
      </c>
      <c r="AG494" s="10"/>
      <c r="AH494" s="280">
        <f t="shared" si="128"/>
        <v>0</v>
      </c>
      <c r="AI494" s="304">
        <f t="shared" si="129"/>
        <v>0</v>
      </c>
      <c r="AJ494" s="10"/>
      <c r="AK494" s="10"/>
      <c r="AL494" s="278">
        <v>0</v>
      </c>
      <c r="AM494" s="391"/>
      <c r="AN494" s="280">
        <f t="shared" si="130"/>
        <v>0</v>
      </c>
      <c r="AO494" s="287">
        <f t="shared" si="131"/>
        <v>0</v>
      </c>
      <c r="AP494" s="244"/>
      <c r="AQ494" s="244"/>
      <c r="AR494" s="308">
        <f t="shared" si="132"/>
        <v>0</v>
      </c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</row>
    <row r="495" spans="1:62" ht="20.25" hidden="1" customHeight="1">
      <c r="A495" t="str">
        <f t="shared" si="124"/>
        <v>Intérêts sur avance</v>
      </c>
      <c r="B495" s="7"/>
      <c r="C495" s="244"/>
      <c r="D495" s="244"/>
      <c r="E495" s="244"/>
      <c r="F495" s="308"/>
      <c r="G495" s="244"/>
      <c r="H495" s="244"/>
      <c r="I495" s="308"/>
      <c r="J495" s="244"/>
      <c r="K495" s="244"/>
      <c r="L495" s="244"/>
      <c r="M495" s="308"/>
      <c r="N495" s="244"/>
      <c r="O495" s="244"/>
      <c r="P495" s="244"/>
      <c r="Q495" s="308"/>
      <c r="R495" s="308"/>
      <c r="S495" s="308"/>
      <c r="T495" s="244"/>
      <c r="U495" s="244"/>
      <c r="V495" s="102" t="s">
        <v>185</v>
      </c>
      <c r="W495" s="13"/>
      <c r="X495" s="13"/>
      <c r="Y495" s="13"/>
      <c r="Z495" s="278">
        <v>0</v>
      </c>
      <c r="AA495" s="10"/>
      <c r="AB495" s="10"/>
      <c r="AC495" s="278"/>
      <c r="AD495" s="10"/>
      <c r="AE495" s="13"/>
      <c r="AF495" s="278">
        <v>0</v>
      </c>
      <c r="AG495" s="10"/>
      <c r="AH495" s="280">
        <f t="shared" si="128"/>
        <v>0</v>
      </c>
      <c r="AI495" s="304">
        <f t="shared" si="129"/>
        <v>0</v>
      </c>
      <c r="AJ495" s="10"/>
      <c r="AK495" s="10"/>
      <c r="AL495" s="278">
        <v>0</v>
      </c>
      <c r="AM495" s="391"/>
      <c r="AN495" s="280">
        <f t="shared" si="130"/>
        <v>0</v>
      </c>
      <c r="AO495" s="287">
        <f t="shared" si="131"/>
        <v>0</v>
      </c>
      <c r="AP495" s="244"/>
      <c r="AQ495" s="244"/>
      <c r="AR495" s="308">
        <f t="shared" si="132"/>
        <v>0</v>
      </c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</row>
    <row r="496" spans="1:62" ht="20.25" hidden="1" customHeight="1" thickBot="1">
      <c r="A496" t="str">
        <f t="shared" si="124"/>
        <v>[...]</v>
      </c>
      <c r="B496" s="7"/>
      <c r="C496" s="244"/>
      <c r="D496" s="244"/>
      <c r="E496" s="244"/>
      <c r="F496" s="308"/>
      <c r="G496" s="244"/>
      <c r="H496" s="244"/>
      <c r="I496" s="308"/>
      <c r="J496" s="244"/>
      <c r="K496" s="244"/>
      <c r="L496" s="244"/>
      <c r="M496" s="308"/>
      <c r="N496" s="244"/>
      <c r="O496" s="244"/>
      <c r="P496" s="244"/>
      <c r="Q496" s="308"/>
      <c r="R496" s="308"/>
      <c r="S496" s="308"/>
      <c r="T496" s="244"/>
      <c r="U496" s="244"/>
      <c r="V496" s="102" t="s">
        <v>19</v>
      </c>
      <c r="W496" s="13"/>
      <c r="X496" s="13"/>
      <c r="Y496" s="13"/>
      <c r="Z496" s="280">
        <f>IFERROR(SUMIF($C:$C,$V496,F:F),0)</f>
        <v>0</v>
      </c>
      <c r="AA496" s="277"/>
      <c r="AB496" s="277"/>
      <c r="AC496" s="280"/>
      <c r="AD496" s="286"/>
      <c r="AE496" s="285"/>
      <c r="AF496" s="278">
        <v>0</v>
      </c>
      <c r="AG496" s="279"/>
      <c r="AH496" s="280">
        <f t="shared" si="128"/>
        <v>0</v>
      </c>
      <c r="AI496" s="281">
        <f t="shared" si="129"/>
        <v>0</v>
      </c>
      <c r="AJ496" s="286"/>
      <c r="AK496" s="277"/>
      <c r="AL496" s="278"/>
      <c r="AM496" s="391"/>
      <c r="AN496" s="280">
        <f t="shared" si="130"/>
        <v>0</v>
      </c>
      <c r="AO496" s="287">
        <f t="shared" si="131"/>
        <v>0</v>
      </c>
      <c r="AP496" s="244"/>
      <c r="AQ496" s="244"/>
      <c r="AR496" s="308">
        <f t="shared" si="132"/>
        <v>0</v>
      </c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</row>
    <row r="497" spans="1:62" ht="21" thickBot="1">
      <c r="A497" t="str">
        <f t="shared" si="124"/>
        <v>Revenus d'intérêts Floor plan</v>
      </c>
      <c r="B497" s="7"/>
      <c r="C497" s="244"/>
      <c r="D497" s="244"/>
      <c r="E497" s="244"/>
      <c r="F497" s="308"/>
      <c r="G497" s="244"/>
      <c r="H497" s="244"/>
      <c r="I497" s="308"/>
      <c r="J497" s="244"/>
      <c r="K497" s="244"/>
      <c r="L497" s="244"/>
      <c r="M497" s="308"/>
      <c r="N497" s="244"/>
      <c r="O497" s="244"/>
      <c r="P497" s="244"/>
      <c r="Q497" s="308"/>
      <c r="R497" s="308"/>
      <c r="S497" s="308"/>
      <c r="T497" s="244"/>
      <c r="U497" s="244"/>
      <c r="V497" s="102" t="s">
        <v>207</v>
      </c>
      <c r="W497" s="13"/>
      <c r="X497" s="13"/>
      <c r="Y497" s="13"/>
      <c r="Z497" s="280">
        <v>0</v>
      </c>
      <c r="AA497" s="277"/>
      <c r="AB497" s="277"/>
      <c r="AC497" s="280"/>
      <c r="AD497" s="286"/>
      <c r="AE497" s="285"/>
      <c r="AF497" s="278">
        <v>-3142.47</v>
      </c>
      <c r="AG497" s="279"/>
      <c r="AH497" s="280">
        <f t="shared" si="128"/>
        <v>-3142.47</v>
      </c>
      <c r="AI497" s="281">
        <f t="shared" si="129"/>
        <v>0</v>
      </c>
      <c r="AJ497" s="286"/>
      <c r="AK497" s="277"/>
      <c r="AL497" s="278">
        <v>-2632.46</v>
      </c>
      <c r="AM497" s="391"/>
      <c r="AN497" s="280">
        <f t="shared" si="130"/>
        <v>-510.00999999999976</v>
      </c>
      <c r="AO497" s="287">
        <f t="shared" si="131"/>
        <v>0.19373893620415875</v>
      </c>
      <c r="AP497" s="244"/>
      <c r="AQ497" s="308">
        <v>-3142</v>
      </c>
      <c r="AR497" s="308">
        <f t="shared" si="132"/>
        <v>0.46999999999979991</v>
      </c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</row>
    <row r="498" spans="1:62" ht="21" hidden="1" customHeight="1" thickTop="1" thickBot="1">
      <c r="A498" t="str">
        <f t="shared" si="124"/>
        <v>[...]</v>
      </c>
      <c r="B498" s="7"/>
      <c r="C498" s="244"/>
      <c r="D498" s="244"/>
      <c r="E498" s="244"/>
      <c r="F498" s="308"/>
      <c r="G498" s="244"/>
      <c r="H498" s="244"/>
      <c r="I498" s="308"/>
      <c r="J498" s="244"/>
      <c r="K498" s="244"/>
      <c r="L498" s="244"/>
      <c r="M498" s="308"/>
      <c r="N498" s="244"/>
      <c r="O498" s="244"/>
      <c r="P498" s="244"/>
      <c r="Q498" s="308"/>
      <c r="R498" s="308"/>
      <c r="S498" s="308"/>
      <c r="T498" s="244"/>
      <c r="U498" s="244"/>
      <c r="V498" s="102" t="s">
        <v>19</v>
      </c>
      <c r="W498" s="13"/>
      <c r="X498" s="244"/>
      <c r="Y498" s="13"/>
      <c r="Z498" s="280">
        <f>IFERROR(SUMIF($C:$C,$V498,F:F),0)</f>
        <v>0</v>
      </c>
      <c r="AA498" s="277"/>
      <c r="AB498" s="277"/>
      <c r="AC498" s="280"/>
      <c r="AD498" s="286"/>
      <c r="AE498" s="285"/>
      <c r="AF498" s="278">
        <v>0</v>
      </c>
      <c r="AG498" s="279"/>
      <c r="AH498" s="280">
        <f t="shared" si="128"/>
        <v>0</v>
      </c>
      <c r="AI498" s="281">
        <f t="shared" si="129"/>
        <v>0</v>
      </c>
      <c r="AJ498" s="286"/>
      <c r="AK498" s="277"/>
      <c r="AL498" s="278"/>
      <c r="AM498" s="391"/>
      <c r="AN498" s="280">
        <f t="shared" si="130"/>
        <v>0</v>
      </c>
      <c r="AO498" s="287">
        <f t="shared" si="131"/>
        <v>0</v>
      </c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</row>
    <row r="499" spans="1:62" ht="18.600000000000001" thickTop="1" thickBot="1">
      <c r="A499" t="str">
        <f t="shared" si="124"/>
        <v>Profit Net</v>
      </c>
      <c r="B499" s="7"/>
      <c r="C499" s="244"/>
      <c r="D499" s="244"/>
      <c r="E499" s="244"/>
      <c r="F499" s="308"/>
      <c r="G499" s="244"/>
      <c r="H499" s="244"/>
      <c r="I499" s="308"/>
      <c r="J499" s="244"/>
      <c r="K499" s="244"/>
      <c r="L499" s="244"/>
      <c r="M499" s="308"/>
      <c r="N499" s="244"/>
      <c r="O499" s="244"/>
      <c r="P499" s="244"/>
      <c r="Q499" s="308"/>
      <c r="R499" s="308"/>
      <c r="S499" s="308"/>
      <c r="T499" s="244"/>
      <c r="U499" s="244"/>
      <c r="V499" s="363" t="s">
        <v>186</v>
      </c>
      <c r="W499" s="364"/>
      <c r="X499" s="365" t="s">
        <v>180</v>
      </c>
      <c r="Y499" s="366">
        <f>Z499/Z407</f>
        <v>3.0019868828199226E-2</v>
      </c>
      <c r="Z499" s="367">
        <f>Z490-Z492-Z493-Z494-Z498-Z497-Z495-Z496</f>
        <v>133277.48045253073</v>
      </c>
      <c r="AA499" s="365"/>
      <c r="AB499" s="366"/>
      <c r="AC499" s="367"/>
      <c r="AD499" s="365" t="s">
        <v>180</v>
      </c>
      <c r="AE499" s="366">
        <f>AF499/AF407</f>
        <v>3.1204456942836852E-2</v>
      </c>
      <c r="AF499" s="368">
        <f>AF490-AF492-AF493-AF494-AF498-AF497-AF495-AF496</f>
        <v>159477.66999999987</v>
      </c>
      <c r="AG499" s="369"/>
      <c r="AH499" s="368">
        <f t="shared" si="128"/>
        <v>26200.189547469141</v>
      </c>
      <c r="AI499" s="481">
        <f>AH499/Z499</f>
        <v>0.19658376988001983</v>
      </c>
      <c r="AJ499" s="371" t="s">
        <v>180</v>
      </c>
      <c r="AK499" s="366">
        <f>IF($AL$407=0,0,AL499/$AL$407)</f>
        <v>1.2293832333550541E-2</v>
      </c>
      <c r="AL499" s="368">
        <f>AL490-AL492-AL493-AL494-AL498-AL497-AL495-AL496</f>
        <v>43672.429999999578</v>
      </c>
      <c r="AM499" s="372"/>
      <c r="AN499" s="368">
        <f t="shared" si="130"/>
        <v>115805.24000000028</v>
      </c>
      <c r="AO499" s="392">
        <f t="shared" si="131"/>
        <v>2.6516784158793407</v>
      </c>
      <c r="AP499" s="308"/>
      <c r="AQ499" s="244"/>
      <c r="AR499" s="244"/>
      <c r="AS499" s="308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</row>
    <row r="500" spans="1:62" ht="16.2" thickTop="1">
      <c r="A500" t="str">
        <f>+U500&amp;V489</f>
        <v>BAIIA Corpo</v>
      </c>
      <c r="B500" s="7"/>
      <c r="C500" s="244"/>
      <c r="D500" s="244"/>
      <c r="E500" s="244"/>
      <c r="F500" s="308"/>
      <c r="G500" s="244"/>
      <c r="H500" s="244"/>
      <c r="I500" s="308"/>
      <c r="J500" s="244"/>
      <c r="K500" s="244"/>
      <c r="L500" s="244"/>
      <c r="M500" s="308"/>
      <c r="N500" s="244"/>
      <c r="O500" s="244"/>
      <c r="P500" s="244"/>
      <c r="Q500" s="308"/>
      <c r="R500" s="308"/>
      <c r="S500" s="308"/>
      <c r="T500" s="244"/>
      <c r="U500" s="244"/>
      <c r="V500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</row>
    <row r="501" spans="1:62" ht="15.75" customHeight="1" outlineLevel="1">
      <c r="B501" s="7"/>
      <c r="C501" s="244"/>
      <c r="D501" s="244"/>
      <c r="E501" s="244"/>
      <c r="F501" s="308"/>
      <c r="G501" s="244"/>
      <c r="H501" s="244"/>
      <c r="I501" s="308"/>
      <c r="J501" s="244"/>
      <c r="K501" s="244"/>
      <c r="L501" s="244"/>
      <c r="M501" s="308"/>
      <c r="N501" s="244"/>
      <c r="O501" s="244"/>
      <c r="P501" s="244"/>
      <c r="Q501" s="308"/>
      <c r="R501" s="308"/>
      <c r="S501" s="308"/>
      <c r="T501" s="244"/>
      <c r="U501" s="244"/>
      <c r="V501" s="244" t="s">
        <v>237</v>
      </c>
      <c r="W501" s="244"/>
      <c r="X501" s="244"/>
      <c r="Y501" s="244"/>
      <c r="Z501" s="244"/>
      <c r="AA501" s="244"/>
      <c r="AB501" s="244"/>
      <c r="AC501" s="244"/>
      <c r="AD501" s="244"/>
      <c r="AE501" s="393"/>
      <c r="AF501" s="244">
        <v>0</v>
      </c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</row>
    <row r="502" spans="1:62" ht="15.75" customHeight="1" outlineLevel="1" thickBot="1">
      <c r="B502" s="7"/>
      <c r="C502" s="244"/>
      <c r="D502" s="244"/>
      <c r="E502" s="244"/>
      <c r="F502" s="308"/>
      <c r="G502" s="244"/>
      <c r="H502" s="244"/>
      <c r="I502" s="308"/>
      <c r="J502" s="244"/>
      <c r="K502" s="244"/>
      <c r="L502" s="244"/>
      <c r="M502" s="308"/>
      <c r="N502" s="244"/>
      <c r="O502" s="244"/>
      <c r="P502" s="244"/>
      <c r="Q502" s="308"/>
      <c r="R502" s="308"/>
      <c r="S502" s="308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393"/>
      <c r="AF502" s="39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</row>
    <row r="503" spans="1:62" ht="15.75" customHeight="1" outlineLevel="1" thickTop="1" thickBot="1">
      <c r="B503" s="7"/>
      <c r="C503" s="244"/>
      <c r="D503" s="244"/>
      <c r="E503" s="244"/>
      <c r="F503" s="308"/>
      <c r="G503" s="244"/>
      <c r="H503" s="244"/>
      <c r="I503" s="308"/>
      <c r="J503" s="244"/>
      <c r="K503" s="244"/>
      <c r="L503" s="244"/>
      <c r="M503" s="308"/>
      <c r="N503" s="244"/>
      <c r="O503" s="244"/>
      <c r="P503" s="244"/>
      <c r="Q503" s="308"/>
      <c r="R503" s="308"/>
      <c r="S503" s="308"/>
      <c r="T503" s="244"/>
      <c r="U503" s="244"/>
      <c r="V503" s="363" t="s">
        <v>238</v>
      </c>
      <c r="W503" s="364"/>
      <c r="X503" s="365"/>
      <c r="Y503" s="366"/>
      <c r="Z503" s="367"/>
      <c r="AA503" s="365"/>
      <c r="AB503" s="366"/>
      <c r="AC503" s="367"/>
      <c r="AD503" s="365"/>
      <c r="AE503" s="366"/>
      <c r="AF503" s="368">
        <f>+AF499-AF501</f>
        <v>159477.66999999987</v>
      </c>
      <c r="AG503" s="369"/>
      <c r="AH503" s="369"/>
      <c r="AI503" s="370"/>
      <c r="AJ503" s="371"/>
      <c r="AK503" s="366"/>
      <c r="AL503" s="368"/>
      <c r="AM503" s="372"/>
      <c r="AN503" s="368"/>
      <c r="AO503" s="392"/>
      <c r="AP503" s="244"/>
      <c r="AQ503" s="244"/>
      <c r="AR503" s="308"/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</row>
    <row r="504" spans="1:62" ht="17.399999999999999" thickTop="1">
      <c r="B504" s="7"/>
      <c r="C504" s="244"/>
      <c r="D504" s="244"/>
      <c r="E504" s="244"/>
      <c r="F504" s="308"/>
      <c r="G504" s="244"/>
      <c r="H504" s="244"/>
      <c r="I504" s="308"/>
      <c r="J504" s="244"/>
      <c r="K504" s="244"/>
      <c r="L504" s="244"/>
      <c r="M504" s="308"/>
      <c r="N504" s="244"/>
      <c r="O504" s="244"/>
      <c r="P504" s="244"/>
      <c r="Q504" s="308"/>
      <c r="R504" s="308"/>
      <c r="S504" s="308"/>
      <c r="T504" s="244"/>
      <c r="U504" s="244"/>
      <c r="W504" s="244"/>
      <c r="X504" s="244"/>
      <c r="Y504" s="244"/>
      <c r="Z504" s="244"/>
      <c r="AA504" s="244"/>
      <c r="AB504" s="244"/>
      <c r="AC504" s="244"/>
      <c r="AD504" s="244"/>
      <c r="AE504" s="393"/>
      <c r="AF504" s="394"/>
      <c r="AG504" s="244"/>
      <c r="AH504" s="308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</row>
    <row r="505" spans="1:62" ht="17.399999999999999">
      <c r="B505" s="7"/>
      <c r="C505" s="244"/>
      <c r="D505" s="244"/>
      <c r="E505" s="244"/>
      <c r="F505" s="308"/>
      <c r="G505" s="244"/>
      <c r="H505" s="244"/>
      <c r="I505" s="308"/>
      <c r="J505" s="244"/>
      <c r="K505" s="244"/>
      <c r="L505" s="244"/>
      <c r="M505" s="308"/>
      <c r="N505" s="244"/>
      <c r="O505" s="244"/>
      <c r="P505" s="244"/>
      <c r="Q505" s="308"/>
      <c r="R505" s="308"/>
      <c r="S505" s="308"/>
      <c r="T505" s="244"/>
      <c r="U505" s="244"/>
      <c r="W505" s="244"/>
      <c r="X505" s="244"/>
      <c r="Y505" s="244"/>
      <c r="Z505" s="308"/>
      <c r="AA505" s="244"/>
      <c r="AB505" s="244"/>
      <c r="AC505" s="244"/>
      <c r="AD505" s="244"/>
      <c r="AE505" s="244"/>
      <c r="AF505" s="482">
        <f>AF501/AF499</f>
        <v>0</v>
      </c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</row>
    <row r="506" spans="1:62" ht="16.8">
      <c r="B506" s="7"/>
      <c r="C506" s="244"/>
      <c r="D506" s="244"/>
      <c r="E506" s="244"/>
      <c r="F506" s="308"/>
      <c r="G506" s="244"/>
      <c r="H506" s="244"/>
      <c r="I506" s="308"/>
      <c r="J506" s="244"/>
      <c r="K506" s="244"/>
      <c r="L506" s="244"/>
      <c r="M506" s="308"/>
      <c r="N506" s="244"/>
      <c r="O506" s="244"/>
      <c r="P506" s="244"/>
      <c r="Q506" s="308"/>
      <c r="R506" s="308"/>
      <c r="S506" s="308"/>
      <c r="T506" s="332"/>
      <c r="U506" s="332"/>
      <c r="W506" s="244"/>
      <c r="X506" s="244"/>
      <c r="Y506" s="244"/>
      <c r="Z506" s="308"/>
      <c r="AA506" s="244"/>
      <c r="AB506" s="244"/>
      <c r="AC506" s="244"/>
      <c r="AD506" s="244"/>
      <c r="AE506" s="244"/>
      <c r="AF506" s="308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</row>
    <row r="507" spans="1:62" ht="17.399999999999999">
      <c r="B507" s="7"/>
      <c r="C507" s="244"/>
      <c r="D507" s="244"/>
      <c r="E507" s="244"/>
      <c r="F507" s="308"/>
      <c r="G507" s="244"/>
      <c r="H507" s="244"/>
      <c r="I507" s="308"/>
      <c r="J507" s="244"/>
      <c r="K507" s="244"/>
      <c r="L507" s="244"/>
      <c r="M507" s="308"/>
      <c r="N507" s="244"/>
      <c r="O507" s="244"/>
      <c r="P507" s="244"/>
      <c r="Q507" s="308"/>
      <c r="R507" s="308"/>
      <c r="S507" s="308"/>
      <c r="T507" s="332"/>
      <c r="U507" s="332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496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</row>
    <row r="508" spans="1:62" ht="17.399999999999999">
      <c r="B508" s="7"/>
      <c r="C508" s="244"/>
      <c r="D508" s="244"/>
      <c r="E508" s="244"/>
      <c r="F508" s="308"/>
      <c r="G508" s="244"/>
      <c r="H508" s="244"/>
      <c r="I508" s="308"/>
      <c r="J508" s="244"/>
      <c r="K508" s="244"/>
      <c r="L508" s="244"/>
      <c r="M508" s="308"/>
      <c r="N508" s="244"/>
      <c r="O508" s="244"/>
      <c r="P508" s="244"/>
      <c r="Q508" s="308"/>
      <c r="R508" s="308"/>
      <c r="S508" s="308"/>
      <c r="T508" s="332"/>
      <c r="U508" s="332"/>
      <c r="W508" s="244"/>
      <c r="X508" s="244"/>
      <c r="Y508" s="244"/>
      <c r="Z508" s="244"/>
      <c r="AA508" s="244"/>
      <c r="AB508" s="244"/>
      <c r="AC508" s="244"/>
      <c r="AD508" s="244" t="s">
        <v>240</v>
      </c>
      <c r="AE508" s="244"/>
      <c r="AF508" s="496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</row>
    <row r="509" spans="1:62" ht="17.399999999999999">
      <c r="B509" s="7"/>
      <c r="C509" s="244"/>
      <c r="D509" s="244"/>
      <c r="E509" s="244"/>
      <c r="F509" s="308"/>
      <c r="G509" s="244"/>
      <c r="H509" s="244"/>
      <c r="I509" s="308"/>
      <c r="J509" s="244"/>
      <c r="K509" s="244"/>
      <c r="L509" s="244"/>
      <c r="M509" s="308"/>
      <c r="N509" s="244"/>
      <c r="O509" s="244"/>
      <c r="P509" s="244"/>
      <c r="Q509" s="308"/>
      <c r="R509" s="308"/>
      <c r="S509" s="308"/>
      <c r="T509" s="332"/>
      <c r="U509" s="332"/>
      <c r="W509" s="244"/>
      <c r="X509" s="244"/>
      <c r="Y509" s="244"/>
      <c r="Z509" s="244"/>
      <c r="AA509" s="244"/>
      <c r="AB509" s="244"/>
      <c r="AC509" s="244"/>
      <c r="AD509" s="244" t="s">
        <v>239</v>
      </c>
      <c r="AE509" s="244"/>
      <c r="AF509" s="496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</row>
    <row r="510" spans="1:62" ht="17.399999999999999">
      <c r="B510" s="7"/>
      <c r="C510" s="244"/>
      <c r="D510" s="244"/>
      <c r="E510" s="244"/>
      <c r="F510" s="308"/>
      <c r="G510" s="244"/>
      <c r="H510" s="244"/>
      <c r="I510" s="308"/>
      <c r="J510" s="244"/>
      <c r="K510" s="244"/>
      <c r="L510" s="244"/>
      <c r="M510" s="308"/>
      <c r="N510" s="244"/>
      <c r="O510" s="244"/>
      <c r="P510" s="244"/>
      <c r="Q510" s="308"/>
      <c r="R510" s="308"/>
      <c r="S510" s="308"/>
      <c r="T510" s="332"/>
      <c r="U510" s="332"/>
      <c r="W510" s="244"/>
      <c r="X510" s="244"/>
      <c r="Y510" s="244"/>
      <c r="Z510" s="244"/>
      <c r="AA510" s="244"/>
      <c r="AB510" s="244"/>
      <c r="AC510" s="244"/>
      <c r="AD510" s="244" t="s">
        <v>241</v>
      </c>
      <c r="AE510" s="244"/>
      <c r="AF510" s="496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</row>
    <row r="511" spans="1:62" ht="17.399999999999999">
      <c r="B511" s="7"/>
      <c r="C511" s="244"/>
      <c r="D511" s="244"/>
      <c r="E511" s="244"/>
      <c r="F511" s="308"/>
      <c r="G511" s="244"/>
      <c r="H511" s="244"/>
      <c r="I511" s="308"/>
      <c r="J511" s="244"/>
      <c r="K511" s="244"/>
      <c r="L511" s="244"/>
      <c r="M511" s="308"/>
      <c r="N511" s="244"/>
      <c r="O511" s="244"/>
      <c r="P511" s="244"/>
      <c r="Q511" s="308"/>
      <c r="R511" s="308"/>
      <c r="S511" s="308"/>
      <c r="T511" s="332"/>
      <c r="U511" s="332"/>
      <c r="W511" s="244"/>
      <c r="X511" s="244"/>
      <c r="Y511" s="244"/>
      <c r="Z511" s="244"/>
      <c r="AA511" s="244"/>
      <c r="AB511" s="244"/>
      <c r="AC511" s="244"/>
      <c r="AD511" s="244" t="s">
        <v>242</v>
      </c>
      <c r="AE511" s="244"/>
      <c r="AF511" s="496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</row>
    <row r="512" spans="1:62" ht="17.399999999999999">
      <c r="B512" s="7"/>
      <c r="C512" s="244"/>
      <c r="D512" s="244"/>
      <c r="E512" s="244"/>
      <c r="F512" s="308"/>
      <c r="G512" s="244"/>
      <c r="H512" s="244"/>
      <c r="I512" s="308"/>
      <c r="J512" s="244"/>
      <c r="K512" s="244"/>
      <c r="L512" s="244"/>
      <c r="M512" s="308"/>
      <c r="N512" s="244"/>
      <c r="O512" s="244"/>
      <c r="P512" s="244"/>
      <c r="Q512" s="308"/>
      <c r="R512" s="308"/>
      <c r="S512" s="308"/>
      <c r="T512" s="332"/>
      <c r="U512" s="332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497">
        <f>AF499+AF508+AF509+AF510+AF511</f>
        <v>159477.66999999987</v>
      </c>
      <c r="AG512" s="308">
        <f>AF512-AF506</f>
        <v>159477.66999999987</v>
      </c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</row>
    <row r="513" spans="2:62" ht="16.8">
      <c r="B513" s="7"/>
      <c r="C513" s="244"/>
      <c r="D513" s="244"/>
      <c r="E513" s="244"/>
      <c r="F513" s="308"/>
      <c r="G513" s="244"/>
      <c r="H513" s="244"/>
      <c r="I513" s="308"/>
      <c r="J513" s="244"/>
      <c r="K513" s="244"/>
      <c r="L513" s="244"/>
      <c r="M513" s="308"/>
      <c r="N513" s="244"/>
      <c r="O513" s="244"/>
      <c r="P513" s="244"/>
      <c r="Q513" s="308"/>
      <c r="R513" s="308"/>
      <c r="S513" s="308"/>
      <c r="T513" s="332"/>
      <c r="U513" s="332"/>
      <c r="W513" s="332"/>
      <c r="X513" s="332"/>
      <c r="Y513" s="244"/>
      <c r="Z513" s="244"/>
      <c r="AA513" s="244"/>
      <c r="AB513" s="244"/>
      <c r="AC513" s="244"/>
      <c r="AD513" s="244"/>
      <c r="AE513" s="244"/>
      <c r="AF513" s="308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</row>
    <row r="514" spans="2:62" ht="16.8">
      <c r="B514" s="7"/>
      <c r="C514" s="244"/>
      <c r="D514" s="244"/>
      <c r="E514" s="244"/>
      <c r="F514" s="308"/>
      <c r="G514" s="244"/>
      <c r="H514" s="244"/>
      <c r="I514" s="308"/>
      <c r="J514" s="244"/>
      <c r="K514" s="244"/>
      <c r="L514" s="244"/>
      <c r="M514" s="308"/>
      <c r="N514" s="244"/>
      <c r="O514" s="244"/>
      <c r="P514" s="244"/>
      <c r="Q514" s="308"/>
      <c r="R514" s="308"/>
      <c r="S514" s="308"/>
      <c r="T514" s="332"/>
      <c r="U514" s="332"/>
      <c r="W514" s="332"/>
      <c r="X514" s="332"/>
      <c r="Y514" s="244"/>
      <c r="Z514" s="244"/>
      <c r="AA514" s="244"/>
      <c r="AB514" s="244"/>
      <c r="AC514" s="244"/>
      <c r="AD514" s="244"/>
      <c r="AE514" s="244"/>
      <c r="AF514" s="308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</row>
    <row r="515" spans="2:62" ht="16.8">
      <c r="B515" s="7"/>
      <c r="C515" s="244"/>
      <c r="D515" s="244"/>
      <c r="E515" s="244"/>
      <c r="F515" s="308"/>
      <c r="G515" s="244"/>
      <c r="H515" s="244"/>
      <c r="I515" s="308"/>
      <c r="J515" s="244"/>
      <c r="K515" s="244"/>
      <c r="L515" s="244"/>
      <c r="M515" s="308"/>
      <c r="N515" s="244"/>
      <c r="O515" s="244"/>
      <c r="P515" s="244"/>
      <c r="Q515" s="308"/>
      <c r="R515" s="308"/>
      <c r="S515" s="308"/>
      <c r="T515" s="332"/>
      <c r="U515" s="332"/>
      <c r="W515" s="332"/>
      <c r="X515" s="332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</row>
    <row r="516" spans="2:62" ht="16.8">
      <c r="B516" s="7"/>
      <c r="C516" s="244"/>
      <c r="D516" s="244"/>
      <c r="E516" s="244"/>
      <c r="F516" s="308"/>
      <c r="G516" s="244"/>
      <c r="H516" s="244"/>
      <c r="I516" s="308"/>
      <c r="J516" s="244"/>
      <c r="K516" s="244"/>
      <c r="L516" s="244"/>
      <c r="M516" s="308"/>
      <c r="N516" s="244"/>
      <c r="O516" s="244"/>
      <c r="P516" s="244"/>
      <c r="Q516" s="308"/>
      <c r="R516" s="308"/>
      <c r="S516" s="308"/>
      <c r="T516" s="332"/>
      <c r="U516" s="332"/>
      <c r="W516" s="332"/>
      <c r="X516" s="332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</row>
    <row r="517" spans="2:62" ht="16.8">
      <c r="B517" s="7"/>
      <c r="C517" s="244"/>
      <c r="D517" s="244"/>
      <c r="E517" s="244"/>
      <c r="F517" s="308"/>
      <c r="G517" s="244"/>
      <c r="H517" s="244"/>
      <c r="I517" s="308"/>
      <c r="J517" s="244"/>
      <c r="K517" s="244"/>
      <c r="L517" s="244"/>
      <c r="M517" s="308"/>
      <c r="N517" s="244"/>
      <c r="O517" s="244"/>
      <c r="P517" s="244"/>
      <c r="Q517" s="308"/>
      <c r="R517" s="308"/>
      <c r="S517" s="308"/>
      <c r="T517" s="332"/>
      <c r="U517" s="332"/>
      <c r="W517" s="332"/>
      <c r="X517" s="332"/>
      <c r="Y517" s="244"/>
      <c r="Z517" s="244"/>
      <c r="AA517" s="244"/>
      <c r="AB517" s="244"/>
      <c r="AC517" s="244"/>
      <c r="AD517" s="244"/>
      <c r="AE517" s="244"/>
      <c r="AF517" s="308"/>
      <c r="AG517" s="308"/>
      <c r="AH517" s="308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</row>
    <row r="518" spans="2:62" ht="16.8">
      <c r="B518" s="7"/>
      <c r="C518" s="244"/>
      <c r="D518" s="244"/>
      <c r="E518" s="244"/>
      <c r="F518" s="308"/>
      <c r="G518" s="244"/>
      <c r="H518" s="244"/>
      <c r="I518" s="308"/>
      <c r="J518" s="244"/>
      <c r="K518" s="244"/>
      <c r="L518" s="244"/>
      <c r="M518" s="308"/>
      <c r="N518" s="244"/>
      <c r="O518" s="244"/>
      <c r="P518" s="244"/>
      <c r="Q518" s="308"/>
      <c r="R518" s="308"/>
      <c r="S518" s="308"/>
      <c r="T518" s="332"/>
      <c r="U518" s="332"/>
      <c r="W518" s="332"/>
      <c r="X518" s="332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</row>
    <row r="519" spans="2:62" ht="16.8">
      <c r="B519" s="7"/>
      <c r="C519" s="395"/>
      <c r="D519" s="332"/>
      <c r="E519" s="332"/>
      <c r="F519" s="396"/>
      <c r="G519" s="332"/>
      <c r="H519" s="332"/>
      <c r="I519" s="396"/>
      <c r="J519" s="332"/>
      <c r="K519" s="332"/>
      <c r="L519" s="332"/>
      <c r="M519" s="396"/>
      <c r="N519" s="332"/>
      <c r="O519" s="332"/>
      <c r="P519" s="332"/>
      <c r="Q519" s="396"/>
      <c r="R519" s="396"/>
      <c r="S519" s="396"/>
      <c r="T519" s="332"/>
      <c r="U519" s="332"/>
      <c r="W519" s="332"/>
      <c r="X519" s="332"/>
      <c r="Y519" s="244"/>
      <c r="Z519" s="244"/>
      <c r="AA519" s="244"/>
      <c r="AB519" s="244"/>
      <c r="AC519" s="244"/>
      <c r="AD519" s="244"/>
      <c r="AE519" s="244"/>
      <c r="AF519" s="308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</row>
    <row r="520" spans="2:62" ht="16.8">
      <c r="B520" s="7"/>
      <c r="C520" s="397"/>
      <c r="D520" s="332"/>
      <c r="E520" s="332"/>
      <c r="F520" s="396"/>
      <c r="G520" s="332"/>
      <c r="H520" s="332"/>
      <c r="I520" s="396"/>
      <c r="J520" s="332"/>
      <c r="K520" s="332"/>
      <c r="L520" s="332"/>
      <c r="M520" s="396"/>
      <c r="N520" s="332"/>
      <c r="O520" s="332"/>
      <c r="P520" s="332"/>
      <c r="Q520" s="396"/>
      <c r="R520" s="396"/>
      <c r="S520" s="396"/>
      <c r="T520" s="332"/>
      <c r="U520" s="332"/>
      <c r="W520" s="332"/>
      <c r="X520" s="332"/>
      <c r="Y520" s="244"/>
      <c r="Z520" s="244"/>
      <c r="AA520" s="244"/>
      <c r="AB520" s="244"/>
      <c r="AC520" s="244"/>
      <c r="AD520" s="244"/>
      <c r="AE520" s="244"/>
      <c r="AF520" s="308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</row>
    <row r="521" spans="2:62" ht="16.8">
      <c r="B521" s="7"/>
      <c r="C521" s="332"/>
      <c r="D521" s="332"/>
      <c r="E521" s="332"/>
      <c r="F521" s="396"/>
      <c r="G521" s="332"/>
      <c r="H521" s="332"/>
      <c r="I521" s="396"/>
      <c r="J521" s="332"/>
      <c r="K521" s="332"/>
      <c r="L521" s="332"/>
      <c r="M521" s="396"/>
      <c r="N521" s="332"/>
      <c r="O521" s="332"/>
      <c r="P521" s="332"/>
      <c r="Q521" s="396"/>
      <c r="R521" s="396"/>
      <c r="S521" s="396"/>
      <c r="T521" s="332"/>
      <c r="U521" s="332"/>
      <c r="W521" s="332"/>
      <c r="X521" s="332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</row>
    <row r="522" spans="2:62" ht="16.8">
      <c r="B522" s="7"/>
      <c r="C522" s="332"/>
      <c r="D522" s="332"/>
      <c r="E522" s="332"/>
      <c r="F522" s="332"/>
      <c r="G522" s="332"/>
      <c r="H522" s="332"/>
      <c r="I522" s="332"/>
      <c r="J522" s="395"/>
      <c r="K522" s="395"/>
      <c r="L522" s="395"/>
      <c r="M522" s="396"/>
      <c r="N522" s="332"/>
      <c r="O522" s="332"/>
      <c r="P522" s="332"/>
      <c r="Q522" s="332"/>
      <c r="R522" s="332"/>
      <c r="S522" s="396"/>
      <c r="T522" s="332"/>
      <c r="U522" s="332"/>
      <c r="W522" s="332"/>
      <c r="X522" s="332"/>
      <c r="Y522" s="244"/>
      <c r="Z522" s="244"/>
      <c r="AA522" s="244"/>
      <c r="AB522" s="244"/>
      <c r="AC522" s="244"/>
      <c r="AD522" s="244"/>
      <c r="AE522" s="244"/>
      <c r="AF522" s="308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</row>
    <row r="523" spans="2:62" ht="16.8">
      <c r="B523" s="7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96"/>
      <c r="N523" s="332"/>
      <c r="O523" s="332"/>
      <c r="P523" s="332"/>
      <c r="Q523" s="332"/>
      <c r="R523" s="332"/>
      <c r="S523" s="396"/>
      <c r="T523" s="332"/>
      <c r="U523" s="332"/>
      <c r="W523" s="332"/>
      <c r="X523" s="332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</row>
    <row r="524" spans="2:62" ht="16.8">
      <c r="B524" s="7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96"/>
      <c r="N524" s="332"/>
      <c r="O524" s="332"/>
      <c r="P524" s="332"/>
      <c r="Q524" s="332"/>
      <c r="R524" s="332"/>
      <c r="S524" s="396"/>
      <c r="T524" s="332"/>
      <c r="U524" s="332"/>
      <c r="W524" s="332"/>
      <c r="X524" s="332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</row>
    <row r="525" spans="2:62" ht="16.8">
      <c r="B525" s="7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96"/>
      <c r="N525" s="332"/>
      <c r="O525" s="332"/>
      <c r="P525" s="332"/>
      <c r="Q525" s="332"/>
      <c r="R525" s="332"/>
      <c r="S525" s="396"/>
      <c r="T525" s="332"/>
      <c r="U525" s="332"/>
      <c r="W525" s="332"/>
      <c r="X525" s="332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</row>
    <row r="526" spans="2:62" ht="16.8">
      <c r="B526" s="7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96"/>
      <c r="N526" s="332"/>
      <c r="O526" s="332"/>
      <c r="P526" s="332"/>
      <c r="Q526" s="332"/>
      <c r="R526" s="332"/>
      <c r="S526" s="332"/>
      <c r="T526" s="332"/>
      <c r="U526" s="332"/>
      <c r="W526" s="332"/>
      <c r="X526" s="332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</row>
    <row r="527" spans="2:62" ht="15.6">
      <c r="B527" s="7"/>
      <c r="C527" s="332"/>
      <c r="D527" s="332"/>
      <c r="E527" s="332"/>
      <c r="F527" s="332"/>
      <c r="G527" s="332"/>
      <c r="H527" s="332"/>
      <c r="I527" s="332"/>
      <c r="J527" s="395"/>
      <c r="K527" s="395"/>
      <c r="L527" s="395"/>
      <c r="M527" s="398"/>
      <c r="N527" s="395"/>
      <c r="O527" s="395"/>
      <c r="P527" s="395"/>
      <c r="Q527" s="332"/>
      <c r="R527" s="332"/>
      <c r="S527" s="395"/>
      <c r="T527" s="332"/>
      <c r="U527" s="332"/>
      <c r="V527" s="244"/>
      <c r="W527" s="332"/>
      <c r="X527" s="332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</row>
    <row r="528" spans="2:62" ht="16.8">
      <c r="B528" s="7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W528" s="332"/>
      <c r="X528" s="332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</row>
    <row r="529" spans="2:62" ht="16.8">
      <c r="B529" s="7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W529" s="332"/>
      <c r="X529" s="332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</row>
    <row r="530" spans="2:62" ht="16.8">
      <c r="B530" s="7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W530" s="332"/>
      <c r="X530" s="332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</row>
    <row r="531" spans="2:62" ht="17.399999999999999">
      <c r="B531" s="7"/>
      <c r="C531" s="399"/>
      <c r="D531" s="400"/>
      <c r="E531" s="400"/>
      <c r="F531" s="400"/>
      <c r="G531" s="400"/>
      <c r="H531" s="400"/>
      <c r="I531" s="400"/>
      <c r="J531" s="400"/>
      <c r="K531" s="400"/>
      <c r="L531" s="400"/>
      <c r="M531" s="400"/>
      <c r="N531" s="400"/>
      <c r="O531" s="400"/>
      <c r="P531" s="400"/>
      <c r="Q531" s="400"/>
      <c r="R531" s="400"/>
      <c r="S531" s="400"/>
      <c r="T531" s="332"/>
      <c r="U531" s="332"/>
      <c r="W531" s="332"/>
      <c r="X531" s="332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</row>
    <row r="532" spans="2:62" ht="16.8">
      <c r="B532" s="7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401"/>
      <c r="R532" s="332"/>
      <c r="S532" s="332"/>
      <c r="T532" s="332"/>
      <c r="U532" s="332"/>
      <c r="W532" s="332"/>
      <c r="X532" s="332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</row>
    <row r="533" spans="2:62" ht="16.8">
      <c r="B533" s="7"/>
      <c r="C533" s="332"/>
      <c r="D533" s="332"/>
      <c r="E533" s="332"/>
      <c r="F533" s="332"/>
      <c r="G533" s="332"/>
      <c r="H533" s="332"/>
      <c r="I533" s="332"/>
      <c r="J533" s="332"/>
      <c r="K533" s="332"/>
      <c r="L533" s="402"/>
      <c r="M533" s="403"/>
      <c r="N533" s="403"/>
      <c r="O533" s="332"/>
      <c r="P533" s="402"/>
      <c r="Q533" s="403"/>
      <c r="R533" s="403"/>
      <c r="S533" s="402"/>
      <c r="T533" s="332"/>
      <c r="U533" s="332"/>
      <c r="W533" s="332"/>
      <c r="X533" s="332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</row>
    <row r="534" spans="2:62" ht="16.8">
      <c r="B534" s="7"/>
      <c r="C534" s="332"/>
      <c r="D534" s="332"/>
      <c r="E534" s="402"/>
      <c r="F534" s="404"/>
      <c r="G534" s="332"/>
      <c r="H534" s="402"/>
      <c r="I534" s="404"/>
      <c r="J534" s="403"/>
      <c r="K534" s="395"/>
      <c r="L534" s="402"/>
      <c r="M534" s="403"/>
      <c r="N534" s="403"/>
      <c r="O534" s="395"/>
      <c r="P534" s="402"/>
      <c r="Q534" s="403"/>
      <c r="R534" s="403"/>
      <c r="S534" s="402"/>
      <c r="T534" s="332"/>
      <c r="U534" s="332"/>
      <c r="W534" s="332"/>
      <c r="X534" s="332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</row>
    <row r="535" spans="2:62" ht="16.8">
      <c r="B535" s="7"/>
      <c r="C535" s="332"/>
      <c r="D535" s="405"/>
      <c r="E535" s="404"/>
      <c r="F535" s="404"/>
      <c r="G535" s="405"/>
      <c r="H535" s="404"/>
      <c r="I535" s="404"/>
      <c r="J535" s="404"/>
      <c r="K535" s="404"/>
      <c r="L535" s="404"/>
      <c r="M535" s="404"/>
      <c r="N535" s="404"/>
      <c r="O535" s="404"/>
      <c r="P535" s="404"/>
      <c r="Q535" s="404"/>
      <c r="R535" s="404"/>
      <c r="S535" s="404"/>
      <c r="T535" s="332"/>
      <c r="U535" s="332"/>
      <c r="W535" s="332"/>
      <c r="X535" s="332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</row>
    <row r="536" spans="2:62" ht="16.8">
      <c r="B536" s="7"/>
      <c r="C536" s="39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W536" s="332"/>
      <c r="X536" s="332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</row>
    <row r="537" spans="2:62" ht="16.8">
      <c r="B537" s="7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W537" s="332"/>
      <c r="X537" s="332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</row>
    <row r="538" spans="2:62" ht="16.8">
      <c r="B538" s="7"/>
      <c r="C538" s="332"/>
      <c r="D538" s="332"/>
      <c r="E538" s="396"/>
      <c r="F538" s="406"/>
      <c r="G538" s="332"/>
      <c r="H538" s="396"/>
      <c r="I538" s="406"/>
      <c r="J538" s="406"/>
      <c r="K538" s="396"/>
      <c r="L538" s="406"/>
      <c r="M538" s="396"/>
      <c r="N538" s="406"/>
      <c r="O538" s="396"/>
      <c r="P538" s="406"/>
      <c r="Q538" s="396"/>
      <c r="R538" s="396"/>
      <c r="S538" s="396"/>
      <c r="T538" s="332"/>
      <c r="U538" s="332"/>
      <c r="W538" s="332"/>
      <c r="X538" s="332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</row>
    <row r="539" spans="2:62" ht="16.8">
      <c r="B539" s="7"/>
      <c r="C539" s="332"/>
      <c r="D539" s="332"/>
      <c r="E539" s="396"/>
      <c r="F539" s="406"/>
      <c r="G539" s="332"/>
      <c r="H539" s="396"/>
      <c r="I539" s="406"/>
      <c r="J539" s="406"/>
      <c r="K539" s="396"/>
      <c r="L539" s="406"/>
      <c r="M539" s="396"/>
      <c r="N539" s="406"/>
      <c r="O539" s="396"/>
      <c r="P539" s="406"/>
      <c r="Q539" s="396"/>
      <c r="R539" s="396"/>
      <c r="S539" s="396"/>
      <c r="T539" s="332"/>
      <c r="U539" s="332"/>
      <c r="W539" s="332"/>
      <c r="X539" s="332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</row>
    <row r="540" spans="2:62" ht="16.8">
      <c r="B540" s="7"/>
      <c r="C540" s="332"/>
      <c r="D540" s="332"/>
      <c r="E540" s="396"/>
      <c r="F540" s="406"/>
      <c r="G540" s="332"/>
      <c r="H540" s="396"/>
      <c r="I540" s="406"/>
      <c r="J540" s="406"/>
      <c r="K540" s="396"/>
      <c r="L540" s="406"/>
      <c r="M540" s="396"/>
      <c r="N540" s="406"/>
      <c r="O540" s="396"/>
      <c r="P540" s="406"/>
      <c r="Q540" s="396"/>
      <c r="R540" s="396"/>
      <c r="S540" s="396"/>
      <c r="T540" s="332"/>
      <c r="U540" s="332"/>
      <c r="W540" s="332"/>
      <c r="X540" s="332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</row>
    <row r="541" spans="2:62" ht="16.8">
      <c r="B541" s="7"/>
      <c r="C541" s="332"/>
      <c r="D541" s="332"/>
      <c r="E541" s="396"/>
      <c r="F541" s="406"/>
      <c r="G541" s="332"/>
      <c r="H541" s="396"/>
      <c r="I541" s="406"/>
      <c r="J541" s="406"/>
      <c r="K541" s="396"/>
      <c r="L541" s="406"/>
      <c r="M541" s="396"/>
      <c r="N541" s="406"/>
      <c r="O541" s="396"/>
      <c r="P541" s="406"/>
      <c r="Q541" s="396"/>
      <c r="R541" s="396"/>
      <c r="S541" s="396"/>
      <c r="T541" s="332"/>
      <c r="U541" s="332"/>
      <c r="W541" s="332"/>
      <c r="X541" s="332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</row>
    <row r="542" spans="2:62" ht="16.8">
      <c r="B542" s="7"/>
      <c r="C542" s="332"/>
      <c r="D542" s="332"/>
      <c r="E542" s="396"/>
      <c r="F542" s="406"/>
      <c r="G542" s="332"/>
      <c r="H542" s="396"/>
      <c r="I542" s="406"/>
      <c r="J542" s="406"/>
      <c r="K542" s="396"/>
      <c r="L542" s="406"/>
      <c r="M542" s="396"/>
      <c r="N542" s="406"/>
      <c r="O542" s="396"/>
      <c r="P542" s="406"/>
      <c r="Q542" s="396"/>
      <c r="R542" s="396"/>
      <c r="S542" s="332"/>
      <c r="T542" s="332"/>
      <c r="U542" s="332"/>
      <c r="W542" s="332"/>
      <c r="X542" s="332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</row>
    <row r="543" spans="2:62" ht="16.8">
      <c r="B543" s="7"/>
      <c r="C543" s="332"/>
      <c r="D543" s="332"/>
      <c r="E543" s="396"/>
      <c r="F543" s="406"/>
      <c r="G543" s="332"/>
      <c r="H543" s="396"/>
      <c r="I543" s="406"/>
      <c r="J543" s="406"/>
      <c r="K543" s="396"/>
      <c r="L543" s="406"/>
      <c r="M543" s="396"/>
      <c r="N543" s="406"/>
      <c r="O543" s="396"/>
      <c r="P543" s="406"/>
      <c r="Q543" s="396"/>
      <c r="R543" s="396"/>
      <c r="S543" s="396"/>
      <c r="T543" s="332"/>
      <c r="U543" s="332"/>
      <c r="W543" s="332"/>
      <c r="X543" s="332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</row>
    <row r="544" spans="2:62" ht="16.8">
      <c r="B544" s="7"/>
      <c r="C544" s="332"/>
      <c r="D544" s="332"/>
      <c r="E544" s="396"/>
      <c r="F544" s="407"/>
      <c r="G544" s="332"/>
      <c r="H544" s="396"/>
      <c r="I544" s="407"/>
      <c r="J544" s="406"/>
      <c r="K544" s="396"/>
      <c r="L544" s="406"/>
      <c r="M544" s="396"/>
      <c r="N544" s="406"/>
      <c r="O544" s="396"/>
      <c r="P544" s="332"/>
      <c r="Q544" s="332"/>
      <c r="R544" s="396"/>
      <c r="S544" s="396"/>
      <c r="T544" s="332"/>
      <c r="U544" s="332"/>
      <c r="W544" s="332"/>
      <c r="X544" s="332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</row>
    <row r="545" spans="2:62" ht="16.8">
      <c r="B545" s="7"/>
      <c r="C545" s="395"/>
      <c r="D545" s="395"/>
      <c r="E545" s="398"/>
      <c r="F545" s="408"/>
      <c r="G545" s="395"/>
      <c r="H545" s="398"/>
      <c r="I545" s="408"/>
      <c r="J545" s="408"/>
      <c r="K545" s="398"/>
      <c r="L545" s="408"/>
      <c r="M545" s="398"/>
      <c r="N545" s="408"/>
      <c r="O545" s="398"/>
      <c r="P545" s="408"/>
      <c r="Q545" s="398"/>
      <c r="R545" s="398"/>
      <c r="S545" s="395"/>
      <c r="T545" s="332"/>
      <c r="U545" s="332"/>
      <c r="W545" s="332"/>
      <c r="X545" s="332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</row>
    <row r="546" spans="2:62" ht="16.8">
      <c r="B546" s="7"/>
      <c r="C546" s="332"/>
      <c r="D546" s="332"/>
      <c r="E546" s="396"/>
      <c r="F546" s="332"/>
      <c r="G546" s="332"/>
      <c r="H546" s="396"/>
      <c r="I546" s="332"/>
      <c r="J546" s="406"/>
      <c r="K546" s="396"/>
      <c r="L546" s="406"/>
      <c r="M546" s="396"/>
      <c r="N546" s="406"/>
      <c r="O546" s="396"/>
      <c r="P546" s="395"/>
      <c r="Q546" s="408"/>
      <c r="R546" s="408"/>
      <c r="S546" s="332"/>
      <c r="T546" s="332"/>
      <c r="U546" s="332"/>
      <c r="W546" s="332"/>
      <c r="X546" s="332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</row>
    <row r="547" spans="2:62" ht="16.8">
      <c r="B547" s="7"/>
      <c r="C547" s="332"/>
      <c r="D547" s="332"/>
      <c r="E547" s="396"/>
      <c r="F547" s="332"/>
      <c r="G547" s="332"/>
      <c r="H547" s="396"/>
      <c r="I547" s="332"/>
      <c r="J547" s="406"/>
      <c r="K547" s="396"/>
      <c r="L547" s="406"/>
      <c r="M547" s="396"/>
      <c r="N547" s="406"/>
      <c r="O547" s="396"/>
      <c r="P547" s="332"/>
      <c r="Q547" s="332"/>
      <c r="R547" s="396"/>
      <c r="S547" s="332"/>
      <c r="T547" s="332"/>
      <c r="U547" s="332"/>
      <c r="W547" s="332"/>
      <c r="X547" s="332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</row>
    <row r="548" spans="2:62" ht="16.8">
      <c r="B548" s="7"/>
      <c r="C548" s="395"/>
      <c r="D548" s="332"/>
      <c r="E548" s="396"/>
      <c r="F548" s="332"/>
      <c r="G548" s="332"/>
      <c r="H548" s="396"/>
      <c r="I548" s="332"/>
      <c r="J548" s="406"/>
      <c r="K548" s="396"/>
      <c r="L548" s="406"/>
      <c r="M548" s="396"/>
      <c r="N548" s="406"/>
      <c r="O548" s="396"/>
      <c r="P548" s="332"/>
      <c r="Q548" s="332"/>
      <c r="R548" s="396"/>
      <c r="S548" s="332"/>
      <c r="T548" s="332"/>
      <c r="U548" s="332"/>
      <c r="W548" s="332"/>
      <c r="X548" s="332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</row>
    <row r="549" spans="2:62" ht="16.8">
      <c r="B549" s="7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W549" s="332"/>
      <c r="X549" s="332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</row>
    <row r="550" spans="2:62" ht="16.8">
      <c r="B550" s="7"/>
      <c r="C550" s="332"/>
      <c r="D550" s="332"/>
      <c r="E550" s="396"/>
      <c r="F550" s="406"/>
      <c r="G550" s="332"/>
      <c r="H550" s="396"/>
      <c r="I550" s="406"/>
      <c r="J550" s="406"/>
      <c r="K550" s="332"/>
      <c r="L550" s="406"/>
      <c r="M550" s="332"/>
      <c r="N550" s="406"/>
      <c r="O550" s="332"/>
      <c r="P550" s="406"/>
      <c r="Q550" s="396"/>
      <c r="R550" s="396"/>
      <c r="S550" s="332"/>
      <c r="T550" s="332"/>
      <c r="U550" s="332"/>
      <c r="W550" s="332"/>
      <c r="X550" s="332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</row>
    <row r="551" spans="2:62" ht="16.8">
      <c r="B551" s="7"/>
      <c r="C551" s="332"/>
      <c r="D551" s="332"/>
      <c r="E551" s="396"/>
      <c r="F551" s="407"/>
      <c r="G551" s="332"/>
      <c r="H551" s="396"/>
      <c r="I551" s="407"/>
      <c r="J551" s="406"/>
      <c r="K551" s="396"/>
      <c r="L551" s="406"/>
      <c r="M551" s="396"/>
      <c r="N551" s="406"/>
      <c r="O551" s="396"/>
      <c r="P551" s="332"/>
      <c r="Q551" s="406"/>
      <c r="R551" s="406"/>
      <c r="S551" s="396"/>
      <c r="T551" s="332"/>
      <c r="U551" s="332"/>
      <c r="W551" s="332"/>
      <c r="X551" s="332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</row>
    <row r="552" spans="2:62" ht="16.8">
      <c r="B552" s="7"/>
      <c r="C552" s="332"/>
      <c r="D552" s="332"/>
      <c r="E552" s="396"/>
      <c r="F552" s="407"/>
      <c r="G552" s="332"/>
      <c r="H552" s="396"/>
      <c r="I552" s="407"/>
      <c r="J552" s="406"/>
      <c r="K552" s="396"/>
      <c r="L552" s="406"/>
      <c r="M552" s="396"/>
      <c r="N552" s="406"/>
      <c r="O552" s="396"/>
      <c r="P552" s="332"/>
      <c r="Q552" s="332"/>
      <c r="R552" s="396"/>
      <c r="S552" s="396"/>
      <c r="T552" s="332"/>
      <c r="U552" s="332"/>
      <c r="W552" s="332"/>
      <c r="X552" s="332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</row>
    <row r="553" spans="2:62" ht="16.8">
      <c r="B553" s="7"/>
      <c r="C553" s="332"/>
      <c r="D553" s="332"/>
      <c r="E553" s="396"/>
      <c r="F553" s="406"/>
      <c r="G553" s="332"/>
      <c r="H553" s="396"/>
      <c r="I553" s="406"/>
      <c r="J553" s="406"/>
      <c r="K553" s="396"/>
      <c r="L553" s="406"/>
      <c r="M553" s="396"/>
      <c r="N553" s="406"/>
      <c r="O553" s="396"/>
      <c r="P553" s="332"/>
      <c r="Q553" s="332"/>
      <c r="R553" s="396"/>
      <c r="S553" s="332"/>
      <c r="T553" s="332"/>
      <c r="U553" s="332"/>
      <c r="W553" s="332"/>
      <c r="X553" s="332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</row>
    <row r="554" spans="2:62" ht="16.8">
      <c r="B554" s="7"/>
      <c r="C554" s="395"/>
      <c r="D554" s="395"/>
      <c r="E554" s="398"/>
      <c r="F554" s="408"/>
      <c r="G554" s="395"/>
      <c r="H554" s="398"/>
      <c r="I554" s="408"/>
      <c r="J554" s="408"/>
      <c r="K554" s="398"/>
      <c r="L554" s="408"/>
      <c r="M554" s="398"/>
      <c r="N554" s="408"/>
      <c r="O554" s="398"/>
      <c r="P554" s="408"/>
      <c r="Q554" s="395"/>
      <c r="R554" s="398"/>
      <c r="S554" s="395"/>
      <c r="T554" s="332"/>
      <c r="U554" s="332"/>
      <c r="W554" s="332"/>
      <c r="X554" s="332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</row>
    <row r="555" spans="2:62" ht="16.8">
      <c r="B555" s="7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95"/>
      <c r="Q555" s="408"/>
      <c r="R555" s="408"/>
      <c r="S555" s="332"/>
      <c r="T555" s="332"/>
      <c r="U555" s="332"/>
      <c r="W555" s="332"/>
      <c r="X555" s="332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</row>
    <row r="556" spans="2:62" ht="16.8">
      <c r="B556" s="7"/>
      <c r="C556" s="332"/>
      <c r="D556" s="332"/>
      <c r="E556" s="396"/>
      <c r="F556" s="406"/>
      <c r="G556" s="332"/>
      <c r="H556" s="396"/>
      <c r="I556" s="406"/>
      <c r="J556" s="406"/>
      <c r="K556" s="396"/>
      <c r="L556" s="406"/>
      <c r="M556" s="396"/>
      <c r="N556" s="406"/>
      <c r="O556" s="396"/>
      <c r="P556" s="332"/>
      <c r="Q556" s="332"/>
      <c r="R556" s="396"/>
      <c r="S556" s="332"/>
      <c r="T556" s="332"/>
      <c r="U556" s="332"/>
      <c r="W556" s="332"/>
      <c r="X556" s="332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</row>
    <row r="557" spans="2:62" ht="16.8">
      <c r="B557" s="7"/>
      <c r="C557" s="395"/>
      <c r="D557" s="332"/>
      <c r="E557" s="396"/>
      <c r="F557" s="406"/>
      <c r="G557" s="332"/>
      <c r="H557" s="396"/>
      <c r="I557" s="406"/>
      <c r="J557" s="406"/>
      <c r="K557" s="396"/>
      <c r="L557" s="406"/>
      <c r="M557" s="396"/>
      <c r="N557" s="406"/>
      <c r="O557" s="396"/>
      <c r="P557" s="332"/>
      <c r="Q557" s="332"/>
      <c r="R557" s="396"/>
      <c r="S557" s="332"/>
      <c r="T557" s="332"/>
      <c r="U557" s="332"/>
      <c r="W557" s="332"/>
      <c r="X557" s="332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</row>
    <row r="558" spans="2:62" ht="16.8">
      <c r="B558" s="7"/>
      <c r="C558" s="332"/>
      <c r="D558" s="332"/>
      <c r="E558" s="396"/>
      <c r="F558" s="406"/>
      <c r="G558" s="332"/>
      <c r="H558" s="396"/>
      <c r="I558" s="406"/>
      <c r="J558" s="406"/>
      <c r="K558" s="396"/>
      <c r="L558" s="406"/>
      <c r="M558" s="396"/>
      <c r="N558" s="406"/>
      <c r="O558" s="396"/>
      <c r="P558" s="332"/>
      <c r="Q558" s="332"/>
      <c r="R558" s="396"/>
      <c r="S558" s="332"/>
      <c r="T558" s="332"/>
      <c r="U558" s="332"/>
      <c r="W558" s="332"/>
      <c r="X558" s="332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</row>
    <row r="559" spans="2:62" ht="16.8">
      <c r="B559" s="7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406"/>
      <c r="Q559" s="396"/>
      <c r="R559" s="332"/>
      <c r="S559" s="396"/>
      <c r="T559" s="332"/>
      <c r="U559" s="332"/>
      <c r="W559" s="332"/>
      <c r="X559" s="332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</row>
    <row r="560" spans="2:62" ht="16.8">
      <c r="B560" s="7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406"/>
      <c r="Q560" s="396"/>
      <c r="R560" s="332"/>
      <c r="S560" s="396"/>
      <c r="T560" s="332"/>
      <c r="U560" s="332"/>
      <c r="W560" s="332"/>
      <c r="X560" s="332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</row>
    <row r="561" spans="2:62" ht="16.8">
      <c r="B561" s="7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406"/>
      <c r="Q561" s="396"/>
      <c r="R561" s="332"/>
      <c r="S561" s="396"/>
      <c r="T561" s="332"/>
      <c r="U561" s="332"/>
      <c r="W561" s="332"/>
      <c r="X561" s="332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</row>
    <row r="562" spans="2:62" ht="16.8">
      <c r="B562" s="7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406"/>
      <c r="Q562" s="396"/>
      <c r="R562" s="332"/>
      <c r="S562" s="396"/>
      <c r="T562" s="332"/>
      <c r="U562" s="332"/>
      <c r="W562" s="332"/>
      <c r="X562" s="332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</row>
    <row r="563" spans="2:62" ht="16.8">
      <c r="B563" s="7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406"/>
      <c r="Q563" s="396"/>
      <c r="R563" s="332"/>
      <c r="S563" s="396"/>
      <c r="T563" s="332"/>
      <c r="U563" s="332"/>
      <c r="W563" s="332"/>
      <c r="X563" s="332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</row>
    <row r="564" spans="2:62" ht="16.8">
      <c r="B564" s="7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406"/>
      <c r="Q564" s="396"/>
      <c r="R564" s="332"/>
      <c r="S564" s="396"/>
      <c r="T564" s="332"/>
      <c r="U564" s="332"/>
      <c r="W564" s="332"/>
      <c r="X564" s="332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</row>
    <row r="565" spans="2:62" ht="16.8">
      <c r="B565" s="7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406"/>
      <c r="Q565" s="396"/>
      <c r="R565" s="332"/>
      <c r="S565" s="396"/>
      <c r="T565" s="332"/>
      <c r="U565" s="332"/>
      <c r="W565" s="332"/>
      <c r="X565" s="332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</row>
    <row r="566" spans="2:62" ht="16.8">
      <c r="B566" s="7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406"/>
      <c r="Q566" s="396"/>
      <c r="R566" s="332"/>
      <c r="S566" s="396"/>
      <c r="T566" s="332"/>
      <c r="U566" s="332"/>
      <c r="W566" s="332"/>
      <c r="X566" s="332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</row>
    <row r="567" spans="2:62" ht="16.8">
      <c r="B567" s="7"/>
      <c r="C567" s="395"/>
      <c r="D567" s="395"/>
      <c r="E567" s="332"/>
      <c r="F567" s="332"/>
      <c r="G567" s="395"/>
      <c r="H567" s="332"/>
      <c r="I567" s="332"/>
      <c r="J567" s="332"/>
      <c r="K567" s="332"/>
      <c r="L567" s="332"/>
      <c r="M567" s="332"/>
      <c r="N567" s="332"/>
      <c r="O567" s="332"/>
      <c r="P567" s="408"/>
      <c r="Q567" s="398"/>
      <c r="R567" s="332"/>
      <c r="S567" s="398"/>
      <c r="T567" s="332"/>
      <c r="U567" s="332"/>
      <c r="W567" s="332"/>
      <c r="X567" s="332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</row>
    <row r="568" spans="2:62" ht="16.8">
      <c r="B568" s="7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408"/>
      <c r="Q568" s="408"/>
      <c r="R568" s="332"/>
      <c r="S568" s="332"/>
      <c r="T568" s="332"/>
      <c r="U568" s="332"/>
      <c r="W568" s="332"/>
      <c r="X568" s="332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</row>
    <row r="569" spans="2:62" ht="16.8">
      <c r="B569" s="7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406"/>
      <c r="Q569" s="396"/>
      <c r="R569" s="332"/>
      <c r="S569" s="396"/>
      <c r="T569" s="332"/>
      <c r="U569" s="332"/>
      <c r="W569" s="332"/>
      <c r="X569" s="332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</row>
    <row r="570" spans="2:62" ht="16.8">
      <c r="B570" s="7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406"/>
      <c r="Q570" s="396"/>
      <c r="R570" s="332"/>
      <c r="S570" s="396"/>
      <c r="T570" s="332"/>
      <c r="U570" s="332"/>
      <c r="W570" s="332"/>
      <c r="X570" s="332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</row>
    <row r="571" spans="2:62" ht="16.8">
      <c r="B571" s="7"/>
      <c r="C571" s="39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408"/>
      <c r="Q571" s="398"/>
      <c r="R571" s="332"/>
      <c r="S571" s="398"/>
      <c r="T571" s="332"/>
      <c r="U571" s="332"/>
      <c r="W571" s="332"/>
      <c r="X571" s="332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</row>
    <row r="572" spans="2:62" ht="16.8">
      <c r="B572" s="7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408"/>
      <c r="Q572" s="408"/>
      <c r="R572" s="332"/>
      <c r="S572" s="332"/>
      <c r="T572" s="332"/>
      <c r="U572" s="332"/>
      <c r="W572" s="332"/>
      <c r="X572" s="332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</row>
    <row r="573" spans="2:62" ht="16.8">
      <c r="B573" s="7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406"/>
      <c r="Q573" s="396"/>
      <c r="R573" s="332"/>
      <c r="S573" s="396"/>
      <c r="T573" s="332"/>
      <c r="U573" s="332"/>
      <c r="W573" s="332"/>
      <c r="X573" s="332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</row>
    <row r="574" spans="2:62" ht="16.8">
      <c r="B574" s="7"/>
      <c r="C574" s="395"/>
      <c r="D574" s="395"/>
      <c r="E574" s="332"/>
      <c r="F574" s="332"/>
      <c r="G574" s="395"/>
      <c r="H574" s="332"/>
      <c r="I574" s="332"/>
      <c r="J574" s="332"/>
      <c r="K574" s="332"/>
      <c r="L574" s="332"/>
      <c r="M574" s="332"/>
      <c r="N574" s="332"/>
      <c r="O574" s="332"/>
      <c r="P574" s="408"/>
      <c r="Q574" s="398"/>
      <c r="R574" s="332"/>
      <c r="S574" s="398"/>
      <c r="T574" s="332"/>
      <c r="U574" s="332"/>
      <c r="W574" s="332"/>
      <c r="X574" s="332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</row>
    <row r="575" spans="2:62" ht="16.8">
      <c r="B575" s="7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408"/>
      <c r="Q575" s="408"/>
      <c r="R575" s="332"/>
      <c r="S575" s="332"/>
      <c r="T575" s="332"/>
      <c r="U575" s="332"/>
      <c r="W575" s="332"/>
      <c r="X575" s="332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</row>
    <row r="576" spans="2:62" ht="16.8">
      <c r="B576" s="7"/>
      <c r="C576" s="332"/>
      <c r="D576" s="332"/>
      <c r="E576" s="396"/>
      <c r="F576" s="406"/>
      <c r="G576" s="332"/>
      <c r="H576" s="396"/>
      <c r="I576" s="406"/>
      <c r="J576" s="406"/>
      <c r="K576" s="396"/>
      <c r="L576" s="406"/>
      <c r="M576" s="396"/>
      <c r="N576" s="406"/>
      <c r="O576" s="396"/>
      <c r="P576" s="406"/>
      <c r="Q576" s="396"/>
      <c r="R576" s="396"/>
      <c r="S576" s="332"/>
      <c r="T576" s="332"/>
      <c r="U576" s="332"/>
      <c r="W576" s="332"/>
      <c r="X576" s="332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</row>
    <row r="577" spans="2:62" ht="16.8">
      <c r="B577" s="7"/>
      <c r="C577" s="395"/>
      <c r="D577" s="395"/>
      <c r="E577" s="398"/>
      <c r="F577" s="408"/>
      <c r="G577" s="395"/>
      <c r="H577" s="398"/>
      <c r="I577" s="408"/>
      <c r="J577" s="408"/>
      <c r="K577" s="398"/>
      <c r="L577" s="408"/>
      <c r="M577" s="398"/>
      <c r="N577" s="408"/>
      <c r="O577" s="398"/>
      <c r="P577" s="408"/>
      <c r="Q577" s="398"/>
      <c r="R577" s="398"/>
      <c r="S577" s="398"/>
      <c r="T577" s="332"/>
      <c r="U577" s="332"/>
      <c r="W577" s="332"/>
      <c r="X577" s="332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</row>
    <row r="578" spans="2:62" ht="16.8">
      <c r="B578" s="7"/>
      <c r="C578" s="332"/>
      <c r="D578" s="332"/>
      <c r="E578" s="396"/>
      <c r="F578" s="406"/>
      <c r="G578" s="332"/>
      <c r="H578" s="396"/>
      <c r="I578" s="406"/>
      <c r="J578" s="396"/>
      <c r="K578" s="406"/>
      <c r="L578" s="396"/>
      <c r="M578" s="332"/>
      <c r="N578" s="396"/>
      <c r="O578" s="406"/>
      <c r="P578" s="398"/>
      <c r="Q578" s="408"/>
      <c r="R578" s="408"/>
      <c r="S578" s="396"/>
      <c r="T578" s="332"/>
      <c r="U578" s="332"/>
      <c r="W578" s="332"/>
      <c r="X578" s="332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</row>
    <row r="579" spans="2:62" ht="16.8">
      <c r="B579" s="7"/>
      <c r="C579" s="332"/>
      <c r="D579" s="332"/>
      <c r="E579" s="396"/>
      <c r="F579" s="406"/>
      <c r="G579" s="332"/>
      <c r="H579" s="396"/>
      <c r="I579" s="406"/>
      <c r="J579" s="396"/>
      <c r="K579" s="406"/>
      <c r="L579" s="396"/>
      <c r="M579" s="332"/>
      <c r="N579" s="396"/>
      <c r="O579" s="406"/>
      <c r="P579" s="396"/>
      <c r="Q579" s="332"/>
      <c r="R579" s="406"/>
      <c r="S579" s="396"/>
      <c r="T579" s="332"/>
      <c r="U579" s="332"/>
      <c r="W579" s="332"/>
      <c r="X579" s="332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</row>
    <row r="580" spans="2:62" ht="16.8">
      <c r="B580" s="7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406"/>
      <c r="S580" s="396"/>
      <c r="T580" s="332"/>
      <c r="U580" s="332"/>
      <c r="W580" s="332"/>
      <c r="X580" s="332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</row>
    <row r="581" spans="2:62" ht="16.8">
      <c r="B581" s="7"/>
      <c r="C581" s="332"/>
      <c r="D581" s="332"/>
      <c r="E581" s="396"/>
      <c r="F581" s="406"/>
      <c r="G581" s="332"/>
      <c r="H581" s="396"/>
      <c r="I581" s="406"/>
      <c r="J581" s="396"/>
      <c r="K581" s="406"/>
      <c r="L581" s="396"/>
      <c r="M581" s="332"/>
      <c r="N581" s="396"/>
      <c r="O581" s="406"/>
      <c r="P581" s="396"/>
      <c r="Q581" s="332"/>
      <c r="R581" s="406"/>
      <c r="S581" s="396"/>
      <c r="T581" s="332"/>
      <c r="U581" s="332"/>
      <c r="W581" s="332"/>
      <c r="X581" s="332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</row>
    <row r="582" spans="2:62" ht="16.8">
      <c r="B582" s="7"/>
      <c r="C582" s="332"/>
      <c r="D582" s="332"/>
      <c r="E582" s="396"/>
      <c r="F582" s="406"/>
      <c r="G582" s="332"/>
      <c r="H582" s="396"/>
      <c r="I582" s="406"/>
      <c r="J582" s="396"/>
      <c r="K582" s="406"/>
      <c r="L582" s="396"/>
      <c r="M582" s="332"/>
      <c r="N582" s="396"/>
      <c r="O582" s="406"/>
      <c r="P582" s="396"/>
      <c r="Q582" s="332"/>
      <c r="R582" s="406"/>
      <c r="S582" s="396"/>
      <c r="T582" s="332"/>
      <c r="U582" s="332"/>
      <c r="W582" s="332"/>
      <c r="X582" s="332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</row>
    <row r="583" spans="2:62" ht="16.8">
      <c r="B583" s="7"/>
      <c r="C583" s="332"/>
      <c r="D583" s="332"/>
      <c r="E583" s="396"/>
      <c r="F583" s="406"/>
      <c r="G583" s="332"/>
      <c r="H583" s="396"/>
      <c r="I583" s="406"/>
      <c r="J583" s="396"/>
      <c r="K583" s="406"/>
      <c r="L583" s="396"/>
      <c r="M583" s="332"/>
      <c r="N583" s="396"/>
      <c r="O583" s="406"/>
      <c r="P583" s="396"/>
      <c r="Q583" s="332"/>
      <c r="R583" s="406"/>
      <c r="S583" s="396"/>
      <c r="T583" s="332"/>
      <c r="U583" s="332"/>
      <c r="W583" s="332"/>
      <c r="X583" s="332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</row>
    <row r="584" spans="2:62" ht="16.8">
      <c r="B584" s="7"/>
      <c r="C584" s="332"/>
      <c r="D584" s="332"/>
      <c r="E584" s="396"/>
      <c r="F584" s="406"/>
      <c r="G584" s="332"/>
      <c r="H584" s="396"/>
      <c r="I584" s="406"/>
      <c r="J584" s="396"/>
      <c r="K584" s="406"/>
      <c r="L584" s="396"/>
      <c r="M584" s="332"/>
      <c r="N584" s="396"/>
      <c r="O584" s="406"/>
      <c r="P584" s="396"/>
      <c r="Q584" s="332"/>
      <c r="R584" s="406"/>
      <c r="S584" s="396"/>
      <c r="T584" s="332"/>
      <c r="U584" s="332"/>
      <c r="W584" s="332"/>
      <c r="X584" s="332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</row>
    <row r="585" spans="2:62" ht="16.8">
      <c r="B585" s="7"/>
      <c r="C585" s="332"/>
      <c r="D585" s="332"/>
      <c r="E585" s="396"/>
      <c r="F585" s="406"/>
      <c r="G585" s="332"/>
      <c r="H585" s="396"/>
      <c r="I585" s="406"/>
      <c r="J585" s="396"/>
      <c r="K585" s="406"/>
      <c r="L585" s="396"/>
      <c r="M585" s="332"/>
      <c r="N585" s="396"/>
      <c r="O585" s="406"/>
      <c r="P585" s="396"/>
      <c r="Q585" s="332"/>
      <c r="R585" s="406"/>
      <c r="S585" s="396"/>
      <c r="T585" s="332"/>
      <c r="U585" s="332"/>
      <c r="W585" s="332"/>
      <c r="X585" s="332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</row>
    <row r="586" spans="2:62" ht="16.8">
      <c r="B586" s="7"/>
      <c r="C586" s="332"/>
      <c r="D586" s="332"/>
      <c r="E586" s="396"/>
      <c r="F586" s="406"/>
      <c r="G586" s="332"/>
      <c r="H586" s="396"/>
      <c r="I586" s="406"/>
      <c r="J586" s="396"/>
      <c r="K586" s="406"/>
      <c r="L586" s="396"/>
      <c r="M586" s="332"/>
      <c r="N586" s="396"/>
      <c r="O586" s="406"/>
      <c r="P586" s="396"/>
      <c r="Q586" s="332"/>
      <c r="R586" s="406"/>
      <c r="S586" s="396"/>
      <c r="T586" s="332"/>
      <c r="U586" s="332"/>
      <c r="W586" s="332"/>
      <c r="X586" s="332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</row>
    <row r="587" spans="2:62" ht="16.8">
      <c r="B587" s="7"/>
      <c r="C587" s="332"/>
      <c r="D587" s="332"/>
      <c r="E587" s="396"/>
      <c r="F587" s="406"/>
      <c r="G587" s="332"/>
      <c r="H587" s="396"/>
      <c r="I587" s="406"/>
      <c r="J587" s="396"/>
      <c r="K587" s="406"/>
      <c r="L587" s="396"/>
      <c r="M587" s="332"/>
      <c r="N587" s="396"/>
      <c r="O587" s="406"/>
      <c r="P587" s="396"/>
      <c r="Q587" s="332"/>
      <c r="R587" s="406"/>
      <c r="S587" s="396"/>
      <c r="T587" s="332"/>
      <c r="U587" s="332"/>
      <c r="W587" s="332"/>
      <c r="X587" s="332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</row>
    <row r="588" spans="2:62" ht="16.8">
      <c r="B588" s="7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W588" s="332"/>
      <c r="X588" s="332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</row>
    <row r="589" spans="2:62" ht="16.8">
      <c r="B589" s="7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W589" s="332"/>
      <c r="X589" s="332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</row>
    <row r="590" spans="2:62" ht="16.8">
      <c r="B590" s="7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W590" s="332"/>
      <c r="X590" s="332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</row>
    <row r="591" spans="2:62" ht="16.8">
      <c r="B591" s="7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W591" s="332"/>
      <c r="X591" s="332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</row>
    <row r="592" spans="2:62" ht="16.8">
      <c r="B592" s="7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W592" s="332"/>
      <c r="X592" s="332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</row>
    <row r="593" spans="2:62" ht="16.8">
      <c r="B593" s="7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W593" s="332"/>
      <c r="X593" s="332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</row>
    <row r="594" spans="2:62" ht="16.8">
      <c r="B594" s="7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W594" s="332"/>
      <c r="X594" s="332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</row>
    <row r="595" spans="2:62" ht="16.8">
      <c r="B595" s="7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W595" s="332"/>
      <c r="X595" s="332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</row>
    <row r="596" spans="2:62" ht="16.8">
      <c r="B596" s="7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W596" s="332"/>
      <c r="X596" s="332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</row>
    <row r="597" spans="2:62" ht="16.8">
      <c r="B597" s="7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W597" s="332"/>
      <c r="X597" s="332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</row>
    <row r="598" spans="2:62" ht="16.8">
      <c r="B598" s="7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W598" s="332"/>
      <c r="X598" s="332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</row>
    <row r="599" spans="2:62" ht="16.8">
      <c r="B599" s="7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W599" s="332"/>
      <c r="X599" s="332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</row>
    <row r="600" spans="2:62" ht="16.8">
      <c r="B600" s="7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W600" s="332"/>
      <c r="X600" s="332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</row>
    <row r="601" spans="2:62" ht="16.8">
      <c r="B601" s="7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W601" s="332"/>
      <c r="X601" s="332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</row>
    <row r="602" spans="2:62" ht="16.8">
      <c r="B602" s="7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W602" s="332"/>
      <c r="X602" s="332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</row>
    <row r="603" spans="2:62" ht="16.8">
      <c r="B603" s="7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W603" s="332"/>
      <c r="X603" s="332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</row>
    <row r="604" spans="2:62" ht="16.8">
      <c r="B604" s="7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W604" s="332"/>
      <c r="X604" s="332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</row>
    <row r="605" spans="2:62" ht="16.8">
      <c r="B605" s="7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W605" s="332"/>
      <c r="X605" s="332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</row>
    <row r="606" spans="2:62" ht="16.8">
      <c r="B606" s="7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W606" s="332"/>
      <c r="X606" s="332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</row>
    <row r="607" spans="2:62" ht="16.8">
      <c r="B607" s="7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W607" s="332"/>
      <c r="X607" s="332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</row>
    <row r="608" spans="2:62" ht="16.8">
      <c r="B608" s="7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W608" s="332"/>
      <c r="X608" s="332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</row>
    <row r="609" spans="2:62" ht="16.8">
      <c r="B609" s="7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W609" s="332"/>
      <c r="X609" s="332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</row>
    <row r="610" spans="2:62" ht="16.8">
      <c r="B610" s="7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W610" s="332"/>
      <c r="X610" s="332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</row>
    <row r="611" spans="2:62" ht="16.8">
      <c r="B611" s="7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W611" s="332"/>
      <c r="X611" s="332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</row>
    <row r="612" spans="2:62" ht="16.8">
      <c r="B612" s="7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W612" s="332"/>
      <c r="X612" s="332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</row>
    <row r="613" spans="2:62" ht="16.8">
      <c r="B613" s="7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W613" s="332"/>
      <c r="X613" s="332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</row>
    <row r="614" spans="2:62" ht="16.8">
      <c r="B614" s="7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W614" s="332"/>
      <c r="X614" s="332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</row>
    <row r="615" spans="2:62" ht="16.8">
      <c r="B615" s="7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W615" s="332"/>
      <c r="X615" s="332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</row>
    <row r="616" spans="2:62" ht="16.8">
      <c r="B616" s="7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W616" s="332"/>
      <c r="X616" s="332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</row>
    <row r="617" spans="2:62" ht="16.8">
      <c r="B617" s="7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W617" s="332"/>
      <c r="X617" s="332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</row>
    <row r="618" spans="2:62" ht="16.8">
      <c r="B618" s="7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W618" s="332"/>
      <c r="X618" s="332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</row>
    <row r="619" spans="2:62" ht="16.8">
      <c r="B619" s="7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W619" s="332"/>
      <c r="X619" s="332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</row>
    <row r="620" spans="2:62" ht="16.8">
      <c r="B620" s="7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W620" s="332"/>
      <c r="X620" s="332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</row>
    <row r="621" spans="2:62" ht="16.8">
      <c r="B621" s="7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W621" s="332"/>
      <c r="X621" s="332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</row>
    <row r="622" spans="2:62" ht="16.8">
      <c r="B622" s="7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W622" s="332"/>
      <c r="X622" s="332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</row>
    <row r="623" spans="2:62" ht="16.8">
      <c r="B623" s="7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W623" s="332"/>
      <c r="X623" s="332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</row>
    <row r="624" spans="2:62" ht="16.8">
      <c r="B624" s="7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W624" s="332"/>
      <c r="X624" s="332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</row>
    <row r="625" spans="2:62" ht="16.8">
      <c r="B625" s="7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W625" s="332"/>
      <c r="X625" s="332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</row>
    <row r="626" spans="2:62" ht="16.8">
      <c r="B626" s="7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W626" s="332"/>
      <c r="X626" s="332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</row>
    <row r="627" spans="2:62" ht="16.8">
      <c r="B627" s="7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W627" s="332"/>
      <c r="X627" s="332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</row>
    <row r="628" spans="2:62" ht="16.8">
      <c r="B628" s="7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W628" s="332"/>
      <c r="X628" s="332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</row>
    <row r="629" spans="2:62" ht="16.8">
      <c r="B629" s="7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W629" s="332"/>
      <c r="X629" s="332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</row>
    <row r="630" spans="2:62" ht="16.8">
      <c r="B630" s="7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W630" s="332"/>
      <c r="X630" s="332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</row>
    <row r="631" spans="2:62" ht="16.8">
      <c r="B631" s="7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W631" s="332"/>
      <c r="X631" s="332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</row>
    <row r="632" spans="2:62" ht="16.8">
      <c r="B632" s="7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W632" s="332"/>
      <c r="X632" s="332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</row>
    <row r="633" spans="2:62" ht="16.8">
      <c r="B633" s="7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W633" s="332"/>
      <c r="X633" s="332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</row>
    <row r="634" spans="2:62" ht="16.8">
      <c r="B634" s="7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W634" s="332"/>
      <c r="X634" s="332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</row>
    <row r="635" spans="2:62" ht="16.8">
      <c r="B635" s="7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W635" s="332"/>
      <c r="X635" s="332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</row>
    <row r="636" spans="2:62" ht="16.8">
      <c r="B636" s="7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W636" s="332"/>
      <c r="X636" s="332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</row>
    <row r="637" spans="2:62" ht="16.8">
      <c r="B637" s="7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W637" s="332"/>
      <c r="X637" s="332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</row>
    <row r="638" spans="2:62" ht="16.8">
      <c r="B638" s="7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W638" s="332"/>
      <c r="X638" s="332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</row>
    <row r="639" spans="2:62" ht="16.8">
      <c r="B639" s="7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W639" s="332"/>
      <c r="X639" s="332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</row>
    <row r="640" spans="2:62" ht="16.8">
      <c r="B640" s="7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W640" s="332"/>
      <c r="X640" s="332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</row>
    <row r="641" spans="2:62" ht="16.8">
      <c r="B641" s="7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W641" s="332"/>
      <c r="X641" s="332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</row>
    <row r="642" spans="2:62" ht="16.8">
      <c r="B642" s="7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W642" s="332"/>
      <c r="X642" s="332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</row>
    <row r="643" spans="2:62" ht="16.8">
      <c r="B643" s="7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W643" s="332"/>
      <c r="X643" s="332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</row>
    <row r="644" spans="2:62" ht="16.8">
      <c r="B644" s="7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W644" s="332"/>
      <c r="X644" s="332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</row>
    <row r="645" spans="2:62" ht="16.8">
      <c r="B645" s="7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W645" s="332"/>
      <c r="X645" s="332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</row>
    <row r="646" spans="2:62" ht="16.8">
      <c r="B646" s="7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W646" s="332"/>
      <c r="X646" s="332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</row>
    <row r="647" spans="2:62" ht="16.8">
      <c r="B647" s="7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W647" s="332"/>
      <c r="X647" s="332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</row>
    <row r="648" spans="2:62" ht="16.8">
      <c r="B648" s="7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W648" s="332"/>
      <c r="X648" s="332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</row>
    <row r="649" spans="2:62" ht="16.8">
      <c r="B649" s="7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W649" s="332"/>
      <c r="X649" s="332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</row>
    <row r="650" spans="2:62" ht="16.8">
      <c r="B650" s="7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W650" s="332"/>
      <c r="X650" s="332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</row>
    <row r="651" spans="2:62" ht="30">
      <c r="B651" s="7"/>
      <c r="C651" s="409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410"/>
      <c r="P651" s="332"/>
      <c r="Q651" s="332"/>
      <c r="R651" s="332"/>
      <c r="S651" s="332"/>
      <c r="T651" s="332"/>
      <c r="U651" s="332"/>
      <c r="W651" s="332"/>
      <c r="X651" s="332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</row>
    <row r="652" spans="2:62" ht="17.399999999999999">
      <c r="B652" s="7"/>
      <c r="C652" s="399"/>
      <c r="D652" s="403"/>
      <c r="E652" s="403"/>
      <c r="F652" s="403"/>
      <c r="G652" s="403"/>
      <c r="H652" s="403"/>
      <c r="I652" s="403"/>
      <c r="J652" s="403"/>
      <c r="K652" s="403"/>
      <c r="L652" s="403"/>
      <c r="M652" s="403"/>
      <c r="N652" s="403"/>
      <c r="O652" s="403"/>
      <c r="P652" s="403"/>
      <c r="Q652" s="411"/>
      <c r="R652" s="403"/>
      <c r="S652" s="403"/>
      <c r="T652" s="332"/>
      <c r="U652" s="332"/>
      <c r="W652" s="332"/>
      <c r="X652" s="332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</row>
    <row r="653" spans="2:62" ht="16.8">
      <c r="B653" s="7"/>
      <c r="C653" s="332"/>
      <c r="D653" s="400"/>
      <c r="E653" s="400"/>
      <c r="F653" s="412"/>
      <c r="G653" s="400"/>
      <c r="H653" s="400"/>
      <c r="I653" s="412"/>
      <c r="J653" s="404"/>
      <c r="K653" s="404"/>
      <c r="L653" s="413"/>
      <c r="M653" s="404"/>
      <c r="N653" s="404"/>
      <c r="O653" s="404"/>
      <c r="P653" s="404"/>
      <c r="Q653" s="401"/>
      <c r="R653" s="400"/>
      <c r="S653" s="412"/>
      <c r="T653" s="332"/>
      <c r="U653" s="332"/>
      <c r="W653" s="332"/>
      <c r="X653" s="332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</row>
    <row r="654" spans="2:62" ht="16.8">
      <c r="B654" s="7"/>
      <c r="C654" s="414"/>
      <c r="D654" s="332"/>
      <c r="E654" s="332"/>
      <c r="F654" s="403"/>
      <c r="G654" s="332"/>
      <c r="H654" s="332"/>
      <c r="I654" s="403"/>
      <c r="J654" s="403"/>
      <c r="K654" s="403"/>
      <c r="L654" s="332"/>
      <c r="M654" s="403"/>
      <c r="N654" s="403"/>
      <c r="O654" s="332"/>
      <c r="P654" s="403"/>
      <c r="Q654" s="403"/>
      <c r="R654" s="332"/>
      <c r="S654" s="403"/>
      <c r="T654" s="332"/>
      <c r="U654" s="332"/>
      <c r="W654" s="332"/>
      <c r="X654" s="332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</row>
    <row r="655" spans="2:62" ht="16.8">
      <c r="B655" s="7"/>
      <c r="C655" s="332"/>
      <c r="D655" s="332"/>
      <c r="E655" s="332"/>
      <c r="F655" s="396"/>
      <c r="G655" s="332"/>
      <c r="H655" s="332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32"/>
      <c r="U655" s="332"/>
      <c r="W655" s="332"/>
      <c r="X655" s="332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</row>
    <row r="656" spans="2:62" ht="16.8">
      <c r="B656" s="7"/>
      <c r="C656" s="395"/>
      <c r="D656" s="395"/>
      <c r="E656" s="395"/>
      <c r="F656" s="398"/>
      <c r="G656" s="395"/>
      <c r="H656" s="395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32"/>
      <c r="U656" s="332"/>
      <c r="W656" s="332"/>
      <c r="X656" s="332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</row>
    <row r="657" spans="2:62" ht="16.8">
      <c r="B657" s="7"/>
      <c r="C657" s="332"/>
      <c r="D657" s="332"/>
      <c r="E657" s="332"/>
      <c r="F657" s="332"/>
      <c r="G657" s="332"/>
      <c r="H657" s="332"/>
      <c r="I657" s="332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32"/>
      <c r="U657" s="332"/>
      <c r="W657" s="332"/>
      <c r="X657" s="332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</row>
    <row r="658" spans="2:62" ht="16.8">
      <c r="B658" s="7"/>
      <c r="C658" s="332"/>
      <c r="D658" s="332"/>
      <c r="E658" s="332"/>
      <c r="F658" s="332"/>
      <c r="G658" s="332"/>
      <c r="H658" s="332"/>
      <c r="I658" s="332"/>
      <c r="J658" s="332"/>
      <c r="K658" s="396"/>
      <c r="L658" s="396"/>
      <c r="M658" s="332"/>
      <c r="N658" s="396"/>
      <c r="O658" s="396"/>
      <c r="P658" s="332"/>
      <c r="Q658" s="396"/>
      <c r="R658" s="396"/>
      <c r="S658" s="332"/>
      <c r="T658" s="332"/>
      <c r="U658" s="332"/>
      <c r="W658" s="332"/>
      <c r="X658" s="332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</row>
    <row r="659" spans="2:62" ht="16.8">
      <c r="B659" s="7"/>
      <c r="C659" s="332"/>
      <c r="D659" s="332"/>
      <c r="E659" s="332"/>
      <c r="F659" s="332"/>
      <c r="G659" s="332"/>
      <c r="H659" s="332"/>
      <c r="I659" s="332"/>
      <c r="J659" s="332"/>
      <c r="K659" s="396"/>
      <c r="L659" s="396"/>
      <c r="M659" s="332"/>
      <c r="N659" s="396"/>
      <c r="O659" s="396"/>
      <c r="P659" s="332"/>
      <c r="Q659" s="396"/>
      <c r="R659" s="396"/>
      <c r="S659" s="332"/>
      <c r="T659" s="332"/>
      <c r="U659" s="332"/>
      <c r="W659" s="332"/>
      <c r="X659" s="332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</row>
    <row r="660" spans="2:62" ht="16.8">
      <c r="B660" s="7"/>
      <c r="C660" s="332"/>
      <c r="D660" s="332"/>
      <c r="E660" s="332"/>
      <c r="F660" s="332"/>
      <c r="G660" s="332"/>
      <c r="H660" s="332"/>
      <c r="I660" s="332"/>
      <c r="J660" s="332"/>
      <c r="K660" s="396"/>
      <c r="L660" s="396"/>
      <c r="M660" s="332"/>
      <c r="N660" s="396"/>
      <c r="O660" s="396"/>
      <c r="P660" s="332"/>
      <c r="Q660" s="396"/>
      <c r="R660" s="396"/>
      <c r="S660" s="332"/>
      <c r="T660" s="332"/>
      <c r="U660" s="332"/>
      <c r="W660" s="332"/>
      <c r="X660" s="332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</row>
    <row r="661" spans="2:62" ht="16.8">
      <c r="B661" s="7"/>
      <c r="C661" s="332"/>
      <c r="D661" s="332"/>
      <c r="E661" s="332"/>
      <c r="F661" s="332"/>
      <c r="G661" s="332"/>
      <c r="H661" s="332"/>
      <c r="I661" s="332"/>
      <c r="J661" s="332"/>
      <c r="K661" s="396"/>
      <c r="L661" s="396"/>
      <c r="M661" s="332"/>
      <c r="N661" s="396"/>
      <c r="O661" s="396"/>
      <c r="P661" s="332"/>
      <c r="Q661" s="396"/>
      <c r="R661" s="396"/>
      <c r="S661" s="332"/>
      <c r="T661" s="332"/>
      <c r="U661" s="332"/>
      <c r="W661" s="332"/>
      <c r="X661" s="332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</row>
    <row r="662" spans="2:62" ht="16.8">
      <c r="B662" s="7"/>
      <c r="C662" s="332"/>
      <c r="D662" s="332"/>
      <c r="E662" s="332"/>
      <c r="F662" s="332"/>
      <c r="G662" s="332"/>
      <c r="H662" s="332"/>
      <c r="I662" s="332"/>
      <c r="J662" s="332"/>
      <c r="K662" s="396"/>
      <c r="L662" s="396"/>
      <c r="M662" s="332"/>
      <c r="N662" s="396"/>
      <c r="O662" s="396"/>
      <c r="P662" s="332"/>
      <c r="Q662" s="396"/>
      <c r="R662" s="396"/>
      <c r="S662" s="332"/>
      <c r="T662" s="332"/>
      <c r="U662" s="332"/>
      <c r="W662" s="332"/>
      <c r="X662" s="332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</row>
    <row r="663" spans="2:62" ht="16.8">
      <c r="B663" s="7"/>
      <c r="C663" s="332"/>
      <c r="D663" s="332"/>
      <c r="E663" s="332"/>
      <c r="F663" s="332"/>
      <c r="G663" s="332"/>
      <c r="H663" s="332"/>
      <c r="I663" s="332"/>
      <c r="J663" s="332"/>
      <c r="K663" s="396"/>
      <c r="L663" s="398"/>
      <c r="M663" s="332"/>
      <c r="N663" s="396"/>
      <c r="O663" s="396"/>
      <c r="P663" s="332"/>
      <c r="Q663" s="396"/>
      <c r="R663" s="398"/>
      <c r="S663" s="332"/>
      <c r="T663" s="332"/>
      <c r="U663" s="332"/>
      <c r="W663" s="332"/>
      <c r="X663" s="332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</row>
    <row r="664" spans="2:62" ht="16.8">
      <c r="B664" s="7"/>
      <c r="C664" s="332"/>
      <c r="D664" s="332"/>
      <c r="E664" s="332"/>
      <c r="F664" s="332"/>
      <c r="G664" s="332"/>
      <c r="H664" s="332"/>
      <c r="I664" s="332"/>
      <c r="J664" s="332"/>
      <c r="K664" s="396"/>
      <c r="L664" s="396"/>
      <c r="M664" s="332"/>
      <c r="N664" s="396"/>
      <c r="O664" s="396"/>
      <c r="P664" s="332"/>
      <c r="Q664" s="396"/>
      <c r="R664" s="396"/>
      <c r="S664" s="332"/>
      <c r="T664" s="332"/>
      <c r="U664" s="332"/>
      <c r="W664" s="332"/>
      <c r="X664" s="332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</row>
    <row r="665" spans="2:62" ht="16.8">
      <c r="B665" s="7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98"/>
      <c r="O665" s="398"/>
      <c r="P665" s="332"/>
      <c r="Q665" s="398"/>
      <c r="R665" s="332"/>
      <c r="S665" s="332"/>
      <c r="T665" s="332"/>
      <c r="U665" s="332"/>
      <c r="W665" s="332"/>
      <c r="X665" s="332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</row>
    <row r="666" spans="2:62" ht="16.8">
      <c r="B666" s="7"/>
      <c r="C666" s="332"/>
      <c r="D666" s="332"/>
      <c r="E666" s="332"/>
      <c r="F666" s="332"/>
      <c r="G666" s="332"/>
      <c r="H666" s="332"/>
      <c r="I666" s="332"/>
      <c r="J666" s="332"/>
      <c r="K666" s="398"/>
      <c r="L666" s="398"/>
      <c r="M666" s="332"/>
      <c r="N666" s="396"/>
      <c r="O666" s="396"/>
      <c r="P666" s="332"/>
      <c r="Q666" s="396"/>
      <c r="R666" s="398"/>
      <c r="S666" s="332"/>
      <c r="T666" s="332"/>
      <c r="U666" s="332"/>
      <c r="W666" s="332"/>
      <c r="X666" s="332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</row>
    <row r="667" spans="2:62" ht="16.8">
      <c r="B667" s="7"/>
      <c r="C667" s="332"/>
      <c r="D667" s="332"/>
      <c r="E667" s="332"/>
      <c r="F667" s="332"/>
      <c r="G667" s="332"/>
      <c r="H667" s="332"/>
      <c r="I667" s="332"/>
      <c r="J667" s="332"/>
      <c r="K667" s="396"/>
      <c r="L667" s="396"/>
      <c r="M667" s="332"/>
      <c r="N667" s="396"/>
      <c r="O667" s="396"/>
      <c r="P667" s="332"/>
      <c r="Q667" s="396"/>
      <c r="R667" s="396"/>
      <c r="S667" s="332"/>
      <c r="T667" s="332"/>
      <c r="U667" s="332"/>
      <c r="W667" s="332"/>
      <c r="X667" s="332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</row>
    <row r="668" spans="2:62" ht="16.8">
      <c r="B668" s="7"/>
      <c r="C668" s="332"/>
      <c r="D668" s="332"/>
      <c r="E668" s="332"/>
      <c r="F668" s="332"/>
      <c r="G668" s="332"/>
      <c r="H668" s="332"/>
      <c r="I668" s="332"/>
      <c r="J668" s="332"/>
      <c r="K668" s="396"/>
      <c r="L668" s="396"/>
      <c r="M668" s="332"/>
      <c r="N668" s="396"/>
      <c r="O668" s="396"/>
      <c r="P668" s="332"/>
      <c r="Q668" s="396"/>
      <c r="R668" s="396"/>
      <c r="S668" s="332"/>
      <c r="T668" s="332"/>
      <c r="U668" s="332"/>
      <c r="W668" s="332"/>
      <c r="X668" s="332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</row>
    <row r="669" spans="2:62" ht="16.8">
      <c r="B669" s="7"/>
      <c r="C669" s="332"/>
      <c r="D669" s="332"/>
      <c r="E669" s="332"/>
      <c r="F669" s="332"/>
      <c r="G669" s="332"/>
      <c r="H669" s="332"/>
      <c r="I669" s="332"/>
      <c r="J669" s="332"/>
      <c r="K669" s="396"/>
      <c r="L669" s="396"/>
      <c r="M669" s="332"/>
      <c r="N669" s="396"/>
      <c r="O669" s="396"/>
      <c r="P669" s="332"/>
      <c r="Q669" s="396"/>
      <c r="R669" s="396"/>
      <c r="S669" s="332"/>
      <c r="T669" s="332"/>
      <c r="U669" s="332"/>
      <c r="W669" s="332"/>
      <c r="X669" s="332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</row>
    <row r="670" spans="2:62" ht="16.8">
      <c r="B670" s="7"/>
      <c r="C670" s="332"/>
      <c r="D670" s="332"/>
      <c r="E670" s="332"/>
      <c r="F670" s="332"/>
      <c r="G670" s="332"/>
      <c r="H670" s="332"/>
      <c r="I670" s="332"/>
      <c r="J670" s="332"/>
      <c r="K670" s="396"/>
      <c r="L670" s="396"/>
      <c r="M670" s="332"/>
      <c r="N670" s="396"/>
      <c r="O670" s="396"/>
      <c r="P670" s="332"/>
      <c r="Q670" s="396"/>
      <c r="R670" s="396"/>
      <c r="S670" s="332"/>
      <c r="T670" s="332"/>
      <c r="U670" s="332"/>
      <c r="W670" s="332"/>
      <c r="X670" s="332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</row>
    <row r="671" spans="2:62" ht="16.8">
      <c r="B671" s="7"/>
      <c r="C671" s="332"/>
      <c r="D671" s="332"/>
      <c r="E671" s="332"/>
      <c r="F671" s="332"/>
      <c r="G671" s="332"/>
      <c r="H671" s="332"/>
      <c r="I671" s="332"/>
      <c r="J671" s="332"/>
      <c r="K671" s="396"/>
      <c r="L671" s="396"/>
      <c r="M671" s="332"/>
      <c r="N671" s="396"/>
      <c r="O671" s="396"/>
      <c r="P671" s="332"/>
      <c r="Q671" s="396"/>
      <c r="R671" s="396"/>
      <c r="S671" s="332"/>
      <c r="T671" s="332"/>
      <c r="U671" s="332"/>
      <c r="W671" s="332"/>
      <c r="X671" s="332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</row>
    <row r="672" spans="2:62" ht="16.8">
      <c r="B672" s="7"/>
      <c r="C672" s="332"/>
      <c r="D672" s="332"/>
      <c r="E672" s="332"/>
      <c r="F672" s="332"/>
      <c r="G672" s="332"/>
      <c r="H672" s="332"/>
      <c r="I672" s="332"/>
      <c r="J672" s="332"/>
      <c r="K672" s="396"/>
      <c r="L672" s="396"/>
      <c r="M672" s="332"/>
      <c r="N672" s="396"/>
      <c r="O672" s="396"/>
      <c r="P672" s="332"/>
      <c r="Q672" s="396"/>
      <c r="R672" s="396"/>
      <c r="S672" s="332"/>
      <c r="T672" s="332"/>
      <c r="U672" s="332"/>
      <c r="W672" s="332"/>
      <c r="X672" s="332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</row>
    <row r="673" spans="2:62" ht="16.8">
      <c r="B673" s="7"/>
      <c r="C673" s="332"/>
      <c r="D673" s="332"/>
      <c r="E673" s="332"/>
      <c r="F673" s="332"/>
      <c r="G673" s="332"/>
      <c r="H673" s="332"/>
      <c r="I673" s="332"/>
      <c r="J673" s="332"/>
      <c r="K673" s="396"/>
      <c r="L673" s="396"/>
      <c r="M673" s="332"/>
      <c r="N673" s="396"/>
      <c r="O673" s="396"/>
      <c r="P673" s="332"/>
      <c r="Q673" s="396"/>
      <c r="R673" s="396"/>
      <c r="S673" s="332"/>
      <c r="T673" s="332"/>
      <c r="U673" s="332"/>
      <c r="W673" s="332"/>
      <c r="X673" s="332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</row>
    <row r="674" spans="2:62" ht="16.8">
      <c r="B674" s="7"/>
      <c r="C674" s="332"/>
      <c r="D674" s="332"/>
      <c r="E674" s="332"/>
      <c r="F674" s="332"/>
      <c r="G674" s="332"/>
      <c r="H674" s="332"/>
      <c r="I674" s="332"/>
      <c r="J674" s="332"/>
      <c r="K674" s="396"/>
      <c r="L674" s="396"/>
      <c r="M674" s="332"/>
      <c r="N674" s="396"/>
      <c r="O674" s="396"/>
      <c r="P674" s="332"/>
      <c r="Q674" s="396"/>
      <c r="R674" s="396"/>
      <c r="S674" s="332"/>
      <c r="T674" s="332"/>
      <c r="U674" s="332"/>
      <c r="W674" s="332"/>
      <c r="X674" s="332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</row>
    <row r="675" spans="2:62" ht="16.8">
      <c r="B675" s="7"/>
      <c r="C675" s="332"/>
      <c r="D675" s="332"/>
      <c r="E675" s="332"/>
      <c r="F675" s="332"/>
      <c r="G675" s="332"/>
      <c r="H675" s="332"/>
      <c r="I675" s="332"/>
      <c r="J675" s="332"/>
      <c r="K675" s="396"/>
      <c r="L675" s="396"/>
      <c r="M675" s="332"/>
      <c r="N675" s="398"/>
      <c r="O675" s="398"/>
      <c r="P675" s="332"/>
      <c r="Q675" s="398"/>
      <c r="R675" s="396"/>
      <c r="S675" s="332"/>
      <c r="T675" s="332"/>
      <c r="U675" s="332"/>
      <c r="W675" s="332"/>
      <c r="X675" s="332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</row>
    <row r="676" spans="2:62" ht="16.8">
      <c r="B676" s="7"/>
      <c r="C676" s="332"/>
      <c r="D676" s="332"/>
      <c r="E676" s="332"/>
      <c r="F676" s="332"/>
      <c r="G676" s="332"/>
      <c r="H676" s="332"/>
      <c r="I676" s="332"/>
      <c r="J676" s="332"/>
      <c r="K676" s="398"/>
      <c r="L676" s="398"/>
      <c r="M676" s="332"/>
      <c r="N676" s="396"/>
      <c r="O676" s="396"/>
      <c r="P676" s="332"/>
      <c r="Q676" s="396"/>
      <c r="R676" s="398"/>
      <c r="S676" s="332"/>
      <c r="T676" s="332"/>
      <c r="U676" s="332"/>
      <c r="W676" s="332"/>
      <c r="X676" s="332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</row>
    <row r="677" spans="2:62" ht="16.8">
      <c r="B677" s="7"/>
      <c r="C677" s="332"/>
      <c r="D677" s="332"/>
      <c r="E677" s="332"/>
      <c r="F677" s="332"/>
      <c r="G677" s="332"/>
      <c r="H677" s="332"/>
      <c r="I677" s="332"/>
      <c r="J677" s="332"/>
      <c r="K677" s="396"/>
      <c r="L677" s="396"/>
      <c r="M677" s="332"/>
      <c r="N677" s="396"/>
      <c r="O677" s="396"/>
      <c r="P677" s="332"/>
      <c r="Q677" s="396"/>
      <c r="R677" s="396"/>
      <c r="S677" s="332"/>
      <c r="T677" s="332"/>
      <c r="U677" s="332"/>
      <c r="W677" s="332"/>
      <c r="X677" s="332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</row>
    <row r="678" spans="2:62" ht="16.8">
      <c r="B678" s="7"/>
      <c r="C678" s="332"/>
      <c r="D678" s="332"/>
      <c r="E678" s="332"/>
      <c r="F678" s="332"/>
      <c r="G678" s="332"/>
      <c r="H678" s="332"/>
      <c r="I678" s="332"/>
      <c r="J678" s="332"/>
      <c r="K678" s="396"/>
      <c r="L678" s="396"/>
      <c r="M678" s="332"/>
      <c r="N678" s="396"/>
      <c r="O678" s="396"/>
      <c r="P678" s="332"/>
      <c r="Q678" s="396"/>
      <c r="R678" s="396"/>
      <c r="S678" s="332"/>
      <c r="T678" s="332"/>
      <c r="U678" s="332"/>
      <c r="W678" s="332"/>
      <c r="X678" s="332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</row>
    <row r="679" spans="2:62" ht="16.8">
      <c r="B679" s="7"/>
      <c r="C679" s="332"/>
      <c r="D679" s="332"/>
      <c r="E679" s="332"/>
      <c r="F679" s="332"/>
      <c r="G679" s="332"/>
      <c r="H679" s="332"/>
      <c r="I679" s="332"/>
      <c r="J679" s="332"/>
      <c r="K679" s="396"/>
      <c r="L679" s="396"/>
      <c r="M679" s="332"/>
      <c r="N679" s="396"/>
      <c r="O679" s="396"/>
      <c r="P679" s="332"/>
      <c r="Q679" s="396"/>
      <c r="R679" s="396"/>
      <c r="S679" s="332"/>
      <c r="T679" s="332"/>
      <c r="U679" s="332"/>
      <c r="W679" s="332"/>
      <c r="X679" s="332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</row>
    <row r="680" spans="2:62" ht="16.8">
      <c r="B680" s="7"/>
      <c r="C680" s="332"/>
      <c r="D680" s="332"/>
      <c r="E680" s="332"/>
      <c r="F680" s="332"/>
      <c r="G680" s="332"/>
      <c r="H680" s="332"/>
      <c r="I680" s="332"/>
      <c r="J680" s="332"/>
      <c r="K680" s="396"/>
      <c r="L680" s="396"/>
      <c r="M680" s="332"/>
      <c r="N680" s="396"/>
      <c r="O680" s="396"/>
      <c r="P680" s="332"/>
      <c r="Q680" s="396"/>
      <c r="R680" s="396"/>
      <c r="S680" s="332"/>
      <c r="T680" s="332"/>
      <c r="U680" s="332"/>
      <c r="W680" s="332"/>
      <c r="X680" s="332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</row>
    <row r="681" spans="2:62" ht="16.8">
      <c r="B681" s="7"/>
      <c r="C681" s="332"/>
      <c r="D681" s="332"/>
      <c r="E681" s="332"/>
      <c r="F681" s="332"/>
      <c r="G681" s="332"/>
      <c r="H681" s="332"/>
      <c r="I681" s="332"/>
      <c r="J681" s="332"/>
      <c r="K681" s="396"/>
      <c r="L681" s="396"/>
      <c r="M681" s="332"/>
      <c r="N681" s="396"/>
      <c r="O681" s="396"/>
      <c r="P681" s="332"/>
      <c r="Q681" s="396"/>
      <c r="R681" s="396"/>
      <c r="S681" s="332"/>
      <c r="T681" s="332"/>
      <c r="U681" s="332"/>
      <c r="W681" s="332"/>
      <c r="X681" s="332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</row>
    <row r="682" spans="2:62" ht="16.8">
      <c r="B682" s="7"/>
      <c r="C682" s="332"/>
      <c r="D682" s="332"/>
      <c r="E682" s="332"/>
      <c r="F682" s="332"/>
      <c r="G682" s="332"/>
      <c r="H682" s="332"/>
      <c r="I682" s="332"/>
      <c r="J682" s="332"/>
      <c r="K682" s="396"/>
      <c r="L682" s="396"/>
      <c r="M682" s="332"/>
      <c r="N682" s="396"/>
      <c r="O682" s="396"/>
      <c r="P682" s="332"/>
      <c r="Q682" s="396"/>
      <c r="R682" s="396"/>
      <c r="S682" s="332"/>
      <c r="T682" s="332"/>
      <c r="U682" s="332"/>
      <c r="W682" s="332"/>
      <c r="X682" s="332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</row>
    <row r="683" spans="2:62" ht="16.8">
      <c r="B683" s="7"/>
      <c r="C683" s="332"/>
      <c r="D683" s="332"/>
      <c r="E683" s="332"/>
      <c r="F683" s="332"/>
      <c r="G683" s="332"/>
      <c r="H683" s="332"/>
      <c r="I683" s="332"/>
      <c r="J683" s="332"/>
      <c r="K683" s="396"/>
      <c r="L683" s="396"/>
      <c r="M683" s="332"/>
      <c r="N683" s="396"/>
      <c r="O683" s="396"/>
      <c r="P683" s="332"/>
      <c r="Q683" s="396"/>
      <c r="R683" s="396"/>
      <c r="S683" s="332"/>
      <c r="T683" s="332"/>
      <c r="U683" s="332"/>
      <c r="W683" s="332"/>
      <c r="X683" s="332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</row>
    <row r="684" spans="2:62" ht="16.8">
      <c r="B684" s="7"/>
      <c r="C684" s="332"/>
      <c r="D684" s="332"/>
      <c r="E684" s="332"/>
      <c r="F684" s="332"/>
      <c r="G684" s="332"/>
      <c r="H684" s="332"/>
      <c r="I684" s="332"/>
      <c r="J684" s="332"/>
      <c r="K684" s="396"/>
      <c r="L684" s="396"/>
      <c r="M684" s="332"/>
      <c r="N684" s="396"/>
      <c r="O684" s="396"/>
      <c r="P684" s="332"/>
      <c r="Q684" s="396"/>
      <c r="R684" s="396"/>
      <c r="S684" s="332"/>
      <c r="T684" s="332"/>
      <c r="U684" s="332"/>
      <c r="W684" s="332"/>
      <c r="X684" s="332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</row>
    <row r="685" spans="2:62" ht="16.8">
      <c r="B685" s="7"/>
      <c r="C685" s="332"/>
      <c r="D685" s="332"/>
      <c r="E685" s="332"/>
      <c r="F685" s="332"/>
      <c r="G685" s="332"/>
      <c r="H685" s="332"/>
      <c r="I685" s="332"/>
      <c r="J685" s="332"/>
      <c r="K685" s="396"/>
      <c r="L685" s="396"/>
      <c r="M685" s="332"/>
      <c r="N685" s="396"/>
      <c r="O685" s="396"/>
      <c r="P685" s="332"/>
      <c r="Q685" s="396"/>
      <c r="R685" s="396"/>
      <c r="S685" s="332"/>
      <c r="T685" s="332"/>
      <c r="U685" s="332"/>
      <c r="W685" s="332"/>
      <c r="X685" s="332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</row>
    <row r="686" spans="2:62" ht="16.8">
      <c r="B686" s="7"/>
      <c r="C686" s="332"/>
      <c r="D686" s="332"/>
      <c r="E686" s="332"/>
      <c r="F686" s="332"/>
      <c r="G686" s="332"/>
      <c r="H686" s="332"/>
      <c r="I686" s="332"/>
      <c r="J686" s="332"/>
      <c r="K686" s="396"/>
      <c r="L686" s="396"/>
      <c r="M686" s="332"/>
      <c r="N686" s="396"/>
      <c r="O686" s="396"/>
      <c r="P686" s="332"/>
      <c r="Q686" s="396"/>
      <c r="R686" s="396"/>
      <c r="S686" s="332"/>
      <c r="T686" s="332"/>
      <c r="U686" s="332"/>
      <c r="W686" s="332"/>
      <c r="X686" s="332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</row>
    <row r="687" spans="2:62" ht="16.8">
      <c r="B687" s="7"/>
      <c r="C687" s="332"/>
      <c r="D687" s="332"/>
      <c r="E687" s="332"/>
      <c r="F687" s="332"/>
      <c r="G687" s="332"/>
      <c r="H687" s="332"/>
      <c r="I687" s="332"/>
      <c r="J687" s="332"/>
      <c r="K687" s="396"/>
      <c r="L687" s="396"/>
      <c r="M687" s="332"/>
      <c r="N687" s="396"/>
      <c r="O687" s="396"/>
      <c r="P687" s="332"/>
      <c r="Q687" s="396"/>
      <c r="R687" s="396"/>
      <c r="S687" s="332"/>
      <c r="T687" s="332"/>
      <c r="U687" s="332"/>
      <c r="W687" s="332"/>
      <c r="X687" s="332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</row>
    <row r="688" spans="2:62" ht="16.8">
      <c r="B688" s="7"/>
      <c r="C688" s="332"/>
      <c r="D688" s="332"/>
      <c r="E688" s="332"/>
      <c r="F688" s="332"/>
      <c r="G688" s="332"/>
      <c r="H688" s="332"/>
      <c r="I688" s="332"/>
      <c r="J688" s="332"/>
      <c r="K688" s="396"/>
      <c r="L688" s="396"/>
      <c r="M688" s="332"/>
      <c r="N688" s="396"/>
      <c r="O688" s="396"/>
      <c r="P688" s="332"/>
      <c r="Q688" s="396"/>
      <c r="R688" s="396"/>
      <c r="S688" s="332"/>
      <c r="T688" s="332"/>
      <c r="U688" s="332"/>
      <c r="W688" s="332"/>
      <c r="X688" s="332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</row>
    <row r="689" spans="2:62" ht="16.8">
      <c r="B689" s="7"/>
      <c r="C689" s="332"/>
      <c r="D689" s="332"/>
      <c r="E689" s="332"/>
      <c r="F689" s="332"/>
      <c r="G689" s="332"/>
      <c r="H689" s="332"/>
      <c r="I689" s="332"/>
      <c r="J689" s="332"/>
      <c r="K689" s="396"/>
      <c r="L689" s="396"/>
      <c r="M689" s="332"/>
      <c r="N689" s="396"/>
      <c r="O689" s="396"/>
      <c r="P689" s="332"/>
      <c r="Q689" s="396"/>
      <c r="R689" s="396"/>
      <c r="S689" s="332"/>
      <c r="T689" s="332"/>
      <c r="U689" s="332"/>
      <c r="W689" s="332"/>
      <c r="X689" s="332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</row>
    <row r="690" spans="2:62" ht="16.8">
      <c r="B690" s="7"/>
      <c r="C690" s="332"/>
      <c r="D690" s="332"/>
      <c r="E690" s="332"/>
      <c r="F690" s="332"/>
      <c r="G690" s="332"/>
      <c r="H690" s="332"/>
      <c r="I690" s="332"/>
      <c r="J690" s="332"/>
      <c r="K690" s="396"/>
      <c r="L690" s="396"/>
      <c r="M690" s="332"/>
      <c r="N690" s="332"/>
      <c r="O690" s="332"/>
      <c r="P690" s="332"/>
      <c r="Q690" s="332"/>
      <c r="R690" s="396"/>
      <c r="S690" s="332"/>
      <c r="T690" s="332"/>
      <c r="U690" s="332"/>
      <c r="W690" s="332"/>
      <c r="X690" s="332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</row>
    <row r="691" spans="2:62" ht="16.8">
      <c r="B691" s="7"/>
      <c r="C691" s="332"/>
      <c r="D691" s="332"/>
      <c r="E691" s="332"/>
      <c r="F691" s="332"/>
      <c r="G691" s="332"/>
      <c r="H691" s="332"/>
      <c r="I691" s="332"/>
      <c r="J691" s="332"/>
      <c r="K691" s="396"/>
      <c r="L691" s="396"/>
      <c r="M691" s="332"/>
      <c r="N691" s="398"/>
      <c r="O691" s="398"/>
      <c r="P691" s="332"/>
      <c r="Q691" s="398"/>
      <c r="R691" s="396"/>
      <c r="S691" s="332"/>
      <c r="T691" s="332"/>
      <c r="U691" s="332"/>
      <c r="W691" s="332"/>
      <c r="X691" s="332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</row>
    <row r="692" spans="2:62" ht="16.8">
      <c r="B692" s="7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96"/>
      <c r="O692" s="396"/>
      <c r="P692" s="332"/>
      <c r="Q692" s="396"/>
      <c r="R692" s="332"/>
      <c r="S692" s="332"/>
      <c r="T692" s="332"/>
      <c r="U692" s="332"/>
      <c r="W692" s="332"/>
      <c r="X692" s="332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</row>
    <row r="693" spans="2:62" ht="16.8">
      <c r="B693" s="7"/>
      <c r="C693" s="332"/>
      <c r="D693" s="332"/>
      <c r="E693" s="332"/>
      <c r="F693" s="332"/>
      <c r="G693" s="332"/>
      <c r="H693" s="332"/>
      <c r="I693" s="332"/>
      <c r="J693" s="332"/>
      <c r="K693" s="398"/>
      <c r="L693" s="398"/>
      <c r="M693" s="332"/>
      <c r="N693" s="396"/>
      <c r="O693" s="396"/>
      <c r="P693" s="332"/>
      <c r="Q693" s="396"/>
      <c r="R693" s="398"/>
      <c r="S693" s="332"/>
      <c r="T693" s="332"/>
      <c r="U693" s="332"/>
      <c r="W693" s="332"/>
      <c r="X693" s="332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</row>
    <row r="694" spans="2:62" ht="16.8">
      <c r="B694" s="7"/>
      <c r="C694" s="332"/>
      <c r="D694" s="332"/>
      <c r="E694" s="332"/>
      <c r="F694" s="332"/>
      <c r="G694" s="332"/>
      <c r="H694" s="332"/>
      <c r="I694" s="332"/>
      <c r="J694" s="332"/>
      <c r="K694" s="396"/>
      <c r="L694" s="396"/>
      <c r="M694" s="332"/>
      <c r="N694" s="396"/>
      <c r="O694" s="396"/>
      <c r="P694" s="332"/>
      <c r="Q694" s="396"/>
      <c r="R694" s="396"/>
      <c r="S694" s="332"/>
      <c r="T694" s="332"/>
      <c r="U694" s="332"/>
      <c r="W694" s="332"/>
      <c r="X694" s="332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</row>
    <row r="695" spans="2:62" ht="16.8">
      <c r="B695" s="7"/>
      <c r="C695" s="332"/>
      <c r="D695" s="332"/>
      <c r="E695" s="332"/>
      <c r="F695" s="332"/>
      <c r="G695" s="332"/>
      <c r="H695" s="332"/>
      <c r="I695" s="332"/>
      <c r="J695" s="332"/>
      <c r="K695" s="396"/>
      <c r="L695" s="396"/>
      <c r="M695" s="332"/>
      <c r="N695" s="396"/>
      <c r="O695" s="396"/>
      <c r="P695" s="332"/>
      <c r="Q695" s="396"/>
      <c r="R695" s="396"/>
      <c r="S695" s="332"/>
      <c r="T695" s="332"/>
      <c r="U695" s="332"/>
      <c r="W695" s="332"/>
      <c r="X695" s="332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</row>
    <row r="696" spans="2:62" ht="16.8">
      <c r="B696" s="7"/>
      <c r="C696" s="332"/>
      <c r="D696" s="332"/>
      <c r="E696" s="332"/>
      <c r="F696" s="332"/>
      <c r="G696" s="332"/>
      <c r="H696" s="332"/>
      <c r="I696" s="332"/>
      <c r="J696" s="332"/>
      <c r="K696" s="396"/>
      <c r="L696" s="396"/>
      <c r="M696" s="332"/>
      <c r="N696" s="396"/>
      <c r="O696" s="396"/>
      <c r="P696" s="332"/>
      <c r="Q696" s="396"/>
      <c r="R696" s="396"/>
      <c r="S696" s="332"/>
      <c r="T696" s="332"/>
      <c r="U696" s="332"/>
      <c r="W696" s="332"/>
      <c r="X696" s="332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</row>
    <row r="697" spans="2:62" ht="16.8">
      <c r="B697" s="7"/>
      <c r="C697" s="332"/>
      <c r="D697" s="332"/>
      <c r="E697" s="332"/>
      <c r="F697" s="332"/>
      <c r="G697" s="332"/>
      <c r="H697" s="332"/>
      <c r="I697" s="332"/>
      <c r="J697" s="332"/>
      <c r="K697" s="396"/>
      <c r="L697" s="396"/>
      <c r="M697" s="332"/>
      <c r="N697" s="396"/>
      <c r="O697" s="396"/>
      <c r="P697" s="332"/>
      <c r="Q697" s="396"/>
      <c r="R697" s="396"/>
      <c r="S697" s="332"/>
      <c r="T697" s="332"/>
      <c r="U697" s="332"/>
      <c r="W697" s="332"/>
      <c r="X697" s="332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</row>
    <row r="698" spans="2:62" ht="16.8">
      <c r="B698" s="7"/>
      <c r="C698" s="332"/>
      <c r="D698" s="332"/>
      <c r="E698" s="332"/>
      <c r="F698" s="332"/>
      <c r="G698" s="332"/>
      <c r="H698" s="332"/>
      <c r="I698" s="332"/>
      <c r="J698" s="332"/>
      <c r="K698" s="396"/>
      <c r="L698" s="396"/>
      <c r="M698" s="332"/>
      <c r="N698" s="396"/>
      <c r="O698" s="396"/>
      <c r="P698" s="332"/>
      <c r="Q698" s="396"/>
      <c r="R698" s="396"/>
      <c r="S698" s="332"/>
      <c r="T698" s="332"/>
      <c r="U698" s="332"/>
      <c r="W698" s="332"/>
      <c r="X698" s="332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</row>
    <row r="699" spans="2:62" ht="16.8">
      <c r="B699" s="7"/>
      <c r="C699" s="332"/>
      <c r="D699" s="332"/>
      <c r="E699" s="332"/>
      <c r="F699" s="332"/>
      <c r="G699" s="332"/>
      <c r="H699" s="332"/>
      <c r="I699" s="332"/>
      <c r="J699" s="332"/>
      <c r="K699" s="396"/>
      <c r="L699" s="396"/>
      <c r="M699" s="332"/>
      <c r="N699" s="396"/>
      <c r="O699" s="396"/>
      <c r="P699" s="332"/>
      <c r="Q699" s="396"/>
      <c r="R699" s="396"/>
      <c r="S699" s="332"/>
      <c r="T699" s="332"/>
      <c r="U699" s="332"/>
      <c r="W699" s="332"/>
      <c r="X699" s="332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</row>
    <row r="700" spans="2:62" ht="16.8">
      <c r="B700" s="7"/>
      <c r="C700" s="332"/>
      <c r="D700" s="332"/>
      <c r="E700" s="332"/>
      <c r="F700" s="332"/>
      <c r="G700" s="332"/>
      <c r="H700" s="332"/>
      <c r="I700" s="332"/>
      <c r="J700" s="332"/>
      <c r="K700" s="396"/>
      <c r="L700" s="398"/>
      <c r="M700" s="332"/>
      <c r="N700" s="396"/>
      <c r="O700" s="396"/>
      <c r="P700" s="332"/>
      <c r="Q700" s="396"/>
      <c r="R700" s="398"/>
      <c r="S700" s="332"/>
      <c r="T700" s="332"/>
      <c r="U700" s="332"/>
      <c r="W700" s="332"/>
      <c r="X700" s="332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</row>
    <row r="701" spans="2:62" ht="16.8">
      <c r="B701" s="7"/>
      <c r="C701" s="332"/>
      <c r="D701" s="332"/>
      <c r="E701" s="332"/>
      <c r="F701" s="332"/>
      <c r="G701" s="332"/>
      <c r="H701" s="332"/>
      <c r="I701" s="332"/>
      <c r="J701" s="332"/>
      <c r="K701" s="396"/>
      <c r="L701" s="396"/>
      <c r="M701" s="332"/>
      <c r="N701" s="396"/>
      <c r="O701" s="396"/>
      <c r="P701" s="332"/>
      <c r="Q701" s="396"/>
      <c r="R701" s="396"/>
      <c r="S701" s="332"/>
      <c r="T701" s="332"/>
      <c r="U701" s="332"/>
      <c r="W701" s="332"/>
      <c r="X701" s="332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</row>
    <row r="702" spans="2:62" ht="16.8">
      <c r="B702" s="7"/>
      <c r="C702" s="332"/>
      <c r="D702" s="332"/>
      <c r="E702" s="332"/>
      <c r="F702" s="332"/>
      <c r="G702" s="332"/>
      <c r="H702" s="332"/>
      <c r="I702" s="332"/>
      <c r="J702" s="332"/>
      <c r="K702" s="396"/>
      <c r="L702" s="396"/>
      <c r="M702" s="332"/>
      <c r="N702" s="396"/>
      <c r="O702" s="396"/>
      <c r="P702" s="332"/>
      <c r="Q702" s="396"/>
      <c r="R702" s="396"/>
      <c r="S702" s="332"/>
      <c r="T702" s="332"/>
      <c r="U702" s="332"/>
      <c r="W702" s="332"/>
      <c r="X702" s="332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</row>
    <row r="703" spans="2:62" ht="16.8">
      <c r="B703" s="7"/>
      <c r="C703" s="332"/>
      <c r="D703" s="332"/>
      <c r="E703" s="332"/>
      <c r="F703" s="332"/>
      <c r="G703" s="332"/>
      <c r="H703" s="332"/>
      <c r="I703" s="332"/>
      <c r="J703" s="332"/>
      <c r="K703" s="396"/>
      <c r="L703" s="396"/>
      <c r="M703" s="332"/>
      <c r="N703" s="398"/>
      <c r="O703" s="398"/>
      <c r="P703" s="332"/>
      <c r="Q703" s="398"/>
      <c r="R703" s="396"/>
      <c r="S703" s="332"/>
      <c r="T703" s="332"/>
      <c r="U703" s="332"/>
      <c r="W703" s="332"/>
      <c r="X703" s="332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</row>
    <row r="704" spans="2:62" ht="16.8"/>
    <row r="705" ht="16.8"/>
  </sheetData>
  <mergeCells count="42">
    <mergeCell ref="M91:N91"/>
    <mergeCell ref="O91:Q91"/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O171:Q171"/>
    <mergeCell ref="R171:S171"/>
    <mergeCell ref="D239:F239"/>
    <mergeCell ref="G239:I239"/>
    <mergeCell ref="J239:L239"/>
    <mergeCell ref="M239:N239"/>
    <mergeCell ref="O239:Q239"/>
    <mergeCell ref="R239:S239"/>
    <mergeCell ref="D171:F171"/>
    <mergeCell ref="G171:I171"/>
    <mergeCell ref="J171:L171"/>
    <mergeCell ref="M171:N171"/>
    <mergeCell ref="O294:Q294"/>
    <mergeCell ref="R294:S294"/>
    <mergeCell ref="D359:F359"/>
    <mergeCell ref="G359:I359"/>
    <mergeCell ref="J359:L359"/>
    <mergeCell ref="M359:N359"/>
    <mergeCell ref="O359:Q359"/>
    <mergeCell ref="R359:S359"/>
    <mergeCell ref="D294:F294"/>
    <mergeCell ref="G294:I294"/>
    <mergeCell ref="J294:L294"/>
    <mergeCell ref="M294:N294"/>
    <mergeCell ref="AM405:AO405"/>
    <mergeCell ref="X405:Z405"/>
    <mergeCell ref="AA405:AC405"/>
    <mergeCell ref="AD405:AF405"/>
    <mergeCell ref="AG405:AI405"/>
    <mergeCell ref="AJ405:AL405"/>
  </mergeCells>
  <conditionalFormatting sqref="D113:D114">
    <cfRule type="expression" dxfId="439" priority="26" stopIfTrue="1">
      <formula>"esterreur(reference)"</formula>
    </cfRule>
  </conditionalFormatting>
  <conditionalFormatting sqref="E103:E105">
    <cfRule type="expression" dxfId="438" priority="2" stopIfTrue="1">
      <formula>"esterreur(reference)"</formula>
    </cfRule>
  </conditionalFormatting>
  <conditionalFormatting sqref="F5">
    <cfRule type="expression" dxfId="437" priority="69" stopIfTrue="1">
      <formula>"esterreur(reference)"</formula>
    </cfRule>
  </conditionalFormatting>
  <conditionalFormatting sqref="F185">
    <cfRule type="expression" dxfId="436" priority="78" stopIfTrue="1">
      <formula>"esterreur(reference)"</formula>
    </cfRule>
  </conditionalFormatting>
  <conditionalFormatting sqref="G31:G32">
    <cfRule type="expression" dxfId="435" priority="30" stopIfTrue="1">
      <formula>"esterreur(reference)"</formula>
    </cfRule>
  </conditionalFormatting>
  <conditionalFormatting sqref="G113:G114">
    <cfRule type="expression" dxfId="434" priority="27" stopIfTrue="1">
      <formula>"esterreur(reference)"</formula>
    </cfRule>
  </conditionalFormatting>
  <conditionalFormatting sqref="H137:H153">
    <cfRule type="expression" dxfId="433" priority="35" stopIfTrue="1">
      <formula>"esterreur(reference)"</formula>
    </cfRule>
  </conditionalFormatting>
  <conditionalFormatting sqref="H361">
    <cfRule type="expression" dxfId="432" priority="108" stopIfTrue="1">
      <formula>"esterreur(reference)"</formula>
    </cfRule>
  </conditionalFormatting>
  <conditionalFormatting sqref="H198:L198">
    <cfRule type="expression" dxfId="431" priority="110" stopIfTrue="1">
      <formula>"esterreur(reference)"</formula>
    </cfRule>
  </conditionalFormatting>
  <conditionalFormatting sqref="H397:L400">
    <cfRule type="expression" dxfId="430" priority="106" stopIfTrue="1">
      <formula>"esterreur(reference)"</formula>
    </cfRule>
  </conditionalFormatting>
  <conditionalFormatting sqref="I378:L378 H379:H396">
    <cfRule type="expression" dxfId="429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428" priority="102" stopIfTrue="1">
      <formula>"esterreur(reference)"</formula>
    </cfRule>
  </conditionalFormatting>
  <conditionalFormatting sqref="J49:L72">
    <cfRule type="expression" dxfId="427" priority="36" stopIfTrue="1">
      <formula>"esterreur(reference)"</formula>
    </cfRule>
  </conditionalFormatting>
  <conditionalFormatting sqref="J103:L105">
    <cfRule type="expression" dxfId="426" priority="99" stopIfTrue="1">
      <formula>"esterreur(reference)"</formula>
    </cfRule>
  </conditionalFormatting>
  <conditionalFormatting sqref="J150:L153">
    <cfRule type="expression" dxfId="425" priority="34" stopIfTrue="1">
      <formula>"esterreur(reference)"</formula>
    </cfRule>
  </conditionalFormatting>
  <conditionalFormatting sqref="J296:L304">
    <cfRule type="expression" dxfId="424" priority="95" stopIfTrue="1">
      <formula>"esterreur(reference)"</formula>
    </cfRule>
  </conditionalFormatting>
  <conditionalFormatting sqref="J308:L309">
    <cfRule type="expression" dxfId="423" priority="85" stopIfTrue="1">
      <formula>"esterreur(reference)"</formula>
    </cfRule>
  </conditionalFormatting>
  <conditionalFormatting sqref="J361:L361">
    <cfRule type="expression" dxfId="422" priority="77" stopIfTrue="1">
      <formula>"esterreur(reference)"</formula>
    </cfRule>
  </conditionalFormatting>
  <conditionalFormatting sqref="J366:L377">
    <cfRule type="expression" dxfId="421" priority="82" stopIfTrue="1">
      <formula>"esterreur(reference)"</formula>
    </cfRule>
  </conditionalFormatting>
  <conditionalFormatting sqref="J379:L395">
    <cfRule type="expression" dxfId="420" priority="81" stopIfTrue="1">
      <formula>"esterreur(reference)"</formula>
    </cfRule>
  </conditionalFormatting>
  <conditionalFormatting sqref="J313:M313">
    <cfRule type="expression" dxfId="419" priority="83" stopIfTrue="1">
      <formula>"esterreur(reference)"</formula>
    </cfRule>
  </conditionalFormatting>
  <conditionalFormatting sqref="J113:Q122">
    <cfRule type="expression" dxfId="418" priority="28" stopIfTrue="1">
      <formula>"esterreur(reference)"</formula>
    </cfRule>
  </conditionalFormatting>
  <conditionalFormatting sqref="J124:Q135">
    <cfRule type="expression" dxfId="417" priority="61" stopIfTrue="1">
      <formula>"esterreur(reference)"</formula>
    </cfRule>
  </conditionalFormatting>
  <conditionalFormatting sqref="K5">
    <cfRule type="expression" dxfId="416" priority="92" stopIfTrue="1">
      <formula>"esterreur(reference)"</formula>
    </cfRule>
  </conditionalFormatting>
  <conditionalFormatting sqref="K176">
    <cfRule type="expression" dxfId="415" priority="89" stopIfTrue="1">
      <formula>"esterreur(reference)"</formula>
    </cfRule>
  </conditionalFormatting>
  <conditionalFormatting sqref="K184:K185">
    <cfRule type="expression" dxfId="414" priority="91" stopIfTrue="1">
      <formula>"esterreur(reference)"</formula>
    </cfRule>
  </conditionalFormatting>
  <conditionalFormatting sqref="K288">
    <cfRule type="expression" dxfId="413" priority="75" stopIfTrue="1">
      <formula>"esterreur(reference)"</formula>
    </cfRule>
  </conditionalFormatting>
  <conditionalFormatting sqref="K396">
    <cfRule type="expression" dxfId="412" priority="109" stopIfTrue="1">
      <formula>"esterreur(reference)"</formula>
    </cfRule>
  </conditionalFormatting>
  <conditionalFormatting sqref="K93:L96">
    <cfRule type="expression" dxfId="411" priority="80" stopIfTrue="1">
      <formula>"esterreur(reference)"</formula>
    </cfRule>
  </conditionalFormatting>
  <conditionalFormatting sqref="K100:L101">
    <cfRule type="expression" dxfId="410" priority="100" stopIfTrue="1">
      <formula>"esterreur(reference)"</formula>
    </cfRule>
  </conditionalFormatting>
  <conditionalFormatting sqref="K172:L174">
    <cfRule type="expression" dxfId="409" priority="90" stopIfTrue="1">
      <formula>"esterreur(reference)"</formula>
    </cfRule>
  </conditionalFormatting>
  <conditionalFormatting sqref="K177:L183">
    <cfRule type="expression" dxfId="408" priority="88" stopIfTrue="1">
      <formula>"esterreur(reference)"</formula>
    </cfRule>
  </conditionalFormatting>
  <conditionalFormatting sqref="K186:L197">
    <cfRule type="expression" dxfId="407" priority="84" stopIfTrue="1">
      <formula>"esterreur(reference)"</formula>
    </cfRule>
  </conditionalFormatting>
  <conditionalFormatting sqref="K240:L242">
    <cfRule type="expression" dxfId="406" priority="79" stopIfTrue="1">
      <formula>"esterreur(reference)"</formula>
    </cfRule>
  </conditionalFormatting>
  <conditionalFormatting sqref="K245:L245">
    <cfRule type="expression" dxfId="405" priority="87" stopIfTrue="1">
      <formula>"esterreur(reference)"</formula>
    </cfRule>
  </conditionalFormatting>
  <conditionalFormatting sqref="K248:L248">
    <cfRule type="expression" dxfId="404" priority="86" stopIfTrue="1">
      <formula>"esterreur(reference)"</formula>
    </cfRule>
  </conditionalFormatting>
  <conditionalFormatting sqref="L16:L24 Q16:Q24 O18:O24 D31:D32 L99 O99 Q99">
    <cfRule type="expression" dxfId="403" priority="31" stopIfTrue="1">
      <formula>"esterreur(reference)"</formula>
    </cfRule>
  </conditionalFormatting>
  <conditionalFormatting sqref="L42:L48">
    <cfRule type="expression" dxfId="402" priority="101" stopIfTrue="1">
      <formula>"esterreur(reference)"</formula>
    </cfRule>
  </conditionalFormatting>
  <conditionalFormatting sqref="L75:L82">
    <cfRule type="expression" dxfId="401" priority="70" stopIfTrue="1">
      <formula>"esterreur(reference)"</formula>
    </cfRule>
  </conditionalFormatting>
  <conditionalFormatting sqref="L137:L148">
    <cfRule type="expression" dxfId="400" priority="74" stopIfTrue="1">
      <formula>"esterreur(reference)"</formula>
    </cfRule>
  </conditionalFormatting>
  <conditionalFormatting sqref="L175:L176">
    <cfRule type="expression" dxfId="399" priority="98" stopIfTrue="1">
      <formula>"esterreur(reference)"</formula>
    </cfRule>
  </conditionalFormatting>
  <conditionalFormatting sqref="L199:L210">
    <cfRule type="expression" dxfId="398" priority="97" stopIfTrue="1">
      <formula>"esterreur(reference)"</formula>
    </cfRule>
  </conditionalFormatting>
  <conditionalFormatting sqref="L212:L229">
    <cfRule type="expression" dxfId="397" priority="73" stopIfTrue="1">
      <formula>"esterreur(reference)"</formula>
    </cfRule>
  </conditionalFormatting>
  <conditionalFormatting sqref="L255:L266">
    <cfRule type="expression" dxfId="396" priority="96" stopIfTrue="1">
      <formula>"esterreur(reference)"</formula>
    </cfRule>
  </conditionalFormatting>
  <conditionalFormatting sqref="L268:L285">
    <cfRule type="expression" dxfId="395" priority="72" stopIfTrue="1">
      <formula>"esterreur(reference)"</formula>
    </cfRule>
  </conditionalFormatting>
  <conditionalFormatting sqref="L319:L330">
    <cfRule type="expression" dxfId="394" priority="94" stopIfTrue="1">
      <formula>"esterreur(reference)"</formula>
    </cfRule>
  </conditionalFormatting>
  <conditionalFormatting sqref="L332">
    <cfRule type="expression" dxfId="393" priority="71" stopIfTrue="1">
      <formula>"esterreur(reference)"</formula>
    </cfRule>
  </conditionalFormatting>
  <conditionalFormatting sqref="L335:L344 L346:L349">
    <cfRule type="expression" dxfId="392" priority="93" stopIfTrue="1">
      <formula>"esterreur(reference)"</formula>
    </cfRule>
  </conditionalFormatting>
  <conditionalFormatting sqref="L357:L358 H358:I358 K358 J358:J359 H360:L360">
    <cfRule type="expression" dxfId="391" priority="105" stopIfTrue="1">
      <formula>"esterreur(reference)"</formula>
    </cfRule>
  </conditionalFormatting>
  <conditionalFormatting sqref="L5:Q14">
    <cfRule type="expression" dxfId="390" priority="65" stopIfTrue="1">
      <formula>"esterreur(reference)"</formula>
    </cfRule>
  </conditionalFormatting>
  <conditionalFormatting sqref="L157:Q163">
    <cfRule type="expression" dxfId="389" priority="32" stopIfTrue="1">
      <formula>"esterreur(reference)"</formula>
    </cfRule>
  </conditionalFormatting>
  <conditionalFormatting sqref="M95:M97">
    <cfRule type="expression" dxfId="388" priority="103" stopIfTrue="1">
      <formula>"esterreur(reference)"</formula>
    </cfRule>
  </conditionalFormatting>
  <conditionalFormatting sqref="O13:O14 O16 O83:Q85">
    <cfRule type="expression" dxfId="387" priority="68" stopIfTrue="1">
      <formula>"esterreur(reference)"</formula>
    </cfRule>
  </conditionalFormatting>
  <conditionalFormatting sqref="O173:O197 Q184 O199:P230 O233:Q233 O234:P234">
    <cfRule type="expression" dxfId="386" priority="59" stopIfTrue="1">
      <formula>"esterreur(reference)"</formula>
    </cfRule>
  </conditionalFormatting>
  <conditionalFormatting sqref="O319:P349 O350:Q350 O353:Q353 O354:P354">
    <cfRule type="expression" dxfId="385" priority="43" stopIfTrue="1">
      <formula>"esterreur(reference)"</formula>
    </cfRule>
  </conditionalFormatting>
  <conditionalFormatting sqref="O25:Q72">
    <cfRule type="expression" dxfId="384" priority="29" stopIfTrue="1">
      <formula>"esterreur(reference)"</formula>
    </cfRule>
  </conditionalFormatting>
  <conditionalFormatting sqref="O97:Q99 O123:Q123 O157:P158 O165:Q165 O166:P166">
    <cfRule type="expression" dxfId="383" priority="64" stopIfTrue="1">
      <formula>"esterreur(reference)"</formula>
    </cfRule>
  </conditionalFormatting>
  <conditionalFormatting sqref="O102:Q112">
    <cfRule type="expression" dxfId="382" priority="1" stopIfTrue="1">
      <formula>"esterreur(reference)"</formula>
    </cfRule>
  </conditionalFormatting>
  <conditionalFormatting sqref="O136:Q154">
    <cfRule type="expression" dxfId="381" priority="33" stopIfTrue="1">
      <formula>"esterreur(reference)"</formula>
    </cfRule>
  </conditionalFormatting>
  <conditionalFormatting sqref="O198:Q198">
    <cfRule type="expression" dxfId="380" priority="60" stopIfTrue="1">
      <formula>"esterreur(reference)"</formula>
    </cfRule>
  </conditionalFormatting>
  <conditionalFormatting sqref="O244:Q244 O253:Q254 O255:P285 O286:Q286 O289:Q289 O290:P290">
    <cfRule type="expression" dxfId="379" priority="50" stopIfTrue="1">
      <formula>"esterreur(reference)"</formula>
    </cfRule>
  </conditionalFormatting>
  <conditionalFormatting sqref="O296:Q318">
    <cfRule type="expression" dxfId="378" priority="41" stopIfTrue="1">
      <formula>"esterreur(reference)"</formula>
    </cfRule>
  </conditionalFormatting>
  <conditionalFormatting sqref="O360:Q395">
    <cfRule type="expression" dxfId="377" priority="37" stopIfTrue="1">
      <formula>"esterreur(reference)"</formula>
    </cfRule>
  </conditionalFormatting>
  <conditionalFormatting sqref="O397:Q400">
    <cfRule type="expression" dxfId="376" priority="38" stopIfTrue="1">
      <formula>"esterreur(reference)"</formula>
    </cfRule>
  </conditionalFormatting>
  <conditionalFormatting sqref="P5">
    <cfRule type="expression" dxfId="375" priority="66" stopIfTrue="1">
      <formula>"esterreur(reference)"</formula>
    </cfRule>
  </conditionalFormatting>
  <conditionalFormatting sqref="P176">
    <cfRule type="expression" dxfId="374" priority="54" stopIfTrue="1">
      <formula>"esterreur(reference)"</formula>
    </cfRule>
  </conditionalFormatting>
  <conditionalFormatting sqref="P184:P185">
    <cfRule type="expression" dxfId="373" priority="56" stopIfTrue="1">
      <formula>"esterreur(reference)"</formula>
    </cfRule>
  </conditionalFormatting>
  <conditionalFormatting sqref="P288">
    <cfRule type="expression" dxfId="372" priority="45" stopIfTrue="1">
      <formula>"esterreur(reference)"</formula>
    </cfRule>
  </conditionalFormatting>
  <conditionalFormatting sqref="P396">
    <cfRule type="expression" dxfId="371" priority="39" stopIfTrue="1">
      <formula>"esterreur(reference)"</formula>
    </cfRule>
  </conditionalFormatting>
  <conditionalFormatting sqref="P93:Q96">
    <cfRule type="expression" dxfId="370" priority="62" stopIfTrue="1">
      <formula>"esterreur(reference)"</formula>
    </cfRule>
  </conditionalFormatting>
  <conditionalFormatting sqref="P100:Q101">
    <cfRule type="expression" dxfId="369" priority="63" stopIfTrue="1">
      <formula>"esterreur(reference)"</formula>
    </cfRule>
  </conditionalFormatting>
  <conditionalFormatting sqref="P173:Q174">
    <cfRule type="expression" dxfId="368" priority="55" stopIfTrue="1">
      <formula>"esterreur(reference)"</formula>
    </cfRule>
  </conditionalFormatting>
  <conditionalFormatting sqref="P177:Q183">
    <cfRule type="expression" dxfId="367" priority="53" stopIfTrue="1">
      <formula>"esterreur(reference)"</formula>
    </cfRule>
  </conditionalFormatting>
  <conditionalFormatting sqref="P186:Q197">
    <cfRule type="expression" dxfId="366" priority="52" stopIfTrue="1">
      <formula>"esterreur(reference)"</formula>
    </cfRule>
  </conditionalFormatting>
  <conditionalFormatting sqref="P242:Q242">
    <cfRule type="expression" dxfId="365" priority="46" stopIfTrue="1">
      <formula>"esterreur(reference)"</formula>
    </cfRule>
  </conditionalFormatting>
  <conditionalFormatting sqref="P245:Q245">
    <cfRule type="expression" dxfId="364" priority="48" stopIfTrue="1">
      <formula>"esterreur(reference)"</formula>
    </cfRule>
  </conditionalFormatting>
  <conditionalFormatting sqref="P248:Q248">
    <cfRule type="expression" dxfId="363" priority="47" stopIfTrue="1">
      <formula>"esterreur(reference)"</formula>
    </cfRule>
  </conditionalFormatting>
  <conditionalFormatting sqref="Q75:Q82">
    <cfRule type="expression" dxfId="362" priority="67" stopIfTrue="1">
      <formula>"esterreur(reference)"</formula>
    </cfRule>
  </conditionalFormatting>
  <conditionalFormatting sqref="Q175:Q176">
    <cfRule type="expression" dxfId="361" priority="58" stopIfTrue="1">
      <formula>"esterreur(reference)"</formula>
    </cfRule>
  </conditionalFormatting>
  <conditionalFormatting sqref="Q199:Q210">
    <cfRule type="expression" dxfId="360" priority="57" stopIfTrue="1">
      <formula>"esterreur(reference)"</formula>
    </cfRule>
  </conditionalFormatting>
  <conditionalFormatting sqref="Q212:Q229">
    <cfRule type="expression" dxfId="359" priority="51" stopIfTrue="1">
      <formula>"esterreur(reference)"</formula>
    </cfRule>
  </conditionalFormatting>
  <conditionalFormatting sqref="Q255:Q266">
    <cfRule type="expression" dxfId="358" priority="49" stopIfTrue="1">
      <formula>"esterreur(reference)"</formula>
    </cfRule>
  </conditionalFormatting>
  <conditionalFormatting sqref="Q268:Q285">
    <cfRule type="expression" dxfId="357" priority="44" stopIfTrue="1">
      <formula>"esterreur(reference)"</formula>
    </cfRule>
  </conditionalFormatting>
  <conditionalFormatting sqref="Q319:Q330">
    <cfRule type="expression" dxfId="356" priority="42" stopIfTrue="1">
      <formula>"esterreur(reference)"</formula>
    </cfRule>
  </conditionalFormatting>
  <conditionalFormatting sqref="Q332:Q349">
    <cfRule type="expression" dxfId="355" priority="40" stopIfTrue="1">
      <formula>"esterreur(reference)"</formula>
    </cfRule>
  </conditionalFormatting>
  <conditionalFormatting sqref="R313">
    <cfRule type="expression" dxfId="354" priority="104" stopIfTrue="1">
      <formula>"esterreur(reference)"</formula>
    </cfRule>
  </conditionalFormatting>
  <conditionalFormatting sqref="S187">
    <cfRule type="expression" dxfId="353" priority="76" stopIfTrue="1">
      <formula>"esterreur(reference)"</formula>
    </cfRule>
  </conditionalFormatting>
  <conditionalFormatting sqref="Z426:Z428">
    <cfRule type="cellIs" dxfId="352" priority="20" operator="greaterThan">
      <formula>0</formula>
    </cfRule>
  </conditionalFormatting>
  <conditionalFormatting sqref="Z433">
    <cfRule type="cellIs" dxfId="351" priority="17" operator="greaterThan">
      <formula>0</formula>
    </cfRule>
  </conditionalFormatting>
  <conditionalFormatting sqref="Z450:Z452">
    <cfRule type="cellIs" dxfId="350" priority="13" operator="greaterThan">
      <formula>0</formula>
    </cfRule>
  </conditionalFormatting>
  <conditionalFormatting sqref="Z464:Z466">
    <cfRule type="cellIs" dxfId="349" priority="9" operator="greaterThan">
      <formula>0</formula>
    </cfRule>
  </conditionalFormatting>
  <conditionalFormatting sqref="Z479:Z480">
    <cfRule type="cellIs" dxfId="348" priority="6" operator="greaterThan">
      <formula>0</formula>
    </cfRule>
  </conditionalFormatting>
  <conditionalFormatting sqref="Z496:Z498">
    <cfRule type="cellIs" dxfId="347" priority="3" operator="greaterThan">
      <formula>0</formula>
    </cfRule>
  </conditionalFormatting>
  <conditionalFormatting sqref="AC426:AC428">
    <cfRule type="cellIs" dxfId="346" priority="21" operator="greaterThan">
      <formula>0</formula>
    </cfRule>
  </conditionalFormatting>
  <conditionalFormatting sqref="AC433">
    <cfRule type="cellIs" dxfId="345" priority="18" operator="greaterThan">
      <formula>0</formula>
    </cfRule>
  </conditionalFormatting>
  <conditionalFormatting sqref="AC450:AC452">
    <cfRule type="cellIs" dxfId="344" priority="14" operator="greaterThan">
      <formula>0</formula>
    </cfRule>
  </conditionalFormatting>
  <conditionalFormatting sqref="AC464:AC466">
    <cfRule type="cellIs" dxfId="343" priority="10" operator="greaterThan">
      <formula>0</formula>
    </cfRule>
  </conditionalFormatting>
  <conditionalFormatting sqref="AC479:AC480">
    <cfRule type="cellIs" dxfId="342" priority="7" operator="greaterThan">
      <formula>0</formula>
    </cfRule>
  </conditionalFormatting>
  <conditionalFormatting sqref="AC496:AC498">
    <cfRule type="cellIs" dxfId="341" priority="4" operator="greaterThan">
      <formula>0</formula>
    </cfRule>
  </conditionalFormatting>
  <conditionalFormatting sqref="AG410:AI419">
    <cfRule type="cellIs" dxfId="340" priority="23" operator="greaterThan">
      <formula>0</formula>
    </cfRule>
  </conditionalFormatting>
  <conditionalFormatting sqref="AH450:AH453">
    <cfRule type="cellIs" dxfId="339" priority="15" operator="greaterThan">
      <formula>0</formula>
    </cfRule>
  </conditionalFormatting>
  <conditionalFormatting sqref="AH462:AH467">
    <cfRule type="cellIs" dxfId="338" priority="11" operator="greaterThan">
      <formula>0</formula>
    </cfRule>
  </conditionalFormatting>
  <conditionalFormatting sqref="AH421:AI449">
    <cfRule type="cellIs" dxfId="337" priority="19" operator="greaterThan">
      <formula>0</formula>
    </cfRule>
  </conditionalFormatting>
  <conditionalFormatting sqref="AH454:AI461 AH468:AI469">
    <cfRule type="cellIs" dxfId="336" priority="24" operator="greaterThan">
      <formula>0</formula>
    </cfRule>
  </conditionalFormatting>
  <conditionalFormatting sqref="AH470:AI478 AH481:AI481">
    <cfRule type="cellIs" dxfId="335" priority="25" operator="lessThan">
      <formula>0</formula>
    </cfRule>
  </conditionalFormatting>
  <conditionalFormatting sqref="AH479:AI480">
    <cfRule type="cellIs" dxfId="334" priority="8" operator="greaterThan">
      <formula>0</formula>
    </cfRule>
  </conditionalFormatting>
  <conditionalFormatting sqref="AH492:AI498">
    <cfRule type="cellIs" dxfId="333" priority="5" operator="greaterThan">
      <formula>0</formula>
    </cfRule>
  </conditionalFormatting>
  <conditionalFormatting sqref="AI450:AI452">
    <cfRule type="cellIs" dxfId="332" priority="16" operator="greaterThan">
      <formula>0</formula>
    </cfRule>
  </conditionalFormatting>
  <conditionalFormatting sqref="AI464:AI466">
    <cfRule type="cellIs" dxfId="331" priority="12" operator="greaterThan">
      <formula>0</formula>
    </cfRule>
  </conditionalFormatting>
  <conditionalFormatting sqref="AO410:AO419">
    <cfRule type="cellIs" dxfId="330" priority="22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8">
    <tabColor rgb="FF00B050"/>
  </sheetPr>
  <dimension ref="A1:BJ704"/>
  <sheetViews>
    <sheetView zoomScale="60" zoomScaleNormal="60" workbookViewId="0">
      <selection activeCell="J301" sqref="J301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489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209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269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399999999999999" thickBot="1">
      <c r="B2" s="7"/>
      <c r="C2" s="8"/>
      <c r="D2" s="451" t="s">
        <v>2</v>
      </c>
      <c r="E2" s="451" t="s">
        <v>3</v>
      </c>
      <c r="F2" s="451" t="s">
        <v>4</v>
      </c>
      <c r="G2" s="451"/>
      <c r="H2" s="451"/>
      <c r="I2" s="451"/>
      <c r="J2" s="451" t="s">
        <v>210</v>
      </c>
      <c r="K2" s="451"/>
      <c r="L2" s="451" t="s">
        <v>211</v>
      </c>
      <c r="M2" s="452"/>
      <c r="N2" s="452"/>
      <c r="O2" s="451" t="s">
        <v>2</v>
      </c>
      <c r="P2" s="451" t="s">
        <v>3</v>
      </c>
      <c r="Q2" s="451" t="s">
        <v>4</v>
      </c>
      <c r="R2" s="10"/>
      <c r="S2" s="10"/>
      <c r="T2" s="10"/>
      <c r="U2" s="10"/>
    </row>
    <row r="3" spans="1:40" ht="21.6" thickTop="1">
      <c r="B3" s="11"/>
      <c r="C3" s="12"/>
      <c r="D3" s="506" t="s">
        <v>5</v>
      </c>
      <c r="E3" s="507"/>
      <c r="F3" s="508"/>
      <c r="G3" s="509"/>
      <c r="H3" s="507"/>
      <c r="I3" s="508"/>
      <c r="J3" s="509" t="s">
        <v>7</v>
      </c>
      <c r="K3" s="507"/>
      <c r="L3" s="508"/>
      <c r="M3" s="509" t="s">
        <v>212</v>
      </c>
      <c r="N3" s="508"/>
      <c r="O3" s="506" t="s">
        <v>8</v>
      </c>
      <c r="P3" s="507"/>
      <c r="Q3" s="508"/>
      <c r="R3" s="504" t="s">
        <v>213</v>
      </c>
      <c r="S3" s="505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214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>+B5&amp;C5</f>
        <v>Véhicules neufsVentes nettes</v>
      </c>
      <c r="B5" s="11" t="str">
        <f t="shared" ref="B5:B85" si="0">+$K$1</f>
        <v>Véhicules neufs</v>
      </c>
      <c r="C5" s="20" t="s">
        <v>14</v>
      </c>
      <c r="D5" s="21"/>
      <c r="E5" s="21"/>
      <c r="F5" s="22">
        <v>2084360.1960784316</v>
      </c>
      <c r="G5" s="23"/>
      <c r="H5" s="21"/>
      <c r="I5" s="24"/>
      <c r="J5" s="23"/>
      <c r="K5" s="25"/>
      <c r="L5" s="22">
        <v>2529345.65</v>
      </c>
      <c r="M5" s="26"/>
      <c r="N5" s="27"/>
      <c r="O5" s="23"/>
      <c r="P5" s="25"/>
      <c r="Q5" s="22">
        <v>2051139.14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ref="A6" si="1">+B6&amp;C6</f>
        <v>Véhicules neufsAutos détail</v>
      </c>
      <c r="B6" s="11" t="str">
        <f t="shared" si="0"/>
        <v>Véhicules neufs</v>
      </c>
      <c r="C6" s="29" t="s">
        <v>15</v>
      </c>
      <c r="D6" s="30">
        <v>6</v>
      </c>
      <c r="E6" s="30">
        <f>IF(D6=0,0,F6/D6)</f>
        <v>4701.1764705882351</v>
      </c>
      <c r="F6" s="30">
        <v>28207.058823529413</v>
      </c>
      <c r="G6" s="31"/>
      <c r="H6" s="30"/>
      <c r="I6" s="30"/>
      <c r="J6" s="31">
        <v>4</v>
      </c>
      <c r="K6" s="30">
        <f>IF(J6=0,0,L6/J6)</f>
        <v>5341.1424999999908</v>
      </c>
      <c r="L6" s="32">
        <v>21364.569999999963</v>
      </c>
      <c r="M6" s="31">
        <f t="shared" ref="M6:M12" si="2">J6-D6</f>
        <v>-2</v>
      </c>
      <c r="N6" s="33">
        <f t="shared" ref="N6:N12" si="3">L6-F6</f>
        <v>-6842.4888235294493</v>
      </c>
      <c r="O6" s="31">
        <v>8</v>
      </c>
      <c r="P6" s="30">
        <f t="shared" ref="P6:P12" si="4">IF(O6=0,0,Q6/O6)</f>
        <v>4828.9049999999879</v>
      </c>
      <c r="Q6" s="32">
        <v>38631.239999999903</v>
      </c>
      <c r="R6" s="31">
        <f>J6-O6</f>
        <v>-4</v>
      </c>
      <c r="S6" s="34">
        <f>L6-Q6</f>
        <v>-17266.66999999994</v>
      </c>
      <c r="T6" s="13"/>
      <c r="U6" s="13"/>
      <c r="W6" s="11" t="s">
        <v>246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>+B7&amp;C7</f>
        <v>Véhicules neufsCamions détail</v>
      </c>
      <c r="B7" s="11" t="str">
        <f t="shared" si="0"/>
        <v>Véhicules neufs</v>
      </c>
      <c r="C7" s="29" t="s">
        <v>16</v>
      </c>
      <c r="D7" s="30">
        <v>14</v>
      </c>
      <c r="E7" s="30">
        <f t="shared" ref="E7:E12" si="5">IF(D7=0,0,F7/D7)</f>
        <v>3928.5</v>
      </c>
      <c r="F7" s="30">
        <v>54999</v>
      </c>
      <c r="G7" s="31"/>
      <c r="H7" s="30"/>
      <c r="I7" s="30"/>
      <c r="J7" s="31">
        <v>21</v>
      </c>
      <c r="K7" s="30">
        <f t="shared" ref="K7:K12" si="6">IF(J7=0,0,L7/J7)</f>
        <v>4691.8157142857144</v>
      </c>
      <c r="L7" s="32">
        <v>98528.13</v>
      </c>
      <c r="M7" s="31">
        <f t="shared" si="2"/>
        <v>7</v>
      </c>
      <c r="N7" s="33">
        <f t="shared" si="3"/>
        <v>43529.130000000005</v>
      </c>
      <c r="O7" s="31">
        <v>11</v>
      </c>
      <c r="P7" s="30">
        <f t="shared" si="4"/>
        <v>3009.2290909090907</v>
      </c>
      <c r="Q7" s="32">
        <v>33101.519999999997</v>
      </c>
      <c r="R7" s="31">
        <f t="shared" ref="R7:R12" si="7">J7-O7</f>
        <v>10</v>
      </c>
      <c r="S7" s="34">
        <f t="shared" ref="S7:S12" si="8">L7-Q7</f>
        <v>65426.610000000008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>+B8&amp;C8</f>
        <v>Véhicules neufsSprinter</v>
      </c>
      <c r="B8" s="11" t="str">
        <f t="shared" si="0"/>
        <v>Véhicules neufs</v>
      </c>
      <c r="C8" s="29" t="s">
        <v>17</v>
      </c>
      <c r="D8" s="30">
        <v>0</v>
      </c>
      <c r="E8" s="30">
        <f t="shared" si="5"/>
        <v>0</v>
      </c>
      <c r="F8" s="30">
        <v>0</v>
      </c>
      <c r="G8" s="31"/>
      <c r="H8" s="30"/>
      <c r="I8" s="30"/>
      <c r="J8" s="31">
        <v>0</v>
      </c>
      <c r="K8" s="30">
        <f t="shared" si="6"/>
        <v>0</v>
      </c>
      <c r="L8" s="32">
        <v>0</v>
      </c>
      <c r="M8" s="31">
        <f t="shared" si="2"/>
        <v>0</v>
      </c>
      <c r="N8" s="33">
        <f t="shared" si="3"/>
        <v>0</v>
      </c>
      <c r="O8" s="31">
        <v>0</v>
      </c>
      <c r="P8" s="30">
        <f t="shared" si="4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>+B9&amp;C9</f>
        <v>Véhicules neufsMoto détail</v>
      </c>
      <c r="B9" s="11" t="str">
        <f t="shared" si="0"/>
        <v>Véhicules neufs</v>
      </c>
      <c r="C9" s="29" t="s">
        <v>18</v>
      </c>
      <c r="D9" s="30">
        <v>0</v>
      </c>
      <c r="E9" s="30">
        <f t="shared" si="5"/>
        <v>0</v>
      </c>
      <c r="F9" s="30">
        <v>0</v>
      </c>
      <c r="G9" s="31"/>
      <c r="H9" s="30"/>
      <c r="I9" s="30"/>
      <c r="J9" s="31">
        <v>0</v>
      </c>
      <c r="K9" s="30">
        <f t="shared" si="6"/>
        <v>0</v>
      </c>
      <c r="L9" s="32">
        <v>0</v>
      </c>
      <c r="M9" s="31">
        <f t="shared" si="2"/>
        <v>0</v>
      </c>
      <c r="N9" s="33">
        <f t="shared" si="3"/>
        <v>0</v>
      </c>
      <c r="O9" s="31">
        <v>0</v>
      </c>
      <c r="P9" s="30">
        <f t="shared" si="4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>+B10&amp;C10</f>
        <v>Véhicules neufs[...]</v>
      </c>
      <c r="B10" s="11" t="str">
        <f t="shared" si="0"/>
        <v>Véhicules neufs</v>
      </c>
      <c r="C10" s="29" t="s">
        <v>19</v>
      </c>
      <c r="D10" s="30">
        <v>0</v>
      </c>
      <c r="E10" s="30">
        <f t="shared" si="5"/>
        <v>0</v>
      </c>
      <c r="F10" s="30">
        <v>0</v>
      </c>
      <c r="G10" s="31"/>
      <c r="H10" s="30"/>
      <c r="I10" s="30"/>
      <c r="J10" s="31">
        <v>0</v>
      </c>
      <c r="K10" s="30">
        <f t="shared" si="6"/>
        <v>0</v>
      </c>
      <c r="L10" s="32">
        <v>0</v>
      </c>
      <c r="M10" s="31">
        <f t="shared" si="2"/>
        <v>0</v>
      </c>
      <c r="N10" s="33">
        <f t="shared" si="3"/>
        <v>0</v>
      </c>
      <c r="O10" s="31">
        <v>0</v>
      </c>
      <c r="P10" s="30">
        <f t="shared" si="4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>+B11&amp;C11</f>
        <v>Véhicules neufs[...]</v>
      </c>
      <c r="B11" s="11" t="str">
        <f t="shared" si="0"/>
        <v>Véhicules neufs</v>
      </c>
      <c r="C11" s="29" t="s">
        <v>19</v>
      </c>
      <c r="D11" s="30">
        <v>0</v>
      </c>
      <c r="E11" s="30">
        <f t="shared" si="5"/>
        <v>0</v>
      </c>
      <c r="F11" s="30">
        <v>0</v>
      </c>
      <c r="G11" s="31"/>
      <c r="H11" s="30"/>
      <c r="I11" s="30"/>
      <c r="J11" s="31">
        <v>0</v>
      </c>
      <c r="K11" s="30">
        <f t="shared" si="6"/>
        <v>0</v>
      </c>
      <c r="L11" s="32">
        <v>0</v>
      </c>
      <c r="M11" s="31">
        <f t="shared" si="2"/>
        <v>0</v>
      </c>
      <c r="N11" s="33">
        <f t="shared" si="3"/>
        <v>0</v>
      </c>
      <c r="O11" s="31">
        <v>0</v>
      </c>
      <c r="P11" s="30">
        <f t="shared" si="4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ref="A12:A36" si="9">+B12&amp;C12</f>
        <v>Véhicules neufs[...]</v>
      </c>
      <c r="B12" s="11" t="str">
        <f t="shared" si="0"/>
        <v>Véhicules neufs</v>
      </c>
      <c r="C12" s="29" t="s">
        <v>19</v>
      </c>
      <c r="D12" s="30">
        <v>0</v>
      </c>
      <c r="E12" s="30">
        <f t="shared" si="5"/>
        <v>0</v>
      </c>
      <c r="F12" s="30">
        <v>0</v>
      </c>
      <c r="G12" s="31"/>
      <c r="H12" s="30"/>
      <c r="I12" s="30"/>
      <c r="J12" s="31">
        <v>0</v>
      </c>
      <c r="K12" s="30">
        <f t="shared" si="6"/>
        <v>0</v>
      </c>
      <c r="L12" s="32">
        <v>0</v>
      </c>
      <c r="M12" s="31">
        <f t="shared" si="2"/>
        <v>0</v>
      </c>
      <c r="N12" s="33">
        <f t="shared" si="3"/>
        <v>0</v>
      </c>
      <c r="O12" s="31">
        <v>0</v>
      </c>
      <c r="P12" s="30">
        <f t="shared" si="4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9"/>
        <v>Véhicules neufsTotal Neufs</v>
      </c>
      <c r="B13" s="11" t="str">
        <f t="shared" si="0"/>
        <v>Véhicules neufs</v>
      </c>
      <c r="C13" s="35" t="s">
        <v>20</v>
      </c>
      <c r="D13" s="36">
        <f>+SUM(D6:D12)</f>
        <v>20</v>
      </c>
      <c r="E13" s="36">
        <f>IF(D13&lt;=0,0,F13/D13)</f>
        <v>4160.302941176471</v>
      </c>
      <c r="F13" s="37">
        <f>+SUM(F6:F12)</f>
        <v>83206.058823529413</v>
      </c>
      <c r="G13" s="38"/>
      <c r="H13" s="36"/>
      <c r="I13" s="37"/>
      <c r="J13" s="38">
        <f>+SUM(J6:J12)</f>
        <v>25</v>
      </c>
      <c r="K13" s="36">
        <f>IF(J13&lt;=0,0,L13/J13)</f>
        <v>4795.7079999999987</v>
      </c>
      <c r="L13" s="37">
        <f>+SUM(L6:L12)</f>
        <v>119892.69999999997</v>
      </c>
      <c r="M13" s="38">
        <f>+SUM(M6:M12)</f>
        <v>5</v>
      </c>
      <c r="N13" s="37">
        <f>+SUM(N6:N12)</f>
        <v>36686.641176470555</v>
      </c>
      <c r="O13" s="38">
        <f>+SUM(O6:O12)</f>
        <v>19</v>
      </c>
      <c r="P13" s="36">
        <f>IF(O13&lt;=0,0,Q13/O13)</f>
        <v>3775.4084210526257</v>
      </c>
      <c r="Q13" s="37">
        <f>+SUM(Q6:Q12)</f>
        <v>71732.759999999893</v>
      </c>
      <c r="R13" s="38">
        <f>+SUM(R6:R12)</f>
        <v>6</v>
      </c>
      <c r="S13" s="39">
        <f>+SUM(S6:S12)</f>
        <v>48159.940000000068</v>
      </c>
      <c r="T13" s="13"/>
      <c r="U13" s="13"/>
      <c r="W13" s="11">
        <v>25</v>
      </c>
      <c r="X13" s="11">
        <v>119893</v>
      </c>
      <c r="Y13" s="499">
        <f>L13-X13</f>
        <v>-0.30000000003201421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9"/>
        <v>Véhicules neufs</v>
      </c>
      <c r="B14" s="11" t="str">
        <f t="shared" si="0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0.25</v>
      </c>
      <c r="N14" s="43">
        <f>IF(F13=0,0,N13/F13)</f>
        <v>0.44091309809876644</v>
      </c>
      <c r="O14" s="41"/>
      <c r="P14" s="30"/>
      <c r="Q14" s="40"/>
      <c r="R14" s="42">
        <f>R13/O13</f>
        <v>0.31578947368421051</v>
      </c>
      <c r="S14" s="44">
        <f>IF(Q13=0,0,(S13/Q13))</f>
        <v>0.67137999430107165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9"/>
        <v>Véhicules neufsEx-Démos et courtoisies</v>
      </c>
      <c r="B15" s="11" t="str">
        <f t="shared" si="0"/>
        <v>Véhicules neufs</v>
      </c>
      <c r="C15" s="45" t="s">
        <v>21</v>
      </c>
      <c r="D15" s="25">
        <v>3</v>
      </c>
      <c r="E15" s="25">
        <f>IF(D15=0,0,F15/D15)</f>
        <v>1200</v>
      </c>
      <c r="F15" s="22">
        <v>3600</v>
      </c>
      <c r="G15" s="46"/>
      <c r="H15" s="47"/>
      <c r="I15" s="48"/>
      <c r="J15" s="49">
        <v>3</v>
      </c>
      <c r="K15" s="50">
        <f>IF(J15=0,0,L15/J15)</f>
        <v>2217.8099999999977</v>
      </c>
      <c r="L15" s="50">
        <v>6653.429999999993</v>
      </c>
      <c r="M15" s="51">
        <f>J15-D15</f>
        <v>0</v>
      </c>
      <c r="N15" s="48">
        <f>L15-F15</f>
        <v>3053.429999999993</v>
      </c>
      <c r="O15" s="49">
        <v>2</v>
      </c>
      <c r="P15" s="50">
        <f>IF(O15=0,0,Q15/O15)</f>
        <v>2500</v>
      </c>
      <c r="Q15" s="50">
        <v>5000</v>
      </c>
      <c r="R15" s="51">
        <f>J15-O15</f>
        <v>1</v>
      </c>
      <c r="S15" s="52">
        <f>L15-Q15</f>
        <v>1653.429999999993</v>
      </c>
      <c r="T15" s="13"/>
      <c r="U15" s="13"/>
      <c r="W15" s="453">
        <v>3</v>
      </c>
      <c r="X15" s="11">
        <v>6653</v>
      </c>
      <c r="Y15" s="499">
        <f>L15-X15</f>
        <v>0.42999999999301508</v>
      </c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9"/>
        <v>Véhicules neufs</v>
      </c>
      <c r="B16" s="11" t="str">
        <f t="shared" si="0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9"/>
        <v>Véhicules neufsFlottes</v>
      </c>
      <c r="B17" s="11" t="str">
        <f t="shared" si="0"/>
        <v>Véhicules neufs</v>
      </c>
      <c r="C17" s="53" t="s">
        <v>22</v>
      </c>
      <c r="D17" s="30">
        <v>1</v>
      </c>
      <c r="E17" s="30">
        <f>IF(D17=0,0,F17/D17)</f>
        <v>750</v>
      </c>
      <c r="F17" s="30">
        <v>750</v>
      </c>
      <c r="G17" s="31"/>
      <c r="H17" s="30"/>
      <c r="I17" s="30"/>
      <c r="J17" s="51">
        <v>1</v>
      </c>
      <c r="K17" s="30">
        <f>IF(J17=0,0,L17/J17)</f>
        <v>5197.9900000000052</v>
      </c>
      <c r="L17" s="33">
        <v>5197.9900000000052</v>
      </c>
      <c r="M17" s="51">
        <f>J17-D17</f>
        <v>0</v>
      </c>
      <c r="N17" s="33">
        <f>L17-F17</f>
        <v>4447.9900000000052</v>
      </c>
      <c r="O17" s="51">
        <v>0</v>
      </c>
      <c r="P17" s="30">
        <f>IF(O17=0,0,Q17/O17)</f>
        <v>0</v>
      </c>
      <c r="Q17" s="33">
        <v>0</v>
      </c>
      <c r="R17" s="31">
        <f>J17-O17</f>
        <v>1</v>
      </c>
      <c r="S17" s="34">
        <f>L17-Q17</f>
        <v>5197.9900000000052</v>
      </c>
      <c r="T17" s="13"/>
      <c r="U17" s="13"/>
      <c r="W17" s="11">
        <v>1</v>
      </c>
      <c r="X17" s="11">
        <v>5198</v>
      </c>
      <c r="Y17" s="499">
        <f>L17-X17</f>
        <v>-9.9999999947613105E-3</v>
      </c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9"/>
        <v>Véhicules neufs</v>
      </c>
      <c r="B18" s="11" t="str">
        <f t="shared" si="0"/>
        <v>Véhicules neufs</v>
      </c>
      <c r="C18" s="35"/>
      <c r="D18" s="54"/>
      <c r="E18" s="54"/>
      <c r="F18" s="55"/>
      <c r="G18" s="56"/>
      <c r="H18" s="54"/>
      <c r="I18" s="55"/>
      <c r="J18" s="56"/>
      <c r="K18" s="54"/>
      <c r="L18" s="55"/>
      <c r="M18" s="56"/>
      <c r="N18" s="55"/>
      <c r="O18" s="56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B19" s="11" t="str">
        <f t="shared" si="0"/>
        <v>Véhicules neufs</v>
      </c>
      <c r="C19" s="490"/>
      <c r="D19" s="25"/>
      <c r="E19" s="25"/>
      <c r="F19" s="22"/>
      <c r="G19" s="46"/>
      <c r="H19" s="25"/>
      <c r="I19" s="22"/>
      <c r="J19" s="46"/>
      <c r="K19" s="25"/>
      <c r="L19" s="22"/>
      <c r="M19" s="46"/>
      <c r="N19" s="22"/>
      <c r="O19" s="46"/>
      <c r="P19" s="25"/>
      <c r="Q19" s="22"/>
      <c r="R19" s="46"/>
      <c r="S19" s="491"/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si="9"/>
        <v>Véhicules neufs</v>
      </c>
      <c r="B20" s="11" t="str">
        <f t="shared" si="0"/>
        <v>Véhicules neufs</v>
      </c>
      <c r="C20" s="53"/>
      <c r="D20" s="30"/>
      <c r="E20" s="30"/>
      <c r="F20" s="33"/>
      <c r="G20" s="31"/>
      <c r="H20" s="30"/>
      <c r="I20" s="33"/>
      <c r="J20" s="31"/>
      <c r="K20" s="30"/>
      <c r="L20" s="33"/>
      <c r="M20" s="31"/>
      <c r="N20" s="33"/>
      <c r="O20" s="31"/>
      <c r="P20" s="30"/>
      <c r="Q20" s="33"/>
      <c r="R20" s="31"/>
      <c r="S20" s="34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9"/>
        <v>Véhicules neufsRev. Finances</v>
      </c>
      <c r="B21" s="11" t="str">
        <f t="shared" si="0"/>
        <v>Véhicules neufs</v>
      </c>
      <c r="C21" s="29" t="s">
        <v>24</v>
      </c>
      <c r="D21" s="30"/>
      <c r="E21" s="30">
        <f>IF(D13=0,0,F21/(D13+D15))</f>
        <v>7</v>
      </c>
      <c r="F21" s="30">
        <v>161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>L21-F21</f>
        <v>-161</v>
      </c>
      <c r="O21" s="31"/>
      <c r="P21" s="30">
        <f>IF(O13=0,0,Q21/(O13+O15))</f>
        <v>0</v>
      </c>
      <c r="Q21" s="33">
        <v>0</v>
      </c>
      <c r="R21" s="31">
        <f>O21-K21</f>
        <v>0</v>
      </c>
      <c r="S21" s="34">
        <f>L21-Q21</f>
        <v>0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9"/>
        <v>Véhicules neufsRev. Protections</v>
      </c>
      <c r="B22" s="11" t="str">
        <f t="shared" si="0"/>
        <v>Véhicules neufs</v>
      </c>
      <c r="C22" s="29" t="s">
        <v>25</v>
      </c>
      <c r="D22" s="30"/>
      <c r="E22" s="30">
        <f>IF(D13=0,0,F22/(D13+D15))</f>
        <v>1150</v>
      </c>
      <c r="F22" s="30">
        <v>26450</v>
      </c>
      <c r="G22" s="41"/>
      <c r="H22" s="30"/>
      <c r="I22" s="30"/>
      <c r="J22" s="31"/>
      <c r="K22" s="30">
        <f>IF(J13=0,0,L22/(J13+J15))</f>
        <v>442.32142857142856</v>
      </c>
      <c r="L22" s="33">
        <v>12385</v>
      </c>
      <c r="M22" s="31"/>
      <c r="N22" s="33">
        <f>L22-F22</f>
        <v>-14065</v>
      </c>
      <c r="O22" s="31"/>
      <c r="P22" s="30">
        <f>IF(O13=0,0,Q22/(O13+O15))</f>
        <v>1323.5704761904715</v>
      </c>
      <c r="Q22" s="33">
        <v>27794.979999999901</v>
      </c>
      <c r="R22" s="31">
        <f>O22-K22</f>
        <v>-442.32142857142856</v>
      </c>
      <c r="S22" s="34">
        <f>L22-Q22</f>
        <v>-15409.979999999901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9"/>
        <v>Véhicules neufsRev. Autres</v>
      </c>
      <c r="B23" s="11" t="str">
        <f t="shared" si="0"/>
        <v>Véhicules neufs</v>
      </c>
      <c r="C23" s="29" t="s">
        <v>26</v>
      </c>
      <c r="D23" s="30"/>
      <c r="E23" s="30">
        <f>IF(D13=0,0,F23/(D13+D15))</f>
        <v>443</v>
      </c>
      <c r="F23" s="30">
        <v>10189</v>
      </c>
      <c r="G23" s="41"/>
      <c r="H23" s="30"/>
      <c r="I23" s="30"/>
      <c r="J23" s="31"/>
      <c r="K23" s="30">
        <f>IF(J13=0,0,L23/(J13+J15))</f>
        <v>455.3125</v>
      </c>
      <c r="L23" s="33">
        <v>12748.75</v>
      </c>
      <c r="M23" s="51"/>
      <c r="N23" s="33">
        <f>L23-F23</f>
        <v>2559.75</v>
      </c>
      <c r="O23" s="31"/>
      <c r="P23" s="30">
        <f>IF(O13=0,0,Q23/(O13+O15))</f>
        <v>689.83714285714291</v>
      </c>
      <c r="Q23" s="33">
        <v>14486.58</v>
      </c>
      <c r="R23" s="31">
        <f>O23-K23</f>
        <v>-455.3125</v>
      </c>
      <c r="S23" s="34">
        <f>L23-Q23</f>
        <v>-1737.83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9"/>
        <v>Véhicules neufsTotal F&amp;I</v>
      </c>
      <c r="B24" s="11" t="str">
        <f t="shared" si="0"/>
        <v>Véhicules neufs</v>
      </c>
      <c r="C24" s="35" t="s">
        <v>27</v>
      </c>
      <c r="D24" s="36">
        <f>+D15+D13</f>
        <v>23</v>
      </c>
      <c r="E24" s="36">
        <f>IF(D24&lt;=0,0,F24/D24)</f>
        <v>1600</v>
      </c>
      <c r="F24" s="37">
        <f>F21+F22+F23</f>
        <v>36800</v>
      </c>
      <c r="G24" s="38"/>
      <c r="H24" s="36"/>
      <c r="I24" s="37"/>
      <c r="J24" s="38">
        <f>+J15+J13</f>
        <v>28</v>
      </c>
      <c r="K24" s="36">
        <f>IF(J24&lt;=0,0,L24/J24)</f>
        <v>897.63392857142856</v>
      </c>
      <c r="L24" s="37">
        <f>L21+L22+L23</f>
        <v>25133.75</v>
      </c>
      <c r="M24" s="58">
        <f>J24-D24</f>
        <v>5</v>
      </c>
      <c r="N24" s="37">
        <f>L24-F24</f>
        <v>-11666.25</v>
      </c>
      <c r="O24" s="38">
        <f>+O15+O13</f>
        <v>21</v>
      </c>
      <c r="P24" s="36">
        <f>IF(O24&lt;=0,0,Q24/O24)</f>
        <v>2013.4076190476144</v>
      </c>
      <c r="Q24" s="37">
        <f>Q21+Q22+Q23</f>
        <v>42281.559999999903</v>
      </c>
      <c r="R24" s="56"/>
      <c r="S24" s="39">
        <f>L24-Q24</f>
        <v>-17147.809999999903</v>
      </c>
      <c r="T24" s="13"/>
      <c r="U24" s="13"/>
      <c r="W24" s="11"/>
      <c r="X24" s="11">
        <v>25134</v>
      </c>
      <c r="Y24" s="499">
        <f>L24-X24</f>
        <v>-0.25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9"/>
        <v>Véhicules neufs</v>
      </c>
      <c r="B25" s="11" t="str">
        <f t="shared" si="0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-0.31701766304347828</v>
      </c>
      <c r="O25" s="41"/>
      <c r="P25" s="13"/>
      <c r="Q25" s="59"/>
      <c r="R25" s="60"/>
      <c r="S25" s="44">
        <f>IF(Q24=0,0,(S24/Q24))</f>
        <v>-0.40556237754709007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9"/>
        <v>Véhicules neufs</v>
      </c>
      <c r="B26" s="11" t="str">
        <f t="shared" si="0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9"/>
        <v>Véhicules neufsTotal Dépt. Neufs</v>
      </c>
      <c r="B27" s="11" t="str">
        <f t="shared" si="0"/>
        <v>Véhicules neufs</v>
      </c>
      <c r="C27" s="62" t="s">
        <v>28</v>
      </c>
      <c r="D27" s="63">
        <f>+D13+D15+D17</f>
        <v>24</v>
      </c>
      <c r="E27" s="64">
        <f>IF(D27&lt;=0,0,F27/D27)</f>
        <v>5181.5024509803925</v>
      </c>
      <c r="F27" s="65">
        <f>F13+F17+F24+F15</f>
        <v>124356.05882352941</v>
      </c>
      <c r="G27" s="66"/>
      <c r="H27" s="67"/>
      <c r="I27" s="65"/>
      <c r="J27" s="66">
        <f>+J13+J15+J17</f>
        <v>29</v>
      </c>
      <c r="K27" s="67">
        <f>IF(J27&lt;=0,0,L27/J27)</f>
        <v>5409.58172413793</v>
      </c>
      <c r="L27" s="65">
        <f>L13+L17+L24+L15</f>
        <v>156877.86999999997</v>
      </c>
      <c r="M27" s="66">
        <f>J27-D27</f>
        <v>5</v>
      </c>
      <c r="N27" s="65">
        <f>L27-F27</f>
        <v>32521.811176470554</v>
      </c>
      <c r="O27" s="66">
        <f>+O13+O15+O17</f>
        <v>21</v>
      </c>
      <c r="P27" s="67">
        <f>IF(O27&lt;=0,0,Q27/O27)</f>
        <v>5667.3485714285616</v>
      </c>
      <c r="Q27" s="65">
        <f>Q13+Q17+Q24+Q15</f>
        <v>119014.3199999998</v>
      </c>
      <c r="R27" s="66">
        <f>J27-O27</f>
        <v>8</v>
      </c>
      <c r="S27" s="68">
        <f>L27-Q27</f>
        <v>37863.550000000163</v>
      </c>
      <c r="T27" s="13"/>
      <c r="U27" s="13"/>
      <c r="W27" s="11">
        <f>SUM(W13:W26)</f>
        <v>29</v>
      </c>
      <c r="X27" s="11">
        <f>SUM(X13:X26)</f>
        <v>156878</v>
      </c>
      <c r="Y27" s="499">
        <f>L27-X27</f>
        <v>-0.13000000003376044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9"/>
        <v>Véhicules neufs</v>
      </c>
      <c r="B28" s="11" t="str">
        <f t="shared" si="0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0.20833333333333334</v>
      </c>
      <c r="N28" s="74">
        <f>N27/F27</f>
        <v>0.26152172627649328</v>
      </c>
      <c r="O28" s="72"/>
      <c r="P28" s="70"/>
      <c r="Q28" s="71"/>
      <c r="R28" s="73">
        <f>R27/O27</f>
        <v>0.38095238095238093</v>
      </c>
      <c r="S28" s="75">
        <f>IF(Q27=0,0,S27/Q27)</f>
        <v>0.31814280836121422</v>
      </c>
      <c r="T28" s="13"/>
      <c r="U28" s="13"/>
      <c r="W28" s="11"/>
      <c r="X28" s="484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9"/>
        <v>Véhicules neufs</v>
      </c>
      <c r="B29" s="11" t="str">
        <f t="shared" si="0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9"/>
        <v>Véhicules neufsDEPENSES</v>
      </c>
      <c r="B30" s="11" t="str">
        <f t="shared" si="0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9"/>
        <v>Véhicules neufsComm. vendeurs</v>
      </c>
      <c r="B31" s="11" t="str">
        <f t="shared" si="0"/>
        <v>Véhicules neufs</v>
      </c>
      <c r="C31" s="29" t="s">
        <v>30</v>
      </c>
      <c r="D31" s="147">
        <f>F31/(F13+F15)</f>
        <v>0.28627793999541745</v>
      </c>
      <c r="E31" s="82">
        <f t="shared" ref="E31:E40" si="10">F31/D$24</f>
        <v>1080.4634651791753</v>
      </c>
      <c r="F31" s="30">
        <v>24850.659699121032</v>
      </c>
      <c r="G31" s="156"/>
      <c r="H31" s="82"/>
      <c r="I31" s="30"/>
      <c r="J31" s="156">
        <f>L31/(L13+L15)</f>
        <v>0.28963754166168504</v>
      </c>
      <c r="K31" s="82">
        <f t="shared" ref="K31:K40" si="11">IF(L31=0,0,L31/J$24)</f>
        <v>1309.0182142857143</v>
      </c>
      <c r="L31" s="30">
        <v>36652.51</v>
      </c>
      <c r="M31" s="41"/>
      <c r="N31" s="59">
        <f t="shared" ref="N31:N53" si="12">L31-F31</f>
        <v>11801.85030087897</v>
      </c>
      <c r="O31" s="156">
        <f>Q31/(Q13+Q15+Q17)</f>
        <v>0.28107890293533072</v>
      </c>
      <c r="P31" s="82">
        <f t="shared" ref="P31:P40" si="13">Q31/O$24</f>
        <v>1027.0457142857142</v>
      </c>
      <c r="Q31" s="33">
        <v>21567.96</v>
      </c>
      <c r="R31" s="41"/>
      <c r="S31" s="85">
        <f t="shared" ref="S31:S36" si="14">L31-Q31</f>
        <v>15084.550000000003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9"/>
        <v>Véhicules neufsComm. F&amp;I</v>
      </c>
      <c r="B32" s="11" t="str">
        <f t="shared" si="0"/>
        <v>Véhicules neufs</v>
      </c>
      <c r="C32" s="86" t="s">
        <v>31</v>
      </c>
      <c r="D32" s="217">
        <f>F32/F24</f>
        <v>0.30499999999999999</v>
      </c>
      <c r="E32" s="88">
        <f t="shared" si="10"/>
        <v>488</v>
      </c>
      <c r="F32" s="22">
        <v>11224</v>
      </c>
      <c r="G32" s="161"/>
      <c r="H32" s="90"/>
      <c r="I32" s="22"/>
      <c r="J32" s="161">
        <f>L32/L24</f>
        <v>0.20312209678221516</v>
      </c>
      <c r="K32" s="88">
        <f t="shared" si="11"/>
        <v>182.32928571428573</v>
      </c>
      <c r="L32" s="22">
        <v>5105.22</v>
      </c>
      <c r="M32" s="23"/>
      <c r="N32" s="91">
        <f t="shared" si="12"/>
        <v>-6118.78</v>
      </c>
      <c r="O32" s="161">
        <f>Q32/Q24</f>
        <v>0.18221607717406874</v>
      </c>
      <c r="P32" s="88">
        <f t="shared" si="13"/>
        <v>366.8752380952381</v>
      </c>
      <c r="Q32" s="22">
        <v>7704.38</v>
      </c>
      <c r="R32" s="23"/>
      <c r="S32" s="92">
        <f t="shared" si="14"/>
        <v>-2599.16</v>
      </c>
      <c r="T32" s="13"/>
      <c r="U32" s="13"/>
      <c r="V32" s="495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9"/>
        <v>Véhicules neufsFrais de livraison</v>
      </c>
      <c r="B33" s="11" t="str">
        <f t="shared" si="0"/>
        <v>Véhicules neufs</v>
      </c>
      <c r="C33" s="29" t="s">
        <v>32</v>
      </c>
      <c r="D33" s="81"/>
      <c r="E33" s="82">
        <f t="shared" si="10"/>
        <v>120</v>
      </c>
      <c r="F33" s="30">
        <v>2760</v>
      </c>
      <c r="G33" s="83"/>
      <c r="H33" s="82"/>
      <c r="I33" s="30"/>
      <c r="J33" s="41"/>
      <c r="K33" s="82">
        <f t="shared" si="11"/>
        <v>232.73</v>
      </c>
      <c r="L33" s="30">
        <v>6516.44</v>
      </c>
      <c r="M33" s="41"/>
      <c r="N33" s="59">
        <f t="shared" si="12"/>
        <v>3756.4399999999996</v>
      </c>
      <c r="O33" s="41"/>
      <c r="P33" s="82">
        <f t="shared" si="13"/>
        <v>239.92619047619047</v>
      </c>
      <c r="Q33" s="33">
        <v>5038.45</v>
      </c>
      <c r="R33" s="41"/>
      <c r="S33" s="85">
        <f t="shared" si="14"/>
        <v>1477.9899999999998</v>
      </c>
      <c r="T33" s="13"/>
      <c r="U33" s="13"/>
      <c r="V33" s="489" t="s">
        <v>262</v>
      </c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9"/>
        <v>Véhicules neufsService gratuit 1</v>
      </c>
      <c r="B34" s="11" t="str">
        <f t="shared" si="0"/>
        <v>Véhicules neufs</v>
      </c>
      <c r="C34" s="29" t="s">
        <v>33</v>
      </c>
      <c r="D34" s="81"/>
      <c r="E34" s="82">
        <f t="shared" si="10"/>
        <v>35</v>
      </c>
      <c r="F34" s="30">
        <v>805</v>
      </c>
      <c r="G34" s="83"/>
      <c r="H34" s="82"/>
      <c r="I34" s="30"/>
      <c r="J34" s="41"/>
      <c r="K34" s="82">
        <f t="shared" si="11"/>
        <v>34.21178571428571</v>
      </c>
      <c r="L34" s="30">
        <v>957.93</v>
      </c>
      <c r="M34" s="41"/>
      <c r="N34" s="59">
        <f t="shared" si="12"/>
        <v>152.92999999999995</v>
      </c>
      <c r="O34" s="41"/>
      <c r="P34" s="82">
        <f t="shared" si="13"/>
        <v>39.986666666666665</v>
      </c>
      <c r="Q34" s="33">
        <v>839.72</v>
      </c>
      <c r="R34" s="41"/>
      <c r="S34" s="85">
        <f t="shared" si="14"/>
        <v>118.20999999999992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9"/>
        <v>Véhicules neufsEntretien stock</v>
      </c>
      <c r="B35" s="11" t="str">
        <f t="shared" si="0"/>
        <v>Véhicules neufs</v>
      </c>
      <c r="C35" s="86" t="s">
        <v>34</v>
      </c>
      <c r="D35" s="87"/>
      <c r="E35" s="88">
        <f t="shared" si="10"/>
        <v>99.521739130434781</v>
      </c>
      <c r="F35" s="22">
        <v>2289</v>
      </c>
      <c r="G35" s="89"/>
      <c r="H35" s="90"/>
      <c r="I35" s="22"/>
      <c r="J35" s="23"/>
      <c r="K35" s="88">
        <f t="shared" si="11"/>
        <v>54.525357142857146</v>
      </c>
      <c r="L35" s="22">
        <v>1526.71</v>
      </c>
      <c r="M35" s="23"/>
      <c r="N35" s="91">
        <f t="shared" si="12"/>
        <v>-762.29</v>
      </c>
      <c r="O35" s="23"/>
      <c r="P35" s="88">
        <f t="shared" si="13"/>
        <v>91.878571428571433</v>
      </c>
      <c r="Q35" s="33">
        <v>1929.45</v>
      </c>
      <c r="R35" s="23"/>
      <c r="S35" s="92">
        <f t="shared" si="14"/>
        <v>-402.74</v>
      </c>
      <c r="T35" s="13"/>
      <c r="U35" s="1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9"/>
        <v>Véhicules neufsPublicité 1</v>
      </c>
      <c r="B36" s="11" t="str">
        <f t="shared" si="0"/>
        <v>Véhicules neufs</v>
      </c>
      <c r="C36" s="29" t="s">
        <v>35</v>
      </c>
      <c r="D36" s="81"/>
      <c r="E36" s="82">
        <f t="shared" si="10"/>
        <v>234.88787878787875</v>
      </c>
      <c r="F36" s="30">
        <v>5402.4212121212113</v>
      </c>
      <c r="G36" s="83"/>
      <c r="H36" s="82"/>
      <c r="I36" s="30"/>
      <c r="J36" s="41"/>
      <c r="K36" s="82">
        <f t="shared" si="11"/>
        <v>125.91928571428571</v>
      </c>
      <c r="L36" s="454">
        <v>3525.74</v>
      </c>
      <c r="M36" s="13"/>
      <c r="N36" s="59">
        <f t="shared" si="12"/>
        <v>-1876.6812121212115</v>
      </c>
      <c r="O36" s="41"/>
      <c r="P36" s="82">
        <f t="shared" si="13"/>
        <v>566.75190476190483</v>
      </c>
      <c r="Q36" s="55">
        <v>11901.79</v>
      </c>
      <c r="R36" s="41"/>
      <c r="S36" s="85">
        <f t="shared" si="14"/>
        <v>-8376.0500000000011</v>
      </c>
      <c r="T36" s="13"/>
      <c r="U36" s="13"/>
      <c r="W36" s="489"/>
      <c r="X36" s="453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>+B37&amp;C37</f>
        <v>Véhicules neufsIntérêt de gros</v>
      </c>
      <c r="B37" s="11" t="str">
        <f t="shared" si="0"/>
        <v>Véhicules neufs</v>
      </c>
      <c r="C37" s="29" t="s">
        <v>36</v>
      </c>
      <c r="D37" s="81"/>
      <c r="E37" s="82">
        <f t="shared" si="10"/>
        <v>1001.9018722126057</v>
      </c>
      <c r="F37" s="30">
        <v>23043.74306088993</v>
      </c>
      <c r="G37" s="83"/>
      <c r="H37" s="82"/>
      <c r="I37" s="30"/>
      <c r="J37" s="41"/>
      <c r="K37" s="82">
        <f t="shared" si="11"/>
        <v>905.8896428571428</v>
      </c>
      <c r="L37" s="455">
        <v>25364.91</v>
      </c>
      <c r="M37" s="13"/>
      <c r="N37" s="59">
        <f t="shared" si="12"/>
        <v>2321.1669391100695</v>
      </c>
      <c r="O37" s="41"/>
      <c r="P37" s="82">
        <f t="shared" si="13"/>
        <v>1046.0519047619048</v>
      </c>
      <c r="Q37" s="33">
        <v>21967.09</v>
      </c>
      <c r="R37" s="41"/>
      <c r="S37" s="85">
        <f>L37-Q37</f>
        <v>3397.8199999999997</v>
      </c>
      <c r="T37" s="13"/>
      <c r="U37" s="13"/>
      <c r="V37" s="489">
        <v>25365</v>
      </c>
      <c r="W37" s="49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>+B38&amp;C38</f>
        <v>Véhicules neufs[...]</v>
      </c>
      <c r="B38" s="11" t="str">
        <f t="shared" si="0"/>
        <v>Véhicules neufs</v>
      </c>
      <c r="C38" s="29" t="s">
        <v>19</v>
      </c>
      <c r="D38" s="81"/>
      <c r="E38" s="82">
        <f t="shared" si="10"/>
        <v>0</v>
      </c>
      <c r="F38" s="30">
        <v>0</v>
      </c>
      <c r="G38" s="83"/>
      <c r="H38" s="82"/>
      <c r="I38" s="30"/>
      <c r="J38" s="41"/>
      <c r="K38" s="82">
        <f t="shared" si="11"/>
        <v>0</v>
      </c>
      <c r="L38" s="455">
        <v>0</v>
      </c>
      <c r="M38" s="13"/>
      <c r="N38" s="59">
        <f t="shared" si="12"/>
        <v>0</v>
      </c>
      <c r="O38" s="41"/>
      <c r="P38" s="82">
        <f t="shared" si="13"/>
        <v>0</v>
      </c>
      <c r="Q38" s="33">
        <v>0</v>
      </c>
      <c r="R38" s="41"/>
      <c r="S38" s="85">
        <f>L38-Q38</f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>+B39&amp;C39</f>
        <v>Véhicules neufs[...]</v>
      </c>
      <c r="B39" s="11" t="str">
        <f t="shared" si="0"/>
        <v>Véhicules neufs</v>
      </c>
      <c r="C39" s="29" t="s">
        <v>19</v>
      </c>
      <c r="D39" s="81"/>
      <c r="E39" s="82">
        <f t="shared" si="10"/>
        <v>0</v>
      </c>
      <c r="F39" s="30">
        <v>0</v>
      </c>
      <c r="G39" s="83"/>
      <c r="H39" s="82"/>
      <c r="I39" s="30"/>
      <c r="J39" s="41"/>
      <c r="K39" s="82">
        <f t="shared" si="11"/>
        <v>0</v>
      </c>
      <c r="L39" s="455">
        <v>0</v>
      </c>
      <c r="M39" s="13"/>
      <c r="N39" s="59">
        <f t="shared" si="12"/>
        <v>0</v>
      </c>
      <c r="O39" s="41"/>
      <c r="P39" s="82">
        <f t="shared" si="13"/>
        <v>0</v>
      </c>
      <c r="Q39" s="33">
        <v>0</v>
      </c>
      <c r="R39" s="41"/>
      <c r="S39" s="85">
        <f>L39-Q39</f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ref="A40:A45" si="15">+B40&amp;C40</f>
        <v>Véhicules neufs[...]</v>
      </c>
      <c r="B40" s="11" t="str">
        <f t="shared" si="0"/>
        <v>Véhicules neufs</v>
      </c>
      <c r="C40" s="29" t="s">
        <v>19</v>
      </c>
      <c r="D40" s="81"/>
      <c r="E40" s="82">
        <f t="shared" si="10"/>
        <v>0</v>
      </c>
      <c r="F40" s="30">
        <v>0</v>
      </c>
      <c r="G40" s="83"/>
      <c r="H40" s="82"/>
      <c r="I40" s="30"/>
      <c r="J40" s="41"/>
      <c r="K40" s="82">
        <f t="shared" si="11"/>
        <v>0</v>
      </c>
      <c r="L40" s="456">
        <v>0</v>
      </c>
      <c r="M40" s="13"/>
      <c r="N40" s="59">
        <f t="shared" si="12"/>
        <v>0</v>
      </c>
      <c r="O40" s="41"/>
      <c r="P40" s="82">
        <f t="shared" si="13"/>
        <v>0</v>
      </c>
      <c r="Q40" s="33">
        <v>0</v>
      </c>
      <c r="R40" s="41"/>
      <c r="S40" s="85">
        <f>L40-Q40</f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5"/>
        <v>Véhicules neufsTOTAL VARIABLES</v>
      </c>
      <c r="B41" s="11" t="str">
        <f t="shared" si="0"/>
        <v>Véhicules neufs</v>
      </c>
      <c r="C41" s="93" t="s">
        <v>37</v>
      </c>
      <c r="D41" s="94" t="s">
        <v>38</v>
      </c>
      <c r="E41" s="95">
        <f>F41/F$27</f>
        <v>0.56591391394929402</v>
      </c>
      <c r="F41" s="96">
        <f>SUM(F31:F40)</f>
        <v>70374.823972132173</v>
      </c>
      <c r="G41" s="97"/>
      <c r="H41" s="95"/>
      <c r="I41" s="96"/>
      <c r="J41" s="97" t="s">
        <v>38</v>
      </c>
      <c r="K41" s="95">
        <f>L41/L$27</f>
        <v>0.50771635285461247</v>
      </c>
      <c r="L41" s="96">
        <f>SUM(L31:L40)</f>
        <v>79649.460000000006</v>
      </c>
      <c r="M41" s="98"/>
      <c r="N41" s="96">
        <f t="shared" si="12"/>
        <v>9274.636027867833</v>
      </c>
      <c r="O41" s="97" t="s">
        <v>38</v>
      </c>
      <c r="P41" s="95">
        <f>Q41/Q$27</f>
        <v>0.59613700267329273</v>
      </c>
      <c r="Q41" s="99">
        <f>SUM(Q31:Q40)</f>
        <v>70948.84</v>
      </c>
      <c r="R41" s="100"/>
      <c r="S41" s="101">
        <f t="shared" ref="S41:S45" si="16">L41-Q41</f>
        <v>8700.6200000000099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5"/>
        <v>Véhicules neufsSalaires cadres</v>
      </c>
      <c r="B42" s="11" t="str">
        <f t="shared" si="0"/>
        <v>Véhicules neufs</v>
      </c>
      <c r="C42" s="102" t="s">
        <v>40</v>
      </c>
      <c r="D42" s="13"/>
      <c r="E42" s="13"/>
      <c r="F42" s="30">
        <v>11649.338325123153</v>
      </c>
      <c r="G42" s="41"/>
      <c r="H42" s="13"/>
      <c r="I42" s="30"/>
      <c r="J42" s="41"/>
      <c r="K42" s="13"/>
      <c r="L42" s="33">
        <v>11797.43</v>
      </c>
      <c r="M42" s="41"/>
      <c r="N42" s="59">
        <f t="shared" si="12"/>
        <v>148.09167487684681</v>
      </c>
      <c r="O42" s="41"/>
      <c r="P42" s="13"/>
      <c r="Q42" s="33">
        <v>12528.62</v>
      </c>
      <c r="R42" s="41"/>
      <c r="S42" s="85">
        <f t="shared" si="16"/>
        <v>-731.19000000000051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5"/>
        <v>Véhicules neufsSalaires commis</v>
      </c>
      <c r="B43" s="11" t="str">
        <f t="shared" si="0"/>
        <v>Véhicules neufs</v>
      </c>
      <c r="C43" s="103" t="s">
        <v>41</v>
      </c>
      <c r="D43" s="81"/>
      <c r="E43" s="13"/>
      <c r="F43" s="22">
        <v>4897.8542988505751</v>
      </c>
      <c r="G43" s="83"/>
      <c r="H43" s="13"/>
      <c r="I43" s="22"/>
      <c r="J43" s="41"/>
      <c r="K43" s="13"/>
      <c r="L43" s="33">
        <v>3280.48</v>
      </c>
      <c r="M43" s="41"/>
      <c r="N43" s="59">
        <f t="shared" si="12"/>
        <v>-1617.3742988505751</v>
      </c>
      <c r="O43" s="41"/>
      <c r="P43" s="13"/>
      <c r="Q43" s="33">
        <v>9037.0400000000009</v>
      </c>
      <c r="R43" s="41"/>
      <c r="S43" s="85">
        <f t="shared" si="16"/>
        <v>-5756.5600000000013</v>
      </c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5"/>
        <v>Véhicules neufsSalaires autres</v>
      </c>
      <c r="B44" s="11" t="str">
        <f t="shared" si="0"/>
        <v>Véhicules neufs</v>
      </c>
      <c r="C44" s="102" t="s">
        <v>42</v>
      </c>
      <c r="D44" s="104"/>
      <c r="E44" s="105"/>
      <c r="F44" s="30">
        <v>0</v>
      </c>
      <c r="G44" s="106"/>
      <c r="H44" s="105"/>
      <c r="I44" s="30"/>
      <c r="J44" s="107"/>
      <c r="K44" s="105"/>
      <c r="L44" s="108">
        <v>295</v>
      </c>
      <c r="M44" s="107"/>
      <c r="N44" s="109">
        <f t="shared" si="12"/>
        <v>295</v>
      </c>
      <c r="O44" s="107"/>
      <c r="P44" s="105"/>
      <c r="Q44" s="108">
        <v>342</v>
      </c>
      <c r="R44" s="107"/>
      <c r="S44" s="110">
        <f t="shared" si="16"/>
        <v>-47</v>
      </c>
      <c r="T44" s="13"/>
      <c r="U44" s="13"/>
      <c r="V44" s="489" t="s">
        <v>243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5"/>
        <v>Véhicules neufsSalaires spécialistes</v>
      </c>
      <c r="B45" s="11" t="str">
        <f t="shared" si="0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2"/>
        <v>0</v>
      </c>
      <c r="O45" s="41"/>
      <c r="P45" s="13"/>
      <c r="Q45" s="33">
        <v>0</v>
      </c>
      <c r="R45" s="41"/>
      <c r="S45" s="85">
        <f t="shared" si="16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>+B46&amp;C46</f>
        <v>Véhicules neufs[...]</v>
      </c>
      <c r="B46" s="11" t="str">
        <f t="shared" si="0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2"/>
        <v>0</v>
      </c>
      <c r="O46" s="41"/>
      <c r="P46" s="13"/>
      <c r="Q46" s="33">
        <v>0</v>
      </c>
      <c r="R46" s="41"/>
      <c r="S46" s="85">
        <f>L46-Q46</f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>+B47&amp;C47</f>
        <v>Véhicules neufs[...]</v>
      </c>
      <c r="B47" s="11" t="str">
        <f t="shared" si="0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2"/>
        <v>0</v>
      </c>
      <c r="O47" s="41"/>
      <c r="P47" s="13"/>
      <c r="Q47" s="33">
        <v>0</v>
      </c>
      <c r="R47" s="41"/>
      <c r="S47" s="85">
        <f>L47-Q47</f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>+B48&amp;C48</f>
        <v>Véhicules neufs[...]</v>
      </c>
      <c r="B48" s="11" t="str">
        <f t="shared" si="0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2"/>
        <v>0</v>
      </c>
      <c r="O48" s="41"/>
      <c r="P48" s="13"/>
      <c r="Q48" s="33">
        <v>0</v>
      </c>
      <c r="R48" s="41"/>
      <c r="S48" s="85">
        <f>L48-Q48</f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ref="A49:A66" si="17">+B49&amp;C49</f>
        <v>Véhicules neufsSalaires en absences</v>
      </c>
      <c r="B49" s="11" t="str">
        <f t="shared" si="0"/>
        <v>Véhicules neufs</v>
      </c>
      <c r="C49" s="103" t="s">
        <v>44</v>
      </c>
      <c r="D49" s="81"/>
      <c r="E49" s="13"/>
      <c r="F49" s="22">
        <v>5734.7081810873187</v>
      </c>
      <c r="G49" s="83"/>
      <c r="H49" s="13"/>
      <c r="I49" s="22"/>
      <c r="J49" s="41"/>
      <c r="K49" s="13"/>
      <c r="L49" s="22">
        <v>5381.67</v>
      </c>
      <c r="M49" s="41"/>
      <c r="N49" s="59">
        <f t="shared" si="12"/>
        <v>-353.03818108731866</v>
      </c>
      <c r="O49" s="41"/>
      <c r="P49" s="13"/>
      <c r="Q49" s="22">
        <v>6616.47</v>
      </c>
      <c r="R49" s="41"/>
      <c r="S49" s="85">
        <f t="shared" ref="S49:S53" si="18">L49-Q49</f>
        <v>-1234.8000000000002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7"/>
        <v>Véhicules neufsDéduction à la source</v>
      </c>
      <c r="B50" s="11" t="str">
        <f t="shared" si="0"/>
        <v>Véhicules neufs</v>
      </c>
      <c r="C50" s="102" t="s">
        <v>45</v>
      </c>
      <c r="D50" s="104"/>
      <c r="E50" s="105"/>
      <c r="F50" s="30">
        <v>7390.0878622259261</v>
      </c>
      <c r="G50" s="106"/>
      <c r="H50" s="105"/>
      <c r="I50" s="30"/>
      <c r="J50" s="107"/>
      <c r="K50" s="105"/>
      <c r="L50" s="33">
        <v>5592.12</v>
      </c>
      <c r="M50" s="107"/>
      <c r="N50" s="109">
        <f t="shared" si="12"/>
        <v>-1797.9678622259262</v>
      </c>
      <c r="O50" s="107"/>
      <c r="P50" s="105"/>
      <c r="Q50" s="33">
        <v>7148.47</v>
      </c>
      <c r="R50" s="107"/>
      <c r="S50" s="110">
        <f t="shared" si="18"/>
        <v>-1556.3500000000004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7"/>
        <v>Véhicules neufsBénéfices marginaux</v>
      </c>
      <c r="B51" s="11" t="str">
        <f t="shared" si="0"/>
        <v>Véhicules neufs</v>
      </c>
      <c r="C51" s="102" t="s">
        <v>46</v>
      </c>
      <c r="D51" s="81"/>
      <c r="E51" s="13"/>
      <c r="F51" s="30">
        <v>5173.0615035581477</v>
      </c>
      <c r="G51" s="83"/>
      <c r="H51" s="13"/>
      <c r="I51" s="30"/>
      <c r="J51" s="41"/>
      <c r="K51" s="13"/>
      <c r="L51" s="33">
        <v>3941.38</v>
      </c>
      <c r="M51" s="41"/>
      <c r="N51" s="59">
        <f t="shared" si="12"/>
        <v>-1231.6815035581476</v>
      </c>
      <c r="O51" s="41"/>
      <c r="P51" s="13"/>
      <c r="Q51" s="33">
        <v>4787.83</v>
      </c>
      <c r="R51" s="41"/>
      <c r="S51" s="85">
        <f t="shared" si="18"/>
        <v>-846.44999999999982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7"/>
        <v>Véhicules neufsCsst</v>
      </c>
      <c r="B52" s="11" t="str">
        <f t="shared" si="0"/>
        <v>Véhicules neufs</v>
      </c>
      <c r="C52" s="102" t="s">
        <v>47</v>
      </c>
      <c r="D52" s="81"/>
      <c r="E52" s="13"/>
      <c r="F52" s="30">
        <v>1448.4572209962816</v>
      </c>
      <c r="G52" s="83"/>
      <c r="H52" s="13"/>
      <c r="I52" s="30"/>
      <c r="J52" s="41"/>
      <c r="K52" s="13"/>
      <c r="L52" s="33">
        <v>767.47</v>
      </c>
      <c r="M52" s="41"/>
      <c r="N52" s="59">
        <f t="shared" si="12"/>
        <v>-680.98722099628162</v>
      </c>
      <c r="O52" s="41"/>
      <c r="P52" s="13"/>
      <c r="Q52" s="33">
        <v>556.58000000000004</v>
      </c>
      <c r="R52" s="41"/>
      <c r="S52" s="85">
        <f t="shared" si="18"/>
        <v>210.89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7"/>
        <v>Véhicules neufs[...]</v>
      </c>
      <c r="B53" s="11" t="str">
        <f t="shared" si="0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2"/>
        <v>0</v>
      </c>
      <c r="O53" s="23"/>
      <c r="P53" s="111"/>
      <c r="Q53" s="33">
        <v>0</v>
      </c>
      <c r="R53" s="23"/>
      <c r="S53" s="92">
        <f t="shared" si="18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7"/>
        <v>Véhicules neufsTOTAL PERSONNEL</v>
      </c>
      <c r="B54" s="11" t="str">
        <f t="shared" si="0"/>
        <v>Véhicules neufs</v>
      </c>
      <c r="C54" s="93" t="s">
        <v>48</v>
      </c>
      <c r="D54" s="94" t="s">
        <v>38</v>
      </c>
      <c r="E54" s="95">
        <f>F54/F$27</f>
        <v>0.29185154093170979</v>
      </c>
      <c r="F54" s="96">
        <f>+SUM(F42:F53)</f>
        <v>36293.507391841405</v>
      </c>
      <c r="G54" s="97"/>
      <c r="H54" s="95"/>
      <c r="I54" s="96"/>
      <c r="J54" s="97" t="s">
        <v>38</v>
      </c>
      <c r="K54" s="95">
        <f>L54/L$27</f>
        <v>0.19796004369513692</v>
      </c>
      <c r="L54" s="96">
        <f>+SUM(L42:L53)</f>
        <v>31055.550000000003</v>
      </c>
      <c r="M54" s="100"/>
      <c r="N54" s="96">
        <f>+SUM(N42:N53)</f>
        <v>-5237.9573918414026</v>
      </c>
      <c r="O54" s="97" t="s">
        <v>38</v>
      </c>
      <c r="P54" s="95">
        <f>Q54/Q$27</f>
        <v>0.34463928374333508</v>
      </c>
      <c r="Q54" s="96">
        <f>+SUM(Q42:Q53)</f>
        <v>41017.010000000009</v>
      </c>
      <c r="R54" s="100"/>
      <c r="S54" s="101">
        <f>+SUM(S42:S53)</f>
        <v>-9961.4600000000028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17"/>
        <v>Véhicules neufsPublicité 2</v>
      </c>
      <c r="B55" s="11" t="str">
        <f t="shared" si="0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19">L55-F55</f>
        <v>0</v>
      </c>
      <c r="O55" s="41"/>
      <c r="P55" s="13"/>
      <c r="Q55" s="33">
        <v>0</v>
      </c>
      <c r="R55" s="41"/>
      <c r="S55" s="85">
        <f t="shared" ref="S55:S66" si="20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17"/>
        <v>Véhicules neufsService gratuit 2</v>
      </c>
      <c r="B56" s="11" t="str">
        <f t="shared" si="0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19"/>
        <v>0</v>
      </c>
      <c r="O56" s="41"/>
      <c r="P56" s="13"/>
      <c r="Q56" s="33">
        <v>0</v>
      </c>
      <c r="R56" s="41"/>
      <c r="S56" s="85">
        <f t="shared" si="20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7"/>
        <v>Véhicules neufsFrais véhicules de cie</v>
      </c>
      <c r="B57" s="11" t="str">
        <f t="shared" si="0"/>
        <v>Véhicules neufs</v>
      </c>
      <c r="C57" s="86" t="s">
        <v>51</v>
      </c>
      <c r="D57" s="87"/>
      <c r="E57" s="111"/>
      <c r="F57" s="22">
        <v>2036.5</v>
      </c>
      <c r="G57" s="89"/>
      <c r="H57" s="111"/>
      <c r="I57" s="22"/>
      <c r="J57" s="23"/>
      <c r="K57" s="111"/>
      <c r="L57" s="22">
        <v>910.68</v>
      </c>
      <c r="M57" s="23"/>
      <c r="N57" s="91">
        <f t="shared" si="19"/>
        <v>-1125.8200000000002</v>
      </c>
      <c r="O57" s="23"/>
      <c r="P57" s="111"/>
      <c r="Q57" s="22">
        <v>8427.08</v>
      </c>
      <c r="R57" s="23"/>
      <c r="S57" s="92">
        <f t="shared" si="20"/>
        <v>-7516.4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7"/>
        <v>Véhicules neufsInformatique</v>
      </c>
      <c r="B58" s="11" t="str">
        <f t="shared" si="0"/>
        <v>Véhicules neufs</v>
      </c>
      <c r="C58" s="29" t="s">
        <v>52</v>
      </c>
      <c r="D58" s="81"/>
      <c r="E58" s="13"/>
      <c r="F58" s="30">
        <v>9195.3521666666675</v>
      </c>
      <c r="G58" s="83"/>
      <c r="H58" s="13"/>
      <c r="I58" s="30"/>
      <c r="J58" s="41"/>
      <c r="K58" s="13"/>
      <c r="L58" s="33">
        <v>9289.08</v>
      </c>
      <c r="M58" s="41"/>
      <c r="N58" s="59">
        <f t="shared" si="19"/>
        <v>93.727833333332455</v>
      </c>
      <c r="O58" s="41"/>
      <c r="P58" s="13"/>
      <c r="Q58" s="33">
        <v>4714.76</v>
      </c>
      <c r="R58" s="41"/>
      <c r="S58" s="85">
        <f t="shared" si="20"/>
        <v>4574.32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7"/>
        <v>Véhicules neufsFrais de déplacement</v>
      </c>
      <c r="B59" s="11" t="str">
        <f t="shared" si="0"/>
        <v>Véhicules neufs</v>
      </c>
      <c r="C59" s="29" t="s">
        <v>53</v>
      </c>
      <c r="D59" s="81"/>
      <c r="E59" s="13"/>
      <c r="F59" s="30">
        <v>1330</v>
      </c>
      <c r="G59" s="83"/>
      <c r="H59" s="13"/>
      <c r="I59" s="30"/>
      <c r="J59" s="41"/>
      <c r="K59" s="13"/>
      <c r="L59" s="33">
        <v>3562.55</v>
      </c>
      <c r="M59" s="41"/>
      <c r="N59" s="59">
        <f t="shared" si="19"/>
        <v>2232.5500000000002</v>
      </c>
      <c r="O59" s="41"/>
      <c r="P59" s="13"/>
      <c r="Q59" s="33">
        <v>528.05999999999995</v>
      </c>
      <c r="R59" s="41"/>
      <c r="S59" s="85">
        <f t="shared" si="20"/>
        <v>3034.4900000000002</v>
      </c>
      <c r="T59" s="13"/>
      <c r="U59" s="13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7"/>
        <v>Véhicules neufsServices extérieurs</v>
      </c>
      <c r="B60" s="11" t="str">
        <f t="shared" si="0"/>
        <v>Véhicules neufs</v>
      </c>
      <c r="C60" s="86" t="s">
        <v>54</v>
      </c>
      <c r="D60" s="87"/>
      <c r="E60" s="111"/>
      <c r="F60" s="22">
        <v>2672.3603333333335</v>
      </c>
      <c r="G60" s="89"/>
      <c r="H60" s="111"/>
      <c r="I60" s="22"/>
      <c r="J60" s="23"/>
      <c r="K60" s="111"/>
      <c r="L60" s="22">
        <v>2623.2</v>
      </c>
      <c r="M60" s="23"/>
      <c r="N60" s="91">
        <f t="shared" si="19"/>
        <v>-49.16033333333371</v>
      </c>
      <c r="O60" s="23"/>
      <c r="P60" s="111"/>
      <c r="Q60" s="22">
        <v>2793.6</v>
      </c>
      <c r="R60" s="23"/>
      <c r="S60" s="92">
        <f t="shared" si="20"/>
        <v>-170.40000000000009</v>
      </c>
      <c r="T60" s="13"/>
      <c r="U60" s="13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7"/>
        <v>Véhicules neufsFournitures autres</v>
      </c>
      <c r="B61" s="11" t="str">
        <f t="shared" si="0"/>
        <v>Véhicules neufs</v>
      </c>
      <c r="C61" s="29" t="s">
        <v>55</v>
      </c>
      <c r="D61" s="81"/>
      <c r="E61" s="13"/>
      <c r="F61" s="30">
        <v>75</v>
      </c>
      <c r="G61" s="83"/>
      <c r="H61" s="13"/>
      <c r="I61" s="30"/>
      <c r="J61" s="41"/>
      <c r="K61" s="13"/>
      <c r="L61" s="33">
        <v>56.78</v>
      </c>
      <c r="M61" s="41"/>
      <c r="N61" s="59">
        <f t="shared" si="19"/>
        <v>-18.22</v>
      </c>
      <c r="O61" s="41"/>
      <c r="P61" s="13"/>
      <c r="Q61" s="33">
        <v>0</v>
      </c>
      <c r="R61" s="41"/>
      <c r="S61" s="85">
        <f t="shared" si="20"/>
        <v>56.78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7"/>
        <v>Véhicules neufsUniformes</v>
      </c>
      <c r="B62" s="11" t="str">
        <f t="shared" si="0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19"/>
        <v>-30</v>
      </c>
      <c r="O62" s="41"/>
      <c r="P62" s="13"/>
      <c r="Q62" s="33">
        <v>0</v>
      </c>
      <c r="R62" s="41"/>
      <c r="S62" s="85">
        <f t="shared" si="20"/>
        <v>0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7"/>
        <v>Véhicules neufsPapeterie</v>
      </c>
      <c r="B63" s="11" t="str">
        <f t="shared" si="0"/>
        <v>Véhicules neufs</v>
      </c>
      <c r="C63" s="29" t="s">
        <v>57</v>
      </c>
      <c r="D63" s="81"/>
      <c r="E63" s="13"/>
      <c r="F63" s="30">
        <v>580</v>
      </c>
      <c r="G63" s="83"/>
      <c r="H63" s="13"/>
      <c r="I63" s="30"/>
      <c r="J63" s="41"/>
      <c r="K63" s="13"/>
      <c r="L63" s="32">
        <v>297.36</v>
      </c>
      <c r="M63" s="41"/>
      <c r="N63" s="59">
        <f t="shared" si="19"/>
        <v>-282.64</v>
      </c>
      <c r="O63" s="41"/>
      <c r="P63" s="13"/>
      <c r="Q63" s="32">
        <v>786.32</v>
      </c>
      <c r="R63" s="41"/>
      <c r="S63" s="85">
        <f t="shared" si="20"/>
        <v>-488.96000000000004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7"/>
        <v>Véhicules neufsTéléphone</v>
      </c>
      <c r="B64" s="11" t="str">
        <f t="shared" si="0"/>
        <v>Véhicules neufs</v>
      </c>
      <c r="C64" s="29" t="s">
        <v>58</v>
      </c>
      <c r="D64" s="81"/>
      <c r="E64" s="13"/>
      <c r="F64" s="30">
        <v>157.6</v>
      </c>
      <c r="G64" s="83"/>
      <c r="H64" s="13"/>
      <c r="I64" s="30"/>
      <c r="J64" s="41"/>
      <c r="K64" s="13"/>
      <c r="L64" s="33">
        <v>182.69</v>
      </c>
      <c r="M64" s="41"/>
      <c r="N64" s="59">
        <f t="shared" si="19"/>
        <v>25.090000000000003</v>
      </c>
      <c r="O64" s="41"/>
      <c r="P64" s="13"/>
      <c r="Q64" s="33">
        <v>178.01</v>
      </c>
      <c r="R64" s="41"/>
      <c r="S64" s="85">
        <f t="shared" si="20"/>
        <v>4.6800000000000068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7"/>
        <v>Véhicules neufsFrais postaux</v>
      </c>
      <c r="B65" s="11" t="str">
        <f t="shared" si="0"/>
        <v>Véhicules neufs</v>
      </c>
      <c r="C65" s="29" t="s">
        <v>59</v>
      </c>
      <c r="D65" s="81"/>
      <c r="E65" s="13"/>
      <c r="F65" s="30">
        <v>226.66666666666666</v>
      </c>
      <c r="G65" s="83"/>
      <c r="H65" s="13"/>
      <c r="I65" s="30"/>
      <c r="J65" s="41"/>
      <c r="K65" s="13"/>
      <c r="L65" s="33">
        <v>222.82</v>
      </c>
      <c r="M65" s="41"/>
      <c r="N65" s="59">
        <f t="shared" si="19"/>
        <v>-3.846666666666664</v>
      </c>
      <c r="O65" s="41"/>
      <c r="P65" s="13"/>
      <c r="Q65" s="33">
        <v>110.92</v>
      </c>
      <c r="R65" s="41"/>
      <c r="S65" s="85">
        <f t="shared" si="20"/>
        <v>111.89999999999999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7"/>
        <v>Véhicules neufsDivers</v>
      </c>
      <c r="B66" s="11" t="str">
        <f t="shared" si="0"/>
        <v>Véhicules neufs</v>
      </c>
      <c r="C66" s="29" t="s">
        <v>60</v>
      </c>
      <c r="D66" s="81"/>
      <c r="E66" s="13"/>
      <c r="F66" s="30">
        <v>629.08333333333326</v>
      </c>
      <c r="G66" s="83"/>
      <c r="H66" s="13"/>
      <c r="I66" s="30"/>
      <c r="J66" s="41"/>
      <c r="K66" s="13"/>
      <c r="L66" s="33">
        <v>541.38</v>
      </c>
      <c r="M66" s="41"/>
      <c r="N66" s="59">
        <f t="shared" si="19"/>
        <v>-87.703333333333262</v>
      </c>
      <c r="O66" s="41"/>
      <c r="P66" s="13"/>
      <c r="Q66" s="33">
        <v>1520.36</v>
      </c>
      <c r="R66" s="41"/>
      <c r="S66" s="85">
        <f t="shared" si="20"/>
        <v>-978.9799999999999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>+B67&amp;C67</f>
        <v>Véhicules neufsFormation</v>
      </c>
      <c r="B67" s="11" t="str">
        <f t="shared" si="0"/>
        <v>Véhicules neufs</v>
      </c>
      <c r="C67" s="29" t="s">
        <v>61</v>
      </c>
      <c r="D67" s="81"/>
      <c r="E67" s="13"/>
      <c r="F67" s="30">
        <v>321.5946666666668</v>
      </c>
      <c r="G67" s="83"/>
      <c r="H67" s="13"/>
      <c r="I67" s="30"/>
      <c r="J67" s="41"/>
      <c r="K67" s="13"/>
      <c r="L67" s="33">
        <v>237.57</v>
      </c>
      <c r="M67" s="41"/>
      <c r="N67" s="59">
        <f t="shared" si="19"/>
        <v>-84.024666666666803</v>
      </c>
      <c r="O67" s="41"/>
      <c r="P67" s="13"/>
      <c r="Q67" s="33">
        <v>391.57</v>
      </c>
      <c r="R67" s="41"/>
      <c r="S67" s="85">
        <f>L67-Q67</f>
        <v>-154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>+B68&amp;C68</f>
        <v>Véhicules neufsFrais bancaires</v>
      </c>
      <c r="B68" s="11" t="str">
        <f t="shared" si="0"/>
        <v>Véhicules neufs</v>
      </c>
      <c r="C68" s="29" t="s">
        <v>62</v>
      </c>
      <c r="D68" s="81"/>
      <c r="E68" s="13"/>
      <c r="F68" s="30">
        <v>3224.1144246144454</v>
      </c>
      <c r="G68" s="83"/>
      <c r="H68" s="13"/>
      <c r="I68" s="30"/>
      <c r="J68" s="41"/>
      <c r="K68" s="13"/>
      <c r="L68" s="32">
        <v>2576.3200000000002</v>
      </c>
      <c r="M68" s="41"/>
      <c r="N68" s="59">
        <f t="shared" si="19"/>
        <v>-647.79442461444523</v>
      </c>
      <c r="O68" s="41"/>
      <c r="P68" s="13"/>
      <c r="Q68" s="33">
        <v>2835.91</v>
      </c>
      <c r="R68" s="41"/>
      <c r="S68" s="85">
        <f>L68-Q68</f>
        <v>-259.58999999999969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>+B69&amp;C69</f>
        <v>Véhicules neufs[...]</v>
      </c>
      <c r="B69" s="11" t="str">
        <f t="shared" si="0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19"/>
        <v>0</v>
      </c>
      <c r="O69" s="41"/>
      <c r="P69" s="13"/>
      <c r="Q69" s="33">
        <v>0</v>
      </c>
      <c r="R69" s="41"/>
      <c r="S69" s="85">
        <f>L69-Q69</f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ref="A70:A78" si="21">+B70&amp;C70</f>
        <v>Véhicules neufs[...]</v>
      </c>
      <c r="B70" s="11" t="str">
        <f t="shared" si="0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19"/>
        <v>0</v>
      </c>
      <c r="O70" s="41"/>
      <c r="P70" s="13"/>
      <c r="Q70" s="33">
        <v>0</v>
      </c>
      <c r="R70" s="41"/>
      <c r="S70" s="85">
        <f t="shared" ref="S70:S71" si="22">L70-Q70</f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21"/>
        <v>Véhicules neufs[...]</v>
      </c>
      <c r="B71" s="11" t="str">
        <f t="shared" si="0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19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21"/>
        <v>Véhicules neufsTOTAL SEMI-FIXES</v>
      </c>
      <c r="B72" s="11" t="str">
        <f t="shared" si="0"/>
        <v>Véhicules neufs</v>
      </c>
      <c r="C72" s="93" t="s">
        <v>63</v>
      </c>
      <c r="D72" s="94" t="s">
        <v>38</v>
      </c>
      <c r="E72" s="95">
        <f>F72/F$27</f>
        <v>0.16467449825135838</v>
      </c>
      <c r="F72" s="96">
        <f>+SUM(F55:F71)</f>
        <v>20478.271591281115</v>
      </c>
      <c r="G72" s="97"/>
      <c r="H72" s="95"/>
      <c r="I72" s="96"/>
      <c r="J72" s="97" t="s">
        <v>38</v>
      </c>
      <c r="K72" s="95">
        <f>L72/L$27</f>
        <v>0.13067764114849345</v>
      </c>
      <c r="L72" s="96">
        <f>+SUM(L55:L71)</f>
        <v>20500.43</v>
      </c>
      <c r="M72" s="100"/>
      <c r="N72" s="96">
        <f>+SUM(N55:N71)</f>
        <v>22.15840871888679</v>
      </c>
      <c r="O72" s="97" t="s">
        <v>38</v>
      </c>
      <c r="P72" s="95">
        <f>Q72/Q$27</f>
        <v>0.18725973479493924</v>
      </c>
      <c r="Q72" s="96">
        <f>+SUM(Q55:Q71)</f>
        <v>22286.589999999997</v>
      </c>
      <c r="R72" s="100"/>
      <c r="S72" s="101">
        <f>+SUM(S55:S71)</f>
        <v>-1786.1599999999994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21"/>
        <v>Véhicules neufs</v>
      </c>
      <c r="B73" s="11" t="str">
        <f t="shared" si="0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21"/>
        <v>Véhicules neufsTOTAL DES DÉPENSES</v>
      </c>
      <c r="B74" s="11" t="str">
        <f t="shared" si="0"/>
        <v>Véhicules neufs</v>
      </c>
      <c r="C74" s="93" t="s">
        <v>64</v>
      </c>
      <c r="D74" s="94" t="s">
        <v>38</v>
      </c>
      <c r="E74" s="95">
        <f>F74/F$27</f>
        <v>1.0224399531323622</v>
      </c>
      <c r="F74" s="96">
        <f>F41+F54+F72</f>
        <v>127146.6029552547</v>
      </c>
      <c r="G74" s="97"/>
      <c r="H74" s="95"/>
      <c r="I74" s="96"/>
      <c r="J74" s="97" t="s">
        <v>38</v>
      </c>
      <c r="K74" s="95">
        <f>L74/L$27</f>
        <v>0.83635403769824279</v>
      </c>
      <c r="L74" s="96">
        <f>L41+L54+L72</f>
        <v>131205.44</v>
      </c>
      <c r="M74" s="100"/>
      <c r="N74" s="113">
        <f t="shared" ref="N74:N82" si="23">L74-F74</f>
        <v>4058.8370447453053</v>
      </c>
      <c r="O74" s="97" t="s">
        <v>38</v>
      </c>
      <c r="P74" s="95">
        <f>Q74/Q$27</f>
        <v>1.128036021211567</v>
      </c>
      <c r="Q74" s="96">
        <f>Q41+Q54+Q72</f>
        <v>134252.44</v>
      </c>
      <c r="R74" s="100"/>
      <c r="S74" s="114">
        <f>L74-Q74</f>
        <v>-3047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21"/>
        <v>Véhicules neufsRBSC neuf</v>
      </c>
      <c r="B75" s="11" t="str">
        <f t="shared" si="0"/>
        <v>Véhicules neufs</v>
      </c>
      <c r="C75" s="29" t="s">
        <v>215</v>
      </c>
      <c r="D75" s="81"/>
      <c r="E75" s="13"/>
      <c r="F75" s="30">
        <v>33086.931428571428</v>
      </c>
      <c r="G75" s="83"/>
      <c r="H75" s="13"/>
      <c r="I75" s="30"/>
      <c r="J75" s="41"/>
      <c r="K75" s="13"/>
      <c r="L75" s="32">
        <v>45245.120000000003</v>
      </c>
      <c r="M75" s="41"/>
      <c r="N75" s="59">
        <f t="shared" si="23"/>
        <v>12158.188571428575</v>
      </c>
      <c r="O75" s="41"/>
      <c r="P75" s="13"/>
      <c r="Q75" s="32">
        <v>26024.46</v>
      </c>
      <c r="R75" s="41"/>
      <c r="S75" s="85">
        <f>L75-Q75</f>
        <v>19220.660000000003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21"/>
        <v>Véhicules neufsProgramme neuf 2</v>
      </c>
      <c r="B76" s="11" t="str">
        <f t="shared" si="0"/>
        <v>Véhicules neufs</v>
      </c>
      <c r="C76" s="29" t="s">
        <v>187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>L76-Q76</f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21"/>
        <v>Véhicules neufsProgramme neuf 3</v>
      </c>
      <c r="B77" s="11" t="str">
        <f t="shared" si="0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ref="S77:S78" si="24">L77-Q77</f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21"/>
        <v>Véhicules neufsHoldbacks</v>
      </c>
      <c r="B78" s="11" t="str">
        <f t="shared" si="0"/>
        <v>Véhicules neufs</v>
      </c>
      <c r="C78" s="29" t="s">
        <v>66</v>
      </c>
      <c r="D78" s="81"/>
      <c r="E78" s="13"/>
      <c r="F78" s="30">
        <v>40105.37142857143</v>
      </c>
      <c r="G78" s="83"/>
      <c r="H78" s="13"/>
      <c r="I78" s="30"/>
      <c r="J78" s="41"/>
      <c r="K78" s="13"/>
      <c r="L78" s="33">
        <v>48444</v>
      </c>
      <c r="M78" s="41"/>
      <c r="N78" s="59">
        <f t="shared" si="23"/>
        <v>8338.6285714285696</v>
      </c>
      <c r="O78" s="41"/>
      <c r="P78" s="13"/>
      <c r="Q78" s="32">
        <v>33389.4</v>
      </c>
      <c r="R78" s="41"/>
      <c r="S78" s="85">
        <f t="shared" si="24"/>
        <v>15054.599999999999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>+B79&amp;C79</f>
        <v>Véhicules neufs[...]</v>
      </c>
      <c r="B79" s="11" t="str">
        <f t="shared" si="0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>L79-Q79</f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>+B80&amp;C80</f>
        <v>Véhicules neufs[...]</v>
      </c>
      <c r="B80" s="11" t="str">
        <f t="shared" si="0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>L80-Q80</f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>+B81&amp;C81</f>
        <v>Véhicules neufs[...]</v>
      </c>
      <c r="B81" s="11" t="str">
        <f t="shared" si="0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>L81-Q81</f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ref="A82:A85" si="25">+B82&amp;C82</f>
        <v>Véhicules neufsFrais administration</v>
      </c>
      <c r="B82" s="11" t="str">
        <f t="shared" si="0"/>
        <v>Véhicules neufs</v>
      </c>
      <c r="C82" s="29" t="s">
        <v>67</v>
      </c>
      <c r="D82" s="81"/>
      <c r="E82" s="13"/>
      <c r="F82" s="30">
        <v>13411.3</v>
      </c>
      <c r="G82" s="83"/>
      <c r="H82" s="13"/>
      <c r="I82" s="30"/>
      <c r="J82" s="41"/>
      <c r="K82" s="13"/>
      <c r="L82" s="32">
        <v>17255</v>
      </c>
      <c r="M82" s="41"/>
      <c r="N82" s="59">
        <f t="shared" si="23"/>
        <v>3843.7000000000007</v>
      </c>
      <c r="O82" s="41"/>
      <c r="P82" s="13"/>
      <c r="Q82" s="32">
        <v>12495</v>
      </c>
      <c r="R82" s="41"/>
      <c r="S82" s="85">
        <f t="shared" ref="S82" si="26">L82-Q82</f>
        <v>4760</v>
      </c>
      <c r="T82" s="13"/>
      <c r="U82" s="13"/>
      <c r="V82" s="489">
        <f>L82/595</f>
        <v>29</v>
      </c>
      <c r="W82" s="483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25"/>
        <v>Véhicules neufsAUTRES REVENUS</v>
      </c>
      <c r="B83" s="11" t="str">
        <f t="shared" si="0"/>
        <v>Véhicules neufs</v>
      </c>
      <c r="C83" s="93" t="s">
        <v>68</v>
      </c>
      <c r="D83" s="94"/>
      <c r="E83" s="95"/>
      <c r="F83" s="96">
        <f>+SUM(F75:F82)</f>
        <v>86603.602857142861</v>
      </c>
      <c r="G83" s="97"/>
      <c r="H83" s="95"/>
      <c r="I83" s="96"/>
      <c r="J83" s="97"/>
      <c r="K83" s="95"/>
      <c r="L83" s="96">
        <f>+SUM(L75:L82)</f>
        <v>110944.12</v>
      </c>
      <c r="M83" s="100"/>
      <c r="N83" s="96">
        <f>+SUM(N75:N82)</f>
        <v>24340.517142857145</v>
      </c>
      <c r="O83" s="97"/>
      <c r="P83" s="95"/>
      <c r="Q83" s="96">
        <f>+SUM(Q75:Q82)</f>
        <v>71908.86</v>
      </c>
      <c r="R83" s="100"/>
      <c r="S83" s="101">
        <f>+SUM(S75:S82)</f>
        <v>39035.26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25"/>
        <v>Véhicules neufs</v>
      </c>
      <c r="B84" s="11" t="str">
        <f t="shared" si="0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25"/>
        <v>Véhicules neufsPROFIT DÉPARTEMENTAL</v>
      </c>
      <c r="B85" s="11" t="str">
        <f t="shared" si="0"/>
        <v>Véhicules neufs</v>
      </c>
      <c r="C85" s="124" t="s">
        <v>69</v>
      </c>
      <c r="D85" s="125"/>
      <c r="E85" s="126"/>
      <c r="F85" s="127">
        <f>F27-F74+F83</f>
        <v>83813.058725417577</v>
      </c>
      <c r="G85" s="128"/>
      <c r="H85" s="126"/>
      <c r="I85" s="127"/>
      <c r="J85" s="128"/>
      <c r="K85" s="125"/>
      <c r="L85" s="127">
        <f>L27-L74+L83</f>
        <v>136616.54999999996</v>
      </c>
      <c r="M85" s="128"/>
      <c r="N85" s="127">
        <f>N27-N41-N54-N72+N83</f>
        <v>52803.491274582382</v>
      </c>
      <c r="O85" s="128"/>
      <c r="P85" s="125"/>
      <c r="Q85" s="127">
        <f>Q27-Q74+Q83</f>
        <v>56670.739999999802</v>
      </c>
      <c r="R85" s="128"/>
      <c r="S85" s="129">
        <f>S27-S41-S54-S72+S83</f>
        <v>79945.810000000158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 ht="16.8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Août 2026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399999999999999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06" t="s">
        <v>5</v>
      </c>
      <c r="E91" s="507"/>
      <c r="F91" s="508"/>
      <c r="G91" s="509"/>
      <c r="H91" s="507"/>
      <c r="I91" s="508"/>
      <c r="J91" s="509" t="s">
        <v>7</v>
      </c>
      <c r="K91" s="507"/>
      <c r="L91" s="508"/>
      <c r="M91" s="509" t="s">
        <v>212</v>
      </c>
      <c r="N91" s="508"/>
      <c r="O91" s="506" t="s">
        <v>8</v>
      </c>
      <c r="P91" s="507"/>
      <c r="Q91" s="508"/>
      <c r="R91" s="504" t="s">
        <v>213</v>
      </c>
      <c r="S91" s="505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214</v>
      </c>
      <c r="N92" s="134" t="s">
        <v>216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98" si="27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1822887.8894786073</v>
      </c>
      <c r="G93" s="46"/>
      <c r="H93" s="25"/>
      <c r="I93" s="22"/>
      <c r="J93" s="23"/>
      <c r="K93" s="25"/>
      <c r="L93" s="22">
        <v>1632898.14</v>
      </c>
      <c r="M93" s="137"/>
      <c r="N93" s="138"/>
      <c r="O93" s="23"/>
      <c r="P93" s="25"/>
      <c r="Q93" s="22">
        <v>1193609.8199999901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7"/>
        <v>Véhicules usagésCertifié</v>
      </c>
      <c r="B94" s="11" t="s">
        <v>70</v>
      </c>
      <c r="C94" s="29" t="s">
        <v>72</v>
      </c>
      <c r="D94" s="30">
        <v>14</v>
      </c>
      <c r="E94" s="30">
        <f>IF(D94=0,0,F94/D94)</f>
        <v>2400</v>
      </c>
      <c r="F94" s="30">
        <v>33600</v>
      </c>
      <c r="G94" s="31"/>
      <c r="H94" s="30"/>
      <c r="I94" s="30"/>
      <c r="J94" s="31">
        <v>8</v>
      </c>
      <c r="K94" s="30">
        <f>IF(J94=0,0,L94/J94)</f>
        <v>924.37250000000665</v>
      </c>
      <c r="L94" s="33">
        <v>7394.9800000000532</v>
      </c>
      <c r="M94" s="31">
        <f>J94-D94</f>
        <v>-6</v>
      </c>
      <c r="N94" s="33">
        <f>L94-F94</f>
        <v>-26205.019999999946</v>
      </c>
      <c r="O94" s="31">
        <v>4</v>
      </c>
      <c r="P94" s="30">
        <f t="shared" ref="P94:P96" si="28">IF(O94=0,0,Q94/O94)</f>
        <v>1608.5999999999974</v>
      </c>
      <c r="Q94" s="33">
        <v>6434.3999999999896</v>
      </c>
      <c r="R94" s="31">
        <f>J94-O94</f>
        <v>4</v>
      </c>
      <c r="S94" s="34">
        <f>L94-Q94</f>
        <v>960.58000000006359</v>
      </c>
      <c r="T94" s="13"/>
      <c r="U94" s="13"/>
      <c r="W94" s="11" t="s">
        <v>246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399999999999999">
      <c r="A95" t="str">
        <f t="shared" si="27"/>
        <v>Véhicules usagésNon Certifié</v>
      </c>
      <c r="B95" s="11" t="s">
        <v>70</v>
      </c>
      <c r="C95" s="29" t="s">
        <v>73</v>
      </c>
      <c r="D95" s="30">
        <v>3</v>
      </c>
      <c r="E95" s="30">
        <f t="shared" ref="E95:E97" si="29">IF(D95=0,0,F95/D95)</f>
        <v>1400</v>
      </c>
      <c r="F95" s="30">
        <v>4200</v>
      </c>
      <c r="G95" s="31"/>
      <c r="H95" s="30"/>
      <c r="I95" s="30"/>
      <c r="J95" s="31">
        <v>10</v>
      </c>
      <c r="K95" s="30">
        <f>IF(J95=0,0,L95/J95)</f>
        <v>2954.1920000000041</v>
      </c>
      <c r="L95" s="32">
        <v>29541.920000000042</v>
      </c>
      <c r="M95" s="31">
        <f>J95-D95</f>
        <v>7</v>
      </c>
      <c r="N95" s="33">
        <f>L95-F95</f>
        <v>25341.920000000042</v>
      </c>
      <c r="O95" s="31">
        <v>7</v>
      </c>
      <c r="P95" s="30">
        <f t="shared" si="28"/>
        <v>909.37571428571425</v>
      </c>
      <c r="Q95" s="32">
        <v>6365.63</v>
      </c>
      <c r="R95" s="31">
        <f>J95-O95</f>
        <v>3</v>
      </c>
      <c r="S95" s="34">
        <f>L95-Q95</f>
        <v>23176.290000000041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399999999999999">
      <c r="A96" t="str">
        <f t="shared" si="27"/>
        <v>Véhicules usagésAutres marques</v>
      </c>
      <c r="B96" s="11" t="s">
        <v>70</v>
      </c>
      <c r="C96" s="29" t="s">
        <v>206</v>
      </c>
      <c r="D96" s="30">
        <v>5</v>
      </c>
      <c r="E96" s="25">
        <f t="shared" si="29"/>
        <v>1500</v>
      </c>
      <c r="F96" s="30">
        <v>7500</v>
      </c>
      <c r="G96" s="31"/>
      <c r="H96" s="30"/>
      <c r="I96" s="30"/>
      <c r="J96" s="31">
        <v>4</v>
      </c>
      <c r="K96" s="30">
        <f>IF(J96=0,0,L96/J96)</f>
        <v>2474.0325000000025</v>
      </c>
      <c r="L96" s="32">
        <v>9896.1300000000101</v>
      </c>
      <c r="M96" s="31">
        <f>J96-D96</f>
        <v>-1</v>
      </c>
      <c r="N96" s="33">
        <f>L96-F96</f>
        <v>2396.1300000000101</v>
      </c>
      <c r="O96" s="31">
        <v>8</v>
      </c>
      <c r="P96" s="30">
        <f t="shared" si="28"/>
        <v>1538.7774999999999</v>
      </c>
      <c r="Q96" s="32">
        <v>12310.22</v>
      </c>
      <c r="R96" s="31">
        <f>J96-O96</f>
        <v>-4</v>
      </c>
      <c r="S96" s="34">
        <f>L96-Q96</f>
        <v>-2414.0899999999892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7"/>
        <v>Véhicules usagésTotal Usagés</v>
      </c>
      <c r="B97" s="11" t="s">
        <v>70</v>
      </c>
      <c r="C97" s="35" t="s">
        <v>74</v>
      </c>
      <c r="D97" s="36">
        <f>+D95+D94+D96</f>
        <v>22</v>
      </c>
      <c r="E97" s="30">
        <f t="shared" si="29"/>
        <v>2059.090909090909</v>
      </c>
      <c r="F97" s="37">
        <f>+F94+F95+F96</f>
        <v>45300</v>
      </c>
      <c r="G97" s="38"/>
      <c r="H97" s="36"/>
      <c r="I97" s="37"/>
      <c r="J97" s="38">
        <f>+J94+J95+J96</f>
        <v>22</v>
      </c>
      <c r="K97" s="36">
        <f>IF(J97&lt;=0,0,L97/J97)</f>
        <v>2128.7740909090958</v>
      </c>
      <c r="L97" s="37">
        <f>+L94+L95+L96</f>
        <v>46833.030000000108</v>
      </c>
      <c r="M97" s="38">
        <f>J97-D97</f>
        <v>0</v>
      </c>
      <c r="N97" s="37">
        <f>L97-F97</f>
        <v>1533.030000000108</v>
      </c>
      <c r="O97" s="38">
        <f>+O95+O94+O96</f>
        <v>19</v>
      </c>
      <c r="P97" s="36">
        <f>IF(O97=0,0,Q97/O97)</f>
        <v>1321.5921052631572</v>
      </c>
      <c r="Q97" s="37">
        <f>+Q94+Q95+Q96</f>
        <v>25110.249999999989</v>
      </c>
      <c r="R97" s="38">
        <f>J97-O97</f>
        <v>3</v>
      </c>
      <c r="S97" s="39">
        <f>L97-Q97</f>
        <v>21722.780000000119</v>
      </c>
      <c r="T97" s="13"/>
      <c r="U97" s="13"/>
      <c r="W97" s="457">
        <v>22</v>
      </c>
      <c r="X97" s="13">
        <v>46833</v>
      </c>
      <c r="Y97" s="499">
        <f>L97-X97</f>
        <v>3.0000000107975211E-2</v>
      </c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7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0</v>
      </c>
      <c r="N98" s="43">
        <f>N97/F97</f>
        <v>3.3841721854307019E-2</v>
      </c>
      <c r="O98" s="41"/>
      <c r="P98" s="13"/>
      <c r="Q98" s="40"/>
      <c r="R98" s="42">
        <f>R97/O97</f>
        <v>0.15789473684210525</v>
      </c>
      <c r="S98" s="44">
        <f>IF(Q97=0,0,(S97/Q97))</f>
        <v>0.86509612608397479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1">
      <c r="A99" t="str">
        <f>+B99&amp;C99</f>
        <v>Véhicules neufsRachat bail</v>
      </c>
      <c r="B99" s="11" t="str">
        <f t="shared" ref="B99" si="30">+$K$1</f>
        <v>Véhicules neufs</v>
      </c>
      <c r="C99" s="53" t="s">
        <v>23</v>
      </c>
      <c r="D99" s="30">
        <v>0</v>
      </c>
      <c r="E99" s="30">
        <f>IF(D99=0,0,F99/D99)</f>
        <v>0</v>
      </c>
      <c r="F99" s="30">
        <v>2486.8669783266905</v>
      </c>
      <c r="G99" s="31"/>
      <c r="H99" s="30"/>
      <c r="I99" s="30"/>
      <c r="J99" s="31"/>
      <c r="K99" s="30"/>
      <c r="L99" s="33">
        <v>2498</v>
      </c>
      <c r="M99" s="31"/>
      <c r="N99" s="33">
        <f>L99-F99</f>
        <v>11.133021673309486</v>
      </c>
      <c r="O99" s="31"/>
      <c r="P99" s="30"/>
      <c r="Q99" s="33">
        <v>3531</v>
      </c>
      <c r="R99" s="31">
        <f>O99-K99</f>
        <v>0</v>
      </c>
      <c r="S99" s="34">
        <f>L99-Q99</f>
        <v>-1033</v>
      </c>
      <c r="T99" s="13"/>
      <c r="U99" s="13"/>
      <c r="W99" s="11"/>
      <c r="X99" s="11">
        <v>2498</v>
      </c>
      <c r="Y99" s="499">
        <f>L99-X99</f>
        <v>0</v>
      </c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spans="1:40" ht="20.399999999999999">
      <c r="A100" t="str">
        <f t="shared" ref="A100:A118" si="31">+B100&amp;C100</f>
        <v>Véhicules usagés</v>
      </c>
      <c r="B100" s="11" t="s">
        <v>70</v>
      </c>
      <c r="C100" s="29"/>
      <c r="D100" s="30"/>
      <c r="E100" s="30"/>
      <c r="F100" s="30"/>
      <c r="G100" s="4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13"/>
      <c r="X100" s="13"/>
      <c r="Y100" s="13"/>
      <c r="Z100" s="13"/>
      <c r="AA100" s="13"/>
      <c r="AB100" s="13"/>
      <c r="AC100" s="11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20.399999999999999">
      <c r="A101" t="str">
        <f t="shared" si="31"/>
        <v>Véhicules usagésVentes au Gros</v>
      </c>
      <c r="B101" s="11" t="s">
        <v>70</v>
      </c>
      <c r="C101" s="29" t="s">
        <v>75</v>
      </c>
      <c r="D101" s="30">
        <v>20</v>
      </c>
      <c r="E101" s="30">
        <f t="shared" ref="E101" si="32">IF(D101=0,0,F101/D101)</f>
        <v>500</v>
      </c>
      <c r="F101" s="30">
        <v>10000</v>
      </c>
      <c r="G101" s="31"/>
      <c r="H101" s="30"/>
      <c r="I101" s="30"/>
      <c r="J101" s="31">
        <v>20</v>
      </c>
      <c r="K101" s="30">
        <f>IF(J101=0,0,L101/J101)</f>
        <v>643.70950000000016</v>
      </c>
      <c r="L101" s="33">
        <v>12874.190000000002</v>
      </c>
      <c r="M101" s="31">
        <f>J101-D101</f>
        <v>0</v>
      </c>
      <c r="N101" s="33">
        <f>L101-F101</f>
        <v>2874.1900000000023</v>
      </c>
      <c r="O101" s="31">
        <v>15</v>
      </c>
      <c r="P101" s="30">
        <f>IF(O101=0,0,Q101/O101)</f>
        <v>645.38600000000008</v>
      </c>
      <c r="Q101" s="33">
        <v>9680.7900000000009</v>
      </c>
      <c r="R101" s="31">
        <f>J101-O101</f>
        <v>5</v>
      </c>
      <c r="S101" s="34">
        <f>L101-Q101</f>
        <v>3193.4000000000015</v>
      </c>
      <c r="T101" s="13"/>
      <c r="U101" s="13"/>
      <c r="W101" s="457">
        <v>20</v>
      </c>
      <c r="X101" s="13">
        <v>12874</v>
      </c>
      <c r="Y101" s="499">
        <f>L101-X101</f>
        <v>0.19000000000232831</v>
      </c>
      <c r="Z101" s="13"/>
      <c r="AA101" s="13"/>
      <c r="AB101" s="13"/>
      <c r="AC101" s="82"/>
      <c r="AD101" s="13"/>
      <c r="AE101" s="13"/>
      <c r="AF101" s="140"/>
      <c r="AG101" s="13"/>
      <c r="AH101" s="13"/>
      <c r="AI101" s="13"/>
      <c r="AJ101" s="13"/>
      <c r="AK101" s="13"/>
      <c r="AL101" s="13"/>
      <c r="AM101" s="13"/>
      <c r="AN101" s="13"/>
    </row>
    <row r="102" spans="1:40" ht="21">
      <c r="A102" t="str">
        <f t="shared" si="31"/>
        <v>Véhicules usagés</v>
      </c>
      <c r="B102" s="11" t="s">
        <v>70</v>
      </c>
      <c r="C102" s="86"/>
      <c r="D102" s="25"/>
      <c r="E102" s="25"/>
      <c r="F102" s="48"/>
      <c r="G102" s="51"/>
      <c r="H102" s="47"/>
      <c r="I102" s="48"/>
      <c r="J102" s="51"/>
      <c r="K102" s="47"/>
      <c r="L102" s="48"/>
      <c r="M102" s="49"/>
      <c r="N102" s="141"/>
      <c r="O102" s="51"/>
      <c r="P102" s="47"/>
      <c r="Q102" s="48"/>
      <c r="R102" s="49"/>
      <c r="S102" s="142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40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31"/>
        <v>Véhicules usagésRev. Finances</v>
      </c>
      <c r="B103" s="11" t="s">
        <v>70</v>
      </c>
      <c r="C103" s="29" t="s">
        <v>24</v>
      </c>
      <c r="D103" s="30"/>
      <c r="E103" s="30">
        <f>IF(D97=0,0,F103/D97)</f>
        <v>350</v>
      </c>
      <c r="F103" s="33">
        <v>7700</v>
      </c>
      <c r="G103" s="31"/>
      <c r="H103" s="30"/>
      <c r="I103" s="30"/>
      <c r="J103" s="31"/>
      <c r="K103" s="30">
        <f>IF(J97=0,0,L103/J97)</f>
        <v>252.83818181818185</v>
      </c>
      <c r="L103" s="33">
        <v>5562.4400000000005</v>
      </c>
      <c r="M103" s="31"/>
      <c r="N103" s="33">
        <f>L103-F103</f>
        <v>-2137.5599999999995</v>
      </c>
      <c r="O103" s="31"/>
      <c r="P103" s="30">
        <f>IF(O97=0,0,Q103/O97)</f>
        <v>245.39684210526315</v>
      </c>
      <c r="Q103" s="33">
        <v>4662.54</v>
      </c>
      <c r="R103" s="31">
        <f>O103-K103</f>
        <v>-252.83818181818185</v>
      </c>
      <c r="S103" s="34">
        <f>L103-Q103</f>
        <v>899.90000000000055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31"/>
        <v>Véhicules usagésRev. Protections</v>
      </c>
      <c r="B104" s="11" t="s">
        <v>70</v>
      </c>
      <c r="C104" s="29" t="s">
        <v>25</v>
      </c>
      <c r="D104" s="30"/>
      <c r="E104" s="30">
        <f>IF(D97=0,0,F104/D97)</f>
        <v>950</v>
      </c>
      <c r="F104" s="33">
        <v>20900</v>
      </c>
      <c r="G104" s="31"/>
      <c r="H104" s="30"/>
      <c r="I104" s="30"/>
      <c r="J104" s="31"/>
      <c r="K104" s="30">
        <f>IF(J97=0,0,L104/J97)</f>
        <v>504.86363636363637</v>
      </c>
      <c r="L104" s="33">
        <v>11107</v>
      </c>
      <c r="M104" s="31"/>
      <c r="N104" s="33">
        <f>L104-F104</f>
        <v>-9793</v>
      </c>
      <c r="O104" s="31"/>
      <c r="P104" s="30">
        <f>IF(O97=0,0,Q104/O97)</f>
        <v>399.11473684210478</v>
      </c>
      <c r="Q104" s="33">
        <v>7583.1799999999903</v>
      </c>
      <c r="R104" s="31">
        <f>O104-K104</f>
        <v>-504.86363636363637</v>
      </c>
      <c r="S104" s="34">
        <f>L104-Q104</f>
        <v>3523.8200000000097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399999999999999">
      <c r="A105" t="str">
        <f t="shared" si="31"/>
        <v>Véhicules usagésRev. Autres</v>
      </c>
      <c r="B105" s="11" t="s">
        <v>70</v>
      </c>
      <c r="C105" s="29" t="s">
        <v>26</v>
      </c>
      <c r="D105" s="30"/>
      <c r="E105" s="47">
        <f>IF(D97=0,0,F105/D97)</f>
        <v>200</v>
      </c>
      <c r="F105" s="33">
        <v>4400</v>
      </c>
      <c r="G105" s="31"/>
      <c r="H105" s="47"/>
      <c r="I105" s="30"/>
      <c r="J105" s="31"/>
      <c r="K105" s="47">
        <f>IF(J97=0,0,L105/J97)</f>
        <v>72.296818181818168</v>
      </c>
      <c r="L105" s="33">
        <v>1590.5299999999997</v>
      </c>
      <c r="M105" s="51"/>
      <c r="N105" s="33">
        <f>L105-F105</f>
        <v>-2809.4700000000003</v>
      </c>
      <c r="O105" s="31"/>
      <c r="P105" s="47">
        <f>IF(O97=0,0,Q105/O97)</f>
        <v>194.7757894736842</v>
      </c>
      <c r="Q105" s="33">
        <v>3700.74</v>
      </c>
      <c r="R105" s="31">
        <f>O105-K105</f>
        <v>-72.296818181818168</v>
      </c>
      <c r="S105" s="34">
        <f>L105-Q105</f>
        <v>-2110.21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31"/>
        <v>Véhicules usagésTotal F&amp;I</v>
      </c>
      <c r="B106" s="11" t="s">
        <v>70</v>
      </c>
      <c r="C106" s="35" t="s">
        <v>27</v>
      </c>
      <c r="D106" s="36">
        <f>D97</f>
        <v>22</v>
      </c>
      <c r="E106" s="30">
        <f t="shared" ref="E106" si="33">IF(D106=0,0,F106/D106)</f>
        <v>1500</v>
      </c>
      <c r="F106" s="37">
        <f>F103+F104+F105</f>
        <v>33000</v>
      </c>
      <c r="G106" s="38"/>
      <c r="H106" s="36"/>
      <c r="I106" s="37"/>
      <c r="J106" s="38">
        <f>J97</f>
        <v>22</v>
      </c>
      <c r="K106" s="36">
        <f>IF(J106&lt;=0,0,L106/J106)</f>
        <v>829.99863636363636</v>
      </c>
      <c r="L106" s="37">
        <f>L103+L104+L105</f>
        <v>18259.97</v>
      </c>
      <c r="M106" s="31">
        <f>J106-D106</f>
        <v>0</v>
      </c>
      <c r="N106" s="37">
        <f>L106-F106</f>
        <v>-14740.029999999999</v>
      </c>
      <c r="O106" s="38">
        <f>O97</f>
        <v>19</v>
      </c>
      <c r="P106" s="36">
        <f t="shared" ref="P106" si="34">IF(O106=0,0,Q106/O106)</f>
        <v>839.28736842105207</v>
      </c>
      <c r="Q106" s="37">
        <f>Q103+Q104+Q105</f>
        <v>15946.45999999999</v>
      </c>
      <c r="R106" s="56"/>
      <c r="S106" s="39">
        <f>L106-Q106</f>
        <v>2313.5100000000111</v>
      </c>
      <c r="T106" s="13"/>
      <c r="U106" s="13"/>
      <c r="W106" s="13"/>
      <c r="X106" s="13">
        <v>18260</v>
      </c>
      <c r="Y106" s="499">
        <f>L106-X106</f>
        <v>-2.9999999998835847E-2</v>
      </c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>
      <c r="A107" t="str">
        <f t="shared" si="31"/>
        <v>Véhicules usagés</v>
      </c>
      <c r="B107" s="11" t="s">
        <v>70</v>
      </c>
      <c r="C107" s="29"/>
      <c r="D107" s="13"/>
      <c r="E107" s="13"/>
      <c r="F107" s="59"/>
      <c r="G107" s="41"/>
      <c r="H107" s="143"/>
      <c r="I107" s="59"/>
      <c r="J107" s="41"/>
      <c r="K107" s="13"/>
      <c r="L107" s="59"/>
      <c r="M107" s="42"/>
      <c r="N107" s="43">
        <f>N106/F106</f>
        <v>-0.44666757575757571</v>
      </c>
      <c r="O107" s="41"/>
      <c r="P107" s="13"/>
      <c r="Q107" s="59"/>
      <c r="R107" s="60"/>
      <c r="S107" s="44">
        <f>IF(Q106=0,0,(S106/Q106))</f>
        <v>0.14507984844285268</v>
      </c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Bot="1">
      <c r="A108" t="str">
        <f t="shared" si="31"/>
        <v>Véhicules usagés</v>
      </c>
      <c r="B108" s="11" t="s">
        <v>70</v>
      </c>
      <c r="C108" s="29"/>
      <c r="D108" s="13"/>
      <c r="E108" s="13"/>
      <c r="F108" s="59"/>
      <c r="G108" s="41"/>
      <c r="H108" s="143"/>
      <c r="I108" s="59"/>
      <c r="J108" s="41"/>
      <c r="K108" s="13"/>
      <c r="L108" s="59"/>
      <c r="M108" s="42"/>
      <c r="N108" s="43"/>
      <c r="O108" s="41"/>
      <c r="P108" s="13"/>
      <c r="Q108" s="59"/>
      <c r="R108" s="60"/>
      <c r="S108" s="44"/>
      <c r="T108" s="13"/>
      <c r="U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Top="1">
      <c r="A109" t="str">
        <f t="shared" si="31"/>
        <v>Véhicules usagésTotal Dépt. Usagés</v>
      </c>
      <c r="B109" s="11" t="s">
        <v>70</v>
      </c>
      <c r="C109" s="62" t="s">
        <v>76</v>
      </c>
      <c r="D109" s="63">
        <f>D97+D101</f>
        <v>42</v>
      </c>
      <c r="E109" s="67">
        <f>IF(D109&lt;=0,0,F109/D109)</f>
        <v>2161.5920709125403</v>
      </c>
      <c r="F109" s="65">
        <f>F97+F106+F101+F99</f>
        <v>90786.866978326696</v>
      </c>
      <c r="G109" s="66"/>
      <c r="H109" s="67"/>
      <c r="I109" s="65"/>
      <c r="J109" s="66">
        <f>J97+J101</f>
        <v>42</v>
      </c>
      <c r="K109" s="67">
        <f>IF(J109&lt;=0,0,L109/J109)</f>
        <v>1915.83785714286</v>
      </c>
      <c r="L109" s="65">
        <f>L97+L106+L101+L99</f>
        <v>80465.190000000119</v>
      </c>
      <c r="M109" s="66">
        <f>J109-D109</f>
        <v>0</v>
      </c>
      <c r="N109" s="65">
        <f>L109-F109</f>
        <v>-10321.676978326577</v>
      </c>
      <c r="O109" s="66">
        <f>O97+O101</f>
        <v>34</v>
      </c>
      <c r="P109" s="67">
        <f>IF(O109&lt;=0,0,Q109/O109)</f>
        <v>1596.1323529411759</v>
      </c>
      <c r="Q109" s="65">
        <f>Q97+Q106+Q101+Q99</f>
        <v>54268.499999999978</v>
      </c>
      <c r="R109" s="66">
        <f>J109-O109</f>
        <v>8</v>
      </c>
      <c r="S109" s="68">
        <f>L109-Q109</f>
        <v>26196.690000000141</v>
      </c>
      <c r="T109" s="13"/>
      <c r="U109" s="13"/>
      <c r="W109" s="484">
        <f>SUM(W95:W108)</f>
        <v>42</v>
      </c>
      <c r="X109" s="484">
        <f>SUM(X95:X108)</f>
        <v>80465</v>
      </c>
      <c r="Y109" s="499">
        <f>L109-X109</f>
        <v>0.19000000011874363</v>
      </c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Bot="1">
      <c r="A110" t="str">
        <f t="shared" si="31"/>
        <v>Véhicules usagés</v>
      </c>
      <c r="B110" s="11" t="s">
        <v>70</v>
      </c>
      <c r="C110" s="69"/>
      <c r="D110" s="70"/>
      <c r="E110" s="70"/>
      <c r="F110" s="71"/>
      <c r="G110" s="72"/>
      <c r="H110" s="70"/>
      <c r="I110" s="71"/>
      <c r="J110" s="72"/>
      <c r="K110" s="70"/>
      <c r="L110" s="71"/>
      <c r="M110" s="73">
        <f>M109/D109</f>
        <v>0</v>
      </c>
      <c r="N110" s="74">
        <f>N109/F109</f>
        <v>-0.1136913005356892</v>
      </c>
      <c r="O110" s="72"/>
      <c r="P110" s="70"/>
      <c r="Q110" s="71"/>
      <c r="R110" s="73">
        <f>O109/R109</f>
        <v>4.25</v>
      </c>
      <c r="S110" s="144">
        <f>IF(Q109=0,0,(S109/Q109))</f>
        <v>0.48272367948257555</v>
      </c>
      <c r="T110" s="13"/>
      <c r="U110" s="13"/>
      <c r="W110" s="13"/>
      <c r="X110" s="30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.6" thickTop="1">
      <c r="A111" t="str">
        <f t="shared" si="31"/>
        <v>Véhicules usagés</v>
      </c>
      <c r="B111" s="11" t="s">
        <v>70</v>
      </c>
      <c r="C111" s="53"/>
      <c r="D111" s="76"/>
      <c r="E111" s="76"/>
      <c r="F111" s="77"/>
      <c r="G111" s="78"/>
      <c r="H111" s="76"/>
      <c r="I111" s="77"/>
      <c r="J111" s="78"/>
      <c r="K111" s="76"/>
      <c r="L111" s="77"/>
      <c r="M111" s="42"/>
      <c r="N111" s="43"/>
      <c r="O111" s="78"/>
      <c r="P111" s="76"/>
      <c r="Q111" s="77"/>
      <c r="R111" s="42"/>
      <c r="S111" s="44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1">
      <c r="A112" t="str">
        <f t="shared" si="31"/>
        <v>Véhicules usagésDEPENSES</v>
      </c>
      <c r="B112" s="11" t="s">
        <v>70</v>
      </c>
      <c r="C112" s="79" t="s">
        <v>29</v>
      </c>
      <c r="D112" s="13"/>
      <c r="E112" s="80"/>
      <c r="F112" s="59"/>
      <c r="G112" s="41"/>
      <c r="H112" s="80"/>
      <c r="I112" s="59"/>
      <c r="J112" s="41"/>
      <c r="K112" s="80"/>
      <c r="L112" s="40"/>
      <c r="M112" s="41"/>
      <c r="N112" s="40"/>
      <c r="O112" s="41"/>
      <c r="P112" s="80"/>
      <c r="Q112" s="40"/>
      <c r="R112" s="41"/>
      <c r="S112" s="61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31"/>
        <v>Véhicules usagésComm. vendeurs</v>
      </c>
      <c r="B113" s="11" t="s">
        <v>70</v>
      </c>
      <c r="C113" s="29" t="s">
        <v>30</v>
      </c>
      <c r="D113" s="147">
        <f>F113/(F97+F106)</f>
        <v>0.19909548550059533</v>
      </c>
      <c r="E113" s="82">
        <f t="shared" ref="E113:E122" si="35">F113/D$97</f>
        <v>708.59893248620983</v>
      </c>
      <c r="F113" s="30">
        <v>15589.176514696615</v>
      </c>
      <c r="G113" s="156"/>
      <c r="H113" s="82"/>
      <c r="I113" s="30"/>
      <c r="J113" s="156">
        <f>L113/L97</f>
        <v>0.47137052631443982</v>
      </c>
      <c r="K113" s="82">
        <f>IF($J$97=0,0,L113/(J$94+J$95+J96))</f>
        <v>1003.4413636363636</v>
      </c>
      <c r="L113" s="33">
        <v>22075.71</v>
      </c>
      <c r="M113" s="41"/>
      <c r="N113" s="59">
        <f t="shared" ref="N113:N154" si="36">L113-F113</f>
        <v>6486.5334853033837</v>
      </c>
      <c r="O113" s="156">
        <f>Q113/Q97</f>
        <v>0.31047162015511609</v>
      </c>
      <c r="P113" s="82">
        <f t="shared" ref="P113:P122" si="37">Q113/O$97</f>
        <v>410.31684210526316</v>
      </c>
      <c r="Q113" s="33">
        <v>7796.02</v>
      </c>
      <c r="R113" s="41"/>
      <c r="S113" s="85">
        <f t="shared" ref="S113:S118" si="38">L113-Q113</f>
        <v>14279.689999999999</v>
      </c>
      <c r="T113" s="13"/>
      <c r="U113" s="13"/>
      <c r="V113" s="489" t="s">
        <v>263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31"/>
        <v>Véhicules usagésComm. F&amp;I</v>
      </c>
      <c r="B114" s="11" t="s">
        <v>70</v>
      </c>
      <c r="C114" s="86" t="s">
        <v>31</v>
      </c>
      <c r="D114" s="217">
        <f>F114/(F106+F99)</f>
        <v>0.25107880065720395</v>
      </c>
      <c r="E114" s="88">
        <f t="shared" si="35"/>
        <v>405</v>
      </c>
      <c r="F114" s="22">
        <v>8910</v>
      </c>
      <c r="G114" s="161"/>
      <c r="H114" s="88"/>
      <c r="I114" s="22"/>
      <c r="J114" s="161">
        <f>L114/L106</f>
        <v>0.16580585838859538</v>
      </c>
      <c r="K114" s="88">
        <f>IF($J$97=0,0,L114/(J$94+J$95+J96))</f>
        <v>137.61863636363637</v>
      </c>
      <c r="L114" s="33">
        <v>3027.61</v>
      </c>
      <c r="M114" s="23"/>
      <c r="N114" s="91">
        <f t="shared" si="36"/>
        <v>-5882.3899999999994</v>
      </c>
      <c r="O114" s="161">
        <f>Q114/(Q106+Q99)</f>
        <v>0.10904604604501823</v>
      </c>
      <c r="P114" s="88">
        <f t="shared" si="37"/>
        <v>111.78631578947369</v>
      </c>
      <c r="Q114" s="33">
        <v>2123.94</v>
      </c>
      <c r="R114" s="23"/>
      <c r="S114" s="92">
        <f t="shared" si="38"/>
        <v>903.67000000000007</v>
      </c>
      <c r="T114" s="13"/>
      <c r="U114" s="13"/>
      <c r="V114" s="495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31"/>
        <v>Véhicules usagésFrais de livraison</v>
      </c>
      <c r="B115" s="11" t="s">
        <v>70</v>
      </c>
      <c r="C115" s="29" t="s">
        <v>32</v>
      </c>
      <c r="D115" s="81"/>
      <c r="E115" s="82">
        <f t="shared" si="35"/>
        <v>85</v>
      </c>
      <c r="F115" s="30">
        <v>1870</v>
      </c>
      <c r="G115" s="83"/>
      <c r="H115" s="82"/>
      <c r="I115" s="30"/>
      <c r="J115" s="41"/>
      <c r="K115" s="82">
        <f>IF($J$97=0,0,L115/(J$94+J$95+J96))</f>
        <v>33.986818181818187</v>
      </c>
      <c r="L115" s="108">
        <v>747.71</v>
      </c>
      <c r="M115" s="41"/>
      <c r="N115" s="59">
        <f t="shared" si="36"/>
        <v>-1122.29</v>
      </c>
      <c r="O115" s="41"/>
      <c r="P115" s="82">
        <f t="shared" si="37"/>
        <v>52.315263157894741</v>
      </c>
      <c r="Q115" s="108">
        <v>993.99</v>
      </c>
      <c r="R115" s="41"/>
      <c r="S115" s="85">
        <f t="shared" si="38"/>
        <v>-246.27999999999997</v>
      </c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31"/>
        <v>Véhicules usagésService gratuit 1</v>
      </c>
      <c r="B116" s="11" t="s">
        <v>70</v>
      </c>
      <c r="C116" s="29" t="s">
        <v>33</v>
      </c>
      <c r="D116" s="81"/>
      <c r="E116" s="82">
        <f t="shared" si="35"/>
        <v>80</v>
      </c>
      <c r="F116" s="30">
        <v>1760</v>
      </c>
      <c r="G116" s="83"/>
      <c r="H116" s="82"/>
      <c r="I116" s="30"/>
      <c r="J116" s="41"/>
      <c r="K116" s="82">
        <f>IF($J$97=0,0,L116/(J$94+J$95+J96))</f>
        <v>11.206818181818182</v>
      </c>
      <c r="L116" s="33">
        <v>246.55</v>
      </c>
      <c r="M116" s="41"/>
      <c r="N116" s="59">
        <f t="shared" si="36"/>
        <v>-1513.45</v>
      </c>
      <c r="O116" s="41"/>
      <c r="P116" s="82">
        <f t="shared" si="37"/>
        <v>51.683157894736844</v>
      </c>
      <c r="Q116" s="33">
        <v>981.98</v>
      </c>
      <c r="R116" s="41"/>
      <c r="S116" s="85">
        <f t="shared" si="38"/>
        <v>-735.43000000000006</v>
      </c>
      <c r="T116" s="13"/>
      <c r="U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31"/>
        <v>Véhicules usagésEntretien stock</v>
      </c>
      <c r="B117" s="11" t="s">
        <v>70</v>
      </c>
      <c r="C117" s="86" t="s">
        <v>34</v>
      </c>
      <c r="D117" s="87"/>
      <c r="E117" s="88">
        <f t="shared" si="35"/>
        <v>47.954545454545453</v>
      </c>
      <c r="F117" s="22">
        <v>1055</v>
      </c>
      <c r="G117" s="89"/>
      <c r="H117" s="88"/>
      <c r="I117" s="22"/>
      <c r="J117" s="23"/>
      <c r="K117" s="88">
        <f>IF($J$97=0,0,L117/(J$94+J$95+J96))</f>
        <v>38.136363636363633</v>
      </c>
      <c r="L117" s="48">
        <v>839</v>
      </c>
      <c r="M117" s="23"/>
      <c r="N117" s="91">
        <f t="shared" si="36"/>
        <v>-216</v>
      </c>
      <c r="O117" s="23"/>
      <c r="P117" s="88">
        <f t="shared" si="37"/>
        <v>154.97</v>
      </c>
      <c r="Q117" s="48">
        <v>2944.43</v>
      </c>
      <c r="R117" s="23"/>
      <c r="S117" s="92">
        <f t="shared" si="38"/>
        <v>-2105.4299999999998</v>
      </c>
      <c r="T117" s="13"/>
      <c r="U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 t="shared" si="31"/>
        <v>Véhicules usagésPublicité 1</v>
      </c>
      <c r="B118" s="11" t="s">
        <v>70</v>
      </c>
      <c r="C118" s="29" t="s">
        <v>35</v>
      </c>
      <c r="D118" s="81"/>
      <c r="E118" s="82">
        <f t="shared" si="35"/>
        <v>42.613636363636367</v>
      </c>
      <c r="F118" s="30">
        <v>937.5</v>
      </c>
      <c r="G118" s="83"/>
      <c r="H118" s="82"/>
      <c r="I118" s="30"/>
      <c r="J118" s="41"/>
      <c r="K118" s="82">
        <f>IF($J$97=0,0,L118/(J$94+J$95+J96))</f>
        <v>43.456818181818171</v>
      </c>
      <c r="L118" s="33">
        <v>956.04999999999973</v>
      </c>
      <c r="M118" s="41"/>
      <c r="N118" s="59">
        <f t="shared" si="36"/>
        <v>18.549999999999727</v>
      </c>
      <c r="O118" s="41"/>
      <c r="P118" s="82">
        <f t="shared" si="37"/>
        <v>328.83789473684209</v>
      </c>
      <c r="Q118" s="33">
        <v>6247.92</v>
      </c>
      <c r="R118" s="41"/>
      <c r="S118" s="85">
        <f t="shared" si="38"/>
        <v>-5291.8700000000008</v>
      </c>
      <c r="T118" s="13"/>
      <c r="U118" s="13"/>
      <c r="W118" s="48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>
      <c r="A119" t="str">
        <f>+B119&amp;C119</f>
        <v>Véhicules usagésIntérêt de gros</v>
      </c>
      <c r="B119" s="11" t="s">
        <v>70</v>
      </c>
      <c r="C119" s="29" t="s">
        <v>36</v>
      </c>
      <c r="D119" s="81"/>
      <c r="E119" s="82">
        <f t="shared" si="35"/>
        <v>320.86735260804755</v>
      </c>
      <c r="F119" s="30">
        <v>7059.0817573770464</v>
      </c>
      <c r="G119" s="83"/>
      <c r="H119" s="82"/>
      <c r="I119" s="30"/>
      <c r="J119" s="41"/>
      <c r="K119" s="82">
        <f>IF($J$97=0,0,L119/(J$94+J$95+J96))</f>
        <v>246.67454545454547</v>
      </c>
      <c r="L119" s="33">
        <v>5426.84</v>
      </c>
      <c r="M119" s="41"/>
      <c r="N119" s="59">
        <f t="shared" si="36"/>
        <v>-1632.2417573770463</v>
      </c>
      <c r="O119" s="41"/>
      <c r="P119" s="82">
        <f t="shared" si="37"/>
        <v>171.97315789473683</v>
      </c>
      <c r="Q119" s="33">
        <v>3267.49</v>
      </c>
      <c r="R119" s="41"/>
      <c r="S119" s="85">
        <f>L119-Q119</f>
        <v>2159.3500000000004</v>
      </c>
      <c r="T119" s="13"/>
      <c r="U119" s="13"/>
      <c r="V119" s="489">
        <v>5427</v>
      </c>
      <c r="W119" s="49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>+B120&amp;C120</f>
        <v>Véhicules usagés[...]</v>
      </c>
      <c r="B120" s="11" t="s">
        <v>70</v>
      </c>
      <c r="C120" s="29" t="s">
        <v>19</v>
      </c>
      <c r="D120" s="81"/>
      <c r="E120" s="82">
        <f t="shared" si="35"/>
        <v>0</v>
      </c>
      <c r="F120" s="30">
        <v>0</v>
      </c>
      <c r="G120" s="83"/>
      <c r="H120" s="82"/>
      <c r="I120" s="30"/>
      <c r="J120" s="41"/>
      <c r="K120" s="82">
        <f>IF($J$97=0,0,L120/(J$94+J$95))</f>
        <v>0</v>
      </c>
      <c r="L120" s="33">
        <v>0</v>
      </c>
      <c r="M120" s="41"/>
      <c r="N120" s="59">
        <f t="shared" si="36"/>
        <v>0</v>
      </c>
      <c r="O120" s="41"/>
      <c r="P120" s="82">
        <f t="shared" si="37"/>
        <v>0</v>
      </c>
      <c r="Q120" s="33">
        <v>0</v>
      </c>
      <c r="R120" s="41"/>
      <c r="S120" s="85">
        <f>L120-Q120</f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>+B121&amp;C121</f>
        <v>Véhicules usagés[...]</v>
      </c>
      <c r="B121" s="11" t="s">
        <v>70</v>
      </c>
      <c r="C121" s="29" t="s">
        <v>19</v>
      </c>
      <c r="D121" s="81"/>
      <c r="E121" s="82">
        <f t="shared" si="35"/>
        <v>0</v>
      </c>
      <c r="F121" s="30">
        <v>0</v>
      </c>
      <c r="G121" s="83"/>
      <c r="H121" s="82"/>
      <c r="I121" s="30"/>
      <c r="J121" s="41"/>
      <c r="K121" s="82">
        <f>IF($J$97=0,0,L121/(J$94+J$95))</f>
        <v>0</v>
      </c>
      <c r="L121" s="33">
        <v>0</v>
      </c>
      <c r="M121" s="41"/>
      <c r="N121" s="59">
        <f t="shared" si="36"/>
        <v>0</v>
      </c>
      <c r="O121" s="41"/>
      <c r="P121" s="82">
        <f t="shared" si="37"/>
        <v>0</v>
      </c>
      <c r="Q121" s="33">
        <v>0</v>
      </c>
      <c r="R121" s="41"/>
      <c r="S121" s="85">
        <f>L121-Q121</f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399999999999999" hidden="1">
      <c r="A122" t="str">
        <f>+B122&amp;C122</f>
        <v>Véhicules usagés[...]</v>
      </c>
      <c r="B122" s="11" t="s">
        <v>70</v>
      </c>
      <c r="C122" s="29" t="s">
        <v>19</v>
      </c>
      <c r="D122" s="81"/>
      <c r="E122" s="82">
        <f t="shared" si="35"/>
        <v>0</v>
      </c>
      <c r="F122" s="30">
        <v>0</v>
      </c>
      <c r="G122" s="83"/>
      <c r="H122" s="82"/>
      <c r="I122" s="30"/>
      <c r="J122" s="41"/>
      <c r="K122" s="82">
        <f>IF($J$97=0,0,L122/(J$94+J$95))</f>
        <v>0</v>
      </c>
      <c r="L122" s="33">
        <v>0</v>
      </c>
      <c r="M122" s="41"/>
      <c r="N122" s="59">
        <f t="shared" si="36"/>
        <v>0</v>
      </c>
      <c r="O122" s="41"/>
      <c r="P122" s="82">
        <f t="shared" si="37"/>
        <v>0</v>
      </c>
      <c r="Q122" s="33">
        <v>0</v>
      </c>
      <c r="R122" s="41"/>
      <c r="S122" s="85">
        <f t="shared" ref="S122:S127" si="39">L122-Q122</f>
        <v>0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1">
      <c r="A123" t="str">
        <f t="shared" ref="A123:A127" si="40">+B123&amp;C123</f>
        <v>Véhicules usagésTOTAL VARIABLES</v>
      </c>
      <c r="B123" s="11" t="s">
        <v>70</v>
      </c>
      <c r="C123" s="93" t="s">
        <v>37</v>
      </c>
      <c r="D123" s="94" t="s">
        <v>38</v>
      </c>
      <c r="E123" s="95">
        <f>F123/F$109</f>
        <v>0.40953895105720217</v>
      </c>
      <c r="F123" s="96">
        <f>SUM(F113:F122)</f>
        <v>37180.758272073661</v>
      </c>
      <c r="G123" s="97"/>
      <c r="H123" s="95"/>
      <c r="I123" s="96"/>
      <c r="J123" s="97" t="s">
        <v>38</v>
      </c>
      <c r="K123" s="95">
        <f>L123/L$109</f>
        <v>0.41408551946500033</v>
      </c>
      <c r="L123" s="96">
        <f>SUM(L113:L122)</f>
        <v>33319.47</v>
      </c>
      <c r="M123" s="100"/>
      <c r="N123" s="96">
        <f t="shared" si="36"/>
        <v>-3861.2882720736598</v>
      </c>
      <c r="O123" s="97" t="s">
        <v>38</v>
      </c>
      <c r="P123" s="95">
        <f>Q123/Q$109</f>
        <v>0.44880123828740442</v>
      </c>
      <c r="Q123" s="96">
        <f>SUM(Q113:Q122)</f>
        <v>24355.769999999997</v>
      </c>
      <c r="R123" s="100"/>
      <c r="S123" s="101">
        <f t="shared" si="39"/>
        <v>8963.7000000000044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40"/>
        <v>Véhicules usagésSalaires cadres</v>
      </c>
      <c r="B124" s="11" t="s">
        <v>70</v>
      </c>
      <c r="C124" s="102" t="s">
        <v>40</v>
      </c>
      <c r="D124" s="13"/>
      <c r="E124" s="13"/>
      <c r="F124" s="30">
        <v>6371.710183908046</v>
      </c>
      <c r="G124" s="41"/>
      <c r="H124" s="13"/>
      <c r="I124" s="30"/>
      <c r="J124" s="41"/>
      <c r="K124" s="13"/>
      <c r="L124" s="33">
        <v>7981.1</v>
      </c>
      <c r="M124" s="41"/>
      <c r="N124" s="59">
        <f t="shared" si="36"/>
        <v>1609.3898160919543</v>
      </c>
      <c r="O124" s="41"/>
      <c r="P124" s="13"/>
      <c r="Q124" s="33">
        <v>3444.18</v>
      </c>
      <c r="R124" s="41"/>
      <c r="S124" s="85">
        <f t="shared" si="39"/>
        <v>4536.92</v>
      </c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40"/>
        <v>Véhicules usagésSalaires commis</v>
      </c>
      <c r="B125" s="11" t="s">
        <v>70</v>
      </c>
      <c r="C125" s="103" t="s">
        <v>41</v>
      </c>
      <c r="D125" s="81"/>
      <c r="E125" s="13"/>
      <c r="F125" s="22">
        <v>1881.1493850574709</v>
      </c>
      <c r="G125" s="83"/>
      <c r="H125" s="13"/>
      <c r="I125" s="22"/>
      <c r="J125" s="41"/>
      <c r="K125" s="13"/>
      <c r="L125" s="22">
        <v>1230.19</v>
      </c>
      <c r="M125" s="41"/>
      <c r="N125" s="59">
        <f t="shared" si="36"/>
        <v>-650.95938505747085</v>
      </c>
      <c r="O125" s="41"/>
      <c r="P125" s="13"/>
      <c r="Q125" s="22">
        <v>3065.73</v>
      </c>
      <c r="R125" s="41"/>
      <c r="S125" s="85">
        <f t="shared" si="39"/>
        <v>-1835.54</v>
      </c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>
      <c r="A126" t="str">
        <f t="shared" si="40"/>
        <v>Véhicules usagésSalaires autres</v>
      </c>
      <c r="B126" s="11" t="s">
        <v>70</v>
      </c>
      <c r="C126" s="102" t="s">
        <v>42</v>
      </c>
      <c r="D126" s="104"/>
      <c r="E126" s="105"/>
      <c r="F126" s="30">
        <v>0</v>
      </c>
      <c r="G126" s="106"/>
      <c r="H126" s="105"/>
      <c r="I126" s="30"/>
      <c r="J126" s="107"/>
      <c r="K126" s="105"/>
      <c r="L126" s="33">
        <v>0</v>
      </c>
      <c r="M126" s="107"/>
      <c r="N126" s="109">
        <f t="shared" si="36"/>
        <v>0</v>
      </c>
      <c r="O126" s="107"/>
      <c r="P126" s="105"/>
      <c r="Q126" s="33">
        <v>2809</v>
      </c>
      <c r="R126" s="107"/>
      <c r="S126" s="110">
        <f t="shared" si="39"/>
        <v>-2809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 t="shared" si="40"/>
        <v>Véhicules usagésSalaires spécialistes</v>
      </c>
      <c r="B127" s="11" t="s">
        <v>70</v>
      </c>
      <c r="C127" s="102" t="s">
        <v>43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6"/>
        <v>0</v>
      </c>
      <c r="O127" s="41"/>
      <c r="P127" s="13"/>
      <c r="Q127" s="33">
        <v>0</v>
      </c>
      <c r="R127" s="41"/>
      <c r="S127" s="85">
        <f t="shared" si="39"/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>+B128&amp;C128</f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6"/>
        <v>0</v>
      </c>
      <c r="O128" s="41"/>
      <c r="P128" s="13"/>
      <c r="Q128" s="33">
        <v>0</v>
      </c>
      <c r="R128" s="41"/>
      <c r="S128" s="85">
        <f>L128-Q128</f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>+B129&amp;C129</f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6"/>
        <v>0</v>
      </c>
      <c r="O129" s="41"/>
      <c r="P129" s="13"/>
      <c r="Q129" s="33">
        <v>0</v>
      </c>
      <c r="R129" s="41"/>
      <c r="S129" s="85">
        <f>L129-Q129</f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 hidden="1">
      <c r="A130" t="str">
        <f>+B130&amp;C130</f>
        <v>Véhicules usagés[...]</v>
      </c>
      <c r="B130" s="11" t="s">
        <v>70</v>
      </c>
      <c r="C130" s="102" t="s">
        <v>19</v>
      </c>
      <c r="D130" s="81"/>
      <c r="E130" s="13"/>
      <c r="F130" s="30">
        <v>0</v>
      </c>
      <c r="G130" s="83"/>
      <c r="H130" s="13"/>
      <c r="I130" s="30"/>
      <c r="J130" s="41"/>
      <c r="K130" s="13"/>
      <c r="L130" s="33">
        <v>0</v>
      </c>
      <c r="M130" s="41"/>
      <c r="N130" s="59">
        <f t="shared" si="36"/>
        <v>0</v>
      </c>
      <c r="O130" s="41"/>
      <c r="P130" s="13"/>
      <c r="Q130" s="33">
        <v>0</v>
      </c>
      <c r="R130" s="41"/>
      <c r="S130" s="85">
        <f>L130-Q130</f>
        <v>0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ref="A131:A149" si="41">+B131&amp;C131</f>
        <v>Véhicules usagésSalaires en absences</v>
      </c>
      <c r="B131" s="11" t="s">
        <v>70</v>
      </c>
      <c r="C131" s="103" t="s">
        <v>44</v>
      </c>
      <c r="D131" s="81"/>
      <c r="E131" s="13"/>
      <c r="F131" s="30">
        <v>3413.343189770399</v>
      </c>
      <c r="G131" s="83"/>
      <c r="H131" s="13"/>
      <c r="I131" s="30"/>
      <c r="J131" s="41"/>
      <c r="K131" s="13"/>
      <c r="L131" s="33">
        <v>2741.18</v>
      </c>
      <c r="M131" s="41"/>
      <c r="N131" s="59">
        <f t="shared" si="36"/>
        <v>-672.16318977039919</v>
      </c>
      <c r="O131" s="41"/>
      <c r="P131" s="13"/>
      <c r="Q131" s="33">
        <v>2672.07</v>
      </c>
      <c r="R131" s="41"/>
      <c r="S131" s="85">
        <f>L131-Q131</f>
        <v>69.109999999999673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41"/>
        <v>Véhicules usagésDéduction à la source</v>
      </c>
      <c r="B132" s="11" t="s">
        <v>70</v>
      </c>
      <c r="C132" s="102" t="s">
        <v>45</v>
      </c>
      <c r="D132" s="104"/>
      <c r="E132" s="105"/>
      <c r="F132" s="54">
        <v>4398.6381311474215</v>
      </c>
      <c r="G132" s="106"/>
      <c r="H132" s="105"/>
      <c r="I132" s="54"/>
      <c r="J132" s="107"/>
      <c r="K132" s="105"/>
      <c r="L132" s="55">
        <v>2974.71</v>
      </c>
      <c r="M132" s="107"/>
      <c r="N132" s="109">
        <f t="shared" si="36"/>
        <v>-1423.9281311474215</v>
      </c>
      <c r="O132" s="107"/>
      <c r="P132" s="105"/>
      <c r="Q132" s="55">
        <v>2599.48</v>
      </c>
      <c r="R132" s="107"/>
      <c r="S132" s="110">
        <f t="shared" ref="S132:S149" si="42">L132-Q132</f>
        <v>375.23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41"/>
        <v>Véhicules usagésBénéfices marginaux</v>
      </c>
      <c r="B133" s="11" t="s">
        <v>70</v>
      </c>
      <c r="C133" s="102" t="s">
        <v>46</v>
      </c>
      <c r="D133" s="81"/>
      <c r="E133" s="13"/>
      <c r="F133" s="30">
        <v>3079.0466918031948</v>
      </c>
      <c r="G133" s="83"/>
      <c r="H133" s="13"/>
      <c r="I133" s="30"/>
      <c r="J133" s="41"/>
      <c r="K133" s="13"/>
      <c r="L133" s="33">
        <v>1937.54</v>
      </c>
      <c r="M133" s="41"/>
      <c r="N133" s="59">
        <f t="shared" si="36"/>
        <v>-1141.5066918031948</v>
      </c>
      <c r="O133" s="41"/>
      <c r="P133" s="13"/>
      <c r="Q133" s="33">
        <v>2288.75</v>
      </c>
      <c r="R133" s="41"/>
      <c r="S133" s="85">
        <f t="shared" si="42"/>
        <v>-351.21000000000004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>
      <c r="A134" t="str">
        <f t="shared" si="41"/>
        <v>Véhicules usagésCsst</v>
      </c>
      <c r="B134" s="11" t="s">
        <v>70</v>
      </c>
      <c r="C134" s="102" t="s">
        <v>47</v>
      </c>
      <c r="D134" s="81"/>
      <c r="E134" s="13"/>
      <c r="F134" s="30">
        <v>862.13307370489463</v>
      </c>
      <c r="G134" s="83"/>
      <c r="H134" s="13"/>
      <c r="I134" s="30"/>
      <c r="J134" s="41"/>
      <c r="K134" s="13"/>
      <c r="L134" s="33">
        <v>421.12</v>
      </c>
      <c r="M134" s="41"/>
      <c r="N134" s="59">
        <f t="shared" si="36"/>
        <v>-441.01307370489462</v>
      </c>
      <c r="O134" s="41"/>
      <c r="P134" s="13"/>
      <c r="Q134" s="33">
        <v>261.77999999999997</v>
      </c>
      <c r="R134" s="41"/>
      <c r="S134" s="85">
        <f t="shared" si="42"/>
        <v>159.34000000000003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399999999999999" hidden="1">
      <c r="A135" t="str">
        <f t="shared" si="41"/>
        <v>Véhicules usagés[...]</v>
      </c>
      <c r="B135" s="11" t="s">
        <v>70</v>
      </c>
      <c r="C135" s="29" t="s">
        <v>19</v>
      </c>
      <c r="D135" s="87"/>
      <c r="E135" s="111"/>
      <c r="F135" s="30">
        <v>0</v>
      </c>
      <c r="G135" s="89"/>
      <c r="H135" s="111"/>
      <c r="I135" s="30"/>
      <c r="J135" s="23"/>
      <c r="K135" s="111"/>
      <c r="L135" s="33">
        <v>0</v>
      </c>
      <c r="M135" s="41"/>
      <c r="N135" s="59">
        <f t="shared" si="36"/>
        <v>0</v>
      </c>
      <c r="O135" s="23"/>
      <c r="P135" s="111"/>
      <c r="Q135" s="33">
        <v>0</v>
      </c>
      <c r="R135" s="23"/>
      <c r="S135" s="92">
        <f t="shared" si="42"/>
        <v>0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1">
      <c r="A136" t="str">
        <f t="shared" si="41"/>
        <v>Véhicules usagésTOTAL PERSONNEL</v>
      </c>
      <c r="B136" s="11" t="s">
        <v>70</v>
      </c>
      <c r="C136" s="93" t="s">
        <v>48</v>
      </c>
      <c r="D136" s="94" t="s">
        <v>38</v>
      </c>
      <c r="E136" s="95">
        <f>F136/F$109</f>
        <v>0.22036249648495318</v>
      </c>
      <c r="F136" s="96">
        <f>+SUM(F124:F135)</f>
        <v>20006.020655391429</v>
      </c>
      <c r="G136" s="97"/>
      <c r="H136" s="95"/>
      <c r="I136" s="96"/>
      <c r="J136" s="97" t="s">
        <v>38</v>
      </c>
      <c r="K136" s="95">
        <f>L136/L$109</f>
        <v>0.21482382630302588</v>
      </c>
      <c r="L136" s="96">
        <f>SUM(L124:L135)</f>
        <v>17285.84</v>
      </c>
      <c r="M136" s="458"/>
      <c r="N136" s="459">
        <f t="shared" si="36"/>
        <v>-2720.1806553914284</v>
      </c>
      <c r="O136" s="97" t="s">
        <v>38</v>
      </c>
      <c r="P136" s="95">
        <f>Q136/Q$109</f>
        <v>0.31585523830583129</v>
      </c>
      <c r="Q136" s="96">
        <f>+SUM(Q124:Q135)</f>
        <v>17140.989999999998</v>
      </c>
      <c r="R136" s="146"/>
      <c r="S136" s="114">
        <f t="shared" si="42"/>
        <v>144.85000000000218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si="41"/>
        <v>Véhicules usagésPublicité 2</v>
      </c>
      <c r="B137" s="11" t="s">
        <v>70</v>
      </c>
      <c r="C137" s="29" t="s">
        <v>49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6"/>
        <v>0</v>
      </c>
      <c r="O137" s="41"/>
      <c r="P137" s="13"/>
      <c r="Q137" s="33">
        <v>0</v>
      </c>
      <c r="R137" s="41"/>
      <c r="S137" s="85">
        <f t="shared" si="42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 hidden="1">
      <c r="A138" t="str">
        <f t="shared" si="41"/>
        <v>Véhicules usagésService gratuit 2</v>
      </c>
      <c r="B138" s="11" t="s">
        <v>70</v>
      </c>
      <c r="C138" s="29" t="s">
        <v>50</v>
      </c>
      <c r="D138" s="81"/>
      <c r="E138" s="13"/>
      <c r="F138" s="30">
        <v>0</v>
      </c>
      <c r="G138" s="83"/>
      <c r="H138" s="13"/>
      <c r="I138" s="30"/>
      <c r="J138" s="41"/>
      <c r="K138" s="13"/>
      <c r="L138" s="33">
        <v>0</v>
      </c>
      <c r="M138" s="41"/>
      <c r="N138" s="59">
        <f t="shared" si="36"/>
        <v>0</v>
      </c>
      <c r="O138" s="41"/>
      <c r="P138" s="13"/>
      <c r="Q138" s="33">
        <v>0</v>
      </c>
      <c r="R138" s="41"/>
      <c r="S138" s="85">
        <f t="shared" si="42"/>
        <v>0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41"/>
        <v>Véhicules usagésFrais véhicules de cie</v>
      </c>
      <c r="B139" s="11" t="s">
        <v>70</v>
      </c>
      <c r="C139" s="86" t="s">
        <v>51</v>
      </c>
      <c r="D139" s="87"/>
      <c r="E139" s="111"/>
      <c r="F139" s="22">
        <v>763.58333333333337</v>
      </c>
      <c r="G139" s="89"/>
      <c r="H139" s="111"/>
      <c r="I139" s="22"/>
      <c r="J139" s="23"/>
      <c r="K139" s="111"/>
      <c r="L139" s="22">
        <v>283.17</v>
      </c>
      <c r="M139" s="23"/>
      <c r="N139" s="91">
        <f t="shared" si="36"/>
        <v>-480.41333333333336</v>
      </c>
      <c r="O139" s="23"/>
      <c r="P139" s="111"/>
      <c r="Q139" s="22">
        <v>926.69</v>
      </c>
      <c r="R139" s="23"/>
      <c r="S139" s="92">
        <f t="shared" si="42"/>
        <v>-643.52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41"/>
        <v>Véhicules usagésInformatique</v>
      </c>
      <c r="B140" s="11" t="s">
        <v>70</v>
      </c>
      <c r="C140" s="29" t="s">
        <v>52</v>
      </c>
      <c r="D140" s="81"/>
      <c r="E140" s="13"/>
      <c r="F140" s="30">
        <v>4084.5149999999999</v>
      </c>
      <c r="G140" s="83"/>
      <c r="H140" s="13"/>
      <c r="I140" s="30"/>
      <c r="J140" s="41"/>
      <c r="K140" s="13"/>
      <c r="L140" s="33">
        <v>4459.83</v>
      </c>
      <c r="M140" s="41"/>
      <c r="N140" s="59">
        <f t="shared" si="36"/>
        <v>375.31500000000005</v>
      </c>
      <c r="O140" s="41"/>
      <c r="P140" s="13"/>
      <c r="Q140" s="33">
        <v>1448.17</v>
      </c>
      <c r="R140" s="41"/>
      <c r="S140" s="85">
        <f t="shared" si="42"/>
        <v>3011.66</v>
      </c>
      <c r="T140" s="13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41"/>
        <v>Véhicules usagésFrais de déplacement</v>
      </c>
      <c r="B141" s="11" t="s">
        <v>70</v>
      </c>
      <c r="C141" s="29" t="s">
        <v>53</v>
      </c>
      <c r="D141" s="81"/>
      <c r="E141" s="13"/>
      <c r="F141" s="30">
        <v>498.75</v>
      </c>
      <c r="G141" s="83"/>
      <c r="H141" s="13"/>
      <c r="I141" s="30"/>
      <c r="J141" s="41"/>
      <c r="K141" s="13"/>
      <c r="L141" s="33">
        <v>1307.5</v>
      </c>
      <c r="M141" s="41"/>
      <c r="N141" s="59">
        <f t="shared" si="36"/>
        <v>808.75</v>
      </c>
      <c r="O141" s="41"/>
      <c r="P141" s="13"/>
      <c r="Q141" s="33">
        <v>117.35</v>
      </c>
      <c r="R141" s="41"/>
      <c r="S141" s="85">
        <f t="shared" si="42"/>
        <v>1190.1500000000001</v>
      </c>
      <c r="T141" s="147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41"/>
        <v>Véhicules usagésServices extérieurs</v>
      </c>
      <c r="B142" s="11" t="s">
        <v>70</v>
      </c>
      <c r="C142" s="86" t="s">
        <v>54</v>
      </c>
      <c r="D142" s="87"/>
      <c r="E142" s="111"/>
      <c r="F142" s="22">
        <v>2897.8903333333333</v>
      </c>
      <c r="G142" s="89"/>
      <c r="H142" s="111"/>
      <c r="I142" s="22"/>
      <c r="J142" s="23"/>
      <c r="K142" s="111"/>
      <c r="L142" s="22">
        <v>3346.29</v>
      </c>
      <c r="M142" s="23"/>
      <c r="N142" s="91">
        <f t="shared" si="36"/>
        <v>448.39966666666669</v>
      </c>
      <c r="O142" s="23"/>
      <c r="P142" s="111"/>
      <c r="Q142" s="22">
        <v>631.08000000000004</v>
      </c>
      <c r="R142" s="23"/>
      <c r="S142" s="92">
        <f t="shared" si="42"/>
        <v>2715.21</v>
      </c>
      <c r="T142" s="13"/>
      <c r="U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41"/>
        <v>Véhicules usagésFournitures autres</v>
      </c>
      <c r="B143" s="11" t="s">
        <v>70</v>
      </c>
      <c r="C143" s="29" t="s">
        <v>55</v>
      </c>
      <c r="D143" s="81"/>
      <c r="E143" s="13"/>
      <c r="F143" s="30">
        <v>13.75</v>
      </c>
      <c r="G143" s="83"/>
      <c r="H143" s="13"/>
      <c r="I143" s="30"/>
      <c r="J143" s="41"/>
      <c r="K143" s="13"/>
      <c r="L143" s="33">
        <v>21.29</v>
      </c>
      <c r="M143" s="41"/>
      <c r="N143" s="59">
        <f t="shared" si="36"/>
        <v>7.5399999999999991</v>
      </c>
      <c r="O143" s="41"/>
      <c r="P143" s="13"/>
      <c r="Q143" s="33">
        <v>0</v>
      </c>
      <c r="R143" s="41"/>
      <c r="S143" s="85">
        <f t="shared" si="42"/>
        <v>21.29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41"/>
        <v>Véhicules usagésUniformes</v>
      </c>
      <c r="B144" s="11" t="s">
        <v>70</v>
      </c>
      <c r="C144" s="29" t="s">
        <v>56</v>
      </c>
      <c r="D144" s="81"/>
      <c r="E144" s="13"/>
      <c r="F144" s="30">
        <v>7.5</v>
      </c>
      <c r="G144" s="83"/>
      <c r="H144" s="13"/>
      <c r="I144" s="30"/>
      <c r="J144" s="41"/>
      <c r="K144" s="13"/>
      <c r="L144" s="33">
        <v>0</v>
      </c>
      <c r="M144" s="41"/>
      <c r="N144" s="59">
        <f t="shared" si="36"/>
        <v>-7.5</v>
      </c>
      <c r="O144" s="41"/>
      <c r="P144" s="13"/>
      <c r="Q144" s="33">
        <v>0</v>
      </c>
      <c r="R144" s="41"/>
      <c r="S144" s="85">
        <f t="shared" si="42"/>
        <v>0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41"/>
        <v>Véhicules usagésPapeterie</v>
      </c>
      <c r="B145" s="11" t="s">
        <v>70</v>
      </c>
      <c r="C145" s="29" t="s">
        <v>57</v>
      </c>
      <c r="D145" s="81"/>
      <c r="E145" s="13"/>
      <c r="F145" s="30">
        <v>217.5</v>
      </c>
      <c r="G145" s="83"/>
      <c r="H145" s="13"/>
      <c r="I145" s="30"/>
      <c r="J145" s="41"/>
      <c r="K145" s="13"/>
      <c r="L145" s="32">
        <v>118.95</v>
      </c>
      <c r="M145" s="41"/>
      <c r="N145" s="59">
        <f t="shared" si="36"/>
        <v>-98.55</v>
      </c>
      <c r="O145" s="41"/>
      <c r="P145" s="13"/>
      <c r="Q145" s="32">
        <v>233.93</v>
      </c>
      <c r="R145" s="41"/>
      <c r="S145" s="85">
        <f t="shared" si="42"/>
        <v>-114.98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41"/>
        <v>Véhicules usagésTéléphone</v>
      </c>
      <c r="B146" s="11" t="s">
        <v>70</v>
      </c>
      <c r="C146" s="29" t="s">
        <v>58</v>
      </c>
      <c r="D146" s="81"/>
      <c r="E146" s="13"/>
      <c r="F146" s="30">
        <v>63.35</v>
      </c>
      <c r="G146" s="83"/>
      <c r="H146" s="13"/>
      <c r="I146" s="30"/>
      <c r="J146" s="41"/>
      <c r="K146" s="13"/>
      <c r="L146" s="33">
        <v>76.319999999999993</v>
      </c>
      <c r="M146" s="41"/>
      <c r="N146" s="59">
        <f t="shared" si="36"/>
        <v>12.969999999999992</v>
      </c>
      <c r="O146" s="41"/>
      <c r="P146" s="13"/>
      <c r="Q146" s="33">
        <v>56.77</v>
      </c>
      <c r="R146" s="41"/>
      <c r="S146" s="85">
        <f t="shared" si="42"/>
        <v>19.54999999999999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41"/>
        <v>Véhicules usagésFrais postaux</v>
      </c>
      <c r="B147" s="11" t="s">
        <v>70</v>
      </c>
      <c r="C147" s="29" t="s">
        <v>59</v>
      </c>
      <c r="D147" s="81"/>
      <c r="E147" s="13"/>
      <c r="F147" s="30">
        <v>84.999999999999986</v>
      </c>
      <c r="G147" s="83"/>
      <c r="H147" s="13"/>
      <c r="I147" s="30"/>
      <c r="J147" s="41"/>
      <c r="K147" s="13"/>
      <c r="L147" s="33">
        <v>202.22</v>
      </c>
      <c r="M147" s="41"/>
      <c r="N147" s="59">
        <f t="shared" si="36"/>
        <v>117.22000000000001</v>
      </c>
      <c r="O147" s="41"/>
      <c r="P147" s="13"/>
      <c r="Q147" s="33">
        <v>119.66</v>
      </c>
      <c r="R147" s="41"/>
      <c r="S147" s="85">
        <f t="shared" si="42"/>
        <v>82.56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41"/>
        <v>Véhicules usagésDivers</v>
      </c>
      <c r="B148" s="11" t="s">
        <v>70</v>
      </c>
      <c r="C148" s="29" t="s">
        <v>60</v>
      </c>
      <c r="D148" s="81"/>
      <c r="E148" s="13"/>
      <c r="F148" s="30">
        <v>238.91666666666663</v>
      </c>
      <c r="G148" s="83"/>
      <c r="H148" s="13"/>
      <c r="I148" s="30"/>
      <c r="J148" s="41"/>
      <c r="K148" s="13"/>
      <c r="L148" s="33">
        <v>203.01999999999998</v>
      </c>
      <c r="M148" s="41"/>
      <c r="N148" s="59">
        <f t="shared" si="36"/>
        <v>-35.896666666666647</v>
      </c>
      <c r="O148" s="41"/>
      <c r="P148" s="13"/>
      <c r="Q148" s="33">
        <v>337.85</v>
      </c>
      <c r="R148" s="41"/>
      <c r="S148" s="85">
        <f t="shared" si="42"/>
        <v>-134.83000000000004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 t="shared" si="41"/>
        <v>Véhicules usagésFormation</v>
      </c>
      <c r="B149" s="11" t="s">
        <v>70</v>
      </c>
      <c r="C149" s="29" t="s">
        <v>61</v>
      </c>
      <c r="D149" s="81"/>
      <c r="E149" s="13"/>
      <c r="F149" s="30">
        <v>114.34800000000004</v>
      </c>
      <c r="G149" s="83"/>
      <c r="H149" s="13"/>
      <c r="I149" s="30"/>
      <c r="J149" s="41"/>
      <c r="K149" s="13"/>
      <c r="L149" s="59">
        <v>89.09</v>
      </c>
      <c r="M149" s="41"/>
      <c r="N149" s="59">
        <f t="shared" si="36"/>
        <v>-25.258000000000038</v>
      </c>
      <c r="O149" s="41"/>
      <c r="P149" s="13"/>
      <c r="Q149" s="33">
        <v>87.01</v>
      </c>
      <c r="R149" s="41"/>
      <c r="S149" s="85">
        <f t="shared" si="42"/>
        <v>2.0799999999999983</v>
      </c>
      <c r="T149" s="13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>
      <c r="A150" t="str">
        <f>+B150&amp;C150</f>
        <v>Véhicules usagésFrais bancaires</v>
      </c>
      <c r="B150" s="11" t="s">
        <v>70</v>
      </c>
      <c r="C150" s="29" t="s">
        <v>62</v>
      </c>
      <c r="D150" s="81"/>
      <c r="E150" s="13"/>
      <c r="F150" s="30">
        <v>1209.0429092304169</v>
      </c>
      <c r="G150" s="83"/>
      <c r="H150" s="13"/>
      <c r="I150" s="30"/>
      <c r="J150" s="41"/>
      <c r="K150" s="13"/>
      <c r="L150" s="33">
        <v>923.21</v>
      </c>
      <c r="M150" s="41"/>
      <c r="N150" s="59">
        <f t="shared" si="36"/>
        <v>-285.83290923041682</v>
      </c>
      <c r="O150" s="41"/>
      <c r="P150" s="13"/>
      <c r="Q150" s="33">
        <v>630.20000000000005</v>
      </c>
      <c r="R150" s="41"/>
      <c r="S150" s="85">
        <f>L150-Q150</f>
        <v>293.01</v>
      </c>
      <c r="T150" s="82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>+B151&amp;C151</f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6"/>
        <v>0</v>
      </c>
      <c r="O151" s="41"/>
      <c r="P151" s="13"/>
      <c r="Q151" s="33">
        <v>0</v>
      </c>
      <c r="R151" s="41"/>
      <c r="S151" s="85">
        <f>L151-Q151</f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>+B152&amp;C152</f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6"/>
        <v>0</v>
      </c>
      <c r="O152" s="41"/>
      <c r="P152" s="13"/>
      <c r="Q152" s="33">
        <v>0</v>
      </c>
      <c r="R152" s="41"/>
      <c r="S152" s="85">
        <f>L152-Q152</f>
        <v>0</v>
      </c>
      <c r="T152" s="13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399999999999999" hidden="1">
      <c r="A153" t="str">
        <f>+B153&amp;C153</f>
        <v>Véhicules usagés[...]</v>
      </c>
      <c r="B153" s="11" t="s">
        <v>70</v>
      </c>
      <c r="C153" s="29" t="s">
        <v>19</v>
      </c>
      <c r="D153" s="81"/>
      <c r="E153" s="13"/>
      <c r="F153" s="30">
        <v>0</v>
      </c>
      <c r="G153" s="83"/>
      <c r="H153" s="13"/>
      <c r="I153" s="30"/>
      <c r="J153" s="41"/>
      <c r="K153" s="13"/>
      <c r="L153" s="33">
        <v>0</v>
      </c>
      <c r="M153" s="41"/>
      <c r="N153" s="59">
        <f t="shared" si="36"/>
        <v>0</v>
      </c>
      <c r="O153" s="41"/>
      <c r="P153" s="13"/>
      <c r="Q153" s="33">
        <v>0</v>
      </c>
      <c r="R153" s="41"/>
      <c r="S153" s="85">
        <f>L153-Q153</f>
        <v>0</v>
      </c>
      <c r="T153" s="8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ref="A154:A159" si="43">+B154&amp;C154</f>
        <v>Véhicules usagésTOTAL SEMI-FIXES</v>
      </c>
      <c r="B154" s="11" t="s">
        <v>70</v>
      </c>
      <c r="C154" s="93" t="s">
        <v>63</v>
      </c>
      <c r="D154" s="94" t="s">
        <v>38</v>
      </c>
      <c r="E154" s="95">
        <f>F154/F$109</f>
        <v>0.11228657383889423</v>
      </c>
      <c r="F154" s="96">
        <f>+SUM(F137:F153)</f>
        <v>10194.146242563749</v>
      </c>
      <c r="G154" s="97"/>
      <c r="H154" s="95"/>
      <c r="I154" s="96"/>
      <c r="J154" s="97" t="s">
        <v>38</v>
      </c>
      <c r="K154" s="95">
        <f>L154/L$109</f>
        <v>0.13708896977686857</v>
      </c>
      <c r="L154" s="96">
        <f>+SUM(L137:L153)</f>
        <v>11030.890000000003</v>
      </c>
      <c r="M154" s="100"/>
      <c r="N154" s="96">
        <f t="shared" si="36"/>
        <v>836.74375743625387</v>
      </c>
      <c r="O154" s="97" t="s">
        <v>38</v>
      </c>
      <c r="P154" s="95">
        <f>Q154/Q$109</f>
        <v>8.4555681472677557E-2</v>
      </c>
      <c r="Q154" s="96">
        <f>+SUM(Q137:Q153)</f>
        <v>4588.71</v>
      </c>
      <c r="R154" s="100"/>
      <c r="S154" s="101">
        <f>L154-Q154</f>
        <v>6442.180000000003</v>
      </c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43"/>
        <v>Véhicules usagés</v>
      </c>
      <c r="B155" s="11" t="s">
        <v>70</v>
      </c>
      <c r="C155" s="86"/>
      <c r="D155" s="87"/>
      <c r="E155" s="111"/>
      <c r="F155" s="59"/>
      <c r="G155" s="89"/>
      <c r="H155" s="111"/>
      <c r="I155" s="59"/>
      <c r="J155" s="23"/>
      <c r="K155" s="111"/>
      <c r="L155" s="91"/>
      <c r="M155" s="23"/>
      <c r="N155" s="91"/>
      <c r="O155" s="23"/>
      <c r="P155" s="111"/>
      <c r="Q155" s="91"/>
      <c r="R155" s="23"/>
      <c r="S155" s="92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43"/>
        <v>Véhicules usagésTOTAL DES DÉPENSES</v>
      </c>
      <c r="B156" s="11" t="s">
        <v>70</v>
      </c>
      <c r="C156" s="93" t="s">
        <v>64</v>
      </c>
      <c r="D156" s="94" t="s">
        <v>38</v>
      </c>
      <c r="E156" s="95">
        <f>F156/F$109</f>
        <v>0.74218802138104945</v>
      </c>
      <c r="F156" s="96">
        <f>F123+F136+F154</f>
        <v>67380.92517002883</v>
      </c>
      <c r="G156" s="97"/>
      <c r="H156" s="95"/>
      <c r="I156" s="96"/>
      <c r="J156" s="97" t="s">
        <v>38</v>
      </c>
      <c r="K156" s="95">
        <f>L156/L$109</f>
        <v>0.76599831554489473</v>
      </c>
      <c r="L156" s="96">
        <f>L123+L136+L154</f>
        <v>61636.2</v>
      </c>
      <c r="M156" s="100"/>
      <c r="N156" s="113">
        <f t="shared" ref="N156:N163" si="44">L156-F156</f>
        <v>-5744.7251700288325</v>
      </c>
      <c r="O156" s="97" t="s">
        <v>38</v>
      </c>
      <c r="P156" s="95">
        <f>Q156/Q$109</f>
        <v>0.84921215806591321</v>
      </c>
      <c r="Q156" s="96">
        <f>Q123+Q136+Q154</f>
        <v>46085.469999999994</v>
      </c>
      <c r="R156" s="100"/>
      <c r="S156" s="114">
        <f t="shared" ref="S156:S163" si="45">L156-Q156</f>
        <v>15550.730000000003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43"/>
        <v>Véhicules usagésRBSC used</v>
      </c>
      <c r="B157" s="11" t="s">
        <v>70</v>
      </c>
      <c r="C157" s="29" t="s">
        <v>217</v>
      </c>
      <c r="D157" s="148"/>
      <c r="E157" s="149"/>
      <c r="F157" s="30">
        <v>5250</v>
      </c>
      <c r="G157" s="150"/>
      <c r="H157" s="149"/>
      <c r="I157" s="30"/>
      <c r="J157" s="150"/>
      <c r="K157" s="149"/>
      <c r="L157" s="32">
        <v>4675</v>
      </c>
      <c r="M157" s="41"/>
      <c r="N157" s="59">
        <f t="shared" si="44"/>
        <v>-575</v>
      </c>
      <c r="O157" s="150"/>
      <c r="P157" s="149"/>
      <c r="Q157" s="33">
        <v>0</v>
      </c>
      <c r="R157" s="41"/>
      <c r="S157" s="85">
        <f t="shared" si="45"/>
        <v>4675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>
      <c r="A158" t="str">
        <f t="shared" si="43"/>
        <v>Véhicules usagésProgramme 360</v>
      </c>
      <c r="B158" s="11" t="s">
        <v>70</v>
      </c>
      <c r="C158" s="29" t="s">
        <v>218</v>
      </c>
      <c r="D158" s="148"/>
      <c r="E158" s="149"/>
      <c r="F158" s="30">
        <v>0</v>
      </c>
      <c r="G158" s="150"/>
      <c r="H158" s="149"/>
      <c r="I158" s="30"/>
      <c r="J158" s="150"/>
      <c r="K158" s="149"/>
      <c r="L158" s="33">
        <v>2700</v>
      </c>
      <c r="M158" s="41"/>
      <c r="N158" s="59">
        <f t="shared" si="44"/>
        <v>2700</v>
      </c>
      <c r="O158" s="150"/>
      <c r="P158" s="149"/>
      <c r="Q158" s="33">
        <v>0</v>
      </c>
      <c r="R158" s="41"/>
      <c r="S158" s="85">
        <f t="shared" si="45"/>
        <v>2700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 hidden="1">
      <c r="A159" t="str">
        <f t="shared" si="43"/>
        <v>Véhicules usagésProgramme used 3</v>
      </c>
      <c r="B159" s="11" t="s">
        <v>70</v>
      </c>
      <c r="C159" s="29" t="s">
        <v>77</v>
      </c>
      <c r="D159" s="81"/>
      <c r="E159" s="13"/>
      <c r="F159" s="30">
        <v>0</v>
      </c>
      <c r="G159" s="83"/>
      <c r="H159" s="13"/>
      <c r="I159" s="30"/>
      <c r="J159" s="41"/>
      <c r="K159" s="13"/>
      <c r="L159" s="33">
        <v>0</v>
      </c>
      <c r="M159" s="41"/>
      <c r="N159" s="59">
        <f t="shared" si="44"/>
        <v>0</v>
      </c>
      <c r="O159" s="41"/>
      <c r="P159" s="13"/>
      <c r="Q159" s="33">
        <v>0</v>
      </c>
      <c r="R159" s="41"/>
      <c r="S159" s="85">
        <f t="shared" si="45"/>
        <v>0</v>
      </c>
      <c r="T159" s="112"/>
      <c r="U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>+B160&amp;C160</f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4"/>
        <v>0</v>
      </c>
      <c r="O160" s="41"/>
      <c r="P160" s="13"/>
      <c r="Q160" s="33">
        <v>0</v>
      </c>
      <c r="R160" s="41"/>
      <c r="S160" s="85">
        <f t="shared" si="45"/>
        <v>0</v>
      </c>
      <c r="T160" s="112"/>
      <c r="U160" s="13"/>
      <c r="V160" s="489">
        <f>L160/595</f>
        <v>0</v>
      </c>
      <c r="W160" s="483">
        <f>V160/J97</f>
        <v>0</v>
      </c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>+B161&amp;C161</f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4"/>
        <v>0</v>
      </c>
      <c r="O161" s="41"/>
      <c r="P161" s="13"/>
      <c r="Q161" s="33">
        <v>0</v>
      </c>
      <c r="R161" s="41"/>
      <c r="S161" s="85">
        <f t="shared" si="45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>+B162&amp;C162</f>
        <v>Véhicules usagés[...]</v>
      </c>
      <c r="B162" s="11" t="s">
        <v>70</v>
      </c>
      <c r="C162" s="29" t="s">
        <v>19</v>
      </c>
      <c r="D162" s="81"/>
      <c r="E162" s="13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4"/>
        <v>0</v>
      </c>
      <c r="O162" s="41"/>
      <c r="P162" s="13"/>
      <c r="Q162" s="33">
        <v>0</v>
      </c>
      <c r="R162" s="41"/>
      <c r="S162" s="85">
        <f t="shared" si="45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A163" t="str">
        <f>+B163&amp;C163</f>
        <v>Véhicules usagésFrais administration</v>
      </c>
      <c r="B163" s="11" t="s">
        <v>70</v>
      </c>
      <c r="C163" s="86" t="s">
        <v>67</v>
      </c>
      <c r="D163" s="87"/>
      <c r="E163" s="111"/>
      <c r="F163" s="30">
        <v>11126.5</v>
      </c>
      <c r="G163" s="83"/>
      <c r="H163" s="13"/>
      <c r="I163" s="30"/>
      <c r="J163" s="41"/>
      <c r="K163" s="13"/>
      <c r="L163" s="32">
        <v>11900</v>
      </c>
      <c r="M163" s="41"/>
      <c r="N163" s="59">
        <f t="shared" si="44"/>
        <v>773.5</v>
      </c>
      <c r="O163" s="41"/>
      <c r="P163" s="13"/>
      <c r="Q163" s="33">
        <v>10115</v>
      </c>
      <c r="R163" s="41"/>
      <c r="S163" s="85">
        <f t="shared" si="45"/>
        <v>1785</v>
      </c>
      <c r="T163" s="112"/>
      <c r="U163" s="13"/>
      <c r="V163" s="489">
        <f>L163/595</f>
        <v>20</v>
      </c>
      <c r="W163" s="483">
        <f>V163/J97</f>
        <v>0.90909090909090906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93" t="s">
        <v>68</v>
      </c>
      <c r="D164" s="94"/>
      <c r="E164" s="95"/>
      <c r="F164" s="96">
        <f>+SUM(F157:F163)</f>
        <v>16376.5</v>
      </c>
      <c r="G164" s="97"/>
      <c r="H164" s="95"/>
      <c r="I164" s="96"/>
      <c r="J164" s="97"/>
      <c r="K164" s="95"/>
      <c r="L164" s="96">
        <f>+SUM(L157:L163)</f>
        <v>19275</v>
      </c>
      <c r="M164" s="100"/>
      <c r="N164" s="96">
        <f>SUM(N157:N160)</f>
        <v>2125</v>
      </c>
      <c r="O164" s="97"/>
      <c r="P164" s="95"/>
      <c r="Q164" s="96">
        <f>+SUM(Q157:Q163)</f>
        <v>10115</v>
      </c>
      <c r="R164" s="100"/>
      <c r="S164" s="101">
        <f>+SUM(S157:S163)</f>
        <v>9160</v>
      </c>
      <c r="T164" s="112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>
      <c r="B165" s="11"/>
      <c r="C165" s="29"/>
      <c r="D165" s="81"/>
      <c r="E165" s="13"/>
      <c r="F165" s="59"/>
      <c r="G165" s="83"/>
      <c r="H165" s="13"/>
      <c r="I165" s="59"/>
      <c r="J165" s="41"/>
      <c r="K165" s="13"/>
      <c r="L165" s="59"/>
      <c r="M165" s="41"/>
      <c r="N165" s="59"/>
      <c r="O165" s="41"/>
      <c r="P165" s="13"/>
      <c r="Q165" s="59"/>
      <c r="R165" s="41"/>
      <c r="S165" s="85"/>
      <c r="T165" s="149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.6" thickBot="1">
      <c r="B166" s="11"/>
      <c r="C166" s="124" t="s">
        <v>69</v>
      </c>
      <c r="D166" s="151"/>
      <c r="E166" s="125"/>
      <c r="F166" s="127">
        <f>F109-F156+F164</f>
        <v>39782.441808297866</v>
      </c>
      <c r="G166" s="152"/>
      <c r="H166" s="125"/>
      <c r="I166" s="127"/>
      <c r="J166" s="153"/>
      <c r="K166" s="126"/>
      <c r="L166" s="127">
        <f>L109-L156+L164</f>
        <v>38103.990000000122</v>
      </c>
      <c r="M166" s="153"/>
      <c r="N166" s="127">
        <f>L166-F166</f>
        <v>-1678.4518082977447</v>
      </c>
      <c r="O166" s="153"/>
      <c r="P166" s="126"/>
      <c r="Q166" s="127">
        <f>Q109-Q156+Q164</f>
        <v>18298.029999999984</v>
      </c>
      <c r="R166" s="153"/>
      <c r="S166" s="129">
        <f>L166-Q166</f>
        <v>19805.960000000137</v>
      </c>
      <c r="T166" s="82"/>
      <c r="U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1" thickTop="1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54"/>
      <c r="M167" s="10"/>
      <c r="N167" s="10"/>
      <c r="O167" s="10"/>
      <c r="P167" s="10"/>
      <c r="Q167" s="10"/>
      <c r="R167" s="10"/>
      <c r="S167" s="10"/>
      <c r="T167" s="154"/>
      <c r="U167" s="10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20.399999999999999"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54"/>
      <c r="U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5.4">
      <c r="B169" s="11"/>
      <c r="C169" s="6" t="str">
        <f>C1</f>
        <v>BMW Sherbrooke</v>
      </c>
      <c r="D169" s="2"/>
      <c r="E169" s="2"/>
      <c r="F169" s="2"/>
      <c r="G169" s="2"/>
      <c r="H169" s="1"/>
      <c r="I169" s="1"/>
      <c r="J169" s="1"/>
      <c r="K169" s="3" t="s">
        <v>78</v>
      </c>
      <c r="L169" s="2"/>
      <c r="M169" s="2"/>
      <c r="N169" s="1"/>
      <c r="O169" s="1"/>
      <c r="P169" s="2"/>
      <c r="Q169" s="1"/>
      <c r="R169" s="2"/>
      <c r="S169" s="5" t="str">
        <f>$S$1</f>
        <v>Réalisé, Août 2026</v>
      </c>
      <c r="T169" s="2"/>
      <c r="U169" s="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t="36" thickBot="1">
      <c r="B170" s="11"/>
      <c r="C170" s="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21.6" thickTop="1">
      <c r="B171" s="11"/>
      <c r="C171" s="12"/>
      <c r="D171" s="506" t="s">
        <v>5</v>
      </c>
      <c r="E171" s="507"/>
      <c r="F171" s="508"/>
      <c r="G171" s="509"/>
      <c r="H171" s="507"/>
      <c r="I171" s="508"/>
      <c r="J171" s="509" t="s">
        <v>7</v>
      </c>
      <c r="K171" s="507"/>
      <c r="L171" s="508"/>
      <c r="M171" s="509" t="s">
        <v>212</v>
      </c>
      <c r="N171" s="508"/>
      <c r="O171" s="506" t="s">
        <v>8</v>
      </c>
      <c r="P171" s="507"/>
      <c r="Q171" s="508"/>
      <c r="R171" s="504" t="s">
        <v>213</v>
      </c>
      <c r="S171" s="505"/>
      <c r="T171" s="148"/>
      <c r="U171" s="13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t="20.399999999999999">
      <c r="A172" t="str">
        <f t="shared" ref="A172:A217" si="46">+B172&amp;C172</f>
        <v>Service</v>
      </c>
      <c r="B172" s="11" t="s">
        <v>78</v>
      </c>
      <c r="C172" s="29"/>
      <c r="D172" s="80" t="s">
        <v>39</v>
      </c>
      <c r="E172" s="80" t="s">
        <v>79</v>
      </c>
      <c r="F172" s="134" t="s">
        <v>12</v>
      </c>
      <c r="G172" s="135"/>
      <c r="H172" s="80"/>
      <c r="I172" s="134"/>
      <c r="J172" s="135" t="s">
        <v>39</v>
      </c>
      <c r="K172" s="80" t="s">
        <v>79</v>
      </c>
      <c r="L172" s="134" t="s">
        <v>12</v>
      </c>
      <c r="M172" s="135" t="s">
        <v>219</v>
      </c>
      <c r="N172" s="134" t="s">
        <v>216</v>
      </c>
      <c r="O172" s="80" t="s">
        <v>39</v>
      </c>
      <c r="P172" s="80" t="s">
        <v>79</v>
      </c>
      <c r="Q172" s="134" t="s">
        <v>12</v>
      </c>
      <c r="R172" s="135" t="s">
        <v>80</v>
      </c>
      <c r="S172" s="136" t="s">
        <v>12</v>
      </c>
      <c r="T172" s="80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46"/>
        <v>ServiceM/O Client</v>
      </c>
      <c r="B173" s="11" t="s">
        <v>78</v>
      </c>
      <c r="C173" s="29" t="s">
        <v>81</v>
      </c>
      <c r="D173" s="485">
        <v>178.40064261407269</v>
      </c>
      <c r="E173" s="82">
        <v>63332.228127995812</v>
      </c>
      <c r="F173" s="82">
        <v>50032.460221116693</v>
      </c>
      <c r="G173" s="155"/>
      <c r="H173" s="82"/>
      <c r="I173" s="82"/>
      <c r="J173" s="60">
        <v>162</v>
      </c>
      <c r="K173" s="30">
        <v>64984.36</v>
      </c>
      <c r="L173" s="33">
        <v>51511.450000000004</v>
      </c>
      <c r="M173" s="156">
        <f>(K173-E173)/E173</f>
        <v>2.6086747945535636E-2</v>
      </c>
      <c r="N173" s="59">
        <f>L173-F173</f>
        <v>1478.9897788833114</v>
      </c>
      <c r="O173" s="60">
        <v>172</v>
      </c>
      <c r="P173" s="30">
        <v>56536.49</v>
      </c>
      <c r="Q173" s="33">
        <v>43980.97</v>
      </c>
      <c r="R173" s="156">
        <f>IF(O173=0,0,J173/O173)</f>
        <v>0.94186046511627908</v>
      </c>
      <c r="S173" s="85">
        <f>L173-Q173</f>
        <v>7530.4800000000032</v>
      </c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46"/>
        <v>Service% profit / ventes</v>
      </c>
      <c r="B174" s="11" t="s">
        <v>78</v>
      </c>
      <c r="C174" s="29" t="s">
        <v>82</v>
      </c>
      <c r="D174" s="485"/>
      <c r="E174" s="143"/>
      <c r="F174" s="157">
        <f>F173/E173</f>
        <v>0.79</v>
      </c>
      <c r="G174" s="41"/>
      <c r="H174" s="143"/>
      <c r="I174" s="157"/>
      <c r="J174" s="60"/>
      <c r="K174" s="13"/>
      <c r="L174" s="157">
        <f>IF(L173=0,0,L173/K173)</f>
        <v>0.79267457585178958</v>
      </c>
      <c r="M174" s="156"/>
      <c r="N174" s="59"/>
      <c r="O174" s="60"/>
      <c r="P174" s="13"/>
      <c r="Q174" s="157">
        <f>Q173/P173</f>
        <v>0.77792183419947014</v>
      </c>
      <c r="R174" s="60"/>
      <c r="S174" s="85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46"/>
        <v>Service</v>
      </c>
      <c r="B175" s="11" t="s">
        <v>78</v>
      </c>
      <c r="C175" s="86"/>
      <c r="D175" s="486"/>
      <c r="E175" s="158">
        <f>IFERROR(E173/D173,0)</f>
        <v>355</v>
      </c>
      <c r="F175" s="159"/>
      <c r="G175" s="23"/>
      <c r="H175" s="158"/>
      <c r="I175" s="159"/>
      <c r="J175" s="160"/>
      <c r="K175" s="460">
        <f>IFERROR(K173/J173,0)</f>
        <v>401.13802469135805</v>
      </c>
      <c r="L175" s="159"/>
      <c r="M175" s="161"/>
      <c r="N175" s="91"/>
      <c r="O175" s="160"/>
      <c r="P175" s="460">
        <f>IFERROR(P173/O173,0)</f>
        <v>328.70052325581395</v>
      </c>
      <c r="Q175" s="159"/>
      <c r="R175" s="160"/>
      <c r="S175" s="92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399999999999999">
      <c r="A176" t="str">
        <f t="shared" si="46"/>
        <v>ServiceM/O Garantie</v>
      </c>
      <c r="B176" s="11" t="s">
        <v>78</v>
      </c>
      <c r="C176" s="14" t="s">
        <v>83</v>
      </c>
      <c r="D176" s="487">
        <v>237.68051047440275</v>
      </c>
      <c r="E176" s="82">
        <v>45159.296990136521</v>
      </c>
      <c r="F176" s="82">
        <v>29985.773201450651</v>
      </c>
      <c r="G176" s="163"/>
      <c r="H176" s="82"/>
      <c r="I176" s="82"/>
      <c r="J176" s="163">
        <v>249</v>
      </c>
      <c r="K176" s="164">
        <v>41152.14</v>
      </c>
      <c r="L176" s="33">
        <v>27354.06</v>
      </c>
      <c r="M176" s="156">
        <f>(K176-E176)/E176</f>
        <v>-8.8733821321703613E-2</v>
      </c>
      <c r="N176" s="109">
        <f>L176-F176</f>
        <v>-2631.7132014506496</v>
      </c>
      <c r="O176" s="163">
        <v>306</v>
      </c>
      <c r="P176" s="164">
        <v>56695.519999999997</v>
      </c>
      <c r="Q176" s="33">
        <v>38384.749999999898</v>
      </c>
      <c r="R176" s="156">
        <f>IF(O176=0,0,J176/O176)</f>
        <v>0.81372549019607843</v>
      </c>
      <c r="S176" s="85">
        <f>L176-Q176</f>
        <v>-11030.689999999897</v>
      </c>
      <c r="T176" s="82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46"/>
        <v>Service% profit / ventes</v>
      </c>
      <c r="B177" s="11" t="s">
        <v>78</v>
      </c>
      <c r="C177" s="29" t="s">
        <v>82</v>
      </c>
      <c r="D177" s="485"/>
      <c r="E177" s="13"/>
      <c r="F177" s="157">
        <f>F176/E176</f>
        <v>0.66400000000000003</v>
      </c>
      <c r="G177" s="41"/>
      <c r="H177" s="13"/>
      <c r="I177" s="157"/>
      <c r="J177" s="41"/>
      <c r="K177" s="13"/>
      <c r="L177" s="157">
        <f>IF(L176=0,0,L176/K176)</f>
        <v>0.66470565078754107</v>
      </c>
      <c r="M177" s="42"/>
      <c r="N177" s="43"/>
      <c r="O177" s="41"/>
      <c r="P177" s="13"/>
      <c r="Q177" s="157">
        <f>Q176/P176</f>
        <v>0.67703321179521592</v>
      </c>
      <c r="R177" s="42"/>
      <c r="S177" s="44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1">
      <c r="A178" t="str">
        <f t="shared" si="46"/>
        <v>Service</v>
      </c>
      <c r="B178" s="11" t="s">
        <v>78</v>
      </c>
      <c r="C178" s="86"/>
      <c r="D178" s="486"/>
      <c r="E178" s="111"/>
      <c r="F178" s="159"/>
      <c r="G178" s="23"/>
      <c r="H178" s="111"/>
      <c r="I178" s="159"/>
      <c r="J178" s="23"/>
      <c r="K178" s="165"/>
      <c r="L178" s="159"/>
      <c r="M178" s="166"/>
      <c r="N178" s="167"/>
      <c r="O178" s="23"/>
      <c r="P178" s="165">
        <f>IFERROR(P176/O176,0)</f>
        <v>185.27947712418299</v>
      </c>
      <c r="Q178" s="159"/>
      <c r="R178" s="166"/>
      <c r="S178" s="168"/>
      <c r="T178" s="13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46"/>
        <v>ServiceM/O Interne</v>
      </c>
      <c r="B179" s="11" t="s">
        <v>78</v>
      </c>
      <c r="C179" s="29" t="s">
        <v>84</v>
      </c>
      <c r="D179" s="485">
        <v>172.5</v>
      </c>
      <c r="E179" s="82">
        <v>69000</v>
      </c>
      <c r="F179" s="82">
        <v>51957</v>
      </c>
      <c r="G179" s="41"/>
      <c r="H179" s="82"/>
      <c r="I179" s="82"/>
      <c r="J179" s="60">
        <v>158</v>
      </c>
      <c r="K179" s="164">
        <v>41514.76</v>
      </c>
      <c r="L179" s="33">
        <v>32173.730000000003</v>
      </c>
      <c r="M179" s="156">
        <f>(K179-E179)/E179</f>
        <v>-0.39833681159420287</v>
      </c>
      <c r="N179" s="59">
        <f>L179-F179</f>
        <v>-19783.269999999997</v>
      </c>
      <c r="O179" s="60">
        <v>142</v>
      </c>
      <c r="P179" s="164">
        <v>42296.289999999899</v>
      </c>
      <c r="Q179" s="33">
        <v>31688.709999999901</v>
      </c>
      <c r="R179" s="156">
        <f>IF(O179=0,0,J179/O179)</f>
        <v>1.1126760563380282</v>
      </c>
      <c r="S179" s="85">
        <f>L179-Q179</f>
        <v>485.0200000001023</v>
      </c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46"/>
        <v>Service% profit / ventes</v>
      </c>
      <c r="B180" s="11" t="s">
        <v>78</v>
      </c>
      <c r="C180" s="29" t="s">
        <v>82</v>
      </c>
      <c r="D180" s="485"/>
      <c r="E180" s="143"/>
      <c r="F180" s="157">
        <f>F179/E179</f>
        <v>0.753</v>
      </c>
      <c r="G180" s="41"/>
      <c r="H180" s="143"/>
      <c r="I180" s="157"/>
      <c r="J180" s="60"/>
      <c r="K180" s="143"/>
      <c r="L180" s="157">
        <f>IF(L179=0,0,L179/K179)</f>
        <v>0.77499496564595338</v>
      </c>
      <c r="M180" s="156"/>
      <c r="N180" s="59">
        <f>L180-F180</f>
        <v>2.1994965645953379E-2</v>
      </c>
      <c r="O180" s="60"/>
      <c r="P180" s="143"/>
      <c r="Q180" s="157">
        <f>Q179/P179</f>
        <v>0.74920779103793678</v>
      </c>
      <c r="R180" s="60">
        <f>O180-K180</f>
        <v>0</v>
      </c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46"/>
        <v>Service</v>
      </c>
      <c r="B181" s="11" t="s">
        <v>78</v>
      </c>
      <c r="C181" s="29"/>
      <c r="D181" s="485"/>
      <c r="E181" s="169"/>
      <c r="F181" s="170"/>
      <c r="G181" s="41"/>
      <c r="H181" s="169"/>
      <c r="I181" s="159"/>
      <c r="J181" s="60"/>
      <c r="K181" s="450"/>
      <c r="L181" s="157"/>
      <c r="M181" s="156"/>
      <c r="N181" s="59"/>
      <c r="O181" s="60"/>
      <c r="P181" s="450">
        <f>IFERROR(P179/O179,0)</f>
        <v>297.86119718309789</v>
      </c>
      <c r="Q181" s="157"/>
      <c r="R181" s="171"/>
      <c r="S181" s="85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399999999999999">
      <c r="A182" t="str">
        <f t="shared" si="46"/>
        <v>ServiceM/O Esthétique</v>
      </c>
      <c r="B182" s="11" t="s">
        <v>78</v>
      </c>
      <c r="C182" s="14" t="s">
        <v>85</v>
      </c>
      <c r="D182" s="487">
        <v>43.243379838003392</v>
      </c>
      <c r="E182" s="82">
        <v>11891.929455450931</v>
      </c>
      <c r="F182" s="82">
        <v>8514.6214901028652</v>
      </c>
      <c r="G182" s="107"/>
      <c r="H182" s="82"/>
      <c r="I182" s="82"/>
      <c r="J182" s="163">
        <v>24</v>
      </c>
      <c r="K182" s="164">
        <v>4201.5</v>
      </c>
      <c r="L182" s="108">
        <v>3006.67</v>
      </c>
      <c r="M182" s="172">
        <f>IF(E182=0,0,(K182-E182)/E182)</f>
        <v>-0.64669316146387423</v>
      </c>
      <c r="N182" s="109">
        <f>L182-F182</f>
        <v>-5507.9514901028651</v>
      </c>
      <c r="O182" s="163">
        <v>48</v>
      </c>
      <c r="P182" s="164">
        <v>8091.08</v>
      </c>
      <c r="Q182" s="108">
        <v>6505.32</v>
      </c>
      <c r="R182" s="156">
        <f>IF(O182=0,0,J182/O182)</f>
        <v>0.5</v>
      </c>
      <c r="S182" s="110">
        <f>L182-Q182</f>
        <v>-3498.6499999999996</v>
      </c>
      <c r="T182" s="8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46"/>
        <v>Service% profit / ventes</v>
      </c>
      <c r="B183" s="11" t="s">
        <v>78</v>
      </c>
      <c r="C183" s="29" t="s">
        <v>82</v>
      </c>
      <c r="D183" s="76"/>
      <c r="E183" s="173"/>
      <c r="F183" s="157">
        <f>IFERROR(F182/E182,0)</f>
        <v>0.71599999999999986</v>
      </c>
      <c r="G183" s="78"/>
      <c r="H183" s="173"/>
      <c r="I183" s="157"/>
      <c r="J183" s="174"/>
      <c r="K183" s="173"/>
      <c r="L183" s="157">
        <f>IF(L182=0,0,L182/K182)</f>
        <v>0.7156182315839581</v>
      </c>
      <c r="M183" s="60">
        <f>J183-D183</f>
        <v>0</v>
      </c>
      <c r="N183" s="175"/>
      <c r="O183" s="174"/>
      <c r="P183" s="173"/>
      <c r="Q183" s="157">
        <f>IFERROR(Q182/P182,0)</f>
        <v>0.8040113309966036</v>
      </c>
      <c r="R183" s="41"/>
      <c r="S183" s="176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>
      <c r="A184" t="str">
        <f t="shared" si="46"/>
        <v>Service</v>
      </c>
      <c r="B184" s="11" t="s">
        <v>78</v>
      </c>
      <c r="C184" s="86"/>
      <c r="D184" s="177"/>
      <c r="E184" s="178"/>
      <c r="F184" s="159"/>
      <c r="G184" s="179"/>
      <c r="H184" s="178"/>
      <c r="I184" s="159"/>
      <c r="J184" s="180"/>
      <c r="K184" s="25"/>
      <c r="L184" s="159"/>
      <c r="M184" s="160"/>
      <c r="N184" s="181"/>
      <c r="O184" s="180"/>
      <c r="P184" s="25">
        <f>IFERROR(P182/O182,0)</f>
        <v>168.56416666666667</v>
      </c>
      <c r="Q184" s="159"/>
      <c r="R184" s="23"/>
      <c r="S184" s="182"/>
      <c r="T184" s="112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Bot="1">
      <c r="A185" t="str">
        <f t="shared" si="46"/>
        <v>ServiceAjustement M/O</v>
      </c>
      <c r="B185" s="11" t="s">
        <v>78</v>
      </c>
      <c r="C185" s="29" t="s">
        <v>86</v>
      </c>
      <c r="D185" s="13"/>
      <c r="E185" s="13"/>
      <c r="F185" s="59">
        <v>-2770.7048665418192</v>
      </c>
      <c r="G185" s="41"/>
      <c r="H185" s="82"/>
      <c r="I185" s="82"/>
      <c r="J185" s="60"/>
      <c r="K185" s="82"/>
      <c r="L185" s="82">
        <v>-4031.3</v>
      </c>
      <c r="M185" s="174"/>
      <c r="N185" s="59">
        <f>L185-F185</f>
        <v>-1260.595133458181</v>
      </c>
      <c r="O185" s="60"/>
      <c r="P185" s="82"/>
      <c r="Q185" s="82">
        <v>-3582.27</v>
      </c>
      <c r="R185" s="183"/>
      <c r="S185" s="85">
        <f>L185-Q185</f>
        <v>-449.0300000000002</v>
      </c>
      <c r="T185" s="13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.6" thickTop="1">
      <c r="A186" t="str">
        <f t="shared" si="46"/>
        <v>ServiceSous-total M/O</v>
      </c>
      <c r="B186" s="11" t="s">
        <v>78</v>
      </c>
      <c r="C186" s="184" t="s">
        <v>87</v>
      </c>
      <c r="D186" s="185">
        <f>D173+D176+D179+D182+D185</f>
        <v>631.82453292647892</v>
      </c>
      <c r="E186" s="185">
        <f>E173+E176+E179+E182+E185</f>
        <v>189383.45457358327</v>
      </c>
      <c r="F186" s="186">
        <f>F173+F176+F179+F182+F185</f>
        <v>137719.1500461284</v>
      </c>
      <c r="G186" s="187"/>
      <c r="H186" s="185"/>
      <c r="I186" s="186"/>
      <c r="J186" s="187">
        <f>J173+J176+J179+J182+J185</f>
        <v>593</v>
      </c>
      <c r="K186" s="185">
        <f>K173+K176+K179+K182+K185</f>
        <v>151852.76</v>
      </c>
      <c r="L186" s="186">
        <f>L173+L176+L179+L182+L185</f>
        <v>110014.61000000002</v>
      </c>
      <c r="M186" s="188">
        <f>(K186-E186)/E186</f>
        <v>-0.19817303817848056</v>
      </c>
      <c r="N186" s="186">
        <f>L186-F186</f>
        <v>-27704.540046128386</v>
      </c>
      <c r="O186" s="187">
        <f t="shared" ref="O186:Q186" si="47">O173+O176+O179+O182+O185</f>
        <v>668</v>
      </c>
      <c r="P186" s="185">
        <f t="shared" si="47"/>
        <v>163619.37999999989</v>
      </c>
      <c r="Q186" s="186">
        <f t="shared" si="47"/>
        <v>116977.47999999979</v>
      </c>
      <c r="R186" s="42">
        <f>IF(O186=0,0,J186/O186)</f>
        <v>0.88772455089820357</v>
      </c>
      <c r="S186" s="189">
        <f>L186-Q186</f>
        <v>-6962.8699999997771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46"/>
        <v>Service% protit / ventes</v>
      </c>
      <c r="B187" s="11" t="s">
        <v>78</v>
      </c>
      <c r="C187" s="190" t="s">
        <v>88</v>
      </c>
      <c r="D187" s="191"/>
      <c r="E187" s="191"/>
      <c r="F187" s="192">
        <f>F186/E186</f>
        <v>0.72719736978194605</v>
      </c>
      <c r="G187" s="193"/>
      <c r="H187" s="191"/>
      <c r="I187" s="43"/>
      <c r="J187" s="193"/>
      <c r="K187" s="440">
        <f>IF(J186=0,0,K186/J186)</f>
        <v>256.07548060708262</v>
      </c>
      <c r="L187" s="43">
        <f>IF(L186=0,0,L186/K186)</f>
        <v>0.72448212334105755</v>
      </c>
      <c r="M187" s="193"/>
      <c r="N187" s="192">
        <f>N186/F186</f>
        <v>-0.20116694037720154</v>
      </c>
      <c r="O187" s="193"/>
      <c r="P187" s="440">
        <f>IF(O186=0,0,P186/O186)</f>
        <v>244.93919161676629</v>
      </c>
      <c r="Q187" s="43">
        <f>Q186/P186</f>
        <v>0.71493658025106732</v>
      </c>
      <c r="R187" s="193"/>
      <c r="S187" s="44">
        <f>IF(R186=0,0,S186/R186)</f>
        <v>-7843.5027993252124</v>
      </c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46"/>
        <v>Service</v>
      </c>
      <c r="B188" s="11" t="s">
        <v>78</v>
      </c>
      <c r="C188" s="35"/>
      <c r="D188" s="194"/>
      <c r="E188" s="195"/>
      <c r="F188" s="196"/>
      <c r="G188" s="197"/>
      <c r="H188" s="195"/>
      <c r="I188" s="196"/>
      <c r="J188" s="197"/>
      <c r="K188" s="195"/>
      <c r="L188" s="196"/>
      <c r="M188" s="197"/>
      <c r="N188" s="196"/>
      <c r="O188" s="197"/>
      <c r="P188" s="195"/>
      <c r="Q188" s="196"/>
      <c r="R188" s="197"/>
      <c r="S188" s="198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46"/>
        <v>ServiceSous-traitement</v>
      </c>
      <c r="B189" s="11" t="s">
        <v>78</v>
      </c>
      <c r="C189" s="29" t="s">
        <v>89</v>
      </c>
      <c r="D189" s="82"/>
      <c r="E189" s="82">
        <v>3428.9402354335898</v>
      </c>
      <c r="F189" s="82">
        <v>514.34103531503843</v>
      </c>
      <c r="G189" s="60"/>
      <c r="H189" s="82"/>
      <c r="I189" s="82"/>
      <c r="J189" s="60"/>
      <c r="K189" s="30">
        <v>8616.15</v>
      </c>
      <c r="L189" s="33">
        <v>808.84999999999957</v>
      </c>
      <c r="M189" s="84">
        <f>IF(E189=0,0,(K189-E189)/E189)</f>
        <v>1.5127734543062068</v>
      </c>
      <c r="N189" s="59">
        <f>L189-F189</f>
        <v>294.50896468496114</v>
      </c>
      <c r="O189" s="60"/>
      <c r="P189" s="30">
        <v>6115.35</v>
      </c>
      <c r="Q189" s="33">
        <v>1445.39</v>
      </c>
      <c r="R189" s="156">
        <f>IF(O189=0,0,J189/O189)</f>
        <v>0</v>
      </c>
      <c r="S189" s="85">
        <f>L189-Q189</f>
        <v>-636.54000000000053</v>
      </c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>
      <c r="A190" t="str">
        <f t="shared" si="46"/>
        <v>Service% profit / ventes</v>
      </c>
      <c r="B190" s="11" t="s">
        <v>78</v>
      </c>
      <c r="C190" s="29" t="s">
        <v>82</v>
      </c>
      <c r="D190" s="13"/>
      <c r="E190" s="143"/>
      <c r="F190" s="157">
        <f>IFERROR(F189/E189,0)</f>
        <v>0.15</v>
      </c>
      <c r="G190" s="41"/>
      <c r="H190" s="143"/>
      <c r="I190" s="157"/>
      <c r="J190" s="174"/>
      <c r="K190" s="173"/>
      <c r="L190" s="157">
        <f>IF(L189=0,0,L189/K189)</f>
        <v>9.3876035120094195E-2</v>
      </c>
      <c r="M190" s="174"/>
      <c r="N190" s="175"/>
      <c r="O190" s="174"/>
      <c r="P190" s="173"/>
      <c r="Q190" s="157">
        <f>IFERROR(Q189/P189,0)</f>
        <v>0.23635441961621168</v>
      </c>
      <c r="R190" s="174"/>
      <c r="S190" s="176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46"/>
        <v>Service</v>
      </c>
      <c r="B191" s="11" t="s">
        <v>78</v>
      </c>
      <c r="C191" s="29"/>
      <c r="D191" s="13"/>
      <c r="E191" s="143"/>
      <c r="F191" s="157"/>
      <c r="G191" s="41"/>
      <c r="H191" s="143"/>
      <c r="I191" s="157"/>
      <c r="J191" s="174"/>
      <c r="K191" s="173"/>
      <c r="L191" s="157"/>
      <c r="M191" s="174"/>
      <c r="N191" s="175"/>
      <c r="O191" s="174"/>
      <c r="P191" s="173"/>
      <c r="Q191" s="157"/>
      <c r="R191" s="174"/>
      <c r="S191" s="176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46"/>
        <v>ServiceM.O. Recond. MCPA</v>
      </c>
      <c r="B192" s="11" t="s">
        <v>78</v>
      </c>
      <c r="C192" s="29" t="s">
        <v>90</v>
      </c>
      <c r="D192" s="13"/>
      <c r="E192" s="82">
        <v>0</v>
      </c>
      <c r="F192" s="82">
        <v>0</v>
      </c>
      <c r="G192" s="41"/>
      <c r="H192" s="82"/>
      <c r="I192" s="82"/>
      <c r="J192" s="174"/>
      <c r="K192" s="30">
        <v>0</v>
      </c>
      <c r="L192" s="157"/>
      <c r="M192" s="174"/>
      <c r="N192" s="175"/>
      <c r="O192" s="174"/>
      <c r="P192" s="30">
        <v>0</v>
      </c>
      <c r="Q192" s="157">
        <v>0</v>
      </c>
      <c r="R192" s="174"/>
      <c r="S192" s="176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hidden="1">
      <c r="A193" t="str">
        <f t="shared" si="46"/>
        <v>Service% profit / ventes</v>
      </c>
      <c r="B193" s="11" t="s">
        <v>78</v>
      </c>
      <c r="C193" s="29" t="s">
        <v>82</v>
      </c>
      <c r="D193" s="13"/>
      <c r="E193" s="143"/>
      <c r="F193" s="157">
        <f>IF(F192=0,0,F192/E192)</f>
        <v>0</v>
      </c>
      <c r="G193" s="41"/>
      <c r="H193" s="143"/>
      <c r="I193" s="157"/>
      <c r="J193" s="174"/>
      <c r="K193" s="173"/>
      <c r="L193" s="157">
        <f>IF(L192=0,0,L192/K192)</f>
        <v>0</v>
      </c>
      <c r="M193" s="174"/>
      <c r="N193" s="175"/>
      <c r="O193" s="174"/>
      <c r="P193" s="173"/>
      <c r="Q193" s="157">
        <f>IF(Q192=0,0,Q192/P192)</f>
        <v>0</v>
      </c>
      <c r="R193" s="174"/>
      <c r="S193" s="176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Bot="1">
      <c r="A194" t="str">
        <f t="shared" si="46"/>
        <v>Service</v>
      </c>
      <c r="B194" s="11" t="s">
        <v>78</v>
      </c>
      <c r="C194" s="199"/>
      <c r="D194" s="200"/>
      <c r="E194" s="201"/>
      <c r="F194" s="202"/>
      <c r="G194" s="203"/>
      <c r="H194" s="201"/>
      <c r="I194" s="202"/>
      <c r="J194" s="203"/>
      <c r="K194" s="201"/>
      <c r="L194" s="202"/>
      <c r="M194" s="203"/>
      <c r="N194" s="202"/>
      <c r="O194" s="203"/>
      <c r="P194" s="201"/>
      <c r="Q194" s="202"/>
      <c r="R194" s="203"/>
      <c r="S194" s="204"/>
      <c r="T194" s="112"/>
      <c r="U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Top="1">
      <c r="A195" t="str">
        <f t="shared" si="46"/>
        <v>ServiceTotal Mécanique</v>
      </c>
      <c r="B195" s="11" t="s">
        <v>78</v>
      </c>
      <c r="C195" s="62" t="s">
        <v>91</v>
      </c>
      <c r="D195" s="63"/>
      <c r="E195" s="63">
        <f>E186+E189+E192</f>
        <v>192812.39480901684</v>
      </c>
      <c r="F195" s="65">
        <f>F186+F189+F192</f>
        <v>138233.49108144344</v>
      </c>
      <c r="G195" s="66"/>
      <c r="H195" s="63"/>
      <c r="I195" s="65"/>
      <c r="J195" s="66"/>
      <c r="K195" s="63">
        <f>K186+K189+K192</f>
        <v>160468.91</v>
      </c>
      <c r="L195" s="65">
        <f>L186+L189+L192</f>
        <v>110823.46000000002</v>
      </c>
      <c r="M195" s="205">
        <f>L196-F196</f>
        <v>-2.6309971808656796E-2</v>
      </c>
      <c r="N195" s="65">
        <f>L195-F195</f>
        <v>-27410.03108144342</v>
      </c>
      <c r="O195" s="66"/>
      <c r="P195" s="63">
        <f t="shared" ref="P195:Q195" si="48">P186+P189+P192</f>
        <v>169734.72999999989</v>
      </c>
      <c r="Q195" s="65">
        <f t="shared" si="48"/>
        <v>118422.86999999979</v>
      </c>
      <c r="R195" s="205">
        <f>L196-Q196</f>
        <v>-7.071181369038948E-3</v>
      </c>
      <c r="S195" s="68">
        <f>L195-Q195</f>
        <v>-7599.4099999997707</v>
      </c>
      <c r="T195" s="112"/>
      <c r="U195" s="13"/>
      <c r="W195" s="11"/>
      <c r="X195" s="48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Bot="1">
      <c r="A196" t="str">
        <f t="shared" si="46"/>
        <v>Service</v>
      </c>
      <c r="B196" s="11" t="s">
        <v>78</v>
      </c>
      <c r="C196" s="69"/>
      <c r="D196" s="70"/>
      <c r="E196" s="70"/>
      <c r="F196" s="74">
        <f>F195/E195</f>
        <v>0.7169325977117057</v>
      </c>
      <c r="G196" s="72"/>
      <c r="H196" s="70"/>
      <c r="I196" s="74"/>
      <c r="J196" s="72"/>
      <c r="K196" s="70"/>
      <c r="L196" s="74">
        <f>L195/K195</f>
        <v>0.6906226259030489</v>
      </c>
      <c r="M196" s="73"/>
      <c r="N196" s="74">
        <f>N195/F195</f>
        <v>-0.19828791754448399</v>
      </c>
      <c r="O196" s="72"/>
      <c r="P196" s="70"/>
      <c r="Q196" s="74">
        <f>Q195/P195</f>
        <v>0.69769380727208785</v>
      </c>
      <c r="R196" s="73"/>
      <c r="S196" s="75">
        <f>L195/S195</f>
        <v>-14.583166324754602</v>
      </c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.6" thickTop="1">
      <c r="A197" t="str">
        <f t="shared" si="46"/>
        <v>Service</v>
      </c>
      <c r="B197" s="11" t="s">
        <v>78</v>
      </c>
      <c r="C197" s="53"/>
      <c r="D197" s="76"/>
      <c r="E197" s="76"/>
      <c r="F197" s="43"/>
      <c r="G197" s="78"/>
      <c r="H197" s="76"/>
      <c r="I197" s="43"/>
      <c r="J197" s="78"/>
      <c r="K197" s="76"/>
      <c r="L197" s="461"/>
      <c r="M197" s="42"/>
      <c r="N197" s="43"/>
      <c r="O197" s="78"/>
      <c r="P197" s="76"/>
      <c r="Q197" s="43"/>
      <c r="R197" s="42"/>
      <c r="S197" s="44"/>
      <c r="T197" s="76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1">
      <c r="A198" t="str">
        <f t="shared" si="46"/>
        <v>ServiceDEPENSES</v>
      </c>
      <c r="B198" s="11" t="s">
        <v>78</v>
      </c>
      <c r="C198" s="79" t="s">
        <v>29</v>
      </c>
      <c r="D198" s="13"/>
      <c r="E198" s="13"/>
      <c r="F198" s="59"/>
      <c r="G198" s="41"/>
      <c r="H198" s="13"/>
      <c r="I198" s="59"/>
      <c r="J198" s="41"/>
      <c r="K198" s="13"/>
      <c r="L198" s="40"/>
      <c r="M198" s="41"/>
      <c r="N198" s="40"/>
      <c r="O198" s="41"/>
      <c r="P198" s="13"/>
      <c r="Q198" s="40"/>
      <c r="R198" s="41"/>
      <c r="S198" s="61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46"/>
        <v>ServiceSalaires cadres</v>
      </c>
      <c r="B199" s="11" t="s">
        <v>78</v>
      </c>
      <c r="C199" s="102" t="s">
        <v>40</v>
      </c>
      <c r="D199" s="13"/>
      <c r="E199" s="13"/>
      <c r="F199" s="30">
        <v>10472.296965450107</v>
      </c>
      <c r="G199" s="41"/>
      <c r="H199" s="13"/>
      <c r="I199" s="30"/>
      <c r="J199" s="41"/>
      <c r="K199" s="13"/>
      <c r="L199" s="33">
        <v>9675.2900000000009</v>
      </c>
      <c r="M199" s="41"/>
      <c r="N199" s="59">
        <f t="shared" ref="N199:N230" si="49">L199-F199</f>
        <v>-797.00696545010578</v>
      </c>
      <c r="O199" s="41"/>
      <c r="P199" s="13"/>
      <c r="Q199" s="33">
        <v>11881.85</v>
      </c>
      <c r="R199" s="41"/>
      <c r="S199" s="85">
        <f t="shared" ref="S199:S204" si="50">L199-Q199</f>
        <v>-2206.5599999999995</v>
      </c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46"/>
        <v>ServiceSalaires commis</v>
      </c>
      <c r="B200" s="11" t="s">
        <v>78</v>
      </c>
      <c r="C200" s="103" t="s">
        <v>41</v>
      </c>
      <c r="D200" s="81"/>
      <c r="E200" s="13"/>
      <c r="F200" s="22">
        <v>5049.8171140381583</v>
      </c>
      <c r="G200" s="83"/>
      <c r="H200" s="13"/>
      <c r="I200" s="22"/>
      <c r="J200" s="41"/>
      <c r="K200" s="13"/>
      <c r="L200" s="33">
        <v>2050.3000000000002</v>
      </c>
      <c r="M200" s="41"/>
      <c r="N200" s="59">
        <f t="shared" si="49"/>
        <v>-2999.5171140381581</v>
      </c>
      <c r="O200" s="41"/>
      <c r="P200" s="13"/>
      <c r="Q200" s="33">
        <v>5254.63</v>
      </c>
      <c r="R200" s="41"/>
      <c r="S200" s="85">
        <f t="shared" si="50"/>
        <v>-3204.33</v>
      </c>
      <c r="T200" s="13"/>
      <c r="U200" s="13"/>
      <c r="V200" s="489" t="s">
        <v>245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46"/>
        <v>ServiceSalaires autres</v>
      </c>
      <c r="B201" s="11" t="s">
        <v>78</v>
      </c>
      <c r="C201" s="102" t="s">
        <v>42</v>
      </c>
      <c r="D201" s="104"/>
      <c r="E201" s="105"/>
      <c r="F201" s="30">
        <v>13320.387859234766</v>
      </c>
      <c r="G201" s="106"/>
      <c r="H201" s="105"/>
      <c r="I201" s="30"/>
      <c r="J201" s="107"/>
      <c r="K201" s="105"/>
      <c r="L201" s="108">
        <v>10413.65</v>
      </c>
      <c r="M201" s="107"/>
      <c r="N201" s="109">
        <f t="shared" si="49"/>
        <v>-2906.7378592347668</v>
      </c>
      <c r="O201" s="107"/>
      <c r="P201" s="105"/>
      <c r="Q201" s="108">
        <v>5418.53</v>
      </c>
      <c r="R201" s="107"/>
      <c r="S201" s="110">
        <f t="shared" si="50"/>
        <v>4995.12</v>
      </c>
      <c r="T201" s="13"/>
      <c r="U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>
      <c r="A202" t="str">
        <f t="shared" si="46"/>
        <v>ServiceSalaires spécialistes</v>
      </c>
      <c r="B202" s="11" t="s">
        <v>78</v>
      </c>
      <c r="C202" s="102" t="s">
        <v>43</v>
      </c>
      <c r="D202" s="81"/>
      <c r="E202" s="13"/>
      <c r="F202" s="30">
        <v>15048.540229885057</v>
      </c>
      <c r="G202" s="83"/>
      <c r="H202" s="13"/>
      <c r="I202" s="30"/>
      <c r="J202" s="41"/>
      <c r="K202" s="13"/>
      <c r="L202" s="33">
        <v>11464.31</v>
      </c>
      <c r="M202" s="41"/>
      <c r="N202" s="59">
        <f t="shared" si="49"/>
        <v>-3584.2302298850573</v>
      </c>
      <c r="O202" s="41"/>
      <c r="P202" s="13"/>
      <c r="Q202" s="33">
        <v>13870.82</v>
      </c>
      <c r="R202" s="41"/>
      <c r="S202" s="85">
        <f t="shared" si="50"/>
        <v>-2406.5100000000002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46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49"/>
        <v>0</v>
      </c>
      <c r="O203" s="41"/>
      <c r="P203" s="13"/>
      <c r="Q203" s="33">
        <v>0</v>
      </c>
      <c r="R203" s="41"/>
      <c r="S203" s="85">
        <f t="shared" si="50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46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49"/>
        <v>0</v>
      </c>
      <c r="O204" s="41"/>
      <c r="P204" s="13"/>
      <c r="Q204" s="33">
        <v>0</v>
      </c>
      <c r="R204" s="41"/>
      <c r="S204" s="85">
        <f t="shared" si="50"/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 hidden="1">
      <c r="A205" t="str">
        <f t="shared" si="46"/>
        <v>Service[...]</v>
      </c>
      <c r="B205" s="11" t="s">
        <v>78</v>
      </c>
      <c r="C205" s="29" t="s">
        <v>19</v>
      </c>
      <c r="D205" s="81"/>
      <c r="E205" s="13"/>
      <c r="F205" s="30">
        <v>0</v>
      </c>
      <c r="G205" s="83"/>
      <c r="H205" s="13"/>
      <c r="I205" s="30"/>
      <c r="J205" s="41"/>
      <c r="K205" s="13"/>
      <c r="L205" s="33">
        <v>0</v>
      </c>
      <c r="M205" s="41"/>
      <c r="N205" s="59">
        <f t="shared" si="49"/>
        <v>0</v>
      </c>
      <c r="O205" s="41"/>
      <c r="P205" s="13"/>
      <c r="Q205" s="33">
        <v>0</v>
      </c>
      <c r="R205" s="41"/>
      <c r="S205" s="85">
        <f>L205-Q205</f>
        <v>0</v>
      </c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46"/>
        <v>ServiceSalaires en absences</v>
      </c>
      <c r="B206" s="11" t="s">
        <v>78</v>
      </c>
      <c r="C206" s="103" t="s">
        <v>44</v>
      </c>
      <c r="D206" s="81"/>
      <c r="E206" s="13"/>
      <c r="F206" s="30">
        <v>10274.704996446939</v>
      </c>
      <c r="G206" s="83"/>
      <c r="H206" s="13"/>
      <c r="I206" s="30"/>
      <c r="J206" s="41"/>
      <c r="K206" s="13"/>
      <c r="L206" s="33">
        <v>7196.27</v>
      </c>
      <c r="M206" s="41"/>
      <c r="N206" s="59">
        <f t="shared" si="49"/>
        <v>-3078.4349964469384</v>
      </c>
      <c r="O206" s="41"/>
      <c r="P206" s="13"/>
      <c r="Q206" s="33">
        <v>7342.35</v>
      </c>
      <c r="R206" s="41"/>
      <c r="S206" s="85">
        <f>L206-Q206</f>
        <v>-146.07999999999993</v>
      </c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46"/>
        <v>ServiceDéduction à la source</v>
      </c>
      <c r="B207" s="11" t="s">
        <v>78</v>
      </c>
      <c r="C207" s="102" t="s">
        <v>45</v>
      </c>
      <c r="D207" s="104"/>
      <c r="E207" s="105"/>
      <c r="F207" s="55">
        <v>13240.599222225435</v>
      </c>
      <c r="G207" s="106"/>
      <c r="H207" s="105"/>
      <c r="I207" s="55"/>
      <c r="J207" s="107"/>
      <c r="K207" s="105"/>
      <c r="L207" s="108">
        <v>11727.95</v>
      </c>
      <c r="M207" s="107"/>
      <c r="N207" s="109">
        <f t="shared" si="49"/>
        <v>-1512.6492222254346</v>
      </c>
      <c r="O207" s="107"/>
      <c r="P207" s="105"/>
      <c r="Q207" s="108">
        <v>13527.81</v>
      </c>
      <c r="R207" s="107"/>
      <c r="S207" s="110">
        <f t="shared" ref="S207:S217" si="51">L207-Q207</f>
        <v>-1799.8599999999988</v>
      </c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46"/>
        <v>ServiceBénéfices marginaux</v>
      </c>
      <c r="B208" s="11" t="s">
        <v>78</v>
      </c>
      <c r="C208" s="102" t="s">
        <v>46</v>
      </c>
      <c r="D208" s="81"/>
      <c r="E208" s="13"/>
      <c r="F208" s="30">
        <v>9776.8584656912608</v>
      </c>
      <c r="G208" s="83"/>
      <c r="H208" s="13"/>
      <c r="I208" s="30"/>
      <c r="J208" s="41"/>
      <c r="K208" s="13"/>
      <c r="L208" s="33">
        <v>5474.5</v>
      </c>
      <c r="M208" s="41"/>
      <c r="N208" s="59">
        <f t="shared" si="49"/>
        <v>-4302.3584656912608</v>
      </c>
      <c r="O208" s="41"/>
      <c r="P208" s="13"/>
      <c r="Q208" s="33">
        <v>6283.32</v>
      </c>
      <c r="R208" s="41"/>
      <c r="S208" s="85">
        <f t="shared" si="51"/>
        <v>-808.81999999999971</v>
      </c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>
      <c r="A209" t="str">
        <f t="shared" si="46"/>
        <v>ServiceCsst</v>
      </c>
      <c r="B209" s="11" t="s">
        <v>78</v>
      </c>
      <c r="C209" s="102" t="s">
        <v>47</v>
      </c>
      <c r="D209" s="81"/>
      <c r="E209" s="13"/>
      <c r="F209" s="30">
        <v>2595.1574475561856</v>
      </c>
      <c r="G209" s="83"/>
      <c r="H209" s="13"/>
      <c r="I209" s="30"/>
      <c r="J209" s="41"/>
      <c r="K209" s="13"/>
      <c r="L209" s="33">
        <v>1301.77</v>
      </c>
      <c r="M209" s="462"/>
      <c r="N209" s="145">
        <f t="shared" si="49"/>
        <v>-1293.3874475561856</v>
      </c>
      <c r="O209" s="462"/>
      <c r="P209" s="463"/>
      <c r="Q209" s="22">
        <v>2148.3000000000002</v>
      </c>
      <c r="R209" s="462"/>
      <c r="S209" s="464">
        <f t="shared" si="51"/>
        <v>-846.5300000000002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399999999999999" hidden="1">
      <c r="A210" t="str">
        <f t="shared" si="46"/>
        <v>Service[...]</v>
      </c>
      <c r="B210" s="11" t="s">
        <v>78</v>
      </c>
      <c r="C210" s="29" t="s">
        <v>19</v>
      </c>
      <c r="D210" s="87"/>
      <c r="E210" s="111"/>
      <c r="F210" s="30">
        <v>0</v>
      </c>
      <c r="G210" s="89"/>
      <c r="H210" s="111"/>
      <c r="I210" s="30"/>
      <c r="J210" s="23"/>
      <c r="K210" s="111"/>
      <c r="L210" s="33">
        <v>0</v>
      </c>
      <c r="M210" s="23"/>
      <c r="N210" s="91">
        <f t="shared" si="49"/>
        <v>0</v>
      </c>
      <c r="O210" s="23"/>
      <c r="P210" s="111"/>
      <c r="Q210" s="33">
        <v>0</v>
      </c>
      <c r="R210" s="23"/>
      <c r="S210" s="92">
        <f t="shared" si="51"/>
        <v>0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1">
      <c r="A211" t="str">
        <f t="shared" si="46"/>
        <v>ServiceTOTAL PERSONNEL</v>
      </c>
      <c r="B211" s="11" t="s">
        <v>78</v>
      </c>
      <c r="C211" s="93" t="s">
        <v>48</v>
      </c>
      <c r="D211" s="94" t="s">
        <v>92</v>
      </c>
      <c r="E211" s="95">
        <f>F211/F$195</f>
        <v>0.57712759532004188</v>
      </c>
      <c r="F211" s="96">
        <f>+SUM(F199:F210)</f>
        <v>79778.362300527908</v>
      </c>
      <c r="G211" s="97"/>
      <c r="H211" s="95"/>
      <c r="I211" s="96"/>
      <c r="J211" s="97" t="s">
        <v>92</v>
      </c>
      <c r="K211" s="95">
        <f>L211/L$195</f>
        <v>0.53512171520362184</v>
      </c>
      <c r="L211" s="96">
        <f>+SUM(L199:L210)</f>
        <v>59304.039999999986</v>
      </c>
      <c r="M211" s="146"/>
      <c r="N211" s="113">
        <f t="shared" si="49"/>
        <v>-20474.322300527921</v>
      </c>
      <c r="O211" s="97" t="s">
        <v>92</v>
      </c>
      <c r="P211" s="95">
        <f>Q211/Q$195</f>
        <v>0.5550246333330725</v>
      </c>
      <c r="Q211" s="96">
        <f>+SUM(Q199:Q210)</f>
        <v>65727.61</v>
      </c>
      <c r="R211" s="146"/>
      <c r="S211" s="114">
        <f t="shared" si="51"/>
        <v>-6423.5700000000143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46"/>
        <v>ServicePublicité 2</v>
      </c>
      <c r="B212" s="11" t="s">
        <v>78</v>
      </c>
      <c r="C212" s="29" t="s">
        <v>49</v>
      </c>
      <c r="D212" s="81"/>
      <c r="E212" s="13"/>
      <c r="F212" s="30">
        <v>1682.6307341060699</v>
      </c>
      <c r="G212" s="83"/>
      <c r="H212" s="13"/>
      <c r="I212" s="30"/>
      <c r="J212" s="41"/>
      <c r="K212" s="13"/>
      <c r="L212" s="33">
        <v>1363.55</v>
      </c>
      <c r="M212" s="41"/>
      <c r="N212" s="59">
        <f t="shared" si="49"/>
        <v>-319.08073410606994</v>
      </c>
      <c r="O212" s="41"/>
      <c r="P212" s="13"/>
      <c r="Q212" s="33">
        <v>5186.6499999999996</v>
      </c>
      <c r="R212" s="41"/>
      <c r="S212" s="85">
        <f t="shared" si="51"/>
        <v>-3823.0999999999995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46"/>
        <v>ServiceService gratuit 2</v>
      </c>
      <c r="B213" s="11" t="s">
        <v>78</v>
      </c>
      <c r="C213" s="29" t="s">
        <v>50</v>
      </c>
      <c r="D213" s="81"/>
      <c r="E213" s="13"/>
      <c r="F213" s="30">
        <v>3750</v>
      </c>
      <c r="G213" s="83"/>
      <c r="H213" s="13"/>
      <c r="I213" s="30"/>
      <c r="J213" s="41"/>
      <c r="K213" s="13"/>
      <c r="L213" s="33">
        <v>1140.28</v>
      </c>
      <c r="M213" s="41"/>
      <c r="N213" s="59">
        <f t="shared" si="49"/>
        <v>-2609.7200000000003</v>
      </c>
      <c r="O213" s="41"/>
      <c r="P213" s="13"/>
      <c r="Q213" s="33">
        <v>2993.26</v>
      </c>
      <c r="R213" s="41"/>
      <c r="S213" s="85">
        <f t="shared" si="51"/>
        <v>-1852.9800000000002</v>
      </c>
      <c r="T213" s="13"/>
      <c r="U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46"/>
        <v>ServiceFrais véhicules de cie</v>
      </c>
      <c r="B214" s="11" t="s">
        <v>78</v>
      </c>
      <c r="C214" s="86" t="s">
        <v>51</v>
      </c>
      <c r="D214" s="87"/>
      <c r="E214" s="111"/>
      <c r="F214" s="22">
        <v>7453.2500000000009</v>
      </c>
      <c r="G214" s="89"/>
      <c r="H214" s="111"/>
      <c r="I214" s="22"/>
      <c r="J214" s="23"/>
      <c r="K214" s="111"/>
      <c r="L214" s="33">
        <v>7599.5</v>
      </c>
      <c r="M214" s="23"/>
      <c r="N214" s="91">
        <f t="shared" si="49"/>
        <v>146.24999999999909</v>
      </c>
      <c r="O214" s="23"/>
      <c r="P214" s="111"/>
      <c r="Q214" s="33">
        <v>6303.08</v>
      </c>
      <c r="R214" s="23"/>
      <c r="S214" s="92">
        <f t="shared" si="51"/>
        <v>1296.42</v>
      </c>
      <c r="T214" s="13"/>
      <c r="U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46"/>
        <v>ServiceInformatique</v>
      </c>
      <c r="B215" s="11" t="s">
        <v>78</v>
      </c>
      <c r="C215" s="29" t="s">
        <v>52</v>
      </c>
      <c r="D215" s="81"/>
      <c r="E215" s="13"/>
      <c r="F215" s="30">
        <v>6636.4108333333334</v>
      </c>
      <c r="G215" s="83"/>
      <c r="H215" s="13"/>
      <c r="I215" s="30"/>
      <c r="J215" s="41"/>
      <c r="K215" s="13"/>
      <c r="L215" s="108">
        <v>7064.12</v>
      </c>
      <c r="M215" s="41"/>
      <c r="N215" s="59">
        <f t="shared" si="49"/>
        <v>427.70916666666653</v>
      </c>
      <c r="O215" s="41"/>
      <c r="P215" s="13"/>
      <c r="Q215" s="108">
        <v>7044.76</v>
      </c>
      <c r="R215" s="41"/>
      <c r="S215" s="85">
        <f t="shared" si="51"/>
        <v>19.359999999999673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46"/>
        <v>ServiceFrais de déplacement</v>
      </c>
      <c r="B216" s="11" t="s">
        <v>78</v>
      </c>
      <c r="C216" s="29" t="s">
        <v>53</v>
      </c>
      <c r="D216" s="81"/>
      <c r="E216" s="13"/>
      <c r="F216" s="30">
        <v>1331.25</v>
      </c>
      <c r="G216" s="83"/>
      <c r="H216" s="13"/>
      <c r="I216" s="30"/>
      <c r="J216" s="41"/>
      <c r="K216" s="13"/>
      <c r="L216" s="33">
        <v>2318.33</v>
      </c>
      <c r="M216" s="41"/>
      <c r="N216" s="59">
        <f t="shared" si="49"/>
        <v>987.07999999999993</v>
      </c>
      <c r="O216" s="41"/>
      <c r="P216" s="13"/>
      <c r="Q216" s="33">
        <v>293.37</v>
      </c>
      <c r="R216" s="41"/>
      <c r="S216" s="85">
        <f t="shared" si="51"/>
        <v>2024.96</v>
      </c>
      <c r="T216" s="13"/>
      <c r="U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>
      <c r="A217" t="str">
        <f t="shared" si="46"/>
        <v>ServiceServices extérieurs</v>
      </c>
      <c r="B217" s="11" t="s">
        <v>78</v>
      </c>
      <c r="C217" s="86" t="s">
        <v>54</v>
      </c>
      <c r="D217" s="87"/>
      <c r="E217" s="111"/>
      <c r="F217" s="22">
        <v>2199.8866666666668</v>
      </c>
      <c r="G217" s="89"/>
      <c r="H217" s="111"/>
      <c r="I217" s="22"/>
      <c r="J217" s="23"/>
      <c r="K217" s="111"/>
      <c r="L217" s="22">
        <v>6714.24</v>
      </c>
      <c r="M217" s="462"/>
      <c r="N217" s="145">
        <f t="shared" si="49"/>
        <v>4514.3533333333326</v>
      </c>
      <c r="O217" s="462"/>
      <c r="P217" s="463"/>
      <c r="Q217" s="22">
        <v>2038.99</v>
      </c>
      <c r="R217" s="23"/>
      <c r="S217" s="92">
        <f t="shared" si="51"/>
        <v>4675.25</v>
      </c>
      <c r="T217" s="13"/>
      <c r="U217" s="13"/>
      <c r="V217" s="495" t="s">
        <v>264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 hidden="1">
      <c r="A218" t="str">
        <f>+B218&amp;C218</f>
        <v>ServiceFournitures d'atelier</v>
      </c>
      <c r="B218" s="11" t="s">
        <v>78</v>
      </c>
      <c r="C218" s="29" t="s">
        <v>93</v>
      </c>
      <c r="D218" s="81"/>
      <c r="E218" s="13"/>
      <c r="F218" s="30"/>
      <c r="G218" s="83"/>
      <c r="H218" s="13"/>
      <c r="I218" s="30"/>
      <c r="J218" s="41"/>
      <c r="K218" s="13"/>
      <c r="L218" s="33">
        <v>0</v>
      </c>
      <c r="M218" s="41"/>
      <c r="N218" s="59">
        <f t="shared" si="49"/>
        <v>0</v>
      </c>
      <c r="O218" s="41"/>
      <c r="P218" s="13"/>
      <c r="Q218" s="33">
        <v>0</v>
      </c>
      <c r="R218" s="41"/>
      <c r="S218" s="85">
        <f>L218-Q218</f>
        <v>0</v>
      </c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ref="A219:A227" si="52">+B219&amp;C219</f>
        <v>ServiceFournitures autres</v>
      </c>
      <c r="B219" s="11" t="s">
        <v>78</v>
      </c>
      <c r="C219" s="29" t="s">
        <v>55</v>
      </c>
      <c r="D219" s="81"/>
      <c r="E219" s="13"/>
      <c r="F219" s="30">
        <v>3250</v>
      </c>
      <c r="G219" s="83"/>
      <c r="H219" s="13"/>
      <c r="I219" s="30"/>
      <c r="J219" s="41"/>
      <c r="K219" s="13"/>
      <c r="L219" s="33">
        <v>1855.51</v>
      </c>
      <c r="M219" s="41"/>
      <c r="N219" s="59">
        <f t="shared" si="49"/>
        <v>-1394.49</v>
      </c>
      <c r="O219" s="41"/>
      <c r="P219" s="13"/>
      <c r="Q219" s="33">
        <v>3473.35</v>
      </c>
      <c r="R219" s="41"/>
      <c r="S219" s="85">
        <f t="shared" ref="S219:S227" si="53">L219-Q219</f>
        <v>-1617.84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52"/>
        <v>ServiceUniformes</v>
      </c>
      <c r="B220" s="11" t="s">
        <v>78</v>
      </c>
      <c r="C220" s="29" t="s">
        <v>56</v>
      </c>
      <c r="D220" s="81"/>
      <c r="E220" s="13"/>
      <c r="F220" s="30">
        <v>1325</v>
      </c>
      <c r="G220" s="83"/>
      <c r="H220" s="13"/>
      <c r="I220" s="30"/>
      <c r="J220" s="41"/>
      <c r="K220" s="13"/>
      <c r="L220" s="33">
        <v>726</v>
      </c>
      <c r="M220" s="41"/>
      <c r="N220" s="59">
        <f t="shared" si="49"/>
        <v>-599</v>
      </c>
      <c r="O220" s="41"/>
      <c r="P220" s="13"/>
      <c r="Q220" s="33">
        <v>459.52</v>
      </c>
      <c r="R220" s="41"/>
      <c r="S220" s="85">
        <f t="shared" si="53"/>
        <v>266.48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52"/>
        <v>ServicePapeterie</v>
      </c>
      <c r="B221" s="11" t="s">
        <v>78</v>
      </c>
      <c r="C221" s="29" t="s">
        <v>57</v>
      </c>
      <c r="D221" s="81"/>
      <c r="E221" s="13"/>
      <c r="F221" s="30">
        <v>362.5</v>
      </c>
      <c r="G221" s="83"/>
      <c r="H221" s="13"/>
      <c r="I221" s="30"/>
      <c r="J221" s="41"/>
      <c r="K221" s="13"/>
      <c r="L221" s="32">
        <v>350.66</v>
      </c>
      <c r="M221" s="41"/>
      <c r="N221" s="59">
        <f t="shared" si="49"/>
        <v>-11.839999999999975</v>
      </c>
      <c r="O221" s="41"/>
      <c r="P221" s="13"/>
      <c r="Q221" s="32">
        <v>706.86</v>
      </c>
      <c r="R221" s="41"/>
      <c r="S221" s="85">
        <f t="shared" si="53"/>
        <v>-356.2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52"/>
        <v>ServiceTéléphone</v>
      </c>
      <c r="B222" s="11" t="s">
        <v>78</v>
      </c>
      <c r="C222" s="29" t="s">
        <v>58</v>
      </c>
      <c r="D222" s="81"/>
      <c r="E222" s="13"/>
      <c r="F222" s="30">
        <v>114.25</v>
      </c>
      <c r="G222" s="83"/>
      <c r="H222" s="13"/>
      <c r="I222" s="30"/>
      <c r="J222" s="41"/>
      <c r="K222" s="13"/>
      <c r="L222" s="33">
        <v>121.09</v>
      </c>
      <c r="M222" s="41"/>
      <c r="N222" s="59">
        <f t="shared" si="49"/>
        <v>6.8400000000000034</v>
      </c>
      <c r="O222" s="41"/>
      <c r="P222" s="13"/>
      <c r="Q222" s="33">
        <v>114.26</v>
      </c>
      <c r="R222" s="41"/>
      <c r="S222" s="85">
        <f t="shared" si="53"/>
        <v>6.8299999999999983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52"/>
        <v>ServiceFrais postaux</v>
      </c>
      <c r="B223" s="11" t="s">
        <v>78</v>
      </c>
      <c r="C223" s="29" t="s">
        <v>59</v>
      </c>
      <c r="D223" s="81"/>
      <c r="E223" s="13"/>
      <c r="F223" s="30">
        <v>141.66666666666666</v>
      </c>
      <c r="G223" s="83"/>
      <c r="H223" s="13"/>
      <c r="I223" s="30"/>
      <c r="J223" s="41"/>
      <c r="K223" s="13"/>
      <c r="L223" s="33">
        <v>483.53</v>
      </c>
      <c r="M223" s="41"/>
      <c r="N223" s="59">
        <f t="shared" si="49"/>
        <v>341.86333333333334</v>
      </c>
      <c r="O223" s="41"/>
      <c r="P223" s="13"/>
      <c r="Q223" s="33">
        <v>359.98</v>
      </c>
      <c r="R223" s="41"/>
      <c r="S223" s="85">
        <f t="shared" si="53"/>
        <v>123.54999999999995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52"/>
        <v>ServiceDivers</v>
      </c>
      <c r="B224" s="11" t="s">
        <v>78</v>
      </c>
      <c r="C224" s="29" t="s">
        <v>60</v>
      </c>
      <c r="D224" s="81"/>
      <c r="E224" s="13"/>
      <c r="F224" s="30">
        <v>381.66666666666663</v>
      </c>
      <c r="G224" s="83"/>
      <c r="H224" s="13"/>
      <c r="I224" s="30"/>
      <c r="J224" s="41"/>
      <c r="K224" s="13"/>
      <c r="L224" s="33">
        <v>338.37</v>
      </c>
      <c r="M224" s="41"/>
      <c r="N224" s="59">
        <f t="shared" si="49"/>
        <v>-43.296666666666624</v>
      </c>
      <c r="O224" s="41"/>
      <c r="P224" s="13"/>
      <c r="Q224" s="33">
        <v>1844.65</v>
      </c>
      <c r="R224" s="41"/>
      <c r="S224" s="85">
        <f t="shared" si="53"/>
        <v>-1506.2800000000002</v>
      </c>
      <c r="T224" s="13"/>
      <c r="U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52"/>
        <v>ServiceFormation</v>
      </c>
      <c r="B225" s="11" t="s">
        <v>78</v>
      </c>
      <c r="C225" s="29" t="s">
        <v>61</v>
      </c>
      <c r="D225" s="81"/>
      <c r="E225" s="13"/>
      <c r="F225" s="30">
        <v>1782.2466666666669</v>
      </c>
      <c r="G225" s="83"/>
      <c r="H225" s="13"/>
      <c r="I225" s="30"/>
      <c r="J225" s="41"/>
      <c r="K225" s="13"/>
      <c r="L225" s="33">
        <v>3068.04</v>
      </c>
      <c r="M225" s="41"/>
      <c r="N225" s="59">
        <f t="shared" si="49"/>
        <v>1285.7933333333331</v>
      </c>
      <c r="O225" s="41"/>
      <c r="P225" s="13"/>
      <c r="Q225" s="33">
        <v>2007.36</v>
      </c>
      <c r="R225" s="41"/>
      <c r="S225" s="85">
        <f t="shared" si="53"/>
        <v>1060.68</v>
      </c>
      <c r="T225" s="13"/>
      <c r="U225" s="13"/>
      <c r="V225" s="489" t="s">
        <v>265</v>
      </c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>
      <c r="A226" t="str">
        <f t="shared" si="52"/>
        <v>ServiceFrais bancaires</v>
      </c>
      <c r="B226" s="11" t="s">
        <v>78</v>
      </c>
      <c r="C226" s="29" t="s">
        <v>62</v>
      </c>
      <c r="D226" s="81"/>
      <c r="E226" s="13"/>
      <c r="F226" s="30">
        <v>2015.0715153840281</v>
      </c>
      <c r="G226" s="83"/>
      <c r="H226" s="13"/>
      <c r="I226" s="30"/>
      <c r="J226" s="41"/>
      <c r="K226" s="13"/>
      <c r="L226" s="33">
        <v>2018.57</v>
      </c>
      <c r="M226" s="41"/>
      <c r="N226" s="59">
        <f t="shared" si="49"/>
        <v>3.4984846159718472</v>
      </c>
      <c r="O226" s="41"/>
      <c r="P226" s="13"/>
      <c r="Q226" s="33">
        <v>1575.51</v>
      </c>
      <c r="R226" s="41"/>
      <c r="S226" s="85">
        <f t="shared" si="53"/>
        <v>443.05999999999995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 t="shared" si="52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49"/>
        <v>0</v>
      </c>
      <c r="O227" s="41"/>
      <c r="P227" s="13"/>
      <c r="Q227" s="33">
        <v>0</v>
      </c>
      <c r="R227" s="41"/>
      <c r="S227" s="85">
        <f t="shared" si="53"/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>+B228&amp;C228</f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49"/>
        <v>0</v>
      </c>
      <c r="O228" s="41"/>
      <c r="P228" s="13"/>
      <c r="Q228" s="33">
        <v>0</v>
      </c>
      <c r="R228" s="41"/>
      <c r="S228" s="85">
        <f>L228-Q228</f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399999999999999" hidden="1">
      <c r="A229" t="str">
        <f t="shared" ref="A229" si="54">+B229&amp;C229</f>
        <v>Service[...]</v>
      </c>
      <c r="B229" s="11" t="s">
        <v>78</v>
      </c>
      <c r="C229" s="29" t="s">
        <v>19</v>
      </c>
      <c r="D229" s="81"/>
      <c r="E229" s="13"/>
      <c r="F229" s="30">
        <v>0</v>
      </c>
      <c r="G229" s="83"/>
      <c r="H229" s="13"/>
      <c r="I229" s="30"/>
      <c r="J229" s="41"/>
      <c r="K229" s="13"/>
      <c r="L229" s="33">
        <v>0</v>
      </c>
      <c r="M229" s="41"/>
      <c r="N229" s="59">
        <f t="shared" si="49"/>
        <v>0</v>
      </c>
      <c r="O229" s="41"/>
      <c r="P229" s="13"/>
      <c r="Q229" s="33">
        <v>0</v>
      </c>
      <c r="R229" s="41"/>
      <c r="S229" s="85">
        <f t="shared" ref="S229" si="55">L229-Q229</f>
        <v>0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1">
      <c r="B230" s="11"/>
      <c r="C230" s="93" t="s">
        <v>63</v>
      </c>
      <c r="D230" s="94" t="s">
        <v>92</v>
      </c>
      <c r="E230" s="95">
        <f>F230/F$195</f>
        <v>0.23457289182102531</v>
      </c>
      <c r="F230" s="96">
        <f>+SUM(F212:F229)</f>
        <v>32425.829749490098</v>
      </c>
      <c r="G230" s="97"/>
      <c r="H230" s="95"/>
      <c r="I230" s="96"/>
      <c r="J230" s="97" t="s">
        <v>92</v>
      </c>
      <c r="K230" s="95">
        <f>L230/L$195</f>
        <v>0.31727749702093749</v>
      </c>
      <c r="L230" s="96">
        <f>+SUM(L212:L229)</f>
        <v>35161.789999999994</v>
      </c>
      <c r="M230" s="100"/>
      <c r="N230" s="96">
        <f t="shared" si="49"/>
        <v>2735.9602505098956</v>
      </c>
      <c r="O230" s="97" t="s">
        <v>92</v>
      </c>
      <c r="P230" s="95">
        <f>Q230/Q$195</f>
        <v>0.29049794182491995</v>
      </c>
      <c r="Q230" s="96">
        <f>+SUM(Q212:Q229)</f>
        <v>34401.599999999999</v>
      </c>
      <c r="R230" s="100"/>
      <c r="S230" s="101">
        <f>L230-Q230</f>
        <v>760.18999999999505</v>
      </c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399999999999999">
      <c r="B231" s="11"/>
      <c r="C231" s="86"/>
      <c r="D231" s="87"/>
      <c r="E231" s="111"/>
      <c r="F231" s="59"/>
      <c r="G231" s="89"/>
      <c r="H231" s="111"/>
      <c r="I231" s="59"/>
      <c r="J231" s="23"/>
      <c r="K231" s="111"/>
      <c r="L231" s="91"/>
      <c r="M231" s="23"/>
      <c r="N231" s="91"/>
      <c r="O231" s="23"/>
      <c r="P231" s="111"/>
      <c r="Q231" s="91"/>
      <c r="R231" s="23"/>
      <c r="S231" s="92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1">
      <c r="B232" s="11"/>
      <c r="C232" s="93" t="s">
        <v>64</v>
      </c>
      <c r="D232" s="94" t="s">
        <v>38</v>
      </c>
      <c r="E232" s="95">
        <f>F232/F$195</f>
        <v>0.81170048714106713</v>
      </c>
      <c r="F232" s="96">
        <f>F211+F230</f>
        <v>112204.192050018</v>
      </c>
      <c r="G232" s="97"/>
      <c r="H232" s="95"/>
      <c r="I232" s="96"/>
      <c r="J232" s="97" t="s">
        <v>38</v>
      </c>
      <c r="K232" s="95">
        <f>L232/L$195</f>
        <v>0.85239921222455939</v>
      </c>
      <c r="L232" s="96">
        <f>L211+L230</f>
        <v>94465.829999999987</v>
      </c>
      <c r="M232" s="100"/>
      <c r="N232" s="113">
        <f>L232-F232</f>
        <v>-17738.362050018011</v>
      </c>
      <c r="O232" s="97" t="s">
        <v>38</v>
      </c>
      <c r="P232" s="95">
        <f>Q232/Q$195</f>
        <v>0.84552257515799245</v>
      </c>
      <c r="Q232" s="96">
        <f>Q211+Q230</f>
        <v>100129.20999999999</v>
      </c>
      <c r="R232" s="100"/>
      <c r="S232" s="114">
        <f>L232-Q232</f>
        <v>-5663.3800000000047</v>
      </c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0.399999999999999">
      <c r="B233" s="11"/>
      <c r="C233" s="29"/>
      <c r="D233" s="81"/>
      <c r="E233" s="13"/>
      <c r="F233" s="59"/>
      <c r="G233" s="83"/>
      <c r="H233" s="13"/>
      <c r="I233" s="59"/>
      <c r="J233" s="41"/>
      <c r="K233" s="13"/>
      <c r="L233" s="59"/>
      <c r="M233" s="41"/>
      <c r="N233" s="59"/>
      <c r="O233" s="41"/>
      <c r="P233" s="13"/>
      <c r="Q233" s="59"/>
      <c r="R233" s="41"/>
      <c r="S233" s="85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.6" thickBot="1">
      <c r="B234" s="11"/>
      <c r="C234" s="124" t="s">
        <v>69</v>
      </c>
      <c r="D234" s="151"/>
      <c r="E234" s="125"/>
      <c r="F234" s="127">
        <f>F195-F232</f>
        <v>26029.299031425442</v>
      </c>
      <c r="G234" s="152"/>
      <c r="H234" s="125"/>
      <c r="I234" s="127"/>
      <c r="J234" s="153"/>
      <c r="K234" s="126"/>
      <c r="L234" s="127">
        <f>L195-L232</f>
        <v>16357.630000000034</v>
      </c>
      <c r="M234" s="153"/>
      <c r="N234" s="127">
        <f>L234-F234</f>
        <v>-9671.6690314254083</v>
      </c>
      <c r="O234" s="153"/>
      <c r="P234" s="126"/>
      <c r="Q234" s="127">
        <f>Q195-Q232</f>
        <v>18293.6599999998</v>
      </c>
      <c r="R234" s="153"/>
      <c r="S234" s="129">
        <f>L234-Q234</f>
        <v>-1936.029999999766</v>
      </c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1" thickTop="1">
      <c r="B235" s="11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13"/>
      <c r="O235" s="82"/>
      <c r="P235" s="13"/>
      <c r="Q235" s="82"/>
      <c r="R235" s="13"/>
      <c r="S235" s="13"/>
      <c r="T235" s="13"/>
      <c r="U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20.399999999999999">
      <c r="B236" s="11"/>
      <c r="C236" s="10"/>
      <c r="D236" s="10"/>
      <c r="E236" s="10"/>
      <c r="F236" s="154"/>
      <c r="G236" s="10"/>
      <c r="H236" s="10"/>
      <c r="I236" s="10"/>
      <c r="J236" s="10"/>
      <c r="K236" s="10"/>
      <c r="L236" s="154"/>
      <c r="M236" s="154"/>
      <c r="N236" s="10"/>
      <c r="O236" s="154"/>
      <c r="P236" s="10"/>
      <c r="Q236" s="154"/>
      <c r="R236" s="10"/>
      <c r="S236" s="10"/>
      <c r="T236" s="10"/>
      <c r="U236" s="1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35.4" hidden="1">
      <c r="B237" s="11"/>
      <c r="C237" s="6" t="str">
        <f>C1</f>
        <v>BMW Sherbrooke</v>
      </c>
      <c r="D237" s="2"/>
      <c r="E237" s="2"/>
      <c r="F237" s="2"/>
      <c r="G237" s="2"/>
      <c r="H237" s="1"/>
      <c r="I237" s="1"/>
      <c r="J237" s="1"/>
      <c r="K237" s="3" t="s">
        <v>94</v>
      </c>
      <c r="L237" s="2"/>
      <c r="M237" s="2"/>
      <c r="N237" s="1"/>
      <c r="O237" s="1"/>
      <c r="P237" s="2"/>
      <c r="Q237" s="1"/>
      <c r="R237" s="2"/>
      <c r="S237" s="5" t="str">
        <f>$S$1</f>
        <v>Réalisé, Août 2026</v>
      </c>
      <c r="T237" s="2"/>
      <c r="U237" s="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35.4" hidden="1">
      <c r="B238" s="11"/>
      <c r="C238" s="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21.6" hidden="1" thickTop="1">
      <c r="B239" s="11"/>
      <c r="C239" s="12"/>
      <c r="D239" s="506" t="s">
        <v>5</v>
      </c>
      <c r="E239" s="507"/>
      <c r="F239" s="508"/>
      <c r="G239" s="509"/>
      <c r="H239" s="507"/>
      <c r="I239" s="508"/>
      <c r="J239" s="509" t="s">
        <v>7</v>
      </c>
      <c r="K239" s="507"/>
      <c r="L239" s="508"/>
      <c r="M239" s="509" t="s">
        <v>212</v>
      </c>
      <c r="N239" s="508"/>
      <c r="O239" s="506" t="s">
        <v>8</v>
      </c>
      <c r="P239" s="507"/>
      <c r="Q239" s="508"/>
      <c r="R239" s="504" t="s">
        <v>213</v>
      </c>
      <c r="S239" s="505"/>
      <c r="T239" s="148"/>
      <c r="U239" s="13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20.399999999999999" hidden="1">
      <c r="A240" t="str">
        <f t="shared" ref="A240:A273" si="56">+B240&amp;C240</f>
        <v>Carrosserie</v>
      </c>
      <c r="B240" s="11" t="s">
        <v>94</v>
      </c>
      <c r="C240" s="29"/>
      <c r="D240" s="80" t="s">
        <v>39</v>
      </c>
      <c r="E240" s="80" t="s">
        <v>79</v>
      </c>
      <c r="F240" s="134" t="s">
        <v>12</v>
      </c>
      <c r="G240" s="135"/>
      <c r="H240" s="80"/>
      <c r="I240" s="134"/>
      <c r="J240" s="135" t="s">
        <v>39</v>
      </c>
      <c r="K240" s="80" t="s">
        <v>79</v>
      </c>
      <c r="L240" s="134" t="s">
        <v>12</v>
      </c>
      <c r="M240" s="135" t="s">
        <v>39</v>
      </c>
      <c r="N240" s="134" t="s">
        <v>216</v>
      </c>
      <c r="O240" s="80" t="s">
        <v>39</v>
      </c>
      <c r="P240" s="80" t="s">
        <v>79</v>
      </c>
      <c r="Q240" s="134" t="s">
        <v>12</v>
      </c>
      <c r="R240" s="135" t="s">
        <v>80</v>
      </c>
      <c r="S240" s="136" t="s">
        <v>12</v>
      </c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 hidden="1">
      <c r="A241" t="str">
        <f t="shared" si="56"/>
        <v>Carrosserie</v>
      </c>
      <c r="B241" s="11" t="s">
        <v>94</v>
      </c>
      <c r="C241" s="29"/>
      <c r="D241" s="80"/>
      <c r="E241" s="80"/>
      <c r="F241" s="134"/>
      <c r="G241" s="135"/>
      <c r="H241" s="80"/>
      <c r="I241" s="134"/>
      <c r="J241" s="135"/>
      <c r="K241" s="30"/>
      <c r="L241" s="33"/>
      <c r="M241" s="135"/>
      <c r="N241" s="134"/>
      <c r="O241" s="80"/>
      <c r="P241" s="80"/>
      <c r="Q241" s="134"/>
      <c r="R241" s="135"/>
      <c r="S241" s="136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 hidden="1">
      <c r="A242" t="str">
        <f t="shared" si="56"/>
        <v>CarrosserieM/O Sous-traitement</v>
      </c>
      <c r="B242" s="11" t="s">
        <v>94</v>
      </c>
      <c r="C242" s="29" t="s">
        <v>95</v>
      </c>
      <c r="D242" s="80">
        <v>0</v>
      </c>
      <c r="E242" s="82">
        <v>0</v>
      </c>
      <c r="F242" s="82">
        <v>0</v>
      </c>
      <c r="G242" s="155"/>
      <c r="H242" s="82"/>
      <c r="I242" s="82"/>
      <c r="J242" s="60">
        <v>0</v>
      </c>
      <c r="K242" s="30">
        <v>0</v>
      </c>
      <c r="L242" s="33">
        <v>0</v>
      </c>
      <c r="M242" s="156">
        <f>IFERROR((K242-E242)/E242,0)</f>
        <v>0</v>
      </c>
      <c r="N242" s="59">
        <f>L242-F242</f>
        <v>0</v>
      </c>
      <c r="O242" s="60">
        <v>0</v>
      </c>
      <c r="P242" s="30">
        <v>0</v>
      </c>
      <c r="Q242" s="33">
        <v>0</v>
      </c>
      <c r="R242" s="156">
        <f>IF(O242=0,0,J242/O242)</f>
        <v>0</v>
      </c>
      <c r="S242" s="85">
        <f>L242-Q242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 hidden="1">
      <c r="A243" t="str">
        <f t="shared" si="56"/>
        <v>Carrosserie% profit / ventes</v>
      </c>
      <c r="B243" s="11" t="s">
        <v>94</v>
      </c>
      <c r="C243" s="29" t="s">
        <v>82</v>
      </c>
      <c r="D243" s="80"/>
      <c r="E243" s="143"/>
      <c r="F243" s="157">
        <f>IFERROR(F242/E242,0)</f>
        <v>0</v>
      </c>
      <c r="G243" s="41"/>
      <c r="H243" s="143"/>
      <c r="I243" s="157"/>
      <c r="J243" s="60"/>
      <c r="K243" s="13"/>
      <c r="L243" s="157">
        <f>IFERROR(L242/K242,0)</f>
        <v>0</v>
      </c>
      <c r="M243" s="156"/>
      <c r="N243" s="465">
        <f>IFERROR(N242/M242,0)</f>
        <v>0</v>
      </c>
      <c r="O243" s="60"/>
      <c r="P243" s="13"/>
      <c r="Q243" s="157">
        <f>IFERROR(Q242/P242,0)</f>
        <v>0</v>
      </c>
      <c r="R243" s="60"/>
      <c r="S243" s="85">
        <f>IFERROR(S242/R242,0)</f>
        <v>0</v>
      </c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 hidden="1">
      <c r="A244" t="str">
        <f t="shared" si="56"/>
        <v>Carrosserie</v>
      </c>
      <c r="B244" s="11" t="s">
        <v>94</v>
      </c>
      <c r="C244" s="29"/>
      <c r="D244" s="80"/>
      <c r="E244" s="206"/>
      <c r="F244" s="466"/>
      <c r="G244" s="135"/>
      <c r="H244" s="206"/>
      <c r="I244" s="466"/>
      <c r="J244" s="135"/>
      <c r="K244" s="80"/>
      <c r="L244" s="134"/>
      <c r="M244" s="135"/>
      <c r="N244" s="134"/>
      <c r="O244" s="135"/>
      <c r="P244" s="80"/>
      <c r="Q244" s="134"/>
      <c r="R244" s="207"/>
      <c r="S244" s="136"/>
      <c r="T244" s="80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 hidden="1">
      <c r="A245" t="str">
        <f t="shared" si="56"/>
        <v>CarrosserieM/O Carrosserie</v>
      </c>
      <c r="B245" s="11" t="s">
        <v>94</v>
      </c>
      <c r="C245" s="14" t="s">
        <v>96</v>
      </c>
      <c r="D245" s="105">
        <v>0</v>
      </c>
      <c r="E245" s="82">
        <v>0</v>
      </c>
      <c r="F245" s="82">
        <v>0</v>
      </c>
      <c r="G245" s="208"/>
      <c r="H245" s="82"/>
      <c r="I245" s="82"/>
      <c r="J245" s="163">
        <v>0</v>
      </c>
      <c r="K245" s="164">
        <v>0</v>
      </c>
      <c r="L245" s="108">
        <v>0</v>
      </c>
      <c r="M245" s="172">
        <f>IFERROR((K245-E245)/E245,0)</f>
        <v>0</v>
      </c>
      <c r="N245" s="109">
        <f>L245-F245</f>
        <v>0</v>
      </c>
      <c r="O245" s="163">
        <v>0</v>
      </c>
      <c r="P245" s="164">
        <v>0</v>
      </c>
      <c r="Q245" s="108">
        <v>0</v>
      </c>
      <c r="R245" s="156">
        <f>IF(O245=0,0,J245/O245)</f>
        <v>0</v>
      </c>
      <c r="S245" s="110">
        <f>L245-Q245</f>
        <v>0</v>
      </c>
      <c r="T245" s="147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 hidden="1">
      <c r="A246" t="str">
        <f t="shared" si="56"/>
        <v>Carrosserie% profit / ventes</v>
      </c>
      <c r="B246" s="11" t="s">
        <v>94</v>
      </c>
      <c r="C246" s="29" t="s">
        <v>82</v>
      </c>
      <c r="D246" s="13"/>
      <c r="E246" s="143"/>
      <c r="F246" s="157" t="e">
        <f>F245/E245</f>
        <v>#DIV/0!</v>
      </c>
      <c r="G246" s="41"/>
      <c r="H246" s="143"/>
      <c r="I246" s="157"/>
      <c r="J246" s="60"/>
      <c r="K246" s="13"/>
      <c r="L246" s="157">
        <f>IFERROR(L245/K245,0)</f>
        <v>0</v>
      </c>
      <c r="M246" s="156"/>
      <c r="N246" s="59">
        <f>IFERROR(N245/F245,0)</f>
        <v>0</v>
      </c>
      <c r="O246" s="60"/>
      <c r="P246" s="13"/>
      <c r="Q246" s="157">
        <f>IFERROR(Q245/P245,0)</f>
        <v>0</v>
      </c>
      <c r="R246" s="60"/>
      <c r="S246" s="85">
        <f>IF(Q245=0,0,S245/Q245)</f>
        <v>0</v>
      </c>
      <c r="T246" s="147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 hidden="1">
      <c r="A247" t="str">
        <f t="shared" si="56"/>
        <v>Carrosserie</v>
      </c>
      <c r="B247" s="11" t="s">
        <v>94</v>
      </c>
      <c r="C247" s="86"/>
      <c r="D247" s="111"/>
      <c r="E247" s="158"/>
      <c r="F247" s="159"/>
      <c r="G247" s="23"/>
      <c r="H247" s="169"/>
      <c r="I247" s="159"/>
      <c r="J247" s="160"/>
      <c r="K247" s="209"/>
      <c r="L247" s="159"/>
      <c r="M247" s="161"/>
      <c r="N247" s="91"/>
      <c r="O247" s="160"/>
      <c r="P247" s="209"/>
      <c r="Q247" s="159"/>
      <c r="R247" s="160"/>
      <c r="S247" s="92"/>
      <c r="T247" s="147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399999999999999" hidden="1">
      <c r="A248" t="str">
        <f t="shared" si="56"/>
        <v>CarrosserieM/O Esthétique Carr.</v>
      </c>
      <c r="B248" s="11" t="s">
        <v>94</v>
      </c>
      <c r="C248" s="14" t="s">
        <v>97</v>
      </c>
      <c r="D248" s="162">
        <v>0</v>
      </c>
      <c r="E248" s="82">
        <v>0</v>
      </c>
      <c r="F248" s="82">
        <v>0</v>
      </c>
      <c r="G248" s="163"/>
      <c r="H248" s="82"/>
      <c r="I248" s="82"/>
      <c r="J248" s="163">
        <v>0</v>
      </c>
      <c r="K248" s="30">
        <v>0</v>
      </c>
      <c r="L248" s="33">
        <v>0</v>
      </c>
      <c r="M248" s="156">
        <f>IFERROR((K248-E248)/E248,0)</f>
        <v>0</v>
      </c>
      <c r="N248" s="109">
        <f>L248-F248</f>
        <v>0</v>
      </c>
      <c r="O248" s="163">
        <v>0</v>
      </c>
      <c r="P248" s="30">
        <v>0</v>
      </c>
      <c r="Q248" s="33">
        <v>0</v>
      </c>
      <c r="R248" s="156">
        <f>IF(O248=0,0,J248/O248)</f>
        <v>0</v>
      </c>
      <c r="S248" s="85">
        <f>L248-Q248</f>
        <v>0</v>
      </c>
      <c r="T248" s="147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hidden="1">
      <c r="A249" t="str">
        <f t="shared" si="56"/>
        <v>Carrosserie% profit / ventes</v>
      </c>
      <c r="B249" s="11" t="s">
        <v>94</v>
      </c>
      <c r="C249" s="29" t="s">
        <v>82</v>
      </c>
      <c r="D249" s="13"/>
      <c r="E249" s="13"/>
      <c r="F249" s="157" t="e">
        <f>F248/E248</f>
        <v>#DIV/0!</v>
      </c>
      <c r="G249" s="41"/>
      <c r="H249" s="13"/>
      <c r="I249" s="157"/>
      <c r="J249" s="41"/>
      <c r="K249" s="13"/>
      <c r="L249" s="157">
        <f>IFERROR(L248/K248,0)</f>
        <v>0</v>
      </c>
      <c r="M249" s="42"/>
      <c r="N249" s="43">
        <f>IF(L248=0,0,N248/L248)</f>
        <v>0</v>
      </c>
      <c r="O249" s="41"/>
      <c r="P249" s="13"/>
      <c r="Q249" s="157">
        <f>IFERROR(Q248/P248,0)</f>
        <v>0</v>
      </c>
      <c r="R249" s="42"/>
      <c r="S249" s="44">
        <f>IF(Q248=0,0,S248/Q248)</f>
        <v>0</v>
      </c>
      <c r="T249" s="147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hidden="1">
      <c r="A250" t="str">
        <f t="shared" si="56"/>
        <v>Carrosserie</v>
      </c>
      <c r="B250" s="11" t="s">
        <v>94</v>
      </c>
      <c r="C250" s="29"/>
      <c r="D250" s="13"/>
      <c r="E250" s="13"/>
      <c r="F250" s="157"/>
      <c r="G250" s="41"/>
      <c r="H250" s="13"/>
      <c r="I250" s="157"/>
      <c r="J250" s="41"/>
      <c r="K250" s="13"/>
      <c r="L250" s="157"/>
      <c r="M250" s="42"/>
      <c r="N250" s="43"/>
      <c r="O250" s="41"/>
      <c r="P250" s="13"/>
      <c r="Q250" s="157"/>
      <c r="R250" s="42"/>
      <c r="S250" s="44"/>
      <c r="T250" s="147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hidden="1" thickTop="1">
      <c r="A251" t="str">
        <f t="shared" si="56"/>
        <v>CarrosserieTotal Mécanique</v>
      </c>
      <c r="B251" s="11" t="s">
        <v>94</v>
      </c>
      <c r="C251" s="62" t="s">
        <v>91</v>
      </c>
      <c r="D251" s="63"/>
      <c r="E251" s="63">
        <f>E245+E248+E242</f>
        <v>0</v>
      </c>
      <c r="F251" s="65">
        <f>F245+F248+F242</f>
        <v>0</v>
      </c>
      <c r="G251" s="66"/>
      <c r="H251" s="63"/>
      <c r="I251" s="65"/>
      <c r="J251" s="66"/>
      <c r="K251" s="63">
        <f>K245+K248+K242</f>
        <v>0</v>
      </c>
      <c r="L251" s="65">
        <f>L245+L248+L242</f>
        <v>0</v>
      </c>
      <c r="M251" s="205" t="e">
        <f>L252-F252</f>
        <v>#DIV/0!</v>
      </c>
      <c r="N251" s="65">
        <f>L251-F251</f>
        <v>0</v>
      </c>
      <c r="O251" s="66"/>
      <c r="P251" s="63">
        <f t="shared" ref="P251:Q251" si="57">P245+P248+P242</f>
        <v>0</v>
      </c>
      <c r="Q251" s="65">
        <f t="shared" si="57"/>
        <v>0</v>
      </c>
      <c r="R251" s="205" t="e">
        <f>L252-Q252</f>
        <v>#DIV/0!</v>
      </c>
      <c r="S251" s="68">
        <f>L251-Q251</f>
        <v>0</v>
      </c>
      <c r="T251" s="147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.6" hidden="1" thickBot="1">
      <c r="A252" t="str">
        <f t="shared" si="56"/>
        <v>Carrosserie</v>
      </c>
      <c r="B252" s="11" t="s">
        <v>94</v>
      </c>
      <c r="C252" s="69"/>
      <c r="D252" s="70"/>
      <c r="E252" s="70"/>
      <c r="F252" s="74" t="e">
        <f>F251/E251</f>
        <v>#DIV/0!</v>
      </c>
      <c r="G252" s="72"/>
      <c r="H252" s="70"/>
      <c r="I252" s="74"/>
      <c r="J252" s="72"/>
      <c r="K252" s="70"/>
      <c r="L252" s="74">
        <f>IF(K251=0,0,L251/K251)</f>
        <v>0</v>
      </c>
      <c r="M252" s="73"/>
      <c r="N252" s="74" t="e">
        <f>N251/F251</f>
        <v>#DIV/0!</v>
      </c>
      <c r="O252" s="72"/>
      <c r="P252" s="70"/>
      <c r="Q252" s="74" t="e">
        <f>Q251/P251</f>
        <v>#DIV/0!</v>
      </c>
      <c r="R252" s="73"/>
      <c r="S252" s="75" t="e">
        <f>IF(R251=0,0,S251/R251)</f>
        <v>#DIV/0!</v>
      </c>
      <c r="T252" s="147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399999999999999" hidden="1">
      <c r="A253" t="str">
        <f t="shared" si="56"/>
        <v>Carrosserie</v>
      </c>
      <c r="B253" s="11" t="s">
        <v>94</v>
      </c>
      <c r="C253" s="2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1" hidden="1">
      <c r="A254" t="str">
        <f t="shared" si="56"/>
        <v>CarrosserieDEPENSES</v>
      </c>
      <c r="B254" s="11" t="s">
        <v>94</v>
      </c>
      <c r="C254" s="79" t="s">
        <v>29</v>
      </c>
      <c r="D254" s="13"/>
      <c r="E254" s="13"/>
      <c r="F254" s="59"/>
      <c r="G254" s="41"/>
      <c r="H254" s="13"/>
      <c r="I254" s="59"/>
      <c r="J254" s="41"/>
      <c r="K254" s="13"/>
      <c r="L254" s="40"/>
      <c r="M254" s="41"/>
      <c r="N254" s="40"/>
      <c r="O254" s="41"/>
      <c r="P254" s="13"/>
      <c r="Q254" s="40"/>
      <c r="R254" s="41"/>
      <c r="S254" s="61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 hidden="1">
      <c r="A255" t="str">
        <f t="shared" si="56"/>
        <v>CarrosserieSalaires cadres</v>
      </c>
      <c r="B255" s="11" t="s">
        <v>94</v>
      </c>
      <c r="C255" s="102" t="s">
        <v>40</v>
      </c>
      <c r="D255" s="13"/>
      <c r="E255" s="13"/>
      <c r="F255" s="30">
        <v>0</v>
      </c>
      <c r="G255" s="41"/>
      <c r="H255" s="13"/>
      <c r="I255" s="30"/>
      <c r="J255" s="41"/>
      <c r="K255" s="13"/>
      <c r="L255" s="33">
        <v>0</v>
      </c>
      <c r="M255" s="41"/>
      <c r="N255" s="59">
        <f t="shared" ref="N255:N285" si="58">L255-F255</f>
        <v>0</v>
      </c>
      <c r="O255" s="41"/>
      <c r="P255" s="13"/>
      <c r="Q255" s="33">
        <v>0</v>
      </c>
      <c r="R255" s="41"/>
      <c r="S255" s="85">
        <f t="shared" ref="S255" si="59">L255-Q255</f>
        <v>0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 hidden="1">
      <c r="A256" t="str">
        <f t="shared" si="56"/>
        <v>CarrosserieSalaires commis</v>
      </c>
      <c r="B256" s="11" t="s">
        <v>94</v>
      </c>
      <c r="C256" s="103" t="s">
        <v>41</v>
      </c>
      <c r="D256" s="81"/>
      <c r="E256" s="13"/>
      <c r="F256" s="22">
        <v>0</v>
      </c>
      <c r="G256" s="83"/>
      <c r="H256" s="13"/>
      <c r="I256" s="22"/>
      <c r="J256" s="41"/>
      <c r="K256" s="13"/>
      <c r="L256" s="33">
        <v>0</v>
      </c>
      <c r="M256" s="41"/>
      <c r="N256" s="59">
        <f t="shared" si="58"/>
        <v>0</v>
      </c>
      <c r="O256" s="41"/>
      <c r="P256" s="13"/>
      <c r="Q256" s="33">
        <v>0</v>
      </c>
      <c r="R256" s="41"/>
      <c r="S256" s="85">
        <f>L256-Q256</f>
        <v>0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 hidden="1">
      <c r="A257" t="str">
        <f t="shared" si="56"/>
        <v>CarrosserieSalaires autres</v>
      </c>
      <c r="B257" s="11" t="s">
        <v>94</v>
      </c>
      <c r="C257" s="102" t="s">
        <v>42</v>
      </c>
      <c r="D257" s="104"/>
      <c r="E257" s="105"/>
      <c r="F257" s="30">
        <v>0</v>
      </c>
      <c r="G257" s="106"/>
      <c r="H257" s="105"/>
      <c r="I257" s="30"/>
      <c r="J257" s="107"/>
      <c r="K257" s="105"/>
      <c r="L257" s="108">
        <v>0</v>
      </c>
      <c r="M257" s="107"/>
      <c r="N257" s="109">
        <f t="shared" si="58"/>
        <v>0</v>
      </c>
      <c r="O257" s="107"/>
      <c r="P257" s="105"/>
      <c r="Q257" s="108">
        <v>0</v>
      </c>
      <c r="R257" s="107"/>
      <c r="S257" s="110">
        <f t="shared" ref="S257:S273" si="60">L257-Q257</f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56"/>
        <v>CarrosserieSalaires spécialistes</v>
      </c>
      <c r="B258" s="11" t="s">
        <v>94</v>
      </c>
      <c r="C258" s="102" t="s">
        <v>43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58"/>
        <v>0</v>
      </c>
      <c r="O258" s="41"/>
      <c r="P258" s="13"/>
      <c r="Q258" s="33">
        <v>0</v>
      </c>
      <c r="R258" s="41"/>
      <c r="S258" s="85">
        <f t="shared" si="60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58"/>
        <v>0</v>
      </c>
      <c r="O259" s="41"/>
      <c r="P259" s="13"/>
      <c r="Q259" s="33">
        <v>0</v>
      </c>
      <c r="R259" s="41"/>
      <c r="S259" s="85">
        <f t="shared" si="60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58"/>
        <v>0</v>
      </c>
      <c r="O260" s="41"/>
      <c r="P260" s="13"/>
      <c r="Q260" s="33">
        <v>0</v>
      </c>
      <c r="R260" s="41"/>
      <c r="S260" s="85">
        <f t="shared" si="60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 hidden="1">
      <c r="A261" t="str">
        <f t="shared" si="56"/>
        <v>Carrosserie[...]</v>
      </c>
      <c r="B261" s="11" t="s">
        <v>94</v>
      </c>
      <c r="C261" s="29" t="s">
        <v>19</v>
      </c>
      <c r="D261" s="81"/>
      <c r="E261" s="13"/>
      <c r="F261" s="30">
        <v>0</v>
      </c>
      <c r="G261" s="83"/>
      <c r="H261" s="13"/>
      <c r="I261" s="30"/>
      <c r="J261" s="41"/>
      <c r="K261" s="13"/>
      <c r="L261" s="33">
        <v>0</v>
      </c>
      <c r="M261" s="41"/>
      <c r="N261" s="59">
        <f t="shared" si="58"/>
        <v>0</v>
      </c>
      <c r="O261" s="41"/>
      <c r="P261" s="13"/>
      <c r="Q261" s="33">
        <v>0</v>
      </c>
      <c r="R261" s="41"/>
      <c r="S261" s="85">
        <f t="shared" si="60"/>
        <v>0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 hidden="1">
      <c r="A262" t="str">
        <f t="shared" si="56"/>
        <v>CarrosserieSalaires en absences</v>
      </c>
      <c r="B262" s="11" t="s">
        <v>94</v>
      </c>
      <c r="C262" s="103" t="s">
        <v>44</v>
      </c>
      <c r="D262" s="81"/>
      <c r="E262" s="13"/>
      <c r="F262" s="22">
        <v>0</v>
      </c>
      <c r="G262" s="83"/>
      <c r="H262" s="13"/>
      <c r="I262" s="22"/>
      <c r="J262" s="41"/>
      <c r="K262" s="13"/>
      <c r="L262" s="33">
        <v>0</v>
      </c>
      <c r="M262" s="41"/>
      <c r="N262" s="59">
        <f t="shared" si="58"/>
        <v>0</v>
      </c>
      <c r="O262" s="41"/>
      <c r="P262" s="13"/>
      <c r="Q262" s="33">
        <v>0</v>
      </c>
      <c r="R262" s="41"/>
      <c r="S262" s="85">
        <f t="shared" si="60"/>
        <v>0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 hidden="1">
      <c r="A263" t="str">
        <f t="shared" si="56"/>
        <v>CarrosserieDéduction à la source</v>
      </c>
      <c r="B263" s="11" t="s">
        <v>94</v>
      </c>
      <c r="C263" s="102" t="s">
        <v>45</v>
      </c>
      <c r="D263" s="104"/>
      <c r="E263" s="105"/>
      <c r="F263" s="30">
        <v>0</v>
      </c>
      <c r="G263" s="106"/>
      <c r="H263" s="105"/>
      <c r="I263" s="30"/>
      <c r="J263" s="107"/>
      <c r="K263" s="105"/>
      <c r="L263" s="108">
        <v>-0.04</v>
      </c>
      <c r="M263" s="107"/>
      <c r="N263" s="109">
        <f t="shared" si="58"/>
        <v>-0.04</v>
      </c>
      <c r="O263" s="107"/>
      <c r="P263" s="105"/>
      <c r="Q263" s="108">
        <v>0</v>
      </c>
      <c r="R263" s="107"/>
      <c r="S263" s="110">
        <f t="shared" si="60"/>
        <v>-0.04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 hidden="1">
      <c r="A264" t="str">
        <f t="shared" si="56"/>
        <v>CarrosserieBénéfices marginaux</v>
      </c>
      <c r="B264" s="11" t="s">
        <v>94</v>
      </c>
      <c r="C264" s="102" t="s">
        <v>46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1"/>
      <c r="N264" s="59">
        <f t="shared" si="58"/>
        <v>0</v>
      </c>
      <c r="O264" s="41"/>
      <c r="P264" s="13"/>
      <c r="Q264" s="33">
        <v>0</v>
      </c>
      <c r="R264" s="41"/>
      <c r="S264" s="85">
        <f t="shared" si="60"/>
        <v>0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56"/>
        <v>CarrosserieCsst</v>
      </c>
      <c r="B265" s="11" t="s">
        <v>94</v>
      </c>
      <c r="C265" s="102" t="s">
        <v>47</v>
      </c>
      <c r="D265" s="81"/>
      <c r="E265" s="13"/>
      <c r="F265" s="30">
        <v>0</v>
      </c>
      <c r="G265" s="83"/>
      <c r="H265" s="13"/>
      <c r="I265" s="30"/>
      <c r="J265" s="41"/>
      <c r="K265" s="13"/>
      <c r="L265" s="33">
        <v>0</v>
      </c>
      <c r="M265" s="462"/>
      <c r="N265" s="145">
        <f t="shared" si="58"/>
        <v>0</v>
      </c>
      <c r="O265" s="41"/>
      <c r="P265" s="13"/>
      <c r="Q265" s="33">
        <v>0</v>
      </c>
      <c r="R265" s="41"/>
      <c r="S265" s="85">
        <f t="shared" si="60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399999999999999" hidden="1">
      <c r="A266" t="str">
        <f t="shared" si="56"/>
        <v>Carrosserie[...]</v>
      </c>
      <c r="B266" s="11" t="s">
        <v>94</v>
      </c>
      <c r="C266" s="29" t="s">
        <v>19</v>
      </c>
      <c r="D266" s="87"/>
      <c r="E266" s="111"/>
      <c r="F266" s="30">
        <v>0</v>
      </c>
      <c r="G266" s="89"/>
      <c r="H266" s="111"/>
      <c r="I266" s="30"/>
      <c r="J266" s="23"/>
      <c r="K266" s="111"/>
      <c r="L266" s="33">
        <v>0</v>
      </c>
      <c r="M266" s="23"/>
      <c r="N266" s="91">
        <f t="shared" si="58"/>
        <v>0</v>
      </c>
      <c r="O266" s="23"/>
      <c r="P266" s="111"/>
      <c r="Q266" s="33">
        <v>0</v>
      </c>
      <c r="R266" s="23"/>
      <c r="S266" s="92">
        <f t="shared" si="60"/>
        <v>0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1" hidden="1">
      <c r="A267" t="str">
        <f t="shared" si="56"/>
        <v>CarrosserieTOTAL PERSONNEL</v>
      </c>
      <c r="B267" s="11" t="s">
        <v>94</v>
      </c>
      <c r="C267" s="93" t="s">
        <v>48</v>
      </c>
      <c r="D267" s="94" t="s">
        <v>38</v>
      </c>
      <c r="E267" s="95" t="e">
        <f>F267/F$245</f>
        <v>#DIV/0!</v>
      </c>
      <c r="F267" s="96">
        <f>+SUM(F255:F266)</f>
        <v>0</v>
      </c>
      <c r="G267" s="97"/>
      <c r="H267" s="95"/>
      <c r="I267" s="96"/>
      <c r="J267" s="97" t="s">
        <v>38</v>
      </c>
      <c r="K267" s="95">
        <f>IF(L245=0,0,L267/L$245)</f>
        <v>0</v>
      </c>
      <c r="L267" s="96">
        <f>+SUM(L255:L266)</f>
        <v>-0.04</v>
      </c>
      <c r="M267" s="146"/>
      <c r="N267" s="113">
        <f t="shared" si="58"/>
        <v>-0.04</v>
      </c>
      <c r="O267" s="97" t="s">
        <v>38</v>
      </c>
      <c r="P267" s="95">
        <f>IF(Q245=0,0,Q267/Q$245)</f>
        <v>0</v>
      </c>
      <c r="Q267" s="96">
        <f>+SUM(Q255:Q266)</f>
        <v>0</v>
      </c>
      <c r="R267" s="146"/>
      <c r="S267" s="114">
        <f t="shared" si="60"/>
        <v>-0.04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 hidden="1">
      <c r="A268" t="str">
        <f t="shared" si="56"/>
        <v>CarrosseriePublicité 2</v>
      </c>
      <c r="B268" s="11" t="s">
        <v>94</v>
      </c>
      <c r="C268" s="210" t="s">
        <v>49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58"/>
        <v>0</v>
      </c>
      <c r="O268" s="41"/>
      <c r="P268" s="13"/>
      <c r="Q268" s="33">
        <v>0</v>
      </c>
      <c r="R268" s="41"/>
      <c r="S268" s="85">
        <f t="shared" si="60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 hidden="1">
      <c r="A269" t="str">
        <f t="shared" si="56"/>
        <v>CarrosserieService gratuit 2</v>
      </c>
      <c r="B269" s="11" t="s">
        <v>94</v>
      </c>
      <c r="C269" s="102" t="s">
        <v>50</v>
      </c>
      <c r="D269" s="81"/>
      <c r="E269" s="13"/>
      <c r="F269" s="30">
        <v>0</v>
      </c>
      <c r="G269" s="83"/>
      <c r="H269" s="13"/>
      <c r="I269" s="30"/>
      <c r="J269" s="41"/>
      <c r="K269" s="13"/>
      <c r="L269" s="33">
        <v>0</v>
      </c>
      <c r="M269" s="41"/>
      <c r="N269" s="59">
        <f t="shared" si="58"/>
        <v>0</v>
      </c>
      <c r="O269" s="41"/>
      <c r="P269" s="13"/>
      <c r="Q269" s="33">
        <v>0</v>
      </c>
      <c r="R269" s="41"/>
      <c r="S269" s="85">
        <f t="shared" si="60"/>
        <v>0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 hidden="1">
      <c r="A270" t="str">
        <f t="shared" si="56"/>
        <v>CarrosserieFrais véhicules de cie</v>
      </c>
      <c r="B270" s="11" t="s">
        <v>94</v>
      </c>
      <c r="C270" s="103" t="s">
        <v>51</v>
      </c>
      <c r="D270" s="87"/>
      <c r="E270" s="111"/>
      <c r="F270" s="22">
        <v>0</v>
      </c>
      <c r="G270" s="89"/>
      <c r="H270" s="111"/>
      <c r="I270" s="22"/>
      <c r="J270" s="23"/>
      <c r="K270" s="111"/>
      <c r="L270" s="33">
        <v>0</v>
      </c>
      <c r="M270" s="23"/>
      <c r="N270" s="91">
        <f t="shared" si="58"/>
        <v>0</v>
      </c>
      <c r="O270" s="23"/>
      <c r="P270" s="111"/>
      <c r="Q270" s="33">
        <v>0</v>
      </c>
      <c r="R270" s="23"/>
      <c r="S270" s="92">
        <f t="shared" si="60"/>
        <v>0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 hidden="1">
      <c r="A271" t="str">
        <f t="shared" si="56"/>
        <v>CarrosserieInformatique</v>
      </c>
      <c r="B271" s="11" t="s">
        <v>94</v>
      </c>
      <c r="C271" s="102" t="s">
        <v>52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108">
        <v>0</v>
      </c>
      <c r="M271" s="41"/>
      <c r="N271" s="59">
        <f t="shared" si="58"/>
        <v>0</v>
      </c>
      <c r="O271" s="41"/>
      <c r="P271" s="13"/>
      <c r="Q271" s="108">
        <v>0</v>
      </c>
      <c r="R271" s="41"/>
      <c r="S271" s="85">
        <f t="shared" si="60"/>
        <v>0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 hidden="1">
      <c r="A272" t="str">
        <f t="shared" si="56"/>
        <v>CarrosserieFrais de déplacement</v>
      </c>
      <c r="B272" s="11" t="s">
        <v>94</v>
      </c>
      <c r="C272" s="102" t="s">
        <v>53</v>
      </c>
      <c r="D272" s="81"/>
      <c r="E272" s="13"/>
      <c r="F272" s="30">
        <v>0</v>
      </c>
      <c r="G272" s="83"/>
      <c r="H272" s="13"/>
      <c r="I272" s="30"/>
      <c r="J272" s="41"/>
      <c r="K272" s="13"/>
      <c r="L272" s="33">
        <v>0</v>
      </c>
      <c r="M272" s="41"/>
      <c r="N272" s="59">
        <f t="shared" si="58"/>
        <v>0</v>
      </c>
      <c r="O272" s="41"/>
      <c r="P272" s="13"/>
      <c r="Q272" s="33">
        <v>0</v>
      </c>
      <c r="R272" s="41"/>
      <c r="S272" s="85">
        <f t="shared" si="60"/>
        <v>0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 hidden="1">
      <c r="A273" t="str">
        <f t="shared" si="56"/>
        <v>CarrosserieServices extérieurs</v>
      </c>
      <c r="B273" s="11" t="s">
        <v>94</v>
      </c>
      <c r="C273" s="102" t="s">
        <v>54</v>
      </c>
      <c r="D273" s="87"/>
      <c r="E273" s="111"/>
      <c r="F273" s="22">
        <v>0</v>
      </c>
      <c r="G273" s="89"/>
      <c r="H273" s="111"/>
      <c r="I273" s="22"/>
      <c r="J273" s="23"/>
      <c r="K273" s="111"/>
      <c r="L273" s="33">
        <v>0</v>
      </c>
      <c r="M273" s="23"/>
      <c r="N273" s="91">
        <f t="shared" si="58"/>
        <v>0</v>
      </c>
      <c r="O273" s="23"/>
      <c r="P273" s="111"/>
      <c r="Q273" s="22">
        <v>0</v>
      </c>
      <c r="R273" s="23"/>
      <c r="S273" s="92">
        <f t="shared" si="60"/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 hidden="1">
      <c r="A274" t="str">
        <f>+B274&amp;C274</f>
        <v>CarrosserieFournitures d'atelier</v>
      </c>
      <c r="B274" s="11" t="s">
        <v>94</v>
      </c>
      <c r="C274" s="211" t="s">
        <v>93</v>
      </c>
      <c r="D274" s="81"/>
      <c r="E274" s="13"/>
      <c r="F274" s="30"/>
      <c r="G274" s="83"/>
      <c r="H274" s="13"/>
      <c r="I274" s="30"/>
      <c r="J274" s="41"/>
      <c r="K274" s="13"/>
      <c r="L274" s="55">
        <v>0</v>
      </c>
      <c r="M274" s="41"/>
      <c r="N274" s="59">
        <f t="shared" si="58"/>
        <v>0</v>
      </c>
      <c r="O274" s="41"/>
      <c r="P274" s="13"/>
      <c r="Q274" s="33">
        <v>0</v>
      </c>
      <c r="R274" s="41"/>
      <c r="S274" s="85">
        <f>L274-Q274</f>
        <v>0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 hidden="1">
      <c r="A275" t="str">
        <f t="shared" ref="A275:A283" si="61">+B275&amp;C275</f>
        <v>CarrosserieFournitures autres</v>
      </c>
      <c r="B275" s="11" t="s">
        <v>94</v>
      </c>
      <c r="C275" s="102" t="s">
        <v>55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58"/>
        <v>0</v>
      </c>
      <c r="O275" s="41"/>
      <c r="P275" s="13"/>
      <c r="Q275" s="33">
        <v>0</v>
      </c>
      <c r="R275" s="41"/>
      <c r="S275" s="85">
        <f t="shared" ref="S275:S283" si="62">L275-Q275</f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 hidden="1">
      <c r="A276" t="str">
        <f t="shared" si="61"/>
        <v>CarrosserieUniformes</v>
      </c>
      <c r="B276" s="11" t="s">
        <v>94</v>
      </c>
      <c r="C276" s="102" t="s">
        <v>56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3">
        <v>0</v>
      </c>
      <c r="M276" s="41"/>
      <c r="N276" s="59">
        <f t="shared" si="58"/>
        <v>0</v>
      </c>
      <c r="O276" s="41"/>
      <c r="P276" s="13"/>
      <c r="Q276" s="33">
        <v>0</v>
      </c>
      <c r="R276" s="41"/>
      <c r="S276" s="85">
        <f t="shared" si="62"/>
        <v>0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 hidden="1">
      <c r="A277" t="str">
        <f t="shared" si="61"/>
        <v>CarrosseriePapeterie</v>
      </c>
      <c r="B277" s="11" t="s">
        <v>94</v>
      </c>
      <c r="C277" s="102" t="s">
        <v>57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2">
        <v>0</v>
      </c>
      <c r="M277" s="41"/>
      <c r="N277" s="59">
        <f t="shared" si="58"/>
        <v>0</v>
      </c>
      <c r="O277" s="41"/>
      <c r="P277" s="13"/>
      <c r="Q277" s="32">
        <v>0</v>
      </c>
      <c r="R277" s="41"/>
      <c r="S277" s="85">
        <f t="shared" si="62"/>
        <v>0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 hidden="1">
      <c r="A278" t="str">
        <f t="shared" si="61"/>
        <v>CarrosserieTéléphone</v>
      </c>
      <c r="B278" s="11" t="s">
        <v>94</v>
      </c>
      <c r="C278" s="102" t="s">
        <v>58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58"/>
        <v>0</v>
      </c>
      <c r="O278" s="41"/>
      <c r="P278" s="13"/>
      <c r="Q278" s="33">
        <v>0</v>
      </c>
      <c r="R278" s="41"/>
      <c r="S278" s="85">
        <f t="shared" si="62"/>
        <v>0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 hidden="1">
      <c r="A279" t="str">
        <f t="shared" si="61"/>
        <v>CarrosserieFrais postaux</v>
      </c>
      <c r="B279" s="11" t="s">
        <v>94</v>
      </c>
      <c r="C279" s="102" t="s">
        <v>59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58"/>
        <v>0</v>
      </c>
      <c r="O279" s="41"/>
      <c r="P279" s="13"/>
      <c r="Q279" s="33">
        <v>0</v>
      </c>
      <c r="R279" s="41"/>
      <c r="S279" s="85">
        <f t="shared" si="62"/>
        <v>0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 hidden="1">
      <c r="A280" t="str">
        <f t="shared" si="61"/>
        <v>CarrosserieDivers</v>
      </c>
      <c r="B280" s="11" t="s">
        <v>94</v>
      </c>
      <c r="C280" s="102" t="s">
        <v>60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58"/>
        <v>0</v>
      </c>
      <c r="O280" s="41"/>
      <c r="P280" s="13"/>
      <c r="Q280" s="33">
        <v>0</v>
      </c>
      <c r="R280" s="41"/>
      <c r="S280" s="85">
        <f t="shared" si="62"/>
        <v>0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 hidden="1">
      <c r="A281" t="str">
        <f t="shared" si="61"/>
        <v>CarrosserieFormation</v>
      </c>
      <c r="B281" s="11" t="s">
        <v>94</v>
      </c>
      <c r="C281" s="102" t="s">
        <v>61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58"/>
        <v>0</v>
      </c>
      <c r="O281" s="41"/>
      <c r="P281" s="13"/>
      <c r="Q281" s="33">
        <v>0</v>
      </c>
      <c r="R281" s="41"/>
      <c r="S281" s="85">
        <f t="shared" si="62"/>
        <v>0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61"/>
        <v>CarrosserieFrais bancaires</v>
      </c>
      <c r="B282" s="11" t="s">
        <v>94</v>
      </c>
      <c r="C282" s="102" t="s">
        <v>62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58"/>
        <v>0</v>
      </c>
      <c r="O282" s="41"/>
      <c r="P282" s="13"/>
      <c r="Q282" s="33">
        <v>0</v>
      </c>
      <c r="R282" s="41"/>
      <c r="S282" s="85">
        <f t="shared" si="62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 t="shared" si="61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58"/>
        <v>0</v>
      </c>
      <c r="O283" s="41"/>
      <c r="P283" s="13"/>
      <c r="Q283" s="33">
        <v>0</v>
      </c>
      <c r="R283" s="41"/>
      <c r="S283" s="85">
        <f t="shared" si="62"/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>+B284&amp;C284</f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58"/>
        <v>0</v>
      </c>
      <c r="O284" s="41"/>
      <c r="P284" s="13"/>
      <c r="Q284" s="33">
        <v>0</v>
      </c>
      <c r="R284" s="41"/>
      <c r="S284" s="85">
        <f>L284-Q284</f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399999999999999" hidden="1">
      <c r="A285" t="str">
        <f t="shared" ref="A285" si="63">+B285&amp;C285</f>
        <v>Carrosserie[...]</v>
      </c>
      <c r="B285" s="11" t="s">
        <v>94</v>
      </c>
      <c r="C285" s="102" t="s">
        <v>19</v>
      </c>
      <c r="D285" s="81"/>
      <c r="E285" s="13"/>
      <c r="F285" s="30">
        <v>0</v>
      </c>
      <c r="G285" s="83"/>
      <c r="H285" s="13"/>
      <c r="I285" s="30"/>
      <c r="J285" s="41"/>
      <c r="K285" s="13"/>
      <c r="L285" s="33">
        <v>0</v>
      </c>
      <c r="M285" s="41"/>
      <c r="N285" s="59">
        <f t="shared" si="58"/>
        <v>0</v>
      </c>
      <c r="O285" s="41"/>
      <c r="P285" s="13"/>
      <c r="Q285" s="33">
        <v>0</v>
      </c>
      <c r="R285" s="41"/>
      <c r="S285" s="85">
        <f t="shared" ref="S285" si="64">L285-Q285</f>
        <v>0</v>
      </c>
      <c r="T285" s="13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 hidden="1">
      <c r="B286" s="11"/>
      <c r="C286" s="93" t="s">
        <v>63</v>
      </c>
      <c r="D286" s="94" t="s">
        <v>38</v>
      </c>
      <c r="E286" s="95" t="e">
        <f>F286/F$245</f>
        <v>#DIV/0!</v>
      </c>
      <c r="F286" s="96">
        <f>+SUM(F268:F285)</f>
        <v>0</v>
      </c>
      <c r="G286" s="97"/>
      <c r="H286" s="95"/>
      <c r="I286" s="96"/>
      <c r="J286" s="97" t="s">
        <v>38</v>
      </c>
      <c r="K286" s="95" t="e">
        <f>IF(L263=0,0,L286/L$245)</f>
        <v>#DIV/0!</v>
      </c>
      <c r="L286" s="96">
        <f>+SUM(L268:L285)</f>
        <v>0</v>
      </c>
      <c r="M286" s="100"/>
      <c r="N286" s="96">
        <f>+SUM(N268:N285)</f>
        <v>0</v>
      </c>
      <c r="O286" s="97" t="s">
        <v>38</v>
      </c>
      <c r="P286" s="95">
        <f>IF(Q$245=0,0,Q286/Q$245)</f>
        <v>0</v>
      </c>
      <c r="Q286" s="96">
        <f>+SUM(Q268:Q285)</f>
        <v>0</v>
      </c>
      <c r="R286" s="100"/>
      <c r="S286" s="101">
        <f>L286-Q286</f>
        <v>0</v>
      </c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 hidden="1">
      <c r="B287" s="11"/>
      <c r="C287" s="86"/>
      <c r="D287" s="87"/>
      <c r="E287" s="111"/>
      <c r="F287" s="59"/>
      <c r="G287" s="89"/>
      <c r="H287" s="111"/>
      <c r="I287" s="59"/>
      <c r="J287" s="23"/>
      <c r="K287" s="111"/>
      <c r="L287" s="91"/>
      <c r="M287" s="23"/>
      <c r="N287" s="91"/>
      <c r="O287" s="23"/>
      <c r="P287" s="111"/>
      <c r="Q287" s="91"/>
      <c r="R287" s="23"/>
      <c r="S287" s="92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1" hidden="1">
      <c r="B288" s="11"/>
      <c r="C288" s="93" t="s">
        <v>64</v>
      </c>
      <c r="D288" s="94" t="s">
        <v>38</v>
      </c>
      <c r="E288" s="95" t="e">
        <f>F288/F$245</f>
        <v>#DIV/0!</v>
      </c>
      <c r="F288" s="96">
        <f>F267+F286</f>
        <v>0</v>
      </c>
      <c r="G288" s="97"/>
      <c r="H288" s="95"/>
      <c r="I288" s="96"/>
      <c r="J288" s="97" t="s">
        <v>38</v>
      </c>
      <c r="K288" s="95">
        <f>IF(L265=0,0,L288/L$245)</f>
        <v>0</v>
      </c>
      <c r="L288" s="96">
        <f>L267+L286</f>
        <v>-0.04</v>
      </c>
      <c r="M288" s="100"/>
      <c r="N288" s="113">
        <f>L288-F288</f>
        <v>-0.04</v>
      </c>
      <c r="O288" s="97" t="s">
        <v>38</v>
      </c>
      <c r="P288" s="95">
        <f>IF(Q$245=0,0,Q288/Q$245)</f>
        <v>0</v>
      </c>
      <c r="Q288" s="96">
        <f>Q267+Q286</f>
        <v>0</v>
      </c>
      <c r="R288" s="100"/>
      <c r="S288" s="114">
        <f>L288-Q288</f>
        <v>-0.04</v>
      </c>
      <c r="T288" s="76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0.399999999999999" hidden="1">
      <c r="B289" s="11"/>
      <c r="C289" s="29"/>
      <c r="D289" s="81"/>
      <c r="E289" s="13"/>
      <c r="F289" s="59"/>
      <c r="G289" s="83"/>
      <c r="H289" s="13"/>
      <c r="I289" s="59"/>
      <c r="J289" s="41"/>
      <c r="K289" s="13"/>
      <c r="L289" s="59"/>
      <c r="M289" s="41"/>
      <c r="N289" s="59"/>
      <c r="O289" s="41"/>
      <c r="P289" s="13"/>
      <c r="Q289" s="59"/>
      <c r="R289" s="41"/>
      <c r="S289" s="85"/>
      <c r="T289" s="13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.6" hidden="1" thickBot="1">
      <c r="B290" s="11"/>
      <c r="C290" s="124" t="s">
        <v>69</v>
      </c>
      <c r="D290" s="151"/>
      <c r="E290" s="125"/>
      <c r="F290" s="127">
        <f>F251-F288</f>
        <v>0</v>
      </c>
      <c r="G290" s="152"/>
      <c r="H290" s="125"/>
      <c r="I290" s="127"/>
      <c r="J290" s="153"/>
      <c r="K290" s="126"/>
      <c r="L290" s="127">
        <f>L251-L288</f>
        <v>0.04</v>
      </c>
      <c r="M290" s="153"/>
      <c r="N290" s="127">
        <f>L290-F290</f>
        <v>0.04</v>
      </c>
      <c r="O290" s="153"/>
      <c r="P290" s="126"/>
      <c r="Q290" s="127">
        <f>Q251-Q288</f>
        <v>0</v>
      </c>
      <c r="R290" s="153"/>
      <c r="S290" s="129">
        <f>L290-Q290</f>
        <v>0.04</v>
      </c>
      <c r="T290" s="76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20.399999999999999" hidden="1">
      <c r="B291" s="11"/>
      <c r="C291" s="13"/>
      <c r="D291" s="13"/>
      <c r="E291" s="13"/>
      <c r="F291" s="13"/>
      <c r="G291" s="13"/>
      <c r="H291" s="13"/>
      <c r="I291" s="13"/>
      <c r="J291" s="13"/>
      <c r="K291" s="13"/>
      <c r="L291" s="82"/>
      <c r="M291" s="13"/>
      <c r="N291" s="13"/>
      <c r="O291" s="13"/>
      <c r="P291" s="13"/>
      <c r="Q291" s="13"/>
      <c r="R291" s="13"/>
      <c r="S291" s="13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35.4">
      <c r="B292" s="11"/>
      <c r="C292" s="6" t="str">
        <f>C1</f>
        <v>BMW Sherbrooke</v>
      </c>
      <c r="D292" s="2"/>
      <c r="E292" s="2"/>
      <c r="F292" s="2"/>
      <c r="G292" s="2"/>
      <c r="H292" s="1"/>
      <c r="I292" s="1"/>
      <c r="J292" s="1"/>
      <c r="K292" s="3" t="s">
        <v>98</v>
      </c>
      <c r="L292" s="2"/>
      <c r="M292" s="2"/>
      <c r="N292" s="1"/>
      <c r="O292" s="1"/>
      <c r="P292" s="2"/>
      <c r="Q292" s="1"/>
      <c r="R292" s="2"/>
      <c r="S292" s="5" t="str">
        <f>$S$1</f>
        <v>Réalisé, Août 2026</v>
      </c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Bot="1">
      <c r="B293" s="11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1.6" thickTop="1">
      <c r="B294" s="11"/>
      <c r="C294" s="12"/>
      <c r="D294" s="506" t="s">
        <v>5</v>
      </c>
      <c r="E294" s="507"/>
      <c r="F294" s="508"/>
      <c r="G294" s="509"/>
      <c r="H294" s="507"/>
      <c r="I294" s="508"/>
      <c r="J294" s="509" t="s">
        <v>7</v>
      </c>
      <c r="K294" s="507"/>
      <c r="L294" s="508"/>
      <c r="M294" s="509" t="s">
        <v>212</v>
      </c>
      <c r="N294" s="508"/>
      <c r="O294" s="506" t="s">
        <v>8</v>
      </c>
      <c r="P294" s="507"/>
      <c r="Q294" s="508"/>
      <c r="R294" s="504" t="s">
        <v>213</v>
      </c>
      <c r="S294" s="505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ref="A295:A300" si="65">+B295&amp;C295</f>
        <v>Pièces</v>
      </c>
      <c r="B295" s="11" t="s">
        <v>98</v>
      </c>
      <c r="C295" s="29"/>
      <c r="D295" s="80" t="s">
        <v>79</v>
      </c>
      <c r="E295" s="80" t="s">
        <v>99</v>
      </c>
      <c r="F295" s="134" t="s">
        <v>12</v>
      </c>
      <c r="G295" s="135"/>
      <c r="H295" s="80"/>
      <c r="I295" s="134"/>
      <c r="J295" s="135" t="s">
        <v>79</v>
      </c>
      <c r="K295" s="80" t="s">
        <v>99</v>
      </c>
      <c r="L295" s="134" t="s">
        <v>12</v>
      </c>
      <c r="M295" s="135" t="s">
        <v>39</v>
      </c>
      <c r="N295" s="134" t="s">
        <v>216</v>
      </c>
      <c r="O295" s="80" t="s">
        <v>79</v>
      </c>
      <c r="P295" s="80" t="s">
        <v>99</v>
      </c>
      <c r="Q295" s="134" t="s">
        <v>12</v>
      </c>
      <c r="R295" s="135" t="s">
        <v>80</v>
      </c>
      <c r="S295" s="136" t="s">
        <v>12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65"/>
        <v>PiècesPièces Ro Clients</v>
      </c>
      <c r="B296" s="11" t="s">
        <v>98</v>
      </c>
      <c r="C296" s="29" t="s">
        <v>100</v>
      </c>
      <c r="D296" s="82">
        <v>56223.66746373762</v>
      </c>
      <c r="E296" s="147">
        <f>IF(D296=0,0,F296/D296)</f>
        <v>0.40200000000000002</v>
      </c>
      <c r="F296" s="85">
        <v>22601.914320422526</v>
      </c>
      <c r="G296" s="82"/>
      <c r="H296" s="147"/>
      <c r="I296" s="85"/>
      <c r="J296" s="30">
        <v>78981.430000000008</v>
      </c>
      <c r="K296" s="147">
        <f t="shared" ref="K296:K301" si="66">IF(J296&lt;=0,0,L296/J296)</f>
        <v>0.36376272245260705</v>
      </c>
      <c r="L296" s="33">
        <v>28730.500000000015</v>
      </c>
      <c r="M296" s="156">
        <f t="shared" ref="M296:M302" si="67">(+J296-D296)/D296</f>
        <v>0.40477193258409161</v>
      </c>
      <c r="N296" s="59">
        <f t="shared" ref="N296:N305" si="68">L296-F296</f>
        <v>6128.5856795774889</v>
      </c>
      <c r="O296" s="30">
        <v>59394.13</v>
      </c>
      <c r="P296" s="147">
        <f t="shared" ref="P296:P304" si="69">IF(O296=0,0,Q296/O296)</f>
        <v>0.43643488001255343</v>
      </c>
      <c r="Q296" s="33">
        <v>25921.67</v>
      </c>
      <c r="R296" s="156">
        <f>IF(O296=0,0,(J296-O296)/O296)</f>
        <v>0.32978511512838071</v>
      </c>
      <c r="S296" s="85">
        <f t="shared" ref="S296:S301" si="70">L296-Q296</f>
        <v>2808.8300000000163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65"/>
        <v>PiècesPièces Ro Carrosserie</v>
      </c>
      <c r="B297" s="11" t="s">
        <v>98</v>
      </c>
      <c r="C297" s="29" t="s">
        <v>101</v>
      </c>
      <c r="D297" s="82">
        <v>0</v>
      </c>
      <c r="E297" s="147">
        <f t="shared" ref="E297:E301" si="71">IF(D297=0,0,F297/D297)</f>
        <v>0</v>
      </c>
      <c r="F297" s="85">
        <v>0</v>
      </c>
      <c r="G297" s="82"/>
      <c r="H297" s="147"/>
      <c r="I297" s="85"/>
      <c r="J297" s="30">
        <v>0</v>
      </c>
      <c r="K297" s="147">
        <f t="shared" si="66"/>
        <v>0</v>
      </c>
      <c r="L297" s="33">
        <v>0</v>
      </c>
      <c r="M297" s="156" t="e">
        <f t="shared" si="67"/>
        <v>#DIV/0!</v>
      </c>
      <c r="N297" s="59">
        <f t="shared" si="68"/>
        <v>0</v>
      </c>
      <c r="O297" s="30">
        <v>0</v>
      </c>
      <c r="P297" s="147">
        <f t="shared" si="69"/>
        <v>0</v>
      </c>
      <c r="Q297" s="33">
        <v>0</v>
      </c>
      <c r="R297" s="156">
        <f t="shared" ref="R297:R301" si="72">IF(O297=0,0,(J297-O297)/O297)</f>
        <v>0</v>
      </c>
      <c r="S297" s="85">
        <f t="shared" si="70"/>
        <v>0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65"/>
        <v>PiècesP/A Garantie</v>
      </c>
      <c r="B298" s="11" t="s">
        <v>98</v>
      </c>
      <c r="C298" s="29" t="s">
        <v>102</v>
      </c>
      <c r="D298" s="82">
        <v>69138.033126318929</v>
      </c>
      <c r="E298" s="147">
        <f t="shared" si="71"/>
        <v>0.27700000000000002</v>
      </c>
      <c r="F298" s="85">
        <v>19151.235175990347</v>
      </c>
      <c r="G298" s="82"/>
      <c r="H298" s="147"/>
      <c r="I298" s="85"/>
      <c r="J298" s="30">
        <v>97311.4</v>
      </c>
      <c r="K298" s="147">
        <f t="shared" si="66"/>
        <v>0.28365546071683273</v>
      </c>
      <c r="L298" s="33">
        <v>27602.909999999996</v>
      </c>
      <c r="M298" s="156">
        <f t="shared" si="67"/>
        <v>0.40749448024080753</v>
      </c>
      <c r="N298" s="59">
        <f t="shared" si="68"/>
        <v>8451.6748240096495</v>
      </c>
      <c r="O298" s="30">
        <v>83246.25</v>
      </c>
      <c r="P298" s="147">
        <f t="shared" si="69"/>
        <v>0.26271802033124614</v>
      </c>
      <c r="Q298" s="33">
        <v>21870.29</v>
      </c>
      <c r="R298" s="156">
        <f t="shared" si="72"/>
        <v>0.16895836148775464</v>
      </c>
      <c r="S298" s="85">
        <f t="shared" si="70"/>
        <v>5732.6199999999953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65"/>
        <v>PiècesVentes Internes</v>
      </c>
      <c r="B299" s="11" t="s">
        <v>98</v>
      </c>
      <c r="C299" s="29" t="s">
        <v>103</v>
      </c>
      <c r="D299" s="82">
        <v>27600</v>
      </c>
      <c r="E299" s="147">
        <f t="shared" si="71"/>
        <v>0.33800000000000002</v>
      </c>
      <c r="F299" s="85">
        <v>9328.8000000000011</v>
      </c>
      <c r="G299" s="82"/>
      <c r="H299" s="147"/>
      <c r="I299" s="85"/>
      <c r="J299" s="30">
        <v>25553.87</v>
      </c>
      <c r="K299" s="147">
        <f t="shared" si="66"/>
        <v>0.23594821449745176</v>
      </c>
      <c r="L299" s="33">
        <v>6029.3899999999976</v>
      </c>
      <c r="M299" s="156">
        <f t="shared" si="67"/>
        <v>-7.413514492753627E-2</v>
      </c>
      <c r="N299" s="59">
        <f t="shared" si="68"/>
        <v>-3299.4100000000035</v>
      </c>
      <c r="O299" s="30">
        <v>19834.52</v>
      </c>
      <c r="P299" s="147">
        <f t="shared" si="69"/>
        <v>0.34487297902848169</v>
      </c>
      <c r="Q299" s="33">
        <v>6840.39</v>
      </c>
      <c r="R299" s="156">
        <f t="shared" si="72"/>
        <v>0.28835333549790965</v>
      </c>
      <c r="S299" s="85">
        <f t="shared" si="70"/>
        <v>-811.00000000000273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 t="shared" si="65"/>
        <v>PiècesVentes Détails</v>
      </c>
      <c r="B300" s="11" t="s">
        <v>98</v>
      </c>
      <c r="C300" s="29" t="s">
        <v>104</v>
      </c>
      <c r="D300" s="82">
        <v>17077.439521491629</v>
      </c>
      <c r="E300" s="147">
        <f t="shared" si="71"/>
        <v>0.33100000000000002</v>
      </c>
      <c r="F300" s="85">
        <v>5652.6324816137294</v>
      </c>
      <c r="G300" s="82"/>
      <c r="H300" s="147"/>
      <c r="I300" s="85"/>
      <c r="J300" s="30">
        <v>23344.18</v>
      </c>
      <c r="K300" s="147">
        <f t="shared" si="66"/>
        <v>0.29028134635699343</v>
      </c>
      <c r="L300" s="33">
        <v>6776.3799999999992</v>
      </c>
      <c r="M300" s="156">
        <f t="shared" si="67"/>
        <v>0.36696019158034776</v>
      </c>
      <c r="N300" s="59">
        <f t="shared" si="68"/>
        <v>1123.7475183862698</v>
      </c>
      <c r="O300" s="30">
        <v>16735.09</v>
      </c>
      <c r="P300" s="147">
        <f t="shared" si="69"/>
        <v>0.38941887973115175</v>
      </c>
      <c r="Q300" s="33">
        <v>6516.96</v>
      </c>
      <c r="R300" s="156">
        <f t="shared" si="72"/>
        <v>0.39492407868735691</v>
      </c>
      <c r="S300" s="85">
        <f t="shared" si="70"/>
        <v>259.41999999999916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>
      <c r="A301" t="str">
        <f>+B301&amp;C301</f>
        <v>PiècesVentes de Gros</v>
      </c>
      <c r="B301" s="11" t="s">
        <v>98</v>
      </c>
      <c r="C301" s="29" t="s">
        <v>105</v>
      </c>
      <c r="D301" s="82">
        <v>106800</v>
      </c>
      <c r="E301" s="147">
        <f t="shared" si="71"/>
        <v>0.2</v>
      </c>
      <c r="F301" s="85">
        <v>21360</v>
      </c>
      <c r="G301" s="82"/>
      <c r="H301" s="147"/>
      <c r="I301" s="85"/>
      <c r="J301" s="30">
        <v>55400.23</v>
      </c>
      <c r="K301" s="147">
        <f t="shared" si="66"/>
        <v>0.22278156606931052</v>
      </c>
      <c r="L301" s="33">
        <v>12342.15</v>
      </c>
      <c r="M301" s="156">
        <f t="shared" si="67"/>
        <v>-0.48127125468164789</v>
      </c>
      <c r="N301" s="59">
        <f t="shared" si="68"/>
        <v>-9017.85</v>
      </c>
      <c r="O301" s="30">
        <v>50297.27</v>
      </c>
      <c r="P301" s="147">
        <f t="shared" si="69"/>
        <v>0.21691256801810319</v>
      </c>
      <c r="Q301" s="33">
        <v>10910.109999999901</v>
      </c>
      <c r="R301" s="156">
        <f t="shared" si="72"/>
        <v>0.1014560034769284</v>
      </c>
      <c r="S301" s="85">
        <f t="shared" si="70"/>
        <v>1432.0400000000991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 hidden="1">
      <c r="A302" t="str">
        <f>+B302&amp;C302</f>
        <v>Pièces[...]</v>
      </c>
      <c r="B302" s="11" t="s">
        <v>98</v>
      </c>
      <c r="C302" s="29" t="s">
        <v>19</v>
      </c>
      <c r="D302" s="82">
        <v>0</v>
      </c>
      <c r="E302" s="147">
        <f>IF(D302=0,0,F302/D302)</f>
        <v>0</v>
      </c>
      <c r="F302" s="85">
        <v>0</v>
      </c>
      <c r="G302" s="82"/>
      <c r="H302" s="147"/>
      <c r="I302" s="85"/>
      <c r="J302" s="30">
        <v>0</v>
      </c>
      <c r="K302" s="147">
        <f>IF(J302&lt;=0,0,L302/J302)</f>
        <v>0</v>
      </c>
      <c r="L302" s="33">
        <v>0</v>
      </c>
      <c r="M302" s="156" t="e">
        <f t="shared" si="67"/>
        <v>#DIV/0!</v>
      </c>
      <c r="N302" s="59">
        <f t="shared" si="68"/>
        <v>0</v>
      </c>
      <c r="O302" s="30">
        <v>0</v>
      </c>
      <c r="P302" s="147">
        <f t="shared" si="69"/>
        <v>0</v>
      </c>
      <c r="Q302" s="33">
        <v>0</v>
      </c>
      <c r="R302" s="156">
        <f>IF(O302=0,0,(J302-O302)/O302)</f>
        <v>0</v>
      </c>
      <c r="S302" s="85">
        <f>L302-Q302</f>
        <v>0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ref="A303:A322" si="73">+B303&amp;C303</f>
        <v>PiècesEscomptes</v>
      </c>
      <c r="B303" s="11" t="s">
        <v>98</v>
      </c>
      <c r="C303" s="29" t="s">
        <v>106</v>
      </c>
      <c r="D303" s="82">
        <v>0</v>
      </c>
      <c r="E303" s="147">
        <f t="shared" ref="E303:E304" si="74">IF(D303=0,0,F303/D303)</f>
        <v>0</v>
      </c>
      <c r="F303" s="85">
        <v>10253.301485612896</v>
      </c>
      <c r="G303" s="82"/>
      <c r="H303" s="147"/>
      <c r="I303" s="85"/>
      <c r="J303" s="30">
        <v>0</v>
      </c>
      <c r="K303" s="147">
        <f>IF(J303&lt;=0,0,L303/J303)</f>
        <v>0</v>
      </c>
      <c r="L303" s="33">
        <v>2499.3200000000002</v>
      </c>
      <c r="M303" s="156"/>
      <c r="N303" s="59">
        <f t="shared" si="68"/>
        <v>-7753.981485612896</v>
      </c>
      <c r="O303" s="30">
        <v>0</v>
      </c>
      <c r="P303" s="147">
        <f t="shared" si="69"/>
        <v>0</v>
      </c>
      <c r="Q303" s="33">
        <v>951</v>
      </c>
      <c r="R303" s="156">
        <f t="shared" ref="R303:R304" si="75">IF(O303=0,0,(J303-O303)/O303)</f>
        <v>0</v>
      </c>
      <c r="S303" s="85">
        <f>L303-Q303</f>
        <v>1548.3200000000002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399999999999999">
      <c r="A304" t="str">
        <f t="shared" si="73"/>
        <v>PiècesRectif. Inventaire</v>
      </c>
      <c r="B304" s="11" t="s">
        <v>98</v>
      </c>
      <c r="C304" s="86" t="s">
        <v>107</v>
      </c>
      <c r="D304" s="82">
        <v>0</v>
      </c>
      <c r="E304" s="147">
        <f t="shared" si="74"/>
        <v>0</v>
      </c>
      <c r="F304" s="85">
        <v>0</v>
      </c>
      <c r="G304" s="82"/>
      <c r="H304" s="147"/>
      <c r="I304" s="85"/>
      <c r="J304" s="30">
        <v>0</v>
      </c>
      <c r="K304" s="147">
        <f>IF(J304&lt;=0,0,L304/J304)</f>
        <v>0</v>
      </c>
      <c r="L304" s="33">
        <v>0</v>
      </c>
      <c r="M304" s="156"/>
      <c r="N304" s="59">
        <f t="shared" si="68"/>
        <v>0</v>
      </c>
      <c r="O304" s="30">
        <v>0</v>
      </c>
      <c r="P304" s="147">
        <f t="shared" si="69"/>
        <v>0</v>
      </c>
      <c r="Q304" s="33">
        <v>0</v>
      </c>
      <c r="R304" s="156">
        <f t="shared" si="75"/>
        <v>0</v>
      </c>
      <c r="S304" s="85">
        <f>L304-Q304</f>
        <v>0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73"/>
        <v>PiècesSous-total Pièces</v>
      </c>
      <c r="B305" s="11" t="s">
        <v>98</v>
      </c>
      <c r="C305" s="53" t="s">
        <v>108</v>
      </c>
      <c r="D305" s="194">
        <f>SUM(D296:D304)</f>
        <v>276839.14011154819</v>
      </c>
      <c r="E305" s="212">
        <f>IF(D305&lt;=0,0,F305/D305)</f>
        <v>0.31913075379457201</v>
      </c>
      <c r="F305" s="198">
        <f>SUM(F296:F304)</f>
        <v>88347.883463639504</v>
      </c>
      <c r="G305" s="194"/>
      <c r="H305" s="212"/>
      <c r="I305" s="198"/>
      <c r="J305" s="194">
        <f>SUM(J296:J304)</f>
        <v>280591.11</v>
      </c>
      <c r="K305" s="212">
        <f>IF(J305&lt;=0,0,L305/J305)</f>
        <v>0.29929904051486167</v>
      </c>
      <c r="L305" s="196">
        <f>SUM(L296:L304)</f>
        <v>83980.650000000009</v>
      </c>
      <c r="M305" s="213">
        <f>(+J305-D305)/D305</f>
        <v>1.3552888102961165E-2</v>
      </c>
      <c r="N305" s="196">
        <f t="shared" si="68"/>
        <v>-4367.2334636394953</v>
      </c>
      <c r="O305" s="194">
        <f>SUM(O296:O304)</f>
        <v>229507.25999999998</v>
      </c>
      <c r="P305" s="212">
        <f>IF(O305&lt;=0,0,Q305/O305)</f>
        <v>0.31811812837641784</v>
      </c>
      <c r="Q305" s="196">
        <f t="shared" ref="Q305" si="76">SUM(Q296:Q304)</f>
        <v>73010.419999999896</v>
      </c>
      <c r="R305" s="213">
        <f>IF(O305=0,0,(J305-O305)/O305)</f>
        <v>0.22258054058943499</v>
      </c>
      <c r="S305" s="198">
        <f>L305-Q305</f>
        <v>10970.230000000112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73"/>
        <v>Pièces</v>
      </c>
      <c r="B306" s="11" t="s">
        <v>98</v>
      </c>
      <c r="C306" s="29"/>
      <c r="D306" s="13"/>
      <c r="E306" s="13"/>
      <c r="F306" s="40"/>
      <c r="G306" s="41"/>
      <c r="H306" s="13"/>
      <c r="I306" s="40"/>
      <c r="J306" s="41"/>
      <c r="K306" s="13"/>
      <c r="L306" s="40"/>
      <c r="M306" s="41"/>
      <c r="N306" s="43">
        <f>N305/F305</f>
        <v>-4.9432236431978319E-2</v>
      </c>
      <c r="O306" s="41"/>
      <c r="P306" s="13"/>
      <c r="Q306" s="40"/>
      <c r="R306" s="41"/>
      <c r="S306" s="44">
        <f>IF(Q305=0,0,S305/Q305)</f>
        <v>0.15025567583367042</v>
      </c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1">
      <c r="A307" t="str">
        <f t="shared" si="73"/>
        <v>Pièces</v>
      </c>
      <c r="B307" s="11" t="s">
        <v>98</v>
      </c>
      <c r="C307" s="86"/>
      <c r="D307" s="111"/>
      <c r="E307" s="111"/>
      <c r="F307" s="214"/>
      <c r="G307" s="23"/>
      <c r="H307" s="215"/>
      <c r="I307" s="214"/>
      <c r="J307" s="23"/>
      <c r="K307" s="111"/>
      <c r="L307" s="214"/>
      <c r="M307" s="23"/>
      <c r="N307" s="167"/>
      <c r="O307" s="23"/>
      <c r="P307" s="111"/>
      <c r="Q307" s="214"/>
      <c r="R307" s="23"/>
      <c r="S307" s="168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73"/>
        <v>PiècesVentes Pneus</v>
      </c>
      <c r="B308" s="11" t="s">
        <v>98</v>
      </c>
      <c r="C308" s="29" t="s">
        <v>109</v>
      </c>
      <c r="D308" s="82">
        <v>54675.73415991768</v>
      </c>
      <c r="E308" s="147">
        <f>IF(D308=0,0,F308/D308)</f>
        <v>0.25</v>
      </c>
      <c r="F308" s="110">
        <v>13668.93353997942</v>
      </c>
      <c r="G308" s="82"/>
      <c r="H308" s="147"/>
      <c r="I308" s="110"/>
      <c r="J308" s="30">
        <v>68050.77</v>
      </c>
      <c r="K308" s="147">
        <f>IF(J308&lt;=0,0,L308/J308)</f>
        <v>0.26074282480565625</v>
      </c>
      <c r="L308" s="33">
        <v>17743.750000000007</v>
      </c>
      <c r="M308" s="156">
        <f>(+J308-D308)/D308</f>
        <v>0.24462471415495779</v>
      </c>
      <c r="N308" s="59">
        <f>L308-F308</f>
        <v>4074.8164600205873</v>
      </c>
      <c r="O308" s="30">
        <v>49674.36</v>
      </c>
      <c r="P308" s="147">
        <f t="shared" ref="P308:P309" si="77">IF(O308=0,0,Q308/O308)</f>
        <v>0.25887137750743039</v>
      </c>
      <c r="Q308" s="33">
        <v>12859.27</v>
      </c>
      <c r="R308" s="156">
        <f>IF(O308=0,0,(J308-O308)/O308)</f>
        <v>0.36993752913978162</v>
      </c>
      <c r="S308" s="85">
        <f>L308-Q308</f>
        <v>4884.4800000000068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399999999999999">
      <c r="A309" t="str">
        <f t="shared" si="73"/>
        <v>PiècesHuiles et Graisse</v>
      </c>
      <c r="B309" s="11" t="s">
        <v>98</v>
      </c>
      <c r="C309" s="86" t="s">
        <v>110</v>
      </c>
      <c r="D309" s="82">
        <v>13953.938808466866</v>
      </c>
      <c r="E309" s="147">
        <f>IF(D309=0,0,F309/D309)</f>
        <v>0.35499999999999998</v>
      </c>
      <c r="F309" s="92">
        <v>4953.6482770057373</v>
      </c>
      <c r="G309" s="82"/>
      <c r="H309" s="147"/>
      <c r="I309" s="92"/>
      <c r="J309" s="30">
        <v>15275.95</v>
      </c>
      <c r="K309" s="147">
        <f>IF(J309&lt;=0,0,L309/J309)</f>
        <v>0.32510318507195951</v>
      </c>
      <c r="L309" s="33">
        <v>4966.26</v>
      </c>
      <c r="M309" s="156">
        <f>(+J309-D309)/D309</f>
        <v>9.4741077030592577E-2</v>
      </c>
      <c r="N309" s="59">
        <f>L309-F309</f>
        <v>12.611722994262891</v>
      </c>
      <c r="O309" s="30">
        <v>15950.48</v>
      </c>
      <c r="P309" s="147">
        <f t="shared" si="77"/>
        <v>0.3265274775429956</v>
      </c>
      <c r="Q309" s="33">
        <v>5208.2700000000004</v>
      </c>
      <c r="R309" s="156">
        <f>IF(O309=0,0,(J309-O309)/O309)</f>
        <v>-4.2289009484354004E-2</v>
      </c>
      <c r="S309" s="85">
        <f>L309-Q309</f>
        <v>-242.01000000000022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73"/>
        <v>PiècesSous-total Pièces et Acc.</v>
      </c>
      <c r="B310" s="11" t="s">
        <v>98</v>
      </c>
      <c r="C310" s="53" t="s">
        <v>111</v>
      </c>
      <c r="D310" s="194">
        <f>D305+D308+D309</f>
        <v>345468.81307993276</v>
      </c>
      <c r="E310" s="212">
        <f>IF(D310&lt;=0,0,F310/D310)</f>
        <v>0.30963855847640404</v>
      </c>
      <c r="F310" s="196">
        <f>F305+F308+F309</f>
        <v>106970.46528062466</v>
      </c>
      <c r="G310" s="197"/>
      <c r="H310" s="212"/>
      <c r="I310" s="196"/>
      <c r="J310" s="197">
        <f>J305+J308+J309</f>
        <v>363917.83</v>
      </c>
      <c r="K310" s="212">
        <f>IF(J310&lt;=0,0,L310/J310)</f>
        <v>0.29317239004200485</v>
      </c>
      <c r="L310" s="196">
        <f>L305+L308+L309</f>
        <v>106690.66000000002</v>
      </c>
      <c r="M310" s="213">
        <f>(+J310-D310)/D310</f>
        <v>5.3402843387193435E-2</v>
      </c>
      <c r="N310" s="196">
        <f>L310-F310</f>
        <v>-279.80528062464145</v>
      </c>
      <c r="O310" s="197">
        <f>O305+O308+O309</f>
        <v>295132.09999999998</v>
      </c>
      <c r="P310" s="212">
        <f>IF(O310&lt;=0,0,Q310/O310)</f>
        <v>0.30860065712946816</v>
      </c>
      <c r="Q310" s="196">
        <f t="shared" ref="Q310" si="78">Q305+Q308+Q309</f>
        <v>91077.959999999905</v>
      </c>
      <c r="R310" s="213">
        <f>IF(O310=0,0,(J310-O310)/O310)</f>
        <v>0.23306759922082365</v>
      </c>
      <c r="S310" s="198">
        <f>L310-Q310</f>
        <v>15612.700000000114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73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>
        <f>N310/F310</f>
        <v>-2.6157246291357585E-3</v>
      </c>
      <c r="O311" s="41"/>
      <c r="P311" s="13"/>
      <c r="Q311" s="40"/>
      <c r="R311" s="41"/>
      <c r="S311" s="44">
        <f>IF(Q310=0,0,S310/Q310)</f>
        <v>0.17142127469697532</v>
      </c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1">
      <c r="A312" t="str">
        <f t="shared" si="73"/>
        <v>Pièces</v>
      </c>
      <c r="B312" s="11" t="s">
        <v>98</v>
      </c>
      <c r="C312" s="29"/>
      <c r="D312" s="13"/>
      <c r="E312" s="13"/>
      <c r="F312" s="40"/>
      <c r="G312" s="41"/>
      <c r="H312" s="13"/>
      <c r="I312" s="40"/>
      <c r="J312" s="41"/>
      <c r="K312" s="13"/>
      <c r="L312" s="40"/>
      <c r="M312" s="41"/>
      <c r="N312" s="43"/>
      <c r="O312" s="41"/>
      <c r="P312" s="13"/>
      <c r="Q312" s="40"/>
      <c r="R312" s="41"/>
      <c r="S312" s="44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0.399999999999999">
      <c r="A313" t="str">
        <f t="shared" si="73"/>
        <v>PiècesAutostock</v>
      </c>
      <c r="B313" s="11" t="s">
        <v>98</v>
      </c>
      <c r="C313" s="86" t="s">
        <v>112</v>
      </c>
      <c r="D313" s="90">
        <v>0</v>
      </c>
      <c r="E313" s="216">
        <f>IF(D313=0,0,F313/D313)</f>
        <v>0</v>
      </c>
      <c r="F313" s="145">
        <v>0</v>
      </c>
      <c r="G313" s="171"/>
      <c r="H313" s="216"/>
      <c r="I313" s="145"/>
      <c r="J313" s="46">
        <v>0</v>
      </c>
      <c r="K313" s="217">
        <f>IF(J313&lt;=0,0,L313/J313)</f>
        <v>0</v>
      </c>
      <c r="L313" s="22">
        <v>0</v>
      </c>
      <c r="M313" s="217">
        <f>IF(F313=0,0,(+L313-F313)/F313)</f>
        <v>0</v>
      </c>
      <c r="N313" s="91">
        <f>L313-F313</f>
        <v>0</v>
      </c>
      <c r="O313" s="46">
        <v>0</v>
      </c>
      <c r="P313" s="217">
        <f>IF(O313=0,0,Q313/O313)</f>
        <v>0</v>
      </c>
      <c r="Q313" s="22">
        <v>0</v>
      </c>
      <c r="R313" s="217">
        <f>IF(S313=0,0,(+O313-K313)/K313)</f>
        <v>0</v>
      </c>
      <c r="S313" s="92">
        <f>L313-Q313</f>
        <v>0</v>
      </c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Bot="1">
      <c r="A314" t="str">
        <f t="shared" si="73"/>
        <v>Pièces</v>
      </c>
      <c r="B314" s="11" t="s">
        <v>98</v>
      </c>
      <c r="C314" s="29"/>
      <c r="D314" s="82"/>
      <c r="E314" s="147"/>
      <c r="F314" s="59"/>
      <c r="G314" s="60"/>
      <c r="H314" s="147"/>
      <c r="I314" s="59"/>
      <c r="J314" s="60"/>
      <c r="K314" s="147"/>
      <c r="L314" s="59"/>
      <c r="M314" s="156"/>
      <c r="N314" s="59"/>
      <c r="O314" s="60"/>
      <c r="P314" s="147"/>
      <c r="Q314" s="59"/>
      <c r="R314" s="156"/>
      <c r="S314" s="85"/>
      <c r="T314" s="13"/>
      <c r="U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Top="1">
      <c r="A315" t="str">
        <f t="shared" si="73"/>
        <v>PiècesTotal Dépt. Pièces</v>
      </c>
      <c r="B315" s="11" t="s">
        <v>98</v>
      </c>
      <c r="C315" s="62" t="s">
        <v>113</v>
      </c>
      <c r="D315" s="63">
        <f>D310+D313</f>
        <v>345468.81307993276</v>
      </c>
      <c r="E315" s="218">
        <f>IF(D315&lt;=0,0,F315/D315)</f>
        <v>0.30963855847640404</v>
      </c>
      <c r="F315" s="65">
        <f>F310+F313</f>
        <v>106970.46528062466</v>
      </c>
      <c r="G315" s="66"/>
      <c r="H315" s="218"/>
      <c r="I315" s="65"/>
      <c r="J315" s="66">
        <f>J310+J313</f>
        <v>363917.83</v>
      </c>
      <c r="K315" s="218">
        <f>IF(J315&lt;=0,0,L315/J315)</f>
        <v>0.29317239004200485</v>
      </c>
      <c r="L315" s="65">
        <f>L310+L313</f>
        <v>106690.66000000002</v>
      </c>
      <c r="M315" s="219">
        <f>(+J315-D315)/D315</f>
        <v>5.3402843387193435E-2</v>
      </c>
      <c r="N315" s="220">
        <f>L315-F315</f>
        <v>-279.80528062464145</v>
      </c>
      <c r="O315" s="66">
        <f>O310+O313</f>
        <v>295132.09999999998</v>
      </c>
      <c r="P315" s="218">
        <f>IF(O315&lt;=0,0,Q315/O315)</f>
        <v>0.30860065712946816</v>
      </c>
      <c r="Q315" s="65">
        <f t="shared" ref="Q315" si="79">Q310+Q313</f>
        <v>91077.959999999905</v>
      </c>
      <c r="R315" s="219">
        <f>IF(O315=0,0,(J315-O315)/O315)</f>
        <v>0.23306759922082365</v>
      </c>
      <c r="S315" s="221">
        <f>L315-Q315</f>
        <v>15612.700000000114</v>
      </c>
      <c r="T315" s="13"/>
      <c r="U315" s="13"/>
      <c r="W315" s="11"/>
      <c r="X315" s="484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Bot="1">
      <c r="A316" t="str">
        <f t="shared" si="73"/>
        <v>Pièces</v>
      </c>
      <c r="B316" s="11" t="s">
        <v>98</v>
      </c>
      <c r="C316" s="222"/>
      <c r="D316" s="223"/>
      <c r="E316" s="224"/>
      <c r="F316" s="225"/>
      <c r="G316" s="226"/>
      <c r="H316" s="224"/>
      <c r="I316" s="225"/>
      <c r="J316" s="226"/>
      <c r="K316" s="224"/>
      <c r="L316" s="225"/>
      <c r="M316" s="227"/>
      <c r="N316" s="74">
        <f>N315/F315</f>
        <v>-2.6157246291357585E-3</v>
      </c>
      <c r="O316" s="226"/>
      <c r="P316" s="224"/>
      <c r="Q316" s="225"/>
      <c r="R316" s="227"/>
      <c r="S316" s="75">
        <f>IF(Q315=0,0,S315/Q315)</f>
        <v>0.17142127469697532</v>
      </c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.6" thickTop="1">
      <c r="A317" t="str">
        <f t="shared" si="73"/>
        <v>Pièces</v>
      </c>
      <c r="B317" s="11" t="s">
        <v>98</v>
      </c>
      <c r="C317" s="53"/>
      <c r="D317" s="112"/>
      <c r="E317" s="173"/>
      <c r="F317" s="175"/>
      <c r="G317" s="174"/>
      <c r="H317" s="173"/>
      <c r="I317" s="175"/>
      <c r="J317" s="174"/>
      <c r="K317" s="173"/>
      <c r="L317" s="175"/>
      <c r="M317" s="41"/>
      <c r="N317" s="43"/>
      <c r="O317" s="174"/>
      <c r="P317" s="173"/>
      <c r="Q317" s="175"/>
      <c r="R317" s="41"/>
      <c r="S317" s="44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1">
      <c r="A318" t="str">
        <f t="shared" si="73"/>
        <v>PiècesDEPENSES</v>
      </c>
      <c r="B318" s="11" t="s">
        <v>98</v>
      </c>
      <c r="C318" s="79" t="s">
        <v>29</v>
      </c>
      <c r="D318" s="13"/>
      <c r="E318" s="13"/>
      <c r="F318" s="59"/>
      <c r="G318" s="41"/>
      <c r="H318" s="13"/>
      <c r="I318" s="59"/>
      <c r="J318" s="41"/>
      <c r="K318" s="13"/>
      <c r="L318" s="40"/>
      <c r="M318" s="41"/>
      <c r="N318" s="40"/>
      <c r="O318" s="41"/>
      <c r="P318" s="13"/>
      <c r="Q318" s="40"/>
      <c r="R318" s="41"/>
      <c r="S318" s="61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73"/>
        <v>PiècesSalaires cadres</v>
      </c>
      <c r="B319" s="11" t="s">
        <v>98</v>
      </c>
      <c r="C319" s="102" t="s">
        <v>40</v>
      </c>
      <c r="D319" s="13"/>
      <c r="E319" s="13"/>
      <c r="F319" s="30">
        <v>4367.6436781609191</v>
      </c>
      <c r="G319" s="41"/>
      <c r="H319" s="13"/>
      <c r="I319" s="30"/>
      <c r="J319" s="41"/>
      <c r="K319" s="13"/>
      <c r="L319" s="33">
        <v>572.84</v>
      </c>
      <c r="M319" s="41"/>
      <c r="N319" s="59">
        <f t="shared" ref="N319:N349" si="80">L319-F319</f>
        <v>-3794.8036781609189</v>
      </c>
      <c r="O319" s="41"/>
      <c r="P319" s="13"/>
      <c r="Q319" s="33">
        <v>4246.05</v>
      </c>
      <c r="R319" s="41"/>
      <c r="S319" s="85">
        <f t="shared" ref="S319:S322" si="81">L319-Q319</f>
        <v>-3673.21</v>
      </c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73"/>
        <v>PiècesSalaires commis</v>
      </c>
      <c r="B320" s="11" t="s">
        <v>98</v>
      </c>
      <c r="C320" s="103" t="s">
        <v>41</v>
      </c>
      <c r="D320" s="81"/>
      <c r="E320" s="13"/>
      <c r="F320" s="22">
        <v>2312.9501379310345</v>
      </c>
      <c r="G320" s="83"/>
      <c r="H320" s="13"/>
      <c r="I320" s="22"/>
      <c r="J320" s="41"/>
      <c r="K320" s="13"/>
      <c r="L320" s="33">
        <v>1640.21</v>
      </c>
      <c r="M320" s="41"/>
      <c r="N320" s="59">
        <f t="shared" si="80"/>
        <v>-672.7401379310345</v>
      </c>
      <c r="O320" s="41"/>
      <c r="P320" s="13"/>
      <c r="Q320" s="33">
        <v>2530.29</v>
      </c>
      <c r="R320" s="41"/>
      <c r="S320" s="85">
        <f t="shared" si="81"/>
        <v>-890.07999999999993</v>
      </c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>
      <c r="A321" t="str">
        <f t="shared" si="73"/>
        <v>PiècesSalaires autres</v>
      </c>
      <c r="B321" s="11" t="s">
        <v>98</v>
      </c>
      <c r="C321" s="102" t="s">
        <v>42</v>
      </c>
      <c r="D321" s="104"/>
      <c r="E321" s="105"/>
      <c r="F321" s="30">
        <v>18163.583483204085</v>
      </c>
      <c r="G321" s="106"/>
      <c r="H321" s="105"/>
      <c r="I321" s="30"/>
      <c r="J321" s="107"/>
      <c r="K321" s="105"/>
      <c r="L321" s="108">
        <v>17367.41</v>
      </c>
      <c r="M321" s="107"/>
      <c r="N321" s="109">
        <f t="shared" si="80"/>
        <v>-796.17348320408564</v>
      </c>
      <c r="O321" s="107"/>
      <c r="P321" s="105"/>
      <c r="Q321" s="108">
        <v>12794.72</v>
      </c>
      <c r="R321" s="107"/>
      <c r="S321" s="110">
        <f t="shared" si="81"/>
        <v>4572.6900000000005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 t="shared" si="73"/>
        <v>PiècesSalaires spécialistes</v>
      </c>
      <c r="B322" s="11" t="s">
        <v>98</v>
      </c>
      <c r="C322" s="102" t="s">
        <v>43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80"/>
        <v>0</v>
      </c>
      <c r="O322" s="41"/>
      <c r="P322" s="13"/>
      <c r="Q322" s="33">
        <v>0</v>
      </c>
      <c r="R322" s="41"/>
      <c r="S322" s="85">
        <f t="shared" si="81"/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>+B323&amp;C323</f>
        <v>Pièces[...]</v>
      </c>
      <c r="B323" s="11" t="s">
        <v>98</v>
      </c>
      <c r="C323" s="228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80"/>
        <v>0</v>
      </c>
      <c r="O323" s="41"/>
      <c r="P323" s="13"/>
      <c r="Q323" s="33">
        <v>0</v>
      </c>
      <c r="R323" s="41"/>
      <c r="S323" s="85">
        <f>L323-Q323</f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>+B324&amp;C324</f>
        <v>Pièces[...]</v>
      </c>
      <c r="B324" s="11" t="s">
        <v>98</v>
      </c>
      <c r="C324" s="228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80"/>
        <v>0</v>
      </c>
      <c r="O324" s="41"/>
      <c r="P324" s="13"/>
      <c r="Q324" s="33">
        <v>0</v>
      </c>
      <c r="R324" s="41"/>
      <c r="S324" s="85">
        <f>L324-Q324</f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 hidden="1">
      <c r="A325" t="str">
        <f>+B325&amp;C325</f>
        <v>Pièces[...]</v>
      </c>
      <c r="B325" s="11" t="s">
        <v>98</v>
      </c>
      <c r="C325" s="228" t="s">
        <v>19</v>
      </c>
      <c r="D325" s="81"/>
      <c r="E325" s="13"/>
      <c r="F325" s="30">
        <v>0</v>
      </c>
      <c r="G325" s="83"/>
      <c r="H325" s="13"/>
      <c r="I325" s="30"/>
      <c r="J325" s="41"/>
      <c r="K325" s="13"/>
      <c r="L325" s="33">
        <v>0</v>
      </c>
      <c r="M325" s="41"/>
      <c r="N325" s="59">
        <f t="shared" si="80"/>
        <v>0</v>
      </c>
      <c r="O325" s="41"/>
      <c r="P325" s="13"/>
      <c r="Q325" s="33">
        <v>0</v>
      </c>
      <c r="R325" s="41"/>
      <c r="S325" s="85">
        <f>L325-Q325</f>
        <v>0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ref="A326:A337" si="82">+B326&amp;C326</f>
        <v>PiècesSalaires en absences</v>
      </c>
      <c r="B326" s="11" t="s">
        <v>98</v>
      </c>
      <c r="C326" s="103" t="s">
        <v>44</v>
      </c>
      <c r="D326" s="81"/>
      <c r="E326" s="13"/>
      <c r="F326" s="22">
        <v>2725.0794509052794</v>
      </c>
      <c r="G326" s="83"/>
      <c r="H326" s="13"/>
      <c r="I326" s="22"/>
      <c r="J326" s="41"/>
      <c r="K326" s="13"/>
      <c r="L326" s="33">
        <v>2594.52</v>
      </c>
      <c r="M326" s="41"/>
      <c r="N326" s="59">
        <f t="shared" si="80"/>
        <v>-130.55945090527939</v>
      </c>
      <c r="O326" s="41"/>
      <c r="P326" s="13"/>
      <c r="Q326" s="33">
        <v>3128.05</v>
      </c>
      <c r="R326" s="41"/>
      <c r="S326" s="85">
        <f t="shared" ref="S326:S337" si="83">L326-Q326</f>
        <v>-533.5300000000002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82"/>
        <v>PiècesDéduction à la source</v>
      </c>
      <c r="B327" s="11" t="s">
        <v>98</v>
      </c>
      <c r="C327" s="102" t="s">
        <v>45</v>
      </c>
      <c r="D327" s="104"/>
      <c r="E327" s="105"/>
      <c r="F327" s="30">
        <v>3511.7003233315454</v>
      </c>
      <c r="G327" s="106"/>
      <c r="H327" s="105"/>
      <c r="I327" s="30"/>
      <c r="J327" s="107"/>
      <c r="K327" s="105"/>
      <c r="L327" s="108">
        <v>3082.03</v>
      </c>
      <c r="M327" s="107"/>
      <c r="N327" s="109">
        <f t="shared" si="80"/>
        <v>-429.67032333154521</v>
      </c>
      <c r="O327" s="107"/>
      <c r="P327" s="105"/>
      <c r="Q327" s="108">
        <v>4141.62</v>
      </c>
      <c r="R327" s="107"/>
      <c r="S327" s="110">
        <f t="shared" si="83"/>
        <v>-1059.5899999999997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82"/>
        <v>PiècesBénéfices marginaux</v>
      </c>
      <c r="B328" s="11" t="s">
        <v>98</v>
      </c>
      <c r="C328" s="102" t="s">
        <v>46</v>
      </c>
      <c r="D328" s="81"/>
      <c r="E328" s="13"/>
      <c r="F328" s="30">
        <v>2753.1730534919316</v>
      </c>
      <c r="G328" s="83"/>
      <c r="H328" s="13"/>
      <c r="I328" s="30"/>
      <c r="J328" s="41"/>
      <c r="K328" s="13"/>
      <c r="L328" s="33">
        <v>2505.69</v>
      </c>
      <c r="M328" s="41"/>
      <c r="N328" s="59">
        <f t="shared" si="80"/>
        <v>-247.48305349193151</v>
      </c>
      <c r="O328" s="41"/>
      <c r="P328" s="13"/>
      <c r="Q328" s="33">
        <v>2433.58</v>
      </c>
      <c r="R328" s="41"/>
      <c r="S328" s="85">
        <f t="shared" si="83"/>
        <v>72.110000000000127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>
      <c r="A329" t="str">
        <f t="shared" si="82"/>
        <v>PiècesCsst</v>
      </c>
      <c r="B329" s="11" t="s">
        <v>98</v>
      </c>
      <c r="C329" s="102" t="s">
        <v>47</v>
      </c>
      <c r="D329" s="81"/>
      <c r="E329" s="13"/>
      <c r="F329" s="30">
        <v>688.29326337298289</v>
      </c>
      <c r="G329" s="83"/>
      <c r="H329" s="13"/>
      <c r="I329" s="30"/>
      <c r="J329" s="41"/>
      <c r="K329" s="13"/>
      <c r="L329" s="33">
        <v>301.63</v>
      </c>
      <c r="M329" s="462"/>
      <c r="N329" s="145">
        <f t="shared" si="80"/>
        <v>-386.6632633729829</v>
      </c>
      <c r="O329" s="41"/>
      <c r="P329" s="13"/>
      <c r="Q329" s="33">
        <v>529.39</v>
      </c>
      <c r="R329" s="41"/>
      <c r="S329" s="85">
        <f t="shared" si="83"/>
        <v>-227.76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399999999999999" hidden="1">
      <c r="A330" t="str">
        <f t="shared" si="82"/>
        <v>Pièces[...]</v>
      </c>
      <c r="B330" s="11" t="s">
        <v>98</v>
      </c>
      <c r="C330" s="29" t="s">
        <v>19</v>
      </c>
      <c r="D330" s="87"/>
      <c r="E330" s="111"/>
      <c r="F330" s="30">
        <v>0</v>
      </c>
      <c r="G330" s="89"/>
      <c r="H330" s="111"/>
      <c r="I330" s="30"/>
      <c r="J330" s="23"/>
      <c r="K330" s="111"/>
      <c r="L330" s="33">
        <v>0</v>
      </c>
      <c r="M330" s="23"/>
      <c r="N330" s="91">
        <f t="shared" si="80"/>
        <v>0</v>
      </c>
      <c r="O330" s="23"/>
      <c r="P330" s="111"/>
      <c r="Q330" s="33">
        <v>0</v>
      </c>
      <c r="R330" s="23"/>
      <c r="S330" s="92">
        <f t="shared" si="83"/>
        <v>0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1">
      <c r="A331" t="str">
        <f t="shared" si="82"/>
        <v>PiècesTOTAL PERSONNEL</v>
      </c>
      <c r="B331" s="11" t="s">
        <v>98</v>
      </c>
      <c r="C331" s="93" t="s">
        <v>48</v>
      </c>
      <c r="D331" s="94" t="s">
        <v>38</v>
      </c>
      <c r="E331" s="95">
        <f>F331/F$315</f>
        <v>0.32272855222076657</v>
      </c>
      <c r="F331" s="96">
        <f>+SUM(F319:F330)</f>
        <v>34522.423390397773</v>
      </c>
      <c r="G331" s="97"/>
      <c r="H331" s="95"/>
      <c r="I331" s="96"/>
      <c r="J331" s="97" t="s">
        <v>38</v>
      </c>
      <c r="K331" s="95">
        <f>L331/L$315</f>
        <v>0.26304392530705117</v>
      </c>
      <c r="L331" s="96">
        <f>+SUM(L319:L330)</f>
        <v>28064.329999999998</v>
      </c>
      <c r="M331" s="146"/>
      <c r="N331" s="113">
        <f t="shared" si="80"/>
        <v>-6458.0933903977748</v>
      </c>
      <c r="O331" s="97" t="s">
        <v>38</v>
      </c>
      <c r="P331" s="95">
        <f>Q331/Q$315</f>
        <v>0.32723284535578123</v>
      </c>
      <c r="Q331" s="96">
        <f>+SUM(Q319:Q330)</f>
        <v>29803.699999999997</v>
      </c>
      <c r="R331" s="146"/>
      <c r="S331" s="114">
        <f t="shared" si="83"/>
        <v>-1739.369999999999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82"/>
        <v>PiècesPublicité 2</v>
      </c>
      <c r="B332" s="11" t="s">
        <v>98</v>
      </c>
      <c r="C332" s="210" t="s">
        <v>49</v>
      </c>
      <c r="D332" s="81"/>
      <c r="E332" s="13"/>
      <c r="F332" s="30">
        <v>952.50629272378114</v>
      </c>
      <c r="G332" s="83"/>
      <c r="H332" s="13"/>
      <c r="I332" s="30"/>
      <c r="J332" s="41"/>
      <c r="K332" s="13"/>
      <c r="L332" s="33">
        <v>962.37</v>
      </c>
      <c r="M332" s="41"/>
      <c r="N332" s="59">
        <f t="shared" si="80"/>
        <v>9.8637072762188609</v>
      </c>
      <c r="O332" s="41"/>
      <c r="P332" s="13"/>
      <c r="Q332" s="33">
        <v>2654.79</v>
      </c>
      <c r="R332" s="41"/>
      <c r="S332" s="85">
        <f t="shared" si="83"/>
        <v>-1692.42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82"/>
        <v>PiècesService gratuit 2</v>
      </c>
      <c r="B333" s="11" t="s">
        <v>98</v>
      </c>
      <c r="C333" s="102" t="s">
        <v>50</v>
      </c>
      <c r="D333" s="81"/>
      <c r="E333" s="13"/>
      <c r="F333" s="30">
        <v>625</v>
      </c>
      <c r="G333" s="83"/>
      <c r="H333" s="13"/>
      <c r="I333" s="30"/>
      <c r="J333" s="41"/>
      <c r="K333" s="13"/>
      <c r="L333" s="30">
        <v>479.24</v>
      </c>
      <c r="M333" s="41"/>
      <c r="N333" s="59">
        <f t="shared" si="80"/>
        <v>-145.76</v>
      </c>
      <c r="O333" s="41"/>
      <c r="P333" s="13"/>
      <c r="Q333" s="33">
        <v>631.47</v>
      </c>
      <c r="R333" s="41"/>
      <c r="S333" s="85">
        <f t="shared" si="83"/>
        <v>-152.23000000000002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82"/>
        <v>PiècesFrais véhicules de cie</v>
      </c>
      <c r="B334" s="11" t="s">
        <v>98</v>
      </c>
      <c r="C334" s="103" t="s">
        <v>51</v>
      </c>
      <c r="D334" s="87"/>
      <c r="E334" s="111"/>
      <c r="F334" s="22">
        <v>4823.666666666667</v>
      </c>
      <c r="G334" s="89"/>
      <c r="H334" s="111"/>
      <c r="I334" s="22"/>
      <c r="J334" s="23"/>
      <c r="K334" s="111"/>
      <c r="L334" s="22">
        <v>4762.24</v>
      </c>
      <c r="M334" s="23"/>
      <c r="N334" s="91">
        <f t="shared" si="80"/>
        <v>-61.426666666667188</v>
      </c>
      <c r="O334" s="23"/>
      <c r="P334" s="111"/>
      <c r="Q334" s="33">
        <v>5573.98</v>
      </c>
      <c r="R334" s="23"/>
      <c r="S334" s="92">
        <f t="shared" si="83"/>
        <v>-811.73999999999978</v>
      </c>
      <c r="T334" s="13"/>
      <c r="U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82"/>
        <v>PiècesInformatique</v>
      </c>
      <c r="B335" s="11" t="s">
        <v>98</v>
      </c>
      <c r="C335" s="102" t="s">
        <v>52</v>
      </c>
      <c r="D335" s="81"/>
      <c r="E335" s="13"/>
      <c r="F335" s="30">
        <v>2651.4753333333338</v>
      </c>
      <c r="G335" s="83"/>
      <c r="H335" s="13"/>
      <c r="I335" s="30"/>
      <c r="J335" s="41"/>
      <c r="K335" s="13"/>
      <c r="L335" s="108">
        <v>2667.26</v>
      </c>
      <c r="M335" s="41"/>
      <c r="N335" s="59">
        <f t="shared" si="80"/>
        <v>15.784666666666453</v>
      </c>
      <c r="O335" s="41"/>
      <c r="P335" s="13"/>
      <c r="Q335" s="108">
        <v>1909.51</v>
      </c>
      <c r="R335" s="41"/>
      <c r="S335" s="85">
        <f t="shared" si="83"/>
        <v>757.75000000000023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82"/>
        <v>PiècesFrais de déplacement</v>
      </c>
      <c r="B336" s="11" t="s">
        <v>98</v>
      </c>
      <c r="C336" s="102" t="s">
        <v>53</v>
      </c>
      <c r="D336" s="81"/>
      <c r="E336" s="13"/>
      <c r="F336" s="30">
        <v>998.33333333333326</v>
      </c>
      <c r="G336" s="83"/>
      <c r="H336" s="13"/>
      <c r="I336" s="30"/>
      <c r="J336" s="41"/>
      <c r="K336" s="13"/>
      <c r="L336" s="33">
        <v>1830.66</v>
      </c>
      <c r="M336" s="41"/>
      <c r="N336" s="59">
        <f t="shared" si="80"/>
        <v>832.32666666666682</v>
      </c>
      <c r="O336" s="41"/>
      <c r="P336" s="13"/>
      <c r="Q336" s="33">
        <v>234.69</v>
      </c>
      <c r="R336" s="41"/>
      <c r="S336" s="85">
        <f t="shared" si="83"/>
        <v>1595.97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>
      <c r="A337" t="str">
        <f t="shared" si="82"/>
        <v>PiècesServices extérieurs</v>
      </c>
      <c r="B337" s="11" t="s">
        <v>98</v>
      </c>
      <c r="C337" s="229" t="s">
        <v>54</v>
      </c>
      <c r="D337" s="87"/>
      <c r="E337" s="111"/>
      <c r="F337" s="22">
        <v>1318.576</v>
      </c>
      <c r="G337" s="89"/>
      <c r="H337" s="111"/>
      <c r="I337" s="22"/>
      <c r="J337" s="23"/>
      <c r="K337" s="111"/>
      <c r="L337" s="48">
        <v>1143.02</v>
      </c>
      <c r="M337" s="23"/>
      <c r="N337" s="91">
        <f t="shared" si="80"/>
        <v>-175.55600000000004</v>
      </c>
      <c r="O337" s="23"/>
      <c r="P337" s="111"/>
      <c r="Q337" s="48">
        <v>1906.32</v>
      </c>
      <c r="R337" s="23"/>
      <c r="S337" s="92">
        <f t="shared" si="83"/>
        <v>-763.3</v>
      </c>
      <c r="T337" s="13"/>
      <c r="U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 hidden="1">
      <c r="A338" t="str">
        <f>+B338&amp;C338</f>
        <v>PiècesFournitures d'atelier</v>
      </c>
      <c r="B338" s="11" t="s">
        <v>98</v>
      </c>
      <c r="C338" s="102" t="s">
        <v>93</v>
      </c>
      <c r="D338" s="81"/>
      <c r="E338" s="13"/>
      <c r="F338" s="30"/>
      <c r="G338" s="83"/>
      <c r="H338" s="13"/>
      <c r="I338" s="30"/>
      <c r="J338" s="41"/>
      <c r="K338" s="13"/>
      <c r="L338" s="33">
        <v>0</v>
      </c>
      <c r="M338" s="41"/>
      <c r="N338" s="59">
        <f t="shared" si="80"/>
        <v>0</v>
      </c>
      <c r="O338" s="41"/>
      <c r="P338" s="13"/>
      <c r="Q338" s="33">
        <v>0</v>
      </c>
      <c r="R338" s="41"/>
      <c r="S338" s="85">
        <f>L338-Q338</f>
        <v>0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ref="A339:A344" si="84">+B339&amp;C339</f>
        <v>PiècesFournitures autres</v>
      </c>
      <c r="B339" s="11" t="s">
        <v>98</v>
      </c>
      <c r="C339" s="102" t="s">
        <v>55</v>
      </c>
      <c r="D339" s="81"/>
      <c r="E339" s="13"/>
      <c r="F339" s="30">
        <v>15</v>
      </c>
      <c r="G339" s="83"/>
      <c r="H339" s="13"/>
      <c r="I339" s="30"/>
      <c r="J339" s="41"/>
      <c r="K339" s="13"/>
      <c r="L339" s="33">
        <v>28.4</v>
      </c>
      <c r="M339" s="41"/>
      <c r="N339" s="59">
        <f t="shared" si="80"/>
        <v>13.399999999999999</v>
      </c>
      <c r="O339" s="41"/>
      <c r="P339" s="13"/>
      <c r="Q339" s="33">
        <v>32.549999999999997</v>
      </c>
      <c r="R339" s="41"/>
      <c r="S339" s="85">
        <f t="shared" ref="S339:S344" si="85">L339-Q339</f>
        <v>-4.1499999999999986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84"/>
        <v>PiècesUniformes</v>
      </c>
      <c r="B340" s="11" t="s">
        <v>98</v>
      </c>
      <c r="C340" s="102" t="s">
        <v>56</v>
      </c>
      <c r="D340" s="81"/>
      <c r="E340" s="13"/>
      <c r="F340" s="30">
        <v>37.5</v>
      </c>
      <c r="G340" s="83"/>
      <c r="H340" s="13"/>
      <c r="I340" s="30"/>
      <c r="J340" s="41"/>
      <c r="K340" s="13"/>
      <c r="L340" s="33">
        <v>0</v>
      </c>
      <c r="M340" s="41"/>
      <c r="N340" s="59">
        <f t="shared" si="80"/>
        <v>-37.5</v>
      </c>
      <c r="O340" s="41"/>
      <c r="P340" s="13"/>
      <c r="Q340" s="33">
        <v>0</v>
      </c>
      <c r="R340" s="41"/>
      <c r="S340" s="85">
        <f t="shared" si="85"/>
        <v>0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84"/>
        <v>PiècesPapeterie</v>
      </c>
      <c r="B341" s="11" t="s">
        <v>98</v>
      </c>
      <c r="C341" s="102" t="s">
        <v>57</v>
      </c>
      <c r="D341" s="81"/>
      <c r="E341" s="13"/>
      <c r="F341" s="30">
        <v>290</v>
      </c>
      <c r="G341" s="83"/>
      <c r="H341" s="13"/>
      <c r="I341" s="30"/>
      <c r="J341" s="41"/>
      <c r="K341" s="13"/>
      <c r="L341" s="32">
        <v>165.4</v>
      </c>
      <c r="M341" s="41"/>
      <c r="N341" s="59">
        <f t="shared" si="80"/>
        <v>-124.6</v>
      </c>
      <c r="O341" s="41"/>
      <c r="P341" s="13"/>
      <c r="Q341" s="32">
        <v>290.27999999999997</v>
      </c>
      <c r="R341" s="41"/>
      <c r="S341" s="85">
        <f t="shared" si="85"/>
        <v>-124.87999999999997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84"/>
        <v>PiècesTéléphone</v>
      </c>
      <c r="B342" s="11" t="s">
        <v>98</v>
      </c>
      <c r="C342" s="102" t="s">
        <v>58</v>
      </c>
      <c r="D342" s="81"/>
      <c r="E342" s="13"/>
      <c r="F342" s="30">
        <v>113.8</v>
      </c>
      <c r="G342" s="83"/>
      <c r="H342" s="13"/>
      <c r="I342" s="30"/>
      <c r="J342" s="41"/>
      <c r="K342" s="13"/>
      <c r="L342" s="33">
        <v>104.26</v>
      </c>
      <c r="M342" s="41"/>
      <c r="N342" s="59">
        <f t="shared" si="80"/>
        <v>-9.539999999999992</v>
      </c>
      <c r="O342" s="41"/>
      <c r="P342" s="13"/>
      <c r="Q342" s="33">
        <v>117.28</v>
      </c>
      <c r="R342" s="41"/>
      <c r="S342" s="85">
        <f t="shared" si="85"/>
        <v>-13.019999999999996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84"/>
        <v>PiècesFrais postaux</v>
      </c>
      <c r="B343" s="11" t="s">
        <v>98</v>
      </c>
      <c r="C343" s="102" t="s">
        <v>59</v>
      </c>
      <c r="D343" s="81"/>
      <c r="E343" s="13"/>
      <c r="F343" s="30">
        <v>2371.666666666667</v>
      </c>
      <c r="G343" s="83"/>
      <c r="H343" s="13"/>
      <c r="I343" s="30"/>
      <c r="J343" s="41"/>
      <c r="K343" s="13"/>
      <c r="L343" s="33">
        <v>476.78</v>
      </c>
      <c r="M343" s="41"/>
      <c r="N343" s="59">
        <f t="shared" si="80"/>
        <v>-1894.886666666667</v>
      </c>
      <c r="O343" s="41"/>
      <c r="P343" s="13"/>
      <c r="Q343" s="33">
        <v>1895.16</v>
      </c>
      <c r="R343" s="41"/>
      <c r="S343" s="85">
        <f t="shared" si="85"/>
        <v>-1418.38</v>
      </c>
      <c r="T343" s="13"/>
      <c r="U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 t="shared" si="84"/>
        <v>PiècesDivers</v>
      </c>
      <c r="B344" s="11" t="s">
        <v>98</v>
      </c>
      <c r="C344" s="102" t="s">
        <v>60</v>
      </c>
      <c r="D344" s="81"/>
      <c r="E344" s="13"/>
      <c r="F344" s="30">
        <v>305.33333333333331</v>
      </c>
      <c r="G344" s="83"/>
      <c r="H344" s="13"/>
      <c r="I344" s="30"/>
      <c r="J344" s="41"/>
      <c r="K344" s="13"/>
      <c r="L344" s="33">
        <v>270.69</v>
      </c>
      <c r="M344" s="41"/>
      <c r="N344" s="59">
        <f t="shared" si="80"/>
        <v>-34.643333333333317</v>
      </c>
      <c r="O344" s="41"/>
      <c r="P344" s="13"/>
      <c r="Q344" s="33">
        <v>675.71</v>
      </c>
      <c r="R344" s="41"/>
      <c r="S344" s="85">
        <f t="shared" si="85"/>
        <v>-405.02000000000004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>+B345&amp;C345</f>
        <v>PiècesFormation</v>
      </c>
      <c r="B345" s="11" t="s">
        <v>98</v>
      </c>
      <c r="C345" s="102" t="s">
        <v>61</v>
      </c>
      <c r="D345" s="81"/>
      <c r="E345" s="13"/>
      <c r="F345" s="30">
        <v>152.46400000000006</v>
      </c>
      <c r="G345" s="83"/>
      <c r="H345" s="13"/>
      <c r="I345" s="30"/>
      <c r="J345" s="41"/>
      <c r="K345" s="13"/>
      <c r="L345" s="59">
        <v>118.79</v>
      </c>
      <c r="M345" s="41"/>
      <c r="N345" s="59">
        <f t="shared" si="80"/>
        <v>-33.674000000000049</v>
      </c>
      <c r="O345" s="41"/>
      <c r="P345" s="13"/>
      <c r="Q345" s="33">
        <v>174.04</v>
      </c>
      <c r="R345" s="41"/>
      <c r="S345" s="85">
        <f>L345-Q345</f>
        <v>-55.249999999999986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>
      <c r="A346" t="str">
        <f>+B346&amp;C346</f>
        <v>PiècesFrais bancaires</v>
      </c>
      <c r="B346" s="11" t="s">
        <v>98</v>
      </c>
      <c r="C346" s="102" t="s">
        <v>62</v>
      </c>
      <c r="D346" s="81"/>
      <c r="E346" s="13"/>
      <c r="F346" s="30">
        <v>1612.0572123072227</v>
      </c>
      <c r="G346" s="83"/>
      <c r="H346" s="13"/>
      <c r="I346" s="30"/>
      <c r="J346" s="41"/>
      <c r="K346" s="13"/>
      <c r="L346" s="32">
        <v>1248.47</v>
      </c>
      <c r="M346" s="41"/>
      <c r="N346" s="59">
        <f t="shared" si="80"/>
        <v>-363.58721230722267</v>
      </c>
      <c r="O346" s="41"/>
      <c r="P346" s="13"/>
      <c r="Q346" s="33">
        <v>1260.42</v>
      </c>
      <c r="R346" s="41"/>
      <c r="S346" s="85">
        <f>L346-Q346</f>
        <v>-11.950000000000045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>+B347&amp;C347</f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80"/>
        <v>0</v>
      </c>
      <c r="O347" s="41"/>
      <c r="P347" s="13"/>
      <c r="Q347" s="33">
        <v>0</v>
      </c>
      <c r="R347" s="41"/>
      <c r="S347" s="85">
        <f>L347-Q347</f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>+B348&amp;C348</f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80"/>
        <v>0</v>
      </c>
      <c r="O348" s="41"/>
      <c r="P348" s="13"/>
      <c r="Q348" s="33">
        <v>0</v>
      </c>
      <c r="R348" s="41"/>
      <c r="S348" s="85">
        <f>L348-Q348</f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399999999999999" hidden="1">
      <c r="A349" t="str">
        <f>+B349&amp;C349</f>
        <v>Pièces[...]</v>
      </c>
      <c r="B349" s="11" t="s">
        <v>98</v>
      </c>
      <c r="C349" s="102" t="s">
        <v>19</v>
      </c>
      <c r="D349" s="81"/>
      <c r="E349" s="13"/>
      <c r="F349" s="30">
        <v>0</v>
      </c>
      <c r="G349" s="83"/>
      <c r="H349" s="13"/>
      <c r="I349" s="30"/>
      <c r="J349" s="41"/>
      <c r="K349" s="13"/>
      <c r="L349" s="33">
        <v>0</v>
      </c>
      <c r="M349" s="41"/>
      <c r="N349" s="59">
        <f t="shared" si="80"/>
        <v>0</v>
      </c>
      <c r="O349" s="41"/>
      <c r="P349" s="13"/>
      <c r="Q349" s="33">
        <v>0</v>
      </c>
      <c r="R349" s="41"/>
      <c r="S349" s="85">
        <f>L349-Q349</f>
        <v>0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1">
      <c r="B350" s="7"/>
      <c r="C350" s="93" t="s">
        <v>63</v>
      </c>
      <c r="D350" s="94" t="s">
        <v>38</v>
      </c>
      <c r="E350" s="95">
        <f>F350/F$315</f>
        <v>0.15207355409447598</v>
      </c>
      <c r="F350" s="96">
        <f>+SUM(F332:F349)</f>
        <v>16267.378838364339</v>
      </c>
      <c r="G350" s="97"/>
      <c r="H350" s="95"/>
      <c r="I350" s="96"/>
      <c r="J350" s="97" t="s">
        <v>38</v>
      </c>
      <c r="K350" s="95">
        <f>L350/L$315</f>
        <v>0.13363475303273969</v>
      </c>
      <c r="L350" s="96">
        <f>+SUM(L332:L349)</f>
        <v>14257.580000000002</v>
      </c>
      <c r="M350" s="100"/>
      <c r="N350" s="96">
        <f>+SUM(N332:N349)</f>
        <v>-2009.7988383643383</v>
      </c>
      <c r="O350" s="97" t="s">
        <v>38</v>
      </c>
      <c r="P350" s="95">
        <f>Q350/Q$315</f>
        <v>0.19056421553578959</v>
      </c>
      <c r="Q350" s="96">
        <f>+SUM(Q332:Q349)</f>
        <v>17356.200000000004</v>
      </c>
      <c r="R350" s="100"/>
      <c r="S350" s="101">
        <f>+SUM(S332:S349)</f>
        <v>-3098.62</v>
      </c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399999999999999">
      <c r="B351" s="7"/>
      <c r="C351" s="86"/>
      <c r="D351" s="87"/>
      <c r="E351" s="111"/>
      <c r="F351" s="59"/>
      <c r="G351" s="89"/>
      <c r="H351" s="111"/>
      <c r="I351" s="59"/>
      <c r="J351" s="23"/>
      <c r="K351" s="111"/>
      <c r="L351" s="91"/>
      <c r="M351" s="23"/>
      <c r="N351" s="91"/>
      <c r="O351" s="23"/>
      <c r="P351" s="111"/>
      <c r="Q351" s="91"/>
      <c r="R351" s="23"/>
      <c r="S351" s="92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1">
      <c r="B352" s="7"/>
      <c r="C352" s="93" t="s">
        <v>64</v>
      </c>
      <c r="D352" s="94" t="s">
        <v>38</v>
      </c>
      <c r="E352" s="95">
        <f>F352/F$315</f>
        <v>0.47480210631524256</v>
      </c>
      <c r="F352" s="96">
        <f>F331+F350</f>
        <v>50789.802228762113</v>
      </c>
      <c r="G352" s="97"/>
      <c r="H352" s="95"/>
      <c r="I352" s="96"/>
      <c r="J352" s="97" t="s">
        <v>38</v>
      </c>
      <c r="K352" s="95">
        <f>L352/L$315</f>
        <v>0.39667867833979092</v>
      </c>
      <c r="L352" s="96">
        <f>L331+L350</f>
        <v>42321.91</v>
      </c>
      <c r="M352" s="100"/>
      <c r="N352" s="113">
        <f>L352-F352</f>
        <v>-8467.8922287621099</v>
      </c>
      <c r="O352" s="97" t="s">
        <v>38</v>
      </c>
      <c r="P352" s="95">
        <f>Q352/Q$315</f>
        <v>0.51779706089157085</v>
      </c>
      <c r="Q352" s="96">
        <f>Q331+Q350</f>
        <v>47159.9</v>
      </c>
      <c r="R352" s="100"/>
      <c r="S352" s="114">
        <f>L352-Q352</f>
        <v>-4837.989999999998</v>
      </c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0.399999999999999">
      <c r="B353" s="7"/>
      <c r="C353" s="29"/>
      <c r="D353" s="81"/>
      <c r="E353" s="13"/>
      <c r="F353" s="59"/>
      <c r="G353" s="83"/>
      <c r="H353" s="13"/>
      <c r="I353" s="59"/>
      <c r="J353" s="41"/>
      <c r="K353" s="13"/>
      <c r="L353" s="59"/>
      <c r="M353" s="41"/>
      <c r="N353" s="59"/>
      <c r="O353" s="41"/>
      <c r="P353" s="13"/>
      <c r="Q353" s="59"/>
      <c r="R353" s="41"/>
      <c r="S353" s="85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Bot="1">
      <c r="B354" s="7"/>
      <c r="C354" s="124" t="s">
        <v>69</v>
      </c>
      <c r="D354" s="151"/>
      <c r="E354" s="125"/>
      <c r="F354" s="127">
        <f>F315-F352</f>
        <v>56180.663051862546</v>
      </c>
      <c r="G354" s="152"/>
      <c r="H354" s="125"/>
      <c r="I354" s="127"/>
      <c r="J354" s="153"/>
      <c r="K354" s="126"/>
      <c r="L354" s="127">
        <f>L315-L352</f>
        <v>64368.750000000015</v>
      </c>
      <c r="M354" s="153"/>
      <c r="N354" s="127">
        <f>L354-F354</f>
        <v>8188.0869481374684</v>
      </c>
      <c r="O354" s="153"/>
      <c r="P354" s="126"/>
      <c r="Q354" s="127">
        <f>Q315-Q352</f>
        <v>43918.059999999903</v>
      </c>
      <c r="R354" s="153"/>
      <c r="S354" s="129">
        <f>L354-Q354</f>
        <v>20450.690000000111</v>
      </c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.6" thickTop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21" hidden="1">
      <c r="B356" s="7"/>
      <c r="C356" s="76"/>
      <c r="D356" s="81"/>
      <c r="E356" s="13"/>
      <c r="F356" s="112"/>
      <c r="G356" s="81"/>
      <c r="H356" s="13"/>
      <c r="I356" s="112"/>
      <c r="J356" s="76"/>
      <c r="K356" s="76"/>
      <c r="L356" s="112"/>
      <c r="M356" s="76"/>
      <c r="N356" s="112"/>
      <c r="O356" s="76"/>
      <c r="P356" s="76"/>
      <c r="Q356" s="112"/>
      <c r="R356" s="76"/>
      <c r="S356" s="112"/>
      <c r="T356" s="13"/>
      <c r="U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35.4" hidden="1">
      <c r="B357" s="7"/>
      <c r="C357" s="6" t="str">
        <f>+C292</f>
        <v>BMW Sherbrooke</v>
      </c>
      <c r="D357" s="2"/>
      <c r="E357" s="2"/>
      <c r="F357" s="2"/>
      <c r="G357" s="2"/>
      <c r="H357" s="1"/>
      <c r="I357" s="1"/>
      <c r="J357" s="1"/>
      <c r="K357" s="3" t="s">
        <v>114</v>
      </c>
      <c r="L357" s="2"/>
      <c r="M357" s="2"/>
      <c r="N357" s="1"/>
      <c r="O357" s="1"/>
      <c r="P357" s="2"/>
      <c r="Q357" s="1"/>
      <c r="R357" s="2"/>
      <c r="S357" s="5" t="str">
        <f>$S$1</f>
        <v>Réalisé, Août 2026</v>
      </c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t="16.8" hidden="1">
      <c r="B358" s="7"/>
      <c r="C358" s="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.6" hidden="1" thickTop="1">
      <c r="B359" s="7"/>
      <c r="C359" s="12"/>
      <c r="D359" s="506" t="s">
        <v>5</v>
      </c>
      <c r="E359" s="507"/>
      <c r="F359" s="508"/>
      <c r="G359" s="509"/>
      <c r="H359" s="507"/>
      <c r="I359" s="508"/>
      <c r="J359" s="509" t="s">
        <v>7</v>
      </c>
      <c r="K359" s="507"/>
      <c r="L359" s="508"/>
      <c r="M359" s="509"/>
      <c r="N359" s="508"/>
      <c r="O359" s="506" t="s">
        <v>8</v>
      </c>
      <c r="P359" s="507"/>
      <c r="Q359" s="508"/>
      <c r="R359" s="509" t="s">
        <v>9</v>
      </c>
      <c r="S359" s="510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Bot="1">
      <c r="A360" t="str">
        <f t="shared" ref="A360:A395" si="86">+B360&amp;C360</f>
        <v>Boutique</v>
      </c>
      <c r="B360" s="11" t="s">
        <v>114</v>
      </c>
      <c r="C360" s="29"/>
      <c r="D360" s="230" t="s">
        <v>79</v>
      </c>
      <c r="E360" s="230" t="s">
        <v>99</v>
      </c>
      <c r="F360" s="231" t="s">
        <v>12</v>
      </c>
      <c r="G360" s="232"/>
      <c r="H360" s="230"/>
      <c r="I360" s="231"/>
      <c r="J360" s="135" t="s">
        <v>79</v>
      </c>
      <c r="K360" s="80" t="s">
        <v>99</v>
      </c>
      <c r="L360" s="134" t="s">
        <v>12</v>
      </c>
      <c r="M360" s="135"/>
      <c r="N360" s="134"/>
      <c r="O360" s="135" t="s">
        <v>79</v>
      </c>
      <c r="P360" s="80" t="s">
        <v>99</v>
      </c>
      <c r="Q360" s="134" t="s">
        <v>12</v>
      </c>
      <c r="R360" s="135" t="s">
        <v>80</v>
      </c>
      <c r="S360" s="136" t="s">
        <v>12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Top="1">
      <c r="A361" t="str">
        <f t="shared" si="86"/>
        <v>BoutiqueBoutique</v>
      </c>
      <c r="B361" s="11" t="s">
        <v>114</v>
      </c>
      <c r="C361" s="62" t="s">
        <v>114</v>
      </c>
      <c r="D361" s="233">
        <v>0</v>
      </c>
      <c r="E361" s="234">
        <f>IFERROR(F361/D361,0)</f>
        <v>0</v>
      </c>
      <c r="F361" s="235">
        <v>0</v>
      </c>
      <c r="G361" s="233"/>
      <c r="H361" s="234"/>
      <c r="I361" s="233"/>
      <c r="J361" s="236">
        <v>0</v>
      </c>
      <c r="K361" s="218">
        <f>IF(J361&lt;=0,0,L361/J361)</f>
        <v>0</v>
      </c>
      <c r="L361" s="237">
        <v>0</v>
      </c>
      <c r="M361" s="219"/>
      <c r="N361" s="220"/>
      <c r="O361" s="236">
        <v>0</v>
      </c>
      <c r="P361" s="218">
        <f>IFERROR(Q361/O361,0)</f>
        <v>0</v>
      </c>
      <c r="Q361" s="237">
        <v>0</v>
      </c>
      <c r="R361" s="219">
        <f>IF(O361=0,0,(J361-O361)/O361)</f>
        <v>0</v>
      </c>
      <c r="S361" s="221">
        <f>L361-Q361</f>
        <v>0</v>
      </c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Bot="1">
      <c r="A362" t="str">
        <f t="shared" si="86"/>
        <v>Boutique</v>
      </c>
      <c r="B362" s="11" t="s">
        <v>114</v>
      </c>
      <c r="C362" s="222"/>
      <c r="D362" s="223"/>
      <c r="E362" s="224"/>
      <c r="F362" s="225"/>
      <c r="G362" s="226"/>
      <c r="H362" s="224"/>
      <c r="I362" s="225"/>
      <c r="J362" s="226"/>
      <c r="K362" s="224"/>
      <c r="L362" s="225"/>
      <c r="M362" s="227"/>
      <c r="N362" s="74"/>
      <c r="O362" s="226"/>
      <c r="P362" s="224"/>
      <c r="Q362" s="225"/>
      <c r="R362" s="227"/>
      <c r="S362" s="75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.6" hidden="1" thickTop="1">
      <c r="A363" t="str">
        <f t="shared" si="86"/>
        <v>BoutiqueTotal Dépt. Boutique</v>
      </c>
      <c r="B363" s="11" t="s">
        <v>114</v>
      </c>
      <c r="C363" s="53" t="s">
        <v>115</v>
      </c>
      <c r="D363" s="238">
        <f>+D361</f>
        <v>0</v>
      </c>
      <c r="E363" s="173">
        <f>IF(D363&lt;=0,0,F363/D363)</f>
        <v>0</v>
      </c>
      <c r="F363" s="175">
        <f>+F361</f>
        <v>0</v>
      </c>
      <c r="G363" s="174"/>
      <c r="H363" s="173"/>
      <c r="I363" s="175"/>
      <c r="J363" s="174">
        <f>+J361</f>
        <v>0</v>
      </c>
      <c r="K363" s="173">
        <f>IF(J363&lt;=0,0,L363/J363)</f>
        <v>0</v>
      </c>
      <c r="L363" s="175">
        <f>+L361</f>
        <v>0</v>
      </c>
      <c r="M363" s="239"/>
      <c r="N363" s="240"/>
      <c r="O363" s="174">
        <f>+O361</f>
        <v>0</v>
      </c>
      <c r="P363" s="173">
        <f>IF(O363&lt;=0,0,Q363/O363)</f>
        <v>0</v>
      </c>
      <c r="Q363" s="175">
        <f t="shared" ref="Q363" si="87">+Q361</f>
        <v>0</v>
      </c>
      <c r="R363" s="41">
        <f>IF(O363=0,0,(J363-O363)/O363)</f>
        <v>0</v>
      </c>
      <c r="S363" s="44">
        <f>L363-Q363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86"/>
        <v>Boutique</v>
      </c>
      <c r="B364" s="11" t="s">
        <v>114</v>
      </c>
      <c r="C364" s="79"/>
      <c r="D364" s="13"/>
      <c r="E364" s="13"/>
      <c r="F364" s="59"/>
      <c r="G364" s="41"/>
      <c r="H364" s="241"/>
      <c r="I364" s="59"/>
      <c r="J364" s="41"/>
      <c r="K364" s="13"/>
      <c r="L364" s="40"/>
      <c r="M364" s="41"/>
      <c r="N364" s="242"/>
      <c r="O364" s="41"/>
      <c r="P364" s="13"/>
      <c r="Q364" s="40"/>
      <c r="R364" s="41"/>
      <c r="S364" s="61">
        <f>IF(Q363=0,0,S363/Q363)</f>
        <v>0</v>
      </c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1" hidden="1">
      <c r="A365" t="str">
        <f t="shared" si="86"/>
        <v>BoutiqueDEPENSES</v>
      </c>
      <c r="B365" s="11" t="s">
        <v>114</v>
      </c>
      <c r="C365" s="79" t="s">
        <v>29</v>
      </c>
      <c r="D365" s="13"/>
      <c r="E365" s="13"/>
      <c r="F365" s="59"/>
      <c r="G365" s="41"/>
      <c r="H365" s="13"/>
      <c r="I365" s="59"/>
      <c r="J365" s="41"/>
      <c r="K365" s="13"/>
      <c r="L365" s="40"/>
      <c r="M365" s="41"/>
      <c r="N365" s="40"/>
      <c r="O365" s="41"/>
      <c r="P365" s="13"/>
      <c r="Q365" s="40"/>
      <c r="R365" s="41"/>
      <c r="S365" s="61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86"/>
        <v>BoutiqueSalaires cadres</v>
      </c>
      <c r="B366" s="11" t="s">
        <v>114</v>
      </c>
      <c r="C366" s="102" t="s">
        <v>40</v>
      </c>
      <c r="D366" s="13"/>
      <c r="E366" s="13"/>
      <c r="F366" s="30">
        <v>0</v>
      </c>
      <c r="G366" s="41"/>
      <c r="H366" s="13"/>
      <c r="I366" s="30"/>
      <c r="J366" s="41"/>
      <c r="K366" s="13"/>
      <c r="L366" s="33">
        <v>0</v>
      </c>
      <c r="M366" s="41"/>
      <c r="N366" s="40"/>
      <c r="O366" s="41"/>
      <c r="P366" s="13"/>
      <c r="Q366" s="33">
        <v>0</v>
      </c>
      <c r="R366" s="41"/>
      <c r="S366" s="34">
        <f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86"/>
        <v>BoutiqueSalaires commis</v>
      </c>
      <c r="B367" s="11" t="s">
        <v>114</v>
      </c>
      <c r="C367" s="103" t="s">
        <v>41</v>
      </c>
      <c r="D367" s="81"/>
      <c r="E367" s="13"/>
      <c r="F367" s="22">
        <v>0</v>
      </c>
      <c r="G367" s="83"/>
      <c r="H367" s="13"/>
      <c r="I367" s="22"/>
      <c r="J367" s="41"/>
      <c r="K367" s="13"/>
      <c r="L367" s="22">
        <v>0</v>
      </c>
      <c r="M367" s="41"/>
      <c r="N367" s="59"/>
      <c r="O367" s="41"/>
      <c r="P367" s="13"/>
      <c r="Q367" s="22">
        <v>0</v>
      </c>
      <c r="R367" s="41"/>
      <c r="S367" s="85">
        <f t="shared" ref="S367:S395" si="88">L367-Q367</f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86"/>
        <v>BoutiqueSalaires autres</v>
      </c>
      <c r="B368" s="11" t="s">
        <v>114</v>
      </c>
      <c r="C368" s="102" t="s">
        <v>42</v>
      </c>
      <c r="D368" s="104"/>
      <c r="E368" s="105"/>
      <c r="F368" s="30">
        <v>0</v>
      </c>
      <c r="G368" s="106"/>
      <c r="H368" s="105"/>
      <c r="I368" s="30"/>
      <c r="J368" s="107"/>
      <c r="K368" s="105"/>
      <c r="L368" s="33">
        <v>0</v>
      </c>
      <c r="M368" s="107"/>
      <c r="N368" s="109"/>
      <c r="O368" s="107"/>
      <c r="P368" s="105"/>
      <c r="Q368" s="33">
        <v>0</v>
      </c>
      <c r="R368" s="107"/>
      <c r="S368" s="110">
        <f t="shared" si="88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86"/>
        <v>BoutiqueSalaires spécialistes</v>
      </c>
      <c r="B369" s="11" t="s">
        <v>114</v>
      </c>
      <c r="C369" s="102" t="s">
        <v>43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8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86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8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86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8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86"/>
        <v>Boutique[...]</v>
      </c>
      <c r="B372" s="11" t="s">
        <v>114</v>
      </c>
      <c r="C372" s="29" t="s">
        <v>19</v>
      </c>
      <c r="D372" s="81"/>
      <c r="E372" s="13"/>
      <c r="F372" s="30">
        <v>0</v>
      </c>
      <c r="G372" s="83"/>
      <c r="H372" s="13"/>
      <c r="I372" s="30"/>
      <c r="J372" s="41"/>
      <c r="K372" s="13"/>
      <c r="L372" s="33">
        <v>0</v>
      </c>
      <c r="M372" s="41"/>
      <c r="N372" s="59"/>
      <c r="O372" s="41"/>
      <c r="P372" s="13"/>
      <c r="Q372" s="33">
        <v>0</v>
      </c>
      <c r="R372" s="41"/>
      <c r="S372" s="85">
        <f t="shared" si="88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86"/>
        <v>BoutiqueSalaires en absences</v>
      </c>
      <c r="B373" s="11" t="s">
        <v>114</v>
      </c>
      <c r="C373" s="103" t="s">
        <v>44</v>
      </c>
      <c r="D373" s="81"/>
      <c r="E373" s="13"/>
      <c r="F373" s="22">
        <v>0</v>
      </c>
      <c r="G373" s="83"/>
      <c r="H373" s="13"/>
      <c r="I373" s="22"/>
      <c r="J373" s="41"/>
      <c r="K373" s="13"/>
      <c r="L373" s="22">
        <v>0</v>
      </c>
      <c r="M373" s="41"/>
      <c r="N373" s="59"/>
      <c r="O373" s="41"/>
      <c r="P373" s="13"/>
      <c r="Q373" s="22">
        <v>0</v>
      </c>
      <c r="R373" s="41"/>
      <c r="S373" s="85">
        <f t="shared" si="88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86"/>
        <v>BoutiqueDéduction à la source</v>
      </c>
      <c r="B374" s="11" t="s">
        <v>114</v>
      </c>
      <c r="C374" s="102" t="s">
        <v>45</v>
      </c>
      <c r="D374" s="104"/>
      <c r="E374" s="105"/>
      <c r="F374" s="30">
        <v>0</v>
      </c>
      <c r="G374" s="106"/>
      <c r="H374" s="105"/>
      <c r="I374" s="30"/>
      <c r="J374" s="107"/>
      <c r="K374" s="105"/>
      <c r="L374" s="33">
        <v>0</v>
      </c>
      <c r="M374" s="107"/>
      <c r="N374" s="109"/>
      <c r="O374" s="107"/>
      <c r="P374" s="105"/>
      <c r="Q374" s="33">
        <v>0</v>
      </c>
      <c r="R374" s="107"/>
      <c r="S374" s="110">
        <f t="shared" si="88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86"/>
        <v>BoutiqueBénéfices marginaux</v>
      </c>
      <c r="B375" s="11" t="s">
        <v>114</v>
      </c>
      <c r="C375" s="102" t="s">
        <v>46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8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86"/>
        <v>BoutiqueCsst</v>
      </c>
      <c r="B376" s="11" t="s">
        <v>114</v>
      </c>
      <c r="C376" s="102" t="s">
        <v>47</v>
      </c>
      <c r="D376" s="81"/>
      <c r="E376" s="13"/>
      <c r="F376" s="30">
        <v>0</v>
      </c>
      <c r="G376" s="83"/>
      <c r="H376" s="13"/>
      <c r="I376" s="30"/>
      <c r="J376" s="41"/>
      <c r="K376" s="13"/>
      <c r="L376" s="33">
        <v>0</v>
      </c>
      <c r="M376" s="41"/>
      <c r="N376" s="59"/>
      <c r="O376" s="41"/>
      <c r="P376" s="13"/>
      <c r="Q376" s="33">
        <v>0</v>
      </c>
      <c r="R376" s="41"/>
      <c r="S376" s="85">
        <f t="shared" si="88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399999999999999" hidden="1">
      <c r="A377" t="str">
        <f t="shared" si="86"/>
        <v>Boutique[...]</v>
      </c>
      <c r="B377" s="11" t="s">
        <v>114</v>
      </c>
      <c r="C377" s="29" t="s">
        <v>19</v>
      </c>
      <c r="D377" s="87"/>
      <c r="E377" s="111"/>
      <c r="F377" s="30">
        <v>0</v>
      </c>
      <c r="G377" s="89"/>
      <c r="H377" s="111"/>
      <c r="I377" s="30"/>
      <c r="J377" s="23"/>
      <c r="K377" s="111"/>
      <c r="L377" s="33">
        <v>0</v>
      </c>
      <c r="M377" s="23"/>
      <c r="N377" s="91"/>
      <c r="O377" s="23"/>
      <c r="P377" s="111"/>
      <c r="Q377" s="33">
        <v>0</v>
      </c>
      <c r="R377" s="23"/>
      <c r="S377" s="92">
        <f t="shared" si="88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1" hidden="1">
      <c r="A378" t="str">
        <f t="shared" si="86"/>
        <v>BoutiqueTOTAL PERSONNEL</v>
      </c>
      <c r="B378" s="11" t="s">
        <v>114</v>
      </c>
      <c r="C378" s="93" t="s">
        <v>48</v>
      </c>
      <c r="D378" s="94" t="s">
        <v>38</v>
      </c>
      <c r="E378" s="95">
        <f>IFERROR(F378/F$361,0)</f>
        <v>0</v>
      </c>
      <c r="F378" s="96">
        <f>+SUM(F366:F377)</f>
        <v>0</v>
      </c>
      <c r="G378" s="97"/>
      <c r="H378" s="95"/>
      <c r="I378" s="96"/>
      <c r="J378" s="97" t="s">
        <v>38</v>
      </c>
      <c r="K378" s="95">
        <f>IFERROR(L378/L$361,0)</f>
        <v>0</v>
      </c>
      <c r="L378" s="96">
        <f>+SUM(L366:L377)</f>
        <v>0</v>
      </c>
      <c r="M378" s="146"/>
      <c r="N378" s="113"/>
      <c r="O378" s="97" t="s">
        <v>38</v>
      </c>
      <c r="P378" s="95">
        <f>IFERROR(Q378/Q$361,0)</f>
        <v>0</v>
      </c>
      <c r="Q378" s="96">
        <f>+SUM(Q366:Q377)</f>
        <v>0</v>
      </c>
      <c r="R378" s="146"/>
      <c r="S378" s="114">
        <f t="shared" si="88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86"/>
        <v>BoutiquePublicité 2</v>
      </c>
      <c r="B379" s="11" t="s">
        <v>114</v>
      </c>
      <c r="C379" s="210" t="s">
        <v>49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8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86"/>
        <v>BoutiqueService gratuit 2</v>
      </c>
      <c r="B380" s="11" t="s">
        <v>114</v>
      </c>
      <c r="C380" s="102" t="s">
        <v>50</v>
      </c>
      <c r="D380" s="81"/>
      <c r="E380" s="13"/>
      <c r="F380" s="30">
        <v>0</v>
      </c>
      <c r="G380" s="83"/>
      <c r="H380" s="13"/>
      <c r="I380" s="30"/>
      <c r="J380" s="41"/>
      <c r="K380" s="13"/>
      <c r="L380" s="33">
        <v>0</v>
      </c>
      <c r="M380" s="41"/>
      <c r="N380" s="59"/>
      <c r="O380" s="41"/>
      <c r="P380" s="13"/>
      <c r="Q380" s="33">
        <v>0</v>
      </c>
      <c r="R380" s="41"/>
      <c r="S380" s="85">
        <f t="shared" si="88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86"/>
        <v>BoutiqueFrais véhicules de cie</v>
      </c>
      <c r="B381" s="11" t="s">
        <v>114</v>
      </c>
      <c r="C381" s="103" t="s">
        <v>51</v>
      </c>
      <c r="D381" s="87"/>
      <c r="E381" s="111"/>
      <c r="F381" s="22">
        <v>0</v>
      </c>
      <c r="G381" s="89"/>
      <c r="H381" s="111"/>
      <c r="I381" s="22"/>
      <c r="J381" s="23"/>
      <c r="K381" s="111"/>
      <c r="L381" s="22">
        <v>0</v>
      </c>
      <c r="M381" s="23"/>
      <c r="N381" s="91"/>
      <c r="O381" s="23"/>
      <c r="P381" s="111"/>
      <c r="Q381" s="22">
        <v>0</v>
      </c>
      <c r="R381" s="23"/>
      <c r="S381" s="92">
        <f t="shared" si="88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86"/>
        <v>BoutiqueInformatique</v>
      </c>
      <c r="B382" s="11" t="s">
        <v>114</v>
      </c>
      <c r="C382" s="102" t="s">
        <v>52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8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86"/>
        <v>BoutiqueFrais de déplacement</v>
      </c>
      <c r="B383" s="11" t="s">
        <v>114</v>
      </c>
      <c r="C383" s="102" t="s">
        <v>53</v>
      </c>
      <c r="D383" s="81"/>
      <c r="E383" s="13"/>
      <c r="F383" s="30">
        <v>0</v>
      </c>
      <c r="G383" s="83"/>
      <c r="H383" s="13"/>
      <c r="I383" s="30"/>
      <c r="J383" s="41"/>
      <c r="K383" s="13"/>
      <c r="L383" s="33">
        <v>0</v>
      </c>
      <c r="M383" s="41"/>
      <c r="N383" s="59"/>
      <c r="O383" s="41"/>
      <c r="P383" s="13"/>
      <c r="Q383" s="33">
        <v>0</v>
      </c>
      <c r="R383" s="41"/>
      <c r="S383" s="85">
        <f t="shared" si="88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86"/>
        <v>BoutiqueServices extérieurs</v>
      </c>
      <c r="B384" s="11" t="s">
        <v>114</v>
      </c>
      <c r="C384" s="102" t="s">
        <v>54</v>
      </c>
      <c r="D384" s="87"/>
      <c r="E384" s="111"/>
      <c r="F384" s="22">
        <v>0</v>
      </c>
      <c r="G384" s="89"/>
      <c r="H384" s="111"/>
      <c r="I384" s="22"/>
      <c r="J384" s="23"/>
      <c r="K384" s="111"/>
      <c r="L384" s="22">
        <v>0</v>
      </c>
      <c r="M384" s="23"/>
      <c r="N384" s="91"/>
      <c r="O384" s="23"/>
      <c r="P384" s="111"/>
      <c r="Q384" s="22">
        <v>0</v>
      </c>
      <c r="R384" s="23"/>
      <c r="S384" s="92">
        <f t="shared" si="88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86"/>
        <v>BoutiqueFournitures autres</v>
      </c>
      <c r="B385" s="11" t="s">
        <v>114</v>
      </c>
      <c r="C385" s="210" t="s">
        <v>55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8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86"/>
        <v>BoutiqueUniformes</v>
      </c>
      <c r="B386" s="11" t="s">
        <v>114</v>
      </c>
      <c r="C386" s="102" t="s">
        <v>56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8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86"/>
        <v>BoutiquePapeterie</v>
      </c>
      <c r="B387" s="11" t="s">
        <v>114</v>
      </c>
      <c r="C387" s="102" t="s">
        <v>57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8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86"/>
        <v>BoutiqueTéléphone</v>
      </c>
      <c r="B388" s="11" t="s">
        <v>114</v>
      </c>
      <c r="C388" s="102" t="s">
        <v>58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8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86"/>
        <v>BoutiqueFrais postaux</v>
      </c>
      <c r="B389" s="11" t="s">
        <v>114</v>
      </c>
      <c r="C389" s="102" t="s">
        <v>59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8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86"/>
        <v>BoutiqueDivers</v>
      </c>
      <c r="B390" s="11" t="s">
        <v>114</v>
      </c>
      <c r="C390" s="102" t="s">
        <v>60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8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86"/>
        <v>BoutiqueFormation</v>
      </c>
      <c r="B391" s="11" t="s">
        <v>114</v>
      </c>
      <c r="C391" s="102" t="s">
        <v>61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8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86"/>
        <v>BoutiqueFrais bancaires</v>
      </c>
      <c r="B392" s="11" t="s">
        <v>114</v>
      </c>
      <c r="C392" s="102" t="s">
        <v>62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8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86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8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86"/>
        <v>Boutique[...]</v>
      </c>
      <c r="B394" s="11" t="s">
        <v>114</v>
      </c>
      <c r="C394" s="102" t="s">
        <v>19</v>
      </c>
      <c r="D394" s="81"/>
      <c r="E394" s="13"/>
      <c r="F394" s="30">
        <v>0</v>
      </c>
      <c r="G394" s="83"/>
      <c r="H394" s="13"/>
      <c r="I394" s="30"/>
      <c r="J394" s="41"/>
      <c r="K394" s="13"/>
      <c r="L394" s="33">
        <v>0</v>
      </c>
      <c r="M394" s="41"/>
      <c r="N394" s="59"/>
      <c r="O394" s="41"/>
      <c r="P394" s="13"/>
      <c r="Q394" s="33">
        <v>0</v>
      </c>
      <c r="R394" s="41"/>
      <c r="S394" s="85">
        <f t="shared" si="88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399999999999999" hidden="1">
      <c r="A395" t="str">
        <f t="shared" si="86"/>
        <v>Boutique[...]</v>
      </c>
      <c r="B395" s="11" t="s">
        <v>114</v>
      </c>
      <c r="C395" s="102" t="s">
        <v>19</v>
      </c>
      <c r="D395" s="87"/>
      <c r="E395" s="111"/>
      <c r="F395" s="30">
        <v>0</v>
      </c>
      <c r="G395" s="89"/>
      <c r="H395" s="111"/>
      <c r="I395" s="30"/>
      <c r="J395" s="23"/>
      <c r="K395" s="111"/>
      <c r="L395" s="33">
        <v>0</v>
      </c>
      <c r="M395" s="23"/>
      <c r="N395" s="91"/>
      <c r="O395" s="23"/>
      <c r="P395" s="111"/>
      <c r="Q395" s="33">
        <v>0</v>
      </c>
      <c r="R395" s="23"/>
      <c r="S395" s="92">
        <f t="shared" si="88"/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93" t="s">
        <v>63</v>
      </c>
      <c r="D396" s="94" t="s">
        <v>38</v>
      </c>
      <c r="E396" s="95">
        <f>IFERROR(F396/F$361,0)</f>
        <v>0</v>
      </c>
      <c r="F396" s="96">
        <f>+SUM(F379:F395)</f>
        <v>0</v>
      </c>
      <c r="G396" s="97"/>
      <c r="H396" s="95"/>
      <c r="I396" s="96"/>
      <c r="J396" s="97" t="s">
        <v>38</v>
      </c>
      <c r="K396" s="95">
        <f>IFERROR(L396/L$361,0)</f>
        <v>0</v>
      </c>
      <c r="L396" s="96">
        <f>+SUM(L379:L395)</f>
        <v>0</v>
      </c>
      <c r="M396" s="146"/>
      <c r="N396" s="96"/>
      <c r="O396" s="97" t="s">
        <v>38</v>
      </c>
      <c r="P396" s="95">
        <f>IFERROR(Q396/Q$361,0)</f>
        <v>0</v>
      </c>
      <c r="Q396" s="96">
        <f>+SUM(Q379:Q395)</f>
        <v>0</v>
      </c>
      <c r="R396" s="146"/>
      <c r="S396" s="114">
        <f>+SUM(S379:S395)</f>
        <v>0</v>
      </c>
      <c r="T396" s="10"/>
      <c r="U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29"/>
      <c r="D397" s="13"/>
      <c r="E397" s="13"/>
      <c r="F397" s="40"/>
      <c r="G397" s="41"/>
      <c r="H397" s="13"/>
      <c r="I397" s="40"/>
      <c r="J397" s="41"/>
      <c r="K397" s="13"/>
      <c r="L397" s="40"/>
      <c r="M397" s="78"/>
      <c r="N397" s="77"/>
      <c r="O397" s="41"/>
      <c r="P397" s="13"/>
      <c r="Q397" s="40"/>
      <c r="R397" s="41"/>
      <c r="S397" s="243"/>
      <c r="T397" s="244"/>
      <c r="U397" s="244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93" t="s">
        <v>64</v>
      </c>
      <c r="D398" s="94" t="s">
        <v>38</v>
      </c>
      <c r="E398" s="95">
        <f>IFERROR(F398/F$361,0)</f>
        <v>0</v>
      </c>
      <c r="F398" s="96">
        <f>F378+F396</f>
        <v>0</v>
      </c>
      <c r="G398" s="97"/>
      <c r="H398" s="95"/>
      <c r="I398" s="96"/>
      <c r="J398" s="97" t="s">
        <v>38</v>
      </c>
      <c r="K398" s="95">
        <f>IFERROR(L398/L$361,0)</f>
        <v>0</v>
      </c>
      <c r="L398" s="96">
        <f>L378+L396</f>
        <v>0</v>
      </c>
      <c r="M398" s="245"/>
      <c r="N398" s="96"/>
      <c r="O398" s="97" t="s">
        <v>38</v>
      </c>
      <c r="P398" s="95">
        <f>IFERROR(Q398/Q$361,0)</f>
        <v>0</v>
      </c>
      <c r="Q398" s="96">
        <f>Q378+Q396</f>
        <v>0</v>
      </c>
      <c r="R398" s="100"/>
      <c r="S398" s="101">
        <f>L398-Q398</f>
        <v>0</v>
      </c>
      <c r="T398" s="244"/>
      <c r="U398" s="244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" hidden="1">
      <c r="B399" s="7"/>
      <c r="C399" s="29"/>
      <c r="D399" s="13"/>
      <c r="E399" s="13"/>
      <c r="F399" s="59"/>
      <c r="G399" s="41"/>
      <c r="H399" s="13"/>
      <c r="I399" s="59"/>
      <c r="J399" s="41"/>
      <c r="K399" s="13"/>
      <c r="L399" s="59"/>
      <c r="M399" s="78"/>
      <c r="N399" s="77"/>
      <c r="O399" s="41"/>
      <c r="P399" s="13"/>
      <c r="Q399" s="59"/>
      <c r="R399" s="41"/>
      <c r="S399" s="243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2.2" hidden="1" thickTop="1" thickBot="1">
      <c r="B400" s="7"/>
      <c r="C400" s="246" t="s">
        <v>69</v>
      </c>
      <c r="D400" s="247"/>
      <c r="E400" s="247"/>
      <c r="F400" s="248">
        <f>F363-F398</f>
        <v>0</v>
      </c>
      <c r="G400" s="249"/>
      <c r="H400" s="247"/>
      <c r="I400" s="248"/>
      <c r="J400" s="250"/>
      <c r="K400" s="251"/>
      <c r="L400" s="248">
        <f>L363-L398</f>
        <v>0</v>
      </c>
      <c r="M400" s="249"/>
      <c r="N400" s="248"/>
      <c r="O400" s="250"/>
      <c r="P400" s="251"/>
      <c r="Q400" s="248">
        <f>Q363-Q398</f>
        <v>0</v>
      </c>
      <c r="R400" s="250"/>
      <c r="S400" s="252">
        <f>L400-Q400</f>
        <v>0</v>
      </c>
      <c r="T400" s="10"/>
      <c r="U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61" ht="21" hidden="1">
      <c r="B401" s="7"/>
      <c r="C401" s="76"/>
      <c r="D401" s="81"/>
      <c r="E401" s="13"/>
      <c r="F401" s="112"/>
      <c r="G401" s="81"/>
      <c r="H401" s="13"/>
      <c r="I401" s="112"/>
      <c r="J401" s="76"/>
      <c r="K401" s="76"/>
      <c r="L401" s="112"/>
      <c r="M401" s="76"/>
      <c r="N401" s="112"/>
      <c r="O401" s="76"/>
      <c r="P401" s="76"/>
      <c r="Q401" s="112"/>
      <c r="R401" s="76"/>
      <c r="S401" s="112"/>
      <c r="T401" s="13"/>
      <c r="U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61" ht="20.399999999999999">
      <c r="B402" s="7"/>
      <c r="C402" s="13"/>
      <c r="D402" s="13"/>
      <c r="E402" s="13"/>
      <c r="F402" s="82">
        <f>F354+F290+F234</f>
        <v>82209.962083287988</v>
      </c>
      <c r="G402" s="13"/>
      <c r="H402" s="13"/>
      <c r="I402" s="13"/>
      <c r="J402" s="13"/>
      <c r="K402" s="13"/>
      <c r="L402" s="82">
        <f>L354+L290+L234</f>
        <v>80726.420000000042</v>
      </c>
      <c r="M402" s="13"/>
      <c r="N402" s="13"/>
      <c r="O402" s="13"/>
      <c r="P402" s="13"/>
      <c r="Q402" s="13"/>
      <c r="R402" s="13"/>
      <c r="S402" s="13"/>
      <c r="T402" s="10"/>
      <c r="U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Q402" s="467"/>
      <c r="AU402" s="467"/>
      <c r="AV402" s="468"/>
    </row>
    <row r="403" spans="1:61" ht="35.4">
      <c r="B403" s="7"/>
      <c r="C403" s="10"/>
      <c r="D403" s="10"/>
      <c r="E403" s="10"/>
      <c r="F403" s="154"/>
      <c r="G403" s="10"/>
      <c r="H403" s="10"/>
      <c r="I403" s="10"/>
      <c r="J403" s="10"/>
      <c r="K403" s="10"/>
      <c r="L403" s="493">
        <f>L402/F402</f>
        <v>0.98195422980751468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6" t="str">
        <f>C1</f>
        <v>BMW Sherbrooke</v>
      </c>
      <c r="W403" s="6"/>
      <c r="X403" s="6"/>
      <c r="Y403" s="6"/>
      <c r="Z403" s="1"/>
      <c r="AA403" s="1"/>
      <c r="AB403" s="6"/>
      <c r="AC403" s="6"/>
      <c r="AD403" s="1"/>
      <c r="AE403" s="3" t="s">
        <v>116</v>
      </c>
      <c r="AF403" s="6"/>
      <c r="AG403" s="6"/>
      <c r="AH403" s="1"/>
      <c r="AI403" s="1"/>
      <c r="AJ403" s="253"/>
      <c r="AK403" s="2"/>
      <c r="AL403" s="1"/>
      <c r="AM403" s="6"/>
      <c r="AN403" s="6"/>
      <c r="AO403" s="5" t="str">
        <f>$S$1</f>
        <v>Réalisé, Août 2026</v>
      </c>
      <c r="AP403" s="244"/>
      <c r="AQ403" s="467"/>
      <c r="AS403" s="468"/>
      <c r="AT403" s="469"/>
      <c r="AU403" s="467"/>
      <c r="AV403" s="468"/>
      <c r="AW403" s="468"/>
      <c r="AX403" s="468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</row>
    <row r="404" spans="1:61" ht="18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10"/>
      <c r="AN404" s="10"/>
      <c r="AO404" s="10"/>
      <c r="AP404" s="244"/>
      <c r="AQ404" s="470"/>
      <c r="AR404" s="244"/>
      <c r="AS404" s="468"/>
      <c r="AT404" s="471"/>
      <c r="AU404" s="470"/>
      <c r="AV404" s="472"/>
      <c r="AW404" s="472"/>
      <c r="AX404" s="472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</row>
    <row r="405" spans="1:61" ht="22.2" thickTop="1" thickBot="1">
      <c r="A405" t="str">
        <f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55"/>
      <c r="W405" s="256"/>
      <c r="X405" s="514" t="s">
        <v>117</v>
      </c>
      <c r="Y405" s="512"/>
      <c r="Z405" s="515"/>
      <c r="AA405" s="511"/>
      <c r="AB405" s="512"/>
      <c r="AC405" s="515"/>
      <c r="AD405" s="511" t="s">
        <v>7</v>
      </c>
      <c r="AE405" s="512"/>
      <c r="AF405" s="515"/>
      <c r="AG405" s="511" t="s">
        <v>212</v>
      </c>
      <c r="AH405" s="512"/>
      <c r="AI405" s="515"/>
      <c r="AJ405" s="511" t="s">
        <v>118</v>
      </c>
      <c r="AK405" s="512"/>
      <c r="AL405" s="512"/>
      <c r="AM405" s="511" t="s">
        <v>119</v>
      </c>
      <c r="AN405" s="512"/>
      <c r="AO405" s="513"/>
      <c r="AP405" s="244"/>
      <c r="AQ405" s="470"/>
      <c r="AR405" s="244"/>
      <c r="AS405" s="472"/>
      <c r="AT405" s="471"/>
      <c r="AU405" s="470"/>
      <c r="AV405" s="472"/>
      <c r="AW405" s="472"/>
      <c r="AX405" s="472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</row>
    <row r="406" spans="1:61" ht="20.399999999999999">
      <c r="A406" t="str">
        <f t="shared" ref="A406:A485" si="89">+U406&amp;V406</f>
        <v/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6"/>
      <c r="W406" s="257" t="s">
        <v>120</v>
      </c>
      <c r="X406" s="257" t="s">
        <v>121</v>
      </c>
      <c r="Y406" s="257" t="s">
        <v>122</v>
      </c>
      <c r="Z406" s="258" t="s">
        <v>123</v>
      </c>
      <c r="AA406" s="257"/>
      <c r="AB406" s="257"/>
      <c r="AC406" s="258"/>
      <c r="AD406" s="259" t="s">
        <v>121</v>
      </c>
      <c r="AE406" s="257" t="s">
        <v>122</v>
      </c>
      <c r="AF406" s="257" t="s">
        <v>123</v>
      </c>
      <c r="AG406" s="259" t="s">
        <v>124</v>
      </c>
      <c r="AH406" s="257" t="s">
        <v>125</v>
      </c>
      <c r="AI406" s="257" t="s">
        <v>126</v>
      </c>
      <c r="AJ406" s="259" t="s">
        <v>121</v>
      </c>
      <c r="AK406" s="257" t="s">
        <v>122</v>
      </c>
      <c r="AL406" s="257" t="s">
        <v>123</v>
      </c>
      <c r="AM406" s="260" t="s">
        <v>124</v>
      </c>
      <c r="AN406" s="257" t="s">
        <v>125</v>
      </c>
      <c r="AO406" s="139" t="s">
        <v>126</v>
      </c>
      <c r="AP406" s="244"/>
      <c r="AQ406" s="473"/>
      <c r="AR406" s="393"/>
      <c r="AS406" s="393"/>
      <c r="AT406" s="474"/>
      <c r="AU406" s="473"/>
      <c r="AV406" s="475"/>
      <c r="AW406" s="475"/>
      <c r="AX406" s="475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</row>
    <row r="407" spans="1:61" ht="17.399999999999999">
      <c r="A407" t="str">
        <f t="shared" si="89"/>
        <v>Ventes nettes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4"/>
      <c r="U407" s="244"/>
      <c r="V407" s="103" t="s">
        <v>14</v>
      </c>
      <c r="W407" s="261"/>
      <c r="X407" s="261"/>
      <c r="Y407" s="261"/>
      <c r="Z407" s="262">
        <f>F5+F93+E195+E251+D315+D363</f>
        <v>4445529.2934459886</v>
      </c>
      <c r="AA407" s="261"/>
      <c r="AB407" s="261"/>
      <c r="AC407" s="262"/>
      <c r="AD407" s="263"/>
      <c r="AE407" s="264"/>
      <c r="AF407" s="264">
        <f>L5+L93+K195+K251+J315+J363</f>
        <v>4686630.53</v>
      </c>
      <c r="AG407" s="263"/>
      <c r="AH407" s="264"/>
      <c r="AI407" s="265"/>
      <c r="AJ407" s="263"/>
      <c r="AK407" s="264"/>
      <c r="AL407" s="264">
        <f>Q5+Q93+P195+P251+O315+O363</f>
        <v>3709615.7899999898</v>
      </c>
      <c r="AM407" s="266"/>
      <c r="AN407" s="264"/>
      <c r="AO407" s="267"/>
      <c r="AP407" s="244"/>
      <c r="AQ407" s="244"/>
      <c r="AR407" s="244"/>
      <c r="AS407" s="244"/>
      <c r="AT407" s="244"/>
      <c r="AU407" s="244"/>
      <c r="AV407" s="472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</row>
    <row r="408" spans="1:61" ht="17.399999999999999">
      <c r="A408" t="str">
        <f t="shared" si="89"/>
        <v>Profit brut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4"/>
      <c r="U408" s="244"/>
      <c r="V408" s="268" t="s">
        <v>127</v>
      </c>
      <c r="W408" s="269"/>
      <c r="X408" s="269"/>
      <c r="Y408" s="269"/>
      <c r="Z408" s="270">
        <f>F27+F109+F195+F251+F315+F363</f>
        <v>460346.88216392417</v>
      </c>
      <c r="AA408" s="269"/>
      <c r="AB408" s="269"/>
      <c r="AC408" s="270"/>
      <c r="AD408" s="271"/>
      <c r="AE408" s="272"/>
      <c r="AF408" s="272">
        <f>L27+L109+L195+L251+L315+L363</f>
        <v>454857.18000000017</v>
      </c>
      <c r="AG408" s="271"/>
      <c r="AH408" s="272">
        <f>AF408-Z408</f>
        <v>-5489.7021639239974</v>
      </c>
      <c r="AI408" s="273">
        <f>AH408/Z408</f>
        <v>-1.1925142488461948E-2</v>
      </c>
      <c r="AJ408" s="271">
        <f>+AL408/AL407</f>
        <v>0.10318687208305218</v>
      </c>
      <c r="AK408" s="272"/>
      <c r="AL408" s="272">
        <f>Q27+Q109+Q195+Q251+Q315+Q363</f>
        <v>382783.6499999995</v>
      </c>
      <c r="AM408" s="274"/>
      <c r="AN408" s="272">
        <f>AF408-AL408</f>
        <v>72073.530000000668</v>
      </c>
      <c r="AO408" s="275">
        <f>IF(AL408=0,0,AN408/AL408)</f>
        <v>0.18828790101144802</v>
      </c>
      <c r="AP408" s="244"/>
      <c r="AQ408" s="244"/>
      <c r="AR408" s="308"/>
      <c r="AS408" s="308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</row>
    <row r="409" spans="1:61" ht="17.399999999999999">
      <c r="A409" t="str">
        <f t="shared" si="89"/>
        <v>DÉPENSES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4"/>
      <c r="U409" s="244"/>
      <c r="V409" s="276" t="s">
        <v>128</v>
      </c>
      <c r="W409" s="277"/>
      <c r="X409" s="277"/>
      <c r="Y409" s="277"/>
      <c r="Z409" s="278"/>
      <c r="AA409" s="277"/>
      <c r="AB409" s="277"/>
      <c r="AC409" s="278"/>
      <c r="AD409" s="279"/>
      <c r="AE409" s="277"/>
      <c r="AF409" s="280"/>
      <c r="AG409" s="279"/>
      <c r="AH409" s="280"/>
      <c r="AI409" s="281"/>
      <c r="AJ409" s="279"/>
      <c r="AK409" s="277"/>
      <c r="AL409" s="280"/>
      <c r="AM409" s="282"/>
      <c r="AN409" s="280"/>
      <c r="AO409" s="283"/>
      <c r="AP409" s="244"/>
      <c r="AQ409" s="244"/>
      <c r="AR409" s="244"/>
      <c r="AS409" s="244"/>
      <c r="AT409" s="244"/>
      <c r="AU409" s="470"/>
      <c r="AV409" s="470"/>
      <c r="AW409" s="470"/>
      <c r="AX409" s="470"/>
      <c r="AY409" s="470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</row>
    <row r="410" spans="1:61" ht="17.399999999999999">
      <c r="A410" t="str">
        <f t="shared" si="89"/>
        <v>Comm. vendeurs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4"/>
      <c r="U410" s="244"/>
      <c r="V410" s="102" t="s">
        <v>30</v>
      </c>
      <c r="W410" s="284" t="s">
        <v>129</v>
      </c>
      <c r="X410" s="277"/>
      <c r="Y410" s="285">
        <f t="shared" ref="Y410:Y419" si="90">Z410/(D$13+D$97)</f>
        <v>962.85324318613436</v>
      </c>
      <c r="Z410" s="278">
        <f t="shared" ref="Z410:Z416" si="91">+SUMIF($C:$C,$V410,F:F)</f>
        <v>40439.836213817645</v>
      </c>
      <c r="AA410" s="277"/>
      <c r="AB410" s="285"/>
      <c r="AC410" s="278"/>
      <c r="AD410" s="286"/>
      <c r="AE410" s="285">
        <f t="shared" ref="AE410:AE415" si="92">IF(AF410=0,0,AF410/(J$13+J$97))</f>
        <v>1249.5365957446809</v>
      </c>
      <c r="AF410" s="278">
        <f t="shared" ref="AF410:AF416" si="93">+SUMIF($C:$C,$V410,L:L)</f>
        <v>58728.22</v>
      </c>
      <c r="AG410" s="279">
        <f t="shared" ref="AG410:AH425" si="94">AE410-Y410</f>
        <v>286.68335255854652</v>
      </c>
      <c r="AH410" s="280">
        <f t="shared" si="94"/>
        <v>18288.383786182356</v>
      </c>
      <c r="AI410" s="281">
        <f t="shared" ref="AI410:AI419" si="95">IF(Z410=0,0,AH410/Z410)</f>
        <v>0.45223684115549179</v>
      </c>
      <c r="AJ410" s="286"/>
      <c r="AK410" s="280">
        <f t="shared" ref="AK410:AK419" si="96">AL410/(O$13+O$97)</f>
        <v>772.73631578947368</v>
      </c>
      <c r="AL410" s="278">
        <f t="shared" ref="AL410:AL415" si="97">+SUMIF($C:$C,$V410,Q:Q)</f>
        <v>29363.98</v>
      </c>
      <c r="AM410" s="282">
        <f t="shared" ref="AM410:AM415" si="98">AE410-Y410</f>
        <v>286.68335255854652</v>
      </c>
      <c r="AN410" s="280">
        <f t="shared" ref="AN410:AN415" si="99">AF410-AL410</f>
        <v>29364.240000000002</v>
      </c>
      <c r="AO410" s="287">
        <f t="shared" ref="AO410:AO432" si="100">IF(AL410=0,0,AN410/AL410)</f>
        <v>1.0000088543855432</v>
      </c>
      <c r="AP410" s="244"/>
      <c r="AQ410" s="244"/>
      <c r="AS410" s="476"/>
      <c r="AT410" s="469"/>
      <c r="AU410" s="470"/>
      <c r="AV410" s="470"/>
      <c r="AW410" s="470"/>
      <c r="AX410" s="470"/>
      <c r="AY410" s="470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</row>
    <row r="411" spans="1:61" ht="17.399999999999999">
      <c r="A411" t="str">
        <f t="shared" si="89"/>
        <v>Comm. F&amp;I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4"/>
      <c r="U411" s="244"/>
      <c r="V411" s="103" t="s">
        <v>31</v>
      </c>
      <c r="W411" s="288" t="s">
        <v>130</v>
      </c>
      <c r="X411" s="261"/>
      <c r="Y411" s="289">
        <f t="shared" si="90"/>
        <v>479.38095238095241</v>
      </c>
      <c r="Z411" s="262">
        <f t="shared" si="91"/>
        <v>20134</v>
      </c>
      <c r="AA411" s="261"/>
      <c r="AB411" s="289"/>
      <c r="AC411" s="262"/>
      <c r="AD411" s="290"/>
      <c r="AE411" s="289">
        <f t="shared" si="92"/>
        <v>173.03893617021276</v>
      </c>
      <c r="AF411" s="262">
        <f t="shared" si="93"/>
        <v>8132.83</v>
      </c>
      <c r="AG411" s="263">
        <f t="shared" si="94"/>
        <v>-306.34201621073964</v>
      </c>
      <c r="AH411" s="264">
        <f t="shared" si="94"/>
        <v>-12001.17</v>
      </c>
      <c r="AI411" s="291">
        <f t="shared" si="95"/>
        <v>-0.59606486540180792</v>
      </c>
      <c r="AJ411" s="290"/>
      <c r="AK411" s="264">
        <f t="shared" si="96"/>
        <v>258.64</v>
      </c>
      <c r="AL411" s="262">
        <f t="shared" si="97"/>
        <v>9828.32</v>
      </c>
      <c r="AM411" s="266">
        <f t="shared" si="98"/>
        <v>-306.34201621073964</v>
      </c>
      <c r="AN411" s="264">
        <f t="shared" si="99"/>
        <v>-1695.4899999999998</v>
      </c>
      <c r="AO411" s="292">
        <f t="shared" si="100"/>
        <v>-0.17251066306347371</v>
      </c>
      <c r="AP411" s="244"/>
      <c r="AQ411" s="244"/>
      <c r="AS411" s="436"/>
      <c r="AT411" s="469"/>
      <c r="AU411" s="470"/>
      <c r="AV411" s="470"/>
      <c r="AW411" s="470"/>
      <c r="AX411" s="470"/>
      <c r="AY411" s="470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</row>
    <row r="412" spans="1:61" ht="17.399999999999999">
      <c r="A412" t="str">
        <f t="shared" si="89"/>
        <v>Frais de livraison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4"/>
      <c r="U412" s="244"/>
      <c r="V412" s="102" t="s">
        <v>32</v>
      </c>
      <c r="W412" s="284" t="s">
        <v>131</v>
      </c>
      <c r="X412" s="277"/>
      <c r="Y412" s="285">
        <f t="shared" si="90"/>
        <v>110.23809523809524</v>
      </c>
      <c r="Z412" s="278">
        <f t="shared" si="91"/>
        <v>4630</v>
      </c>
      <c r="AA412" s="277"/>
      <c r="AB412" s="285"/>
      <c r="AC412" s="278"/>
      <c r="AD412" s="286"/>
      <c r="AE412" s="285">
        <f t="shared" si="92"/>
        <v>154.55638297872341</v>
      </c>
      <c r="AF412" s="278">
        <f t="shared" si="93"/>
        <v>7264.15</v>
      </c>
      <c r="AG412" s="279">
        <f t="shared" si="94"/>
        <v>44.318287740628165</v>
      </c>
      <c r="AH412" s="280">
        <f t="shared" si="94"/>
        <v>2634.1499999999996</v>
      </c>
      <c r="AI412" s="281">
        <f t="shared" si="95"/>
        <v>0.5689308855291576</v>
      </c>
      <c r="AJ412" s="286"/>
      <c r="AK412" s="280">
        <f t="shared" si="96"/>
        <v>158.74842105263156</v>
      </c>
      <c r="AL412" s="278">
        <f t="shared" si="97"/>
        <v>6032.44</v>
      </c>
      <c r="AM412" s="282">
        <f t="shared" si="98"/>
        <v>44.318287740628165</v>
      </c>
      <c r="AN412" s="280">
        <f t="shared" si="99"/>
        <v>1231.71</v>
      </c>
      <c r="AO412" s="287">
        <f t="shared" si="100"/>
        <v>0.20418106106318507</v>
      </c>
      <c r="AP412" s="244"/>
      <c r="AQ412" s="244"/>
      <c r="AS412" s="436"/>
      <c r="AT412" s="469"/>
      <c r="AU412" s="470"/>
      <c r="AV412" s="470"/>
      <c r="AW412" s="470"/>
      <c r="AX412" s="470"/>
      <c r="AY412" s="470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</row>
    <row r="413" spans="1:61" ht="17.399999999999999">
      <c r="A413" t="str">
        <f t="shared" si="89"/>
        <v>Service gratuit 1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4"/>
      <c r="U413" s="244"/>
      <c r="V413" s="102" t="s">
        <v>33</v>
      </c>
      <c r="W413" s="284" t="s">
        <v>148</v>
      </c>
      <c r="X413" s="277"/>
      <c r="Y413" s="285">
        <f t="shared" si="90"/>
        <v>61.071428571428569</v>
      </c>
      <c r="Z413" s="278">
        <f t="shared" si="91"/>
        <v>2565</v>
      </c>
      <c r="AA413" s="277"/>
      <c r="AB413" s="285"/>
      <c r="AC413" s="278"/>
      <c r="AD413" s="286"/>
      <c r="AE413" s="285">
        <f t="shared" si="92"/>
        <v>25.627234042553191</v>
      </c>
      <c r="AF413" s="278">
        <f t="shared" si="93"/>
        <v>1204.48</v>
      </c>
      <c r="AG413" s="279">
        <f t="shared" si="94"/>
        <v>-35.444194528875379</v>
      </c>
      <c r="AH413" s="280">
        <f t="shared" si="94"/>
        <v>-1360.52</v>
      </c>
      <c r="AI413" s="281">
        <f t="shared" si="95"/>
        <v>-0.53041715399610134</v>
      </c>
      <c r="AJ413" s="286"/>
      <c r="AK413" s="280">
        <f t="shared" si="96"/>
        <v>47.939473684210526</v>
      </c>
      <c r="AL413" s="278">
        <f t="shared" si="97"/>
        <v>1821.7</v>
      </c>
      <c r="AM413" s="282">
        <f t="shared" si="98"/>
        <v>-35.444194528875379</v>
      </c>
      <c r="AN413" s="280">
        <f t="shared" si="99"/>
        <v>-617.22</v>
      </c>
      <c r="AO413" s="293">
        <f t="shared" si="100"/>
        <v>-0.33881539221606194</v>
      </c>
      <c r="AP413" s="244"/>
      <c r="AQ413" s="244"/>
      <c r="AS413" s="436"/>
      <c r="AT413" s="469"/>
      <c r="AU413" s="470"/>
      <c r="AV413" s="470"/>
      <c r="AW413" s="470"/>
      <c r="AX413" s="470"/>
      <c r="AY413" s="470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</row>
    <row r="414" spans="1:61" ht="17.399999999999999">
      <c r="A414" t="str">
        <f t="shared" si="89"/>
        <v>Entretien stock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4"/>
      <c r="U414" s="244"/>
      <c r="V414" s="103" t="s">
        <v>34</v>
      </c>
      <c r="W414" s="288" t="s">
        <v>220</v>
      </c>
      <c r="X414" s="261"/>
      <c r="Y414" s="289">
        <f t="shared" si="90"/>
        <v>79.61904761904762</v>
      </c>
      <c r="Z414" s="262">
        <f t="shared" si="91"/>
        <v>3344</v>
      </c>
      <c r="AA414" s="261"/>
      <c r="AB414" s="289"/>
      <c r="AC414" s="262"/>
      <c r="AD414" s="290"/>
      <c r="AE414" s="289">
        <f t="shared" si="92"/>
        <v>50.334255319148937</v>
      </c>
      <c r="AF414" s="262">
        <f t="shared" si="93"/>
        <v>2365.71</v>
      </c>
      <c r="AG414" s="263">
        <f t="shared" si="94"/>
        <v>-29.284792299898683</v>
      </c>
      <c r="AH414" s="264">
        <f t="shared" si="94"/>
        <v>-978.29</v>
      </c>
      <c r="AI414" s="291">
        <f t="shared" si="95"/>
        <v>-0.29255083732057413</v>
      </c>
      <c r="AJ414" s="290"/>
      <c r="AK414" s="264">
        <f t="shared" si="96"/>
        <v>128.26</v>
      </c>
      <c r="AL414" s="262">
        <f t="shared" si="97"/>
        <v>4873.88</v>
      </c>
      <c r="AM414" s="266">
        <f t="shared" si="98"/>
        <v>-29.284792299898683</v>
      </c>
      <c r="AN414" s="264">
        <f t="shared" si="99"/>
        <v>-2508.17</v>
      </c>
      <c r="AO414" s="292">
        <f t="shared" si="100"/>
        <v>-0.51461463967106291</v>
      </c>
      <c r="AP414" s="244"/>
      <c r="AQ414" s="244"/>
      <c r="AS414" s="436"/>
      <c r="AT414" s="469"/>
      <c r="AU414" s="470"/>
      <c r="AV414" s="470"/>
      <c r="AW414" s="470"/>
      <c r="AX414" s="470"/>
      <c r="AY414" s="470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</row>
    <row r="415" spans="1:61" ht="17.399999999999999">
      <c r="A415" t="str">
        <f t="shared" si="89"/>
        <v>Publicité 1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4"/>
      <c r="U415" s="244"/>
      <c r="V415" s="102" t="s">
        <v>35</v>
      </c>
      <c r="W415" s="284" t="s">
        <v>221</v>
      </c>
      <c r="X415" s="281"/>
      <c r="Y415" s="285">
        <f t="shared" si="90"/>
        <v>150.95050505050503</v>
      </c>
      <c r="Z415" s="278">
        <f t="shared" si="91"/>
        <v>6339.9212121212113</v>
      </c>
      <c r="AA415" s="281"/>
      <c r="AB415" s="285"/>
      <c r="AC415" s="278"/>
      <c r="AD415" s="286"/>
      <c r="AE415" s="285">
        <f t="shared" si="92"/>
        <v>95.357234042553173</v>
      </c>
      <c r="AF415" s="278">
        <f t="shared" si="93"/>
        <v>4481.7899999999991</v>
      </c>
      <c r="AG415" s="279">
        <f t="shared" si="94"/>
        <v>-55.593271007951856</v>
      </c>
      <c r="AH415" s="280">
        <f t="shared" si="94"/>
        <v>-1858.1312121212122</v>
      </c>
      <c r="AI415" s="281">
        <f t="shared" si="95"/>
        <v>-0.29308427501727874</v>
      </c>
      <c r="AJ415" s="286"/>
      <c r="AK415" s="280">
        <f t="shared" si="96"/>
        <v>477.62394736842106</v>
      </c>
      <c r="AL415" s="278">
        <f t="shared" si="97"/>
        <v>18149.71</v>
      </c>
      <c r="AM415" s="282">
        <f t="shared" si="98"/>
        <v>-55.593271007951856</v>
      </c>
      <c r="AN415" s="280">
        <f t="shared" si="99"/>
        <v>-13667.92</v>
      </c>
      <c r="AO415" s="287">
        <f t="shared" si="100"/>
        <v>-0.75306547597730211</v>
      </c>
      <c r="AP415" s="244"/>
      <c r="AQ415" s="244"/>
      <c r="AR415" s="437"/>
      <c r="AS415" s="436"/>
      <c r="AT415" s="469"/>
      <c r="AU415" s="470"/>
      <c r="AV415" s="470"/>
      <c r="AW415" s="470"/>
      <c r="AX415" s="470"/>
      <c r="AY415" s="470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</row>
    <row r="416" spans="1:61" ht="20.399999999999999">
      <c r="A416" t="str">
        <f t="shared" si="89"/>
        <v>Intérêt de gros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4"/>
      <c r="U416" s="244"/>
      <c r="V416" s="102" t="s">
        <v>36</v>
      </c>
      <c r="W416" s="284" t="s">
        <v>222</v>
      </c>
      <c r="X416" s="277"/>
      <c r="Y416" s="285">
        <f t="shared" si="90"/>
        <v>716.73392424445183</v>
      </c>
      <c r="Z416" s="278">
        <f t="shared" si="91"/>
        <v>30102.824818266978</v>
      </c>
      <c r="AA416" s="277"/>
      <c r="AB416" s="285"/>
      <c r="AC416" s="278"/>
      <c r="AD416" s="286"/>
      <c r="AE416" s="285">
        <f>IF(AF416=0,0,AF416/(J$13+J$13))</f>
        <v>615.83500000000004</v>
      </c>
      <c r="AF416" s="278">
        <f t="shared" si="93"/>
        <v>30791.75</v>
      </c>
      <c r="AG416" s="279">
        <f t="shared" si="94"/>
        <v>-100.89892424445179</v>
      </c>
      <c r="AH416" s="280">
        <f t="shared" si="94"/>
        <v>688.92518173302233</v>
      </c>
      <c r="AI416" s="281">
        <f t="shared" si="95"/>
        <v>2.2885732016583678E-2</v>
      </c>
      <c r="AJ416" s="286"/>
      <c r="AK416" s="280">
        <f t="shared" si="96"/>
        <v>664.06789473684216</v>
      </c>
      <c r="AL416" s="278">
        <f>IFERROR(SUMIF($C:$C,$V416,Q:Q),0)</f>
        <v>25234.58</v>
      </c>
      <c r="AM416" s="282">
        <f>AE416-Y416</f>
        <v>-100.89892424445179</v>
      </c>
      <c r="AN416" s="280">
        <f>AF416-AL416</f>
        <v>5557.1699999999983</v>
      </c>
      <c r="AO416" s="292">
        <f t="shared" si="100"/>
        <v>0.22022042768296513</v>
      </c>
      <c r="AP416" s="244"/>
      <c r="AQ416" s="470">
        <v>30792</v>
      </c>
      <c r="AR416" s="13"/>
      <c r="AS416" s="477"/>
      <c r="AT416" s="244"/>
      <c r="AU416" s="470"/>
      <c r="AV416" s="470"/>
      <c r="AW416" s="470"/>
      <c r="AX416" s="470"/>
      <c r="AY416" s="470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</row>
    <row r="417" spans="1:61" ht="20.25" hidden="1" customHeight="1">
      <c r="A417" t="str">
        <f t="shared" si="89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4"/>
      <c r="U417" s="244"/>
      <c r="V417" s="102" t="s">
        <v>19</v>
      </c>
      <c r="W417" s="284"/>
      <c r="X417" s="281"/>
      <c r="Y417" s="285">
        <f t="shared" si="90"/>
        <v>0</v>
      </c>
      <c r="Z417" s="278">
        <f>IFERROR(SUMIF($C:$C,$V417,F:F),0)</f>
        <v>0</v>
      </c>
      <c r="AA417" s="277"/>
      <c r="AB417" s="285"/>
      <c r="AC417" s="278"/>
      <c r="AD417" s="286"/>
      <c r="AE417" s="285">
        <f>IF(AF417=0,0,AF417/(J$13+J$13))</f>
        <v>0</v>
      </c>
      <c r="AF417" s="278">
        <f>IFERROR(SUMIF($C:$C,$V417,L:L),0)</f>
        <v>0</v>
      </c>
      <c r="AG417" s="279">
        <f t="shared" si="94"/>
        <v>0</v>
      </c>
      <c r="AH417" s="280">
        <f t="shared" si="94"/>
        <v>0</v>
      </c>
      <c r="AI417" s="281">
        <f t="shared" si="95"/>
        <v>0</v>
      </c>
      <c r="AJ417" s="286"/>
      <c r="AK417" s="280">
        <f t="shared" si="96"/>
        <v>0</v>
      </c>
      <c r="AL417" s="278">
        <f>IFERROR(SUMIF($C:$C,$V417,Q:Q),0)</f>
        <v>0</v>
      </c>
      <c r="AM417" s="282">
        <f>AE417-Y417</f>
        <v>0</v>
      </c>
      <c r="AN417" s="280">
        <f>AF417-AL417</f>
        <v>0</v>
      </c>
      <c r="AO417" s="287">
        <f t="shared" si="100"/>
        <v>0</v>
      </c>
      <c r="AP417" s="244"/>
      <c r="AQ417" s="244"/>
      <c r="AR417" s="13"/>
      <c r="AS417" s="244"/>
      <c r="AT417" s="244"/>
      <c r="AU417" s="470"/>
      <c r="AV417" s="470"/>
      <c r="AW417" s="470"/>
      <c r="AX417" s="470"/>
      <c r="AY417" s="470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</row>
    <row r="418" spans="1:61" ht="20.25" hidden="1" customHeight="1">
      <c r="A418" t="str">
        <f t="shared" si="89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4"/>
      <c r="U418" s="244"/>
      <c r="V418" s="102" t="s">
        <v>19</v>
      </c>
      <c r="W418" s="284"/>
      <c r="X418" s="281"/>
      <c r="Y418" s="285">
        <f t="shared" si="90"/>
        <v>0</v>
      </c>
      <c r="Z418" s="278">
        <f>IFERROR(SUMIF($C:$C,$V418,F:F),0)</f>
        <v>0</v>
      </c>
      <c r="AA418" s="277"/>
      <c r="AB418" s="285"/>
      <c r="AC418" s="278"/>
      <c r="AD418" s="286"/>
      <c r="AE418" s="285">
        <f>IF(AF418=0,0,AF418/(J$13+J$13))</f>
        <v>0</v>
      </c>
      <c r="AF418" s="278">
        <f>IFERROR(SUMIF($C:$C,$V418,L:L),0)</f>
        <v>0</v>
      </c>
      <c r="AG418" s="279">
        <f t="shared" si="94"/>
        <v>0</v>
      </c>
      <c r="AH418" s="280">
        <f t="shared" si="94"/>
        <v>0</v>
      </c>
      <c r="AI418" s="281">
        <f t="shared" si="95"/>
        <v>0</v>
      </c>
      <c r="AJ418" s="286"/>
      <c r="AK418" s="280">
        <f t="shared" si="96"/>
        <v>0</v>
      </c>
      <c r="AL418" s="278">
        <f>IFERROR(SUMIF($C:$C,$V418,Q:Q),0)</f>
        <v>0</v>
      </c>
      <c r="AM418" s="282">
        <f>AE418-Y418</f>
        <v>0</v>
      </c>
      <c r="AN418" s="280">
        <f>AF418-AL418</f>
        <v>0</v>
      </c>
      <c r="AO418" s="287">
        <f t="shared" si="100"/>
        <v>0</v>
      </c>
      <c r="AP418" s="244"/>
      <c r="AQ418" s="244"/>
      <c r="AR418" s="13"/>
      <c r="AS418" s="244"/>
      <c r="AT418" s="244"/>
      <c r="AU418" s="470"/>
      <c r="AV418" s="470"/>
      <c r="AW418" s="470"/>
      <c r="AX418" s="470"/>
      <c r="AY418" s="470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</row>
    <row r="419" spans="1:61" ht="20.25" hidden="1" customHeight="1">
      <c r="A419" t="str">
        <f t="shared" si="89"/>
        <v>[...]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4"/>
      <c r="U419" s="244"/>
      <c r="V419" s="102" t="s">
        <v>19</v>
      </c>
      <c r="W419" s="284" t="s">
        <v>134</v>
      </c>
      <c r="X419" s="277"/>
      <c r="Y419" s="285">
        <f t="shared" si="90"/>
        <v>0</v>
      </c>
      <c r="Z419" s="278">
        <f>IFERROR(SUMIF($C:$C,$V419,F:F),0)</f>
        <v>0</v>
      </c>
      <c r="AA419" s="277"/>
      <c r="AB419" s="285"/>
      <c r="AC419" s="278"/>
      <c r="AD419" s="286"/>
      <c r="AE419" s="285">
        <f>IF(AF419=0,0,AF419/(J$13+J$13))</f>
        <v>0</v>
      </c>
      <c r="AF419" s="278">
        <f>IFERROR(SUMIF($C:$C,$V419,L:L),0)</f>
        <v>0</v>
      </c>
      <c r="AG419" s="279">
        <f t="shared" si="94"/>
        <v>0</v>
      </c>
      <c r="AH419" s="280">
        <f t="shared" si="94"/>
        <v>0</v>
      </c>
      <c r="AI419" s="281">
        <f t="shared" si="95"/>
        <v>0</v>
      </c>
      <c r="AJ419" s="286"/>
      <c r="AK419" s="280">
        <f t="shared" si="96"/>
        <v>0</v>
      </c>
      <c r="AL419" s="278">
        <f>IFERROR(SUMIF($C:$C,$V419,Q:Q),0)</f>
        <v>0</v>
      </c>
      <c r="AM419" s="282">
        <f>AE419-Y419</f>
        <v>0</v>
      </c>
      <c r="AN419" s="280">
        <f>AF419-AL419</f>
        <v>0</v>
      </c>
      <c r="AO419" s="287">
        <f t="shared" si="100"/>
        <v>0</v>
      </c>
      <c r="AP419" s="244"/>
      <c r="AQ419" s="244"/>
      <c r="AR419" s="13"/>
      <c r="AS419" s="244"/>
      <c r="AT419" s="244"/>
      <c r="AU419" s="470"/>
      <c r="AV419" s="470"/>
      <c r="AW419" s="470"/>
      <c r="AX419" s="470"/>
      <c r="AY419" s="470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</row>
    <row r="420" spans="1:61" ht="20.399999999999999">
      <c r="A420" t="str">
        <f t="shared" si="89"/>
        <v>TOTAL VARIABLES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44"/>
      <c r="U420" s="244"/>
      <c r="V420" s="294" t="s">
        <v>37</v>
      </c>
      <c r="W420" s="295"/>
      <c r="X420" s="296">
        <f>Z420/Z408</f>
        <v>0.23364029694005081</v>
      </c>
      <c r="Y420" s="295"/>
      <c r="Z420" s="297">
        <f>SUM(Z410:Z419)</f>
        <v>107555.58224420583</v>
      </c>
      <c r="AA420" s="296"/>
      <c r="AB420" s="295"/>
      <c r="AC420" s="297"/>
      <c r="AD420" s="298">
        <f>AF420/AF408</f>
        <v>0.24836132079964079</v>
      </c>
      <c r="AE420" s="295"/>
      <c r="AF420" s="297">
        <f>SUM(AF410:AF419)</f>
        <v>112968.93</v>
      </c>
      <c r="AG420" s="299"/>
      <c r="AH420" s="300">
        <f t="shared" si="94"/>
        <v>5413.347755794166</v>
      </c>
      <c r="AI420" s="296">
        <f>AH420/Z420</f>
        <v>5.0330700116551046E-2</v>
      </c>
      <c r="AJ420" s="298">
        <f>IF($AL$408=0,0,AL420/$AL$408)</f>
        <v>0.24897774500034189</v>
      </c>
      <c r="AK420" s="295"/>
      <c r="AL420" s="297">
        <f>SUM(AL410:AL419)</f>
        <v>95304.61</v>
      </c>
      <c r="AM420" s="301"/>
      <c r="AN420" s="300">
        <f t="shared" ref="AN420:AN432" si="101">AF420-AL420</f>
        <v>17664.319999999992</v>
      </c>
      <c r="AO420" s="275">
        <f t="shared" si="100"/>
        <v>0.18534591348729082</v>
      </c>
      <c r="AP420" s="244"/>
      <c r="AQ420" s="244"/>
      <c r="AR420" s="13"/>
      <c r="AS420" s="244"/>
      <c r="AT420" s="244"/>
      <c r="AU420" s="470"/>
      <c r="AV420" s="470"/>
      <c r="AW420" s="470"/>
      <c r="AX420" s="470"/>
      <c r="AY420" s="470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</row>
    <row r="421" spans="1:61" ht="17.399999999999999">
      <c r="A421" t="str">
        <f t="shared" si="89"/>
        <v>Salaires propriétaire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2"/>
      <c r="P421" s="154"/>
      <c r="Q421" s="10"/>
      <c r="R421" s="10"/>
      <c r="S421" s="10"/>
      <c r="T421" s="244"/>
      <c r="U421" s="244"/>
      <c r="V421" s="102" t="s">
        <v>135</v>
      </c>
      <c r="W421" s="284" t="s">
        <v>137</v>
      </c>
      <c r="X421" s="277"/>
      <c r="Y421" s="277"/>
      <c r="Z421" s="278">
        <v>16247.126436781609</v>
      </c>
      <c r="AA421" s="277"/>
      <c r="AB421" s="277"/>
      <c r="AC421" s="278"/>
      <c r="AD421" s="286"/>
      <c r="AE421" s="285"/>
      <c r="AF421" s="278">
        <v>9603.9</v>
      </c>
      <c r="AG421" s="279"/>
      <c r="AH421" s="280">
        <f t="shared" si="94"/>
        <v>-6643.2264367816097</v>
      </c>
      <c r="AI421" s="281">
        <f t="shared" ref="AI421:AI433" si="102">IF(Z421=0,0,AH421/Z421)</f>
        <v>-0.40888623983020872</v>
      </c>
      <c r="AJ421" s="286"/>
      <c r="AK421" s="277"/>
      <c r="AL421" s="278">
        <v>12500.18</v>
      </c>
      <c r="AM421" s="282"/>
      <c r="AN421" s="280">
        <f t="shared" si="101"/>
        <v>-2896.2800000000007</v>
      </c>
      <c r="AO421" s="287">
        <f t="shared" si="100"/>
        <v>-0.23169906353348516</v>
      </c>
      <c r="AP421" s="244"/>
      <c r="AQ421" s="244"/>
      <c r="AS421" s="244"/>
      <c r="AT421" s="244"/>
      <c r="AU421" s="470"/>
      <c r="AV421" s="470"/>
      <c r="AW421" s="470"/>
      <c r="AX421" s="470"/>
      <c r="AY421" s="470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</row>
    <row r="422" spans="1:61" ht="17.399999999999999">
      <c r="A422" t="str">
        <f t="shared" si="89"/>
        <v>Salaires cadres</v>
      </c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02"/>
      <c r="P422" s="154"/>
      <c r="Q422" s="10"/>
      <c r="R422" s="10"/>
      <c r="S422" s="10"/>
      <c r="T422" s="244"/>
      <c r="U422" s="244"/>
      <c r="V422" s="102" t="s">
        <v>40</v>
      </c>
      <c r="W422" s="284" t="s">
        <v>140</v>
      </c>
      <c r="X422" s="277"/>
      <c r="Y422" s="277"/>
      <c r="Z422" s="278">
        <f t="shared" ref="Z422:Z432" si="103">+SUMIF($C:$C,$V422,F:F)</f>
        <v>32860.989152642229</v>
      </c>
      <c r="AA422" s="277"/>
      <c r="AB422" s="277"/>
      <c r="AC422" s="278"/>
      <c r="AD422" s="286"/>
      <c r="AE422" s="285"/>
      <c r="AF422" s="278">
        <f t="shared" ref="AF422:AF433" si="104">+SUMIF($C:$C,$V422,L:L)</f>
        <v>30026.66</v>
      </c>
      <c r="AG422" s="279"/>
      <c r="AH422" s="280">
        <f t="shared" si="94"/>
        <v>-2834.329152642229</v>
      </c>
      <c r="AI422" s="281">
        <f t="shared" si="102"/>
        <v>-8.625209483124556E-2</v>
      </c>
      <c r="AJ422" s="286"/>
      <c r="AK422" s="277"/>
      <c r="AL422" s="278">
        <f t="shared" ref="AL422:AL430" si="105">+SUMIF($C:$C,$V422,Q:Q)</f>
        <v>32100.7</v>
      </c>
      <c r="AM422" s="282"/>
      <c r="AN422" s="280">
        <f t="shared" si="101"/>
        <v>-2074.0400000000009</v>
      </c>
      <c r="AO422" s="287">
        <f t="shared" si="100"/>
        <v>-6.461042905606422E-2</v>
      </c>
      <c r="AP422" s="244"/>
      <c r="AQ422" s="244"/>
      <c r="AR422" s="437"/>
      <c r="AS422" s="244"/>
      <c r="AT422" s="244"/>
      <c r="AU422" s="470"/>
      <c r="AV422" s="470"/>
      <c r="AW422" s="470"/>
      <c r="AX422" s="470"/>
      <c r="AY422" s="470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</row>
    <row r="423" spans="1:61" ht="17.399999999999999">
      <c r="A423" t="str">
        <f t="shared" si="89"/>
        <v>Salaires commis</v>
      </c>
      <c r="B423" s="7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303"/>
      <c r="P423" s="154"/>
      <c r="Q423" s="244"/>
      <c r="R423" s="244"/>
      <c r="S423" s="244"/>
      <c r="T423" s="244"/>
      <c r="U423" s="244"/>
      <c r="V423" s="103" t="s">
        <v>41</v>
      </c>
      <c r="W423" s="288" t="s">
        <v>138</v>
      </c>
      <c r="X423" s="261"/>
      <c r="Y423" s="261"/>
      <c r="Z423" s="262">
        <f t="shared" si="103"/>
        <v>14141.770935877239</v>
      </c>
      <c r="AA423" s="261"/>
      <c r="AB423" s="261"/>
      <c r="AC423" s="262"/>
      <c r="AD423" s="290"/>
      <c r="AE423" s="289"/>
      <c r="AF423" s="262">
        <f t="shared" si="104"/>
        <v>8201.18</v>
      </c>
      <c r="AG423" s="263"/>
      <c r="AH423" s="264">
        <f t="shared" si="94"/>
        <v>-5940.5909358772387</v>
      </c>
      <c r="AI423" s="291">
        <f t="shared" si="102"/>
        <v>-0.42007404608754778</v>
      </c>
      <c r="AJ423" s="290"/>
      <c r="AK423" s="261"/>
      <c r="AL423" s="262">
        <f t="shared" si="105"/>
        <v>19887.690000000002</v>
      </c>
      <c r="AM423" s="266"/>
      <c r="AN423" s="264">
        <f t="shared" si="101"/>
        <v>-11686.510000000002</v>
      </c>
      <c r="AO423" s="267">
        <f t="shared" si="100"/>
        <v>-0.58762530992790019</v>
      </c>
      <c r="AP423" s="244"/>
      <c r="AQ423" s="244"/>
      <c r="AR423" s="437"/>
      <c r="AS423" s="244"/>
      <c r="AT423" s="244"/>
      <c r="AU423" s="470"/>
      <c r="AV423" s="470"/>
      <c r="AW423" s="470"/>
      <c r="AX423" s="470"/>
      <c r="AY423" s="470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</row>
    <row r="424" spans="1:61" ht="17.399999999999999">
      <c r="A424" t="str">
        <f t="shared" si="89"/>
        <v>Salaires autres</v>
      </c>
      <c r="B424" s="7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303"/>
      <c r="P424" s="154"/>
      <c r="Q424" s="244"/>
      <c r="R424" s="244"/>
      <c r="S424" s="244"/>
      <c r="T424" s="244"/>
      <c r="U424" s="244"/>
      <c r="V424" s="102" t="s">
        <v>42</v>
      </c>
      <c r="W424" s="284" t="s">
        <v>139</v>
      </c>
      <c r="X424" s="277"/>
      <c r="Y424" s="277"/>
      <c r="Z424" s="278">
        <f t="shared" si="103"/>
        <v>31483.971342438854</v>
      </c>
      <c r="AA424" s="277"/>
      <c r="AB424" s="277"/>
      <c r="AC424" s="278"/>
      <c r="AD424" s="286"/>
      <c r="AE424" s="285"/>
      <c r="AF424" s="278">
        <f t="shared" si="104"/>
        <v>28076.059999999998</v>
      </c>
      <c r="AG424" s="279"/>
      <c r="AH424" s="280">
        <f t="shared" si="94"/>
        <v>-3407.9113424388561</v>
      </c>
      <c r="AI424" s="281">
        <f t="shared" si="102"/>
        <v>-0.10824274057971708</v>
      </c>
      <c r="AJ424" s="286"/>
      <c r="AK424" s="277"/>
      <c r="AL424" s="278">
        <f t="shared" si="105"/>
        <v>21364.25</v>
      </c>
      <c r="AM424" s="282"/>
      <c r="AN424" s="280">
        <f t="shared" si="101"/>
        <v>6711.8099999999977</v>
      </c>
      <c r="AO424" s="287">
        <f t="shared" si="100"/>
        <v>0.31416080601940144</v>
      </c>
      <c r="AP424" s="244"/>
      <c r="AQ424" s="244"/>
      <c r="AS424" s="244"/>
      <c r="AT424" s="244"/>
      <c r="AU424" s="470"/>
      <c r="AV424" s="470"/>
      <c r="AW424" s="470"/>
      <c r="AX424" s="470"/>
      <c r="AY424" s="470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</row>
    <row r="425" spans="1:61" ht="17.399999999999999">
      <c r="A425" t="str">
        <f t="shared" si="89"/>
        <v>Salaires spécialistes</v>
      </c>
      <c r="B425" s="7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303"/>
      <c r="P425" s="154"/>
      <c r="Q425" s="244"/>
      <c r="R425" s="244"/>
      <c r="S425" s="244"/>
      <c r="T425" s="244"/>
      <c r="U425" s="244"/>
      <c r="V425" s="102" t="s">
        <v>43</v>
      </c>
      <c r="W425" s="284" t="s">
        <v>223</v>
      </c>
      <c r="X425" s="277"/>
      <c r="Y425" s="277"/>
      <c r="Z425" s="278">
        <f t="shared" si="103"/>
        <v>15048.540229885057</v>
      </c>
      <c r="AA425" s="277"/>
      <c r="AB425" s="277"/>
      <c r="AC425" s="278"/>
      <c r="AD425" s="286"/>
      <c r="AE425" s="285"/>
      <c r="AF425" s="278">
        <f t="shared" si="104"/>
        <v>11464.31</v>
      </c>
      <c r="AG425" s="279"/>
      <c r="AH425" s="280">
        <f t="shared" si="94"/>
        <v>-3584.2302298850573</v>
      </c>
      <c r="AI425" s="281">
        <f t="shared" si="102"/>
        <v>-0.23817793454591005</v>
      </c>
      <c r="AJ425" s="286"/>
      <c r="AK425" s="277"/>
      <c r="AL425" s="278">
        <f t="shared" si="105"/>
        <v>13870.82</v>
      </c>
      <c r="AM425" s="282"/>
      <c r="AN425" s="280">
        <f t="shared" si="101"/>
        <v>-2406.5100000000002</v>
      </c>
      <c r="AO425" s="287">
        <f t="shared" si="100"/>
        <v>-0.17349442931275874</v>
      </c>
      <c r="AP425" s="244"/>
      <c r="AQ425" s="244"/>
      <c r="AS425" s="470"/>
      <c r="AT425" s="470"/>
      <c r="AU425" s="470"/>
      <c r="AV425" s="470"/>
      <c r="AW425" s="470"/>
      <c r="AX425" s="470"/>
      <c r="AY425" s="470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</row>
    <row r="426" spans="1:61" ht="18" hidden="1" customHeight="1">
      <c r="A426" t="str">
        <f t="shared" si="89"/>
        <v>[...]</v>
      </c>
      <c r="B426" s="7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303"/>
      <c r="P426" s="154"/>
      <c r="Q426" s="244"/>
      <c r="R426" s="244"/>
      <c r="S426" s="244"/>
      <c r="T426" s="244"/>
      <c r="U426" s="244"/>
      <c r="V426" s="102" t="s">
        <v>19</v>
      </c>
      <c r="W426" s="284"/>
      <c r="X426" s="277"/>
      <c r="Y426" s="277"/>
      <c r="Z426" s="280">
        <f t="shared" si="103"/>
        <v>0</v>
      </c>
      <c r="AA426" s="277"/>
      <c r="AB426" s="277"/>
      <c r="AC426" s="280"/>
      <c r="AD426" s="286"/>
      <c r="AE426" s="285"/>
      <c r="AF426" s="278">
        <f t="shared" si="104"/>
        <v>0</v>
      </c>
      <c r="AG426" s="279"/>
      <c r="AH426" s="280">
        <f t="shared" ref="AH426:AH452" si="106">AF426-Z426</f>
        <v>0</v>
      </c>
      <c r="AI426" s="281">
        <f t="shared" si="102"/>
        <v>0</v>
      </c>
      <c r="AJ426" s="286"/>
      <c r="AK426" s="277"/>
      <c r="AL426" s="278">
        <f t="shared" si="105"/>
        <v>0</v>
      </c>
      <c r="AM426" s="282"/>
      <c r="AN426" s="280">
        <f t="shared" si="101"/>
        <v>0</v>
      </c>
      <c r="AO426" s="287">
        <f t="shared" si="100"/>
        <v>0</v>
      </c>
      <c r="AP426" s="244"/>
      <c r="AQ426" s="244"/>
      <c r="AR426" s="437"/>
      <c r="AS426" s="470"/>
      <c r="AT426" s="470"/>
      <c r="AU426" s="470"/>
      <c r="AV426" s="470"/>
      <c r="AW426" s="470"/>
      <c r="AX426" s="470"/>
      <c r="AY426" s="470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</row>
    <row r="427" spans="1:61" ht="18" hidden="1" customHeight="1">
      <c r="A427" t="str">
        <f t="shared" si="89"/>
        <v>[...]</v>
      </c>
      <c r="B427" s="7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303"/>
      <c r="P427" s="154"/>
      <c r="Q427" s="244"/>
      <c r="R427" s="244"/>
      <c r="S427" s="244"/>
      <c r="T427" s="244"/>
      <c r="U427" s="244"/>
      <c r="V427" s="102" t="s">
        <v>19</v>
      </c>
      <c r="W427" s="284"/>
      <c r="X427" s="277"/>
      <c r="Y427" s="277"/>
      <c r="Z427" s="280">
        <f t="shared" si="103"/>
        <v>0</v>
      </c>
      <c r="AA427" s="277"/>
      <c r="AB427" s="277"/>
      <c r="AC427" s="280"/>
      <c r="AD427" s="286"/>
      <c r="AE427" s="285"/>
      <c r="AF427" s="278">
        <f t="shared" si="104"/>
        <v>0</v>
      </c>
      <c r="AG427" s="279"/>
      <c r="AH427" s="280">
        <f t="shared" si="106"/>
        <v>0</v>
      </c>
      <c r="AI427" s="281">
        <f t="shared" si="102"/>
        <v>0</v>
      </c>
      <c r="AJ427" s="286"/>
      <c r="AK427" s="277"/>
      <c r="AL427" s="278">
        <f t="shared" si="105"/>
        <v>0</v>
      </c>
      <c r="AM427" s="282"/>
      <c r="AN427" s="280">
        <f t="shared" si="101"/>
        <v>0</v>
      </c>
      <c r="AO427" s="287">
        <f t="shared" si="100"/>
        <v>0</v>
      </c>
      <c r="AP427" s="244"/>
      <c r="AQ427" s="244"/>
      <c r="AS427" s="470"/>
      <c r="AT427" s="470"/>
      <c r="AU427" s="470"/>
      <c r="AV427" s="470"/>
      <c r="AW427" s="470"/>
      <c r="AX427" s="470"/>
      <c r="AY427" s="470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</row>
    <row r="428" spans="1:61" ht="18" hidden="1" customHeight="1">
      <c r="A428" t="str">
        <f t="shared" si="89"/>
        <v>[...]</v>
      </c>
      <c r="B428" s="7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303"/>
      <c r="P428" s="154"/>
      <c r="Q428" s="244"/>
      <c r="R428" s="244"/>
      <c r="S428" s="244"/>
      <c r="T428" s="244"/>
      <c r="U428" s="244"/>
      <c r="V428" s="102" t="s">
        <v>19</v>
      </c>
      <c r="W428" s="284"/>
      <c r="X428" s="277"/>
      <c r="Y428" s="277"/>
      <c r="Z428" s="280">
        <f t="shared" si="103"/>
        <v>0</v>
      </c>
      <c r="AA428" s="277"/>
      <c r="AB428" s="277"/>
      <c r="AC428" s="280"/>
      <c r="AD428" s="286"/>
      <c r="AE428" s="285"/>
      <c r="AF428" s="278">
        <f t="shared" si="104"/>
        <v>0</v>
      </c>
      <c r="AG428" s="279"/>
      <c r="AH428" s="280">
        <f t="shared" si="106"/>
        <v>0</v>
      </c>
      <c r="AI428" s="281">
        <f t="shared" si="102"/>
        <v>0</v>
      </c>
      <c r="AJ428" s="286"/>
      <c r="AK428" s="277"/>
      <c r="AL428" s="278">
        <f t="shared" si="105"/>
        <v>0</v>
      </c>
      <c r="AM428" s="282"/>
      <c r="AN428" s="280">
        <f t="shared" si="101"/>
        <v>0</v>
      </c>
      <c r="AO428" s="287">
        <f t="shared" si="100"/>
        <v>0</v>
      </c>
      <c r="AP428" s="244"/>
      <c r="AQ428" s="244"/>
      <c r="AS428" s="470"/>
      <c r="AT428" s="470"/>
      <c r="AU428" s="470"/>
      <c r="AV428" s="470"/>
      <c r="AW428" s="470"/>
      <c r="AX428" s="470"/>
      <c r="AY428" s="470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</row>
    <row r="429" spans="1:61" ht="17.399999999999999">
      <c r="A429" t="str">
        <f t="shared" si="89"/>
        <v>Salaires en absences</v>
      </c>
      <c r="B429" s="7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303"/>
      <c r="P429" s="154"/>
      <c r="Q429" s="244"/>
      <c r="R429" s="244"/>
      <c r="S429" s="244"/>
      <c r="T429" s="244"/>
      <c r="U429" s="244"/>
      <c r="V429" s="103" t="s">
        <v>44</v>
      </c>
      <c r="W429" s="288" t="s">
        <v>141</v>
      </c>
      <c r="X429" s="261"/>
      <c r="Y429" s="261"/>
      <c r="Z429" s="262">
        <f t="shared" si="103"/>
        <v>22147.835818209936</v>
      </c>
      <c r="AA429" s="261"/>
      <c r="AB429" s="261"/>
      <c r="AC429" s="262"/>
      <c r="AD429" s="290"/>
      <c r="AE429" s="289"/>
      <c r="AF429" s="262">
        <f t="shared" si="104"/>
        <v>17913.64</v>
      </c>
      <c r="AG429" s="263"/>
      <c r="AH429" s="264">
        <f t="shared" si="106"/>
        <v>-4234.195818209937</v>
      </c>
      <c r="AI429" s="291">
        <f t="shared" si="102"/>
        <v>-0.19117876134554798</v>
      </c>
      <c r="AJ429" s="290"/>
      <c r="AK429" s="261"/>
      <c r="AL429" s="262">
        <f t="shared" si="105"/>
        <v>19758.939999999999</v>
      </c>
      <c r="AM429" s="266"/>
      <c r="AN429" s="264">
        <f t="shared" si="101"/>
        <v>-1845.2999999999993</v>
      </c>
      <c r="AO429" s="292">
        <f t="shared" si="100"/>
        <v>-9.3390637352003675E-2</v>
      </c>
      <c r="AP429" s="470"/>
      <c r="AQ429" s="478"/>
      <c r="AR429" s="478"/>
      <c r="AS429" s="470"/>
      <c r="AT429" s="470"/>
      <c r="AU429" s="470"/>
      <c r="AV429" s="470"/>
      <c r="AW429" s="470"/>
      <c r="AX429" s="470"/>
      <c r="AY429" s="470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</row>
    <row r="430" spans="1:61" ht="17.399999999999999">
      <c r="A430" t="str">
        <f t="shared" si="89"/>
        <v>Déduction à la source</v>
      </c>
      <c r="B430" s="7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303"/>
      <c r="P430" s="154"/>
      <c r="Q430" s="244"/>
      <c r="R430" s="244"/>
      <c r="S430" s="244"/>
      <c r="T430" s="244"/>
      <c r="U430" s="244"/>
      <c r="V430" s="102" t="s">
        <v>45</v>
      </c>
      <c r="W430" s="284" t="s">
        <v>142</v>
      </c>
      <c r="X430" s="277"/>
      <c r="Y430" s="277"/>
      <c r="Z430" s="278">
        <f t="shared" si="103"/>
        <v>28541.025538930327</v>
      </c>
      <c r="AA430" s="277"/>
      <c r="AB430" s="277"/>
      <c r="AC430" s="278"/>
      <c r="AD430" s="286"/>
      <c r="AE430" s="285"/>
      <c r="AF430" s="278">
        <f t="shared" si="104"/>
        <v>23376.769999999997</v>
      </c>
      <c r="AG430" s="279"/>
      <c r="AH430" s="280">
        <f t="shared" si="106"/>
        <v>-5164.2555389303307</v>
      </c>
      <c r="AI430" s="281">
        <f>IF(Z430=0,0,AH430/Z430)</f>
        <v>-0.18094148480706201</v>
      </c>
      <c r="AJ430" s="286"/>
      <c r="AK430" s="277"/>
      <c r="AL430" s="278">
        <f t="shared" si="105"/>
        <v>27417.38</v>
      </c>
      <c r="AM430" s="282"/>
      <c r="AN430" s="280">
        <f t="shared" si="101"/>
        <v>-4040.6100000000042</v>
      </c>
      <c r="AO430" s="287">
        <f t="shared" si="100"/>
        <v>-0.14737403792776713</v>
      </c>
      <c r="AP430" s="470"/>
      <c r="AQ430" s="469"/>
      <c r="AR430" s="469"/>
      <c r="AS430" s="470"/>
      <c r="AT430" s="470"/>
      <c r="AU430" s="470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</row>
    <row r="431" spans="1:61" ht="17.399999999999999">
      <c r="A431" t="str">
        <f t="shared" si="89"/>
        <v>Bénéfices marginaux</v>
      </c>
      <c r="B431" s="7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303"/>
      <c r="P431" s="154"/>
      <c r="Q431" s="244"/>
      <c r="R431" s="244"/>
      <c r="S431" s="244"/>
      <c r="T431" s="244"/>
      <c r="U431" s="244"/>
      <c r="V431" s="102" t="s">
        <v>46</v>
      </c>
      <c r="W431" s="284" t="s">
        <v>224</v>
      </c>
      <c r="X431" s="277"/>
      <c r="Y431" s="277"/>
      <c r="Z431" s="278">
        <f t="shared" si="103"/>
        <v>20782.139714544537</v>
      </c>
      <c r="AA431" s="277"/>
      <c r="AB431" s="277"/>
      <c r="AC431" s="278"/>
      <c r="AD431" s="286"/>
      <c r="AE431" s="285"/>
      <c r="AF431" s="278">
        <f t="shared" si="104"/>
        <v>13859.11</v>
      </c>
      <c r="AG431" s="279"/>
      <c r="AH431" s="280">
        <f t="shared" si="106"/>
        <v>-6923.0297145445365</v>
      </c>
      <c r="AI431" s="281">
        <f t="shared" si="102"/>
        <v>-0.33312400982943069</v>
      </c>
      <c r="AJ431" s="286"/>
      <c r="AK431" s="277"/>
      <c r="AL431" s="278">
        <f>IFERROR(SUMIF($C:$C,$V431,Q:Q),0)</f>
        <v>15793.48</v>
      </c>
      <c r="AM431" s="282"/>
      <c r="AN431" s="280">
        <f t="shared" si="101"/>
        <v>-1934.369999999999</v>
      </c>
      <c r="AO431" s="287">
        <f t="shared" si="100"/>
        <v>-0.12247902298923347</v>
      </c>
      <c r="AP431" s="470"/>
      <c r="AQ431" s="469"/>
      <c r="AR431" s="469"/>
      <c r="AS431" s="470"/>
      <c r="AT431" s="470"/>
      <c r="AU431" s="470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</row>
    <row r="432" spans="1:61" ht="17.399999999999999">
      <c r="A432" t="str">
        <f t="shared" si="89"/>
        <v>Csst</v>
      </c>
      <c r="B432" s="7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303"/>
      <c r="P432" s="154"/>
      <c r="Q432" s="244"/>
      <c r="R432" s="244"/>
      <c r="S432" s="244"/>
      <c r="T432" s="244"/>
      <c r="U432" s="244"/>
      <c r="V432" s="102" t="s">
        <v>47</v>
      </c>
      <c r="W432" s="284" t="s">
        <v>225</v>
      </c>
      <c r="X432" s="277"/>
      <c r="Y432" s="277"/>
      <c r="Z432" s="278">
        <f t="shared" si="103"/>
        <v>5594.0410056303444</v>
      </c>
      <c r="AA432" s="277"/>
      <c r="AB432" s="277"/>
      <c r="AC432" s="278"/>
      <c r="AD432" s="286"/>
      <c r="AE432" s="285"/>
      <c r="AF432" s="278">
        <f t="shared" si="104"/>
        <v>2791.9900000000002</v>
      </c>
      <c r="AG432" s="279"/>
      <c r="AH432" s="280">
        <f t="shared" si="106"/>
        <v>-2802.0510056303442</v>
      </c>
      <c r="AI432" s="304">
        <f t="shared" si="102"/>
        <v>-0.50089926098326931</v>
      </c>
      <c r="AJ432" s="286"/>
      <c r="AK432" s="277"/>
      <c r="AL432" s="278">
        <f>IFERROR(SUMIF($C:$C,$V432,Q:Q),0)</f>
        <v>3496.05</v>
      </c>
      <c r="AM432" s="282"/>
      <c r="AN432" s="280">
        <f t="shared" si="101"/>
        <v>-704.06</v>
      </c>
      <c r="AO432" s="292">
        <f t="shared" si="100"/>
        <v>-0.20138727993020691</v>
      </c>
      <c r="AP432" s="470"/>
      <c r="AQ432" s="469"/>
      <c r="AR432" s="469"/>
      <c r="AS432" s="470"/>
      <c r="AT432" s="470"/>
      <c r="AU432" s="470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</row>
    <row r="433" spans="1:62" ht="18" hidden="1" customHeight="1">
      <c r="A433" t="str">
        <f t="shared" si="89"/>
        <v>[...]</v>
      </c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44"/>
      <c r="U433" s="244"/>
      <c r="V433" s="29" t="s">
        <v>19</v>
      </c>
      <c r="W433" s="284"/>
      <c r="X433" s="277"/>
      <c r="Y433" s="285"/>
      <c r="Z433" s="280">
        <f>IFERROR(SUMIF($C:$C,$V433,F:F),0)</f>
        <v>0</v>
      </c>
      <c r="AA433" s="277"/>
      <c r="AB433" s="277"/>
      <c r="AC433" s="280"/>
      <c r="AD433" s="286"/>
      <c r="AE433" s="285"/>
      <c r="AF433" s="278">
        <f t="shared" si="104"/>
        <v>0</v>
      </c>
      <c r="AG433" s="279"/>
      <c r="AH433" s="280">
        <f t="shared" si="106"/>
        <v>0</v>
      </c>
      <c r="AI433" s="281">
        <f t="shared" si="102"/>
        <v>0</v>
      </c>
      <c r="AJ433" s="286"/>
      <c r="AK433" s="277"/>
      <c r="AL433" s="278">
        <f>IFERROR(SUMIF($C:$C,$V433,Q:Q),0)</f>
        <v>0</v>
      </c>
      <c r="AM433" s="282"/>
      <c r="AN433" s="280"/>
      <c r="AO433" s="292"/>
      <c r="AP433" s="244"/>
      <c r="AQ433" s="244"/>
      <c r="AR433" s="469"/>
      <c r="AS433" s="470"/>
      <c r="AT433" s="470"/>
      <c r="AU433" s="470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</row>
    <row r="434" spans="1:62" ht="17.399999999999999">
      <c r="A434" t="str">
        <f t="shared" si="89"/>
        <v>TOTAL PERSONNEL</v>
      </c>
      <c r="B434" s="7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R434" s="244"/>
      <c r="S434" s="244"/>
      <c r="T434" s="244"/>
      <c r="U434" s="244"/>
      <c r="V434" s="294" t="s">
        <v>48</v>
      </c>
      <c r="W434" s="295"/>
      <c r="X434" s="296">
        <f>Z434/Z408</f>
        <v>0.40588401358696702</v>
      </c>
      <c r="Y434" s="295"/>
      <c r="Z434" s="297">
        <f>SUM(Z421:Z433)</f>
        <v>186847.4401749401</v>
      </c>
      <c r="AA434" s="296"/>
      <c r="AB434" s="295"/>
      <c r="AC434" s="297"/>
      <c r="AD434" s="298">
        <f>AF434/AF408</f>
        <v>0.3194708721537603</v>
      </c>
      <c r="AE434" s="305"/>
      <c r="AF434" s="297">
        <f>SUM(AF421:AF433)</f>
        <v>145313.62</v>
      </c>
      <c r="AG434" s="306"/>
      <c r="AH434" s="300">
        <f t="shared" si="106"/>
        <v>-41533.820174940105</v>
      </c>
      <c r="AI434" s="296">
        <f>AH434/Z434</f>
        <v>-0.22228733846207974</v>
      </c>
      <c r="AJ434" s="298">
        <f>IF($AL$408=0,0,AL434/$AL$408)</f>
        <v>0.43416036708986977</v>
      </c>
      <c r="AK434" s="295"/>
      <c r="AL434" s="297">
        <f>SUM(AL421:AL433)</f>
        <v>166189.49000000002</v>
      </c>
      <c r="AM434" s="307"/>
      <c r="AN434" s="300">
        <f t="shared" ref="AN434:AN448" si="107">AF434-AL434</f>
        <v>-20875.870000000024</v>
      </c>
      <c r="AO434" s="275">
        <f>IF(AL434=0,0,AN434/AL434)</f>
        <v>-0.12561486288934409</v>
      </c>
      <c r="AP434" s="244"/>
      <c r="AQ434" s="244"/>
      <c r="AR434" s="469"/>
      <c r="AS434" s="470"/>
      <c r="AT434" s="470"/>
      <c r="AU434" s="470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</row>
    <row r="435" spans="1:62" ht="17.399999999999999">
      <c r="A435" t="str">
        <f t="shared" si="89"/>
        <v>Publicité 2</v>
      </c>
      <c r="B435" s="7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308"/>
      <c r="S435" s="244"/>
      <c r="T435" s="244"/>
      <c r="U435" s="244"/>
      <c r="V435" s="210" t="s">
        <v>49</v>
      </c>
      <c r="W435" s="309" t="s">
        <v>226</v>
      </c>
      <c r="X435" s="310"/>
      <c r="Y435" s="310"/>
      <c r="Z435" s="311">
        <f t="shared" ref="Z435:Z449" si="108">+SUMIF($C:$C,$V435,F:F)</f>
        <v>2635.137026829851</v>
      </c>
      <c r="AA435" s="310"/>
      <c r="AB435" s="310"/>
      <c r="AC435" s="311"/>
      <c r="AD435" s="312"/>
      <c r="AE435" s="313"/>
      <c r="AF435" s="311">
        <f t="shared" ref="AF435:AF452" si="109">+SUMIF($C:$C,$V435,L:L)</f>
        <v>2325.92</v>
      </c>
      <c r="AG435" s="312"/>
      <c r="AH435" s="314">
        <f t="shared" si="106"/>
        <v>-309.21702682985097</v>
      </c>
      <c r="AI435" s="315">
        <f t="shared" ref="AI435:AI452" si="110">IF(Z435=0,0,AH435/Z435)</f>
        <v>-0.1173438131230118</v>
      </c>
      <c r="AJ435" s="312"/>
      <c r="AK435" s="310"/>
      <c r="AL435" s="311">
        <f t="shared" ref="AL435:AL449" si="111">+SUMIF($C:$C,$V435,Q:Q)</f>
        <v>7841.44</v>
      </c>
      <c r="AM435" s="316"/>
      <c r="AN435" s="314">
        <f t="shared" si="107"/>
        <v>-5515.5199999999995</v>
      </c>
      <c r="AO435" s="283">
        <f t="shared" ref="AO435:AO448" si="112">IF(AL435=0,0,AN435/AL435)</f>
        <v>-0.70338101165092126</v>
      </c>
      <c r="AP435" s="244"/>
      <c r="AQ435" s="244">
        <f>2176+150</f>
        <v>2326</v>
      </c>
      <c r="AR435" s="244"/>
      <c r="AS435" s="479"/>
      <c r="AT435" s="470"/>
      <c r="AU435" s="470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</row>
    <row r="436" spans="1:62" ht="17.399999999999999">
      <c r="A436" t="str">
        <f t="shared" si="89"/>
        <v>Service gratuit 2</v>
      </c>
      <c r="B436" s="7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Q436" s="308"/>
      <c r="S436" s="244"/>
      <c r="T436" s="244"/>
      <c r="U436" s="244"/>
      <c r="V436" s="102" t="s">
        <v>50</v>
      </c>
      <c r="W436" s="284" t="s">
        <v>148</v>
      </c>
      <c r="X436" s="277"/>
      <c r="Y436" s="277"/>
      <c r="Z436" s="278">
        <f t="shared" si="108"/>
        <v>4375</v>
      </c>
      <c r="AA436" s="277"/>
      <c r="AB436" s="277"/>
      <c r="AC436" s="278"/>
      <c r="AD436" s="286"/>
      <c r="AE436" s="285"/>
      <c r="AF436" s="278">
        <f t="shared" si="109"/>
        <v>1619.52</v>
      </c>
      <c r="AG436" s="279"/>
      <c r="AH436" s="280">
        <f t="shared" si="106"/>
        <v>-2755.48</v>
      </c>
      <c r="AI436" s="281">
        <f t="shared" si="110"/>
        <v>-0.62982400000000005</v>
      </c>
      <c r="AJ436" s="286"/>
      <c r="AK436" s="277"/>
      <c r="AL436" s="278">
        <f t="shared" si="111"/>
        <v>3624.7300000000005</v>
      </c>
      <c r="AM436" s="282"/>
      <c r="AN436" s="280">
        <f t="shared" si="107"/>
        <v>-2005.2100000000005</v>
      </c>
      <c r="AO436" s="287">
        <f t="shared" si="112"/>
        <v>-0.55320258336482997</v>
      </c>
      <c r="AP436" s="244"/>
      <c r="AQ436" s="244">
        <v>1620</v>
      </c>
      <c r="AR436" s="244"/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</row>
    <row r="437" spans="1:62" ht="17.399999999999999">
      <c r="A437" t="str">
        <f t="shared" si="89"/>
        <v>Frais véhicules de cie</v>
      </c>
      <c r="B437" s="7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308"/>
      <c r="S437" s="244"/>
      <c r="T437" s="244"/>
      <c r="U437" s="244"/>
      <c r="V437" s="103" t="s">
        <v>51</v>
      </c>
      <c r="W437" s="288" t="s">
        <v>227</v>
      </c>
      <c r="X437" s="261"/>
      <c r="Y437" s="261"/>
      <c r="Z437" s="262">
        <f t="shared" si="108"/>
        <v>15077</v>
      </c>
      <c r="AA437" s="261"/>
      <c r="AB437" s="261"/>
      <c r="AC437" s="262"/>
      <c r="AD437" s="290"/>
      <c r="AE437" s="289"/>
      <c r="AF437" s="262">
        <f t="shared" si="109"/>
        <v>13555.59</v>
      </c>
      <c r="AG437" s="263"/>
      <c r="AH437" s="264">
        <f t="shared" si="106"/>
        <v>-1521.4099999999999</v>
      </c>
      <c r="AI437" s="291">
        <f t="shared" si="110"/>
        <v>-0.1009093320952444</v>
      </c>
      <c r="AJ437" s="290"/>
      <c r="AK437" s="261"/>
      <c r="AL437" s="262">
        <f t="shared" si="111"/>
        <v>21230.83</v>
      </c>
      <c r="AM437" s="266"/>
      <c r="AN437" s="264">
        <f t="shared" si="107"/>
        <v>-7675.2400000000016</v>
      </c>
      <c r="AO437" s="267">
        <f t="shared" si="112"/>
        <v>-0.3615138927682055</v>
      </c>
      <c r="AP437" s="244"/>
      <c r="AQ437" s="480">
        <v>13556</v>
      </c>
      <c r="AR437" s="480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</row>
    <row r="438" spans="1:62" ht="17.399999999999999">
      <c r="A438" t="str">
        <f t="shared" si="89"/>
        <v>Informatique</v>
      </c>
      <c r="B438" s="7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308"/>
      <c r="S438" s="244"/>
      <c r="T438" s="244"/>
      <c r="U438" s="244"/>
      <c r="V438" s="102" t="s">
        <v>52</v>
      </c>
      <c r="W438" s="284" t="s">
        <v>228</v>
      </c>
      <c r="X438" s="277"/>
      <c r="Y438" s="277"/>
      <c r="Z438" s="278">
        <f t="shared" si="108"/>
        <v>22567.753333333334</v>
      </c>
      <c r="AA438" s="277"/>
      <c r="AB438" s="277"/>
      <c r="AC438" s="278"/>
      <c r="AD438" s="286"/>
      <c r="AE438" s="285"/>
      <c r="AF438" s="278">
        <f t="shared" si="109"/>
        <v>23480.29</v>
      </c>
      <c r="AG438" s="279"/>
      <c r="AH438" s="280">
        <f>AF438-Z438</f>
        <v>912.53666666666686</v>
      </c>
      <c r="AI438" s="281">
        <f t="shared" si="110"/>
        <v>4.0435423641343129E-2</v>
      </c>
      <c r="AJ438" s="286"/>
      <c r="AK438" s="277"/>
      <c r="AL438" s="278">
        <f t="shared" si="111"/>
        <v>15117.2</v>
      </c>
      <c r="AM438" s="282"/>
      <c r="AN438" s="280">
        <f t="shared" si="107"/>
        <v>8363.09</v>
      </c>
      <c r="AO438" s="287">
        <f t="shared" si="112"/>
        <v>0.55321686555711369</v>
      </c>
      <c r="AP438" s="480"/>
      <c r="AQ438" s="244">
        <f>17461+5905-585+700</f>
        <v>23481</v>
      </c>
      <c r="AR438" s="480"/>
      <c r="AS438" s="480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</row>
    <row r="439" spans="1:62" ht="17.399999999999999">
      <c r="A439" t="str">
        <f t="shared" si="89"/>
        <v>Frais de déplacement</v>
      </c>
      <c r="B439" s="7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308"/>
      <c r="S439" s="244"/>
      <c r="T439" s="244"/>
      <c r="U439" s="244"/>
      <c r="V439" s="102" t="s">
        <v>53</v>
      </c>
      <c r="W439" s="284" t="s">
        <v>229</v>
      </c>
      <c r="X439" s="277"/>
      <c r="Y439" s="277"/>
      <c r="Z439" s="278">
        <f t="shared" si="108"/>
        <v>4158.333333333333</v>
      </c>
      <c r="AA439" s="277"/>
      <c r="AB439" s="277"/>
      <c r="AC439" s="278"/>
      <c r="AD439" s="286"/>
      <c r="AE439" s="285"/>
      <c r="AF439" s="278">
        <f t="shared" si="109"/>
        <v>9019.0400000000009</v>
      </c>
      <c r="AG439" s="279"/>
      <c r="AH439" s="280">
        <f t="shared" si="106"/>
        <v>4860.7066666666678</v>
      </c>
      <c r="AI439" s="281">
        <f t="shared" si="110"/>
        <v>1.1689074148296597</v>
      </c>
      <c r="AJ439" s="286"/>
      <c r="AK439" s="277"/>
      <c r="AL439" s="278">
        <f t="shared" si="111"/>
        <v>1173.47</v>
      </c>
      <c r="AM439" s="282"/>
      <c r="AN439" s="280">
        <f t="shared" si="107"/>
        <v>7845.5700000000006</v>
      </c>
      <c r="AO439" s="287">
        <f t="shared" si="112"/>
        <v>6.6857865987200356</v>
      </c>
      <c r="AP439" s="480"/>
      <c r="AQ439" s="244">
        <f>5019+4000</f>
        <v>9019</v>
      </c>
      <c r="AR439" s="244"/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</row>
    <row r="440" spans="1:62" ht="17.399999999999999">
      <c r="A440" t="str">
        <f t="shared" si="89"/>
        <v>Services extérieurs</v>
      </c>
      <c r="B440" s="7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308"/>
      <c r="S440" s="244"/>
      <c r="T440" s="244"/>
      <c r="U440" s="244"/>
      <c r="V440" s="102" t="s">
        <v>54</v>
      </c>
      <c r="W440" s="284" t="s">
        <v>230</v>
      </c>
      <c r="X440" s="277"/>
      <c r="Y440" s="277"/>
      <c r="Z440" s="278">
        <f t="shared" si="108"/>
        <v>9088.7133333333331</v>
      </c>
      <c r="AA440" s="277"/>
      <c r="AB440" s="277"/>
      <c r="AC440" s="278"/>
      <c r="AD440" s="286"/>
      <c r="AE440" s="285"/>
      <c r="AF440" s="278">
        <f t="shared" si="109"/>
        <v>13826.75</v>
      </c>
      <c r="AG440" s="279"/>
      <c r="AH440" s="280">
        <f t="shared" si="106"/>
        <v>4738.0366666666669</v>
      </c>
      <c r="AI440" s="281">
        <f t="shared" si="110"/>
        <v>0.52130994706254719</v>
      </c>
      <c r="AJ440" s="286"/>
      <c r="AK440" s="277"/>
      <c r="AL440" s="278">
        <f t="shared" si="111"/>
        <v>7369.99</v>
      </c>
      <c r="AM440" s="282"/>
      <c r="AN440" s="280">
        <f t="shared" si="107"/>
        <v>6456.76</v>
      </c>
      <c r="AO440" s="287">
        <f t="shared" si="112"/>
        <v>0.87608802725648205</v>
      </c>
      <c r="AP440" s="244"/>
      <c r="AQ440" s="480">
        <v>13827</v>
      </c>
      <c r="AR440" s="480" t="s">
        <v>264</v>
      </c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</row>
    <row r="441" spans="1:62" ht="18" hidden="1" customHeight="1">
      <c r="B441" s="7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308"/>
      <c r="S441" s="244"/>
      <c r="T441" s="244"/>
      <c r="U441" s="244"/>
      <c r="V441" s="211" t="s">
        <v>93</v>
      </c>
      <c r="W441" s="317"/>
      <c r="X441" s="318"/>
      <c r="Y441" s="318"/>
      <c r="Z441" s="319">
        <f t="shared" si="108"/>
        <v>0</v>
      </c>
      <c r="AA441" s="318"/>
      <c r="AB441" s="318"/>
      <c r="AC441" s="319"/>
      <c r="AD441" s="320"/>
      <c r="AE441" s="321"/>
      <c r="AF441" s="498">
        <f t="shared" si="109"/>
        <v>0</v>
      </c>
      <c r="AG441" s="322"/>
      <c r="AH441" s="323">
        <f t="shared" si="106"/>
        <v>0</v>
      </c>
      <c r="AI441" s="324">
        <f t="shared" si="110"/>
        <v>0</v>
      </c>
      <c r="AJ441" s="320"/>
      <c r="AK441" s="318"/>
      <c r="AL441" s="319">
        <f t="shared" si="111"/>
        <v>0</v>
      </c>
      <c r="AM441" s="325"/>
      <c r="AN441" s="323">
        <f>AF441-AL441</f>
        <v>0</v>
      </c>
      <c r="AO441" s="326">
        <f>IF(AL441=0,0,AN441/AL441)</f>
        <v>0</v>
      </c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</row>
    <row r="442" spans="1:62" ht="17.399999999999999">
      <c r="A442" t="str">
        <f t="shared" si="89"/>
        <v>Fournitures autres</v>
      </c>
      <c r="B442" s="7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327"/>
      <c r="Q442" s="308"/>
      <c r="R442" s="244"/>
      <c r="S442" s="244"/>
      <c r="T442" s="244"/>
      <c r="U442" s="244"/>
      <c r="V442" s="102" t="s">
        <v>55</v>
      </c>
      <c r="W442" s="284" t="s">
        <v>149</v>
      </c>
      <c r="X442" s="277"/>
      <c r="Y442" s="285"/>
      <c r="Z442" s="278">
        <f t="shared" si="108"/>
        <v>3353.75</v>
      </c>
      <c r="AA442" s="277"/>
      <c r="AB442" s="285"/>
      <c r="AC442" s="278"/>
      <c r="AD442" s="286"/>
      <c r="AE442" s="285"/>
      <c r="AF442" s="278">
        <f t="shared" si="109"/>
        <v>1961.98</v>
      </c>
      <c r="AG442" s="279"/>
      <c r="AH442" s="280">
        <f t="shared" si="106"/>
        <v>-1391.77</v>
      </c>
      <c r="AI442" s="281">
        <f t="shared" si="110"/>
        <v>-0.41498919120387623</v>
      </c>
      <c r="AJ442" s="286"/>
      <c r="AK442" s="277"/>
      <c r="AL442" s="278">
        <f t="shared" si="111"/>
        <v>3505.9</v>
      </c>
      <c r="AM442" s="282"/>
      <c r="AN442" s="280">
        <f t="shared" si="107"/>
        <v>-1543.92</v>
      </c>
      <c r="AO442" s="287">
        <f t="shared" si="112"/>
        <v>-0.44037764910579308</v>
      </c>
      <c r="AP442" s="244"/>
      <c r="AQ442" s="244">
        <v>1962</v>
      </c>
      <c r="AR442" s="480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</row>
    <row r="443" spans="1:62" ht="17.399999999999999">
      <c r="A443" t="str">
        <f t="shared" si="89"/>
        <v>Uniformes</v>
      </c>
      <c r="B443" s="7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Q443" s="308"/>
      <c r="S443" s="244"/>
      <c r="T443" s="244"/>
      <c r="U443" s="244"/>
      <c r="V443" s="102" t="s">
        <v>56</v>
      </c>
      <c r="W443" s="284" t="s">
        <v>145</v>
      </c>
      <c r="X443" s="277"/>
      <c r="Y443" s="277"/>
      <c r="Z443" s="278">
        <f t="shared" si="108"/>
        <v>1400</v>
      </c>
      <c r="AA443" s="277"/>
      <c r="AB443" s="277"/>
      <c r="AC443" s="278"/>
      <c r="AD443" s="286"/>
      <c r="AE443" s="285"/>
      <c r="AF443" s="278">
        <f t="shared" si="109"/>
        <v>726</v>
      </c>
      <c r="AG443" s="279"/>
      <c r="AH443" s="280">
        <f t="shared" si="106"/>
        <v>-674</v>
      </c>
      <c r="AI443" s="304">
        <f t="shared" si="110"/>
        <v>-0.48142857142857143</v>
      </c>
      <c r="AJ443" s="286"/>
      <c r="AK443" s="277"/>
      <c r="AL443" s="278">
        <f t="shared" si="111"/>
        <v>459.52</v>
      </c>
      <c r="AM443" s="282"/>
      <c r="AN443" s="280">
        <f t="shared" si="107"/>
        <v>266.48</v>
      </c>
      <c r="AO443" s="287">
        <f t="shared" si="112"/>
        <v>0.57990947075208921</v>
      </c>
      <c r="AP443" s="244"/>
      <c r="AQ443" s="244">
        <f>526+200</f>
        <v>726</v>
      </c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</row>
    <row r="444" spans="1:62" ht="17.399999999999999">
      <c r="A444" t="str">
        <f>+U444&amp;V444</f>
        <v>Papeterie</v>
      </c>
      <c r="B444" s="7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327"/>
      <c r="Q444" s="308"/>
      <c r="R444" s="244"/>
      <c r="S444" s="244"/>
      <c r="T444" s="244"/>
      <c r="U444" s="244"/>
      <c r="V444" s="102" t="s">
        <v>57</v>
      </c>
      <c r="W444" s="284" t="s">
        <v>151</v>
      </c>
      <c r="X444" s="277"/>
      <c r="Y444" s="277"/>
      <c r="Z444" s="278">
        <f t="shared" si="108"/>
        <v>1450</v>
      </c>
      <c r="AA444" s="277"/>
      <c r="AB444" s="277"/>
      <c r="AC444" s="278"/>
      <c r="AD444" s="286"/>
      <c r="AE444" s="285"/>
      <c r="AF444" s="278">
        <f t="shared" si="109"/>
        <v>932.37</v>
      </c>
      <c r="AG444" s="279"/>
      <c r="AH444" s="280">
        <f t="shared" si="106"/>
        <v>-517.63</v>
      </c>
      <c r="AI444" s="281">
        <f t="shared" si="110"/>
        <v>-0.35698620689655169</v>
      </c>
      <c r="AJ444" s="286"/>
      <c r="AK444" s="277"/>
      <c r="AL444" s="278">
        <f t="shared" si="111"/>
        <v>2017.39</v>
      </c>
      <c r="AM444" s="282"/>
      <c r="AN444" s="280">
        <f t="shared" si="107"/>
        <v>-1085.02</v>
      </c>
      <c r="AO444" s="287">
        <f t="shared" si="112"/>
        <v>-0.53783353739237327</v>
      </c>
      <c r="AP444" s="244"/>
      <c r="AQ444" s="244">
        <f>6837-5905</f>
        <v>932</v>
      </c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</row>
    <row r="445" spans="1:62" ht="17.399999999999999">
      <c r="A445" t="str">
        <f t="shared" si="89"/>
        <v>Téléphone</v>
      </c>
      <c r="B445" s="7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308"/>
      <c r="S445" s="244"/>
      <c r="T445" s="244"/>
      <c r="U445" s="244"/>
      <c r="V445" s="102" t="s">
        <v>58</v>
      </c>
      <c r="W445" s="284" t="s">
        <v>231</v>
      </c>
      <c r="X445" s="277"/>
      <c r="Y445" s="277"/>
      <c r="Z445" s="278">
        <f t="shared" si="108"/>
        <v>449</v>
      </c>
      <c r="AA445" s="277"/>
      <c r="AB445" s="277"/>
      <c r="AC445" s="278"/>
      <c r="AD445" s="286"/>
      <c r="AE445" s="285"/>
      <c r="AF445" s="278">
        <f t="shared" si="109"/>
        <v>484.36</v>
      </c>
      <c r="AG445" s="279"/>
      <c r="AH445" s="280">
        <f t="shared" si="106"/>
        <v>35.360000000000014</v>
      </c>
      <c r="AI445" s="304">
        <f t="shared" si="110"/>
        <v>7.8752783964365289E-2</v>
      </c>
      <c r="AJ445" s="286"/>
      <c r="AK445" s="277"/>
      <c r="AL445" s="278">
        <f t="shared" si="111"/>
        <v>466.32000000000005</v>
      </c>
      <c r="AM445" s="282"/>
      <c r="AN445" s="280">
        <f t="shared" si="107"/>
        <v>18.039999999999964</v>
      </c>
      <c r="AO445" s="287">
        <f t="shared" si="112"/>
        <v>3.8685880940126871E-2</v>
      </c>
      <c r="AP445" s="244"/>
      <c r="AQ445" s="244">
        <v>484</v>
      </c>
      <c r="AR445" s="480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</row>
    <row r="446" spans="1:62" ht="17.399999999999999">
      <c r="A446" t="str">
        <f t="shared" si="89"/>
        <v>Frais postaux</v>
      </c>
      <c r="B446" s="7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308"/>
      <c r="S446" s="244"/>
      <c r="T446" s="244"/>
      <c r="U446" s="244"/>
      <c r="V446" s="102" t="s">
        <v>59</v>
      </c>
      <c r="W446" s="284" t="s">
        <v>232</v>
      </c>
      <c r="X446" s="277"/>
      <c r="Y446" s="277"/>
      <c r="Z446" s="278">
        <f t="shared" si="108"/>
        <v>2825</v>
      </c>
      <c r="AA446" s="277"/>
      <c r="AB446" s="277"/>
      <c r="AC446" s="278"/>
      <c r="AD446" s="286"/>
      <c r="AE446" s="285"/>
      <c r="AF446" s="278">
        <f t="shared" si="109"/>
        <v>1385.35</v>
      </c>
      <c r="AG446" s="279"/>
      <c r="AH446" s="280">
        <f t="shared" si="106"/>
        <v>-1439.65</v>
      </c>
      <c r="AI446" s="281">
        <f t="shared" si="110"/>
        <v>-0.50961061946902653</v>
      </c>
      <c r="AJ446" s="286"/>
      <c r="AK446" s="277"/>
      <c r="AL446" s="278">
        <f t="shared" si="111"/>
        <v>2485.7200000000003</v>
      </c>
      <c r="AM446" s="282"/>
      <c r="AN446" s="280">
        <f t="shared" si="107"/>
        <v>-1100.3700000000003</v>
      </c>
      <c r="AO446" s="287">
        <f t="shared" si="112"/>
        <v>-0.44267656855961263</v>
      </c>
      <c r="AP446" s="244"/>
      <c r="AQ446" s="244">
        <v>1385</v>
      </c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</row>
    <row r="447" spans="1:62" ht="17.399999999999999">
      <c r="A447" t="str">
        <f t="shared" si="89"/>
        <v>Divers</v>
      </c>
      <c r="B447" s="7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308"/>
      <c r="R447" s="244"/>
      <c r="S447" s="244"/>
      <c r="T447" s="244"/>
      <c r="U447" s="244"/>
      <c r="V447" s="102" t="s">
        <v>60</v>
      </c>
      <c r="W447" s="284" t="s">
        <v>233</v>
      </c>
      <c r="X447" s="277"/>
      <c r="Y447" s="285"/>
      <c r="Z447" s="278">
        <f t="shared" si="108"/>
        <v>1554.9999999999998</v>
      </c>
      <c r="AA447" s="277"/>
      <c r="AB447" s="285"/>
      <c r="AC447" s="278"/>
      <c r="AD447" s="286"/>
      <c r="AE447" s="285"/>
      <c r="AF447" s="278">
        <f t="shared" si="109"/>
        <v>1353.46</v>
      </c>
      <c r="AG447" s="279"/>
      <c r="AH447" s="280">
        <f t="shared" si="106"/>
        <v>-201.53999999999974</v>
      </c>
      <c r="AI447" s="304">
        <f t="shared" si="110"/>
        <v>-0.12960771704180049</v>
      </c>
      <c r="AJ447" s="286"/>
      <c r="AK447" s="277"/>
      <c r="AL447" s="278">
        <f t="shared" si="111"/>
        <v>4378.57</v>
      </c>
      <c r="AM447" s="282"/>
      <c r="AN447" s="280">
        <f t="shared" si="107"/>
        <v>-3025.1099999999997</v>
      </c>
      <c r="AO447" s="287">
        <f t="shared" si="112"/>
        <v>-0.69088994808807436</v>
      </c>
      <c r="AP447" s="244"/>
      <c r="AQ447" s="244">
        <v>1353</v>
      </c>
      <c r="AR447" s="480"/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</row>
    <row r="448" spans="1:62" ht="17.399999999999999">
      <c r="A448" t="str">
        <f t="shared" si="89"/>
        <v>Formation</v>
      </c>
      <c r="B448" s="7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308"/>
      <c r="R448" s="244"/>
      <c r="S448" s="244"/>
      <c r="T448" s="244"/>
      <c r="U448" s="244"/>
      <c r="V448" s="102" t="s">
        <v>61</v>
      </c>
      <c r="W448" s="284" t="s">
        <v>234</v>
      </c>
      <c r="X448" s="277"/>
      <c r="Y448" s="285"/>
      <c r="Z448" s="278">
        <f t="shared" si="108"/>
        <v>2370.6533333333336</v>
      </c>
      <c r="AA448" s="277"/>
      <c r="AB448" s="285"/>
      <c r="AC448" s="278"/>
      <c r="AD448" s="286"/>
      <c r="AE448" s="285"/>
      <c r="AF448" s="278">
        <f t="shared" si="109"/>
        <v>3513.49</v>
      </c>
      <c r="AG448" s="279"/>
      <c r="AH448" s="280">
        <f t="shared" si="106"/>
        <v>1142.8366666666661</v>
      </c>
      <c r="AI448" s="281">
        <f t="shared" si="110"/>
        <v>0.48207667084741729</v>
      </c>
      <c r="AJ448" s="286"/>
      <c r="AK448" s="277"/>
      <c r="AL448" s="278">
        <f t="shared" si="111"/>
        <v>2659.98</v>
      </c>
      <c r="AM448" s="282"/>
      <c r="AN448" s="280">
        <f t="shared" si="107"/>
        <v>853.50999999999976</v>
      </c>
      <c r="AO448" s="287">
        <f t="shared" si="112"/>
        <v>0.32087083361529023</v>
      </c>
      <c r="AP448" s="244"/>
      <c r="AQ448" s="244">
        <v>3513</v>
      </c>
      <c r="AR448" s="244" t="s">
        <v>266</v>
      </c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</row>
    <row r="449" spans="1:62" ht="17.399999999999999">
      <c r="A449" t="str">
        <f t="shared" si="89"/>
        <v>Frais bancaires</v>
      </c>
      <c r="B449" s="7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308"/>
      <c r="R449" s="244"/>
      <c r="S449" s="244"/>
      <c r="T449" s="244"/>
      <c r="U449" s="244"/>
      <c r="V449" s="102" t="s">
        <v>62</v>
      </c>
      <c r="W449" s="284" t="s">
        <v>235</v>
      </c>
      <c r="X449" s="277"/>
      <c r="Y449" s="285">
        <f>Z449/Z407</f>
        <v>1.8131217970870947E-3</v>
      </c>
      <c r="Z449" s="278">
        <f t="shared" si="108"/>
        <v>8060.2860615361133</v>
      </c>
      <c r="AA449" s="277"/>
      <c r="AB449" s="285"/>
      <c r="AC449" s="278"/>
      <c r="AD449" s="286"/>
      <c r="AE449" s="285"/>
      <c r="AF449" s="278">
        <f t="shared" si="109"/>
        <v>6766.5700000000006</v>
      </c>
      <c r="AG449" s="279"/>
      <c r="AH449" s="280">
        <f t="shared" si="106"/>
        <v>-1293.7160615361126</v>
      </c>
      <c r="AI449" s="281">
        <f t="shared" si="110"/>
        <v>-0.16050498104648644</v>
      </c>
      <c r="AJ449" s="286"/>
      <c r="AK449" s="277"/>
      <c r="AL449" s="278">
        <f t="shared" si="111"/>
        <v>6302.04</v>
      </c>
      <c r="AM449" s="282"/>
      <c r="AN449" s="280">
        <f>AF449-AL449</f>
        <v>464.53000000000065</v>
      </c>
      <c r="AO449" s="287">
        <f>IF(AL449=0,0,AN449/AL449)</f>
        <v>7.3711052294177862E-2</v>
      </c>
      <c r="AP449" s="244"/>
      <c r="AQ449" s="244">
        <v>6767</v>
      </c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</row>
    <row r="450" spans="1:62" ht="18" hidden="1" customHeight="1">
      <c r="A450" t="str">
        <f t="shared" si="89"/>
        <v>[...]</v>
      </c>
      <c r="B450" s="7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308"/>
      <c r="R450" s="244"/>
      <c r="S450" s="244"/>
      <c r="T450" s="244"/>
      <c r="U450" s="244"/>
      <c r="V450" s="102" t="s">
        <v>19</v>
      </c>
      <c r="W450" s="284"/>
      <c r="X450" s="277"/>
      <c r="Y450" s="285"/>
      <c r="Z450" s="280">
        <f>IFERROR(SUMIF($C:$C,$V450,F:F),0)</f>
        <v>0</v>
      </c>
      <c r="AA450" s="277"/>
      <c r="AB450" s="277"/>
      <c r="AC450" s="280"/>
      <c r="AD450" s="286"/>
      <c r="AE450" s="285"/>
      <c r="AF450" s="278">
        <f t="shared" si="109"/>
        <v>0</v>
      </c>
      <c r="AG450" s="279"/>
      <c r="AH450" s="280">
        <f t="shared" si="106"/>
        <v>0</v>
      </c>
      <c r="AI450" s="281">
        <f t="shared" si="110"/>
        <v>0</v>
      </c>
      <c r="AJ450" s="286"/>
      <c r="AK450" s="277"/>
      <c r="AL450" s="278">
        <f>IFERROR(SUMIF($C:$C,$V450,Q:Q),0)</f>
        <v>0</v>
      </c>
      <c r="AM450" s="282"/>
      <c r="AN450" s="280">
        <f>AF450-AL450</f>
        <v>0</v>
      </c>
      <c r="AO450" s="287">
        <f>IF(AL450=0,0,AN450/AL450)</f>
        <v>0</v>
      </c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</row>
    <row r="451" spans="1:62" ht="18" hidden="1" customHeight="1">
      <c r="A451" t="str">
        <f t="shared" si="89"/>
        <v>[...]</v>
      </c>
      <c r="B451" s="7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308"/>
      <c r="R451" s="244"/>
      <c r="S451" s="244"/>
      <c r="T451" s="244"/>
      <c r="U451" s="244"/>
      <c r="V451" s="102" t="s">
        <v>19</v>
      </c>
      <c r="W451" s="284"/>
      <c r="X451" s="277"/>
      <c r="Y451" s="285"/>
      <c r="Z451" s="280">
        <f>IFERROR(SUMIF($C:$C,$V451,F:F),0)</f>
        <v>0</v>
      </c>
      <c r="AA451" s="277"/>
      <c r="AB451" s="277"/>
      <c r="AC451" s="280"/>
      <c r="AD451" s="286"/>
      <c r="AE451" s="285"/>
      <c r="AF451" s="278">
        <f t="shared" si="109"/>
        <v>0</v>
      </c>
      <c r="AG451" s="279"/>
      <c r="AH451" s="280">
        <f t="shared" si="106"/>
        <v>0</v>
      </c>
      <c r="AI451" s="281">
        <f t="shared" si="110"/>
        <v>0</v>
      </c>
      <c r="AJ451" s="286"/>
      <c r="AK451" s="277"/>
      <c r="AL451" s="278">
        <f>IFERROR(SUMIF($C:$C,$V451,Q:Q),0)</f>
        <v>0</v>
      </c>
      <c r="AM451" s="282"/>
      <c r="AN451" s="280">
        <f>AF451-AL451</f>
        <v>0</v>
      </c>
      <c r="AO451" s="287">
        <f>IF(AL451=0,0,AN451/AL451)</f>
        <v>0</v>
      </c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</row>
    <row r="452" spans="1:62" ht="18" hidden="1" customHeight="1">
      <c r="A452" t="str">
        <f t="shared" si="89"/>
        <v>[...]</v>
      </c>
      <c r="B452" s="7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327"/>
      <c r="Q452" s="308"/>
      <c r="R452" s="244"/>
      <c r="S452" s="244"/>
      <c r="T452" s="244"/>
      <c r="U452" s="244"/>
      <c r="V452" s="102" t="s">
        <v>19</v>
      </c>
      <c r="W452" s="284"/>
      <c r="X452" s="277"/>
      <c r="Y452" s="285"/>
      <c r="Z452" s="280">
        <f>IFERROR(SUMIF($C:$C,$V452,F:F),0)</f>
        <v>0</v>
      </c>
      <c r="AA452" s="277"/>
      <c r="AB452" s="277"/>
      <c r="AC452" s="280"/>
      <c r="AD452" s="286"/>
      <c r="AE452" s="285"/>
      <c r="AF452" s="278">
        <f t="shared" si="109"/>
        <v>0</v>
      </c>
      <c r="AG452" s="279"/>
      <c r="AH452" s="280">
        <f t="shared" si="106"/>
        <v>0</v>
      </c>
      <c r="AI452" s="281">
        <f t="shared" si="110"/>
        <v>0</v>
      </c>
      <c r="AJ452" s="286"/>
      <c r="AK452" s="277"/>
      <c r="AL452" s="278">
        <f>IFERROR(SUMIF($C:$C,$V452,Q:Q),0)</f>
        <v>0</v>
      </c>
      <c r="AM452" s="282"/>
      <c r="AN452" s="280">
        <f>AF452-AL452</f>
        <v>0</v>
      </c>
      <c r="AO452" s="287">
        <f>IF(AL452=0,0,AN452/AL452)</f>
        <v>0</v>
      </c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</row>
    <row r="453" spans="1:62" ht="17.399999999999999">
      <c r="A453" t="str">
        <f t="shared" si="89"/>
        <v>TOTAL SEMI-FIXES</v>
      </c>
      <c r="B453" s="7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308"/>
      <c r="R453" s="244"/>
      <c r="S453" s="244"/>
      <c r="T453" s="244"/>
      <c r="U453" s="244"/>
      <c r="V453" s="294" t="s">
        <v>63</v>
      </c>
      <c r="W453" s="328"/>
      <c r="X453" s="296">
        <f>Z453/+Z408</f>
        <v>0.17240396209186906</v>
      </c>
      <c r="Y453" s="295"/>
      <c r="Z453" s="297">
        <f>+SUM(Z435:Z452)</f>
        <v>79365.6264216993</v>
      </c>
      <c r="AA453" s="296"/>
      <c r="AB453" s="295"/>
      <c r="AC453" s="297"/>
      <c r="AD453" s="298">
        <f>AF453/AF408</f>
        <v>0.17796946725123694</v>
      </c>
      <c r="AE453" s="295"/>
      <c r="AF453" s="297">
        <f>+SUM(AF435:AF452)</f>
        <v>80950.690000000017</v>
      </c>
      <c r="AG453" s="306"/>
      <c r="AH453" s="300">
        <f>+SUM(AH435:AH452)</f>
        <v>1585.0635783007037</v>
      </c>
      <c r="AI453" s="296">
        <f>AH453/Z453</f>
        <v>1.9971663423642212E-2</v>
      </c>
      <c r="AJ453" s="298">
        <f>IF($AL$408=0,0,AL453/$AL$408)</f>
        <v>0.20542439573895091</v>
      </c>
      <c r="AK453" s="296"/>
      <c r="AL453" s="297">
        <f>+SUM(AL435:AL452)</f>
        <v>78633.099999999977</v>
      </c>
      <c r="AM453" s="307"/>
      <c r="AN453" s="300">
        <f>+SUM(AN435:AN452)</f>
        <v>2317.59</v>
      </c>
      <c r="AO453" s="329">
        <f>IF(AL453=0,0,AN453/AL453)</f>
        <v>2.9473466008589268E-2</v>
      </c>
      <c r="AP453" s="244"/>
      <c r="AQ453" s="308">
        <f>SUM(AQ435:AQ449)-AF453</f>
        <v>0.30999999998311978</v>
      </c>
      <c r="AR453" s="308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</row>
    <row r="454" spans="1:62" ht="17.399999999999999">
      <c r="A454" t="str">
        <f t="shared" si="89"/>
        <v>Loyer</v>
      </c>
      <c r="B454" s="7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102" t="s">
        <v>157</v>
      </c>
      <c r="W454" s="284" t="s">
        <v>158</v>
      </c>
      <c r="X454" s="277"/>
      <c r="Y454" s="285"/>
      <c r="Z454" s="278">
        <v>50000</v>
      </c>
      <c r="AA454" s="277"/>
      <c r="AB454" s="285"/>
      <c r="AC454" s="278"/>
      <c r="AD454" s="286"/>
      <c r="AE454" s="285"/>
      <c r="AF454" s="278">
        <v>50000</v>
      </c>
      <c r="AG454" s="279"/>
      <c r="AH454" s="280">
        <f t="shared" ref="AH454:AH462" si="113">AF454-Z454</f>
        <v>0</v>
      </c>
      <c r="AI454" s="281">
        <f t="shared" ref="AI454:AI462" si="114">IF(Z454=0,0,AH454/Z454)</f>
        <v>0</v>
      </c>
      <c r="AJ454" s="286"/>
      <c r="AK454" s="277"/>
      <c r="AL454" s="278">
        <v>50000</v>
      </c>
      <c r="AM454" s="282"/>
      <c r="AN454" s="280">
        <f>AF454-AL454</f>
        <v>0</v>
      </c>
      <c r="AO454" s="287">
        <f t="shared" ref="AO454:AO462" si="115">IF(AL454=0,0,AN454/AL454)</f>
        <v>0</v>
      </c>
      <c r="AP454" s="244"/>
      <c r="AQ454" s="494">
        <v>50000</v>
      </c>
      <c r="AR454" s="308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</row>
    <row r="455" spans="1:62" ht="17.399999999999999">
      <c r="A455" t="str">
        <f t="shared" si="89"/>
        <v>Taxes foncières</v>
      </c>
      <c r="B455" s="7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102" t="s">
        <v>159</v>
      </c>
      <c r="W455" s="284" t="s">
        <v>160</v>
      </c>
      <c r="X455" s="277"/>
      <c r="Y455" s="285"/>
      <c r="Z455" s="278">
        <v>6346.5300000000007</v>
      </c>
      <c r="AA455" s="277"/>
      <c r="AB455" s="285"/>
      <c r="AC455" s="278"/>
      <c r="AD455" s="286"/>
      <c r="AE455" s="285"/>
      <c r="AF455" s="278">
        <v>6134.99</v>
      </c>
      <c r="AG455" s="279"/>
      <c r="AH455" s="280">
        <f t="shared" si="113"/>
        <v>-211.54000000000087</v>
      </c>
      <c r="AI455" s="281">
        <f t="shared" si="114"/>
        <v>-3.3331600102733436E-2</v>
      </c>
      <c r="AJ455" s="286"/>
      <c r="AK455" s="277"/>
      <c r="AL455" s="278">
        <v>6166.7999999999902</v>
      </c>
      <c r="AM455" s="282"/>
      <c r="AN455" s="280">
        <f t="shared" ref="AN455:AN462" si="116">AF455-AL455</f>
        <v>-31.809999999990396</v>
      </c>
      <c r="AO455" s="287">
        <f t="shared" si="115"/>
        <v>-5.1582668482828119E-3</v>
      </c>
      <c r="AP455" s="244"/>
      <c r="AQ455" s="494">
        <v>6135</v>
      </c>
      <c r="AR455" s="308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</row>
    <row r="456" spans="1:62" ht="17.399999999999999">
      <c r="A456" t="str">
        <f t="shared" si="89"/>
        <v>Taxes d`affaires</v>
      </c>
      <c r="B456" s="7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103" t="s">
        <v>161</v>
      </c>
      <c r="W456" s="288" t="s">
        <v>162</v>
      </c>
      <c r="X456" s="261"/>
      <c r="Y456" s="289"/>
      <c r="Z456" s="262">
        <v>2719.9400000000005</v>
      </c>
      <c r="AA456" s="261"/>
      <c r="AB456" s="289"/>
      <c r="AC456" s="262"/>
      <c r="AD456" s="290"/>
      <c r="AE456" s="289"/>
      <c r="AF456" s="262">
        <v>2629.28</v>
      </c>
      <c r="AG456" s="263"/>
      <c r="AH456" s="264">
        <f t="shared" si="113"/>
        <v>-90.660000000000309</v>
      </c>
      <c r="AI456" s="291">
        <f t="shared" si="114"/>
        <v>-3.3331617609212078E-2</v>
      </c>
      <c r="AJ456" s="290"/>
      <c r="AK456" s="261"/>
      <c r="AL456" s="262">
        <v>2642.93</v>
      </c>
      <c r="AM456" s="266"/>
      <c r="AN456" s="264">
        <f t="shared" si="116"/>
        <v>-13.649999999999636</v>
      </c>
      <c r="AO456" s="267">
        <f t="shared" si="115"/>
        <v>-5.1647224860286263E-3</v>
      </c>
      <c r="AP456" s="244"/>
      <c r="AQ456" s="494">
        <v>2629</v>
      </c>
      <c r="AR456" s="308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</row>
    <row r="457" spans="1:62" ht="18" hidden="1" customHeight="1">
      <c r="A457" t="str">
        <f t="shared" si="89"/>
        <v>Taxe sur le capital</v>
      </c>
      <c r="B457" s="7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102" t="s">
        <v>163</v>
      </c>
      <c r="W457" s="284"/>
      <c r="X457" s="277"/>
      <c r="Y457" s="285"/>
      <c r="Z457" s="278">
        <v>0</v>
      </c>
      <c r="AA457" s="277"/>
      <c r="AB457" s="285"/>
      <c r="AC457" s="278"/>
      <c r="AD457" s="286"/>
      <c r="AE457" s="285"/>
      <c r="AF457" s="278">
        <v>0</v>
      </c>
      <c r="AG457" s="279"/>
      <c r="AH457" s="280">
        <f t="shared" si="113"/>
        <v>0</v>
      </c>
      <c r="AI457" s="281">
        <f t="shared" si="114"/>
        <v>0</v>
      </c>
      <c r="AJ457" s="286"/>
      <c r="AK457" s="277"/>
      <c r="AL457" s="278">
        <v>0</v>
      </c>
      <c r="AM457" s="282"/>
      <c r="AN457" s="280">
        <f t="shared" si="116"/>
        <v>0</v>
      </c>
      <c r="AO457" s="287">
        <f t="shared" si="115"/>
        <v>0</v>
      </c>
      <c r="AP457" s="244"/>
      <c r="AQ457" s="244"/>
      <c r="AR457" s="308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</row>
    <row r="458" spans="1:62" ht="17.399999999999999">
      <c r="A458" t="str">
        <f t="shared" si="89"/>
        <v>Assurances</v>
      </c>
      <c r="B458" s="7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103" t="s">
        <v>164</v>
      </c>
      <c r="W458" s="288" t="s">
        <v>165</v>
      </c>
      <c r="X458" s="261"/>
      <c r="Y458" s="289"/>
      <c r="Z458" s="262">
        <v>3571.166666666667</v>
      </c>
      <c r="AA458" s="261"/>
      <c r="AB458" s="289"/>
      <c r="AC458" s="262"/>
      <c r="AD458" s="290"/>
      <c r="AE458" s="289"/>
      <c r="AF458" s="262">
        <v>3571.16</v>
      </c>
      <c r="AG458" s="263"/>
      <c r="AH458" s="264">
        <f t="shared" si="113"/>
        <v>-6.6666666671153507E-3</v>
      </c>
      <c r="AI458" s="291">
        <f t="shared" si="114"/>
        <v>-1.8668035657204508E-6</v>
      </c>
      <c r="AJ458" s="290"/>
      <c r="AK458" s="261"/>
      <c r="AL458" s="262">
        <v>4853.83</v>
      </c>
      <c r="AM458" s="266"/>
      <c r="AN458" s="264">
        <f t="shared" si="116"/>
        <v>-1282.67</v>
      </c>
      <c r="AO458" s="267">
        <f t="shared" si="115"/>
        <v>-0.26425935807393341</v>
      </c>
      <c r="AP458" s="244"/>
      <c r="AQ458" s="494">
        <v>3571</v>
      </c>
      <c r="AR458" s="308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</row>
    <row r="459" spans="1:62" ht="17.399999999999999">
      <c r="A459" t="str">
        <f t="shared" si="89"/>
        <v>Chauffage, éclairage</v>
      </c>
      <c r="B459" s="7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102" t="s">
        <v>166</v>
      </c>
      <c r="W459" s="284" t="s">
        <v>167</v>
      </c>
      <c r="X459" s="330"/>
      <c r="Y459" s="331"/>
      <c r="Z459" s="278">
        <v>6675</v>
      </c>
      <c r="AA459" s="330"/>
      <c r="AB459" s="331"/>
      <c r="AC459" s="278"/>
      <c r="AD459" s="286"/>
      <c r="AE459" s="285"/>
      <c r="AF459" s="278">
        <v>6395.85</v>
      </c>
      <c r="AG459" s="279"/>
      <c r="AH459" s="280">
        <f t="shared" si="113"/>
        <v>-279.14999999999964</v>
      </c>
      <c r="AI459" s="281">
        <f t="shared" si="114"/>
        <v>-4.1820224719101066E-2</v>
      </c>
      <c r="AJ459" s="286"/>
      <c r="AK459" s="277"/>
      <c r="AL459" s="278">
        <v>5506.44</v>
      </c>
      <c r="AM459" s="282"/>
      <c r="AN459" s="280">
        <f t="shared" si="116"/>
        <v>889.41000000000076</v>
      </c>
      <c r="AO459" s="287">
        <f t="shared" si="115"/>
        <v>0.16152178176825696</v>
      </c>
      <c r="AP459" s="244"/>
      <c r="AQ459" s="244">
        <f>4896+1500</f>
        <v>6396</v>
      </c>
      <c r="AR459" s="308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</row>
    <row r="460" spans="1:62" ht="17.399999999999999">
      <c r="A460" t="str">
        <f t="shared" si="89"/>
        <v>Honoraires</v>
      </c>
      <c r="B460" s="7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102" t="s">
        <v>168</v>
      </c>
      <c r="W460" s="284" t="s">
        <v>152</v>
      </c>
      <c r="X460" s="277"/>
      <c r="Y460" s="285"/>
      <c r="Z460" s="278">
        <v>1750</v>
      </c>
      <c r="AA460" s="277"/>
      <c r="AB460" s="285"/>
      <c r="AC460" s="278"/>
      <c r="AD460" s="286"/>
      <c r="AE460" s="285"/>
      <c r="AF460" s="278">
        <v>1500</v>
      </c>
      <c r="AG460" s="279"/>
      <c r="AH460" s="280">
        <f t="shared" si="113"/>
        <v>-250</v>
      </c>
      <c r="AI460" s="281">
        <f t="shared" si="114"/>
        <v>-0.14285714285714285</v>
      </c>
      <c r="AJ460" s="286"/>
      <c r="AK460" s="277"/>
      <c r="AL460" s="278">
        <v>6307.33</v>
      </c>
      <c r="AM460" s="282"/>
      <c r="AN460" s="280">
        <f t="shared" si="116"/>
        <v>-4807.33</v>
      </c>
      <c r="AO460" s="287">
        <f t="shared" si="115"/>
        <v>-0.76218146188640834</v>
      </c>
      <c r="AP460" s="244"/>
      <c r="AQ460" s="494">
        <f>1500</f>
        <v>1500</v>
      </c>
      <c r="AR460" s="308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</row>
    <row r="461" spans="1:62" ht="17.399999999999999">
      <c r="A461" t="str">
        <f t="shared" si="89"/>
        <v>Réparation équipement</v>
      </c>
      <c r="B461" s="7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103" t="s">
        <v>170</v>
      </c>
      <c r="W461" s="288" t="s">
        <v>236</v>
      </c>
      <c r="X461" s="261"/>
      <c r="Y461" s="289"/>
      <c r="Z461" s="262">
        <v>450</v>
      </c>
      <c r="AA461" s="261"/>
      <c r="AB461" s="289"/>
      <c r="AC461" s="262"/>
      <c r="AD461" s="290"/>
      <c r="AE461" s="289"/>
      <c r="AF461" s="262">
        <v>450</v>
      </c>
      <c r="AG461" s="263"/>
      <c r="AH461" s="264">
        <f t="shared" si="113"/>
        <v>0</v>
      </c>
      <c r="AI461" s="291">
        <f t="shared" si="114"/>
        <v>0</v>
      </c>
      <c r="AJ461" s="290"/>
      <c r="AK461" s="261"/>
      <c r="AL461" s="262">
        <v>400</v>
      </c>
      <c r="AM461" s="266"/>
      <c r="AN461" s="264">
        <f t="shared" si="116"/>
        <v>50</v>
      </c>
      <c r="AO461" s="267">
        <f t="shared" si="115"/>
        <v>0.125</v>
      </c>
      <c r="AP461" s="244"/>
      <c r="AQ461" s="244">
        <v>450</v>
      </c>
      <c r="AR461" s="308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</row>
    <row r="462" spans="1:62" ht="17.399999999999999">
      <c r="A462" t="str">
        <f t="shared" si="89"/>
        <v>Location équipement</v>
      </c>
      <c r="B462" s="7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332"/>
      <c r="V462" s="102" t="s">
        <v>172</v>
      </c>
      <c r="W462" s="284" t="s">
        <v>173</v>
      </c>
      <c r="X462" s="277"/>
      <c r="Y462" s="285"/>
      <c r="Z462" s="278">
        <v>279</v>
      </c>
      <c r="AA462" s="277"/>
      <c r="AB462" s="285"/>
      <c r="AC462" s="278"/>
      <c r="AD462" s="286"/>
      <c r="AE462" s="285"/>
      <c r="AF462" s="278">
        <v>464</v>
      </c>
      <c r="AG462" s="279"/>
      <c r="AH462" s="280">
        <f t="shared" si="113"/>
        <v>185</v>
      </c>
      <c r="AI462" s="333">
        <f t="shared" si="114"/>
        <v>0.6630824372759857</v>
      </c>
      <c r="AJ462" s="277"/>
      <c r="AK462" s="277"/>
      <c r="AL462" s="278">
        <v>164</v>
      </c>
      <c r="AM462" s="282"/>
      <c r="AN462" s="280">
        <f t="shared" si="116"/>
        <v>300</v>
      </c>
      <c r="AO462" s="287">
        <f t="shared" si="115"/>
        <v>1.8292682926829269</v>
      </c>
      <c r="AP462" s="244"/>
      <c r="AQ462" s="244">
        <f>164+300</f>
        <v>464</v>
      </c>
      <c r="AR462" s="308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</row>
    <row r="463" spans="1:62" ht="18" hidden="1" customHeight="1">
      <c r="A463" t="str">
        <f t="shared" si="89"/>
        <v>Dons</v>
      </c>
      <c r="B463" s="7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332"/>
      <c r="V463" s="102" t="s">
        <v>174</v>
      </c>
      <c r="W463" s="284" t="s">
        <v>175</v>
      </c>
      <c r="X463" s="277"/>
      <c r="Y463" s="285"/>
      <c r="Z463" s="278">
        <v>0</v>
      </c>
      <c r="AA463" s="277"/>
      <c r="AB463" s="285"/>
      <c r="AC463" s="278"/>
      <c r="AD463" s="286"/>
      <c r="AE463" s="285"/>
      <c r="AF463" s="278">
        <v>0</v>
      </c>
      <c r="AG463" s="279"/>
      <c r="AH463" s="280">
        <v>0</v>
      </c>
      <c r="AI463" s="304">
        <v>0</v>
      </c>
      <c r="AJ463" s="277"/>
      <c r="AK463" s="277"/>
      <c r="AL463" s="278">
        <v>0</v>
      </c>
      <c r="AM463" s="282"/>
      <c r="AN463" s="280">
        <v>0</v>
      </c>
      <c r="AO463" s="287">
        <v>0</v>
      </c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</row>
    <row r="464" spans="1:62" ht="18" hidden="1" customHeight="1">
      <c r="A464" t="str">
        <f t="shared" si="89"/>
        <v>[...]</v>
      </c>
      <c r="B464" s="7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332"/>
      <c r="V464" s="102" t="s">
        <v>19</v>
      </c>
      <c r="W464" s="284"/>
      <c r="X464" s="277"/>
      <c r="Y464" s="285"/>
      <c r="Z464" s="280">
        <f>IFERROR(SUMIF($C:$C,$V464,F:F),0)</f>
        <v>0</v>
      </c>
      <c r="AA464" s="277"/>
      <c r="AB464" s="277"/>
      <c r="AC464" s="280"/>
      <c r="AD464" s="286"/>
      <c r="AE464" s="285"/>
      <c r="AF464" s="278">
        <f>+SUMIF($C:$C,$V464,L:L)</f>
        <v>0</v>
      </c>
      <c r="AG464" s="279"/>
      <c r="AH464" s="280">
        <f>AF464-Z464</f>
        <v>0</v>
      </c>
      <c r="AI464" s="281">
        <f>IF(Z464=0,0,AH464/Z464)</f>
        <v>0</v>
      </c>
      <c r="AJ464" s="286"/>
      <c r="AK464" s="277"/>
      <c r="AL464" s="278">
        <f>IFERROR(SUMIF($C:$C,$V464,Q:Q),0)</f>
        <v>0</v>
      </c>
      <c r="AM464" s="282"/>
      <c r="AN464" s="280">
        <v>0</v>
      </c>
      <c r="AO464" s="287">
        <v>1</v>
      </c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</row>
    <row r="465" spans="1:62" ht="18" hidden="1" customHeight="1">
      <c r="A465" t="str">
        <f t="shared" si="89"/>
        <v>[...]</v>
      </c>
      <c r="B465" s="7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332"/>
      <c r="V465" s="102" t="s">
        <v>19</v>
      </c>
      <c r="W465" s="284"/>
      <c r="X465" s="277"/>
      <c r="Y465" s="285"/>
      <c r="Z465" s="280">
        <f>IFERROR(SUMIF($C:$C,$V465,F:F),0)</f>
        <v>0</v>
      </c>
      <c r="AA465" s="277"/>
      <c r="AB465" s="277"/>
      <c r="AC465" s="280"/>
      <c r="AD465" s="286"/>
      <c r="AE465" s="285"/>
      <c r="AF465" s="278">
        <f>+SUMIF($C:$C,$V465,L:L)</f>
        <v>0</v>
      </c>
      <c r="AG465" s="279"/>
      <c r="AH465" s="280">
        <f>AF465-Z465</f>
        <v>0</v>
      </c>
      <c r="AI465" s="281">
        <f>IF(Z465=0,0,AH465/Z465)</f>
        <v>0</v>
      </c>
      <c r="AJ465" s="286"/>
      <c r="AK465" s="277"/>
      <c r="AL465" s="278">
        <f>IFERROR(SUMIF($C:$C,$V465,Q:Q),0)</f>
        <v>0</v>
      </c>
      <c r="AM465" s="282"/>
      <c r="AN465" s="280">
        <v>0</v>
      </c>
      <c r="AO465" s="287">
        <v>2</v>
      </c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</row>
    <row r="466" spans="1:62" ht="18" hidden="1" customHeight="1">
      <c r="A466" t="str">
        <f t="shared" si="89"/>
        <v>[...]</v>
      </c>
      <c r="B466" s="7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102" t="s">
        <v>19</v>
      </c>
      <c r="W466" s="284"/>
      <c r="X466" s="277"/>
      <c r="Y466" s="285"/>
      <c r="Z466" s="280">
        <f>IFERROR(SUMIF($C:$C,$V466,F:F),0)</f>
        <v>0</v>
      </c>
      <c r="AA466" s="277"/>
      <c r="AB466" s="277"/>
      <c r="AC466" s="280"/>
      <c r="AD466" s="286"/>
      <c r="AE466" s="285"/>
      <c r="AF466" s="278">
        <f>+SUMIF($C:$C,$V466,L:L)</f>
        <v>0</v>
      </c>
      <c r="AG466" s="279"/>
      <c r="AH466" s="280">
        <f>AF466-Z466</f>
        <v>0</v>
      </c>
      <c r="AI466" s="281">
        <f>IF(Z466=0,0,AH466/Z466)</f>
        <v>0</v>
      </c>
      <c r="AJ466" s="286"/>
      <c r="AK466" s="277"/>
      <c r="AL466" s="278">
        <f>IFERROR(SUMIF($C:$C,$V466,Q:Q),0)</f>
        <v>0</v>
      </c>
      <c r="AM466" s="282"/>
      <c r="AN466" s="280">
        <v>0</v>
      </c>
      <c r="AO466" s="287">
        <v>3</v>
      </c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</row>
    <row r="467" spans="1:62" ht="17.399999999999999">
      <c r="A467" t="str">
        <f t="shared" si="89"/>
        <v>TOTAL DÉPENSES FIXES</v>
      </c>
      <c r="B467" s="7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94" t="s">
        <v>176</v>
      </c>
      <c r="W467" s="295"/>
      <c r="X467" s="296">
        <f>Z467/+Z408</f>
        <v>0.15595117388261684</v>
      </c>
      <c r="Y467" s="295"/>
      <c r="Z467" s="297">
        <f>SUM(Z454:Z466)</f>
        <v>71791.636666666658</v>
      </c>
      <c r="AA467" s="296"/>
      <c r="AB467" s="295"/>
      <c r="AC467" s="297"/>
      <c r="AD467" s="298">
        <f>AF467/AF408</f>
        <v>0.15641234903667997</v>
      </c>
      <c r="AE467" s="295"/>
      <c r="AF467" s="297">
        <f>SUM(AF454:AF466)</f>
        <v>71145.279999999999</v>
      </c>
      <c r="AG467" s="306"/>
      <c r="AH467" s="300">
        <f>SUM(AH454:AH466)</f>
        <v>-646.35666666666793</v>
      </c>
      <c r="AI467" s="296">
        <f>IF(Z467=0,0,AH467/Z467)</f>
        <v>-9.0032306920058789E-3</v>
      </c>
      <c r="AJ467" s="298">
        <f>IF($AL$408=0,0,AL467/$AL$408)</f>
        <v>0.19865354750653558</v>
      </c>
      <c r="AK467" s="296"/>
      <c r="AL467" s="297">
        <f>SUM(AL454:AL466)</f>
        <v>76041.329999999987</v>
      </c>
      <c r="AM467" s="307"/>
      <c r="AN467" s="300">
        <f>SUM(AN454:AN466)</f>
        <v>-4896.0499999999893</v>
      </c>
      <c r="AO467" s="329">
        <f t="shared" ref="AO467:AO484" si="117">IF(AL467=0,0,AN467/AL467)</f>
        <v>-6.4386696024385556E-2</v>
      </c>
      <c r="AP467" s="244"/>
      <c r="AQ467" s="308">
        <f>SUM(AQ454:AQ462)-AF467</f>
        <v>-0.27999999999883585</v>
      </c>
      <c r="AR467" s="308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</row>
    <row r="468" spans="1:62" ht="17.399999999999999">
      <c r="A468" t="str">
        <f t="shared" si="89"/>
        <v/>
      </c>
      <c r="B468" s="7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102"/>
      <c r="W468" s="277"/>
      <c r="X468" s="277"/>
      <c r="Y468" s="277"/>
      <c r="Z468" s="334"/>
      <c r="AA468" s="277"/>
      <c r="AB468" s="277"/>
      <c r="AC468" s="334"/>
      <c r="AD468" s="286"/>
      <c r="AE468" s="277"/>
      <c r="AF468" s="334"/>
      <c r="AG468" s="286"/>
      <c r="AH468" s="280">
        <f t="shared" ref="AH468:AH482" si="118">AF468-Z468</f>
        <v>0</v>
      </c>
      <c r="AI468" s="281"/>
      <c r="AJ468" s="286"/>
      <c r="AK468" s="277"/>
      <c r="AL468" s="334"/>
      <c r="AM468" s="335"/>
      <c r="AN468" s="280">
        <f t="shared" ref="AN468:AN484" si="119">AF468-AL468</f>
        <v>0</v>
      </c>
      <c r="AO468" s="336">
        <f t="shared" si="117"/>
        <v>0</v>
      </c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</row>
    <row r="469" spans="1:62" ht="17.399999999999999">
      <c r="A469" t="str">
        <f t="shared" si="89"/>
        <v>TOTAL DES DÉPENSES</v>
      </c>
      <c r="B469" s="7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94" t="s">
        <v>64</v>
      </c>
      <c r="W469" s="295"/>
      <c r="X469" s="296">
        <f>Z469/+Z408</f>
        <v>0.9678794465015037</v>
      </c>
      <c r="Y469" s="295"/>
      <c r="Z469" s="297">
        <f>Z420+Z434+Z453+Z467</f>
        <v>445560.28550751187</v>
      </c>
      <c r="AA469" s="296"/>
      <c r="AB469" s="295"/>
      <c r="AC469" s="297"/>
      <c r="AD469" s="298">
        <f>AF469/AF408</f>
        <v>0.902214009241318</v>
      </c>
      <c r="AE469" s="295"/>
      <c r="AF469" s="297">
        <f>AF420+AF434+AF453+AF467</f>
        <v>410378.52</v>
      </c>
      <c r="AG469" s="306"/>
      <c r="AH469" s="300">
        <f t="shared" si="118"/>
        <v>-35181.765507511853</v>
      </c>
      <c r="AI469" s="296">
        <f>AH469/Z469</f>
        <v>-7.8960730235277471E-2</v>
      </c>
      <c r="AJ469" s="298">
        <f>IF($AL$408=0,0,AL469/$AL$408)</f>
        <v>1.0872160553356982</v>
      </c>
      <c r="AK469" s="296"/>
      <c r="AL469" s="297">
        <f>AL420+AL434+AL453+AL467</f>
        <v>416168.53</v>
      </c>
      <c r="AM469" s="307"/>
      <c r="AN469" s="300">
        <f t="shared" si="119"/>
        <v>-5790.0100000000093</v>
      </c>
      <c r="AO469" s="275">
        <f t="shared" si="117"/>
        <v>-1.3912656970963203E-2</v>
      </c>
      <c r="AP469" s="308"/>
      <c r="AQ469" s="244"/>
      <c r="AR469" s="244"/>
      <c r="AS469" s="308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</row>
    <row r="470" spans="1:62" ht="17.399999999999999">
      <c r="A470" t="str">
        <f t="shared" si="89"/>
        <v>Revenus autres</v>
      </c>
      <c r="B470" s="7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102" t="s">
        <v>177</v>
      </c>
      <c r="W470" s="331"/>
      <c r="X470" s="331"/>
      <c r="Y470" s="277"/>
      <c r="Z470" s="311">
        <v>0</v>
      </c>
      <c r="AA470" s="337"/>
      <c r="AB470" s="338"/>
      <c r="AC470" s="311"/>
      <c r="AD470" s="339"/>
      <c r="AE470" s="338"/>
      <c r="AF470" s="278">
        <v>2251.88</v>
      </c>
      <c r="AG470" s="340"/>
      <c r="AH470" s="280">
        <f t="shared" si="118"/>
        <v>2251.88</v>
      </c>
      <c r="AI470" s="333" t="e">
        <f>IF(AH470=0,0,AH470/Z470)</f>
        <v>#DIV/0!</v>
      </c>
      <c r="AJ470" s="339"/>
      <c r="AK470" s="337"/>
      <c r="AL470" s="341">
        <v>9960.7999999999993</v>
      </c>
      <c r="AM470" s="342"/>
      <c r="AN470" s="280">
        <f t="shared" si="119"/>
        <v>-7708.9199999999992</v>
      </c>
      <c r="AO470" s="287">
        <f t="shared" si="117"/>
        <v>-0.7739257890932455</v>
      </c>
      <c r="AP470" s="244" t="s">
        <v>244</v>
      </c>
      <c r="AQ470" s="244">
        <v>2252</v>
      </c>
      <c r="AR470" s="244"/>
      <c r="AS470" s="244">
        <f>AQ470+AR470</f>
        <v>2252</v>
      </c>
      <c r="AT470" s="308">
        <f>AS470-AF470</f>
        <v>0.11999999999989086</v>
      </c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</row>
    <row r="471" spans="1:62" ht="17.399999999999999">
      <c r="A471" t="str">
        <f t="shared" si="89"/>
        <v>Holdbacks</v>
      </c>
      <c r="B471" s="7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102" t="s">
        <v>66</v>
      </c>
      <c r="W471" s="277"/>
      <c r="X471" s="277"/>
      <c r="Y471" s="277"/>
      <c r="Z471" s="278">
        <f>+SUMIF($C:$C,$V471,F:F)</f>
        <v>40105.37142857143</v>
      </c>
      <c r="AA471" s="330"/>
      <c r="AB471" s="331"/>
      <c r="AC471" s="278"/>
      <c r="AD471" s="343"/>
      <c r="AE471" s="331"/>
      <c r="AF471" s="278">
        <f t="shared" ref="AF471:AF477" si="120">+SUMIF($C:$C,$V471,L:L)</f>
        <v>48444</v>
      </c>
      <c r="AG471" s="344"/>
      <c r="AH471" s="280">
        <f t="shared" si="118"/>
        <v>8338.6285714285696</v>
      </c>
      <c r="AI471" s="304">
        <f>IF(Z471=0,0,AH471/Z471)</f>
        <v>0.20791799887154405</v>
      </c>
      <c r="AJ471" s="343"/>
      <c r="AK471" s="330"/>
      <c r="AL471" s="345">
        <f>+SUMIF($C:$C,$V471,Q:Q)</f>
        <v>33389.4</v>
      </c>
      <c r="AM471" s="346"/>
      <c r="AN471" s="280">
        <f t="shared" si="119"/>
        <v>15054.599999999999</v>
      </c>
      <c r="AO471" s="287">
        <f t="shared" si="117"/>
        <v>0.45087962047835534</v>
      </c>
      <c r="AP471" s="244"/>
      <c r="AQ471" s="244">
        <v>48444</v>
      </c>
      <c r="AR471" s="244"/>
      <c r="AS471" s="244">
        <f>AQ471+AR471</f>
        <v>48444</v>
      </c>
      <c r="AT471" s="308">
        <f t="shared" ref="AT471:AT481" si="121">AS471-AF471</f>
        <v>0</v>
      </c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</row>
    <row r="472" spans="1:62" ht="17.399999999999999">
      <c r="A472" t="str">
        <f t="shared" si="89"/>
        <v>RBSC neuf</v>
      </c>
      <c r="B472" s="7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102" t="s">
        <v>215</v>
      </c>
      <c r="W472" s="277"/>
      <c r="X472" s="277"/>
      <c r="Y472" s="277"/>
      <c r="Z472" s="278">
        <v>33086.931428571428</v>
      </c>
      <c r="AA472" s="330"/>
      <c r="AB472" s="331"/>
      <c r="AC472" s="278"/>
      <c r="AD472" s="343"/>
      <c r="AE472" s="331"/>
      <c r="AF472" s="278">
        <f t="shared" si="120"/>
        <v>45245.120000000003</v>
      </c>
      <c r="AG472" s="344"/>
      <c r="AH472" s="280">
        <f t="shared" si="118"/>
        <v>12158.188571428575</v>
      </c>
      <c r="AI472" s="304">
        <f t="shared" ref="AI472:AI481" si="122">IF(AH472=0,0,AH472/Z472)</f>
        <v>0.36746195692628242</v>
      </c>
      <c r="AJ472" s="343"/>
      <c r="AK472" s="330"/>
      <c r="AL472" s="345">
        <v>26024.46</v>
      </c>
      <c r="AM472" s="346"/>
      <c r="AN472" s="280">
        <f t="shared" si="119"/>
        <v>19220.660000000003</v>
      </c>
      <c r="AO472" s="287">
        <f t="shared" si="117"/>
        <v>0.73856133806426738</v>
      </c>
      <c r="AP472" s="244"/>
      <c r="AQ472" s="244">
        <v>43761</v>
      </c>
      <c r="AR472" s="244">
        <f>3839.35-2355.5</f>
        <v>1483.85</v>
      </c>
      <c r="AS472" s="244">
        <f>AQ472+AR472</f>
        <v>45244.85</v>
      </c>
      <c r="AT472" s="308">
        <f t="shared" si="121"/>
        <v>-0.27000000000407454</v>
      </c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</row>
    <row r="473" spans="1:62" ht="18" hidden="1" customHeight="1">
      <c r="A473" t="str">
        <f t="shared" si="89"/>
        <v>Programme neuf 2</v>
      </c>
      <c r="B473" s="7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102" t="s">
        <v>187</v>
      </c>
      <c r="W473" s="277"/>
      <c r="X473" s="277"/>
      <c r="Y473" s="277"/>
      <c r="Z473" s="278">
        <f>+SUMIF($C:$C,$V473,F:F)</f>
        <v>0</v>
      </c>
      <c r="AA473" s="330"/>
      <c r="AB473" s="331"/>
      <c r="AC473" s="278"/>
      <c r="AD473" s="343"/>
      <c r="AE473" s="331"/>
      <c r="AF473" s="278">
        <f t="shared" si="120"/>
        <v>0</v>
      </c>
      <c r="AG473" s="344"/>
      <c r="AH473" s="280">
        <f t="shared" si="118"/>
        <v>0</v>
      </c>
      <c r="AI473" s="304">
        <f t="shared" si="122"/>
        <v>0</v>
      </c>
      <c r="AJ473" s="343"/>
      <c r="AK473" s="330"/>
      <c r="AL473" s="345">
        <f>+SUMIF($C:$C,$V473,Q:Q)</f>
        <v>0</v>
      </c>
      <c r="AM473" s="346"/>
      <c r="AN473" s="280">
        <f t="shared" si="119"/>
        <v>0</v>
      </c>
      <c r="AO473" s="287">
        <f t="shared" si="117"/>
        <v>0</v>
      </c>
      <c r="AP473" s="244"/>
      <c r="AQ473" s="244"/>
      <c r="AR473" s="244"/>
      <c r="AS473" s="244">
        <f t="shared" ref="AS473:AS481" si="123">AQ473+AR473</f>
        <v>0</v>
      </c>
      <c r="AT473" s="308">
        <f t="shared" si="121"/>
        <v>0</v>
      </c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</row>
    <row r="474" spans="1:62" ht="18" hidden="1" customHeight="1">
      <c r="A474" t="str">
        <f t="shared" si="89"/>
        <v>Programme neuf 3</v>
      </c>
      <c r="B474" s="7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102" t="s">
        <v>65</v>
      </c>
      <c r="W474" s="277"/>
      <c r="X474" s="277"/>
      <c r="Y474" s="277"/>
      <c r="Z474" s="278">
        <f>+SUMIF($C:$C,$V474,F:F)</f>
        <v>0</v>
      </c>
      <c r="AA474" s="330"/>
      <c r="AB474" s="331"/>
      <c r="AC474" s="278"/>
      <c r="AD474" s="343"/>
      <c r="AE474" s="331"/>
      <c r="AF474" s="278">
        <f t="shared" si="120"/>
        <v>0</v>
      </c>
      <c r="AG474" s="344"/>
      <c r="AH474" s="280">
        <f t="shared" si="118"/>
        <v>0</v>
      </c>
      <c r="AI474" s="304">
        <f t="shared" si="122"/>
        <v>0</v>
      </c>
      <c r="AJ474" s="343"/>
      <c r="AK474" s="330"/>
      <c r="AL474" s="345">
        <f>+SUMIF($C:$C,$V474,Q:Q)</f>
        <v>0</v>
      </c>
      <c r="AM474" s="346"/>
      <c r="AN474" s="280">
        <f t="shared" si="119"/>
        <v>0</v>
      </c>
      <c r="AO474" s="287">
        <f t="shared" si="117"/>
        <v>0</v>
      </c>
      <c r="AP474" s="244"/>
      <c r="AQ474" s="244"/>
      <c r="AR474" s="244"/>
      <c r="AS474" s="244">
        <f t="shared" si="123"/>
        <v>0</v>
      </c>
      <c r="AT474" s="308">
        <f t="shared" si="121"/>
        <v>0</v>
      </c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</row>
    <row r="475" spans="1:62" ht="17.399999999999999">
      <c r="A475" t="str">
        <f t="shared" si="89"/>
        <v>RBSC used</v>
      </c>
      <c r="B475" s="7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102" t="s">
        <v>217</v>
      </c>
      <c r="W475" s="277"/>
      <c r="X475" s="277"/>
      <c r="Y475" s="277"/>
      <c r="Z475" s="278">
        <v>5250</v>
      </c>
      <c r="AA475" s="330"/>
      <c r="AB475" s="331"/>
      <c r="AC475" s="278"/>
      <c r="AD475" s="343"/>
      <c r="AE475" s="331"/>
      <c r="AF475" s="278">
        <f t="shared" si="120"/>
        <v>4675</v>
      </c>
      <c r="AG475" s="344"/>
      <c r="AH475" s="280">
        <f t="shared" si="118"/>
        <v>-575</v>
      </c>
      <c r="AI475" s="304">
        <f t="shared" si="122"/>
        <v>-0.10952380952380952</v>
      </c>
      <c r="AJ475" s="343"/>
      <c r="AK475" s="330"/>
      <c r="AL475" s="345">
        <v>0</v>
      </c>
      <c r="AM475" s="346"/>
      <c r="AN475" s="280">
        <f t="shared" si="119"/>
        <v>4675</v>
      </c>
      <c r="AO475" s="287">
        <f t="shared" si="117"/>
        <v>0</v>
      </c>
      <c r="AP475" s="244"/>
      <c r="AQ475" s="244">
        <v>4675</v>
      </c>
      <c r="AR475" s="244"/>
      <c r="AS475" s="244">
        <f t="shared" si="123"/>
        <v>4675</v>
      </c>
      <c r="AT475" s="308">
        <f t="shared" si="121"/>
        <v>0</v>
      </c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</row>
    <row r="476" spans="1:62" ht="17.399999999999999">
      <c r="A476" t="str">
        <f t="shared" si="89"/>
        <v>Programme 360</v>
      </c>
      <c r="B476" s="7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102" t="s">
        <v>218</v>
      </c>
      <c r="W476" s="277"/>
      <c r="X476" s="277"/>
      <c r="Y476" s="277"/>
      <c r="Z476" s="278">
        <f>+SUMIF($C:$C,$V476,F:F)</f>
        <v>0</v>
      </c>
      <c r="AA476" s="330"/>
      <c r="AB476" s="331"/>
      <c r="AC476" s="278"/>
      <c r="AD476" s="343"/>
      <c r="AE476" s="331"/>
      <c r="AF476" s="278">
        <f t="shared" si="120"/>
        <v>2700</v>
      </c>
      <c r="AG476" s="344"/>
      <c r="AH476" s="280">
        <f t="shared" si="118"/>
        <v>2700</v>
      </c>
      <c r="AI476" s="304" t="e">
        <f t="shared" si="122"/>
        <v>#DIV/0!</v>
      </c>
      <c r="AJ476" s="343"/>
      <c r="AK476" s="330"/>
      <c r="AL476" s="345">
        <f>+SUMIF($C:$C,$V476,Q:Q)</f>
        <v>0</v>
      </c>
      <c r="AM476" s="346"/>
      <c r="AN476" s="280">
        <f t="shared" si="119"/>
        <v>2700</v>
      </c>
      <c r="AO476" s="287">
        <f t="shared" si="117"/>
        <v>0</v>
      </c>
      <c r="AP476" s="244"/>
      <c r="AQ476" s="244">
        <v>2700</v>
      </c>
      <c r="AR476" s="244"/>
      <c r="AS476" s="244">
        <f t="shared" si="123"/>
        <v>2700</v>
      </c>
      <c r="AT476" s="308">
        <f t="shared" si="121"/>
        <v>0</v>
      </c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</row>
    <row r="477" spans="1:62" ht="18" hidden="1" customHeight="1">
      <c r="A477" t="str">
        <f t="shared" si="89"/>
        <v>Programme used 3</v>
      </c>
      <c r="B477" s="7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102" t="s">
        <v>77</v>
      </c>
      <c r="W477" s="277"/>
      <c r="X477" s="277"/>
      <c r="Y477" s="277"/>
      <c r="Z477" s="278">
        <f>+SUMIF($C:$C,$V477,F:F)</f>
        <v>0</v>
      </c>
      <c r="AA477" s="330"/>
      <c r="AB477" s="331"/>
      <c r="AC477" s="278"/>
      <c r="AD477" s="343"/>
      <c r="AE477" s="331"/>
      <c r="AF477" s="278">
        <f t="shared" si="120"/>
        <v>0</v>
      </c>
      <c r="AG477" s="344"/>
      <c r="AH477" s="280">
        <f t="shared" si="118"/>
        <v>0</v>
      </c>
      <c r="AI477" s="304">
        <f t="shared" si="122"/>
        <v>0</v>
      </c>
      <c r="AJ477" s="343"/>
      <c r="AK477" s="330"/>
      <c r="AL477" s="345">
        <f>+SUMIF($C:$C,$V477,Q:Q)</f>
        <v>0</v>
      </c>
      <c r="AM477" s="346"/>
      <c r="AN477" s="280">
        <f t="shared" si="119"/>
        <v>0</v>
      </c>
      <c r="AO477" s="287">
        <f t="shared" si="117"/>
        <v>0</v>
      </c>
      <c r="AP477" s="244"/>
      <c r="AQ477" s="244"/>
      <c r="AR477" s="244"/>
      <c r="AS477" s="244">
        <f t="shared" si="123"/>
        <v>0</v>
      </c>
      <c r="AT477" s="308">
        <f t="shared" si="121"/>
        <v>0</v>
      </c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</row>
    <row r="478" spans="1:62" ht="17.399999999999999">
      <c r="A478" t="str">
        <f t="shared" si="89"/>
        <v>Facility Fund</v>
      </c>
      <c r="B478" s="7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102" t="s">
        <v>188</v>
      </c>
      <c r="W478" s="277"/>
      <c r="X478" s="277"/>
      <c r="Y478" s="277"/>
      <c r="Z478" s="278">
        <v>22057.954285714284</v>
      </c>
      <c r="AA478" s="330"/>
      <c r="AB478" s="331"/>
      <c r="AC478" s="278"/>
      <c r="AD478" s="343"/>
      <c r="AE478" s="331"/>
      <c r="AF478" s="278">
        <v>22014.82</v>
      </c>
      <c r="AG478" s="344"/>
      <c r="AH478" s="280">
        <f t="shared" si="118"/>
        <v>-43.134285714284488</v>
      </c>
      <c r="AI478" s="304">
        <f t="shared" si="122"/>
        <v>-1.9554980101767721E-3</v>
      </c>
      <c r="AJ478" s="343"/>
      <c r="AK478" s="330"/>
      <c r="AL478" s="345">
        <v>21204.92</v>
      </c>
      <c r="AM478" s="346"/>
      <c r="AN478" s="280">
        <f t="shared" si="119"/>
        <v>809.90000000000146</v>
      </c>
      <c r="AO478" s="287">
        <f t="shared" si="117"/>
        <v>3.8193966305932844E-2</v>
      </c>
      <c r="AP478" s="244"/>
      <c r="AQ478" s="244">
        <v>20725</v>
      </c>
      <c r="AR478" s="244">
        <f>2541.55-1251.78</f>
        <v>1289.7700000000002</v>
      </c>
      <c r="AS478" s="244">
        <f t="shared" si="123"/>
        <v>22014.77</v>
      </c>
      <c r="AT478" s="308">
        <f t="shared" si="121"/>
        <v>-4.9999999999272404E-2</v>
      </c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</row>
    <row r="479" spans="1:62" ht="18" hidden="1" customHeight="1">
      <c r="A479" t="str">
        <f t="shared" si="89"/>
        <v>[...]</v>
      </c>
      <c r="B479" s="7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102" t="s">
        <v>19</v>
      </c>
      <c r="W479" s="277"/>
      <c r="X479" s="277"/>
      <c r="Y479" s="277"/>
      <c r="Z479" s="280">
        <f>IFERROR(SUMIF($C:$C,$V479,F:F),0)</f>
        <v>0</v>
      </c>
      <c r="AA479" s="277"/>
      <c r="AB479" s="277"/>
      <c r="AC479" s="280"/>
      <c r="AD479" s="286"/>
      <c r="AE479" s="285"/>
      <c r="AF479" s="278">
        <f>+SUMIF($C:$C,$V479,L:L)</f>
        <v>0</v>
      </c>
      <c r="AG479" s="279"/>
      <c r="AH479" s="280">
        <f t="shared" si="118"/>
        <v>0</v>
      </c>
      <c r="AI479" s="281">
        <f t="shared" si="122"/>
        <v>0</v>
      </c>
      <c r="AJ479" s="286"/>
      <c r="AK479" s="277"/>
      <c r="AL479" s="278">
        <f>+SUMIF($C:$C,$V479,Q:Q)</f>
        <v>0</v>
      </c>
      <c r="AM479" s="346"/>
      <c r="AN479" s="280">
        <f t="shared" si="119"/>
        <v>0</v>
      </c>
      <c r="AO479" s="287">
        <f t="shared" si="117"/>
        <v>0</v>
      </c>
      <c r="AP479" s="244"/>
      <c r="AQ479" s="244"/>
      <c r="AR479" s="244"/>
      <c r="AS479" s="244">
        <f t="shared" si="123"/>
        <v>0</v>
      </c>
      <c r="AT479" s="308">
        <f t="shared" si="121"/>
        <v>0</v>
      </c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</row>
    <row r="480" spans="1:62" ht="18" hidden="1" customHeight="1">
      <c r="A480" t="str">
        <f t="shared" si="89"/>
        <v>[...]</v>
      </c>
      <c r="B480" s="7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102" t="s">
        <v>19</v>
      </c>
      <c r="W480" s="277"/>
      <c r="X480" s="277"/>
      <c r="Y480" s="277"/>
      <c r="Z480" s="280">
        <f>IFERROR(SUMIF($C:$C,$V480,F:F),0)</f>
        <v>0</v>
      </c>
      <c r="AA480" s="277"/>
      <c r="AB480" s="277"/>
      <c r="AC480" s="280"/>
      <c r="AD480" s="286"/>
      <c r="AE480" s="285"/>
      <c r="AF480" s="278">
        <f>+SUMIF($C:$C,$V480,L:L)</f>
        <v>0</v>
      </c>
      <c r="AG480" s="279"/>
      <c r="AH480" s="280">
        <f t="shared" si="118"/>
        <v>0</v>
      </c>
      <c r="AI480" s="281">
        <f t="shared" si="122"/>
        <v>0</v>
      </c>
      <c r="AJ480" s="286"/>
      <c r="AK480" s="277"/>
      <c r="AL480" s="278">
        <f>+SUMIF($C:$C,$V480,Q:Q)</f>
        <v>0</v>
      </c>
      <c r="AM480" s="346"/>
      <c r="AN480" s="280">
        <f t="shared" si="119"/>
        <v>0</v>
      </c>
      <c r="AO480" s="287">
        <f t="shared" si="117"/>
        <v>0</v>
      </c>
      <c r="AP480" s="244"/>
      <c r="AQ480" s="244"/>
      <c r="AR480" s="244"/>
      <c r="AS480" s="244">
        <f t="shared" si="123"/>
        <v>0</v>
      </c>
      <c r="AT480" s="308">
        <f t="shared" si="121"/>
        <v>0</v>
      </c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</row>
    <row r="481" spans="1:62" ht="17.399999999999999">
      <c r="A481" t="str">
        <f t="shared" si="89"/>
        <v>Frais administration</v>
      </c>
      <c r="B481" s="7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103" t="s">
        <v>67</v>
      </c>
      <c r="W481" s="277"/>
      <c r="X481" s="277"/>
      <c r="Y481" s="277"/>
      <c r="Z481" s="278">
        <f>+SUMIF($C:$C,$V481,F:F)</f>
        <v>24537.8</v>
      </c>
      <c r="AA481" s="330"/>
      <c r="AB481" s="331"/>
      <c r="AC481" s="278"/>
      <c r="AD481" s="343"/>
      <c r="AE481" s="331"/>
      <c r="AF481" s="278">
        <f>+SUMIF($C:$C,$V481,L:L)</f>
        <v>29155</v>
      </c>
      <c r="AG481" s="344"/>
      <c r="AH481" s="280">
        <f t="shared" si="118"/>
        <v>4617.2000000000007</v>
      </c>
      <c r="AI481" s="304">
        <f t="shared" si="122"/>
        <v>0.1881668283220175</v>
      </c>
      <c r="AJ481" s="343"/>
      <c r="AK481" s="330"/>
      <c r="AL481" s="345">
        <v>22610</v>
      </c>
      <c r="AM481" s="346"/>
      <c r="AN481" s="280">
        <f t="shared" si="119"/>
        <v>6545</v>
      </c>
      <c r="AO481" s="287">
        <f t="shared" si="117"/>
        <v>0.28947368421052633</v>
      </c>
      <c r="AP481" s="244"/>
      <c r="AQ481" s="244">
        <v>29155</v>
      </c>
      <c r="AR481" s="244"/>
      <c r="AS481" s="244">
        <f t="shared" si="123"/>
        <v>29155</v>
      </c>
      <c r="AT481" s="308">
        <f t="shared" si="121"/>
        <v>0</v>
      </c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</row>
    <row r="482" spans="1:62" ht="17.399999999999999">
      <c r="A482" t="str">
        <f t="shared" si="89"/>
        <v>TOTAL AUTRES REVENUS</v>
      </c>
      <c r="B482" s="7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94" t="s">
        <v>178</v>
      </c>
      <c r="W482" s="295"/>
      <c r="X482" s="296">
        <f>Z482/+Z408</f>
        <v>0.2716170392098638</v>
      </c>
      <c r="Y482" s="328"/>
      <c r="Z482" s="297">
        <f>SUM(Z470:Z481)</f>
        <v>125038.05714285714</v>
      </c>
      <c r="AA482" s="296"/>
      <c r="AB482" s="328"/>
      <c r="AC482" s="297"/>
      <c r="AD482" s="296">
        <f>AF482/+AF408</f>
        <v>0.33963588306993409</v>
      </c>
      <c r="AE482" s="328"/>
      <c r="AF482" s="297">
        <f>SUM(AF470:AF481)</f>
        <v>154485.82</v>
      </c>
      <c r="AG482" s="306"/>
      <c r="AH482" s="300">
        <f t="shared" si="118"/>
        <v>29447.762857142865</v>
      </c>
      <c r="AI482" s="296">
        <f>AH482/Z482</f>
        <v>0.23551040003363555</v>
      </c>
      <c r="AJ482" s="347"/>
      <c r="AK482" s="348"/>
      <c r="AL482" s="297">
        <f>SUM(AL470:AL481)</f>
        <v>113189.58</v>
      </c>
      <c r="AM482" s="349"/>
      <c r="AN482" s="300">
        <f t="shared" si="119"/>
        <v>41296.240000000005</v>
      </c>
      <c r="AO482" s="329">
        <f t="shared" si="117"/>
        <v>0.36484135730515127</v>
      </c>
      <c r="AP482" s="244"/>
      <c r="AQ482" s="244">
        <f>SUM(AQ470:AQ481)</f>
        <v>151712</v>
      </c>
      <c r="AR482" s="244">
        <f>SUM(AR470:AR481)</f>
        <v>2773.62</v>
      </c>
      <c r="AS482" s="308">
        <f>SUM(AS470:AS481)-AF482</f>
        <v>-0.20000000001164153</v>
      </c>
      <c r="AT482" s="308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</row>
    <row r="483" spans="1:62" ht="18" thickBot="1">
      <c r="A483" t="str">
        <f t="shared" si="89"/>
        <v/>
      </c>
      <c r="B483" s="7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350"/>
      <c r="W483" s="351"/>
      <c r="X483" s="351"/>
      <c r="Y483" s="352"/>
      <c r="Z483" s="353"/>
      <c r="AA483" s="351"/>
      <c r="AB483" s="354"/>
      <c r="AC483" s="353"/>
      <c r="AD483" s="351"/>
      <c r="AE483" s="354"/>
      <c r="AF483" s="355"/>
      <c r="AG483" s="356"/>
      <c r="AH483" s="357"/>
      <c r="AI483" s="358"/>
      <c r="AJ483" s="359"/>
      <c r="AK483" s="360"/>
      <c r="AL483" s="355"/>
      <c r="AM483" s="361"/>
      <c r="AN483" s="357">
        <f t="shared" si="119"/>
        <v>0</v>
      </c>
      <c r="AO483" s="362">
        <f t="shared" si="117"/>
        <v>0</v>
      </c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</row>
    <row r="484" spans="1:62" ht="18.600000000000001" thickTop="1" thickBot="1">
      <c r="A484" t="str">
        <f t="shared" si="89"/>
        <v>BAIIA OPÉRATIONNEL</v>
      </c>
      <c r="B484" s="7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363" t="s">
        <v>179</v>
      </c>
      <c r="W484" s="364"/>
      <c r="X484" s="365" t="s">
        <v>180</v>
      </c>
      <c r="Y484" s="366">
        <f>Z484/Z407</f>
        <v>3.1452869741610275E-2</v>
      </c>
      <c r="Z484" s="367">
        <f>Z408-Z469+Z482</f>
        <v>139824.65379926944</v>
      </c>
      <c r="AA484" s="365"/>
      <c r="AB484" s="366"/>
      <c r="AC484" s="367"/>
      <c r="AD484" s="365" t="s">
        <v>180</v>
      </c>
      <c r="AE484" s="366">
        <f>AF484/AF407</f>
        <v>4.2453630327031595E-2</v>
      </c>
      <c r="AF484" s="368">
        <f>AF408-AF469+AF482</f>
        <v>198964.48000000016</v>
      </c>
      <c r="AG484" s="369"/>
      <c r="AH484" s="368">
        <f>AF484-Z484</f>
        <v>59139.82620073072</v>
      </c>
      <c r="AI484" s="481">
        <f>AH484/Z484</f>
        <v>0.42295707226016904</v>
      </c>
      <c r="AJ484" s="371" t="s">
        <v>180</v>
      </c>
      <c r="AK484" s="366">
        <f>IF($AL$407=0,0,AL484/$AL$407)</f>
        <v>2.1512928701438293E-2</v>
      </c>
      <c r="AL484" s="368">
        <f>AL408-AL469+AL482</f>
        <v>79804.699999999473</v>
      </c>
      <c r="AM484" s="372"/>
      <c r="AN484" s="368">
        <f t="shared" si="119"/>
        <v>119159.78000000068</v>
      </c>
      <c r="AO484" s="373">
        <f t="shared" si="117"/>
        <v>1.493142383844579</v>
      </c>
      <c r="AP484" s="244"/>
      <c r="AQ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</row>
    <row r="485" spans="1:62" ht="36" thickTop="1">
      <c r="A485" t="str">
        <f t="shared" si="89"/>
        <v/>
      </c>
      <c r="B485" s="7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6"/>
      <c r="W485" s="6"/>
      <c r="X485" s="6"/>
      <c r="Y485" s="6"/>
      <c r="Z485" s="82"/>
      <c r="AA485" s="13"/>
      <c r="AB485" s="13"/>
      <c r="AC485" s="82"/>
      <c r="AD485" s="13"/>
      <c r="AE485" s="13"/>
      <c r="AF485" s="374"/>
      <c r="AG485" s="13"/>
      <c r="AH485" s="13"/>
      <c r="AI485" s="13"/>
      <c r="AJ485" s="13"/>
      <c r="AK485" s="13"/>
      <c r="AL485" s="82"/>
      <c r="AM485" s="13"/>
      <c r="AN485" s="13"/>
      <c r="AO485" s="13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</row>
    <row r="486" spans="1:62" ht="35.4">
      <c r="A486" t="str">
        <f t="shared" ref="A486:A499" si="124">+U486&amp;V486</f>
        <v>BMW Sherbrooke</v>
      </c>
      <c r="B486" s="7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6" t="str">
        <f>C1</f>
        <v>BMW Sherbrooke</v>
      </c>
      <c r="W486" s="6"/>
      <c r="X486" s="6"/>
      <c r="Y486" s="6"/>
      <c r="Z486" s="1"/>
      <c r="AA486" s="1"/>
      <c r="AB486" s="6"/>
      <c r="AC486" s="6"/>
      <c r="AD486" s="1"/>
      <c r="AE486" s="3" t="s">
        <v>181</v>
      </c>
      <c r="AF486" s="6"/>
      <c r="AG486" s="6"/>
      <c r="AH486" s="1"/>
      <c r="AI486" s="1"/>
      <c r="AJ486" s="253"/>
      <c r="AK486" s="2"/>
      <c r="AL486" s="1"/>
      <c r="AM486" s="6"/>
      <c r="AN486" s="6"/>
      <c r="AO486" s="5" t="str">
        <f>$S$1</f>
        <v>Réalisé, Août 2026</v>
      </c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</row>
    <row r="487" spans="1:62" ht="35.25" hidden="1" customHeight="1" thickBot="1">
      <c r="A487" t="str">
        <f t="shared" si="124"/>
        <v/>
      </c>
      <c r="B487" s="7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4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</row>
    <row r="488" spans="1:62" ht="36" thickBot="1">
      <c r="A488" t="str">
        <f t="shared" si="124"/>
        <v/>
      </c>
      <c r="B488" s="7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4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</row>
    <row r="489" spans="1:62" ht="18.600000000000001" hidden="1" thickTop="1" thickBot="1">
      <c r="A489" t="e">
        <f>+U489&amp;#REF!</f>
        <v>#REF!</v>
      </c>
      <c r="B489" s="7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441" t="s">
        <v>208</v>
      </c>
      <c r="W489" s="442"/>
      <c r="X489" s="443" t="s">
        <v>180</v>
      </c>
      <c r="Y489" s="444">
        <f>Z489/Z407</f>
        <v>3.8224352467558648E-2</v>
      </c>
      <c r="Z489" s="446">
        <f>Z490+Z416</f>
        <v>169927.47861753643</v>
      </c>
      <c r="AA489" s="443"/>
      <c r="AB489" s="444"/>
      <c r="AC489" s="445"/>
      <c r="AD489" s="443" t="s">
        <v>180</v>
      </c>
      <c r="AE489" s="444">
        <f>AF489/AF407</f>
        <v>4.9023755666099018E-2</v>
      </c>
      <c r="AF489" s="446">
        <f>AF490+AF416</f>
        <v>229756.23000000016</v>
      </c>
      <c r="AG489" s="447"/>
      <c r="AH489" s="446">
        <f t="shared" ref="AH489" si="125">AF489-Z489</f>
        <v>59828.751382463728</v>
      </c>
      <c r="AI489" s="488">
        <f>AH489/Z489</f>
        <v>0.35208402942953709</v>
      </c>
      <c r="AJ489" s="443" t="s">
        <v>180</v>
      </c>
      <c r="AK489" s="444">
        <f>IF($AL$407=0,0,AL489/$AL$407)</f>
        <v>2.8315406755371763E-2</v>
      </c>
      <c r="AL489" s="446">
        <f>AL490+AL416</f>
        <v>105039.27999999947</v>
      </c>
      <c r="AM489" s="448"/>
      <c r="AN489" s="446">
        <f t="shared" ref="AN489" si="126">AF489-AL489</f>
        <v>124716.95000000068</v>
      </c>
      <c r="AO489" s="449">
        <f t="shared" ref="AO489" si="127">IF(AL489=0,0,AN489/AL489)</f>
        <v>1.1873362993348897</v>
      </c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</row>
    <row r="490" spans="1:62" ht="18.600000000000001" thickTop="1" thickBot="1">
      <c r="A490" t="str">
        <f t="shared" si="124"/>
        <v>BAIIA OPÉRATIONNEL</v>
      </c>
      <c r="B490" s="7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375" t="s">
        <v>179</v>
      </c>
      <c r="W490" s="376"/>
      <c r="X490" s="377" t="s">
        <v>180</v>
      </c>
      <c r="Y490" s="378">
        <f>Z490/Z407</f>
        <v>3.1452869741610275E-2</v>
      </c>
      <c r="Z490" s="379">
        <f>Z484</f>
        <v>139824.65379926944</v>
      </c>
      <c r="AA490" s="377"/>
      <c r="AB490" s="378"/>
      <c r="AC490" s="379"/>
      <c r="AD490" s="377" t="s">
        <v>180</v>
      </c>
      <c r="AE490" s="378">
        <f>AF490/AF407</f>
        <v>4.2453630327031595E-2</v>
      </c>
      <c r="AF490" s="379">
        <f>AF484</f>
        <v>198964.48000000016</v>
      </c>
      <c r="AG490" s="380"/>
      <c r="AH490" s="368">
        <f>AF490-Z490</f>
        <v>59139.82620073072</v>
      </c>
      <c r="AI490" s="481">
        <f>AH490/Z490</f>
        <v>0.42295707226016904</v>
      </c>
      <c r="AJ490" s="377" t="s">
        <v>180</v>
      </c>
      <c r="AK490" s="378">
        <f>IF($AL$407=0,0,AL490/$AL$407)</f>
        <v>2.1512928701438293E-2</v>
      </c>
      <c r="AL490" s="381">
        <f>AL484</f>
        <v>79804.699999999473</v>
      </c>
      <c r="AM490" s="382"/>
      <c r="AN490" s="383">
        <f>AF490-AL490</f>
        <v>119159.78000000068</v>
      </c>
      <c r="AO490" s="384">
        <f>IF(AL490=0,0,AN490/AL490)</f>
        <v>1.493142383844579</v>
      </c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</row>
    <row r="491" spans="1:62" ht="16.2" thickTop="1">
      <c r="A491" t="str">
        <f t="shared" si="124"/>
        <v/>
      </c>
      <c r="B491" s="7"/>
      <c r="C491" s="244"/>
      <c r="D491" s="244"/>
      <c r="E491" s="244"/>
      <c r="F491" s="308"/>
      <c r="G491" s="244"/>
      <c r="H491" s="244"/>
      <c r="I491" s="308"/>
      <c r="J491" s="244"/>
      <c r="K491" s="244"/>
      <c r="L491" s="244"/>
      <c r="M491" s="308"/>
      <c r="N491" s="244"/>
      <c r="O491" s="244"/>
      <c r="P491" s="244"/>
      <c r="Q491" s="308"/>
      <c r="R491" s="308"/>
      <c r="S491" s="308"/>
      <c r="T491" s="332"/>
      <c r="U491" s="332"/>
      <c r="V491" s="385"/>
      <c r="W491" s="244"/>
      <c r="X491" s="244"/>
      <c r="Y491" s="244"/>
      <c r="Z491" s="386"/>
      <c r="AA491" s="244"/>
      <c r="AB491" s="244"/>
      <c r="AC491" s="387"/>
      <c r="AD491" s="244"/>
      <c r="AE491" s="244"/>
      <c r="AF491" s="387"/>
      <c r="AG491" s="244"/>
      <c r="AH491" s="244"/>
      <c r="AI491" s="387"/>
      <c r="AJ491" s="244"/>
      <c r="AK491" s="244"/>
      <c r="AL491" s="388"/>
      <c r="AM491" s="389"/>
      <c r="AN491" s="244"/>
      <c r="AO491" s="390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</row>
    <row r="492" spans="1:62" ht="17.399999999999999">
      <c r="A492" t="str">
        <f t="shared" si="124"/>
        <v>Amortissement</v>
      </c>
      <c r="B492" s="7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102" t="s">
        <v>182</v>
      </c>
      <c r="W492" s="284"/>
      <c r="X492" s="277"/>
      <c r="Y492" s="285"/>
      <c r="Z492" s="278">
        <v>4077.75</v>
      </c>
      <c r="AA492" s="277"/>
      <c r="AB492" s="285"/>
      <c r="AC492" s="278"/>
      <c r="AD492" s="277"/>
      <c r="AE492" s="285"/>
      <c r="AF492" s="278">
        <v>4077.75</v>
      </c>
      <c r="AG492" s="277"/>
      <c r="AH492" s="280">
        <f t="shared" ref="AH492:AH499" si="128">AF492-Z492</f>
        <v>0</v>
      </c>
      <c r="AI492" s="304">
        <f t="shared" ref="AI492:AI498" si="129">IF(Z492=0,0,AH492/Z492)</f>
        <v>0</v>
      </c>
      <c r="AJ492" s="277"/>
      <c r="AK492" s="277"/>
      <c r="AL492" s="278">
        <v>19300</v>
      </c>
      <c r="AM492" s="282"/>
      <c r="AN492" s="280">
        <f t="shared" ref="AN492:AN499" si="130">AF492-AL492</f>
        <v>-15222.25</v>
      </c>
      <c r="AO492" s="287">
        <f t="shared" ref="AO492:AO499" si="131">IF(AL492=0,0,AN492/AL492)</f>
        <v>-0.78871761658031092</v>
      </c>
      <c r="AP492" s="244"/>
      <c r="AQ492" s="494">
        <v>4078</v>
      </c>
      <c r="AR492" s="308">
        <f>AQ492-AF492</f>
        <v>0.25</v>
      </c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</row>
    <row r="493" spans="1:62" ht="20.25" hidden="1" customHeight="1">
      <c r="A493" t="str">
        <f t="shared" si="124"/>
        <v>Intérêts sur marge</v>
      </c>
      <c r="B493" s="7"/>
      <c r="C493" s="244"/>
      <c r="D493" s="244"/>
      <c r="E493" s="244"/>
      <c r="F493" s="308"/>
      <c r="G493" s="244"/>
      <c r="H493" s="244"/>
      <c r="I493" s="308"/>
      <c r="J493" s="244"/>
      <c r="K493" s="244"/>
      <c r="L493" s="244"/>
      <c r="M493" s="308"/>
      <c r="N493" s="244"/>
      <c r="O493" s="244"/>
      <c r="P493" s="244"/>
      <c r="Q493" s="308"/>
      <c r="R493" s="308"/>
      <c r="S493" s="308"/>
      <c r="T493" s="244"/>
      <c r="U493" s="244"/>
      <c r="V493" s="102" t="s">
        <v>183</v>
      </c>
      <c r="W493" s="10"/>
      <c r="X493" s="10"/>
      <c r="Y493" s="10"/>
      <c r="Z493" s="278">
        <v>0</v>
      </c>
      <c r="AA493" s="10"/>
      <c r="AB493" s="10"/>
      <c r="AC493" s="278"/>
      <c r="AD493" s="10"/>
      <c r="AE493" s="13"/>
      <c r="AF493" s="278">
        <v>0</v>
      </c>
      <c r="AG493" s="10"/>
      <c r="AH493" s="280">
        <f t="shared" si="128"/>
        <v>0</v>
      </c>
      <c r="AI493" s="304">
        <f t="shared" si="129"/>
        <v>0</v>
      </c>
      <c r="AJ493" s="10"/>
      <c r="AK493" s="10"/>
      <c r="AL493" s="278">
        <v>0</v>
      </c>
      <c r="AM493" s="391"/>
      <c r="AN493" s="280">
        <f t="shared" si="130"/>
        <v>0</v>
      </c>
      <c r="AO493" s="287">
        <f t="shared" si="131"/>
        <v>0</v>
      </c>
      <c r="AP493" s="244"/>
      <c r="AQ493" s="244"/>
      <c r="AR493" s="308">
        <f t="shared" ref="AR493:AR497" si="132">AQ493-AF493</f>
        <v>0</v>
      </c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</row>
    <row r="494" spans="1:62" ht="22.5" hidden="1" customHeight="1">
      <c r="A494" t="str">
        <f t="shared" si="124"/>
        <v>Intérêts sur prêt</v>
      </c>
      <c r="B494" s="7"/>
      <c r="C494" s="244"/>
      <c r="D494" s="244"/>
      <c r="E494" s="244"/>
      <c r="F494" s="308"/>
      <c r="G494" s="244"/>
      <c r="H494" s="244"/>
      <c r="I494" s="308"/>
      <c r="J494" s="244"/>
      <c r="K494" s="244"/>
      <c r="L494" s="244"/>
      <c r="M494" s="308"/>
      <c r="N494" s="244"/>
      <c r="O494" s="244"/>
      <c r="P494" s="244"/>
      <c r="Q494" s="308"/>
      <c r="R494" s="308"/>
      <c r="S494" s="308"/>
      <c r="T494" s="244"/>
      <c r="U494" s="244"/>
      <c r="V494" s="102" t="s">
        <v>184</v>
      </c>
      <c r="W494" s="13"/>
      <c r="X494" s="13"/>
      <c r="Y494" s="13"/>
      <c r="Z494" s="278">
        <v>0</v>
      </c>
      <c r="AA494" s="10"/>
      <c r="AB494" s="10"/>
      <c r="AC494" s="278"/>
      <c r="AD494" s="10"/>
      <c r="AE494" s="13"/>
      <c r="AF494" s="278">
        <v>0</v>
      </c>
      <c r="AG494" s="10"/>
      <c r="AH494" s="280">
        <f t="shared" si="128"/>
        <v>0</v>
      </c>
      <c r="AI494" s="304">
        <f t="shared" si="129"/>
        <v>0</v>
      </c>
      <c r="AJ494" s="10"/>
      <c r="AK494" s="10"/>
      <c r="AL494" s="278">
        <v>0</v>
      </c>
      <c r="AM494" s="391"/>
      <c r="AN494" s="280">
        <f t="shared" si="130"/>
        <v>0</v>
      </c>
      <c r="AO494" s="287">
        <f t="shared" si="131"/>
        <v>0</v>
      </c>
      <c r="AP494" s="244"/>
      <c r="AQ494" s="244"/>
      <c r="AR494" s="308">
        <f t="shared" si="132"/>
        <v>0</v>
      </c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</row>
    <row r="495" spans="1:62" ht="20.25" hidden="1" customHeight="1">
      <c r="A495" t="str">
        <f t="shared" si="124"/>
        <v>Intérêts sur avance</v>
      </c>
      <c r="B495" s="7"/>
      <c r="C495" s="244"/>
      <c r="D495" s="244"/>
      <c r="E495" s="244"/>
      <c r="F495" s="308"/>
      <c r="G495" s="244"/>
      <c r="H495" s="244"/>
      <c r="I495" s="308"/>
      <c r="J495" s="244"/>
      <c r="K495" s="244"/>
      <c r="L495" s="244"/>
      <c r="M495" s="308"/>
      <c r="N495" s="244"/>
      <c r="O495" s="244"/>
      <c r="P495" s="244"/>
      <c r="Q495" s="308"/>
      <c r="R495" s="308"/>
      <c r="S495" s="308"/>
      <c r="T495" s="244"/>
      <c r="U495" s="244"/>
      <c r="V495" s="102" t="s">
        <v>185</v>
      </c>
      <c r="W495" s="13"/>
      <c r="X495" s="13"/>
      <c r="Y495" s="13"/>
      <c r="Z495" s="278">
        <v>0</v>
      </c>
      <c r="AA495" s="10"/>
      <c r="AB495" s="10"/>
      <c r="AC495" s="278"/>
      <c r="AD495" s="10"/>
      <c r="AE495" s="13"/>
      <c r="AF495" s="278">
        <v>0</v>
      </c>
      <c r="AG495" s="10"/>
      <c r="AH495" s="280">
        <f t="shared" si="128"/>
        <v>0</v>
      </c>
      <c r="AI495" s="304">
        <f t="shared" si="129"/>
        <v>0</v>
      </c>
      <c r="AJ495" s="10"/>
      <c r="AK495" s="10"/>
      <c r="AL495" s="278">
        <v>0</v>
      </c>
      <c r="AM495" s="391"/>
      <c r="AN495" s="280">
        <f t="shared" si="130"/>
        <v>0</v>
      </c>
      <c r="AO495" s="287">
        <f t="shared" si="131"/>
        <v>0</v>
      </c>
      <c r="AP495" s="244"/>
      <c r="AQ495" s="244"/>
      <c r="AR495" s="308">
        <f t="shared" si="132"/>
        <v>0</v>
      </c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</row>
    <row r="496" spans="1:62" ht="20.25" hidden="1" customHeight="1" thickBot="1">
      <c r="A496" t="str">
        <f t="shared" si="124"/>
        <v>[...]</v>
      </c>
      <c r="B496" s="7"/>
      <c r="C496" s="244"/>
      <c r="D496" s="244"/>
      <c r="E496" s="244"/>
      <c r="F496" s="308"/>
      <c r="G496" s="244"/>
      <c r="H496" s="244"/>
      <c r="I496" s="308"/>
      <c r="J496" s="244"/>
      <c r="K496" s="244"/>
      <c r="L496" s="244"/>
      <c r="M496" s="308"/>
      <c r="N496" s="244"/>
      <c r="O496" s="244"/>
      <c r="P496" s="244"/>
      <c r="Q496" s="308"/>
      <c r="R496" s="308"/>
      <c r="S496" s="308"/>
      <c r="T496" s="244"/>
      <c r="U496" s="244"/>
      <c r="V496" s="102" t="s">
        <v>19</v>
      </c>
      <c r="W496" s="13"/>
      <c r="X496" s="13"/>
      <c r="Y496" s="13"/>
      <c r="Z496" s="280">
        <f>IFERROR(SUMIF($C:$C,$V496,F:F),0)</f>
        <v>0</v>
      </c>
      <c r="AA496" s="277"/>
      <c r="AB496" s="277"/>
      <c r="AC496" s="280"/>
      <c r="AD496" s="286"/>
      <c r="AE496" s="285"/>
      <c r="AF496" s="278">
        <v>0</v>
      </c>
      <c r="AG496" s="279"/>
      <c r="AH496" s="280">
        <f t="shared" si="128"/>
        <v>0</v>
      </c>
      <c r="AI496" s="281">
        <f t="shared" si="129"/>
        <v>0</v>
      </c>
      <c r="AJ496" s="286"/>
      <c r="AK496" s="277"/>
      <c r="AL496" s="278"/>
      <c r="AM496" s="391"/>
      <c r="AN496" s="280">
        <f t="shared" si="130"/>
        <v>0</v>
      </c>
      <c r="AO496" s="287">
        <f t="shared" si="131"/>
        <v>0</v>
      </c>
      <c r="AP496" s="244"/>
      <c r="AQ496" s="244"/>
      <c r="AR496" s="308">
        <f t="shared" si="132"/>
        <v>0</v>
      </c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</row>
    <row r="497" spans="1:62" ht="21" thickBot="1">
      <c r="A497" t="str">
        <f t="shared" si="124"/>
        <v>Revenus d'intérêts Floor plan</v>
      </c>
      <c r="B497" s="7"/>
      <c r="C497" s="244"/>
      <c r="D497" s="244"/>
      <c r="E497" s="244"/>
      <c r="F497" s="308"/>
      <c r="G497" s="244"/>
      <c r="H497" s="244"/>
      <c r="I497" s="308"/>
      <c r="J497" s="244"/>
      <c r="K497" s="244"/>
      <c r="L497" s="244"/>
      <c r="M497" s="308"/>
      <c r="N497" s="244"/>
      <c r="O497" s="244"/>
      <c r="P497" s="244"/>
      <c r="Q497" s="308"/>
      <c r="R497" s="308"/>
      <c r="S497" s="308"/>
      <c r="T497" s="244"/>
      <c r="U497" s="244"/>
      <c r="V497" s="102" t="s">
        <v>207</v>
      </c>
      <c r="W497" s="13"/>
      <c r="X497" s="13"/>
      <c r="Y497" s="13"/>
      <c r="Z497" s="280">
        <v>0</v>
      </c>
      <c r="AA497" s="277"/>
      <c r="AB497" s="277"/>
      <c r="AC497" s="280"/>
      <c r="AD497" s="286"/>
      <c r="AE497" s="285"/>
      <c r="AF497" s="278">
        <v>-3142.47</v>
      </c>
      <c r="AG497" s="279"/>
      <c r="AH497" s="280">
        <f t="shared" si="128"/>
        <v>-3142.47</v>
      </c>
      <c r="AI497" s="281">
        <f t="shared" si="129"/>
        <v>0</v>
      </c>
      <c r="AJ497" s="286"/>
      <c r="AK497" s="277"/>
      <c r="AL497" s="278">
        <v>-2632.46</v>
      </c>
      <c r="AM497" s="391"/>
      <c r="AN497" s="280">
        <f t="shared" si="130"/>
        <v>-510.00999999999976</v>
      </c>
      <c r="AO497" s="287">
        <f t="shared" si="131"/>
        <v>0.19373893620415875</v>
      </c>
      <c r="AP497" s="244"/>
      <c r="AQ497" s="308">
        <v>-3142</v>
      </c>
      <c r="AR497" s="308">
        <f t="shared" si="132"/>
        <v>0.46999999999979991</v>
      </c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</row>
    <row r="498" spans="1:62" ht="21" hidden="1" customHeight="1" thickTop="1" thickBot="1">
      <c r="A498" t="str">
        <f t="shared" si="124"/>
        <v>[...]</v>
      </c>
      <c r="B498" s="7"/>
      <c r="C498" s="244"/>
      <c r="D498" s="244"/>
      <c r="E498" s="244"/>
      <c r="F498" s="308"/>
      <c r="G498" s="244"/>
      <c r="H498" s="244"/>
      <c r="I498" s="308"/>
      <c r="J498" s="244"/>
      <c r="K498" s="244"/>
      <c r="L498" s="244"/>
      <c r="M498" s="308"/>
      <c r="N498" s="244"/>
      <c r="O498" s="244"/>
      <c r="P498" s="244"/>
      <c r="Q498" s="308"/>
      <c r="R498" s="308"/>
      <c r="S498" s="308"/>
      <c r="T498" s="244"/>
      <c r="U498" s="244"/>
      <c r="V498" s="102" t="s">
        <v>19</v>
      </c>
      <c r="W498" s="13"/>
      <c r="X498" s="244"/>
      <c r="Y498" s="13"/>
      <c r="Z498" s="280">
        <f>IFERROR(SUMIF($C:$C,$V498,F:F),0)</f>
        <v>0</v>
      </c>
      <c r="AA498" s="277"/>
      <c r="AB498" s="277"/>
      <c r="AC498" s="280"/>
      <c r="AD498" s="286"/>
      <c r="AE498" s="285"/>
      <c r="AF498" s="278">
        <v>0</v>
      </c>
      <c r="AG498" s="279"/>
      <c r="AH498" s="280">
        <f t="shared" si="128"/>
        <v>0</v>
      </c>
      <c r="AI498" s="281">
        <f t="shared" si="129"/>
        <v>0</v>
      </c>
      <c r="AJ498" s="286"/>
      <c r="AK498" s="277"/>
      <c r="AL498" s="278"/>
      <c r="AM498" s="391"/>
      <c r="AN498" s="280">
        <f t="shared" si="130"/>
        <v>0</v>
      </c>
      <c r="AO498" s="287">
        <f t="shared" si="131"/>
        <v>0</v>
      </c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</row>
    <row r="499" spans="1:62" ht="18.600000000000001" thickTop="1" thickBot="1">
      <c r="A499" t="str">
        <f t="shared" si="124"/>
        <v>Profit Net</v>
      </c>
      <c r="B499" s="7"/>
      <c r="C499" s="244"/>
      <c r="D499" s="244"/>
      <c r="E499" s="244"/>
      <c r="F499" s="308"/>
      <c r="G499" s="244"/>
      <c r="H499" s="244"/>
      <c r="I499" s="308"/>
      <c r="J499" s="244"/>
      <c r="K499" s="244"/>
      <c r="L499" s="244"/>
      <c r="M499" s="308"/>
      <c r="N499" s="244"/>
      <c r="O499" s="244"/>
      <c r="P499" s="244"/>
      <c r="Q499" s="308"/>
      <c r="R499" s="308"/>
      <c r="S499" s="308"/>
      <c r="T499" s="244"/>
      <c r="U499" s="244"/>
      <c r="V499" s="363" t="s">
        <v>186</v>
      </c>
      <c r="W499" s="364"/>
      <c r="X499" s="365" t="s">
        <v>180</v>
      </c>
      <c r="Y499" s="366">
        <f>Z499/Z407</f>
        <v>3.053559988894913E-2</v>
      </c>
      <c r="Z499" s="367">
        <f>Z490-Z492-Z493-Z494-Z498-Z497-Z495-Z496</f>
        <v>135746.90379926944</v>
      </c>
      <c r="AA499" s="365"/>
      <c r="AB499" s="366"/>
      <c r="AC499" s="367"/>
      <c r="AD499" s="365" t="s">
        <v>180</v>
      </c>
      <c r="AE499" s="366">
        <f>AF499/AF407</f>
        <v>4.2254066910625478E-2</v>
      </c>
      <c r="AF499" s="368">
        <f>AF490-AF492-AF493-AF494-AF498-AF497-AF495-AF496</f>
        <v>198029.20000000016</v>
      </c>
      <c r="AG499" s="369"/>
      <c r="AH499" s="368">
        <f t="shared" si="128"/>
        <v>62282.296200730721</v>
      </c>
      <c r="AI499" s="481">
        <f>AH499/Z499</f>
        <v>0.45881190994107901</v>
      </c>
      <c r="AJ499" s="371" t="s">
        <v>180</v>
      </c>
      <c r="AK499" s="366">
        <f>IF($AL$407=0,0,AL499/$AL$407)</f>
        <v>1.7019865014106933E-2</v>
      </c>
      <c r="AL499" s="368">
        <f>AL490-AL492-AL493-AL494-AL498-AL497-AL495-AL496</f>
        <v>63137.159999999472</v>
      </c>
      <c r="AM499" s="372"/>
      <c r="AN499" s="368">
        <f t="shared" si="130"/>
        <v>134892.04000000068</v>
      </c>
      <c r="AO499" s="392">
        <f t="shared" si="131"/>
        <v>2.1364920436712991</v>
      </c>
      <c r="AP499" s="308"/>
      <c r="AQ499" s="244"/>
      <c r="AR499" s="244"/>
      <c r="AS499" s="308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</row>
    <row r="500" spans="1:62" ht="16.2" thickTop="1">
      <c r="A500" t="str">
        <f>+U500&amp;V489</f>
        <v>BAIIA Corpo</v>
      </c>
      <c r="B500" s="7"/>
      <c r="C500" s="244"/>
      <c r="D500" s="244"/>
      <c r="E500" s="244"/>
      <c r="F500" s="308"/>
      <c r="G500" s="244"/>
      <c r="H500" s="244"/>
      <c r="I500" s="308"/>
      <c r="J500" s="244"/>
      <c r="K500" s="244"/>
      <c r="L500" s="244"/>
      <c r="M500" s="308"/>
      <c r="N500" s="244"/>
      <c r="O500" s="244"/>
      <c r="P500" s="244"/>
      <c r="Q500" s="308"/>
      <c r="R500" s="308"/>
      <c r="S500" s="308"/>
      <c r="T500" s="244"/>
      <c r="U500" s="244"/>
      <c r="V500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</row>
    <row r="501" spans="1:62" ht="15.75" customHeight="1" outlineLevel="1">
      <c r="B501" s="7"/>
      <c r="C501" s="244"/>
      <c r="D501" s="244"/>
      <c r="E501" s="244"/>
      <c r="F501" s="308"/>
      <c r="G501" s="244"/>
      <c r="H501" s="244"/>
      <c r="I501" s="308"/>
      <c r="J501" s="244"/>
      <c r="K501" s="244"/>
      <c r="L501" s="244"/>
      <c r="M501" s="308"/>
      <c r="N501" s="244"/>
      <c r="O501" s="244"/>
      <c r="P501" s="244"/>
      <c r="Q501" s="308"/>
      <c r="R501" s="308"/>
      <c r="S501" s="308"/>
      <c r="T501" s="244"/>
      <c r="U501" s="244"/>
      <c r="V501" s="244" t="s">
        <v>237</v>
      </c>
      <c r="W501" s="244"/>
      <c r="X501" s="244"/>
      <c r="Y501" s="244"/>
      <c r="Z501" s="244"/>
      <c r="AA501" s="244"/>
      <c r="AB501" s="244"/>
      <c r="AC501" s="244"/>
      <c r="AD501" s="244"/>
      <c r="AE501" s="393"/>
      <c r="AF501" s="244">
        <v>0</v>
      </c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</row>
    <row r="502" spans="1:62" ht="15.75" customHeight="1" outlineLevel="1" thickBot="1">
      <c r="B502" s="7"/>
      <c r="C502" s="244"/>
      <c r="D502" s="244"/>
      <c r="E502" s="244"/>
      <c r="F502" s="308"/>
      <c r="G502" s="244"/>
      <c r="H502" s="244"/>
      <c r="I502" s="308"/>
      <c r="J502" s="244"/>
      <c r="K502" s="244"/>
      <c r="L502" s="244"/>
      <c r="M502" s="308"/>
      <c r="N502" s="244"/>
      <c r="O502" s="244"/>
      <c r="P502" s="244"/>
      <c r="Q502" s="308"/>
      <c r="R502" s="308"/>
      <c r="S502" s="308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393"/>
      <c r="AF502" s="39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</row>
    <row r="503" spans="1:62" ht="15.75" customHeight="1" outlineLevel="1" thickTop="1" thickBot="1">
      <c r="B503" s="7"/>
      <c r="C503" s="244"/>
      <c r="D503" s="244"/>
      <c r="E503" s="244"/>
      <c r="F503" s="308"/>
      <c r="G503" s="244"/>
      <c r="H503" s="244"/>
      <c r="I503" s="308"/>
      <c r="J503" s="244"/>
      <c r="K503" s="244"/>
      <c r="L503" s="244"/>
      <c r="M503" s="308"/>
      <c r="N503" s="244"/>
      <c r="O503" s="244"/>
      <c r="P503" s="244"/>
      <c r="Q503" s="308"/>
      <c r="R503" s="308"/>
      <c r="S503" s="308"/>
      <c r="T503" s="244"/>
      <c r="U503" s="244"/>
      <c r="V503" s="363" t="s">
        <v>238</v>
      </c>
      <c r="W503" s="364"/>
      <c r="X503" s="365"/>
      <c r="Y503" s="366"/>
      <c r="Z503" s="367"/>
      <c r="AA503" s="365"/>
      <c r="AB503" s="366"/>
      <c r="AC503" s="367"/>
      <c r="AD503" s="365"/>
      <c r="AE503" s="366"/>
      <c r="AF503" s="368">
        <f>+AF499-AF501</f>
        <v>198029.20000000016</v>
      </c>
      <c r="AG503" s="369"/>
      <c r="AH503" s="369"/>
      <c r="AI503" s="370"/>
      <c r="AJ503" s="371"/>
      <c r="AK503" s="366"/>
      <c r="AL503" s="368"/>
      <c r="AM503" s="372"/>
      <c r="AN503" s="368"/>
      <c r="AO503" s="392"/>
      <c r="AP503" s="244"/>
      <c r="AQ503" s="244"/>
      <c r="AR503" s="308"/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</row>
    <row r="504" spans="1:62" ht="17.399999999999999" thickTop="1">
      <c r="B504" s="7"/>
      <c r="C504" s="244"/>
      <c r="D504" s="244"/>
      <c r="E504" s="244"/>
      <c r="F504" s="308"/>
      <c r="G504" s="244"/>
      <c r="H504" s="244"/>
      <c r="I504" s="308"/>
      <c r="J504" s="244"/>
      <c r="K504" s="244"/>
      <c r="L504" s="244"/>
      <c r="M504" s="308"/>
      <c r="N504" s="244"/>
      <c r="O504" s="244"/>
      <c r="P504" s="244"/>
      <c r="Q504" s="308"/>
      <c r="R504" s="308"/>
      <c r="S504" s="308"/>
      <c r="T504" s="244"/>
      <c r="U504" s="244"/>
      <c r="W504" s="244"/>
      <c r="X504" s="244"/>
      <c r="Y504" s="244"/>
      <c r="Z504" s="244"/>
      <c r="AA504" s="244"/>
      <c r="AB504" s="244"/>
      <c r="AC504" s="244"/>
      <c r="AD504" s="244"/>
      <c r="AE504" s="393"/>
      <c r="AF504" s="394"/>
      <c r="AG504" s="244"/>
      <c r="AH504" s="308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</row>
    <row r="505" spans="1:62" ht="17.399999999999999">
      <c r="B505" s="7"/>
      <c r="C505" s="244"/>
      <c r="D505" s="244"/>
      <c r="E505" s="244"/>
      <c r="F505" s="308"/>
      <c r="G505" s="244"/>
      <c r="H505" s="244"/>
      <c r="I505" s="308"/>
      <c r="J505" s="244"/>
      <c r="K505" s="244"/>
      <c r="L505" s="244"/>
      <c r="M505" s="308"/>
      <c r="N505" s="244"/>
      <c r="O505" s="244"/>
      <c r="P505" s="244"/>
      <c r="Q505" s="308"/>
      <c r="R505" s="308"/>
      <c r="S505" s="308"/>
      <c r="T505" s="244"/>
      <c r="U505" s="244"/>
      <c r="W505" s="244"/>
      <c r="X505" s="244"/>
      <c r="Y505" s="244"/>
      <c r="Z505" s="308"/>
      <c r="AA505" s="244"/>
      <c r="AB505" s="244"/>
      <c r="AC505" s="244"/>
      <c r="AD505" s="244"/>
      <c r="AE505" s="244"/>
      <c r="AF505" s="482">
        <f>AF501/AF499</f>
        <v>0</v>
      </c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</row>
    <row r="506" spans="1:62" ht="16.8">
      <c r="B506" s="7"/>
      <c r="C506" s="244"/>
      <c r="D506" s="244"/>
      <c r="E506" s="244"/>
      <c r="F506" s="308"/>
      <c r="G506" s="244"/>
      <c r="H506" s="244"/>
      <c r="I506" s="308"/>
      <c r="J506" s="244"/>
      <c r="K506" s="244"/>
      <c r="L506" s="244"/>
      <c r="M506" s="308"/>
      <c r="N506" s="244"/>
      <c r="O506" s="244"/>
      <c r="P506" s="244"/>
      <c r="Q506" s="308"/>
      <c r="R506" s="308"/>
      <c r="S506" s="308"/>
      <c r="T506" s="332"/>
      <c r="U506" s="332"/>
      <c r="W506" s="244"/>
      <c r="X506" s="244"/>
      <c r="Y506" s="244"/>
      <c r="Z506" s="308"/>
      <c r="AA506" s="244"/>
      <c r="AB506" s="244"/>
      <c r="AC506" s="244"/>
      <c r="AD506" s="244"/>
      <c r="AE506" s="244"/>
      <c r="AF506" s="308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</row>
    <row r="507" spans="1:62" ht="17.399999999999999">
      <c r="B507" s="7"/>
      <c r="C507" s="244"/>
      <c r="D507" s="244"/>
      <c r="E507" s="244"/>
      <c r="F507" s="308"/>
      <c r="G507" s="244"/>
      <c r="H507" s="244"/>
      <c r="I507" s="308"/>
      <c r="J507" s="244"/>
      <c r="K507" s="244"/>
      <c r="L507" s="244"/>
      <c r="M507" s="308"/>
      <c r="N507" s="244"/>
      <c r="O507" s="244"/>
      <c r="P507" s="244"/>
      <c r="Q507" s="308"/>
      <c r="R507" s="308"/>
      <c r="S507" s="308"/>
      <c r="T507" s="332"/>
      <c r="U507" s="332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496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</row>
    <row r="508" spans="1:62" ht="17.399999999999999">
      <c r="B508" s="7"/>
      <c r="C508" s="244"/>
      <c r="D508" s="244"/>
      <c r="E508" s="244"/>
      <c r="F508" s="308"/>
      <c r="G508" s="244"/>
      <c r="H508" s="244"/>
      <c r="I508" s="308"/>
      <c r="J508" s="244"/>
      <c r="K508" s="244"/>
      <c r="L508" s="244"/>
      <c r="M508" s="308"/>
      <c r="N508" s="244"/>
      <c r="O508" s="244"/>
      <c r="P508" s="244"/>
      <c r="Q508" s="308"/>
      <c r="R508" s="308"/>
      <c r="S508" s="308"/>
      <c r="T508" s="332"/>
      <c r="U508" s="332"/>
      <c r="W508" s="244"/>
      <c r="X508" s="244"/>
      <c r="Y508" s="244"/>
      <c r="Z508" s="244"/>
      <c r="AA508" s="244"/>
      <c r="AB508" s="244"/>
      <c r="AC508" s="244"/>
      <c r="AD508" s="244" t="s">
        <v>240</v>
      </c>
      <c r="AE508" s="244"/>
      <c r="AF508" s="496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</row>
    <row r="509" spans="1:62" ht="17.399999999999999">
      <c r="B509" s="7"/>
      <c r="C509" s="244"/>
      <c r="D509" s="244"/>
      <c r="E509" s="244"/>
      <c r="F509" s="308"/>
      <c r="G509" s="244"/>
      <c r="H509" s="244"/>
      <c r="I509" s="308"/>
      <c r="J509" s="244"/>
      <c r="K509" s="244"/>
      <c r="L509" s="244"/>
      <c r="M509" s="308"/>
      <c r="N509" s="244"/>
      <c r="O509" s="244"/>
      <c r="P509" s="244"/>
      <c r="Q509" s="308"/>
      <c r="R509" s="308"/>
      <c r="S509" s="308"/>
      <c r="T509" s="332"/>
      <c r="U509" s="332"/>
      <c r="W509" s="244"/>
      <c r="X509" s="244"/>
      <c r="Y509" s="244"/>
      <c r="Z509" s="244"/>
      <c r="AA509" s="244"/>
      <c r="AB509" s="244"/>
      <c r="AC509" s="244"/>
      <c r="AD509" s="244" t="s">
        <v>239</v>
      </c>
      <c r="AE509" s="244"/>
      <c r="AF509" s="496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</row>
    <row r="510" spans="1:62" ht="17.399999999999999">
      <c r="B510" s="7"/>
      <c r="C510" s="244"/>
      <c r="D510" s="244"/>
      <c r="E510" s="244"/>
      <c r="F510" s="308"/>
      <c r="G510" s="244"/>
      <c r="H510" s="244"/>
      <c r="I510" s="308"/>
      <c r="J510" s="244"/>
      <c r="K510" s="244"/>
      <c r="L510" s="244"/>
      <c r="M510" s="308"/>
      <c r="N510" s="244"/>
      <c r="O510" s="244"/>
      <c r="P510" s="244"/>
      <c r="Q510" s="308"/>
      <c r="R510" s="308"/>
      <c r="S510" s="308"/>
      <c r="T510" s="332"/>
      <c r="U510" s="332"/>
      <c r="W510" s="244"/>
      <c r="X510" s="244"/>
      <c r="Y510" s="244"/>
      <c r="Z510" s="244"/>
      <c r="AA510" s="244"/>
      <c r="AB510" s="244"/>
      <c r="AC510" s="244"/>
      <c r="AD510" s="244" t="s">
        <v>241</v>
      </c>
      <c r="AE510" s="244"/>
      <c r="AF510" s="496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</row>
    <row r="511" spans="1:62" ht="17.399999999999999">
      <c r="B511" s="7"/>
      <c r="C511" s="244"/>
      <c r="D511" s="244"/>
      <c r="E511" s="244"/>
      <c r="F511" s="308"/>
      <c r="G511" s="244"/>
      <c r="H511" s="244"/>
      <c r="I511" s="308"/>
      <c r="J511" s="244"/>
      <c r="K511" s="244"/>
      <c r="L511" s="244"/>
      <c r="M511" s="308"/>
      <c r="N511" s="244"/>
      <c r="O511" s="244"/>
      <c r="P511" s="244"/>
      <c r="Q511" s="308"/>
      <c r="R511" s="308"/>
      <c r="S511" s="308"/>
      <c r="T511" s="332"/>
      <c r="U511" s="332"/>
      <c r="W511" s="244"/>
      <c r="X511" s="244"/>
      <c r="Y511" s="244"/>
      <c r="Z511" s="244"/>
      <c r="AA511" s="244"/>
      <c r="AB511" s="244"/>
      <c r="AC511" s="244"/>
      <c r="AD511" s="244" t="s">
        <v>267</v>
      </c>
      <c r="AE511" s="244"/>
      <c r="AF511" s="496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</row>
    <row r="512" spans="1:62" ht="17.399999999999999">
      <c r="B512" s="7"/>
      <c r="C512" s="244"/>
      <c r="D512" s="244"/>
      <c r="E512" s="244"/>
      <c r="F512" s="308"/>
      <c r="G512" s="244"/>
      <c r="H512" s="244"/>
      <c r="I512" s="308"/>
      <c r="J512" s="244"/>
      <c r="K512" s="244"/>
      <c r="L512" s="244"/>
      <c r="M512" s="308"/>
      <c r="N512" s="244"/>
      <c r="O512" s="244"/>
      <c r="P512" s="244"/>
      <c r="Q512" s="308"/>
      <c r="R512" s="308"/>
      <c r="S512" s="308"/>
      <c r="T512" s="332"/>
      <c r="U512" s="332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497">
        <f>AF499+AF508+AF509+AF510+AF511</f>
        <v>198029.20000000016</v>
      </c>
      <c r="AG512" s="308">
        <f>AF512-AF506</f>
        <v>198029.20000000016</v>
      </c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</row>
    <row r="513" spans="2:62" ht="16.8">
      <c r="B513" s="7"/>
      <c r="C513" s="244"/>
      <c r="D513" s="244"/>
      <c r="E513" s="244"/>
      <c r="F513" s="308"/>
      <c r="G513" s="244"/>
      <c r="H513" s="244"/>
      <c r="I513" s="308"/>
      <c r="J513" s="244"/>
      <c r="K513" s="244"/>
      <c r="L513" s="244"/>
      <c r="M513" s="308"/>
      <c r="N513" s="244"/>
      <c r="O513" s="244"/>
      <c r="P513" s="244"/>
      <c r="Q513" s="308"/>
      <c r="R513" s="308"/>
      <c r="S513" s="308"/>
      <c r="T513" s="332"/>
      <c r="U513" s="332"/>
      <c r="W513" s="332"/>
      <c r="X513" s="332"/>
      <c r="Y513" s="244"/>
      <c r="Z513" s="244"/>
      <c r="AA513" s="244"/>
      <c r="AB513" s="244"/>
      <c r="AC513" s="244"/>
      <c r="AD513" s="244"/>
      <c r="AE513" s="244"/>
      <c r="AF513" s="308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</row>
    <row r="514" spans="2:62" ht="16.8">
      <c r="B514" s="7"/>
      <c r="C514" s="244"/>
      <c r="D514" s="244"/>
      <c r="E514" s="244"/>
      <c r="F514" s="308"/>
      <c r="G514" s="244"/>
      <c r="H514" s="244"/>
      <c r="I514" s="308"/>
      <c r="J514" s="244"/>
      <c r="K514" s="244"/>
      <c r="L514" s="244"/>
      <c r="M514" s="308"/>
      <c r="N514" s="244"/>
      <c r="O514" s="244"/>
      <c r="P514" s="244"/>
      <c r="Q514" s="308"/>
      <c r="R514" s="308"/>
      <c r="S514" s="308"/>
      <c r="T514" s="332"/>
      <c r="U514" s="332"/>
      <c r="W514" s="332"/>
      <c r="X514" s="332"/>
      <c r="Y514" s="244"/>
      <c r="Z514" s="244"/>
      <c r="AA514" s="244"/>
      <c r="AB514" s="244"/>
      <c r="AC514" s="244"/>
      <c r="AD514" s="244"/>
      <c r="AE514" s="244"/>
      <c r="AF514" s="308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</row>
    <row r="515" spans="2:62" ht="16.8">
      <c r="B515" s="7"/>
      <c r="C515" s="244"/>
      <c r="D515" s="244"/>
      <c r="E515" s="244"/>
      <c r="F515" s="308"/>
      <c r="G515" s="244"/>
      <c r="H515" s="244"/>
      <c r="I515" s="308"/>
      <c r="J515" s="244"/>
      <c r="K515" s="244"/>
      <c r="L515" s="244"/>
      <c r="M515" s="308"/>
      <c r="N515" s="244"/>
      <c r="O515" s="244"/>
      <c r="P515" s="244"/>
      <c r="Q515" s="308"/>
      <c r="R515" s="308"/>
      <c r="S515" s="308"/>
      <c r="T515" s="332"/>
      <c r="U515" s="332"/>
      <c r="W515" s="332"/>
      <c r="X515" s="332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</row>
    <row r="516" spans="2:62" ht="16.8">
      <c r="B516" s="7"/>
      <c r="C516" s="244"/>
      <c r="D516" s="244"/>
      <c r="E516" s="244"/>
      <c r="F516" s="308"/>
      <c r="G516" s="244"/>
      <c r="H516" s="244"/>
      <c r="I516" s="308"/>
      <c r="J516" s="244"/>
      <c r="K516" s="244"/>
      <c r="L516" s="244"/>
      <c r="M516" s="308"/>
      <c r="N516" s="244"/>
      <c r="O516" s="244"/>
      <c r="P516" s="244"/>
      <c r="Q516" s="308"/>
      <c r="R516" s="308"/>
      <c r="S516" s="308"/>
      <c r="T516" s="332"/>
      <c r="U516" s="332"/>
      <c r="W516" s="332"/>
      <c r="X516" s="332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</row>
    <row r="517" spans="2:62" ht="16.8">
      <c r="B517" s="7"/>
      <c r="C517" s="244"/>
      <c r="D517" s="244"/>
      <c r="E517" s="244"/>
      <c r="F517" s="308"/>
      <c r="G517" s="244"/>
      <c r="H517" s="244"/>
      <c r="I517" s="308"/>
      <c r="J517" s="244"/>
      <c r="K517" s="244"/>
      <c r="L517" s="244"/>
      <c r="M517" s="308"/>
      <c r="N517" s="244"/>
      <c r="O517" s="244"/>
      <c r="P517" s="244"/>
      <c r="Q517" s="308"/>
      <c r="R517" s="308"/>
      <c r="S517" s="308"/>
      <c r="T517" s="332"/>
      <c r="U517" s="332"/>
      <c r="W517" s="332"/>
      <c r="X517" s="332"/>
      <c r="Y517" s="244"/>
      <c r="Z517" s="244"/>
      <c r="AA517" s="244"/>
      <c r="AB517" s="244"/>
      <c r="AC517" s="244"/>
      <c r="AD517" s="244"/>
      <c r="AE517" s="244"/>
      <c r="AF517" s="308"/>
      <c r="AG517" s="308"/>
      <c r="AH517" s="308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</row>
    <row r="518" spans="2:62" ht="16.8">
      <c r="B518" s="7"/>
      <c r="C518" s="244"/>
      <c r="D518" s="244"/>
      <c r="E518" s="244"/>
      <c r="F518" s="308"/>
      <c r="G518" s="244"/>
      <c r="H518" s="244"/>
      <c r="I518" s="308"/>
      <c r="J518" s="244"/>
      <c r="K518" s="244"/>
      <c r="L518" s="244"/>
      <c r="M518" s="308"/>
      <c r="N518" s="244"/>
      <c r="O518" s="244"/>
      <c r="P518" s="244"/>
      <c r="Q518" s="308"/>
      <c r="R518" s="308"/>
      <c r="S518" s="308"/>
      <c r="T518" s="332"/>
      <c r="U518" s="332"/>
      <c r="W518" s="332"/>
      <c r="X518" s="332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</row>
    <row r="519" spans="2:62" ht="16.8">
      <c r="B519" s="7"/>
      <c r="C519" s="395"/>
      <c r="D519" s="332"/>
      <c r="E519" s="332"/>
      <c r="F519" s="396"/>
      <c r="G519" s="332"/>
      <c r="H519" s="332"/>
      <c r="I519" s="396"/>
      <c r="J519" s="332"/>
      <c r="K519" s="332"/>
      <c r="L519" s="332"/>
      <c r="M519" s="396"/>
      <c r="N519" s="332"/>
      <c r="O519" s="332"/>
      <c r="P519" s="332"/>
      <c r="Q519" s="396"/>
      <c r="R519" s="396"/>
      <c r="S519" s="396"/>
      <c r="T519" s="332"/>
      <c r="U519" s="332"/>
      <c r="W519" s="332"/>
      <c r="X519" s="332"/>
      <c r="Y519" s="244"/>
      <c r="Z519" s="244"/>
      <c r="AA519" s="244"/>
      <c r="AB519" s="244"/>
      <c r="AC519" s="244"/>
      <c r="AD519" s="244"/>
      <c r="AE519" s="244"/>
      <c r="AF519" s="308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</row>
    <row r="520" spans="2:62" ht="16.8">
      <c r="B520" s="7"/>
      <c r="C520" s="397"/>
      <c r="D520" s="332"/>
      <c r="E520" s="332"/>
      <c r="F520" s="396"/>
      <c r="G520" s="332"/>
      <c r="H520" s="332"/>
      <c r="I520" s="396"/>
      <c r="J520" s="332"/>
      <c r="K520" s="332"/>
      <c r="L520" s="332"/>
      <c r="M520" s="396"/>
      <c r="N520" s="332"/>
      <c r="O520" s="332"/>
      <c r="P520" s="332"/>
      <c r="Q520" s="396"/>
      <c r="R520" s="396"/>
      <c r="S520" s="396"/>
      <c r="T520" s="332"/>
      <c r="U520" s="332"/>
      <c r="W520" s="332"/>
      <c r="X520" s="332"/>
      <c r="Y520" s="244"/>
      <c r="Z520" s="244"/>
      <c r="AA520" s="244"/>
      <c r="AB520" s="244"/>
      <c r="AC520" s="244"/>
      <c r="AD520" s="244"/>
      <c r="AE520" s="244"/>
      <c r="AF520" s="308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</row>
    <row r="521" spans="2:62" ht="16.8">
      <c r="B521" s="7"/>
      <c r="C521" s="332"/>
      <c r="D521" s="332"/>
      <c r="E521" s="332"/>
      <c r="F521" s="396"/>
      <c r="G521" s="332"/>
      <c r="H521" s="332"/>
      <c r="I521" s="396"/>
      <c r="J521" s="332"/>
      <c r="K521" s="332"/>
      <c r="L521" s="332"/>
      <c r="M521" s="396"/>
      <c r="N521" s="332"/>
      <c r="O521" s="332"/>
      <c r="P521" s="332"/>
      <c r="Q521" s="396"/>
      <c r="R521" s="396"/>
      <c r="S521" s="396"/>
      <c r="T521" s="332"/>
      <c r="U521" s="332"/>
      <c r="W521" s="332"/>
      <c r="X521" s="332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</row>
    <row r="522" spans="2:62" ht="16.8">
      <c r="B522" s="7"/>
      <c r="C522" s="332"/>
      <c r="D522" s="332"/>
      <c r="E522" s="332"/>
      <c r="F522" s="332"/>
      <c r="G522" s="332"/>
      <c r="H522" s="332"/>
      <c r="I522" s="332"/>
      <c r="J522" s="395"/>
      <c r="K522" s="395"/>
      <c r="L522" s="395"/>
      <c r="M522" s="396"/>
      <c r="N522" s="332"/>
      <c r="O522" s="332"/>
      <c r="P522" s="332"/>
      <c r="Q522" s="332"/>
      <c r="R522" s="332"/>
      <c r="S522" s="396"/>
      <c r="T522" s="332"/>
      <c r="U522" s="332"/>
      <c r="W522" s="332"/>
      <c r="X522" s="332"/>
      <c r="Y522" s="244"/>
      <c r="Z522" s="244"/>
      <c r="AA522" s="244"/>
      <c r="AB522" s="244"/>
      <c r="AC522" s="244"/>
      <c r="AD522" s="244"/>
      <c r="AE522" s="244"/>
      <c r="AF522" s="308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</row>
    <row r="523" spans="2:62" ht="16.8">
      <c r="B523" s="7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96"/>
      <c r="N523" s="332"/>
      <c r="O523" s="332"/>
      <c r="P523" s="332"/>
      <c r="Q523" s="332"/>
      <c r="R523" s="332"/>
      <c r="S523" s="396"/>
      <c r="T523" s="332"/>
      <c r="U523" s="332"/>
      <c r="W523" s="332"/>
      <c r="X523" s="332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</row>
    <row r="524" spans="2:62" ht="16.8">
      <c r="B524" s="7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96"/>
      <c r="N524" s="332"/>
      <c r="O524" s="332"/>
      <c r="P524" s="332"/>
      <c r="Q524" s="332"/>
      <c r="R524" s="332"/>
      <c r="S524" s="396"/>
      <c r="T524" s="332"/>
      <c r="U524" s="332"/>
      <c r="W524" s="332"/>
      <c r="X524" s="332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</row>
    <row r="525" spans="2:62" ht="16.8">
      <c r="B525" s="7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96"/>
      <c r="N525" s="332"/>
      <c r="O525" s="332"/>
      <c r="P525" s="332"/>
      <c r="Q525" s="332"/>
      <c r="R525" s="332"/>
      <c r="S525" s="396"/>
      <c r="T525" s="332"/>
      <c r="U525" s="332"/>
      <c r="W525" s="332"/>
      <c r="X525" s="332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</row>
    <row r="526" spans="2:62" ht="16.8">
      <c r="B526" s="7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96"/>
      <c r="N526" s="332"/>
      <c r="O526" s="332"/>
      <c r="P526" s="332"/>
      <c r="Q526" s="332"/>
      <c r="R526" s="332"/>
      <c r="S526" s="332"/>
      <c r="T526" s="332"/>
      <c r="U526" s="332"/>
      <c r="W526" s="332"/>
      <c r="X526" s="332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</row>
    <row r="527" spans="2:62" ht="15.6">
      <c r="B527" s="7"/>
      <c r="C527" s="332"/>
      <c r="D527" s="332"/>
      <c r="E527" s="332"/>
      <c r="F527" s="332"/>
      <c r="G527" s="332"/>
      <c r="H527" s="332"/>
      <c r="I527" s="332"/>
      <c r="J527" s="395"/>
      <c r="K527" s="395"/>
      <c r="L527" s="395"/>
      <c r="M527" s="398"/>
      <c r="N527" s="395"/>
      <c r="O527" s="395"/>
      <c r="P527" s="395"/>
      <c r="Q527" s="332"/>
      <c r="R527" s="332"/>
      <c r="S527" s="395"/>
      <c r="T527" s="332"/>
      <c r="U527" s="332"/>
      <c r="V527" s="244"/>
      <c r="W527" s="332"/>
      <c r="X527" s="332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</row>
    <row r="528" spans="2:62" ht="16.8">
      <c r="B528" s="7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W528" s="332"/>
      <c r="X528" s="332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</row>
    <row r="529" spans="2:62" ht="16.8">
      <c r="B529" s="7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W529" s="332"/>
      <c r="X529" s="332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</row>
    <row r="530" spans="2:62" ht="16.8">
      <c r="B530" s="7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W530" s="332"/>
      <c r="X530" s="332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</row>
    <row r="531" spans="2:62" ht="17.399999999999999">
      <c r="B531" s="7"/>
      <c r="C531" s="399"/>
      <c r="D531" s="400"/>
      <c r="E531" s="400"/>
      <c r="F531" s="400"/>
      <c r="G531" s="400"/>
      <c r="H531" s="400"/>
      <c r="I531" s="400"/>
      <c r="J531" s="400"/>
      <c r="K531" s="400"/>
      <c r="L531" s="400"/>
      <c r="M531" s="400"/>
      <c r="N531" s="400"/>
      <c r="O531" s="400"/>
      <c r="P531" s="400"/>
      <c r="Q531" s="400"/>
      <c r="R531" s="400"/>
      <c r="S531" s="400"/>
      <c r="T531" s="332"/>
      <c r="U531" s="332"/>
      <c r="W531" s="332"/>
      <c r="X531" s="332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</row>
    <row r="532" spans="2:62" ht="16.8">
      <c r="B532" s="7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401"/>
      <c r="R532" s="332"/>
      <c r="S532" s="332"/>
      <c r="T532" s="332"/>
      <c r="U532" s="332"/>
      <c r="W532" s="332"/>
      <c r="X532" s="332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</row>
    <row r="533" spans="2:62" ht="16.8">
      <c r="B533" s="7"/>
      <c r="C533" s="332"/>
      <c r="D533" s="332"/>
      <c r="E533" s="332"/>
      <c r="F533" s="332"/>
      <c r="G533" s="332"/>
      <c r="H533" s="332"/>
      <c r="I533" s="332"/>
      <c r="J533" s="332"/>
      <c r="K533" s="332"/>
      <c r="L533" s="402"/>
      <c r="M533" s="403"/>
      <c r="N533" s="403"/>
      <c r="O533" s="332"/>
      <c r="P533" s="402"/>
      <c r="Q533" s="403"/>
      <c r="R533" s="403"/>
      <c r="S533" s="402"/>
      <c r="T533" s="332"/>
      <c r="U533" s="332"/>
      <c r="W533" s="332"/>
      <c r="X533" s="332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</row>
    <row r="534" spans="2:62" ht="16.8">
      <c r="B534" s="7"/>
      <c r="C534" s="332"/>
      <c r="D534" s="332"/>
      <c r="E534" s="402"/>
      <c r="F534" s="404"/>
      <c r="G534" s="332"/>
      <c r="H534" s="402"/>
      <c r="I534" s="404"/>
      <c r="J534" s="403"/>
      <c r="K534" s="395"/>
      <c r="L534" s="402"/>
      <c r="M534" s="403"/>
      <c r="N534" s="403"/>
      <c r="O534" s="395"/>
      <c r="P534" s="402"/>
      <c r="Q534" s="403"/>
      <c r="R534" s="403"/>
      <c r="S534" s="402"/>
      <c r="T534" s="332"/>
      <c r="U534" s="332"/>
      <c r="W534" s="332"/>
      <c r="X534" s="332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</row>
    <row r="535" spans="2:62" ht="16.8">
      <c r="B535" s="7"/>
      <c r="C535" s="332"/>
      <c r="D535" s="405"/>
      <c r="E535" s="404"/>
      <c r="F535" s="404"/>
      <c r="G535" s="405"/>
      <c r="H535" s="404"/>
      <c r="I535" s="404"/>
      <c r="J535" s="404"/>
      <c r="K535" s="404"/>
      <c r="L535" s="404"/>
      <c r="M535" s="404"/>
      <c r="N535" s="404"/>
      <c r="O535" s="404"/>
      <c r="P535" s="404"/>
      <c r="Q535" s="404"/>
      <c r="R535" s="404"/>
      <c r="S535" s="404"/>
      <c r="T535" s="332"/>
      <c r="U535" s="332"/>
      <c r="W535" s="332"/>
      <c r="X535" s="332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</row>
    <row r="536" spans="2:62" ht="16.8">
      <c r="B536" s="7"/>
      <c r="C536" s="39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W536" s="332"/>
      <c r="X536" s="332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</row>
    <row r="537" spans="2:62" ht="16.8">
      <c r="B537" s="7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W537" s="332"/>
      <c r="X537" s="332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</row>
    <row r="538" spans="2:62" ht="16.8">
      <c r="B538" s="7"/>
      <c r="C538" s="332"/>
      <c r="D538" s="332"/>
      <c r="E538" s="396"/>
      <c r="F538" s="406"/>
      <c r="G538" s="332"/>
      <c r="H538" s="396"/>
      <c r="I538" s="406"/>
      <c r="J538" s="406"/>
      <c r="K538" s="396"/>
      <c r="L538" s="406"/>
      <c r="M538" s="396"/>
      <c r="N538" s="406"/>
      <c r="O538" s="396"/>
      <c r="P538" s="406"/>
      <c r="Q538" s="396"/>
      <c r="R538" s="396"/>
      <c r="S538" s="396"/>
      <c r="T538" s="332"/>
      <c r="U538" s="332"/>
      <c r="W538" s="332"/>
      <c r="X538" s="332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</row>
    <row r="539" spans="2:62" ht="16.8">
      <c r="B539" s="7"/>
      <c r="C539" s="332"/>
      <c r="D539" s="332"/>
      <c r="E539" s="396"/>
      <c r="F539" s="406"/>
      <c r="G539" s="332"/>
      <c r="H539" s="396"/>
      <c r="I539" s="406"/>
      <c r="J539" s="406"/>
      <c r="K539" s="396"/>
      <c r="L539" s="406"/>
      <c r="M539" s="396"/>
      <c r="N539" s="406"/>
      <c r="O539" s="396"/>
      <c r="P539" s="406"/>
      <c r="Q539" s="396"/>
      <c r="R539" s="396"/>
      <c r="S539" s="396"/>
      <c r="T539" s="332"/>
      <c r="U539" s="332"/>
      <c r="W539" s="332"/>
      <c r="X539" s="332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</row>
    <row r="540" spans="2:62" ht="16.8">
      <c r="B540" s="7"/>
      <c r="C540" s="332"/>
      <c r="D540" s="332"/>
      <c r="E540" s="396"/>
      <c r="F540" s="406"/>
      <c r="G540" s="332"/>
      <c r="H540" s="396"/>
      <c r="I540" s="406"/>
      <c r="J540" s="406"/>
      <c r="K540" s="396"/>
      <c r="L540" s="406"/>
      <c r="M540" s="396"/>
      <c r="N540" s="406"/>
      <c r="O540" s="396"/>
      <c r="P540" s="406"/>
      <c r="Q540" s="396"/>
      <c r="R540" s="396"/>
      <c r="S540" s="396"/>
      <c r="T540" s="332"/>
      <c r="U540" s="332"/>
      <c r="W540" s="332"/>
      <c r="X540" s="332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</row>
    <row r="541" spans="2:62" ht="16.8">
      <c r="B541" s="7"/>
      <c r="C541" s="332"/>
      <c r="D541" s="332"/>
      <c r="E541" s="396"/>
      <c r="F541" s="406"/>
      <c r="G541" s="332"/>
      <c r="H541" s="396"/>
      <c r="I541" s="406"/>
      <c r="J541" s="406"/>
      <c r="K541" s="396"/>
      <c r="L541" s="406"/>
      <c r="M541" s="396"/>
      <c r="N541" s="406"/>
      <c r="O541" s="396"/>
      <c r="P541" s="406"/>
      <c r="Q541" s="396"/>
      <c r="R541" s="396"/>
      <c r="S541" s="396"/>
      <c r="T541" s="332"/>
      <c r="U541" s="332"/>
      <c r="W541" s="332"/>
      <c r="X541" s="332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</row>
    <row r="542" spans="2:62" ht="16.8">
      <c r="B542" s="7"/>
      <c r="C542" s="332"/>
      <c r="D542" s="332"/>
      <c r="E542" s="396"/>
      <c r="F542" s="406"/>
      <c r="G542" s="332"/>
      <c r="H542" s="396"/>
      <c r="I542" s="406"/>
      <c r="J542" s="406"/>
      <c r="K542" s="396"/>
      <c r="L542" s="406"/>
      <c r="M542" s="396"/>
      <c r="N542" s="406"/>
      <c r="O542" s="396"/>
      <c r="P542" s="406"/>
      <c r="Q542" s="396"/>
      <c r="R542" s="396"/>
      <c r="S542" s="332"/>
      <c r="T542" s="332"/>
      <c r="U542" s="332"/>
      <c r="W542" s="332"/>
      <c r="X542" s="332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</row>
    <row r="543" spans="2:62" ht="16.8">
      <c r="B543" s="7"/>
      <c r="C543" s="332"/>
      <c r="D543" s="332"/>
      <c r="E543" s="396"/>
      <c r="F543" s="406"/>
      <c r="G543" s="332"/>
      <c r="H543" s="396"/>
      <c r="I543" s="406"/>
      <c r="J543" s="406"/>
      <c r="K543" s="396"/>
      <c r="L543" s="406"/>
      <c r="M543" s="396"/>
      <c r="N543" s="406"/>
      <c r="O543" s="396"/>
      <c r="P543" s="406"/>
      <c r="Q543" s="396"/>
      <c r="R543" s="396"/>
      <c r="S543" s="396"/>
      <c r="T543" s="332"/>
      <c r="U543" s="332"/>
      <c r="W543" s="332"/>
      <c r="X543" s="332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</row>
    <row r="544" spans="2:62" ht="16.8">
      <c r="B544" s="7"/>
      <c r="C544" s="332"/>
      <c r="D544" s="332"/>
      <c r="E544" s="396"/>
      <c r="F544" s="407"/>
      <c r="G544" s="332"/>
      <c r="H544" s="396"/>
      <c r="I544" s="407"/>
      <c r="J544" s="406"/>
      <c r="K544" s="396"/>
      <c r="L544" s="406"/>
      <c r="M544" s="396"/>
      <c r="N544" s="406"/>
      <c r="O544" s="396"/>
      <c r="P544" s="332"/>
      <c r="Q544" s="332"/>
      <c r="R544" s="396"/>
      <c r="S544" s="396"/>
      <c r="T544" s="332"/>
      <c r="U544" s="332"/>
      <c r="W544" s="332"/>
      <c r="X544" s="332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</row>
    <row r="545" spans="2:62" ht="16.8">
      <c r="B545" s="7"/>
      <c r="C545" s="395"/>
      <c r="D545" s="395"/>
      <c r="E545" s="398"/>
      <c r="F545" s="408"/>
      <c r="G545" s="395"/>
      <c r="H545" s="398"/>
      <c r="I545" s="408"/>
      <c r="J545" s="408"/>
      <c r="K545" s="398"/>
      <c r="L545" s="408"/>
      <c r="M545" s="398"/>
      <c r="N545" s="408"/>
      <c r="O545" s="398"/>
      <c r="P545" s="408"/>
      <c r="Q545" s="398"/>
      <c r="R545" s="398"/>
      <c r="S545" s="395"/>
      <c r="T545" s="332"/>
      <c r="U545" s="332"/>
      <c r="W545" s="332"/>
      <c r="X545" s="332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</row>
    <row r="546" spans="2:62" ht="16.8">
      <c r="B546" s="7"/>
      <c r="C546" s="332"/>
      <c r="D546" s="332"/>
      <c r="E546" s="396"/>
      <c r="F546" s="332"/>
      <c r="G546" s="332"/>
      <c r="H546" s="396"/>
      <c r="I546" s="332"/>
      <c r="J546" s="406"/>
      <c r="K546" s="396"/>
      <c r="L546" s="406"/>
      <c r="M546" s="396"/>
      <c r="N546" s="406"/>
      <c r="O546" s="396"/>
      <c r="P546" s="395"/>
      <c r="Q546" s="408"/>
      <c r="R546" s="408"/>
      <c r="S546" s="332"/>
      <c r="T546" s="332"/>
      <c r="U546" s="332"/>
      <c r="W546" s="332"/>
      <c r="X546" s="332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</row>
    <row r="547" spans="2:62" ht="16.8">
      <c r="B547" s="7"/>
      <c r="C547" s="332"/>
      <c r="D547" s="332"/>
      <c r="E547" s="396"/>
      <c r="F547" s="332"/>
      <c r="G547" s="332"/>
      <c r="H547" s="396"/>
      <c r="I547" s="332"/>
      <c r="J547" s="406"/>
      <c r="K547" s="396"/>
      <c r="L547" s="406"/>
      <c r="M547" s="396"/>
      <c r="N547" s="406"/>
      <c r="O547" s="396"/>
      <c r="P547" s="332"/>
      <c r="Q547" s="332"/>
      <c r="R547" s="396"/>
      <c r="S547" s="332"/>
      <c r="T547" s="332"/>
      <c r="U547" s="332"/>
      <c r="W547" s="332"/>
      <c r="X547" s="332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</row>
    <row r="548" spans="2:62" ht="16.8">
      <c r="B548" s="7"/>
      <c r="C548" s="395"/>
      <c r="D548" s="332"/>
      <c r="E548" s="396"/>
      <c r="F548" s="332"/>
      <c r="G548" s="332"/>
      <c r="H548" s="396"/>
      <c r="I548" s="332"/>
      <c r="J548" s="406"/>
      <c r="K548" s="396"/>
      <c r="L548" s="406"/>
      <c r="M548" s="396"/>
      <c r="N548" s="406"/>
      <c r="O548" s="396"/>
      <c r="P548" s="332"/>
      <c r="Q548" s="332"/>
      <c r="R548" s="396"/>
      <c r="S548" s="332"/>
      <c r="T548" s="332"/>
      <c r="U548" s="332"/>
      <c r="W548" s="332"/>
      <c r="X548" s="332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</row>
    <row r="549" spans="2:62" ht="16.8">
      <c r="B549" s="7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W549" s="332"/>
      <c r="X549" s="332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</row>
    <row r="550" spans="2:62" ht="16.8">
      <c r="B550" s="7"/>
      <c r="C550" s="332"/>
      <c r="D550" s="332"/>
      <c r="E550" s="396"/>
      <c r="F550" s="406"/>
      <c r="G550" s="332"/>
      <c r="H550" s="396"/>
      <c r="I550" s="406"/>
      <c r="J550" s="406"/>
      <c r="K550" s="332"/>
      <c r="L550" s="406"/>
      <c r="M550" s="332"/>
      <c r="N550" s="406"/>
      <c r="O550" s="332"/>
      <c r="P550" s="406"/>
      <c r="Q550" s="396"/>
      <c r="R550" s="396"/>
      <c r="S550" s="332"/>
      <c r="T550" s="332"/>
      <c r="U550" s="332"/>
      <c r="W550" s="332"/>
      <c r="X550" s="332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</row>
    <row r="551" spans="2:62" ht="16.8">
      <c r="B551" s="7"/>
      <c r="C551" s="332"/>
      <c r="D551" s="332"/>
      <c r="E551" s="396"/>
      <c r="F551" s="407"/>
      <c r="G551" s="332"/>
      <c r="H551" s="396"/>
      <c r="I551" s="407"/>
      <c r="J551" s="406"/>
      <c r="K551" s="396"/>
      <c r="L551" s="406"/>
      <c r="M551" s="396"/>
      <c r="N551" s="406"/>
      <c r="O551" s="396"/>
      <c r="P551" s="332"/>
      <c r="Q551" s="406"/>
      <c r="R551" s="406"/>
      <c r="S551" s="396"/>
      <c r="T551" s="332"/>
      <c r="U551" s="332"/>
      <c r="W551" s="332"/>
      <c r="X551" s="332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</row>
    <row r="552" spans="2:62" ht="16.8">
      <c r="B552" s="7"/>
      <c r="C552" s="332"/>
      <c r="D552" s="332"/>
      <c r="E552" s="396"/>
      <c r="F552" s="407"/>
      <c r="G552" s="332"/>
      <c r="H552" s="396"/>
      <c r="I552" s="407"/>
      <c r="J552" s="406"/>
      <c r="K552" s="396"/>
      <c r="L552" s="406"/>
      <c r="M552" s="396"/>
      <c r="N552" s="406"/>
      <c r="O552" s="396"/>
      <c r="P552" s="332"/>
      <c r="Q552" s="332"/>
      <c r="R552" s="396"/>
      <c r="S552" s="396"/>
      <c r="T552" s="332"/>
      <c r="U552" s="332"/>
      <c r="W552" s="332"/>
      <c r="X552" s="332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</row>
    <row r="553" spans="2:62" ht="16.8">
      <c r="B553" s="7"/>
      <c r="C553" s="332"/>
      <c r="D553" s="332"/>
      <c r="E553" s="396"/>
      <c r="F553" s="406"/>
      <c r="G553" s="332"/>
      <c r="H553" s="396"/>
      <c r="I553" s="406"/>
      <c r="J553" s="406"/>
      <c r="K553" s="396"/>
      <c r="L553" s="406"/>
      <c r="M553" s="396"/>
      <c r="N553" s="406"/>
      <c r="O553" s="396"/>
      <c r="P553" s="332"/>
      <c r="Q553" s="332"/>
      <c r="R553" s="396"/>
      <c r="S553" s="332"/>
      <c r="T553" s="332"/>
      <c r="U553" s="332"/>
      <c r="W553" s="332"/>
      <c r="X553" s="332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</row>
    <row r="554" spans="2:62" ht="16.8">
      <c r="B554" s="7"/>
      <c r="C554" s="395"/>
      <c r="D554" s="395"/>
      <c r="E554" s="398"/>
      <c r="F554" s="408"/>
      <c r="G554" s="395"/>
      <c r="H554" s="398"/>
      <c r="I554" s="408"/>
      <c r="J554" s="408"/>
      <c r="K554" s="398"/>
      <c r="L554" s="408"/>
      <c r="M554" s="398"/>
      <c r="N554" s="408"/>
      <c r="O554" s="398"/>
      <c r="P554" s="408"/>
      <c r="Q554" s="395"/>
      <c r="R554" s="398"/>
      <c r="S554" s="395"/>
      <c r="T554" s="332"/>
      <c r="U554" s="332"/>
      <c r="W554" s="332"/>
      <c r="X554" s="332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</row>
    <row r="555" spans="2:62" ht="16.8">
      <c r="B555" s="7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95"/>
      <c r="Q555" s="408"/>
      <c r="R555" s="408"/>
      <c r="S555" s="332"/>
      <c r="T555" s="332"/>
      <c r="U555" s="332"/>
      <c r="W555" s="332"/>
      <c r="X555" s="332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</row>
    <row r="556" spans="2:62" ht="16.8">
      <c r="B556" s="7"/>
      <c r="C556" s="332"/>
      <c r="D556" s="332"/>
      <c r="E556" s="396"/>
      <c r="F556" s="406"/>
      <c r="G556" s="332"/>
      <c r="H556" s="396"/>
      <c r="I556" s="406"/>
      <c r="J556" s="406"/>
      <c r="K556" s="396"/>
      <c r="L556" s="406"/>
      <c r="M556" s="396"/>
      <c r="N556" s="406"/>
      <c r="O556" s="396"/>
      <c r="P556" s="332"/>
      <c r="Q556" s="332"/>
      <c r="R556" s="396"/>
      <c r="S556" s="332"/>
      <c r="T556" s="332"/>
      <c r="U556" s="332"/>
      <c r="W556" s="332"/>
      <c r="X556" s="332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</row>
    <row r="557" spans="2:62" ht="16.8">
      <c r="B557" s="7"/>
      <c r="C557" s="395"/>
      <c r="D557" s="332"/>
      <c r="E557" s="396"/>
      <c r="F557" s="406"/>
      <c r="G557" s="332"/>
      <c r="H557" s="396"/>
      <c r="I557" s="406"/>
      <c r="J557" s="406"/>
      <c r="K557" s="396"/>
      <c r="L557" s="406"/>
      <c r="M557" s="396"/>
      <c r="N557" s="406"/>
      <c r="O557" s="396"/>
      <c r="P557" s="332"/>
      <c r="Q557" s="332"/>
      <c r="R557" s="396"/>
      <c r="S557" s="332"/>
      <c r="T557" s="332"/>
      <c r="U557" s="332"/>
      <c r="W557" s="332"/>
      <c r="X557" s="332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</row>
    <row r="558" spans="2:62" ht="16.8">
      <c r="B558" s="7"/>
      <c r="C558" s="332"/>
      <c r="D558" s="332"/>
      <c r="E558" s="396"/>
      <c r="F558" s="406"/>
      <c r="G558" s="332"/>
      <c r="H558" s="396"/>
      <c r="I558" s="406"/>
      <c r="J558" s="406"/>
      <c r="K558" s="396"/>
      <c r="L558" s="406"/>
      <c r="M558" s="396"/>
      <c r="N558" s="406"/>
      <c r="O558" s="396"/>
      <c r="P558" s="332"/>
      <c r="Q558" s="332"/>
      <c r="R558" s="396"/>
      <c r="S558" s="332"/>
      <c r="T558" s="332"/>
      <c r="U558" s="332"/>
      <c r="W558" s="332"/>
      <c r="X558" s="332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</row>
    <row r="559" spans="2:62" ht="16.8">
      <c r="B559" s="7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406"/>
      <c r="Q559" s="396"/>
      <c r="R559" s="332"/>
      <c r="S559" s="396"/>
      <c r="T559" s="332"/>
      <c r="U559" s="332"/>
      <c r="W559" s="332"/>
      <c r="X559" s="332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</row>
    <row r="560" spans="2:62" ht="16.8">
      <c r="B560" s="7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406"/>
      <c r="Q560" s="396"/>
      <c r="R560" s="332"/>
      <c r="S560" s="396"/>
      <c r="T560" s="332"/>
      <c r="U560" s="332"/>
      <c r="W560" s="332"/>
      <c r="X560" s="332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</row>
    <row r="561" spans="2:62" ht="16.8">
      <c r="B561" s="7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406"/>
      <c r="Q561" s="396"/>
      <c r="R561" s="332"/>
      <c r="S561" s="396"/>
      <c r="T561" s="332"/>
      <c r="U561" s="332"/>
      <c r="W561" s="332"/>
      <c r="X561" s="332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</row>
    <row r="562" spans="2:62" ht="16.8">
      <c r="B562" s="7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406"/>
      <c r="Q562" s="396"/>
      <c r="R562" s="332"/>
      <c r="S562" s="396"/>
      <c r="T562" s="332"/>
      <c r="U562" s="332"/>
      <c r="W562" s="332"/>
      <c r="X562" s="332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</row>
    <row r="563" spans="2:62" ht="16.8">
      <c r="B563" s="7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406"/>
      <c r="Q563" s="396"/>
      <c r="R563" s="332"/>
      <c r="S563" s="396"/>
      <c r="T563" s="332"/>
      <c r="U563" s="332"/>
      <c r="W563" s="332"/>
      <c r="X563" s="332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</row>
    <row r="564" spans="2:62" ht="16.8">
      <c r="B564" s="7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406"/>
      <c r="Q564" s="396"/>
      <c r="R564" s="332"/>
      <c r="S564" s="396"/>
      <c r="T564" s="332"/>
      <c r="U564" s="332"/>
      <c r="W564" s="332"/>
      <c r="X564" s="332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</row>
    <row r="565" spans="2:62" ht="16.8">
      <c r="B565" s="7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406"/>
      <c r="Q565" s="396"/>
      <c r="R565" s="332"/>
      <c r="S565" s="396"/>
      <c r="T565" s="332"/>
      <c r="U565" s="332"/>
      <c r="W565" s="332"/>
      <c r="X565" s="332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</row>
    <row r="566" spans="2:62" ht="16.8">
      <c r="B566" s="7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406"/>
      <c r="Q566" s="396"/>
      <c r="R566" s="332"/>
      <c r="S566" s="396"/>
      <c r="T566" s="332"/>
      <c r="U566" s="332"/>
      <c r="W566" s="332"/>
      <c r="X566" s="332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</row>
    <row r="567" spans="2:62" ht="16.8">
      <c r="B567" s="7"/>
      <c r="C567" s="395"/>
      <c r="D567" s="395"/>
      <c r="E567" s="332"/>
      <c r="F567" s="332"/>
      <c r="G567" s="395"/>
      <c r="H567" s="332"/>
      <c r="I567" s="332"/>
      <c r="J567" s="332"/>
      <c r="K567" s="332"/>
      <c r="L567" s="332"/>
      <c r="M567" s="332"/>
      <c r="N567" s="332"/>
      <c r="O567" s="332"/>
      <c r="P567" s="408"/>
      <c r="Q567" s="398"/>
      <c r="R567" s="332"/>
      <c r="S567" s="398"/>
      <c r="T567" s="332"/>
      <c r="U567" s="332"/>
      <c r="W567" s="332"/>
      <c r="X567" s="332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</row>
    <row r="568" spans="2:62" ht="16.8">
      <c r="B568" s="7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408"/>
      <c r="Q568" s="408"/>
      <c r="R568" s="332"/>
      <c r="S568" s="332"/>
      <c r="T568" s="332"/>
      <c r="U568" s="332"/>
      <c r="W568" s="332"/>
      <c r="X568" s="332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</row>
    <row r="569" spans="2:62" ht="16.8">
      <c r="B569" s="7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406"/>
      <c r="Q569" s="396"/>
      <c r="R569" s="332"/>
      <c r="S569" s="396"/>
      <c r="T569" s="332"/>
      <c r="U569" s="332"/>
      <c r="W569" s="332"/>
      <c r="X569" s="332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</row>
    <row r="570" spans="2:62" ht="16.8">
      <c r="B570" s="7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406"/>
      <c r="Q570" s="396"/>
      <c r="R570" s="332"/>
      <c r="S570" s="396"/>
      <c r="T570" s="332"/>
      <c r="U570" s="332"/>
      <c r="W570" s="332"/>
      <c r="X570" s="332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</row>
    <row r="571" spans="2:62" ht="16.8">
      <c r="B571" s="7"/>
      <c r="C571" s="39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408"/>
      <c r="Q571" s="398"/>
      <c r="R571" s="332"/>
      <c r="S571" s="398"/>
      <c r="T571" s="332"/>
      <c r="U571" s="332"/>
      <c r="W571" s="332"/>
      <c r="X571" s="332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</row>
    <row r="572" spans="2:62" ht="16.8">
      <c r="B572" s="7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408"/>
      <c r="Q572" s="408"/>
      <c r="R572" s="332"/>
      <c r="S572" s="332"/>
      <c r="T572" s="332"/>
      <c r="U572" s="332"/>
      <c r="W572" s="332"/>
      <c r="X572" s="332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</row>
    <row r="573" spans="2:62" ht="16.8">
      <c r="B573" s="7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406"/>
      <c r="Q573" s="396"/>
      <c r="R573" s="332"/>
      <c r="S573" s="396"/>
      <c r="T573" s="332"/>
      <c r="U573" s="332"/>
      <c r="W573" s="332"/>
      <c r="X573" s="332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</row>
    <row r="574" spans="2:62" ht="16.8">
      <c r="B574" s="7"/>
      <c r="C574" s="395"/>
      <c r="D574" s="395"/>
      <c r="E574" s="332"/>
      <c r="F574" s="332"/>
      <c r="G574" s="395"/>
      <c r="H574" s="332"/>
      <c r="I574" s="332"/>
      <c r="J574" s="332"/>
      <c r="K574" s="332"/>
      <c r="L574" s="332"/>
      <c r="M574" s="332"/>
      <c r="N574" s="332"/>
      <c r="O574" s="332"/>
      <c r="P574" s="408"/>
      <c r="Q574" s="398"/>
      <c r="R574" s="332"/>
      <c r="S574" s="398"/>
      <c r="T574" s="332"/>
      <c r="U574" s="332"/>
      <c r="W574" s="332"/>
      <c r="X574" s="332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</row>
    <row r="575" spans="2:62" ht="16.8">
      <c r="B575" s="7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408"/>
      <c r="Q575" s="408"/>
      <c r="R575" s="332"/>
      <c r="S575" s="332"/>
      <c r="T575" s="332"/>
      <c r="U575" s="332"/>
      <c r="W575" s="332"/>
      <c r="X575" s="332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</row>
    <row r="576" spans="2:62" ht="16.8">
      <c r="B576" s="7"/>
      <c r="C576" s="332"/>
      <c r="D576" s="332"/>
      <c r="E576" s="396"/>
      <c r="F576" s="406"/>
      <c r="G576" s="332"/>
      <c r="H576" s="396"/>
      <c r="I576" s="406"/>
      <c r="J576" s="406"/>
      <c r="K576" s="396"/>
      <c r="L576" s="406"/>
      <c r="M576" s="396"/>
      <c r="N576" s="406"/>
      <c r="O576" s="396"/>
      <c r="P576" s="406"/>
      <c r="Q576" s="396"/>
      <c r="R576" s="396"/>
      <c r="S576" s="332"/>
      <c r="T576" s="332"/>
      <c r="U576" s="332"/>
      <c r="W576" s="332"/>
      <c r="X576" s="332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</row>
    <row r="577" spans="2:62" ht="16.8">
      <c r="B577" s="7"/>
      <c r="C577" s="395"/>
      <c r="D577" s="395"/>
      <c r="E577" s="398"/>
      <c r="F577" s="408"/>
      <c r="G577" s="395"/>
      <c r="H577" s="398"/>
      <c r="I577" s="408"/>
      <c r="J577" s="408"/>
      <c r="K577" s="398"/>
      <c r="L577" s="408"/>
      <c r="M577" s="398"/>
      <c r="N577" s="408"/>
      <c r="O577" s="398"/>
      <c r="P577" s="408"/>
      <c r="Q577" s="398"/>
      <c r="R577" s="398"/>
      <c r="S577" s="398"/>
      <c r="T577" s="332"/>
      <c r="U577" s="332"/>
      <c r="W577" s="332"/>
      <c r="X577" s="332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</row>
    <row r="578" spans="2:62" ht="16.8">
      <c r="B578" s="7"/>
      <c r="C578" s="332"/>
      <c r="D578" s="332"/>
      <c r="E578" s="396"/>
      <c r="F578" s="406"/>
      <c r="G578" s="332"/>
      <c r="H578" s="396"/>
      <c r="I578" s="406"/>
      <c r="J578" s="396"/>
      <c r="K578" s="406"/>
      <c r="L578" s="396"/>
      <c r="M578" s="332"/>
      <c r="N578" s="396"/>
      <c r="O578" s="406"/>
      <c r="P578" s="398"/>
      <c r="Q578" s="408"/>
      <c r="R578" s="408"/>
      <c r="S578" s="396"/>
      <c r="T578" s="332"/>
      <c r="U578" s="332"/>
      <c r="W578" s="332"/>
      <c r="X578" s="332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</row>
    <row r="579" spans="2:62" ht="16.8">
      <c r="B579" s="7"/>
      <c r="C579" s="332"/>
      <c r="D579" s="332"/>
      <c r="E579" s="396"/>
      <c r="F579" s="406"/>
      <c r="G579" s="332"/>
      <c r="H579" s="396"/>
      <c r="I579" s="406"/>
      <c r="J579" s="396"/>
      <c r="K579" s="406"/>
      <c r="L579" s="396"/>
      <c r="M579" s="332"/>
      <c r="N579" s="396"/>
      <c r="O579" s="406"/>
      <c r="P579" s="396"/>
      <c r="Q579" s="332"/>
      <c r="R579" s="406"/>
      <c r="S579" s="396"/>
      <c r="T579" s="332"/>
      <c r="U579" s="332"/>
      <c r="W579" s="332"/>
      <c r="X579" s="332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</row>
    <row r="580" spans="2:62" ht="16.8">
      <c r="B580" s="7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406"/>
      <c r="S580" s="396"/>
      <c r="T580" s="332"/>
      <c r="U580" s="332"/>
      <c r="W580" s="332"/>
      <c r="X580" s="332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</row>
    <row r="581" spans="2:62" ht="16.8">
      <c r="B581" s="7"/>
      <c r="C581" s="332"/>
      <c r="D581" s="332"/>
      <c r="E581" s="396"/>
      <c r="F581" s="406"/>
      <c r="G581" s="332"/>
      <c r="H581" s="396"/>
      <c r="I581" s="406"/>
      <c r="J581" s="396"/>
      <c r="K581" s="406"/>
      <c r="L581" s="396"/>
      <c r="M581" s="332"/>
      <c r="N581" s="396"/>
      <c r="O581" s="406"/>
      <c r="P581" s="396"/>
      <c r="Q581" s="332"/>
      <c r="R581" s="406"/>
      <c r="S581" s="396"/>
      <c r="T581" s="332"/>
      <c r="U581" s="332"/>
      <c r="W581" s="332"/>
      <c r="X581" s="332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</row>
    <row r="582" spans="2:62" ht="16.8">
      <c r="B582" s="7"/>
      <c r="C582" s="332"/>
      <c r="D582" s="332"/>
      <c r="E582" s="396"/>
      <c r="F582" s="406"/>
      <c r="G582" s="332"/>
      <c r="H582" s="396"/>
      <c r="I582" s="406"/>
      <c r="J582" s="396"/>
      <c r="K582" s="406"/>
      <c r="L582" s="396"/>
      <c r="M582" s="332"/>
      <c r="N582" s="396"/>
      <c r="O582" s="406"/>
      <c r="P582" s="396"/>
      <c r="Q582" s="332"/>
      <c r="R582" s="406"/>
      <c r="S582" s="396"/>
      <c r="T582" s="332"/>
      <c r="U582" s="332"/>
      <c r="W582" s="332"/>
      <c r="X582" s="332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</row>
    <row r="583" spans="2:62" ht="16.8">
      <c r="B583" s="7"/>
      <c r="C583" s="332"/>
      <c r="D583" s="332"/>
      <c r="E583" s="396"/>
      <c r="F583" s="406"/>
      <c r="G583" s="332"/>
      <c r="H583" s="396"/>
      <c r="I583" s="406"/>
      <c r="J583" s="396"/>
      <c r="K583" s="406"/>
      <c r="L583" s="396"/>
      <c r="M583" s="332"/>
      <c r="N583" s="396"/>
      <c r="O583" s="406"/>
      <c r="P583" s="396"/>
      <c r="Q583" s="332"/>
      <c r="R583" s="406"/>
      <c r="S583" s="396"/>
      <c r="T583" s="332"/>
      <c r="U583" s="332"/>
      <c r="W583" s="332"/>
      <c r="X583" s="332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</row>
    <row r="584" spans="2:62" ht="16.8">
      <c r="B584" s="7"/>
      <c r="C584" s="332"/>
      <c r="D584" s="332"/>
      <c r="E584" s="396"/>
      <c r="F584" s="406"/>
      <c r="G584" s="332"/>
      <c r="H584" s="396"/>
      <c r="I584" s="406"/>
      <c r="J584" s="396"/>
      <c r="K584" s="406"/>
      <c r="L584" s="396"/>
      <c r="M584" s="332"/>
      <c r="N584" s="396"/>
      <c r="O584" s="406"/>
      <c r="P584" s="396"/>
      <c r="Q584" s="332"/>
      <c r="R584" s="406"/>
      <c r="S584" s="396"/>
      <c r="T584" s="332"/>
      <c r="U584" s="332"/>
      <c r="W584" s="332"/>
      <c r="X584" s="332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</row>
    <row r="585" spans="2:62" ht="16.8">
      <c r="B585" s="7"/>
      <c r="C585" s="332"/>
      <c r="D585" s="332"/>
      <c r="E585" s="396"/>
      <c r="F585" s="406"/>
      <c r="G585" s="332"/>
      <c r="H585" s="396"/>
      <c r="I585" s="406"/>
      <c r="J585" s="396"/>
      <c r="K585" s="406"/>
      <c r="L585" s="396"/>
      <c r="M585" s="332"/>
      <c r="N585" s="396"/>
      <c r="O585" s="406"/>
      <c r="P585" s="396"/>
      <c r="Q585" s="332"/>
      <c r="R585" s="406"/>
      <c r="S585" s="396"/>
      <c r="T585" s="332"/>
      <c r="U585" s="332"/>
      <c r="W585" s="332"/>
      <c r="X585" s="332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</row>
    <row r="586" spans="2:62" ht="16.8">
      <c r="B586" s="7"/>
      <c r="C586" s="332"/>
      <c r="D586" s="332"/>
      <c r="E586" s="396"/>
      <c r="F586" s="406"/>
      <c r="G586" s="332"/>
      <c r="H586" s="396"/>
      <c r="I586" s="406"/>
      <c r="J586" s="396"/>
      <c r="K586" s="406"/>
      <c r="L586" s="396"/>
      <c r="M586" s="332"/>
      <c r="N586" s="396"/>
      <c r="O586" s="406"/>
      <c r="P586" s="396"/>
      <c r="Q586" s="332"/>
      <c r="R586" s="406"/>
      <c r="S586" s="396"/>
      <c r="T586" s="332"/>
      <c r="U586" s="332"/>
      <c r="W586" s="332"/>
      <c r="X586" s="332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</row>
    <row r="587" spans="2:62" ht="16.8">
      <c r="B587" s="7"/>
      <c r="C587" s="332"/>
      <c r="D587" s="332"/>
      <c r="E587" s="396"/>
      <c r="F587" s="406"/>
      <c r="G587" s="332"/>
      <c r="H587" s="396"/>
      <c r="I587" s="406"/>
      <c r="J587" s="396"/>
      <c r="K587" s="406"/>
      <c r="L587" s="396"/>
      <c r="M587" s="332"/>
      <c r="N587" s="396"/>
      <c r="O587" s="406"/>
      <c r="P587" s="396"/>
      <c r="Q587" s="332"/>
      <c r="R587" s="406"/>
      <c r="S587" s="396"/>
      <c r="T587" s="332"/>
      <c r="U587" s="332"/>
      <c r="W587" s="332"/>
      <c r="X587" s="332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</row>
    <row r="588" spans="2:62" ht="16.8">
      <c r="B588" s="7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W588" s="332"/>
      <c r="X588" s="332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</row>
    <row r="589" spans="2:62" ht="16.8">
      <c r="B589" s="7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W589" s="332"/>
      <c r="X589" s="332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</row>
    <row r="590" spans="2:62" ht="16.8">
      <c r="B590" s="7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W590" s="332"/>
      <c r="X590" s="332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</row>
    <row r="591" spans="2:62" ht="16.8">
      <c r="B591" s="7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W591" s="332"/>
      <c r="X591" s="332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</row>
    <row r="592" spans="2:62" ht="16.8">
      <c r="B592" s="7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W592" s="332"/>
      <c r="X592" s="332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</row>
    <row r="593" spans="2:62" ht="16.8">
      <c r="B593" s="7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W593" s="332"/>
      <c r="X593" s="332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</row>
    <row r="594" spans="2:62" ht="16.8">
      <c r="B594" s="7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W594" s="332"/>
      <c r="X594" s="332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</row>
    <row r="595" spans="2:62" ht="16.8">
      <c r="B595" s="7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W595" s="332"/>
      <c r="X595" s="332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</row>
    <row r="596" spans="2:62" ht="16.8">
      <c r="B596" s="7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W596" s="332"/>
      <c r="X596" s="332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</row>
    <row r="597" spans="2:62" ht="16.8">
      <c r="B597" s="7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W597" s="332"/>
      <c r="X597" s="332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</row>
    <row r="598" spans="2:62" ht="16.8">
      <c r="B598" s="7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W598" s="332"/>
      <c r="X598" s="332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</row>
    <row r="599" spans="2:62" ht="16.8">
      <c r="B599" s="7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W599" s="332"/>
      <c r="X599" s="332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</row>
    <row r="600" spans="2:62" ht="16.8">
      <c r="B600" s="7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W600" s="332"/>
      <c r="X600" s="332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</row>
    <row r="601" spans="2:62" ht="16.8">
      <c r="B601" s="7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W601" s="332"/>
      <c r="X601" s="332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</row>
    <row r="602" spans="2:62" ht="16.8">
      <c r="B602" s="7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W602" s="332"/>
      <c r="X602" s="332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</row>
    <row r="603" spans="2:62" ht="16.8">
      <c r="B603" s="7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W603" s="332"/>
      <c r="X603" s="332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</row>
    <row r="604" spans="2:62" ht="16.8">
      <c r="B604" s="7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W604" s="332"/>
      <c r="X604" s="332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</row>
    <row r="605" spans="2:62" ht="16.8">
      <c r="B605" s="7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W605" s="332"/>
      <c r="X605" s="332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</row>
    <row r="606" spans="2:62" ht="16.8">
      <c r="B606" s="7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W606" s="332"/>
      <c r="X606" s="332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</row>
    <row r="607" spans="2:62" ht="16.8">
      <c r="B607" s="7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W607" s="332"/>
      <c r="X607" s="332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</row>
    <row r="608" spans="2:62" ht="16.8">
      <c r="B608" s="7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W608" s="332"/>
      <c r="X608" s="332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</row>
    <row r="609" spans="2:62" ht="16.8">
      <c r="B609" s="7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W609" s="332"/>
      <c r="X609" s="332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</row>
    <row r="610" spans="2:62" ht="16.8">
      <c r="B610" s="7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W610" s="332"/>
      <c r="X610" s="332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</row>
    <row r="611" spans="2:62" ht="16.8">
      <c r="B611" s="7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W611" s="332"/>
      <c r="X611" s="332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</row>
    <row r="612" spans="2:62" ht="16.8">
      <c r="B612" s="7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W612" s="332"/>
      <c r="X612" s="332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</row>
    <row r="613" spans="2:62" ht="16.8">
      <c r="B613" s="7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W613" s="332"/>
      <c r="X613" s="332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</row>
    <row r="614" spans="2:62" ht="16.8">
      <c r="B614" s="7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W614" s="332"/>
      <c r="X614" s="332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</row>
    <row r="615" spans="2:62" ht="16.8">
      <c r="B615" s="7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W615" s="332"/>
      <c r="X615" s="332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</row>
    <row r="616" spans="2:62" ht="16.8">
      <c r="B616" s="7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W616" s="332"/>
      <c r="X616" s="332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</row>
    <row r="617" spans="2:62" ht="16.8">
      <c r="B617" s="7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W617" s="332"/>
      <c r="X617" s="332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</row>
    <row r="618" spans="2:62" ht="16.8">
      <c r="B618" s="7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W618" s="332"/>
      <c r="X618" s="332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</row>
    <row r="619" spans="2:62" ht="16.8">
      <c r="B619" s="7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W619" s="332"/>
      <c r="X619" s="332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</row>
    <row r="620" spans="2:62" ht="16.8">
      <c r="B620" s="7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W620" s="332"/>
      <c r="X620" s="332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</row>
    <row r="621" spans="2:62" ht="16.8">
      <c r="B621" s="7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W621" s="332"/>
      <c r="X621" s="332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</row>
    <row r="622" spans="2:62" ht="16.8">
      <c r="B622" s="7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W622" s="332"/>
      <c r="X622" s="332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</row>
    <row r="623" spans="2:62" ht="16.8">
      <c r="B623" s="7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W623" s="332"/>
      <c r="X623" s="332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</row>
    <row r="624" spans="2:62" ht="16.8">
      <c r="B624" s="7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W624" s="332"/>
      <c r="X624" s="332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</row>
    <row r="625" spans="2:62" ht="16.8">
      <c r="B625" s="7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W625" s="332"/>
      <c r="X625" s="332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</row>
    <row r="626" spans="2:62" ht="16.8">
      <c r="B626" s="7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W626" s="332"/>
      <c r="X626" s="332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</row>
    <row r="627" spans="2:62" ht="16.8">
      <c r="B627" s="7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W627" s="332"/>
      <c r="X627" s="332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</row>
    <row r="628" spans="2:62" ht="16.8">
      <c r="B628" s="7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W628" s="332"/>
      <c r="X628" s="332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</row>
    <row r="629" spans="2:62" ht="16.8">
      <c r="B629" s="7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W629" s="332"/>
      <c r="X629" s="332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</row>
    <row r="630" spans="2:62" ht="16.8">
      <c r="B630" s="7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W630" s="332"/>
      <c r="X630" s="332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</row>
    <row r="631" spans="2:62" ht="16.8">
      <c r="B631" s="7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W631" s="332"/>
      <c r="X631" s="332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</row>
    <row r="632" spans="2:62" ht="16.8">
      <c r="B632" s="7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W632" s="332"/>
      <c r="X632" s="332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</row>
    <row r="633" spans="2:62" ht="16.8">
      <c r="B633" s="7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W633" s="332"/>
      <c r="X633" s="332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</row>
    <row r="634" spans="2:62" ht="16.8">
      <c r="B634" s="7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W634" s="332"/>
      <c r="X634" s="332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</row>
    <row r="635" spans="2:62" ht="16.8">
      <c r="B635" s="7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W635" s="332"/>
      <c r="X635" s="332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</row>
    <row r="636" spans="2:62" ht="16.8">
      <c r="B636" s="7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W636" s="332"/>
      <c r="X636" s="332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</row>
    <row r="637" spans="2:62" ht="16.8">
      <c r="B637" s="7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W637" s="332"/>
      <c r="X637" s="332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</row>
    <row r="638" spans="2:62" ht="16.8">
      <c r="B638" s="7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W638" s="332"/>
      <c r="X638" s="332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</row>
    <row r="639" spans="2:62" ht="16.8">
      <c r="B639" s="7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W639" s="332"/>
      <c r="X639" s="332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</row>
    <row r="640" spans="2:62" ht="16.8">
      <c r="B640" s="7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W640" s="332"/>
      <c r="X640" s="332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</row>
    <row r="641" spans="2:62" ht="16.8">
      <c r="B641" s="7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W641" s="332"/>
      <c r="X641" s="332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</row>
    <row r="642" spans="2:62" ht="16.8">
      <c r="B642" s="7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W642" s="332"/>
      <c r="X642" s="332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</row>
    <row r="643" spans="2:62" ht="16.8">
      <c r="B643" s="7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W643" s="332"/>
      <c r="X643" s="332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</row>
    <row r="644" spans="2:62" ht="16.8">
      <c r="B644" s="7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W644" s="332"/>
      <c r="X644" s="332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</row>
    <row r="645" spans="2:62" ht="16.8">
      <c r="B645" s="7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W645" s="332"/>
      <c r="X645" s="332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</row>
    <row r="646" spans="2:62" ht="16.8">
      <c r="B646" s="7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W646" s="332"/>
      <c r="X646" s="332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</row>
    <row r="647" spans="2:62" ht="16.8">
      <c r="B647" s="7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W647" s="332"/>
      <c r="X647" s="332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</row>
    <row r="648" spans="2:62" ht="16.8">
      <c r="B648" s="7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W648" s="332"/>
      <c r="X648" s="332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</row>
    <row r="649" spans="2:62" ht="16.8">
      <c r="B649" s="7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W649" s="332"/>
      <c r="X649" s="332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</row>
    <row r="650" spans="2:62" ht="16.8">
      <c r="B650" s="7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W650" s="332"/>
      <c r="X650" s="332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</row>
    <row r="651" spans="2:62" ht="30">
      <c r="B651" s="7"/>
      <c r="C651" s="409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410"/>
      <c r="P651" s="332"/>
      <c r="Q651" s="332"/>
      <c r="R651" s="332"/>
      <c r="S651" s="332"/>
      <c r="T651" s="332"/>
      <c r="U651" s="332"/>
      <c r="W651" s="332"/>
      <c r="X651" s="332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</row>
    <row r="652" spans="2:62" ht="17.399999999999999">
      <c r="B652" s="7"/>
      <c r="C652" s="399"/>
      <c r="D652" s="403"/>
      <c r="E652" s="403"/>
      <c r="F652" s="403"/>
      <c r="G652" s="403"/>
      <c r="H652" s="403"/>
      <c r="I652" s="403"/>
      <c r="J652" s="403"/>
      <c r="K652" s="403"/>
      <c r="L652" s="403"/>
      <c r="M652" s="403"/>
      <c r="N652" s="403"/>
      <c r="O652" s="403"/>
      <c r="P652" s="403"/>
      <c r="Q652" s="411"/>
      <c r="R652" s="403"/>
      <c r="S652" s="403"/>
      <c r="T652" s="332"/>
      <c r="U652" s="332"/>
      <c r="W652" s="332"/>
      <c r="X652" s="332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</row>
    <row r="653" spans="2:62" ht="16.8">
      <c r="B653" s="7"/>
      <c r="C653" s="332"/>
      <c r="D653" s="400"/>
      <c r="E653" s="400"/>
      <c r="F653" s="412"/>
      <c r="G653" s="400"/>
      <c r="H653" s="400"/>
      <c r="I653" s="412"/>
      <c r="J653" s="404"/>
      <c r="K653" s="404"/>
      <c r="L653" s="413"/>
      <c r="M653" s="404"/>
      <c r="N653" s="404"/>
      <c r="O653" s="404"/>
      <c r="P653" s="404"/>
      <c r="Q653" s="401"/>
      <c r="R653" s="400"/>
      <c r="S653" s="412"/>
      <c r="T653" s="332"/>
      <c r="U653" s="332"/>
      <c r="W653" s="332"/>
      <c r="X653" s="332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</row>
    <row r="654" spans="2:62" ht="16.8">
      <c r="B654" s="7"/>
      <c r="C654" s="414"/>
      <c r="D654" s="332"/>
      <c r="E654" s="332"/>
      <c r="F654" s="403"/>
      <c r="G654" s="332"/>
      <c r="H654" s="332"/>
      <c r="I654" s="403"/>
      <c r="J654" s="403"/>
      <c r="K654" s="403"/>
      <c r="L654" s="332"/>
      <c r="M654" s="403"/>
      <c r="N654" s="403"/>
      <c r="O654" s="332"/>
      <c r="P654" s="403"/>
      <c r="Q654" s="403"/>
      <c r="R654" s="332"/>
      <c r="S654" s="403"/>
      <c r="T654" s="332"/>
      <c r="U654" s="332"/>
      <c r="W654" s="332"/>
      <c r="X654" s="332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</row>
    <row r="655" spans="2:62" ht="16.8">
      <c r="B655" s="7"/>
      <c r="C655" s="332"/>
      <c r="D655" s="332"/>
      <c r="E655" s="332"/>
      <c r="F655" s="396"/>
      <c r="G655" s="332"/>
      <c r="H655" s="332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32"/>
      <c r="U655" s="332"/>
      <c r="W655" s="332"/>
      <c r="X655" s="332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</row>
    <row r="656" spans="2:62" ht="16.8">
      <c r="B656" s="7"/>
      <c r="C656" s="395"/>
      <c r="D656" s="395"/>
      <c r="E656" s="395"/>
      <c r="F656" s="398"/>
      <c r="G656" s="395"/>
      <c r="H656" s="395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32"/>
      <c r="U656" s="332"/>
      <c r="W656" s="332"/>
      <c r="X656" s="332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</row>
    <row r="657" spans="2:62" ht="16.8">
      <c r="B657" s="7"/>
      <c r="C657" s="332"/>
      <c r="D657" s="332"/>
      <c r="E657" s="332"/>
      <c r="F657" s="332"/>
      <c r="G657" s="332"/>
      <c r="H657" s="332"/>
      <c r="I657" s="332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32"/>
      <c r="U657" s="332"/>
      <c r="W657" s="332"/>
      <c r="X657" s="332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</row>
    <row r="658" spans="2:62" ht="16.8">
      <c r="B658" s="7"/>
      <c r="C658" s="332"/>
      <c r="D658" s="332"/>
      <c r="E658" s="332"/>
      <c r="F658" s="332"/>
      <c r="G658" s="332"/>
      <c r="H658" s="332"/>
      <c r="I658" s="332"/>
      <c r="J658" s="332"/>
      <c r="K658" s="396"/>
      <c r="L658" s="396"/>
      <c r="M658" s="332"/>
      <c r="N658" s="396"/>
      <c r="O658" s="396"/>
      <c r="P658" s="332"/>
      <c r="Q658" s="396"/>
      <c r="R658" s="396"/>
      <c r="S658" s="332"/>
      <c r="T658" s="332"/>
      <c r="U658" s="332"/>
      <c r="W658" s="332"/>
      <c r="X658" s="332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</row>
    <row r="659" spans="2:62" ht="16.8">
      <c r="B659" s="7"/>
      <c r="C659" s="332"/>
      <c r="D659" s="332"/>
      <c r="E659" s="332"/>
      <c r="F659" s="332"/>
      <c r="G659" s="332"/>
      <c r="H659" s="332"/>
      <c r="I659" s="332"/>
      <c r="J659" s="332"/>
      <c r="K659" s="396"/>
      <c r="L659" s="396"/>
      <c r="M659" s="332"/>
      <c r="N659" s="396"/>
      <c r="O659" s="396"/>
      <c r="P659" s="332"/>
      <c r="Q659" s="396"/>
      <c r="R659" s="396"/>
      <c r="S659" s="332"/>
      <c r="T659" s="332"/>
      <c r="U659" s="332"/>
      <c r="W659" s="332"/>
      <c r="X659" s="332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</row>
    <row r="660" spans="2:62" ht="16.8">
      <c r="B660" s="7"/>
      <c r="C660" s="332"/>
      <c r="D660" s="332"/>
      <c r="E660" s="332"/>
      <c r="F660" s="332"/>
      <c r="G660" s="332"/>
      <c r="H660" s="332"/>
      <c r="I660" s="332"/>
      <c r="J660" s="332"/>
      <c r="K660" s="396"/>
      <c r="L660" s="396"/>
      <c r="M660" s="332"/>
      <c r="N660" s="396"/>
      <c r="O660" s="396"/>
      <c r="P660" s="332"/>
      <c r="Q660" s="396"/>
      <c r="R660" s="396"/>
      <c r="S660" s="332"/>
      <c r="T660" s="332"/>
      <c r="U660" s="332"/>
      <c r="W660" s="332"/>
      <c r="X660" s="332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</row>
    <row r="661" spans="2:62" ht="16.8">
      <c r="B661" s="7"/>
      <c r="C661" s="332"/>
      <c r="D661" s="332"/>
      <c r="E661" s="332"/>
      <c r="F661" s="332"/>
      <c r="G661" s="332"/>
      <c r="H661" s="332"/>
      <c r="I661" s="332"/>
      <c r="J661" s="332"/>
      <c r="K661" s="396"/>
      <c r="L661" s="396"/>
      <c r="M661" s="332"/>
      <c r="N661" s="396"/>
      <c r="O661" s="396"/>
      <c r="P661" s="332"/>
      <c r="Q661" s="396"/>
      <c r="R661" s="396"/>
      <c r="S661" s="332"/>
      <c r="T661" s="332"/>
      <c r="U661" s="332"/>
      <c r="W661" s="332"/>
      <c r="X661" s="332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</row>
    <row r="662" spans="2:62" ht="16.8">
      <c r="B662" s="7"/>
      <c r="C662" s="332"/>
      <c r="D662" s="332"/>
      <c r="E662" s="332"/>
      <c r="F662" s="332"/>
      <c r="G662" s="332"/>
      <c r="H662" s="332"/>
      <c r="I662" s="332"/>
      <c r="J662" s="332"/>
      <c r="K662" s="396"/>
      <c r="L662" s="396"/>
      <c r="M662" s="332"/>
      <c r="N662" s="396"/>
      <c r="O662" s="396"/>
      <c r="P662" s="332"/>
      <c r="Q662" s="396"/>
      <c r="R662" s="396"/>
      <c r="S662" s="332"/>
      <c r="T662" s="332"/>
      <c r="U662" s="332"/>
      <c r="W662" s="332"/>
      <c r="X662" s="332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</row>
    <row r="663" spans="2:62" ht="16.8">
      <c r="B663" s="7"/>
      <c r="C663" s="332"/>
      <c r="D663" s="332"/>
      <c r="E663" s="332"/>
      <c r="F663" s="332"/>
      <c r="G663" s="332"/>
      <c r="H663" s="332"/>
      <c r="I663" s="332"/>
      <c r="J663" s="332"/>
      <c r="K663" s="396"/>
      <c r="L663" s="398"/>
      <c r="M663" s="332"/>
      <c r="N663" s="396"/>
      <c r="O663" s="396"/>
      <c r="P663" s="332"/>
      <c r="Q663" s="396"/>
      <c r="R663" s="398"/>
      <c r="S663" s="332"/>
      <c r="T663" s="332"/>
      <c r="U663" s="332"/>
      <c r="W663" s="332"/>
      <c r="X663" s="332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</row>
    <row r="664" spans="2:62" ht="16.8">
      <c r="B664" s="7"/>
      <c r="C664" s="332"/>
      <c r="D664" s="332"/>
      <c r="E664" s="332"/>
      <c r="F664" s="332"/>
      <c r="G664" s="332"/>
      <c r="H664" s="332"/>
      <c r="I664" s="332"/>
      <c r="J664" s="332"/>
      <c r="K664" s="396"/>
      <c r="L664" s="396"/>
      <c r="M664" s="332"/>
      <c r="N664" s="396"/>
      <c r="O664" s="396"/>
      <c r="P664" s="332"/>
      <c r="Q664" s="396"/>
      <c r="R664" s="396"/>
      <c r="S664" s="332"/>
      <c r="T664" s="332"/>
      <c r="U664" s="332"/>
      <c r="W664" s="332"/>
      <c r="X664" s="332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</row>
    <row r="665" spans="2:62" ht="16.8">
      <c r="B665" s="7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98"/>
      <c r="O665" s="398"/>
      <c r="P665" s="332"/>
      <c r="Q665" s="398"/>
      <c r="R665" s="332"/>
      <c r="S665" s="332"/>
      <c r="T665" s="332"/>
      <c r="U665" s="332"/>
      <c r="W665" s="332"/>
      <c r="X665" s="332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</row>
    <row r="666" spans="2:62" ht="16.8">
      <c r="B666" s="7"/>
      <c r="C666" s="332"/>
      <c r="D666" s="332"/>
      <c r="E666" s="332"/>
      <c r="F666" s="332"/>
      <c r="G666" s="332"/>
      <c r="H666" s="332"/>
      <c r="I666" s="332"/>
      <c r="J666" s="332"/>
      <c r="K666" s="398"/>
      <c r="L666" s="398"/>
      <c r="M666" s="332"/>
      <c r="N666" s="396"/>
      <c r="O666" s="396"/>
      <c r="P666" s="332"/>
      <c r="Q666" s="396"/>
      <c r="R666" s="398"/>
      <c r="S666" s="332"/>
      <c r="T666" s="332"/>
      <c r="U666" s="332"/>
      <c r="W666" s="332"/>
      <c r="X666" s="332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</row>
    <row r="667" spans="2:62" ht="16.8">
      <c r="B667" s="7"/>
      <c r="C667" s="332"/>
      <c r="D667" s="332"/>
      <c r="E667" s="332"/>
      <c r="F667" s="332"/>
      <c r="G667" s="332"/>
      <c r="H667" s="332"/>
      <c r="I667" s="332"/>
      <c r="J667" s="332"/>
      <c r="K667" s="396"/>
      <c r="L667" s="396"/>
      <c r="M667" s="332"/>
      <c r="N667" s="396"/>
      <c r="O667" s="396"/>
      <c r="P667" s="332"/>
      <c r="Q667" s="396"/>
      <c r="R667" s="396"/>
      <c r="S667" s="332"/>
      <c r="T667" s="332"/>
      <c r="U667" s="332"/>
      <c r="W667" s="332"/>
      <c r="X667" s="332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</row>
    <row r="668" spans="2:62" ht="16.8">
      <c r="B668" s="7"/>
      <c r="C668" s="332"/>
      <c r="D668" s="332"/>
      <c r="E668" s="332"/>
      <c r="F668" s="332"/>
      <c r="G668" s="332"/>
      <c r="H668" s="332"/>
      <c r="I668" s="332"/>
      <c r="J668" s="332"/>
      <c r="K668" s="396"/>
      <c r="L668" s="396"/>
      <c r="M668" s="332"/>
      <c r="N668" s="396"/>
      <c r="O668" s="396"/>
      <c r="P668" s="332"/>
      <c r="Q668" s="396"/>
      <c r="R668" s="396"/>
      <c r="S668" s="332"/>
      <c r="T668" s="332"/>
      <c r="U668" s="332"/>
      <c r="W668" s="332"/>
      <c r="X668" s="332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</row>
    <row r="669" spans="2:62" ht="16.8">
      <c r="B669" s="7"/>
      <c r="C669" s="332"/>
      <c r="D669" s="332"/>
      <c r="E669" s="332"/>
      <c r="F669" s="332"/>
      <c r="G669" s="332"/>
      <c r="H669" s="332"/>
      <c r="I669" s="332"/>
      <c r="J669" s="332"/>
      <c r="K669" s="396"/>
      <c r="L669" s="396"/>
      <c r="M669" s="332"/>
      <c r="N669" s="396"/>
      <c r="O669" s="396"/>
      <c r="P669" s="332"/>
      <c r="Q669" s="396"/>
      <c r="R669" s="396"/>
      <c r="S669" s="332"/>
      <c r="T669" s="332"/>
      <c r="U669" s="332"/>
      <c r="W669" s="332"/>
      <c r="X669" s="332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</row>
    <row r="670" spans="2:62" ht="16.8">
      <c r="B670" s="7"/>
      <c r="C670" s="332"/>
      <c r="D670" s="332"/>
      <c r="E670" s="332"/>
      <c r="F670" s="332"/>
      <c r="G670" s="332"/>
      <c r="H670" s="332"/>
      <c r="I670" s="332"/>
      <c r="J670" s="332"/>
      <c r="K670" s="396"/>
      <c r="L670" s="396"/>
      <c r="M670" s="332"/>
      <c r="N670" s="396"/>
      <c r="O670" s="396"/>
      <c r="P670" s="332"/>
      <c r="Q670" s="396"/>
      <c r="R670" s="396"/>
      <c r="S670" s="332"/>
      <c r="T670" s="332"/>
      <c r="U670" s="332"/>
      <c r="W670" s="332"/>
      <c r="X670" s="332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</row>
    <row r="671" spans="2:62" ht="16.8">
      <c r="B671" s="7"/>
      <c r="C671" s="332"/>
      <c r="D671" s="332"/>
      <c r="E671" s="332"/>
      <c r="F671" s="332"/>
      <c r="G671" s="332"/>
      <c r="H671" s="332"/>
      <c r="I671" s="332"/>
      <c r="J671" s="332"/>
      <c r="K671" s="396"/>
      <c r="L671" s="396"/>
      <c r="M671" s="332"/>
      <c r="N671" s="396"/>
      <c r="O671" s="396"/>
      <c r="P671" s="332"/>
      <c r="Q671" s="396"/>
      <c r="R671" s="396"/>
      <c r="S671" s="332"/>
      <c r="T671" s="332"/>
      <c r="U671" s="332"/>
      <c r="W671" s="332"/>
      <c r="X671" s="332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</row>
    <row r="672" spans="2:62" ht="16.8">
      <c r="B672" s="7"/>
      <c r="C672" s="332"/>
      <c r="D672" s="332"/>
      <c r="E672" s="332"/>
      <c r="F672" s="332"/>
      <c r="G672" s="332"/>
      <c r="H672" s="332"/>
      <c r="I672" s="332"/>
      <c r="J672" s="332"/>
      <c r="K672" s="396"/>
      <c r="L672" s="396"/>
      <c r="M672" s="332"/>
      <c r="N672" s="396"/>
      <c r="O672" s="396"/>
      <c r="P672" s="332"/>
      <c r="Q672" s="396"/>
      <c r="R672" s="396"/>
      <c r="S672" s="332"/>
      <c r="T672" s="332"/>
      <c r="U672" s="332"/>
      <c r="W672" s="332"/>
      <c r="X672" s="332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</row>
    <row r="673" spans="2:62" ht="16.8">
      <c r="B673" s="7"/>
      <c r="C673" s="332"/>
      <c r="D673" s="332"/>
      <c r="E673" s="332"/>
      <c r="F673" s="332"/>
      <c r="G673" s="332"/>
      <c r="H673" s="332"/>
      <c r="I673" s="332"/>
      <c r="J673" s="332"/>
      <c r="K673" s="396"/>
      <c r="L673" s="396"/>
      <c r="M673" s="332"/>
      <c r="N673" s="396"/>
      <c r="O673" s="396"/>
      <c r="P673" s="332"/>
      <c r="Q673" s="396"/>
      <c r="R673" s="396"/>
      <c r="S673" s="332"/>
      <c r="T673" s="332"/>
      <c r="U673" s="332"/>
      <c r="W673" s="332"/>
      <c r="X673" s="332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</row>
    <row r="674" spans="2:62" ht="16.8">
      <c r="B674" s="7"/>
      <c r="C674" s="332"/>
      <c r="D674" s="332"/>
      <c r="E674" s="332"/>
      <c r="F674" s="332"/>
      <c r="G674" s="332"/>
      <c r="H674" s="332"/>
      <c r="I674" s="332"/>
      <c r="J674" s="332"/>
      <c r="K674" s="396"/>
      <c r="L674" s="396"/>
      <c r="M674" s="332"/>
      <c r="N674" s="396"/>
      <c r="O674" s="396"/>
      <c r="P674" s="332"/>
      <c r="Q674" s="396"/>
      <c r="R674" s="396"/>
      <c r="S674" s="332"/>
      <c r="T674" s="332"/>
      <c r="U674" s="332"/>
      <c r="W674" s="332"/>
      <c r="X674" s="332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</row>
    <row r="675" spans="2:62" ht="16.8">
      <c r="B675" s="7"/>
      <c r="C675" s="332"/>
      <c r="D675" s="332"/>
      <c r="E675" s="332"/>
      <c r="F675" s="332"/>
      <c r="G675" s="332"/>
      <c r="H675" s="332"/>
      <c r="I675" s="332"/>
      <c r="J675" s="332"/>
      <c r="K675" s="396"/>
      <c r="L675" s="396"/>
      <c r="M675" s="332"/>
      <c r="N675" s="398"/>
      <c r="O675" s="398"/>
      <c r="P675" s="332"/>
      <c r="Q675" s="398"/>
      <c r="R675" s="396"/>
      <c r="S675" s="332"/>
      <c r="T675" s="332"/>
      <c r="U675" s="332"/>
      <c r="W675" s="332"/>
      <c r="X675" s="332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</row>
    <row r="676" spans="2:62" ht="16.8">
      <c r="B676" s="7"/>
      <c r="C676" s="332"/>
      <c r="D676" s="332"/>
      <c r="E676" s="332"/>
      <c r="F676" s="332"/>
      <c r="G676" s="332"/>
      <c r="H676" s="332"/>
      <c r="I676" s="332"/>
      <c r="J676" s="332"/>
      <c r="K676" s="398"/>
      <c r="L676" s="398"/>
      <c r="M676" s="332"/>
      <c r="N676" s="396"/>
      <c r="O676" s="396"/>
      <c r="P676" s="332"/>
      <c r="Q676" s="396"/>
      <c r="R676" s="398"/>
      <c r="S676" s="332"/>
      <c r="T676" s="332"/>
      <c r="U676" s="332"/>
      <c r="W676" s="332"/>
      <c r="X676" s="332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</row>
    <row r="677" spans="2:62" ht="16.8">
      <c r="B677" s="7"/>
      <c r="C677" s="332"/>
      <c r="D677" s="332"/>
      <c r="E677" s="332"/>
      <c r="F677" s="332"/>
      <c r="G677" s="332"/>
      <c r="H677" s="332"/>
      <c r="I677" s="332"/>
      <c r="J677" s="332"/>
      <c r="K677" s="396"/>
      <c r="L677" s="396"/>
      <c r="M677" s="332"/>
      <c r="N677" s="396"/>
      <c r="O677" s="396"/>
      <c r="P677" s="332"/>
      <c r="Q677" s="396"/>
      <c r="R677" s="396"/>
      <c r="S677" s="332"/>
      <c r="T677" s="332"/>
      <c r="U677" s="332"/>
      <c r="W677" s="332"/>
      <c r="X677" s="332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</row>
    <row r="678" spans="2:62" ht="16.8">
      <c r="B678" s="7"/>
      <c r="C678" s="332"/>
      <c r="D678" s="332"/>
      <c r="E678" s="332"/>
      <c r="F678" s="332"/>
      <c r="G678" s="332"/>
      <c r="H678" s="332"/>
      <c r="I678" s="332"/>
      <c r="J678" s="332"/>
      <c r="K678" s="396"/>
      <c r="L678" s="396"/>
      <c r="M678" s="332"/>
      <c r="N678" s="396"/>
      <c r="O678" s="396"/>
      <c r="P678" s="332"/>
      <c r="Q678" s="396"/>
      <c r="R678" s="396"/>
      <c r="S678" s="332"/>
      <c r="T678" s="332"/>
      <c r="U678" s="332"/>
      <c r="W678" s="332"/>
      <c r="X678" s="332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</row>
    <row r="679" spans="2:62" ht="16.8">
      <c r="B679" s="7"/>
      <c r="C679" s="332"/>
      <c r="D679" s="332"/>
      <c r="E679" s="332"/>
      <c r="F679" s="332"/>
      <c r="G679" s="332"/>
      <c r="H679" s="332"/>
      <c r="I679" s="332"/>
      <c r="J679" s="332"/>
      <c r="K679" s="396"/>
      <c r="L679" s="396"/>
      <c r="M679" s="332"/>
      <c r="N679" s="396"/>
      <c r="O679" s="396"/>
      <c r="P679" s="332"/>
      <c r="Q679" s="396"/>
      <c r="R679" s="396"/>
      <c r="S679" s="332"/>
      <c r="T679" s="332"/>
      <c r="U679" s="332"/>
      <c r="W679" s="332"/>
      <c r="X679" s="332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</row>
    <row r="680" spans="2:62" ht="16.8">
      <c r="B680" s="7"/>
      <c r="C680" s="332"/>
      <c r="D680" s="332"/>
      <c r="E680" s="332"/>
      <c r="F680" s="332"/>
      <c r="G680" s="332"/>
      <c r="H680" s="332"/>
      <c r="I680" s="332"/>
      <c r="J680" s="332"/>
      <c r="K680" s="396"/>
      <c r="L680" s="396"/>
      <c r="M680" s="332"/>
      <c r="N680" s="396"/>
      <c r="O680" s="396"/>
      <c r="P680" s="332"/>
      <c r="Q680" s="396"/>
      <c r="R680" s="396"/>
      <c r="S680" s="332"/>
      <c r="T680" s="332"/>
      <c r="U680" s="332"/>
      <c r="W680" s="332"/>
      <c r="X680" s="332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</row>
    <row r="681" spans="2:62" ht="16.8">
      <c r="B681" s="7"/>
      <c r="C681" s="332"/>
      <c r="D681" s="332"/>
      <c r="E681" s="332"/>
      <c r="F681" s="332"/>
      <c r="G681" s="332"/>
      <c r="H681" s="332"/>
      <c r="I681" s="332"/>
      <c r="J681" s="332"/>
      <c r="K681" s="396"/>
      <c r="L681" s="396"/>
      <c r="M681" s="332"/>
      <c r="N681" s="396"/>
      <c r="O681" s="396"/>
      <c r="P681" s="332"/>
      <c r="Q681" s="396"/>
      <c r="R681" s="396"/>
      <c r="S681" s="332"/>
      <c r="T681" s="332"/>
      <c r="U681" s="332"/>
      <c r="W681" s="332"/>
      <c r="X681" s="332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</row>
    <row r="682" spans="2:62" ht="16.8">
      <c r="B682" s="7"/>
      <c r="C682" s="332"/>
      <c r="D682" s="332"/>
      <c r="E682" s="332"/>
      <c r="F682" s="332"/>
      <c r="G682" s="332"/>
      <c r="H682" s="332"/>
      <c r="I682" s="332"/>
      <c r="J682" s="332"/>
      <c r="K682" s="396"/>
      <c r="L682" s="396"/>
      <c r="M682" s="332"/>
      <c r="N682" s="396"/>
      <c r="O682" s="396"/>
      <c r="P682" s="332"/>
      <c r="Q682" s="396"/>
      <c r="R682" s="396"/>
      <c r="S682" s="332"/>
      <c r="T682" s="332"/>
      <c r="U682" s="332"/>
      <c r="W682" s="332"/>
      <c r="X682" s="332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</row>
    <row r="683" spans="2:62" ht="16.8">
      <c r="B683" s="7"/>
      <c r="C683" s="332"/>
      <c r="D683" s="332"/>
      <c r="E683" s="332"/>
      <c r="F683" s="332"/>
      <c r="G683" s="332"/>
      <c r="H683" s="332"/>
      <c r="I683" s="332"/>
      <c r="J683" s="332"/>
      <c r="K683" s="396"/>
      <c r="L683" s="396"/>
      <c r="M683" s="332"/>
      <c r="N683" s="396"/>
      <c r="O683" s="396"/>
      <c r="P683" s="332"/>
      <c r="Q683" s="396"/>
      <c r="R683" s="396"/>
      <c r="S683" s="332"/>
      <c r="T683" s="332"/>
      <c r="U683" s="332"/>
      <c r="W683" s="332"/>
      <c r="X683" s="332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</row>
    <row r="684" spans="2:62" ht="16.8">
      <c r="B684" s="7"/>
      <c r="C684" s="332"/>
      <c r="D684" s="332"/>
      <c r="E684" s="332"/>
      <c r="F684" s="332"/>
      <c r="G684" s="332"/>
      <c r="H684" s="332"/>
      <c r="I684" s="332"/>
      <c r="J684" s="332"/>
      <c r="K684" s="396"/>
      <c r="L684" s="396"/>
      <c r="M684" s="332"/>
      <c r="N684" s="396"/>
      <c r="O684" s="396"/>
      <c r="P684" s="332"/>
      <c r="Q684" s="396"/>
      <c r="R684" s="396"/>
      <c r="S684" s="332"/>
      <c r="T684" s="332"/>
      <c r="U684" s="332"/>
      <c r="W684" s="332"/>
      <c r="X684" s="332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</row>
    <row r="685" spans="2:62" ht="16.8">
      <c r="B685" s="7"/>
      <c r="C685" s="332"/>
      <c r="D685" s="332"/>
      <c r="E685" s="332"/>
      <c r="F685" s="332"/>
      <c r="G685" s="332"/>
      <c r="H685" s="332"/>
      <c r="I685" s="332"/>
      <c r="J685" s="332"/>
      <c r="K685" s="396"/>
      <c r="L685" s="396"/>
      <c r="M685" s="332"/>
      <c r="N685" s="396"/>
      <c r="O685" s="396"/>
      <c r="P685" s="332"/>
      <c r="Q685" s="396"/>
      <c r="R685" s="396"/>
      <c r="S685" s="332"/>
      <c r="T685" s="332"/>
      <c r="U685" s="332"/>
      <c r="W685" s="332"/>
      <c r="X685" s="332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</row>
    <row r="686" spans="2:62" ht="16.8">
      <c r="B686" s="7"/>
      <c r="C686" s="332"/>
      <c r="D686" s="332"/>
      <c r="E686" s="332"/>
      <c r="F686" s="332"/>
      <c r="G686" s="332"/>
      <c r="H686" s="332"/>
      <c r="I686" s="332"/>
      <c r="J686" s="332"/>
      <c r="K686" s="396"/>
      <c r="L686" s="396"/>
      <c r="M686" s="332"/>
      <c r="N686" s="396"/>
      <c r="O686" s="396"/>
      <c r="P686" s="332"/>
      <c r="Q686" s="396"/>
      <c r="R686" s="396"/>
      <c r="S686" s="332"/>
      <c r="T686" s="332"/>
      <c r="U686" s="332"/>
      <c r="W686" s="332"/>
      <c r="X686" s="332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</row>
    <row r="687" spans="2:62" ht="16.8">
      <c r="B687" s="7"/>
      <c r="C687" s="332"/>
      <c r="D687" s="332"/>
      <c r="E687" s="332"/>
      <c r="F687" s="332"/>
      <c r="G687" s="332"/>
      <c r="H687" s="332"/>
      <c r="I687" s="332"/>
      <c r="J687" s="332"/>
      <c r="K687" s="396"/>
      <c r="L687" s="396"/>
      <c r="M687" s="332"/>
      <c r="N687" s="396"/>
      <c r="O687" s="396"/>
      <c r="P687" s="332"/>
      <c r="Q687" s="396"/>
      <c r="R687" s="396"/>
      <c r="S687" s="332"/>
      <c r="T687" s="332"/>
      <c r="U687" s="332"/>
      <c r="W687" s="332"/>
      <c r="X687" s="332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</row>
    <row r="688" spans="2:62" ht="16.8">
      <c r="B688" s="7"/>
      <c r="C688" s="332"/>
      <c r="D688" s="332"/>
      <c r="E688" s="332"/>
      <c r="F688" s="332"/>
      <c r="G688" s="332"/>
      <c r="H688" s="332"/>
      <c r="I688" s="332"/>
      <c r="J688" s="332"/>
      <c r="K688" s="396"/>
      <c r="L688" s="396"/>
      <c r="M688" s="332"/>
      <c r="N688" s="396"/>
      <c r="O688" s="396"/>
      <c r="P688" s="332"/>
      <c r="Q688" s="396"/>
      <c r="R688" s="396"/>
      <c r="S688" s="332"/>
      <c r="T688" s="332"/>
      <c r="U688" s="332"/>
      <c r="W688" s="332"/>
      <c r="X688" s="332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</row>
    <row r="689" spans="2:62" ht="16.8">
      <c r="B689" s="7"/>
      <c r="C689" s="332"/>
      <c r="D689" s="332"/>
      <c r="E689" s="332"/>
      <c r="F689" s="332"/>
      <c r="G689" s="332"/>
      <c r="H689" s="332"/>
      <c r="I689" s="332"/>
      <c r="J689" s="332"/>
      <c r="K689" s="396"/>
      <c r="L689" s="396"/>
      <c r="M689" s="332"/>
      <c r="N689" s="396"/>
      <c r="O689" s="396"/>
      <c r="P689" s="332"/>
      <c r="Q689" s="396"/>
      <c r="R689" s="396"/>
      <c r="S689" s="332"/>
      <c r="T689" s="332"/>
      <c r="U689" s="332"/>
      <c r="W689" s="332"/>
      <c r="X689" s="332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</row>
    <row r="690" spans="2:62" ht="16.8">
      <c r="B690" s="7"/>
      <c r="C690" s="332"/>
      <c r="D690" s="332"/>
      <c r="E690" s="332"/>
      <c r="F690" s="332"/>
      <c r="G690" s="332"/>
      <c r="H690" s="332"/>
      <c r="I690" s="332"/>
      <c r="J690" s="332"/>
      <c r="K690" s="396"/>
      <c r="L690" s="396"/>
      <c r="M690" s="332"/>
      <c r="N690" s="332"/>
      <c r="O690" s="332"/>
      <c r="P690" s="332"/>
      <c r="Q690" s="332"/>
      <c r="R690" s="396"/>
      <c r="S690" s="332"/>
      <c r="T690" s="332"/>
      <c r="U690" s="332"/>
      <c r="W690" s="332"/>
      <c r="X690" s="332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</row>
    <row r="691" spans="2:62" ht="16.8">
      <c r="B691" s="7"/>
      <c r="C691" s="332"/>
      <c r="D691" s="332"/>
      <c r="E691" s="332"/>
      <c r="F691" s="332"/>
      <c r="G691" s="332"/>
      <c r="H691" s="332"/>
      <c r="I691" s="332"/>
      <c r="J691" s="332"/>
      <c r="K691" s="396"/>
      <c r="L691" s="396"/>
      <c r="M691" s="332"/>
      <c r="N691" s="398"/>
      <c r="O691" s="398"/>
      <c r="P691" s="332"/>
      <c r="Q691" s="398"/>
      <c r="R691" s="396"/>
      <c r="S691" s="332"/>
      <c r="T691" s="332"/>
      <c r="U691" s="332"/>
      <c r="W691" s="332"/>
      <c r="X691" s="332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</row>
    <row r="692" spans="2:62" ht="16.8">
      <c r="B692" s="7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96"/>
      <c r="O692" s="396"/>
      <c r="P692" s="332"/>
      <c r="Q692" s="396"/>
      <c r="R692" s="332"/>
      <c r="S692" s="332"/>
      <c r="T692" s="332"/>
      <c r="U692" s="332"/>
      <c r="W692" s="332"/>
      <c r="X692" s="332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</row>
    <row r="693" spans="2:62" ht="16.8">
      <c r="B693" s="7"/>
      <c r="C693" s="332"/>
      <c r="D693" s="332"/>
      <c r="E693" s="332"/>
      <c r="F693" s="332"/>
      <c r="G693" s="332"/>
      <c r="H693" s="332"/>
      <c r="I693" s="332"/>
      <c r="J693" s="332"/>
      <c r="K693" s="398"/>
      <c r="L693" s="398"/>
      <c r="M693" s="332"/>
      <c r="N693" s="396"/>
      <c r="O693" s="396"/>
      <c r="P693" s="332"/>
      <c r="Q693" s="396"/>
      <c r="R693" s="398"/>
      <c r="S693" s="332"/>
      <c r="T693" s="332"/>
      <c r="U693" s="332"/>
      <c r="W693" s="332"/>
      <c r="X693" s="332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</row>
    <row r="694" spans="2:62" ht="16.8">
      <c r="B694" s="7"/>
      <c r="C694" s="332"/>
      <c r="D694" s="332"/>
      <c r="E694" s="332"/>
      <c r="F694" s="332"/>
      <c r="G694" s="332"/>
      <c r="H694" s="332"/>
      <c r="I694" s="332"/>
      <c r="J694" s="332"/>
      <c r="K694" s="396"/>
      <c r="L694" s="396"/>
      <c r="M694" s="332"/>
      <c r="N694" s="396"/>
      <c r="O694" s="396"/>
      <c r="P694" s="332"/>
      <c r="Q694" s="396"/>
      <c r="R694" s="396"/>
      <c r="S694" s="332"/>
      <c r="T694" s="332"/>
      <c r="U694" s="332"/>
      <c r="W694" s="332"/>
      <c r="X694" s="332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</row>
    <row r="695" spans="2:62" ht="16.8">
      <c r="B695" s="7"/>
      <c r="C695" s="332"/>
      <c r="D695" s="332"/>
      <c r="E695" s="332"/>
      <c r="F695" s="332"/>
      <c r="G695" s="332"/>
      <c r="H695" s="332"/>
      <c r="I695" s="332"/>
      <c r="J695" s="332"/>
      <c r="K695" s="396"/>
      <c r="L695" s="396"/>
      <c r="M695" s="332"/>
      <c r="N695" s="396"/>
      <c r="O695" s="396"/>
      <c r="P695" s="332"/>
      <c r="Q695" s="396"/>
      <c r="R695" s="396"/>
      <c r="S695" s="332"/>
      <c r="T695" s="332"/>
      <c r="U695" s="332"/>
      <c r="W695" s="332"/>
      <c r="X695" s="332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</row>
    <row r="696" spans="2:62" ht="16.8">
      <c r="B696" s="7"/>
      <c r="C696" s="332"/>
      <c r="D696" s="332"/>
      <c r="E696" s="332"/>
      <c r="F696" s="332"/>
      <c r="G696" s="332"/>
      <c r="H696" s="332"/>
      <c r="I696" s="332"/>
      <c r="J696" s="332"/>
      <c r="K696" s="396"/>
      <c r="L696" s="396"/>
      <c r="M696" s="332"/>
      <c r="N696" s="396"/>
      <c r="O696" s="396"/>
      <c r="P696" s="332"/>
      <c r="Q696" s="396"/>
      <c r="R696" s="396"/>
      <c r="S696" s="332"/>
      <c r="T696" s="332"/>
      <c r="U696" s="332"/>
      <c r="W696" s="332"/>
      <c r="X696" s="332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</row>
    <row r="697" spans="2:62" ht="16.8">
      <c r="B697" s="7"/>
      <c r="C697" s="332"/>
      <c r="D697" s="332"/>
      <c r="E697" s="332"/>
      <c r="F697" s="332"/>
      <c r="G697" s="332"/>
      <c r="H697" s="332"/>
      <c r="I697" s="332"/>
      <c r="J697" s="332"/>
      <c r="K697" s="396"/>
      <c r="L697" s="396"/>
      <c r="M697" s="332"/>
      <c r="N697" s="396"/>
      <c r="O697" s="396"/>
      <c r="P697" s="332"/>
      <c r="Q697" s="396"/>
      <c r="R697" s="396"/>
      <c r="S697" s="332"/>
      <c r="T697" s="332"/>
      <c r="U697" s="332"/>
      <c r="W697" s="332"/>
      <c r="X697" s="332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</row>
    <row r="698" spans="2:62" ht="16.8">
      <c r="B698" s="7"/>
      <c r="C698" s="332"/>
      <c r="D698" s="332"/>
      <c r="E698" s="332"/>
      <c r="F698" s="332"/>
      <c r="G698" s="332"/>
      <c r="H698" s="332"/>
      <c r="I698" s="332"/>
      <c r="J698" s="332"/>
      <c r="K698" s="396"/>
      <c r="L698" s="396"/>
      <c r="M698" s="332"/>
      <c r="N698" s="396"/>
      <c r="O698" s="396"/>
      <c r="P698" s="332"/>
      <c r="Q698" s="396"/>
      <c r="R698" s="396"/>
      <c r="S698" s="332"/>
      <c r="T698" s="332"/>
      <c r="U698" s="332"/>
      <c r="W698" s="332"/>
      <c r="X698" s="332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</row>
    <row r="699" spans="2:62" ht="16.8">
      <c r="B699" s="7"/>
      <c r="C699" s="332"/>
      <c r="D699" s="332"/>
      <c r="E699" s="332"/>
      <c r="F699" s="332"/>
      <c r="G699" s="332"/>
      <c r="H699" s="332"/>
      <c r="I699" s="332"/>
      <c r="J699" s="332"/>
      <c r="K699" s="396"/>
      <c r="L699" s="396"/>
      <c r="M699" s="332"/>
      <c r="N699" s="396"/>
      <c r="O699" s="396"/>
      <c r="P699" s="332"/>
      <c r="Q699" s="396"/>
      <c r="R699" s="396"/>
      <c r="S699" s="332"/>
      <c r="T699" s="332"/>
      <c r="U699" s="332"/>
      <c r="W699" s="332"/>
      <c r="X699" s="332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</row>
    <row r="700" spans="2:62" ht="16.8">
      <c r="B700" s="7"/>
      <c r="C700" s="332"/>
      <c r="D700" s="332"/>
      <c r="E700" s="332"/>
      <c r="F700" s="332"/>
      <c r="G700" s="332"/>
      <c r="H700" s="332"/>
      <c r="I700" s="332"/>
      <c r="J700" s="332"/>
      <c r="K700" s="396"/>
      <c r="L700" s="398"/>
      <c r="M700" s="332"/>
      <c r="N700" s="396"/>
      <c r="O700" s="396"/>
      <c r="P700" s="332"/>
      <c r="Q700" s="396"/>
      <c r="R700" s="398"/>
      <c r="S700" s="332"/>
      <c r="T700" s="332"/>
      <c r="U700" s="332"/>
      <c r="W700" s="332"/>
      <c r="X700" s="332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</row>
    <row r="701" spans="2:62" ht="16.8">
      <c r="B701" s="7"/>
      <c r="C701" s="332"/>
      <c r="D701" s="332"/>
      <c r="E701" s="332"/>
      <c r="F701" s="332"/>
      <c r="G701" s="332"/>
      <c r="H701" s="332"/>
      <c r="I701" s="332"/>
      <c r="J701" s="332"/>
      <c r="K701" s="396"/>
      <c r="L701" s="396"/>
      <c r="M701" s="332"/>
      <c r="N701" s="396"/>
      <c r="O701" s="396"/>
      <c r="P701" s="332"/>
      <c r="Q701" s="396"/>
      <c r="R701" s="396"/>
      <c r="S701" s="332"/>
      <c r="T701" s="332"/>
      <c r="U701" s="332"/>
      <c r="W701" s="332"/>
      <c r="X701" s="332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</row>
    <row r="702" spans="2:62" ht="16.8">
      <c r="B702" s="7"/>
      <c r="C702" s="332"/>
      <c r="D702" s="332"/>
      <c r="E702" s="332"/>
      <c r="F702" s="332"/>
      <c r="G702" s="332"/>
      <c r="H702" s="332"/>
      <c r="I702" s="332"/>
      <c r="J702" s="332"/>
      <c r="K702" s="396"/>
      <c r="L702" s="396"/>
      <c r="M702" s="332"/>
      <c r="N702" s="396"/>
      <c r="O702" s="396"/>
      <c r="P702" s="332"/>
      <c r="Q702" s="396"/>
      <c r="R702" s="396"/>
      <c r="S702" s="332"/>
      <c r="T702" s="332"/>
      <c r="U702" s="332"/>
      <c r="W702" s="332"/>
      <c r="X702" s="332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</row>
    <row r="703" spans="2:62" ht="16.8">
      <c r="B703" s="7"/>
      <c r="C703" s="332"/>
      <c r="D703" s="332"/>
      <c r="E703" s="332"/>
      <c r="F703" s="332"/>
      <c r="G703" s="332"/>
      <c r="H703" s="332"/>
      <c r="I703" s="332"/>
      <c r="J703" s="332"/>
      <c r="K703" s="396"/>
      <c r="L703" s="396"/>
      <c r="M703" s="332"/>
      <c r="N703" s="398"/>
      <c r="O703" s="398"/>
      <c r="P703" s="332"/>
      <c r="Q703" s="398"/>
      <c r="R703" s="396"/>
      <c r="S703" s="332"/>
      <c r="T703" s="332"/>
      <c r="U703" s="332"/>
      <c r="W703" s="332"/>
      <c r="X703" s="332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</row>
    <row r="704" spans="2:62" ht="16.8"/>
  </sheetData>
  <mergeCells count="42">
    <mergeCell ref="R91:S91"/>
    <mergeCell ref="R3:S3"/>
    <mergeCell ref="D3:F3"/>
    <mergeCell ref="G3:I3"/>
    <mergeCell ref="J3:L3"/>
    <mergeCell ref="M3:N3"/>
    <mergeCell ref="O3:Q3"/>
    <mergeCell ref="D91:F91"/>
    <mergeCell ref="G91:I91"/>
    <mergeCell ref="J91:L91"/>
    <mergeCell ref="M91:N91"/>
    <mergeCell ref="O91:Q91"/>
    <mergeCell ref="R171:S171"/>
    <mergeCell ref="D239:F239"/>
    <mergeCell ref="G239:I239"/>
    <mergeCell ref="J239:L239"/>
    <mergeCell ref="M239:N239"/>
    <mergeCell ref="O239:Q239"/>
    <mergeCell ref="R239:S239"/>
    <mergeCell ref="D171:F171"/>
    <mergeCell ref="G171:I171"/>
    <mergeCell ref="J171:L171"/>
    <mergeCell ref="M171:N171"/>
    <mergeCell ref="O171:Q171"/>
    <mergeCell ref="R294:S294"/>
    <mergeCell ref="D359:F359"/>
    <mergeCell ref="G359:I359"/>
    <mergeCell ref="J359:L359"/>
    <mergeCell ref="M359:N359"/>
    <mergeCell ref="O359:Q359"/>
    <mergeCell ref="R359:S359"/>
    <mergeCell ref="D294:F294"/>
    <mergeCell ref="G294:I294"/>
    <mergeCell ref="J294:L294"/>
    <mergeCell ref="M294:N294"/>
    <mergeCell ref="O294:Q294"/>
    <mergeCell ref="AM405:AO405"/>
    <mergeCell ref="X405:Z405"/>
    <mergeCell ref="AA405:AC405"/>
    <mergeCell ref="AD405:AF405"/>
    <mergeCell ref="AG405:AI405"/>
    <mergeCell ref="AJ405:AL405"/>
  </mergeCells>
  <conditionalFormatting sqref="D113:D114">
    <cfRule type="expression" dxfId="329" priority="26" stopIfTrue="1">
      <formula>"esterreur(reference)"</formula>
    </cfRule>
  </conditionalFormatting>
  <conditionalFormatting sqref="E103:E105">
    <cfRule type="expression" dxfId="328" priority="2" stopIfTrue="1">
      <formula>"esterreur(reference)"</formula>
    </cfRule>
  </conditionalFormatting>
  <conditionalFormatting sqref="F5">
    <cfRule type="expression" dxfId="327" priority="69" stopIfTrue="1">
      <formula>"esterreur(reference)"</formula>
    </cfRule>
  </conditionalFormatting>
  <conditionalFormatting sqref="F185">
    <cfRule type="expression" dxfId="326" priority="78" stopIfTrue="1">
      <formula>"esterreur(reference)"</formula>
    </cfRule>
  </conditionalFormatting>
  <conditionalFormatting sqref="G31:G32">
    <cfRule type="expression" dxfId="325" priority="30" stopIfTrue="1">
      <formula>"esterreur(reference)"</formula>
    </cfRule>
  </conditionalFormatting>
  <conditionalFormatting sqref="G113:G114">
    <cfRule type="expression" dxfId="324" priority="27" stopIfTrue="1">
      <formula>"esterreur(reference)"</formula>
    </cfRule>
  </conditionalFormatting>
  <conditionalFormatting sqref="H137:H153">
    <cfRule type="expression" dxfId="323" priority="35" stopIfTrue="1">
      <formula>"esterreur(reference)"</formula>
    </cfRule>
  </conditionalFormatting>
  <conditionalFormatting sqref="H361">
    <cfRule type="expression" dxfId="322" priority="108" stopIfTrue="1">
      <formula>"esterreur(reference)"</formula>
    </cfRule>
  </conditionalFormatting>
  <conditionalFormatting sqref="H198:L198">
    <cfRule type="expression" dxfId="321" priority="110" stopIfTrue="1">
      <formula>"esterreur(reference)"</formula>
    </cfRule>
  </conditionalFormatting>
  <conditionalFormatting sqref="H397:L400">
    <cfRule type="expression" dxfId="320" priority="106" stopIfTrue="1">
      <formula>"esterreur(reference)"</formula>
    </cfRule>
  </conditionalFormatting>
  <conditionalFormatting sqref="I378:L378 H379:H396">
    <cfRule type="expression" dxfId="319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18" priority="102" stopIfTrue="1">
      <formula>"esterreur(reference)"</formula>
    </cfRule>
  </conditionalFormatting>
  <conditionalFormatting sqref="J49:L72">
    <cfRule type="expression" dxfId="317" priority="36" stopIfTrue="1">
      <formula>"esterreur(reference)"</formula>
    </cfRule>
  </conditionalFormatting>
  <conditionalFormatting sqref="J103:L105">
    <cfRule type="expression" dxfId="316" priority="99" stopIfTrue="1">
      <formula>"esterreur(reference)"</formula>
    </cfRule>
  </conditionalFormatting>
  <conditionalFormatting sqref="J150:L153">
    <cfRule type="expression" dxfId="315" priority="34" stopIfTrue="1">
      <formula>"esterreur(reference)"</formula>
    </cfRule>
  </conditionalFormatting>
  <conditionalFormatting sqref="J296:L304">
    <cfRule type="expression" dxfId="314" priority="95" stopIfTrue="1">
      <formula>"esterreur(reference)"</formula>
    </cfRule>
  </conditionalFormatting>
  <conditionalFormatting sqref="J308:L309">
    <cfRule type="expression" dxfId="313" priority="85" stopIfTrue="1">
      <formula>"esterreur(reference)"</formula>
    </cfRule>
  </conditionalFormatting>
  <conditionalFormatting sqref="J361:L361">
    <cfRule type="expression" dxfId="312" priority="77" stopIfTrue="1">
      <formula>"esterreur(reference)"</formula>
    </cfRule>
  </conditionalFormatting>
  <conditionalFormatting sqref="J366:L377">
    <cfRule type="expression" dxfId="311" priority="82" stopIfTrue="1">
      <formula>"esterreur(reference)"</formula>
    </cfRule>
  </conditionalFormatting>
  <conditionalFormatting sqref="J379:L395">
    <cfRule type="expression" dxfId="310" priority="81" stopIfTrue="1">
      <formula>"esterreur(reference)"</formula>
    </cfRule>
  </conditionalFormatting>
  <conditionalFormatting sqref="J313:M313">
    <cfRule type="expression" dxfId="309" priority="83" stopIfTrue="1">
      <formula>"esterreur(reference)"</formula>
    </cfRule>
  </conditionalFormatting>
  <conditionalFormatting sqref="J113:Q122">
    <cfRule type="expression" dxfId="308" priority="28" stopIfTrue="1">
      <formula>"esterreur(reference)"</formula>
    </cfRule>
  </conditionalFormatting>
  <conditionalFormatting sqref="J124:Q135">
    <cfRule type="expression" dxfId="307" priority="61" stopIfTrue="1">
      <formula>"esterreur(reference)"</formula>
    </cfRule>
  </conditionalFormatting>
  <conditionalFormatting sqref="K5">
    <cfRule type="expression" dxfId="306" priority="92" stopIfTrue="1">
      <formula>"esterreur(reference)"</formula>
    </cfRule>
  </conditionalFormatting>
  <conditionalFormatting sqref="K176">
    <cfRule type="expression" dxfId="305" priority="89" stopIfTrue="1">
      <formula>"esterreur(reference)"</formula>
    </cfRule>
  </conditionalFormatting>
  <conditionalFormatting sqref="K184:K185">
    <cfRule type="expression" dxfId="304" priority="91" stopIfTrue="1">
      <formula>"esterreur(reference)"</formula>
    </cfRule>
  </conditionalFormatting>
  <conditionalFormatting sqref="K288">
    <cfRule type="expression" dxfId="303" priority="75" stopIfTrue="1">
      <formula>"esterreur(reference)"</formula>
    </cfRule>
  </conditionalFormatting>
  <conditionalFormatting sqref="K396">
    <cfRule type="expression" dxfId="302" priority="109" stopIfTrue="1">
      <formula>"esterreur(reference)"</formula>
    </cfRule>
  </conditionalFormatting>
  <conditionalFormatting sqref="K93:L96">
    <cfRule type="expression" dxfId="301" priority="80" stopIfTrue="1">
      <formula>"esterreur(reference)"</formula>
    </cfRule>
  </conditionalFormatting>
  <conditionalFormatting sqref="K100:L101">
    <cfRule type="expression" dxfId="300" priority="100" stopIfTrue="1">
      <formula>"esterreur(reference)"</formula>
    </cfRule>
  </conditionalFormatting>
  <conditionalFormatting sqref="K172:L174">
    <cfRule type="expression" dxfId="299" priority="90" stopIfTrue="1">
      <formula>"esterreur(reference)"</formula>
    </cfRule>
  </conditionalFormatting>
  <conditionalFormatting sqref="K177:L183">
    <cfRule type="expression" dxfId="298" priority="88" stopIfTrue="1">
      <formula>"esterreur(reference)"</formula>
    </cfRule>
  </conditionalFormatting>
  <conditionalFormatting sqref="K186:L197">
    <cfRule type="expression" dxfId="297" priority="84" stopIfTrue="1">
      <formula>"esterreur(reference)"</formula>
    </cfRule>
  </conditionalFormatting>
  <conditionalFormatting sqref="K240:L242">
    <cfRule type="expression" dxfId="296" priority="79" stopIfTrue="1">
      <formula>"esterreur(reference)"</formula>
    </cfRule>
  </conditionalFormatting>
  <conditionalFormatting sqref="K245:L245">
    <cfRule type="expression" dxfId="295" priority="87" stopIfTrue="1">
      <formula>"esterreur(reference)"</formula>
    </cfRule>
  </conditionalFormatting>
  <conditionalFormatting sqref="K248:L248">
    <cfRule type="expression" dxfId="294" priority="86" stopIfTrue="1">
      <formula>"esterreur(reference)"</formula>
    </cfRule>
  </conditionalFormatting>
  <conditionalFormatting sqref="L16:L24 Q16:Q24 O18:O24 D31:D32 L99 O99 Q99">
    <cfRule type="expression" dxfId="293" priority="31" stopIfTrue="1">
      <formula>"esterreur(reference)"</formula>
    </cfRule>
  </conditionalFormatting>
  <conditionalFormatting sqref="L42:L48">
    <cfRule type="expression" dxfId="292" priority="101" stopIfTrue="1">
      <formula>"esterreur(reference)"</formula>
    </cfRule>
  </conditionalFormatting>
  <conditionalFormatting sqref="L75:L82">
    <cfRule type="expression" dxfId="291" priority="70" stopIfTrue="1">
      <formula>"esterreur(reference)"</formula>
    </cfRule>
  </conditionalFormatting>
  <conditionalFormatting sqref="L137:L148">
    <cfRule type="expression" dxfId="290" priority="74" stopIfTrue="1">
      <formula>"esterreur(reference)"</formula>
    </cfRule>
  </conditionalFormatting>
  <conditionalFormatting sqref="L175:L176">
    <cfRule type="expression" dxfId="289" priority="98" stopIfTrue="1">
      <formula>"esterreur(reference)"</formula>
    </cfRule>
  </conditionalFormatting>
  <conditionalFormatting sqref="L199:L210">
    <cfRule type="expression" dxfId="288" priority="97" stopIfTrue="1">
      <formula>"esterreur(reference)"</formula>
    </cfRule>
  </conditionalFormatting>
  <conditionalFormatting sqref="L212:L229">
    <cfRule type="expression" dxfId="287" priority="73" stopIfTrue="1">
      <formula>"esterreur(reference)"</formula>
    </cfRule>
  </conditionalFormatting>
  <conditionalFormatting sqref="L255:L266">
    <cfRule type="expression" dxfId="286" priority="96" stopIfTrue="1">
      <formula>"esterreur(reference)"</formula>
    </cfRule>
  </conditionalFormatting>
  <conditionalFormatting sqref="L268:L285">
    <cfRule type="expression" dxfId="285" priority="72" stopIfTrue="1">
      <formula>"esterreur(reference)"</formula>
    </cfRule>
  </conditionalFormatting>
  <conditionalFormatting sqref="L319:L330">
    <cfRule type="expression" dxfId="284" priority="94" stopIfTrue="1">
      <formula>"esterreur(reference)"</formula>
    </cfRule>
  </conditionalFormatting>
  <conditionalFormatting sqref="L332">
    <cfRule type="expression" dxfId="283" priority="71" stopIfTrue="1">
      <formula>"esterreur(reference)"</formula>
    </cfRule>
  </conditionalFormatting>
  <conditionalFormatting sqref="L335:L344 L346:L349">
    <cfRule type="expression" dxfId="282" priority="93" stopIfTrue="1">
      <formula>"esterreur(reference)"</formula>
    </cfRule>
  </conditionalFormatting>
  <conditionalFormatting sqref="L357:L358 H358:I358 K358 J358:J359 H360:L360">
    <cfRule type="expression" dxfId="281" priority="105" stopIfTrue="1">
      <formula>"esterreur(reference)"</formula>
    </cfRule>
  </conditionalFormatting>
  <conditionalFormatting sqref="L5:Q14">
    <cfRule type="expression" dxfId="280" priority="65" stopIfTrue="1">
      <formula>"esterreur(reference)"</formula>
    </cfRule>
  </conditionalFormatting>
  <conditionalFormatting sqref="L157:Q163">
    <cfRule type="expression" dxfId="279" priority="32" stopIfTrue="1">
      <formula>"esterreur(reference)"</formula>
    </cfRule>
  </conditionalFormatting>
  <conditionalFormatting sqref="M95:M97">
    <cfRule type="expression" dxfId="278" priority="103" stopIfTrue="1">
      <formula>"esterreur(reference)"</formula>
    </cfRule>
  </conditionalFormatting>
  <conditionalFormatting sqref="O13:O14 O16 O83:Q85">
    <cfRule type="expression" dxfId="277" priority="68" stopIfTrue="1">
      <formula>"esterreur(reference)"</formula>
    </cfRule>
  </conditionalFormatting>
  <conditionalFormatting sqref="O173:O197 Q184 O199:P230 O233:Q233 O234:P234">
    <cfRule type="expression" dxfId="276" priority="59" stopIfTrue="1">
      <formula>"esterreur(reference)"</formula>
    </cfRule>
  </conditionalFormatting>
  <conditionalFormatting sqref="O319:P349 O350:Q350 O353:Q353 O354:P354">
    <cfRule type="expression" dxfId="275" priority="43" stopIfTrue="1">
      <formula>"esterreur(reference)"</formula>
    </cfRule>
  </conditionalFormatting>
  <conditionalFormatting sqref="O25:Q72">
    <cfRule type="expression" dxfId="274" priority="29" stopIfTrue="1">
      <formula>"esterreur(reference)"</formula>
    </cfRule>
  </conditionalFormatting>
  <conditionalFormatting sqref="O97:Q99 O123:Q123 O157:P158 O165:Q165 O166:P166">
    <cfRule type="expression" dxfId="273" priority="64" stopIfTrue="1">
      <formula>"esterreur(reference)"</formula>
    </cfRule>
  </conditionalFormatting>
  <conditionalFormatting sqref="O102:Q112">
    <cfRule type="expression" dxfId="272" priority="1" stopIfTrue="1">
      <formula>"esterreur(reference)"</formula>
    </cfRule>
  </conditionalFormatting>
  <conditionalFormatting sqref="O136:Q154">
    <cfRule type="expression" dxfId="271" priority="33" stopIfTrue="1">
      <formula>"esterreur(reference)"</formula>
    </cfRule>
  </conditionalFormatting>
  <conditionalFormatting sqref="O198:Q198">
    <cfRule type="expression" dxfId="270" priority="60" stopIfTrue="1">
      <formula>"esterreur(reference)"</formula>
    </cfRule>
  </conditionalFormatting>
  <conditionalFormatting sqref="O244:Q244 O253:Q254 O255:P285 O286:Q286 O289:Q289 O290:P290">
    <cfRule type="expression" dxfId="269" priority="50" stopIfTrue="1">
      <formula>"esterreur(reference)"</formula>
    </cfRule>
  </conditionalFormatting>
  <conditionalFormatting sqref="O296:Q318">
    <cfRule type="expression" dxfId="268" priority="41" stopIfTrue="1">
      <formula>"esterreur(reference)"</formula>
    </cfRule>
  </conditionalFormatting>
  <conditionalFormatting sqref="O360:Q395">
    <cfRule type="expression" dxfId="267" priority="37" stopIfTrue="1">
      <formula>"esterreur(reference)"</formula>
    </cfRule>
  </conditionalFormatting>
  <conditionalFormatting sqref="O397:Q400">
    <cfRule type="expression" dxfId="266" priority="38" stopIfTrue="1">
      <formula>"esterreur(reference)"</formula>
    </cfRule>
  </conditionalFormatting>
  <conditionalFormatting sqref="P5">
    <cfRule type="expression" dxfId="265" priority="66" stopIfTrue="1">
      <formula>"esterreur(reference)"</formula>
    </cfRule>
  </conditionalFormatting>
  <conditionalFormatting sqref="P176">
    <cfRule type="expression" dxfId="264" priority="54" stopIfTrue="1">
      <formula>"esterreur(reference)"</formula>
    </cfRule>
  </conditionalFormatting>
  <conditionalFormatting sqref="P184:P185">
    <cfRule type="expression" dxfId="263" priority="56" stopIfTrue="1">
      <formula>"esterreur(reference)"</formula>
    </cfRule>
  </conditionalFormatting>
  <conditionalFormatting sqref="P288">
    <cfRule type="expression" dxfId="262" priority="45" stopIfTrue="1">
      <formula>"esterreur(reference)"</formula>
    </cfRule>
  </conditionalFormatting>
  <conditionalFormatting sqref="P396">
    <cfRule type="expression" dxfId="261" priority="39" stopIfTrue="1">
      <formula>"esterreur(reference)"</formula>
    </cfRule>
  </conditionalFormatting>
  <conditionalFormatting sqref="P93:Q96">
    <cfRule type="expression" dxfId="260" priority="62" stopIfTrue="1">
      <formula>"esterreur(reference)"</formula>
    </cfRule>
  </conditionalFormatting>
  <conditionalFormatting sqref="P100:Q101">
    <cfRule type="expression" dxfId="259" priority="63" stopIfTrue="1">
      <formula>"esterreur(reference)"</formula>
    </cfRule>
  </conditionalFormatting>
  <conditionalFormatting sqref="P173:Q174">
    <cfRule type="expression" dxfId="258" priority="55" stopIfTrue="1">
      <formula>"esterreur(reference)"</formula>
    </cfRule>
  </conditionalFormatting>
  <conditionalFormatting sqref="P177:Q183">
    <cfRule type="expression" dxfId="257" priority="53" stopIfTrue="1">
      <formula>"esterreur(reference)"</formula>
    </cfRule>
  </conditionalFormatting>
  <conditionalFormatting sqref="P186:Q197">
    <cfRule type="expression" dxfId="256" priority="52" stopIfTrue="1">
      <formula>"esterreur(reference)"</formula>
    </cfRule>
  </conditionalFormatting>
  <conditionalFormatting sqref="P242:Q242">
    <cfRule type="expression" dxfId="255" priority="46" stopIfTrue="1">
      <formula>"esterreur(reference)"</formula>
    </cfRule>
  </conditionalFormatting>
  <conditionalFormatting sqref="P245:Q245">
    <cfRule type="expression" dxfId="254" priority="48" stopIfTrue="1">
      <formula>"esterreur(reference)"</formula>
    </cfRule>
  </conditionalFormatting>
  <conditionalFormatting sqref="P248:Q248">
    <cfRule type="expression" dxfId="253" priority="47" stopIfTrue="1">
      <formula>"esterreur(reference)"</formula>
    </cfRule>
  </conditionalFormatting>
  <conditionalFormatting sqref="Q75:Q82">
    <cfRule type="expression" dxfId="252" priority="67" stopIfTrue="1">
      <formula>"esterreur(reference)"</formula>
    </cfRule>
  </conditionalFormatting>
  <conditionalFormatting sqref="Q175:Q176">
    <cfRule type="expression" dxfId="251" priority="58" stopIfTrue="1">
      <formula>"esterreur(reference)"</formula>
    </cfRule>
  </conditionalFormatting>
  <conditionalFormatting sqref="Q199:Q210">
    <cfRule type="expression" dxfId="250" priority="57" stopIfTrue="1">
      <formula>"esterreur(reference)"</formula>
    </cfRule>
  </conditionalFormatting>
  <conditionalFormatting sqref="Q212:Q229">
    <cfRule type="expression" dxfId="249" priority="51" stopIfTrue="1">
      <formula>"esterreur(reference)"</formula>
    </cfRule>
  </conditionalFormatting>
  <conditionalFormatting sqref="Q255:Q266">
    <cfRule type="expression" dxfId="248" priority="49" stopIfTrue="1">
      <formula>"esterreur(reference)"</formula>
    </cfRule>
  </conditionalFormatting>
  <conditionalFormatting sqref="Q268:Q285">
    <cfRule type="expression" dxfId="247" priority="44" stopIfTrue="1">
      <formula>"esterreur(reference)"</formula>
    </cfRule>
  </conditionalFormatting>
  <conditionalFormatting sqref="Q319:Q330">
    <cfRule type="expression" dxfId="246" priority="42" stopIfTrue="1">
      <formula>"esterreur(reference)"</formula>
    </cfRule>
  </conditionalFormatting>
  <conditionalFormatting sqref="Q332:Q349">
    <cfRule type="expression" dxfId="245" priority="40" stopIfTrue="1">
      <formula>"esterreur(reference)"</formula>
    </cfRule>
  </conditionalFormatting>
  <conditionalFormatting sqref="R313">
    <cfRule type="expression" dxfId="244" priority="104" stopIfTrue="1">
      <formula>"esterreur(reference)"</formula>
    </cfRule>
  </conditionalFormatting>
  <conditionalFormatting sqref="S187">
    <cfRule type="expression" dxfId="243" priority="76" stopIfTrue="1">
      <formula>"esterreur(reference)"</formula>
    </cfRule>
  </conditionalFormatting>
  <conditionalFormatting sqref="Z426:Z428">
    <cfRule type="cellIs" dxfId="242" priority="20" operator="greaterThan">
      <formula>0</formula>
    </cfRule>
  </conditionalFormatting>
  <conditionalFormatting sqref="Z433">
    <cfRule type="cellIs" dxfId="241" priority="17" operator="greaterThan">
      <formula>0</formula>
    </cfRule>
  </conditionalFormatting>
  <conditionalFormatting sqref="Z450:Z452">
    <cfRule type="cellIs" dxfId="240" priority="13" operator="greaterThan">
      <formula>0</formula>
    </cfRule>
  </conditionalFormatting>
  <conditionalFormatting sqref="Z464:Z466">
    <cfRule type="cellIs" dxfId="239" priority="9" operator="greaterThan">
      <formula>0</formula>
    </cfRule>
  </conditionalFormatting>
  <conditionalFormatting sqref="Z479:Z480">
    <cfRule type="cellIs" dxfId="238" priority="6" operator="greaterThan">
      <formula>0</formula>
    </cfRule>
  </conditionalFormatting>
  <conditionalFormatting sqref="Z496:Z498">
    <cfRule type="cellIs" dxfId="237" priority="3" operator="greaterThan">
      <formula>0</formula>
    </cfRule>
  </conditionalFormatting>
  <conditionalFormatting sqref="AC426:AC428">
    <cfRule type="cellIs" dxfId="236" priority="21" operator="greaterThan">
      <formula>0</formula>
    </cfRule>
  </conditionalFormatting>
  <conditionalFormatting sqref="AC433">
    <cfRule type="cellIs" dxfId="235" priority="18" operator="greaterThan">
      <formula>0</formula>
    </cfRule>
  </conditionalFormatting>
  <conditionalFormatting sqref="AC450:AC452">
    <cfRule type="cellIs" dxfId="234" priority="14" operator="greaterThan">
      <formula>0</formula>
    </cfRule>
  </conditionalFormatting>
  <conditionalFormatting sqref="AC464:AC466">
    <cfRule type="cellIs" dxfId="233" priority="10" operator="greaterThan">
      <formula>0</formula>
    </cfRule>
  </conditionalFormatting>
  <conditionalFormatting sqref="AC479:AC480">
    <cfRule type="cellIs" dxfId="232" priority="7" operator="greaterThan">
      <formula>0</formula>
    </cfRule>
  </conditionalFormatting>
  <conditionalFormatting sqref="AC496:AC498">
    <cfRule type="cellIs" dxfId="231" priority="4" operator="greaterThan">
      <formula>0</formula>
    </cfRule>
  </conditionalFormatting>
  <conditionalFormatting sqref="AG410:AI419">
    <cfRule type="cellIs" dxfId="230" priority="23" operator="greaterThan">
      <formula>0</formula>
    </cfRule>
  </conditionalFormatting>
  <conditionalFormatting sqref="AH450:AH453">
    <cfRule type="cellIs" dxfId="229" priority="15" operator="greaterThan">
      <formula>0</formula>
    </cfRule>
  </conditionalFormatting>
  <conditionalFormatting sqref="AH462:AH467">
    <cfRule type="cellIs" dxfId="228" priority="11" operator="greaterThan">
      <formula>0</formula>
    </cfRule>
  </conditionalFormatting>
  <conditionalFormatting sqref="AH421:AI449">
    <cfRule type="cellIs" dxfId="227" priority="19" operator="greaterThan">
      <formula>0</formula>
    </cfRule>
  </conditionalFormatting>
  <conditionalFormatting sqref="AH454:AI461 AH468:AI469">
    <cfRule type="cellIs" dxfId="226" priority="24" operator="greaterThan">
      <formula>0</formula>
    </cfRule>
  </conditionalFormatting>
  <conditionalFormatting sqref="AH470:AI478 AH481:AI481">
    <cfRule type="cellIs" dxfId="225" priority="25" operator="lessThan">
      <formula>0</formula>
    </cfRule>
  </conditionalFormatting>
  <conditionalFormatting sqref="AH479:AI480">
    <cfRule type="cellIs" dxfId="224" priority="8" operator="greaterThan">
      <formula>0</formula>
    </cfRule>
  </conditionalFormatting>
  <conditionalFormatting sqref="AH492:AI498">
    <cfRule type="cellIs" dxfId="223" priority="5" operator="greaterThan">
      <formula>0</formula>
    </cfRule>
  </conditionalFormatting>
  <conditionalFormatting sqref="AI450:AI452">
    <cfRule type="cellIs" dxfId="222" priority="16" operator="greaterThan">
      <formula>0</formula>
    </cfRule>
  </conditionalFormatting>
  <conditionalFormatting sqref="AI464:AI466">
    <cfRule type="cellIs" dxfId="221" priority="12" operator="greaterThan">
      <formula>0</formula>
    </cfRule>
  </conditionalFormatting>
  <conditionalFormatting sqref="AO410:AO419">
    <cfRule type="cellIs" dxfId="220" priority="22" operator="greaterThan">
      <formula>0</formula>
    </cfRule>
  </conditionalFormatting>
  <printOptions horizontalCentered="1"/>
  <pageMargins left="0" right="0" top="0.25" bottom="0.25" header="0.3" footer="0.3"/>
  <pageSetup scale="4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7">
    <tabColor rgb="FF00B050"/>
    <pageSetUpPr fitToPage="1"/>
  </sheetPr>
  <dimension ref="A1:BJ703"/>
  <sheetViews>
    <sheetView zoomScale="70" zoomScaleNormal="70" workbookViewId="0">
      <selection sqref="A1:XFD1048576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489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"/>
      <c r="C1" s="1" t="s">
        <v>209</v>
      </c>
      <c r="D1" s="2"/>
      <c r="E1" s="2"/>
      <c r="F1" s="2"/>
      <c r="G1" s="2"/>
      <c r="H1" s="1"/>
      <c r="I1" s="2"/>
      <c r="J1" s="1"/>
      <c r="K1" s="3" t="s">
        <v>0</v>
      </c>
      <c r="L1" s="2"/>
      <c r="M1" s="2"/>
      <c r="N1" s="4"/>
      <c r="O1" s="1"/>
      <c r="P1" s="2"/>
      <c r="Q1" s="1"/>
      <c r="R1" s="2"/>
      <c r="S1" s="5" t="s">
        <v>289</v>
      </c>
      <c r="T1" s="2" t="s">
        <v>1</v>
      </c>
      <c r="U1" s="6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ht="17.399999999999999" thickBot="1">
      <c r="B2" s="7"/>
      <c r="C2" s="8"/>
      <c r="D2" s="451" t="s">
        <v>2</v>
      </c>
      <c r="E2" s="451" t="s">
        <v>3</v>
      </c>
      <c r="F2" s="451" t="s">
        <v>4</v>
      </c>
      <c r="G2" s="451"/>
      <c r="H2" s="451"/>
      <c r="I2" s="451"/>
      <c r="J2" s="451" t="s">
        <v>210</v>
      </c>
      <c r="K2" s="451"/>
      <c r="L2" s="451" t="s">
        <v>211</v>
      </c>
      <c r="M2" s="452"/>
      <c r="N2" s="452"/>
      <c r="O2" s="451" t="s">
        <v>2</v>
      </c>
      <c r="P2" s="451" t="s">
        <v>3</v>
      </c>
      <c r="Q2" s="451" t="s">
        <v>4</v>
      </c>
      <c r="R2" s="10"/>
      <c r="S2" s="10"/>
      <c r="T2" s="10"/>
      <c r="U2" s="10"/>
    </row>
    <row r="3" spans="1:40" ht="21.6" thickTop="1">
      <c r="B3" s="11"/>
      <c r="C3" s="12"/>
      <c r="D3" s="506" t="s">
        <v>5</v>
      </c>
      <c r="E3" s="507"/>
      <c r="F3" s="508"/>
      <c r="G3" s="509"/>
      <c r="H3" s="507"/>
      <c r="I3" s="508"/>
      <c r="J3" s="509" t="s">
        <v>7</v>
      </c>
      <c r="K3" s="507"/>
      <c r="L3" s="508"/>
      <c r="M3" s="509" t="s">
        <v>212</v>
      </c>
      <c r="N3" s="508"/>
      <c r="O3" s="506" t="s">
        <v>8</v>
      </c>
      <c r="P3" s="507"/>
      <c r="Q3" s="508"/>
      <c r="R3" s="504" t="s">
        <v>213</v>
      </c>
      <c r="S3" s="505"/>
      <c r="T3" s="13"/>
      <c r="U3" s="13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</row>
    <row r="4" spans="1:40" ht="20.399999999999999">
      <c r="B4" s="11"/>
      <c r="C4" s="14"/>
      <c r="D4" s="15" t="s">
        <v>10</v>
      </c>
      <c r="E4" s="16" t="s">
        <v>11</v>
      </c>
      <c r="F4" s="17" t="s">
        <v>12</v>
      </c>
      <c r="G4" s="18"/>
      <c r="H4" s="16"/>
      <c r="I4" s="17"/>
      <c r="J4" s="18" t="s">
        <v>10</v>
      </c>
      <c r="K4" s="16" t="s">
        <v>13</v>
      </c>
      <c r="L4" s="17" t="s">
        <v>12</v>
      </c>
      <c r="M4" s="18" t="s">
        <v>214</v>
      </c>
      <c r="N4" s="17" t="s">
        <v>12</v>
      </c>
      <c r="O4" s="16" t="s">
        <v>10</v>
      </c>
      <c r="P4" s="16" t="s">
        <v>11</v>
      </c>
      <c r="Q4" s="17" t="s">
        <v>12</v>
      </c>
      <c r="R4" s="18" t="s">
        <v>10</v>
      </c>
      <c r="S4" s="19" t="s">
        <v>12</v>
      </c>
      <c r="T4" s="13"/>
      <c r="U4" s="13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0.399999999999999">
      <c r="A5" t="str">
        <f t="shared" ref="A5:A18" si="0">+B5&amp;C5</f>
        <v>Véhicules neufsVentes nettes</v>
      </c>
      <c r="B5" s="11" t="str">
        <f t="shared" ref="B5:B85" si="1">+$K$1</f>
        <v>Véhicules neufs</v>
      </c>
      <c r="C5" s="20" t="s">
        <v>14</v>
      </c>
      <c r="D5" s="21"/>
      <c r="E5" s="21"/>
      <c r="F5" s="22">
        <v>3149600.8823529412</v>
      </c>
      <c r="G5" s="23"/>
      <c r="H5" s="21"/>
      <c r="I5" s="24"/>
      <c r="J5" s="23"/>
      <c r="K5" s="25"/>
      <c r="L5" s="22">
        <v>3374206.3000000007</v>
      </c>
      <c r="M5" s="26"/>
      <c r="N5" s="27"/>
      <c r="O5" s="23"/>
      <c r="P5" s="25"/>
      <c r="Q5" s="22">
        <v>1283561.78</v>
      </c>
      <c r="R5" s="26"/>
      <c r="S5" s="28"/>
      <c r="T5" s="13"/>
      <c r="U5" s="13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0.399999999999999">
      <c r="A6" t="str">
        <f t="shared" si="0"/>
        <v>Véhicules neufsAutos détail</v>
      </c>
      <c r="B6" s="11" t="str">
        <f t="shared" si="1"/>
        <v>Véhicules neufs</v>
      </c>
      <c r="C6" s="29" t="s">
        <v>15</v>
      </c>
      <c r="D6" s="30">
        <v>10</v>
      </c>
      <c r="E6" s="30">
        <f t="shared" ref="E6:E12" si="2">IF(D6=0,0,F6/D6)</f>
        <v>4701.1764705882351</v>
      </c>
      <c r="F6" s="30">
        <v>47011.76470588235</v>
      </c>
      <c r="G6" s="31"/>
      <c r="H6" s="30"/>
      <c r="I6" s="30"/>
      <c r="J6" s="31">
        <v>11</v>
      </c>
      <c r="K6" s="30">
        <f t="shared" ref="K6:K12" si="3">IF(J6=0,0,L6/J6)</f>
        <v>5511.2054545454394</v>
      </c>
      <c r="L6" s="32">
        <v>60623.259999999835</v>
      </c>
      <c r="M6" s="31">
        <f t="shared" ref="M6:M12" si="4">J6-D6</f>
        <v>1</v>
      </c>
      <c r="N6" s="33">
        <f t="shared" ref="N6:N12" si="5">L6-F6</f>
        <v>13611.495294117485</v>
      </c>
      <c r="O6" s="31">
        <v>4</v>
      </c>
      <c r="P6" s="30">
        <f t="shared" ref="P6:P12" si="6">IF(O6=0,0,Q6/O6)</f>
        <v>4088.2475000000013</v>
      </c>
      <c r="Q6" s="32">
        <v>16352.990000000005</v>
      </c>
      <c r="R6" s="31">
        <f t="shared" ref="R6:R12" si="7">J6-O6</f>
        <v>7</v>
      </c>
      <c r="S6" s="34">
        <f t="shared" ref="S6:S12" si="8">L6-Q6</f>
        <v>44270.269999999829</v>
      </c>
      <c r="T6" s="13"/>
      <c r="U6" s="13"/>
      <c r="W6" s="11" t="s">
        <v>246</v>
      </c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0.399999999999999">
      <c r="A7" t="str">
        <f t="shared" si="0"/>
        <v>Véhicules neufsCamions détail</v>
      </c>
      <c r="B7" s="11" t="str">
        <f t="shared" si="1"/>
        <v>Véhicules neufs</v>
      </c>
      <c r="C7" s="29" t="s">
        <v>16</v>
      </c>
      <c r="D7" s="30">
        <v>19</v>
      </c>
      <c r="E7" s="30">
        <f t="shared" si="2"/>
        <v>3928.5</v>
      </c>
      <c r="F7" s="30">
        <v>74641.5</v>
      </c>
      <c r="G7" s="31"/>
      <c r="H7" s="30"/>
      <c r="I7" s="30"/>
      <c r="J7" s="31">
        <v>21</v>
      </c>
      <c r="K7" s="30">
        <f t="shared" si="3"/>
        <v>4375.6623809523935</v>
      </c>
      <c r="L7" s="32">
        <v>91888.910000000265</v>
      </c>
      <c r="M7" s="31">
        <f t="shared" si="4"/>
        <v>2</v>
      </c>
      <c r="N7" s="33">
        <f t="shared" si="5"/>
        <v>17247.410000000265</v>
      </c>
      <c r="O7" s="31">
        <v>8</v>
      </c>
      <c r="P7" s="30">
        <f t="shared" si="6"/>
        <v>3086.7737500000003</v>
      </c>
      <c r="Q7" s="32">
        <v>24694.190000000002</v>
      </c>
      <c r="R7" s="31">
        <f t="shared" si="7"/>
        <v>13</v>
      </c>
      <c r="S7" s="34">
        <f t="shared" si="8"/>
        <v>67194.720000000263</v>
      </c>
      <c r="T7" s="13"/>
      <c r="U7" s="13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0.399999999999999" hidden="1">
      <c r="A8" t="str">
        <f t="shared" si="0"/>
        <v>Véhicules neufsSprinter</v>
      </c>
      <c r="B8" s="11" t="str">
        <f t="shared" si="1"/>
        <v>Véhicules neufs</v>
      </c>
      <c r="C8" s="29" t="s">
        <v>17</v>
      </c>
      <c r="D8" s="30">
        <v>0</v>
      </c>
      <c r="E8" s="30">
        <f t="shared" si="2"/>
        <v>0</v>
      </c>
      <c r="F8" s="30">
        <v>0</v>
      </c>
      <c r="G8" s="31"/>
      <c r="H8" s="30"/>
      <c r="I8" s="30"/>
      <c r="J8" s="31">
        <v>0</v>
      </c>
      <c r="K8" s="30">
        <f t="shared" si="3"/>
        <v>0</v>
      </c>
      <c r="L8" s="32">
        <v>0</v>
      </c>
      <c r="M8" s="31">
        <f t="shared" si="4"/>
        <v>0</v>
      </c>
      <c r="N8" s="33">
        <f t="shared" si="5"/>
        <v>0</v>
      </c>
      <c r="O8" s="31">
        <v>0</v>
      </c>
      <c r="P8" s="30">
        <f t="shared" si="6"/>
        <v>0</v>
      </c>
      <c r="Q8" s="32">
        <v>0</v>
      </c>
      <c r="R8" s="31">
        <f t="shared" si="7"/>
        <v>0</v>
      </c>
      <c r="S8" s="34">
        <f t="shared" si="8"/>
        <v>0</v>
      </c>
      <c r="T8" s="13"/>
      <c r="U8" s="13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0.399999999999999" hidden="1">
      <c r="A9" t="str">
        <f t="shared" si="0"/>
        <v>Véhicules neufsMoto détail</v>
      </c>
      <c r="B9" s="11" t="str">
        <f t="shared" si="1"/>
        <v>Véhicules neufs</v>
      </c>
      <c r="C9" s="29" t="s">
        <v>18</v>
      </c>
      <c r="D9" s="30">
        <v>0</v>
      </c>
      <c r="E9" s="30">
        <f t="shared" si="2"/>
        <v>0</v>
      </c>
      <c r="F9" s="30">
        <v>0</v>
      </c>
      <c r="G9" s="31"/>
      <c r="H9" s="30"/>
      <c r="I9" s="30"/>
      <c r="J9" s="31">
        <v>0</v>
      </c>
      <c r="K9" s="30">
        <f t="shared" si="3"/>
        <v>0</v>
      </c>
      <c r="L9" s="32">
        <v>0</v>
      </c>
      <c r="M9" s="31">
        <f t="shared" si="4"/>
        <v>0</v>
      </c>
      <c r="N9" s="33">
        <f t="shared" si="5"/>
        <v>0</v>
      </c>
      <c r="O9" s="31">
        <v>0</v>
      </c>
      <c r="P9" s="30">
        <f t="shared" si="6"/>
        <v>0</v>
      </c>
      <c r="Q9" s="32">
        <v>0</v>
      </c>
      <c r="R9" s="31">
        <f t="shared" si="7"/>
        <v>0</v>
      </c>
      <c r="S9" s="34">
        <f t="shared" si="8"/>
        <v>0</v>
      </c>
      <c r="T9" s="13"/>
      <c r="U9" s="13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0.399999999999999" hidden="1">
      <c r="A10" t="str">
        <f t="shared" si="0"/>
        <v>Véhicules neufs[...]</v>
      </c>
      <c r="B10" s="11" t="str">
        <f t="shared" si="1"/>
        <v>Véhicules neufs</v>
      </c>
      <c r="C10" s="29" t="s">
        <v>19</v>
      </c>
      <c r="D10" s="30">
        <v>0</v>
      </c>
      <c r="E10" s="30">
        <f t="shared" si="2"/>
        <v>0</v>
      </c>
      <c r="F10" s="30">
        <v>0</v>
      </c>
      <c r="G10" s="31"/>
      <c r="H10" s="30"/>
      <c r="I10" s="30"/>
      <c r="J10" s="31">
        <v>0</v>
      </c>
      <c r="K10" s="30">
        <f t="shared" si="3"/>
        <v>0</v>
      </c>
      <c r="L10" s="32">
        <v>0</v>
      </c>
      <c r="M10" s="31">
        <f t="shared" si="4"/>
        <v>0</v>
      </c>
      <c r="N10" s="33">
        <f t="shared" si="5"/>
        <v>0</v>
      </c>
      <c r="O10" s="31">
        <v>0</v>
      </c>
      <c r="P10" s="30">
        <f t="shared" si="6"/>
        <v>0</v>
      </c>
      <c r="Q10" s="32">
        <v>0</v>
      </c>
      <c r="R10" s="31">
        <f t="shared" si="7"/>
        <v>0</v>
      </c>
      <c r="S10" s="34">
        <f t="shared" si="8"/>
        <v>0</v>
      </c>
      <c r="T10" s="13"/>
      <c r="U10" s="13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0.399999999999999" hidden="1">
      <c r="A11" t="str">
        <f t="shared" si="0"/>
        <v>Véhicules neufs[...]</v>
      </c>
      <c r="B11" s="11" t="str">
        <f t="shared" si="1"/>
        <v>Véhicules neufs</v>
      </c>
      <c r="C11" s="29" t="s">
        <v>19</v>
      </c>
      <c r="D11" s="30">
        <v>0</v>
      </c>
      <c r="E11" s="30">
        <f t="shared" si="2"/>
        <v>0</v>
      </c>
      <c r="F11" s="30">
        <v>0</v>
      </c>
      <c r="G11" s="31"/>
      <c r="H11" s="30"/>
      <c r="I11" s="30"/>
      <c r="J11" s="31">
        <v>0</v>
      </c>
      <c r="K11" s="30">
        <f t="shared" si="3"/>
        <v>0</v>
      </c>
      <c r="L11" s="32">
        <v>0</v>
      </c>
      <c r="M11" s="31">
        <f t="shared" si="4"/>
        <v>0</v>
      </c>
      <c r="N11" s="33">
        <f t="shared" si="5"/>
        <v>0</v>
      </c>
      <c r="O11" s="31">
        <v>0</v>
      </c>
      <c r="P11" s="30">
        <f t="shared" si="6"/>
        <v>0</v>
      </c>
      <c r="Q11" s="32">
        <v>0</v>
      </c>
      <c r="R11" s="31">
        <f t="shared" si="7"/>
        <v>0</v>
      </c>
      <c r="S11" s="34">
        <f t="shared" si="8"/>
        <v>0</v>
      </c>
      <c r="T11" s="13"/>
      <c r="U11" s="13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0.399999999999999" hidden="1">
      <c r="A12" t="str">
        <f t="shared" si="0"/>
        <v>Véhicules neufs[...]</v>
      </c>
      <c r="B12" s="11" t="str">
        <f t="shared" si="1"/>
        <v>Véhicules neufs</v>
      </c>
      <c r="C12" s="29" t="s">
        <v>19</v>
      </c>
      <c r="D12" s="30">
        <v>0</v>
      </c>
      <c r="E12" s="30">
        <f t="shared" si="2"/>
        <v>0</v>
      </c>
      <c r="F12" s="30">
        <v>0</v>
      </c>
      <c r="G12" s="31"/>
      <c r="H12" s="30"/>
      <c r="I12" s="30"/>
      <c r="J12" s="31">
        <v>0</v>
      </c>
      <c r="K12" s="30">
        <f t="shared" si="3"/>
        <v>0</v>
      </c>
      <c r="L12" s="32">
        <v>0</v>
      </c>
      <c r="M12" s="31">
        <f t="shared" si="4"/>
        <v>0</v>
      </c>
      <c r="N12" s="33">
        <f t="shared" si="5"/>
        <v>0</v>
      </c>
      <c r="O12" s="31">
        <v>0</v>
      </c>
      <c r="P12" s="30">
        <f t="shared" si="6"/>
        <v>0</v>
      </c>
      <c r="Q12" s="32">
        <v>0</v>
      </c>
      <c r="R12" s="31">
        <f t="shared" si="7"/>
        <v>0</v>
      </c>
      <c r="S12" s="34">
        <f t="shared" si="8"/>
        <v>0</v>
      </c>
      <c r="T12" s="13"/>
      <c r="U12" s="13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1">
      <c r="A13" t="str">
        <f t="shared" si="0"/>
        <v>Véhicules neufsTotal Neufs</v>
      </c>
      <c r="B13" s="11" t="str">
        <f t="shared" si="1"/>
        <v>Véhicules neufs</v>
      </c>
      <c r="C13" s="35" t="s">
        <v>20</v>
      </c>
      <c r="D13" s="36">
        <f>+SUM(D6:D12)</f>
        <v>29</v>
      </c>
      <c r="E13" s="36">
        <f>IF(D13&lt;=0,0,F13/D13)</f>
        <v>4194.9401622718051</v>
      </c>
      <c r="F13" s="37">
        <f>+SUM(F6:F12)</f>
        <v>121653.26470588235</v>
      </c>
      <c r="G13" s="38"/>
      <c r="H13" s="36"/>
      <c r="I13" s="37"/>
      <c r="J13" s="38">
        <f>+SUM(J6:J12)</f>
        <v>32</v>
      </c>
      <c r="K13" s="36">
        <f>IF(J13&lt;=0,0,L13/J13)</f>
        <v>4766.0053125000031</v>
      </c>
      <c r="L13" s="37">
        <f t="shared" ref="L13:O13" si="9">+SUM(L6:L12)</f>
        <v>152512.1700000001</v>
      </c>
      <c r="M13" s="38">
        <f t="shared" si="9"/>
        <v>3</v>
      </c>
      <c r="N13" s="37">
        <f t="shared" si="9"/>
        <v>30858.905294117751</v>
      </c>
      <c r="O13" s="38">
        <f t="shared" si="9"/>
        <v>12</v>
      </c>
      <c r="P13" s="36">
        <f>IF(O13&lt;=0,0,Q13/O13)</f>
        <v>3420.5983333333338</v>
      </c>
      <c r="Q13" s="37">
        <f t="shared" ref="Q13:S13" si="10">+SUM(Q6:Q12)</f>
        <v>41047.180000000008</v>
      </c>
      <c r="R13" s="38">
        <f t="shared" si="10"/>
        <v>20</v>
      </c>
      <c r="S13" s="39">
        <f t="shared" si="10"/>
        <v>111464.99000000009</v>
      </c>
      <c r="T13" s="13"/>
      <c r="U13" s="13"/>
      <c r="W13" s="11">
        <v>32</v>
      </c>
      <c r="X13" s="11">
        <v>152512</v>
      </c>
      <c r="Y13" s="499">
        <f>L13-X13</f>
        <v>0.17000000010011718</v>
      </c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1">
      <c r="A14" t="str">
        <f t="shared" si="0"/>
        <v>Véhicules neufs</v>
      </c>
      <c r="B14" s="11" t="str">
        <f t="shared" si="1"/>
        <v>Véhicules neufs</v>
      </c>
      <c r="C14" s="29"/>
      <c r="D14" s="13"/>
      <c r="E14" s="30"/>
      <c r="F14" s="40"/>
      <c r="G14" s="41"/>
      <c r="H14" s="30"/>
      <c r="I14" s="40"/>
      <c r="J14" s="41"/>
      <c r="K14" s="30"/>
      <c r="L14" s="40"/>
      <c r="M14" s="42">
        <f>IF(D13=0,0,M13/D13)</f>
        <v>0.10344827586206896</v>
      </c>
      <c r="N14" s="43">
        <f>IF(F13=0,0,N13/F13)</f>
        <v>0.25366277977598423</v>
      </c>
      <c r="O14" s="41"/>
      <c r="P14" s="30"/>
      <c r="Q14" s="40"/>
      <c r="R14" s="42">
        <f>R13/O13</f>
        <v>1.6666666666666667</v>
      </c>
      <c r="S14" s="44">
        <f>IF(Q13=0,0,(S13/Q13))</f>
        <v>2.715533442248653</v>
      </c>
      <c r="T14" s="13"/>
      <c r="U14" s="13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1">
      <c r="A15" t="str">
        <f t="shared" si="0"/>
        <v>Véhicules neufsEx-Démos et courtoisies</v>
      </c>
      <c r="B15" s="11" t="str">
        <f t="shared" si="1"/>
        <v>Véhicules neufs</v>
      </c>
      <c r="C15" s="45" t="s">
        <v>21</v>
      </c>
      <c r="D15" s="25">
        <v>4</v>
      </c>
      <c r="E15" s="25">
        <f>IF(D15=0,0,F15/D15)</f>
        <v>1200</v>
      </c>
      <c r="F15" s="22">
        <v>4800</v>
      </c>
      <c r="G15" s="46"/>
      <c r="H15" s="47"/>
      <c r="I15" s="48"/>
      <c r="J15" s="49">
        <v>4</v>
      </c>
      <c r="K15" s="50">
        <f>IF(J15=0,0,L15/J15)</f>
        <v>2421.8224999999948</v>
      </c>
      <c r="L15" s="50">
        <v>9687.289999999979</v>
      </c>
      <c r="M15" s="51">
        <f>J15-D15</f>
        <v>0</v>
      </c>
      <c r="N15" s="48">
        <f>L15-F15</f>
        <v>4887.289999999979</v>
      </c>
      <c r="O15" s="49">
        <v>4</v>
      </c>
      <c r="P15" s="50">
        <f>IF(O15=0,0,Q15/O15)</f>
        <v>2741.2149999999965</v>
      </c>
      <c r="Q15" s="50">
        <v>10964.859999999986</v>
      </c>
      <c r="R15" s="51">
        <f>J15-O15</f>
        <v>0</v>
      </c>
      <c r="S15" s="52">
        <f>L15-Q15</f>
        <v>-1277.570000000007</v>
      </c>
      <c r="T15" s="13"/>
      <c r="U15" s="13"/>
      <c r="W15" s="453">
        <v>4</v>
      </c>
      <c r="X15" s="11">
        <v>1431</v>
      </c>
      <c r="Y15" s="499">
        <f>L15-X15</f>
        <v>8256.289999999979</v>
      </c>
      <c r="Z15" s="11" t="s">
        <v>271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1">
      <c r="A16" t="str">
        <f t="shared" si="0"/>
        <v>Véhicules neufs</v>
      </c>
      <c r="B16" s="11" t="str">
        <f t="shared" si="1"/>
        <v>Véhicules neufs</v>
      </c>
      <c r="C16" s="29"/>
      <c r="D16" s="13"/>
      <c r="E16" s="30"/>
      <c r="F16" s="40"/>
      <c r="G16" s="41"/>
      <c r="H16" s="30"/>
      <c r="I16" s="40"/>
      <c r="J16" s="41"/>
      <c r="K16" s="30"/>
      <c r="L16" s="33"/>
      <c r="M16" s="42"/>
      <c r="N16" s="43"/>
      <c r="O16" s="41"/>
      <c r="P16" s="30"/>
      <c r="Q16" s="33"/>
      <c r="R16" s="42"/>
      <c r="S16" s="44"/>
      <c r="T16" s="13"/>
      <c r="U16" s="13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1">
      <c r="A17" t="str">
        <f t="shared" si="0"/>
        <v>Véhicules neufsFlottes</v>
      </c>
      <c r="B17" s="11" t="str">
        <f t="shared" si="1"/>
        <v>Véhicules neufs</v>
      </c>
      <c r="C17" s="53" t="s">
        <v>22</v>
      </c>
      <c r="D17" s="30">
        <v>3</v>
      </c>
      <c r="E17" s="30">
        <f>IF(D17=0,0,F17/D17)</f>
        <v>750</v>
      </c>
      <c r="F17" s="30">
        <v>2250</v>
      </c>
      <c r="G17" s="31"/>
      <c r="H17" s="30"/>
      <c r="I17" s="30"/>
      <c r="J17" s="51">
        <v>2</v>
      </c>
      <c r="K17" s="30">
        <f>IF(J17=0,0,L17/J17)</f>
        <v>0</v>
      </c>
      <c r="L17" s="33">
        <v>0</v>
      </c>
      <c r="M17" s="51">
        <f>J17-D17</f>
        <v>-1</v>
      </c>
      <c r="N17" s="33">
        <f>L17-F17</f>
        <v>-2250</v>
      </c>
      <c r="O17" s="51">
        <v>0</v>
      </c>
      <c r="P17" s="30">
        <f>IF(O17=0,0,Q17/O17)</f>
        <v>0</v>
      </c>
      <c r="Q17" s="33">
        <v>0</v>
      </c>
      <c r="R17" s="31">
        <f>J17-O17</f>
        <v>2</v>
      </c>
      <c r="S17" s="34">
        <f>L17-Q17</f>
        <v>0</v>
      </c>
      <c r="T17" s="13"/>
      <c r="U17" s="13"/>
      <c r="W17" s="11">
        <v>2</v>
      </c>
      <c r="X17" s="11">
        <v>-539</v>
      </c>
      <c r="Y17" s="499">
        <f>L17-X17</f>
        <v>539</v>
      </c>
      <c r="Z17" s="11" t="s">
        <v>272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1">
      <c r="A18" t="str">
        <f t="shared" si="0"/>
        <v>Véhicules neufs</v>
      </c>
      <c r="B18" s="11" t="str">
        <f t="shared" si="1"/>
        <v>Véhicules neufs</v>
      </c>
      <c r="C18" s="35"/>
      <c r="D18" s="54"/>
      <c r="E18" s="54"/>
      <c r="F18" s="55"/>
      <c r="G18" s="56"/>
      <c r="H18" s="54"/>
      <c r="I18" s="55"/>
      <c r="J18" s="56"/>
      <c r="K18" s="54"/>
      <c r="L18" s="55"/>
      <c r="M18" s="56"/>
      <c r="N18" s="55"/>
      <c r="O18" s="56"/>
      <c r="P18" s="54"/>
      <c r="Q18" s="55"/>
      <c r="R18" s="56"/>
      <c r="S18" s="57"/>
      <c r="T18" s="13"/>
      <c r="U18" s="13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1">
      <c r="B19" s="11" t="str">
        <f t="shared" si="1"/>
        <v>Véhicules neufs</v>
      </c>
      <c r="C19" s="490"/>
      <c r="D19" s="25"/>
      <c r="E19" s="25"/>
      <c r="F19" s="22"/>
      <c r="G19" s="46"/>
      <c r="H19" s="25"/>
      <c r="I19" s="22"/>
      <c r="J19" s="46"/>
      <c r="K19" s="25"/>
      <c r="L19" s="22"/>
      <c r="M19" s="46"/>
      <c r="N19" s="22"/>
      <c r="O19" s="46"/>
      <c r="P19" s="25"/>
      <c r="Q19" s="22"/>
      <c r="R19" s="46"/>
      <c r="S19" s="491"/>
      <c r="T19" s="13"/>
      <c r="U19" s="13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1">
      <c r="A20" t="str">
        <f t="shared" ref="A20:A85" si="11">+B20&amp;C20</f>
        <v>Véhicules neufs</v>
      </c>
      <c r="B20" s="11" t="str">
        <f t="shared" si="1"/>
        <v>Véhicules neufs</v>
      </c>
      <c r="C20" s="53"/>
      <c r="D20" s="30"/>
      <c r="E20" s="30"/>
      <c r="F20" s="33"/>
      <c r="G20" s="31"/>
      <c r="H20" s="30"/>
      <c r="I20" s="33"/>
      <c r="J20" s="31"/>
      <c r="K20" s="30"/>
      <c r="L20" s="33"/>
      <c r="M20" s="31"/>
      <c r="N20" s="33"/>
      <c r="O20" s="31"/>
      <c r="P20" s="30"/>
      <c r="Q20" s="33"/>
      <c r="R20" s="31"/>
      <c r="S20" s="34"/>
      <c r="T20" s="13"/>
      <c r="U20" s="13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0.399999999999999">
      <c r="A21" t="str">
        <f t="shared" si="11"/>
        <v>Véhicules neufsRev. Finances</v>
      </c>
      <c r="B21" s="11" t="str">
        <f t="shared" si="1"/>
        <v>Véhicules neufs</v>
      </c>
      <c r="C21" s="29" t="s">
        <v>24</v>
      </c>
      <c r="D21" s="30"/>
      <c r="E21" s="30">
        <f>IF(D13=0,0,F21/(D13+D15))</f>
        <v>7</v>
      </c>
      <c r="F21" s="30">
        <v>231</v>
      </c>
      <c r="G21" s="41"/>
      <c r="H21" s="30"/>
      <c r="I21" s="30"/>
      <c r="J21" s="31"/>
      <c r="K21" s="30">
        <f>IF(J13=0,0,L21/(J13+J15))</f>
        <v>0</v>
      </c>
      <c r="L21" s="33">
        <v>0</v>
      </c>
      <c r="M21" s="31"/>
      <c r="N21" s="33">
        <f t="shared" ref="N21:N24" si="12">L21-F21</f>
        <v>-231</v>
      </c>
      <c r="O21" s="31"/>
      <c r="P21" s="30">
        <f>IF(O13=0,0,Q21/(O13+O15))</f>
        <v>0</v>
      </c>
      <c r="Q21" s="33">
        <v>0</v>
      </c>
      <c r="R21" s="31">
        <f t="shared" ref="R21:R23" si="13">O21-K21</f>
        <v>0</v>
      </c>
      <c r="S21" s="34">
        <f t="shared" ref="S21:S24" si="14">L21-Q21</f>
        <v>0</v>
      </c>
      <c r="T21" s="13"/>
      <c r="U21" s="13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0.399999999999999">
      <c r="A22" t="str">
        <f t="shared" si="11"/>
        <v>Véhicules neufsRev. Protections</v>
      </c>
      <c r="B22" s="11" t="str">
        <f t="shared" si="1"/>
        <v>Véhicules neufs</v>
      </c>
      <c r="C22" s="29" t="s">
        <v>25</v>
      </c>
      <c r="D22" s="30"/>
      <c r="E22" s="30">
        <f>IF(D13=0,0,F22/(D13+D15))</f>
        <v>1150</v>
      </c>
      <c r="F22" s="30">
        <v>37950</v>
      </c>
      <c r="G22" s="41"/>
      <c r="H22" s="30"/>
      <c r="I22" s="30"/>
      <c r="J22" s="31"/>
      <c r="K22" s="30">
        <f>IF(J13=0,0,L22/(J13+J15))</f>
        <v>470.44444444444446</v>
      </c>
      <c r="L22" s="33">
        <v>16936</v>
      </c>
      <c r="M22" s="31"/>
      <c r="N22" s="33">
        <f t="shared" si="12"/>
        <v>-21014</v>
      </c>
      <c r="O22" s="31"/>
      <c r="P22" s="30">
        <f>IF(O13=0,0,Q22/(O13+O15))</f>
        <v>805.35124999999994</v>
      </c>
      <c r="Q22" s="33">
        <v>12885.619999999999</v>
      </c>
      <c r="R22" s="31">
        <f t="shared" si="13"/>
        <v>-470.44444444444446</v>
      </c>
      <c r="S22" s="34">
        <f t="shared" si="14"/>
        <v>4050.380000000001</v>
      </c>
      <c r="T22" s="13"/>
      <c r="U22" s="13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ht="20.399999999999999">
      <c r="A23" t="str">
        <f t="shared" si="11"/>
        <v>Véhicules neufsRev. Autres</v>
      </c>
      <c r="B23" s="11" t="str">
        <f t="shared" si="1"/>
        <v>Véhicules neufs</v>
      </c>
      <c r="C23" s="29" t="s">
        <v>26</v>
      </c>
      <c r="D23" s="30"/>
      <c r="E23" s="30">
        <f>IF(D13=0,0,F23/(D13+D15))</f>
        <v>443</v>
      </c>
      <c r="F23" s="30">
        <v>14619</v>
      </c>
      <c r="G23" s="41"/>
      <c r="H23" s="30"/>
      <c r="I23" s="30"/>
      <c r="J23" s="31"/>
      <c r="K23" s="30">
        <f>IF(J13=0,0,L23/(J13+J15))</f>
        <v>647.49222222222227</v>
      </c>
      <c r="L23" s="33">
        <v>23309.72</v>
      </c>
      <c r="M23" s="51"/>
      <c r="N23" s="33">
        <f t="shared" si="12"/>
        <v>8690.7200000000012</v>
      </c>
      <c r="O23" s="31"/>
      <c r="P23" s="30">
        <f>IF(O13=0,0,Q23/(O13+O15))</f>
        <v>498.82749999999999</v>
      </c>
      <c r="Q23" s="33">
        <v>7981.24</v>
      </c>
      <c r="R23" s="31">
        <f t="shared" si="13"/>
        <v>-647.49222222222227</v>
      </c>
      <c r="S23" s="34">
        <f t="shared" si="14"/>
        <v>15328.480000000001</v>
      </c>
      <c r="T23" s="13"/>
      <c r="U23" s="13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</row>
    <row r="24" spans="1:40" ht="21">
      <c r="A24" t="str">
        <f t="shared" si="11"/>
        <v>Véhicules neufsTotal F&amp;I</v>
      </c>
      <c r="B24" s="11" t="str">
        <f t="shared" si="1"/>
        <v>Véhicules neufs</v>
      </c>
      <c r="C24" s="35" t="s">
        <v>27</v>
      </c>
      <c r="D24" s="36">
        <f>+D15+D13</f>
        <v>33</v>
      </c>
      <c r="E24" s="36">
        <f>IF(D24&lt;=0,0,F24/D24)</f>
        <v>1600</v>
      </c>
      <c r="F24" s="37">
        <f>F21+F22+F23</f>
        <v>52800</v>
      </c>
      <c r="G24" s="38"/>
      <c r="H24" s="36"/>
      <c r="I24" s="37"/>
      <c r="J24" s="38">
        <f>+J15+J13</f>
        <v>36</v>
      </c>
      <c r="K24" s="36">
        <f>IF(J24&lt;=0,0,L24/J24)</f>
        <v>1117.9366666666667</v>
      </c>
      <c r="L24" s="37">
        <f>L21+L22+L23</f>
        <v>40245.72</v>
      </c>
      <c r="M24" s="58">
        <f>J24-D24</f>
        <v>3</v>
      </c>
      <c r="N24" s="37">
        <f t="shared" si="12"/>
        <v>-12554.279999999999</v>
      </c>
      <c r="O24" s="38">
        <f>+O15+O13</f>
        <v>16</v>
      </c>
      <c r="P24" s="36">
        <f>IF(O24&lt;=0,0,Q24/O24)</f>
        <v>1304.17875</v>
      </c>
      <c r="Q24" s="37">
        <f>Q21+Q22+Q23</f>
        <v>20866.86</v>
      </c>
      <c r="R24" s="56"/>
      <c r="S24" s="39">
        <f t="shared" si="14"/>
        <v>19378.86</v>
      </c>
      <c r="T24" s="13"/>
      <c r="U24" s="13"/>
      <c r="W24" s="11"/>
      <c r="X24" s="11">
        <v>40246</v>
      </c>
      <c r="Y24" s="499">
        <f>L24-X24</f>
        <v>-0.27999999999883585</v>
      </c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1">
      <c r="A25" t="str">
        <f t="shared" si="11"/>
        <v>Véhicules neufs</v>
      </c>
      <c r="B25" s="11" t="str">
        <f t="shared" si="1"/>
        <v>Véhicules neufs</v>
      </c>
      <c r="C25" s="29"/>
      <c r="D25" s="13"/>
      <c r="E25" s="13"/>
      <c r="F25" s="59"/>
      <c r="G25" s="41"/>
      <c r="H25" s="13"/>
      <c r="I25" s="59"/>
      <c r="J25" s="41"/>
      <c r="K25" s="13"/>
      <c r="L25" s="59"/>
      <c r="M25" s="42"/>
      <c r="N25" s="43">
        <f>IF(N24=0,0,N24/F24)</f>
        <v>-0.23777045454545453</v>
      </c>
      <c r="O25" s="41"/>
      <c r="P25" s="13"/>
      <c r="Q25" s="59"/>
      <c r="R25" s="60"/>
      <c r="S25" s="44">
        <f>IF(Q24=0,0,(S24/Q24))</f>
        <v>0.92869075653931643</v>
      </c>
      <c r="T25" s="13"/>
      <c r="U25" s="13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ht="21" thickBot="1">
      <c r="A26" t="str">
        <f t="shared" si="11"/>
        <v>Véhicules neufs</v>
      </c>
      <c r="B26" s="11" t="str">
        <f t="shared" si="1"/>
        <v>Véhicules neufs</v>
      </c>
      <c r="C26" s="29"/>
      <c r="D26" s="13"/>
      <c r="E26" s="13"/>
      <c r="F26" s="40"/>
      <c r="G26" s="41"/>
      <c r="H26" s="13"/>
      <c r="I26" s="40"/>
      <c r="J26" s="41"/>
      <c r="K26" s="13"/>
      <c r="L26" s="40"/>
      <c r="M26" s="41"/>
      <c r="N26" s="40"/>
      <c r="O26" s="41"/>
      <c r="P26" s="13"/>
      <c r="Q26" s="40"/>
      <c r="R26" s="41"/>
      <c r="S26" s="61"/>
      <c r="T26" s="13"/>
      <c r="U26" s="13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21.6" thickTop="1">
      <c r="A27" t="str">
        <f t="shared" si="11"/>
        <v>Véhicules neufsTotal Dépt. Neufs</v>
      </c>
      <c r="B27" s="11" t="str">
        <f t="shared" si="1"/>
        <v>Véhicules neufs</v>
      </c>
      <c r="C27" s="62" t="s">
        <v>28</v>
      </c>
      <c r="D27" s="63">
        <f>+D13+D15+D17</f>
        <v>36</v>
      </c>
      <c r="E27" s="64">
        <f>IF(D27&lt;=0,0,F27/D27)</f>
        <v>5041.7573529411766</v>
      </c>
      <c r="F27" s="65">
        <f>F13+F17+F24+F15</f>
        <v>181503.26470588235</v>
      </c>
      <c r="G27" s="66"/>
      <c r="H27" s="67"/>
      <c r="I27" s="65"/>
      <c r="J27" s="66">
        <f>+J13+J15+J17</f>
        <v>38</v>
      </c>
      <c r="K27" s="67">
        <f>IF(J27&lt;=0,0,L27/J27)</f>
        <v>5327.5047368421074</v>
      </c>
      <c r="L27" s="65">
        <f>L13+L17+L24+L15</f>
        <v>202445.18000000008</v>
      </c>
      <c r="M27" s="66">
        <f>J27-D27</f>
        <v>2</v>
      </c>
      <c r="N27" s="65">
        <f>L27-F27</f>
        <v>20941.915294117731</v>
      </c>
      <c r="O27" s="66">
        <f>+O13+O15+O17</f>
        <v>16</v>
      </c>
      <c r="P27" s="67">
        <f>IF(O27&lt;=0,0,Q27/O27)</f>
        <v>4554.9312499999996</v>
      </c>
      <c r="Q27" s="65">
        <f>Q13+Q17+Q24+Q15</f>
        <v>72878.899999999994</v>
      </c>
      <c r="R27" s="66">
        <f>J27-O27</f>
        <v>22</v>
      </c>
      <c r="S27" s="68">
        <f>L27-Q27</f>
        <v>129566.28000000009</v>
      </c>
      <c r="T27" s="13"/>
      <c r="U27" s="13"/>
      <c r="W27" s="11">
        <f t="shared" ref="W27:X27" si="15">SUM(W13:W26)</f>
        <v>38</v>
      </c>
      <c r="X27" s="11">
        <f t="shared" si="15"/>
        <v>193650</v>
      </c>
      <c r="Y27" s="499">
        <f>L27-X27</f>
        <v>8795.1800000000803</v>
      </c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</row>
    <row r="28" spans="1:40" ht="21.6" thickBot="1">
      <c r="A28" t="str">
        <f t="shared" si="11"/>
        <v>Véhicules neufs</v>
      </c>
      <c r="B28" s="11" t="str">
        <f t="shared" si="1"/>
        <v>Véhicules neufs</v>
      </c>
      <c r="C28" s="69"/>
      <c r="D28" s="70"/>
      <c r="E28" s="70"/>
      <c r="F28" s="71"/>
      <c r="G28" s="72"/>
      <c r="H28" s="70"/>
      <c r="I28" s="71"/>
      <c r="J28" s="72"/>
      <c r="K28" s="70"/>
      <c r="L28" s="71"/>
      <c r="M28" s="73">
        <f>M27/D27</f>
        <v>5.5555555555555552E-2</v>
      </c>
      <c r="N28" s="74">
        <f>N27/F27</f>
        <v>0.11538037802269362</v>
      </c>
      <c r="O28" s="72"/>
      <c r="P28" s="70"/>
      <c r="Q28" s="71"/>
      <c r="R28" s="73">
        <f>R27/O27</f>
        <v>1.375</v>
      </c>
      <c r="S28" s="75">
        <f>IF(Q27=0,0,S27/Q27)</f>
        <v>1.7778297971017687</v>
      </c>
      <c r="T28" s="13"/>
      <c r="U28" s="13"/>
      <c r="W28" s="11"/>
      <c r="X28" s="484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</row>
    <row r="29" spans="1:40" ht="21.6" thickTop="1">
      <c r="A29" t="str">
        <f t="shared" si="11"/>
        <v>Véhicules neufs</v>
      </c>
      <c r="B29" s="11" t="str">
        <f t="shared" si="1"/>
        <v>Véhicules neufs</v>
      </c>
      <c r="C29" s="53"/>
      <c r="D29" s="76"/>
      <c r="E29" s="76"/>
      <c r="F29" s="77"/>
      <c r="G29" s="78"/>
      <c r="H29" s="76"/>
      <c r="I29" s="77"/>
      <c r="J29" s="78"/>
      <c r="K29" s="76"/>
      <c r="L29" s="77"/>
      <c r="M29" s="42"/>
      <c r="N29" s="43"/>
      <c r="O29" s="78"/>
      <c r="P29" s="76"/>
      <c r="Q29" s="77"/>
      <c r="R29" s="42"/>
      <c r="S29" s="44"/>
      <c r="T29" s="13"/>
      <c r="U29" s="13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spans="1:40" ht="21">
      <c r="A30" t="str">
        <f t="shared" si="11"/>
        <v>Véhicules neufsDEPENSES</v>
      </c>
      <c r="B30" s="11" t="str">
        <f t="shared" si="1"/>
        <v>Véhicules neufs</v>
      </c>
      <c r="C30" s="79" t="s">
        <v>29</v>
      </c>
      <c r="D30" s="13"/>
      <c r="E30" s="80"/>
      <c r="F30" s="59"/>
      <c r="G30" s="41"/>
      <c r="H30" s="80"/>
      <c r="I30" s="59"/>
      <c r="J30" s="41"/>
      <c r="K30" s="80"/>
      <c r="L30" s="40"/>
      <c r="M30" s="41"/>
      <c r="N30" s="40"/>
      <c r="O30" s="41"/>
      <c r="P30" s="80"/>
      <c r="Q30" s="40"/>
      <c r="R30" s="41"/>
      <c r="S30" s="61"/>
      <c r="T30" s="13"/>
      <c r="U30" s="13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</row>
    <row r="31" spans="1:40" ht="20.399999999999999">
      <c r="A31" t="str">
        <f t="shared" si="11"/>
        <v>Véhicules neufsComm. vendeurs</v>
      </c>
      <c r="B31" s="11" t="str">
        <f t="shared" si="1"/>
        <v>Véhicules neufs</v>
      </c>
      <c r="C31" s="29" t="s">
        <v>30</v>
      </c>
      <c r="D31" s="147">
        <f>F31/(F13+F15)</f>
        <v>0.27752231321633114</v>
      </c>
      <c r="E31" s="82">
        <f t="shared" ref="E31:E40" si="16">F31/D$24</f>
        <v>1063.4425010585912</v>
      </c>
      <c r="F31" s="30">
        <v>35093.60253493351</v>
      </c>
      <c r="G31" s="156"/>
      <c r="H31" s="82"/>
      <c r="I31" s="30"/>
      <c r="J31" s="156">
        <f>L31/(L13+L15)</f>
        <v>0.24368693952495268</v>
      </c>
      <c r="K31" s="82">
        <f t="shared" ref="K31:K40" si="17">IF(L31=0,0,L31/J$24)</f>
        <v>1097.9413888888889</v>
      </c>
      <c r="L31" s="30">
        <v>39525.89</v>
      </c>
      <c r="M31" s="41"/>
      <c r="N31" s="59">
        <f t="shared" ref="N31:N53" si="18">L31-F31</f>
        <v>4432.2874650664889</v>
      </c>
      <c r="O31" s="156">
        <f>Q31/(Q13+Q15+Q17)</f>
        <v>0.2894879724002366</v>
      </c>
      <c r="P31" s="82">
        <f t="shared" ref="P31:P40" si="19">Q31/O$24</f>
        <v>941.05375000000004</v>
      </c>
      <c r="Q31" s="33">
        <v>15056.86</v>
      </c>
      <c r="R31" s="41"/>
      <c r="S31" s="85">
        <f t="shared" ref="S31:S53" si="20">L31-Q31</f>
        <v>24469.03</v>
      </c>
      <c r="T31" s="13"/>
      <c r="U31" s="13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</row>
    <row r="32" spans="1:40" ht="20.399999999999999">
      <c r="A32" t="str">
        <f t="shared" si="11"/>
        <v>Véhicules neufsComm. F&amp;I</v>
      </c>
      <c r="B32" s="11" t="str">
        <f t="shared" si="1"/>
        <v>Véhicules neufs</v>
      </c>
      <c r="C32" s="86" t="s">
        <v>31</v>
      </c>
      <c r="D32" s="217">
        <f>F32/F24</f>
        <v>0.30499999999999999</v>
      </c>
      <c r="E32" s="88">
        <f t="shared" si="16"/>
        <v>488</v>
      </c>
      <c r="F32" s="22">
        <v>16104</v>
      </c>
      <c r="G32" s="161"/>
      <c r="H32" s="90"/>
      <c r="I32" s="22"/>
      <c r="J32" s="161">
        <f>L32/L24</f>
        <v>0.21425085698553784</v>
      </c>
      <c r="K32" s="88">
        <f t="shared" si="17"/>
        <v>239.51888888888891</v>
      </c>
      <c r="L32" s="22">
        <v>8622.68</v>
      </c>
      <c r="M32" s="23"/>
      <c r="N32" s="91">
        <f t="shared" si="18"/>
        <v>-7481.32</v>
      </c>
      <c r="O32" s="161">
        <f>Q32/Q24</f>
        <v>0.31548445717276102</v>
      </c>
      <c r="P32" s="88">
        <f t="shared" si="19"/>
        <v>411.448125</v>
      </c>
      <c r="Q32" s="22">
        <v>6583.17</v>
      </c>
      <c r="R32" s="23"/>
      <c r="S32" s="92">
        <f t="shared" si="20"/>
        <v>2039.5100000000002</v>
      </c>
      <c r="T32" s="13"/>
      <c r="U32" s="13"/>
      <c r="V32" s="495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</row>
    <row r="33" spans="1:40" ht="20.399999999999999">
      <c r="A33" t="str">
        <f t="shared" si="11"/>
        <v>Véhicules neufsFrais de livraison</v>
      </c>
      <c r="B33" s="11" t="str">
        <f t="shared" si="1"/>
        <v>Véhicules neufs</v>
      </c>
      <c r="C33" s="29" t="s">
        <v>32</v>
      </c>
      <c r="D33" s="81"/>
      <c r="E33" s="82">
        <f t="shared" si="16"/>
        <v>120</v>
      </c>
      <c r="F33" s="30">
        <v>3960</v>
      </c>
      <c r="G33" s="83"/>
      <c r="H33" s="82"/>
      <c r="I33" s="30"/>
      <c r="J33" s="41"/>
      <c r="K33" s="82">
        <f t="shared" si="17"/>
        <v>97.603611111111107</v>
      </c>
      <c r="L33" s="30">
        <v>3513.73</v>
      </c>
      <c r="M33" s="41"/>
      <c r="N33" s="59">
        <f t="shared" si="18"/>
        <v>-446.27</v>
      </c>
      <c r="O33" s="41"/>
      <c r="P33" s="82">
        <f t="shared" si="19"/>
        <v>235.02500000000001</v>
      </c>
      <c r="Q33" s="33">
        <v>3760.4</v>
      </c>
      <c r="R33" s="41"/>
      <c r="S33" s="85">
        <f t="shared" si="20"/>
        <v>-246.67000000000007</v>
      </c>
      <c r="T33" s="13"/>
      <c r="U33" s="13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  <row r="34" spans="1:40" ht="20.399999999999999">
      <c r="A34" t="str">
        <f t="shared" si="11"/>
        <v>Véhicules neufsService gratuit 1</v>
      </c>
      <c r="B34" s="11" t="str">
        <f t="shared" si="1"/>
        <v>Véhicules neufs</v>
      </c>
      <c r="C34" s="29" t="s">
        <v>33</v>
      </c>
      <c r="D34" s="81"/>
      <c r="E34" s="82">
        <f t="shared" si="16"/>
        <v>35</v>
      </c>
      <c r="F34" s="30">
        <v>1155</v>
      </c>
      <c r="G34" s="83"/>
      <c r="H34" s="82"/>
      <c r="I34" s="30"/>
      <c r="J34" s="41"/>
      <c r="K34" s="82">
        <f t="shared" si="17"/>
        <v>26.061388888888889</v>
      </c>
      <c r="L34" s="30">
        <v>938.21</v>
      </c>
      <c r="M34" s="41"/>
      <c r="N34" s="59">
        <f t="shared" si="18"/>
        <v>-216.78999999999996</v>
      </c>
      <c r="O34" s="41"/>
      <c r="P34" s="82">
        <f t="shared" si="19"/>
        <v>0</v>
      </c>
      <c r="Q34" s="33">
        <v>0</v>
      </c>
      <c r="R34" s="41"/>
      <c r="S34" s="85">
        <f t="shared" si="20"/>
        <v>938.21</v>
      </c>
      <c r="T34" s="13"/>
      <c r="U34" s="13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</row>
    <row r="35" spans="1:40" ht="20.399999999999999">
      <c r="A35" t="str">
        <f t="shared" si="11"/>
        <v>Véhicules neufsEntretien stock</v>
      </c>
      <c r="B35" s="11" t="str">
        <f t="shared" si="1"/>
        <v>Véhicules neufs</v>
      </c>
      <c r="C35" s="86" t="s">
        <v>34</v>
      </c>
      <c r="D35" s="87"/>
      <c r="E35" s="88">
        <f t="shared" si="16"/>
        <v>96.030303030303031</v>
      </c>
      <c r="F35" s="22">
        <v>3169</v>
      </c>
      <c r="G35" s="89"/>
      <c r="H35" s="90"/>
      <c r="I35" s="22"/>
      <c r="J35" s="23"/>
      <c r="K35" s="88">
        <f t="shared" si="17"/>
        <v>54.586111111111109</v>
      </c>
      <c r="L35" s="22">
        <v>1965.1</v>
      </c>
      <c r="M35" s="23"/>
      <c r="N35" s="91">
        <f t="shared" si="18"/>
        <v>-1203.9000000000001</v>
      </c>
      <c r="O35" s="23"/>
      <c r="P35" s="88">
        <f t="shared" si="19"/>
        <v>167.88249999999999</v>
      </c>
      <c r="Q35" s="33">
        <v>2686.12</v>
      </c>
      <c r="R35" s="23"/>
      <c r="S35" s="92">
        <f t="shared" si="20"/>
        <v>-721.02</v>
      </c>
      <c r="T35" s="13"/>
      <c r="U35" s="13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</row>
    <row r="36" spans="1:40" ht="20.399999999999999">
      <c r="A36" t="str">
        <f t="shared" si="11"/>
        <v>Véhicules neufsPublicité 1</v>
      </c>
      <c r="B36" s="11" t="str">
        <f t="shared" si="1"/>
        <v>Véhicules neufs</v>
      </c>
      <c r="C36" s="29" t="s">
        <v>35</v>
      </c>
      <c r="D36" s="81"/>
      <c r="E36" s="82">
        <f t="shared" si="16"/>
        <v>234.88787878787878</v>
      </c>
      <c r="F36" s="30">
        <v>7751.2999999999993</v>
      </c>
      <c r="G36" s="83"/>
      <c r="H36" s="82"/>
      <c r="I36" s="30"/>
      <c r="J36" s="41"/>
      <c r="K36" s="82">
        <f t="shared" si="17"/>
        <v>199.49444444444447</v>
      </c>
      <c r="L36" s="454">
        <v>7181.8000000000011</v>
      </c>
      <c r="M36" s="13"/>
      <c r="N36" s="59">
        <f t="shared" si="18"/>
        <v>-569.49999999999818</v>
      </c>
      <c r="O36" s="41"/>
      <c r="P36" s="82">
        <f t="shared" si="19"/>
        <v>740.85312499999998</v>
      </c>
      <c r="Q36" s="55">
        <v>11853.65</v>
      </c>
      <c r="R36" s="41"/>
      <c r="S36" s="85">
        <f t="shared" si="20"/>
        <v>-4671.8499999999985</v>
      </c>
      <c r="T36" s="13"/>
      <c r="U36" s="13"/>
      <c r="W36" s="489"/>
      <c r="X36" s="453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</row>
    <row r="37" spans="1:40" ht="20.399999999999999">
      <c r="A37" t="str">
        <f t="shared" si="11"/>
        <v>Véhicules neufsIntérêt de gros</v>
      </c>
      <c r="B37" s="11" t="str">
        <f t="shared" si="1"/>
        <v>Véhicules neufs</v>
      </c>
      <c r="C37" s="29" t="s">
        <v>36</v>
      </c>
      <c r="D37" s="81"/>
      <c r="E37" s="82">
        <f t="shared" si="16"/>
        <v>713.73417500532253</v>
      </c>
      <c r="F37" s="30">
        <v>23553.227775175645</v>
      </c>
      <c r="G37" s="83"/>
      <c r="H37" s="82"/>
      <c r="I37" s="30"/>
      <c r="J37" s="41"/>
      <c r="K37" s="82">
        <f t="shared" si="17"/>
        <v>667.88638888888886</v>
      </c>
      <c r="L37" s="455">
        <v>24043.91</v>
      </c>
      <c r="M37" s="13"/>
      <c r="N37" s="59">
        <f t="shared" si="18"/>
        <v>490.68222482435522</v>
      </c>
      <c r="O37" s="41"/>
      <c r="P37" s="82">
        <f t="shared" si="19"/>
        <v>1398.79</v>
      </c>
      <c r="Q37" s="33">
        <v>22380.639999999999</v>
      </c>
      <c r="R37" s="41"/>
      <c r="S37" s="85">
        <f t="shared" si="20"/>
        <v>1663.2700000000004</v>
      </c>
      <c r="T37" s="13"/>
      <c r="U37" s="13"/>
      <c r="V37" s="489">
        <v>24044</v>
      </c>
      <c r="W37" s="49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</row>
    <row r="38" spans="1:40" ht="20.399999999999999" hidden="1">
      <c r="A38" t="str">
        <f t="shared" si="11"/>
        <v>Véhicules neufs[...]</v>
      </c>
      <c r="B38" s="11" t="str">
        <f t="shared" si="1"/>
        <v>Véhicules neufs</v>
      </c>
      <c r="C38" s="29" t="s">
        <v>19</v>
      </c>
      <c r="D38" s="81"/>
      <c r="E38" s="82">
        <f t="shared" si="16"/>
        <v>0</v>
      </c>
      <c r="F38" s="30">
        <v>0</v>
      </c>
      <c r="G38" s="83"/>
      <c r="H38" s="82"/>
      <c r="I38" s="30"/>
      <c r="J38" s="41"/>
      <c r="K38" s="82">
        <f t="shared" si="17"/>
        <v>0</v>
      </c>
      <c r="L38" s="455">
        <v>0</v>
      </c>
      <c r="M38" s="13"/>
      <c r="N38" s="59">
        <f t="shared" si="18"/>
        <v>0</v>
      </c>
      <c r="O38" s="41"/>
      <c r="P38" s="82">
        <f t="shared" si="19"/>
        <v>0</v>
      </c>
      <c r="Q38" s="33">
        <v>0</v>
      </c>
      <c r="R38" s="41"/>
      <c r="S38" s="85">
        <f t="shared" si="20"/>
        <v>0</v>
      </c>
      <c r="T38" s="13"/>
      <c r="U38" s="13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</row>
    <row r="39" spans="1:40" ht="20.399999999999999" hidden="1">
      <c r="A39" t="str">
        <f t="shared" si="11"/>
        <v>Véhicules neufs[...]</v>
      </c>
      <c r="B39" s="11" t="str">
        <f t="shared" si="1"/>
        <v>Véhicules neufs</v>
      </c>
      <c r="C39" s="29" t="s">
        <v>19</v>
      </c>
      <c r="D39" s="81"/>
      <c r="E39" s="82">
        <f t="shared" si="16"/>
        <v>0</v>
      </c>
      <c r="F39" s="30">
        <v>0</v>
      </c>
      <c r="G39" s="83"/>
      <c r="H39" s="82"/>
      <c r="I39" s="30"/>
      <c r="J39" s="41"/>
      <c r="K39" s="82">
        <f t="shared" si="17"/>
        <v>0</v>
      </c>
      <c r="L39" s="455">
        <v>0</v>
      </c>
      <c r="M39" s="13"/>
      <c r="N39" s="59">
        <f t="shared" si="18"/>
        <v>0</v>
      </c>
      <c r="O39" s="41"/>
      <c r="P39" s="82">
        <f t="shared" si="19"/>
        <v>0</v>
      </c>
      <c r="Q39" s="33">
        <v>0</v>
      </c>
      <c r="R39" s="41"/>
      <c r="S39" s="85">
        <f t="shared" si="20"/>
        <v>0</v>
      </c>
      <c r="T39" s="13"/>
      <c r="U39" s="13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</row>
    <row r="40" spans="1:40" ht="20.399999999999999" hidden="1">
      <c r="A40" t="str">
        <f t="shared" si="11"/>
        <v>Véhicules neufs[...]</v>
      </c>
      <c r="B40" s="11" t="str">
        <f t="shared" si="1"/>
        <v>Véhicules neufs</v>
      </c>
      <c r="C40" s="29" t="s">
        <v>19</v>
      </c>
      <c r="D40" s="81"/>
      <c r="E40" s="82">
        <f t="shared" si="16"/>
        <v>0</v>
      </c>
      <c r="F40" s="30">
        <v>0</v>
      </c>
      <c r="G40" s="83"/>
      <c r="H40" s="82"/>
      <c r="I40" s="30"/>
      <c r="J40" s="41"/>
      <c r="K40" s="82">
        <f t="shared" si="17"/>
        <v>0</v>
      </c>
      <c r="L40" s="456">
        <v>0</v>
      </c>
      <c r="M40" s="13"/>
      <c r="N40" s="59">
        <f t="shared" si="18"/>
        <v>0</v>
      </c>
      <c r="O40" s="41"/>
      <c r="P40" s="82">
        <f t="shared" si="19"/>
        <v>0</v>
      </c>
      <c r="Q40" s="33">
        <v>0</v>
      </c>
      <c r="R40" s="41"/>
      <c r="S40" s="85">
        <f t="shared" si="20"/>
        <v>0</v>
      </c>
      <c r="T40" s="13"/>
      <c r="U40" s="13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</row>
    <row r="41" spans="1:40" ht="21">
      <c r="A41" t="str">
        <f t="shared" si="11"/>
        <v>Véhicules neufsTOTAL VARIABLES</v>
      </c>
      <c r="B41" s="11" t="str">
        <f t="shared" si="1"/>
        <v>Véhicules neufs</v>
      </c>
      <c r="C41" s="93" t="s">
        <v>37</v>
      </c>
      <c r="D41" s="94" t="s">
        <v>38</v>
      </c>
      <c r="E41" s="95">
        <f>F41/F$27</f>
        <v>0.50019006797053422</v>
      </c>
      <c r="F41" s="96">
        <f>SUM(F31:F40)</f>
        <v>90786.130310109162</v>
      </c>
      <c r="G41" s="97"/>
      <c r="H41" s="95"/>
      <c r="I41" s="96"/>
      <c r="J41" s="97" t="s">
        <v>38</v>
      </c>
      <c r="K41" s="95">
        <f>L41/L$27</f>
        <v>0.42377556235223762</v>
      </c>
      <c r="L41" s="96">
        <f>SUM(L31:L40)</f>
        <v>85791.32</v>
      </c>
      <c r="M41" s="98"/>
      <c r="N41" s="96">
        <f t="shared" si="18"/>
        <v>-4994.8103101091547</v>
      </c>
      <c r="O41" s="97" t="s">
        <v>38</v>
      </c>
      <c r="P41" s="95">
        <f>Q41/Q$27</f>
        <v>0.85512871352339292</v>
      </c>
      <c r="Q41" s="99">
        <f>SUM(Q31:Q40)</f>
        <v>62320.84</v>
      </c>
      <c r="R41" s="100"/>
      <c r="S41" s="101">
        <f t="shared" si="20"/>
        <v>23470.48000000001</v>
      </c>
      <c r="T41" s="13"/>
      <c r="U41" s="13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spans="1:40" ht="20.399999999999999">
      <c r="A42" t="str">
        <f t="shared" si="11"/>
        <v>Véhicules neufsSalaires cadres</v>
      </c>
      <c r="B42" s="11" t="str">
        <f t="shared" si="1"/>
        <v>Véhicules neufs</v>
      </c>
      <c r="C42" s="102" t="s">
        <v>40</v>
      </c>
      <c r="D42" s="13"/>
      <c r="E42" s="13"/>
      <c r="F42" s="30">
        <v>13260.139288451013</v>
      </c>
      <c r="G42" s="41"/>
      <c r="H42" s="13"/>
      <c r="I42" s="30"/>
      <c r="J42" s="41"/>
      <c r="K42" s="13"/>
      <c r="L42" s="33">
        <v>14405.17</v>
      </c>
      <c r="M42" s="41"/>
      <c r="N42" s="59">
        <f t="shared" si="18"/>
        <v>1145.0307115489868</v>
      </c>
      <c r="O42" s="41"/>
      <c r="P42" s="13"/>
      <c r="Q42" s="33">
        <v>8665.3799999999992</v>
      </c>
      <c r="R42" s="41"/>
      <c r="S42" s="85">
        <f t="shared" si="20"/>
        <v>5739.7900000000009</v>
      </c>
      <c r="T42" s="13"/>
      <c r="U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</row>
    <row r="43" spans="1:40" ht="20.399999999999999">
      <c r="A43" t="str">
        <f t="shared" si="11"/>
        <v>Véhicules neufsSalaires commis</v>
      </c>
      <c r="B43" s="11" t="str">
        <f t="shared" si="1"/>
        <v>Véhicules neufs</v>
      </c>
      <c r="C43" s="103" t="s">
        <v>41</v>
      </c>
      <c r="D43" s="81"/>
      <c r="E43" s="13"/>
      <c r="F43" s="22">
        <v>5131.0854559386971</v>
      </c>
      <c r="G43" s="83"/>
      <c r="H43" s="13"/>
      <c r="I43" s="22"/>
      <c r="J43" s="41"/>
      <c r="K43" s="13"/>
      <c r="L43" s="33">
        <v>4055.85</v>
      </c>
      <c r="M43" s="41"/>
      <c r="N43" s="59">
        <f t="shared" si="18"/>
        <v>-1075.2354559386972</v>
      </c>
      <c r="O43" s="41"/>
      <c r="P43" s="13"/>
      <c r="Q43" s="33">
        <v>9588.2199999999993</v>
      </c>
      <c r="R43" s="41"/>
      <c r="S43" s="85">
        <f t="shared" si="20"/>
        <v>-5532.369999999999</v>
      </c>
      <c r="T43" s="13"/>
      <c r="U43" s="13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</row>
    <row r="44" spans="1:40" ht="20.399999999999999">
      <c r="A44" t="str">
        <f t="shared" si="11"/>
        <v>Véhicules neufsSalaires autres</v>
      </c>
      <c r="B44" s="11" t="str">
        <f t="shared" si="1"/>
        <v>Véhicules neufs</v>
      </c>
      <c r="C44" s="102" t="s">
        <v>42</v>
      </c>
      <c r="D44" s="104"/>
      <c r="E44" s="105"/>
      <c r="F44" s="30">
        <v>0</v>
      </c>
      <c r="G44" s="106"/>
      <c r="H44" s="105"/>
      <c r="I44" s="30"/>
      <c r="J44" s="107"/>
      <c r="K44" s="105"/>
      <c r="L44" s="108">
        <v>450</v>
      </c>
      <c r="M44" s="107"/>
      <c r="N44" s="109">
        <f t="shared" si="18"/>
        <v>450</v>
      </c>
      <c r="O44" s="107"/>
      <c r="P44" s="105"/>
      <c r="Q44" s="108">
        <v>342</v>
      </c>
      <c r="R44" s="107"/>
      <c r="S44" s="110">
        <f t="shared" si="20"/>
        <v>108</v>
      </c>
      <c r="T44" s="13"/>
      <c r="U44" s="13"/>
      <c r="V44" s="489" t="s">
        <v>243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</row>
    <row r="45" spans="1:40" ht="20.399999999999999" hidden="1">
      <c r="A45" t="str">
        <f t="shared" si="11"/>
        <v>Véhicules neufsSalaires spécialistes</v>
      </c>
      <c r="B45" s="11" t="str">
        <f t="shared" si="1"/>
        <v>Véhicules neufs</v>
      </c>
      <c r="C45" s="102" t="s">
        <v>43</v>
      </c>
      <c r="D45" s="81"/>
      <c r="E45" s="13"/>
      <c r="F45" s="30">
        <v>0</v>
      </c>
      <c r="G45" s="83"/>
      <c r="H45" s="13"/>
      <c r="I45" s="30"/>
      <c r="J45" s="41"/>
      <c r="K45" s="13"/>
      <c r="L45" s="33">
        <v>0</v>
      </c>
      <c r="M45" s="41"/>
      <c r="N45" s="59">
        <f t="shared" si="18"/>
        <v>0</v>
      </c>
      <c r="O45" s="41"/>
      <c r="P45" s="13"/>
      <c r="Q45" s="33">
        <v>0</v>
      </c>
      <c r="R45" s="41"/>
      <c r="S45" s="85">
        <f t="shared" si="20"/>
        <v>0</v>
      </c>
      <c r="T45" s="13"/>
      <c r="U45" s="13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</row>
    <row r="46" spans="1:40" ht="20.399999999999999" hidden="1">
      <c r="A46" t="str">
        <f t="shared" si="11"/>
        <v>Véhicules neufs[...]</v>
      </c>
      <c r="B46" s="11" t="str">
        <f t="shared" si="1"/>
        <v>Véhicules neufs</v>
      </c>
      <c r="C46" s="102" t="s">
        <v>19</v>
      </c>
      <c r="D46" s="81"/>
      <c r="E46" s="13"/>
      <c r="F46" s="30">
        <v>0</v>
      </c>
      <c r="G46" s="83"/>
      <c r="H46" s="13"/>
      <c r="I46" s="30"/>
      <c r="J46" s="41"/>
      <c r="K46" s="13"/>
      <c r="L46" s="33">
        <v>0</v>
      </c>
      <c r="M46" s="41"/>
      <c r="N46" s="59">
        <f t="shared" si="18"/>
        <v>0</v>
      </c>
      <c r="O46" s="41"/>
      <c r="P46" s="13"/>
      <c r="Q46" s="33">
        <v>0</v>
      </c>
      <c r="R46" s="41"/>
      <c r="S46" s="85">
        <f t="shared" si="20"/>
        <v>0</v>
      </c>
      <c r="T46" s="13"/>
      <c r="U46" s="13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</row>
    <row r="47" spans="1:40" ht="20.399999999999999" hidden="1">
      <c r="A47" t="str">
        <f t="shared" si="11"/>
        <v>Véhicules neufs[...]</v>
      </c>
      <c r="B47" s="11" t="str">
        <f t="shared" si="1"/>
        <v>Véhicules neufs</v>
      </c>
      <c r="C47" s="102" t="s">
        <v>19</v>
      </c>
      <c r="D47" s="81"/>
      <c r="E47" s="13"/>
      <c r="F47" s="30">
        <v>0</v>
      </c>
      <c r="G47" s="83"/>
      <c r="H47" s="13"/>
      <c r="I47" s="30"/>
      <c r="J47" s="41"/>
      <c r="K47" s="13"/>
      <c r="L47" s="33">
        <v>0</v>
      </c>
      <c r="M47" s="41"/>
      <c r="N47" s="59">
        <f t="shared" si="18"/>
        <v>0</v>
      </c>
      <c r="O47" s="41"/>
      <c r="P47" s="13"/>
      <c r="Q47" s="33">
        <v>0</v>
      </c>
      <c r="R47" s="41"/>
      <c r="S47" s="85">
        <f t="shared" si="20"/>
        <v>0</v>
      </c>
      <c r="T47" s="13"/>
      <c r="U47" s="13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</row>
    <row r="48" spans="1:40" ht="20.399999999999999" hidden="1">
      <c r="A48" t="str">
        <f t="shared" si="11"/>
        <v>Véhicules neufs[...]</v>
      </c>
      <c r="B48" s="11" t="str">
        <f t="shared" si="1"/>
        <v>Véhicules neufs</v>
      </c>
      <c r="C48" s="102" t="s">
        <v>19</v>
      </c>
      <c r="D48" s="81"/>
      <c r="E48" s="13"/>
      <c r="F48" s="30">
        <v>0</v>
      </c>
      <c r="G48" s="83"/>
      <c r="H48" s="13"/>
      <c r="I48" s="30"/>
      <c r="J48" s="41"/>
      <c r="K48" s="13"/>
      <c r="L48" s="33">
        <v>0</v>
      </c>
      <c r="M48" s="41"/>
      <c r="N48" s="59">
        <f t="shared" si="18"/>
        <v>0</v>
      </c>
      <c r="O48" s="41"/>
      <c r="P48" s="13"/>
      <c r="Q48" s="33">
        <v>0</v>
      </c>
      <c r="R48" s="41"/>
      <c r="S48" s="85">
        <f t="shared" si="20"/>
        <v>0</v>
      </c>
      <c r="T48" s="13"/>
      <c r="U48" s="13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</row>
    <row r="49" spans="1:40" ht="20.399999999999999">
      <c r="A49" t="str">
        <f t="shared" si="11"/>
        <v>Véhicules neufsSalaires en absences</v>
      </c>
      <c r="B49" s="11" t="str">
        <f t="shared" si="1"/>
        <v>Véhicules neufs</v>
      </c>
      <c r="C49" s="103" t="s">
        <v>44</v>
      </c>
      <c r="D49" s="81"/>
      <c r="E49" s="13"/>
      <c r="F49" s="22">
        <v>9744.4863375119767</v>
      </c>
      <c r="G49" s="83"/>
      <c r="H49" s="13"/>
      <c r="I49" s="22"/>
      <c r="J49" s="41"/>
      <c r="K49" s="13"/>
      <c r="L49" s="22">
        <v>7775.1</v>
      </c>
      <c r="M49" s="41"/>
      <c r="N49" s="59">
        <f t="shared" si="18"/>
        <v>-1969.3863375119763</v>
      </c>
      <c r="O49" s="41"/>
      <c r="P49" s="13"/>
      <c r="Q49" s="22">
        <v>5690.78</v>
      </c>
      <c r="R49" s="41"/>
      <c r="S49" s="85">
        <f t="shared" si="20"/>
        <v>2084.3200000000006</v>
      </c>
      <c r="T49" s="13"/>
      <c r="U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20.399999999999999">
      <c r="A50" t="str">
        <f t="shared" si="11"/>
        <v>Véhicules neufsDéduction à la source</v>
      </c>
      <c r="B50" s="11" t="str">
        <f t="shared" si="1"/>
        <v>Véhicules neufs</v>
      </c>
      <c r="C50" s="102" t="s">
        <v>45</v>
      </c>
      <c r="D50" s="104"/>
      <c r="E50" s="105"/>
      <c r="F50" s="30">
        <v>9162.7052505302818</v>
      </c>
      <c r="G50" s="106"/>
      <c r="H50" s="105"/>
      <c r="I50" s="30"/>
      <c r="J50" s="107"/>
      <c r="K50" s="105"/>
      <c r="L50" s="33">
        <v>5864.43</v>
      </c>
      <c r="M50" s="107"/>
      <c r="N50" s="109">
        <f t="shared" si="18"/>
        <v>-3298.2752505302815</v>
      </c>
      <c r="O50" s="107"/>
      <c r="P50" s="105"/>
      <c r="Q50" s="33">
        <v>6290.55</v>
      </c>
      <c r="R50" s="107"/>
      <c r="S50" s="110">
        <f t="shared" si="20"/>
        <v>-426.11999999999989</v>
      </c>
      <c r="T50" s="13"/>
      <c r="U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ht="20.399999999999999">
      <c r="A51" t="str">
        <f t="shared" si="11"/>
        <v>Véhicules neufsBénéfices marginaux</v>
      </c>
      <c r="B51" s="11" t="str">
        <f t="shared" si="1"/>
        <v>Véhicules neufs</v>
      </c>
      <c r="C51" s="102" t="s">
        <v>46</v>
      </c>
      <c r="D51" s="81"/>
      <c r="E51" s="13"/>
      <c r="F51" s="30">
        <v>6681.1392451783286</v>
      </c>
      <c r="G51" s="83"/>
      <c r="H51" s="13"/>
      <c r="I51" s="30"/>
      <c r="J51" s="41"/>
      <c r="K51" s="13"/>
      <c r="L51" s="33">
        <v>2171.66</v>
      </c>
      <c r="M51" s="41"/>
      <c r="N51" s="59">
        <f t="shared" si="18"/>
        <v>-4509.4792451783287</v>
      </c>
      <c r="O51" s="41"/>
      <c r="P51" s="13"/>
      <c r="Q51" s="33">
        <v>3662.44</v>
      </c>
      <c r="R51" s="41"/>
      <c r="S51" s="85">
        <f t="shared" si="20"/>
        <v>-1490.7800000000002</v>
      </c>
      <c r="T51" s="13"/>
      <c r="U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</row>
    <row r="52" spans="1:40" ht="20.399999999999999">
      <c r="A52" t="str">
        <f t="shared" si="11"/>
        <v>Véhicules neufsCsst</v>
      </c>
      <c r="B52" s="11" t="str">
        <f t="shared" si="1"/>
        <v>Véhicules neufs</v>
      </c>
      <c r="C52" s="102" t="s">
        <v>47</v>
      </c>
      <c r="D52" s="81"/>
      <c r="E52" s="13"/>
      <c r="F52" s="30">
        <v>1870.7189886499323</v>
      </c>
      <c r="G52" s="83"/>
      <c r="H52" s="13"/>
      <c r="I52" s="30"/>
      <c r="J52" s="41"/>
      <c r="K52" s="13"/>
      <c r="L52" s="33">
        <v>1000.72</v>
      </c>
      <c r="M52" s="41"/>
      <c r="N52" s="59">
        <f t="shared" si="18"/>
        <v>-869.99898864993224</v>
      </c>
      <c r="O52" s="41"/>
      <c r="P52" s="13"/>
      <c r="Q52" s="33">
        <v>262.14999999999998</v>
      </c>
      <c r="R52" s="41"/>
      <c r="S52" s="85">
        <f t="shared" si="20"/>
        <v>738.57</v>
      </c>
      <c r="T52" s="13"/>
      <c r="U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20.399999999999999" hidden="1">
      <c r="A53" t="str">
        <f t="shared" si="11"/>
        <v>Véhicules neufs[...]</v>
      </c>
      <c r="B53" s="11" t="str">
        <f t="shared" si="1"/>
        <v>Véhicules neufs</v>
      </c>
      <c r="C53" s="29" t="s">
        <v>19</v>
      </c>
      <c r="D53" s="87" t="e">
        <f>VLOOKUP(C53,$B$2:$B$46,1,FALSE)</f>
        <v>#N/A</v>
      </c>
      <c r="E53" s="111"/>
      <c r="F53" s="30">
        <v>0</v>
      </c>
      <c r="G53" s="89"/>
      <c r="H53" s="111"/>
      <c r="I53" s="30"/>
      <c r="J53" s="23"/>
      <c r="K53" s="111"/>
      <c r="L53" s="33">
        <v>0</v>
      </c>
      <c r="M53" s="23"/>
      <c r="N53" s="91">
        <f t="shared" si="18"/>
        <v>0</v>
      </c>
      <c r="O53" s="23"/>
      <c r="P53" s="111"/>
      <c r="Q53" s="33">
        <v>0</v>
      </c>
      <c r="R53" s="23"/>
      <c r="S53" s="92">
        <f t="shared" si="20"/>
        <v>0</v>
      </c>
      <c r="T53" s="13"/>
      <c r="U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21">
      <c r="A54" t="str">
        <f t="shared" si="11"/>
        <v>Véhicules neufsTOTAL PERSONNEL</v>
      </c>
      <c r="B54" s="11" t="str">
        <f t="shared" si="1"/>
        <v>Véhicules neufs</v>
      </c>
      <c r="C54" s="93" t="s">
        <v>48</v>
      </c>
      <c r="D54" s="94" t="s">
        <v>38</v>
      </c>
      <c r="E54" s="95">
        <f>F54/F$27</f>
        <v>0.25261404879167593</v>
      </c>
      <c r="F54" s="96">
        <f>+SUM(F42:F53)</f>
        <v>45850.274566260232</v>
      </c>
      <c r="G54" s="97"/>
      <c r="H54" s="95"/>
      <c r="I54" s="96"/>
      <c r="J54" s="97" t="s">
        <v>38</v>
      </c>
      <c r="K54" s="95">
        <f>L54/L$27</f>
        <v>0.17645730068752435</v>
      </c>
      <c r="L54" s="96">
        <f>+SUM(L42:L53)</f>
        <v>35722.930000000008</v>
      </c>
      <c r="M54" s="100"/>
      <c r="N54" s="96">
        <f>+SUM(N42:N53)</f>
        <v>-10127.344566260228</v>
      </c>
      <c r="O54" s="97" t="s">
        <v>38</v>
      </c>
      <c r="P54" s="95">
        <f>Q54/Q$27</f>
        <v>0.47340890161624283</v>
      </c>
      <c r="Q54" s="96">
        <f>+SUM(Q42:Q53)</f>
        <v>34501.519999999997</v>
      </c>
      <c r="R54" s="100"/>
      <c r="S54" s="101">
        <f>+SUM(S42:S53)</f>
        <v>1221.4100000000026</v>
      </c>
      <c r="T54" s="82"/>
      <c r="U54" s="13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</row>
    <row r="55" spans="1:40" ht="20.399999999999999" hidden="1">
      <c r="A55" t="str">
        <f t="shared" si="11"/>
        <v>Véhicules neufsPublicité 2</v>
      </c>
      <c r="B55" s="11" t="str">
        <f t="shared" si="1"/>
        <v>Véhicules neufs</v>
      </c>
      <c r="C55" s="29" t="s">
        <v>49</v>
      </c>
      <c r="D55" s="81"/>
      <c r="E55" s="13"/>
      <c r="F55" s="30">
        <v>0</v>
      </c>
      <c r="G55" s="83"/>
      <c r="H55" s="13"/>
      <c r="I55" s="30"/>
      <c r="J55" s="41"/>
      <c r="K55" s="13"/>
      <c r="L55" s="33">
        <v>0</v>
      </c>
      <c r="M55" s="41"/>
      <c r="N55" s="59">
        <f t="shared" ref="N55:N71" si="21">L55-F55</f>
        <v>0</v>
      </c>
      <c r="O55" s="41"/>
      <c r="P55" s="13"/>
      <c r="Q55" s="33">
        <v>0</v>
      </c>
      <c r="R55" s="41"/>
      <c r="S55" s="85">
        <f t="shared" ref="S55:S71" si="22">L55-Q55</f>
        <v>0</v>
      </c>
      <c r="T55" s="82"/>
      <c r="U55" s="13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</row>
    <row r="56" spans="1:40" ht="20.399999999999999" hidden="1">
      <c r="A56" t="str">
        <f t="shared" si="11"/>
        <v>Véhicules neufsService gratuit 2</v>
      </c>
      <c r="B56" s="11" t="str">
        <f t="shared" si="1"/>
        <v>Véhicules neufs</v>
      </c>
      <c r="C56" s="29" t="s">
        <v>50</v>
      </c>
      <c r="D56" s="81"/>
      <c r="E56" s="13"/>
      <c r="F56" s="30">
        <v>0</v>
      </c>
      <c r="G56" s="83"/>
      <c r="H56" s="13"/>
      <c r="I56" s="30"/>
      <c r="J56" s="41"/>
      <c r="K56" s="13"/>
      <c r="L56" s="33">
        <v>0</v>
      </c>
      <c r="M56" s="41"/>
      <c r="N56" s="59">
        <f t="shared" si="21"/>
        <v>0</v>
      </c>
      <c r="O56" s="41"/>
      <c r="P56" s="13"/>
      <c r="Q56" s="33">
        <v>0</v>
      </c>
      <c r="R56" s="41"/>
      <c r="S56" s="85">
        <f t="shared" si="22"/>
        <v>0</v>
      </c>
      <c r="T56" s="82"/>
      <c r="U56" s="13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</row>
    <row r="57" spans="1:40" ht="21">
      <c r="A57" t="str">
        <f t="shared" si="11"/>
        <v>Véhicules neufsFrais véhicules de cie</v>
      </c>
      <c r="B57" s="11" t="str">
        <f t="shared" si="1"/>
        <v>Véhicules neufs</v>
      </c>
      <c r="C57" s="86" t="s">
        <v>51</v>
      </c>
      <c r="D57" s="87"/>
      <c r="E57" s="111"/>
      <c r="F57" s="22">
        <v>2036.5</v>
      </c>
      <c r="G57" s="89"/>
      <c r="H57" s="111"/>
      <c r="I57" s="22"/>
      <c r="J57" s="23"/>
      <c r="K57" s="111"/>
      <c r="L57" s="22">
        <v>1358.64</v>
      </c>
      <c r="M57" s="23"/>
      <c r="N57" s="91">
        <f t="shared" si="21"/>
        <v>-677.8599999999999</v>
      </c>
      <c r="O57" s="23"/>
      <c r="P57" s="111"/>
      <c r="Q57" s="22">
        <v>6262.21</v>
      </c>
      <c r="R57" s="23"/>
      <c r="S57" s="92">
        <f t="shared" si="22"/>
        <v>-4903.57</v>
      </c>
      <c r="T57" s="112"/>
      <c r="U57" s="13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</row>
    <row r="58" spans="1:40" ht="20.399999999999999">
      <c r="A58" t="str">
        <f t="shared" si="11"/>
        <v>Véhicules neufsInformatique</v>
      </c>
      <c r="B58" s="11" t="str">
        <f t="shared" si="1"/>
        <v>Véhicules neufs</v>
      </c>
      <c r="C58" s="29" t="s">
        <v>52</v>
      </c>
      <c r="D58" s="81"/>
      <c r="E58" s="13"/>
      <c r="F58" s="30">
        <v>9195.3521666666675</v>
      </c>
      <c r="G58" s="83"/>
      <c r="H58" s="13"/>
      <c r="I58" s="30"/>
      <c r="J58" s="41"/>
      <c r="K58" s="13"/>
      <c r="L58" s="33">
        <v>9112.19</v>
      </c>
      <c r="M58" s="41"/>
      <c r="N58" s="59">
        <f t="shared" si="21"/>
        <v>-83.162166666666963</v>
      </c>
      <c r="O58" s="41"/>
      <c r="P58" s="13"/>
      <c r="Q58" s="33">
        <v>4134.17</v>
      </c>
      <c r="R58" s="41"/>
      <c r="S58" s="85">
        <f t="shared" si="22"/>
        <v>4978.0200000000004</v>
      </c>
      <c r="T58" s="82"/>
      <c r="U58" s="13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</row>
    <row r="59" spans="1:40" ht="20.399999999999999">
      <c r="A59" t="str">
        <f t="shared" si="11"/>
        <v>Véhicules neufsFrais de déplacement</v>
      </c>
      <c r="B59" s="11" t="str">
        <f t="shared" si="1"/>
        <v>Véhicules neufs</v>
      </c>
      <c r="C59" s="29" t="s">
        <v>53</v>
      </c>
      <c r="D59" s="81"/>
      <c r="E59" s="13"/>
      <c r="F59" s="30">
        <v>1330</v>
      </c>
      <c r="G59" s="83"/>
      <c r="H59" s="13"/>
      <c r="I59" s="30"/>
      <c r="J59" s="41"/>
      <c r="K59" s="13"/>
      <c r="L59" s="33">
        <v>4468.8</v>
      </c>
      <c r="M59" s="41"/>
      <c r="N59" s="59">
        <f t="shared" si="21"/>
        <v>3138.8</v>
      </c>
      <c r="O59" s="41"/>
      <c r="P59" s="13"/>
      <c r="Q59" s="33">
        <v>-158.94</v>
      </c>
      <c r="R59" s="41"/>
      <c r="S59" s="85">
        <f t="shared" si="22"/>
        <v>4627.74</v>
      </c>
      <c r="T59" s="13"/>
      <c r="U59" s="13"/>
      <c r="V59" s="489" t="s">
        <v>273</v>
      </c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</row>
    <row r="60" spans="1:40" ht="20.399999999999999">
      <c r="A60" t="str">
        <f t="shared" si="11"/>
        <v>Véhicules neufsServices extérieurs</v>
      </c>
      <c r="B60" s="11" t="str">
        <f t="shared" si="1"/>
        <v>Véhicules neufs</v>
      </c>
      <c r="C60" s="86" t="s">
        <v>54</v>
      </c>
      <c r="D60" s="87"/>
      <c r="E60" s="111"/>
      <c r="F60" s="22">
        <v>2672.3603333333335</v>
      </c>
      <c r="G60" s="89"/>
      <c r="H60" s="111"/>
      <c r="I60" s="22"/>
      <c r="J60" s="23"/>
      <c r="K60" s="111"/>
      <c r="L60" s="22">
        <v>5679.59</v>
      </c>
      <c r="M60" s="23"/>
      <c r="N60" s="91">
        <f t="shared" si="21"/>
        <v>3007.2296666666666</v>
      </c>
      <c r="O60" s="23"/>
      <c r="P60" s="111"/>
      <c r="Q60" s="22">
        <v>3146.4</v>
      </c>
      <c r="R60" s="23"/>
      <c r="S60" s="92">
        <f t="shared" si="22"/>
        <v>2533.19</v>
      </c>
      <c r="T60" s="13"/>
      <c r="U60" s="13"/>
      <c r="V60" s="489" t="s">
        <v>274</v>
      </c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</row>
    <row r="61" spans="1:40" ht="20.399999999999999">
      <c r="A61" t="str">
        <f t="shared" si="11"/>
        <v>Véhicules neufsFournitures autres</v>
      </c>
      <c r="B61" s="11" t="str">
        <f t="shared" si="1"/>
        <v>Véhicules neufs</v>
      </c>
      <c r="C61" s="29" t="s">
        <v>55</v>
      </c>
      <c r="D61" s="81"/>
      <c r="E61" s="13"/>
      <c r="F61" s="30">
        <v>75</v>
      </c>
      <c r="G61" s="83"/>
      <c r="H61" s="13"/>
      <c r="I61" s="30"/>
      <c r="J61" s="41"/>
      <c r="K61" s="13"/>
      <c r="L61" s="33">
        <v>39.6</v>
      </c>
      <c r="M61" s="41"/>
      <c r="N61" s="59">
        <f t="shared" si="21"/>
        <v>-35.4</v>
      </c>
      <c r="O61" s="41"/>
      <c r="P61" s="13"/>
      <c r="Q61" s="33">
        <v>113.9</v>
      </c>
      <c r="R61" s="41"/>
      <c r="S61" s="85">
        <f t="shared" si="22"/>
        <v>-74.300000000000011</v>
      </c>
      <c r="T61" s="13"/>
      <c r="U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ht="20.399999999999999">
      <c r="A62" t="str">
        <f t="shared" si="11"/>
        <v>Véhicules neufsUniformes</v>
      </c>
      <c r="B62" s="11" t="str">
        <f t="shared" si="1"/>
        <v>Véhicules neufs</v>
      </c>
      <c r="C62" s="29" t="s">
        <v>56</v>
      </c>
      <c r="D62" s="81"/>
      <c r="E62" s="13"/>
      <c r="F62" s="30">
        <v>30</v>
      </c>
      <c r="G62" s="83"/>
      <c r="H62" s="13"/>
      <c r="I62" s="30"/>
      <c r="J62" s="41"/>
      <c r="K62" s="13"/>
      <c r="L62" s="33">
        <v>0</v>
      </c>
      <c r="M62" s="41"/>
      <c r="N62" s="59">
        <f t="shared" si="21"/>
        <v>-30</v>
      </c>
      <c r="O62" s="41"/>
      <c r="P62" s="13"/>
      <c r="Q62" s="33">
        <v>0</v>
      </c>
      <c r="R62" s="41"/>
      <c r="S62" s="85">
        <f t="shared" si="22"/>
        <v>0</v>
      </c>
      <c r="T62" s="13"/>
      <c r="U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</row>
    <row r="63" spans="1:40" ht="20.399999999999999">
      <c r="A63" t="str">
        <f t="shared" si="11"/>
        <v>Véhicules neufsPapeterie</v>
      </c>
      <c r="B63" s="11" t="str">
        <f t="shared" si="1"/>
        <v>Véhicules neufs</v>
      </c>
      <c r="C63" s="29" t="s">
        <v>57</v>
      </c>
      <c r="D63" s="81"/>
      <c r="E63" s="13"/>
      <c r="F63" s="30">
        <v>580</v>
      </c>
      <c r="G63" s="83"/>
      <c r="H63" s="13"/>
      <c r="I63" s="30"/>
      <c r="J63" s="41"/>
      <c r="K63" s="13"/>
      <c r="L63" s="32">
        <v>502.77</v>
      </c>
      <c r="M63" s="41"/>
      <c r="N63" s="59">
        <f t="shared" si="21"/>
        <v>-77.230000000000018</v>
      </c>
      <c r="O63" s="41"/>
      <c r="P63" s="13"/>
      <c r="Q63" s="32">
        <v>605.9</v>
      </c>
      <c r="R63" s="41"/>
      <c r="S63" s="85">
        <f t="shared" si="22"/>
        <v>-103.13</v>
      </c>
      <c r="T63" s="13"/>
      <c r="U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20.399999999999999">
      <c r="A64" t="str">
        <f t="shared" si="11"/>
        <v>Véhicules neufsTéléphone</v>
      </c>
      <c r="B64" s="11" t="str">
        <f t="shared" si="1"/>
        <v>Véhicules neufs</v>
      </c>
      <c r="C64" s="29" t="s">
        <v>58</v>
      </c>
      <c r="D64" s="81"/>
      <c r="E64" s="13"/>
      <c r="F64" s="30">
        <v>157.6</v>
      </c>
      <c r="G64" s="83"/>
      <c r="H64" s="13"/>
      <c r="I64" s="30"/>
      <c r="J64" s="41"/>
      <c r="K64" s="13"/>
      <c r="L64" s="33">
        <v>181.63</v>
      </c>
      <c r="M64" s="41"/>
      <c r="N64" s="59">
        <f t="shared" si="21"/>
        <v>24.03</v>
      </c>
      <c r="O64" s="41"/>
      <c r="P64" s="13"/>
      <c r="Q64" s="33">
        <v>203.51</v>
      </c>
      <c r="R64" s="41"/>
      <c r="S64" s="85">
        <f t="shared" si="22"/>
        <v>-21.879999999999995</v>
      </c>
      <c r="T64" s="13"/>
      <c r="U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20.399999999999999">
      <c r="A65" t="str">
        <f t="shared" si="11"/>
        <v>Véhicules neufsFrais postaux</v>
      </c>
      <c r="B65" s="11" t="str">
        <f t="shared" si="1"/>
        <v>Véhicules neufs</v>
      </c>
      <c r="C65" s="29" t="s">
        <v>59</v>
      </c>
      <c r="D65" s="81"/>
      <c r="E65" s="13"/>
      <c r="F65" s="30">
        <v>226.66666666666666</v>
      </c>
      <c r="G65" s="83"/>
      <c r="H65" s="13"/>
      <c r="I65" s="30"/>
      <c r="J65" s="41"/>
      <c r="K65" s="13"/>
      <c r="L65" s="33">
        <v>235.32</v>
      </c>
      <c r="M65" s="41"/>
      <c r="N65" s="59">
        <f t="shared" si="21"/>
        <v>8.653333333333336</v>
      </c>
      <c r="O65" s="41"/>
      <c r="P65" s="13"/>
      <c r="Q65" s="33">
        <v>98.64</v>
      </c>
      <c r="R65" s="41"/>
      <c r="S65" s="85">
        <f t="shared" si="22"/>
        <v>136.68</v>
      </c>
      <c r="T65" s="13"/>
      <c r="U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20.399999999999999">
      <c r="A66" t="str">
        <f t="shared" si="11"/>
        <v>Véhicules neufsDivers</v>
      </c>
      <c r="B66" s="11" t="str">
        <f t="shared" si="1"/>
        <v>Véhicules neufs</v>
      </c>
      <c r="C66" s="29" t="s">
        <v>60</v>
      </c>
      <c r="D66" s="81"/>
      <c r="E66" s="13"/>
      <c r="F66" s="30">
        <v>629.08333333333326</v>
      </c>
      <c r="G66" s="83"/>
      <c r="H66" s="13"/>
      <c r="I66" s="30"/>
      <c r="J66" s="41"/>
      <c r="K66" s="13"/>
      <c r="L66" s="33">
        <v>598.71</v>
      </c>
      <c r="M66" s="41"/>
      <c r="N66" s="59">
        <f t="shared" si="21"/>
        <v>-30.373333333333221</v>
      </c>
      <c r="O66" s="41"/>
      <c r="P66" s="13"/>
      <c r="Q66" s="33">
        <v>761.51</v>
      </c>
      <c r="R66" s="41"/>
      <c r="S66" s="85">
        <f t="shared" si="22"/>
        <v>-162.79999999999995</v>
      </c>
      <c r="T66" s="13"/>
      <c r="U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20.399999999999999">
      <c r="A67" t="str">
        <f t="shared" si="11"/>
        <v>Véhicules neufsFormation</v>
      </c>
      <c r="B67" s="11" t="str">
        <f t="shared" si="1"/>
        <v>Véhicules neufs</v>
      </c>
      <c r="C67" s="29" t="s">
        <v>61</v>
      </c>
      <c r="D67" s="81"/>
      <c r="E67" s="13"/>
      <c r="F67" s="30">
        <v>321.5946666666668</v>
      </c>
      <c r="G67" s="83"/>
      <c r="H67" s="13"/>
      <c r="I67" s="30"/>
      <c r="J67" s="41"/>
      <c r="K67" s="13"/>
      <c r="L67" s="33">
        <v>-584.34</v>
      </c>
      <c r="M67" s="41"/>
      <c r="N67" s="59">
        <f t="shared" si="21"/>
        <v>-905.93466666666677</v>
      </c>
      <c r="O67" s="41"/>
      <c r="P67" s="13"/>
      <c r="Q67" s="33">
        <v>-415.81</v>
      </c>
      <c r="R67" s="41"/>
      <c r="S67" s="85">
        <f t="shared" si="22"/>
        <v>-168.53000000000003</v>
      </c>
      <c r="T67" s="13"/>
      <c r="U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20.399999999999999">
      <c r="A68" t="str">
        <f t="shared" si="11"/>
        <v>Véhicules neufsFrais bancaires</v>
      </c>
      <c r="B68" s="11" t="str">
        <f t="shared" si="1"/>
        <v>Véhicules neufs</v>
      </c>
      <c r="C68" s="29" t="s">
        <v>62</v>
      </c>
      <c r="D68" s="81"/>
      <c r="E68" s="13"/>
      <c r="F68" s="30">
        <v>3824.8785829232215</v>
      </c>
      <c r="G68" s="83"/>
      <c r="H68" s="13"/>
      <c r="I68" s="30"/>
      <c r="J68" s="41"/>
      <c r="K68" s="13"/>
      <c r="L68" s="32">
        <v>2788.45</v>
      </c>
      <c r="M68" s="41"/>
      <c r="N68" s="59">
        <f t="shared" si="21"/>
        <v>-1036.4285829232217</v>
      </c>
      <c r="O68" s="41"/>
      <c r="P68" s="13"/>
      <c r="Q68" s="33">
        <v>1522.38</v>
      </c>
      <c r="R68" s="41"/>
      <c r="S68" s="85">
        <f t="shared" si="22"/>
        <v>1266.0699999999997</v>
      </c>
      <c r="T68" s="13"/>
      <c r="U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20.399999999999999" hidden="1">
      <c r="A69" t="str">
        <f t="shared" si="11"/>
        <v>Véhicules neufs[...]</v>
      </c>
      <c r="B69" s="11" t="str">
        <f t="shared" si="1"/>
        <v>Véhicules neufs</v>
      </c>
      <c r="C69" s="29" t="s">
        <v>19</v>
      </c>
      <c r="D69" s="81"/>
      <c r="E69" s="13"/>
      <c r="F69" s="30">
        <v>0</v>
      </c>
      <c r="G69" s="83"/>
      <c r="H69" s="13"/>
      <c r="I69" s="30"/>
      <c r="J69" s="41"/>
      <c r="K69" s="13"/>
      <c r="L69" s="33"/>
      <c r="M69" s="41"/>
      <c r="N69" s="59">
        <f t="shared" si="21"/>
        <v>0</v>
      </c>
      <c r="O69" s="41"/>
      <c r="P69" s="13"/>
      <c r="Q69" s="33">
        <v>0</v>
      </c>
      <c r="R69" s="41"/>
      <c r="S69" s="85">
        <f t="shared" si="22"/>
        <v>0</v>
      </c>
      <c r="T69" s="13"/>
      <c r="U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20.399999999999999" hidden="1">
      <c r="A70" t="str">
        <f t="shared" si="11"/>
        <v>Véhicules neufs[...]</v>
      </c>
      <c r="B70" s="11" t="str">
        <f t="shared" si="1"/>
        <v>Véhicules neufs</v>
      </c>
      <c r="C70" s="29" t="s">
        <v>19</v>
      </c>
      <c r="D70" s="81"/>
      <c r="E70" s="13"/>
      <c r="F70" s="30">
        <v>0</v>
      </c>
      <c r="G70" s="83"/>
      <c r="H70" s="13"/>
      <c r="I70" s="30"/>
      <c r="J70" s="41"/>
      <c r="K70" s="13"/>
      <c r="L70" s="33">
        <v>0</v>
      </c>
      <c r="M70" s="41"/>
      <c r="N70" s="59">
        <f t="shared" si="21"/>
        <v>0</v>
      </c>
      <c r="O70" s="41"/>
      <c r="P70" s="13"/>
      <c r="Q70" s="33">
        <v>0</v>
      </c>
      <c r="R70" s="41"/>
      <c r="S70" s="85">
        <f t="shared" si="22"/>
        <v>0</v>
      </c>
      <c r="T70" s="13"/>
      <c r="U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ht="20.399999999999999" hidden="1">
      <c r="A71" t="str">
        <f t="shared" si="11"/>
        <v>Véhicules neufs[...]</v>
      </c>
      <c r="B71" s="11" t="str">
        <f t="shared" si="1"/>
        <v>Véhicules neufs</v>
      </c>
      <c r="C71" s="29" t="s">
        <v>19</v>
      </c>
      <c r="D71" s="81"/>
      <c r="E71" s="13"/>
      <c r="F71" s="30">
        <v>0</v>
      </c>
      <c r="G71" s="83"/>
      <c r="H71" s="13"/>
      <c r="I71" s="30"/>
      <c r="J71" s="41"/>
      <c r="K71" s="13"/>
      <c r="L71" s="33">
        <v>0</v>
      </c>
      <c r="M71" s="41"/>
      <c r="N71" s="59">
        <f t="shared" si="21"/>
        <v>0</v>
      </c>
      <c r="O71" s="41"/>
      <c r="P71" s="13"/>
      <c r="Q71" s="33">
        <v>0</v>
      </c>
      <c r="R71" s="41"/>
      <c r="S71" s="85">
        <f t="shared" si="22"/>
        <v>0</v>
      </c>
      <c r="T71" s="13"/>
      <c r="U71" s="13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</row>
    <row r="72" spans="1:40" ht="21">
      <c r="A72" t="str">
        <f t="shared" si="11"/>
        <v>Véhicules neufsTOTAL SEMI-FIXES</v>
      </c>
      <c r="B72" s="11" t="str">
        <f t="shared" si="1"/>
        <v>Véhicules neufs</v>
      </c>
      <c r="C72" s="93" t="s">
        <v>63</v>
      </c>
      <c r="D72" s="94" t="s">
        <v>38</v>
      </c>
      <c r="E72" s="95">
        <f>F72/F$27</f>
        <v>0.11613584903691673</v>
      </c>
      <c r="F72" s="96">
        <f>+SUM(F55:F71)</f>
        <v>21079.03574958989</v>
      </c>
      <c r="G72" s="97"/>
      <c r="H72" s="95"/>
      <c r="I72" s="96"/>
      <c r="J72" s="97" t="s">
        <v>38</v>
      </c>
      <c r="K72" s="95">
        <f>L72/L$27</f>
        <v>0.1204343812976925</v>
      </c>
      <c r="L72" s="96">
        <f>+SUM(L55:L71)</f>
        <v>24381.360000000001</v>
      </c>
      <c r="M72" s="100"/>
      <c r="N72" s="96">
        <f>+SUM(N55:N71)</f>
        <v>3302.3242504101122</v>
      </c>
      <c r="O72" s="97" t="s">
        <v>38</v>
      </c>
      <c r="P72" s="95">
        <f>Q72/Q$27</f>
        <v>0.22330015957979607</v>
      </c>
      <c r="Q72" s="96">
        <f>+SUM(Q55:Q71)</f>
        <v>16273.869999999999</v>
      </c>
      <c r="R72" s="100"/>
      <c r="S72" s="101">
        <f>+SUM(S55:S71)</f>
        <v>8107.4900000000007</v>
      </c>
      <c r="T72" s="13"/>
      <c r="U72" s="13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</row>
    <row r="73" spans="1:40" ht="20.399999999999999">
      <c r="A73" t="str">
        <f t="shared" si="11"/>
        <v>Véhicules neufs</v>
      </c>
      <c r="B73" s="11" t="str">
        <f t="shared" si="1"/>
        <v>Véhicules neufs</v>
      </c>
      <c r="C73" s="86"/>
      <c r="D73" s="87"/>
      <c r="E73" s="111"/>
      <c r="F73" s="59"/>
      <c r="G73" s="89"/>
      <c r="H73" s="111"/>
      <c r="I73" s="59"/>
      <c r="J73" s="23"/>
      <c r="K73" s="111"/>
      <c r="L73" s="91"/>
      <c r="M73" s="23"/>
      <c r="N73" s="91"/>
      <c r="O73" s="23"/>
      <c r="P73" s="111"/>
      <c r="Q73" s="91"/>
      <c r="R73" s="23"/>
      <c r="S73" s="92"/>
      <c r="T73" s="13"/>
      <c r="U73" s="13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</row>
    <row r="74" spans="1:40" ht="21">
      <c r="A74" t="str">
        <f t="shared" si="11"/>
        <v>Véhicules neufsTOTAL DES DÉPENSES</v>
      </c>
      <c r="B74" s="11" t="str">
        <f t="shared" si="1"/>
        <v>Véhicules neufs</v>
      </c>
      <c r="C74" s="93" t="s">
        <v>64</v>
      </c>
      <c r="D74" s="94" t="s">
        <v>38</v>
      </c>
      <c r="E74" s="95">
        <f>F74/F$27</f>
        <v>0.86893996579912691</v>
      </c>
      <c r="F74" s="96">
        <f>F41+F54+F72</f>
        <v>157715.44062595928</v>
      </c>
      <c r="G74" s="97"/>
      <c r="H74" s="95"/>
      <c r="I74" s="96"/>
      <c r="J74" s="97" t="s">
        <v>38</v>
      </c>
      <c r="K74" s="95">
        <f>L74/L$27</f>
        <v>0.72066724433745455</v>
      </c>
      <c r="L74" s="96">
        <f>L41+L54+L72</f>
        <v>145895.61000000002</v>
      </c>
      <c r="M74" s="100"/>
      <c r="N74" s="113">
        <f t="shared" ref="N74:N82" si="23">L74-F74</f>
        <v>-11819.830625959265</v>
      </c>
      <c r="O74" s="97" t="s">
        <v>38</v>
      </c>
      <c r="P74" s="95">
        <f>Q74/Q$27</f>
        <v>1.5518377747194316</v>
      </c>
      <c r="Q74" s="96">
        <f>Q41+Q54+Q72</f>
        <v>113096.22999999998</v>
      </c>
      <c r="R74" s="100"/>
      <c r="S74" s="114">
        <f t="shared" ref="S74:S82" si="24">L74-Q74</f>
        <v>32799.380000000034</v>
      </c>
      <c r="T74" s="13"/>
      <c r="U74" s="13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</row>
    <row r="75" spans="1:40" ht="20.399999999999999">
      <c r="A75" t="str">
        <f t="shared" si="11"/>
        <v>Véhicules neufsRBSC neuf</v>
      </c>
      <c r="B75" s="11" t="str">
        <f t="shared" si="1"/>
        <v>Véhicules neufs</v>
      </c>
      <c r="C75" s="29" t="s">
        <v>215</v>
      </c>
      <c r="D75" s="81"/>
      <c r="E75" s="13"/>
      <c r="F75" s="30">
        <v>49630.397142857146</v>
      </c>
      <c r="G75" s="83"/>
      <c r="H75" s="13"/>
      <c r="I75" s="30"/>
      <c r="J75" s="41"/>
      <c r="K75" s="13"/>
      <c r="L75" s="32">
        <v>86785.1</v>
      </c>
      <c r="M75" s="41"/>
      <c r="N75" s="59">
        <f t="shared" si="23"/>
        <v>37154.70285714286</v>
      </c>
      <c r="O75" s="41"/>
      <c r="P75" s="13"/>
      <c r="Q75" s="32">
        <v>28695.24</v>
      </c>
      <c r="R75" s="41"/>
      <c r="S75" s="85">
        <f t="shared" si="24"/>
        <v>58089.86</v>
      </c>
      <c r="T75" s="13"/>
      <c r="U75" s="13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</row>
    <row r="76" spans="1:40" ht="20.399999999999999" hidden="1">
      <c r="A76" t="str">
        <f t="shared" si="11"/>
        <v>Véhicules neufsProgramme neuf 2</v>
      </c>
      <c r="B76" s="11" t="str">
        <f t="shared" si="1"/>
        <v>Véhicules neufs</v>
      </c>
      <c r="C76" s="29" t="s">
        <v>187</v>
      </c>
      <c r="D76" s="81"/>
      <c r="E76" s="13"/>
      <c r="F76" s="30">
        <v>0</v>
      </c>
      <c r="G76" s="83"/>
      <c r="H76" s="13"/>
      <c r="I76" s="30"/>
      <c r="J76" s="41"/>
      <c r="K76" s="13"/>
      <c r="L76" s="32">
        <v>0</v>
      </c>
      <c r="M76" s="41"/>
      <c r="N76" s="59">
        <f t="shared" si="23"/>
        <v>0</v>
      </c>
      <c r="O76" s="41"/>
      <c r="P76" s="13"/>
      <c r="Q76" s="32">
        <v>0</v>
      </c>
      <c r="R76" s="41"/>
      <c r="S76" s="85">
        <f t="shared" si="24"/>
        <v>0</v>
      </c>
      <c r="T76" s="13"/>
      <c r="U76" s="13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</row>
    <row r="77" spans="1:40" ht="20.399999999999999" hidden="1">
      <c r="A77" t="str">
        <f t="shared" si="11"/>
        <v>Véhicules neufsProgramme neuf 3</v>
      </c>
      <c r="B77" s="11" t="str">
        <f t="shared" si="1"/>
        <v>Véhicules neufs</v>
      </c>
      <c r="C77" s="29" t="s">
        <v>65</v>
      </c>
      <c r="D77" s="81"/>
      <c r="E77" s="13"/>
      <c r="F77" s="30">
        <v>0</v>
      </c>
      <c r="G77" s="83"/>
      <c r="H77" s="13"/>
      <c r="I77" s="30"/>
      <c r="J77" s="41"/>
      <c r="K77" s="13"/>
      <c r="L77" s="32">
        <v>0</v>
      </c>
      <c r="M77" s="41"/>
      <c r="N77" s="59">
        <f t="shared" si="23"/>
        <v>0</v>
      </c>
      <c r="O77" s="41"/>
      <c r="P77" s="13"/>
      <c r="Q77" s="32">
        <v>0</v>
      </c>
      <c r="R77" s="41"/>
      <c r="S77" s="85">
        <f t="shared" si="24"/>
        <v>0</v>
      </c>
      <c r="T77" s="13"/>
      <c r="U77" s="13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</row>
    <row r="78" spans="1:40" ht="20.399999999999999">
      <c r="A78" t="str">
        <f t="shared" si="11"/>
        <v>Véhicules neufsHoldbacks</v>
      </c>
      <c r="B78" s="11" t="str">
        <f t="shared" si="1"/>
        <v>Véhicules neufs</v>
      </c>
      <c r="C78" s="29" t="s">
        <v>66</v>
      </c>
      <c r="D78" s="81"/>
      <c r="E78" s="13"/>
      <c r="F78" s="30">
        <v>60158.057142857149</v>
      </c>
      <c r="G78" s="83"/>
      <c r="H78" s="13"/>
      <c r="I78" s="30"/>
      <c r="J78" s="41"/>
      <c r="K78" s="13"/>
      <c r="L78" s="33">
        <v>59259</v>
      </c>
      <c r="M78" s="41"/>
      <c r="N78" s="59">
        <f t="shared" si="23"/>
        <v>-899.0571428571493</v>
      </c>
      <c r="O78" s="41"/>
      <c r="P78" s="13"/>
      <c r="Q78" s="32">
        <v>19545</v>
      </c>
      <c r="R78" s="41"/>
      <c r="S78" s="85">
        <f t="shared" si="24"/>
        <v>39714</v>
      </c>
      <c r="T78" s="13"/>
      <c r="U78" s="13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</row>
    <row r="79" spans="1:40" ht="20.399999999999999" hidden="1">
      <c r="A79" t="str">
        <f t="shared" si="11"/>
        <v>Véhicules neufs[...]</v>
      </c>
      <c r="B79" s="11" t="str">
        <f t="shared" si="1"/>
        <v>Véhicules neufs</v>
      </c>
      <c r="C79" s="29" t="s">
        <v>19</v>
      </c>
      <c r="D79" s="81"/>
      <c r="E79" s="13"/>
      <c r="F79" s="30">
        <v>0</v>
      </c>
      <c r="G79" s="83"/>
      <c r="H79" s="13"/>
      <c r="I79" s="30"/>
      <c r="J79" s="41"/>
      <c r="K79" s="13"/>
      <c r="L79" s="33">
        <v>0</v>
      </c>
      <c r="M79" s="41"/>
      <c r="N79" s="59">
        <f t="shared" si="23"/>
        <v>0</v>
      </c>
      <c r="O79" s="41"/>
      <c r="P79" s="13"/>
      <c r="Q79" s="32">
        <v>0</v>
      </c>
      <c r="R79" s="41"/>
      <c r="S79" s="85">
        <f t="shared" si="24"/>
        <v>0</v>
      </c>
      <c r="T79" s="13"/>
      <c r="U79" s="13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</row>
    <row r="80" spans="1:40" ht="20.399999999999999" hidden="1">
      <c r="A80" t="str">
        <f t="shared" si="11"/>
        <v>Véhicules neufs[...]</v>
      </c>
      <c r="B80" s="11" t="str">
        <f t="shared" si="1"/>
        <v>Véhicules neufs</v>
      </c>
      <c r="C80" s="29" t="s">
        <v>19</v>
      </c>
      <c r="D80" s="81"/>
      <c r="E80" s="13"/>
      <c r="F80" s="30">
        <v>0</v>
      </c>
      <c r="G80" s="83"/>
      <c r="H80" s="13"/>
      <c r="I80" s="30"/>
      <c r="J80" s="41"/>
      <c r="K80" s="13"/>
      <c r="L80" s="33">
        <v>0</v>
      </c>
      <c r="M80" s="41"/>
      <c r="N80" s="59">
        <f t="shared" si="23"/>
        <v>0</v>
      </c>
      <c r="O80" s="41"/>
      <c r="P80" s="13"/>
      <c r="Q80" s="32">
        <v>0</v>
      </c>
      <c r="R80" s="41"/>
      <c r="S80" s="85">
        <f t="shared" si="24"/>
        <v>0</v>
      </c>
      <c r="T80" s="13"/>
      <c r="U80" s="13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</row>
    <row r="81" spans="1:40" ht="20.399999999999999" hidden="1">
      <c r="A81" t="str">
        <f t="shared" si="11"/>
        <v>Véhicules neufs[...]</v>
      </c>
      <c r="B81" s="11" t="str">
        <f t="shared" si="1"/>
        <v>Véhicules neufs</v>
      </c>
      <c r="C81" s="29" t="s">
        <v>19</v>
      </c>
      <c r="D81" s="81"/>
      <c r="E81" s="13"/>
      <c r="F81" s="30">
        <v>0</v>
      </c>
      <c r="G81" s="83"/>
      <c r="H81" s="13"/>
      <c r="I81" s="30"/>
      <c r="J81" s="41"/>
      <c r="K81" s="13"/>
      <c r="L81" s="33">
        <v>0</v>
      </c>
      <c r="M81" s="41"/>
      <c r="N81" s="59">
        <f t="shared" si="23"/>
        <v>0</v>
      </c>
      <c r="O81" s="41"/>
      <c r="P81" s="13"/>
      <c r="Q81" s="32">
        <v>0</v>
      </c>
      <c r="R81" s="41"/>
      <c r="S81" s="85">
        <f t="shared" si="24"/>
        <v>0</v>
      </c>
      <c r="T81" s="13"/>
      <c r="U81" s="13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</row>
    <row r="82" spans="1:40" ht="20.399999999999999">
      <c r="A82" t="str">
        <f t="shared" si="11"/>
        <v>Véhicules neufsFrais administration</v>
      </c>
      <c r="B82" s="11" t="str">
        <f t="shared" si="1"/>
        <v>Véhicules neufs</v>
      </c>
      <c r="C82" s="29" t="s">
        <v>67</v>
      </c>
      <c r="D82" s="81"/>
      <c r="E82" s="13"/>
      <c r="F82" s="30">
        <v>19242.3</v>
      </c>
      <c r="G82" s="83"/>
      <c r="H82" s="13"/>
      <c r="I82" s="30"/>
      <c r="J82" s="41"/>
      <c r="K82" s="13"/>
      <c r="L82" s="32">
        <v>22610</v>
      </c>
      <c r="M82" s="41"/>
      <c r="N82" s="59">
        <f t="shared" si="23"/>
        <v>3367.7000000000007</v>
      </c>
      <c r="O82" s="41"/>
      <c r="P82" s="13"/>
      <c r="Q82" s="32">
        <v>9520</v>
      </c>
      <c r="R82" s="41"/>
      <c r="S82" s="85">
        <f t="shared" si="24"/>
        <v>13090</v>
      </c>
      <c r="T82" s="13"/>
      <c r="U82" s="13"/>
      <c r="V82" s="489">
        <f>L82/595</f>
        <v>38</v>
      </c>
      <c r="W82" s="483">
        <f>V82/J27</f>
        <v>1</v>
      </c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</row>
    <row r="83" spans="1:40" ht="21">
      <c r="A83" t="str">
        <f t="shared" si="11"/>
        <v>Véhicules neufsAUTRES REVENUS</v>
      </c>
      <c r="B83" s="11" t="str">
        <f t="shared" si="1"/>
        <v>Véhicules neufs</v>
      </c>
      <c r="C83" s="93" t="s">
        <v>68</v>
      </c>
      <c r="D83" s="94"/>
      <c r="E83" s="95"/>
      <c r="F83" s="96">
        <f>+SUM(F75:F82)</f>
        <v>129030.7542857143</v>
      </c>
      <c r="G83" s="97"/>
      <c r="H83" s="95"/>
      <c r="I83" s="96"/>
      <c r="J83" s="97"/>
      <c r="K83" s="95"/>
      <c r="L83" s="96">
        <f>+SUM(L75:L82)</f>
        <v>168654.1</v>
      </c>
      <c r="M83" s="100"/>
      <c r="N83" s="96">
        <f>+SUM(N75:N82)</f>
        <v>39623.345714285708</v>
      </c>
      <c r="O83" s="97"/>
      <c r="P83" s="95"/>
      <c r="Q83" s="96">
        <f>+SUM(Q75:Q82)</f>
        <v>57760.240000000005</v>
      </c>
      <c r="R83" s="100"/>
      <c r="S83" s="101">
        <f>+SUM(S75:S82)</f>
        <v>110893.86</v>
      </c>
      <c r="T83" s="13"/>
      <c r="U83" s="13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</row>
    <row r="84" spans="1:40" ht="21">
      <c r="A84" t="str">
        <f t="shared" si="11"/>
        <v>Véhicules neufs</v>
      </c>
      <c r="B84" s="11" t="str">
        <f t="shared" si="1"/>
        <v>Véhicules neufs</v>
      </c>
      <c r="C84" s="115"/>
      <c r="D84" s="116"/>
      <c r="E84" s="117"/>
      <c r="F84" s="118"/>
      <c r="G84" s="119"/>
      <c r="H84" s="117"/>
      <c r="I84" s="118"/>
      <c r="J84" s="120"/>
      <c r="K84" s="121"/>
      <c r="L84" s="118"/>
      <c r="M84" s="120"/>
      <c r="N84" s="122"/>
      <c r="O84" s="120"/>
      <c r="P84" s="121"/>
      <c r="Q84" s="118"/>
      <c r="R84" s="120"/>
      <c r="S84" s="123"/>
      <c r="T84" s="13"/>
      <c r="U84" s="13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</row>
    <row r="85" spans="1:40" ht="21.6" thickBot="1">
      <c r="A85" t="str">
        <f t="shared" si="11"/>
        <v>Véhicules neufsPROFIT DÉPARTEMENTAL</v>
      </c>
      <c r="B85" s="11" t="str">
        <f t="shared" si="1"/>
        <v>Véhicules neufs</v>
      </c>
      <c r="C85" s="124" t="s">
        <v>69</v>
      </c>
      <c r="D85" s="125"/>
      <c r="E85" s="126"/>
      <c r="F85" s="127">
        <f>F27-F74+F83</f>
        <v>152818.57836563737</v>
      </c>
      <c r="G85" s="128"/>
      <c r="H85" s="126"/>
      <c r="I85" s="127"/>
      <c r="J85" s="128"/>
      <c r="K85" s="125"/>
      <c r="L85" s="127">
        <f>L27-L74+L83</f>
        <v>225203.67000000007</v>
      </c>
      <c r="M85" s="128"/>
      <c r="N85" s="127">
        <f>N27-N41-N54-N72+N83</f>
        <v>72385.091634362718</v>
      </c>
      <c r="O85" s="128"/>
      <c r="P85" s="125"/>
      <c r="Q85" s="127">
        <f>Q27-Q74+Q83</f>
        <v>17542.910000000018</v>
      </c>
      <c r="R85" s="128"/>
      <c r="S85" s="129">
        <f>S27-S41-S54-S72+S83</f>
        <v>207660.76000000007</v>
      </c>
      <c r="T85" s="13"/>
      <c r="U85" s="13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</row>
    <row r="86" spans="1:40" ht="23.4" thickTop="1">
      <c r="B86" s="130"/>
      <c r="C86" s="131"/>
      <c r="D86" s="131"/>
      <c r="E86" s="131"/>
      <c r="F86" s="131"/>
      <c r="G86" s="131"/>
      <c r="H86" s="131"/>
      <c r="I86" s="131"/>
      <c r="J86" s="131"/>
      <c r="K86" s="131"/>
      <c r="L86" s="132"/>
      <c r="M86" s="131"/>
      <c r="N86" s="131"/>
      <c r="O86" s="131"/>
      <c r="P86" s="131"/>
      <c r="Q86" s="131"/>
      <c r="R86" s="131"/>
      <c r="S86" s="131"/>
      <c r="T86" s="131"/>
      <c r="U86" s="131"/>
      <c r="W86" s="130"/>
      <c r="X86" s="130"/>
      <c r="Y86" s="130"/>
      <c r="Z86" s="130"/>
      <c r="AA86" s="130"/>
      <c r="AB86" s="130"/>
      <c r="AC86" s="130"/>
      <c r="AD86" s="130"/>
      <c r="AE86" s="130"/>
      <c r="AF86" s="130"/>
      <c r="AG86" s="130"/>
      <c r="AH86" s="130"/>
      <c r="AI86" s="130"/>
      <c r="AJ86" s="130"/>
      <c r="AK86" s="130"/>
      <c r="AL86" s="130"/>
      <c r="AM86" s="130"/>
      <c r="AN86" s="130"/>
    </row>
    <row r="87" spans="1:40" ht="22.8">
      <c r="B87" s="130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W87" s="130"/>
      <c r="X87" s="130"/>
      <c r="Y87" s="130"/>
      <c r="Z87" s="130"/>
      <c r="AA87" s="130"/>
      <c r="AB87" s="130"/>
      <c r="AC87" s="130"/>
      <c r="AD87" s="130"/>
      <c r="AE87" s="130"/>
      <c r="AF87" s="130"/>
      <c r="AG87" s="130"/>
      <c r="AH87" s="130"/>
      <c r="AI87" s="130"/>
      <c r="AJ87" s="130"/>
      <c r="AK87" s="130"/>
      <c r="AL87" s="130"/>
      <c r="AM87" s="130"/>
      <c r="AN87" s="130"/>
    </row>
    <row r="88" spans="1:40">
      <c r="B88" s="7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 spans="1:40" ht="35.4">
      <c r="B89" s="1"/>
      <c r="C89" s="6" t="str">
        <f>C1</f>
        <v>BMW Sherbrooke</v>
      </c>
      <c r="D89" s="2"/>
      <c r="E89" s="2"/>
      <c r="F89" s="2"/>
      <c r="G89" s="2"/>
      <c r="H89" s="1"/>
      <c r="I89" s="1"/>
      <c r="J89" s="1"/>
      <c r="K89" s="3" t="s">
        <v>70</v>
      </c>
      <c r="L89" s="2"/>
      <c r="M89" s="2"/>
      <c r="N89" s="1"/>
      <c r="O89" s="1"/>
      <c r="P89" s="2"/>
      <c r="Q89" s="1"/>
      <c r="R89" s="2"/>
      <c r="S89" s="5" t="str">
        <f>$S$1</f>
        <v>Réalisé, Septembre 2026</v>
      </c>
      <c r="T89" s="6"/>
      <c r="U89" s="6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7.399999999999999" thickBot="1">
      <c r="B90" s="7"/>
      <c r="C90" s="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 spans="1:40" ht="21.6" thickTop="1">
      <c r="B91" s="11"/>
      <c r="C91" s="12"/>
      <c r="D91" s="506" t="s">
        <v>5</v>
      </c>
      <c r="E91" s="507"/>
      <c r="F91" s="508"/>
      <c r="G91" s="509"/>
      <c r="H91" s="507"/>
      <c r="I91" s="508"/>
      <c r="J91" s="509" t="s">
        <v>7</v>
      </c>
      <c r="K91" s="507"/>
      <c r="L91" s="508"/>
      <c r="M91" s="509" t="s">
        <v>212</v>
      </c>
      <c r="N91" s="508"/>
      <c r="O91" s="506" t="s">
        <v>8</v>
      </c>
      <c r="P91" s="507"/>
      <c r="Q91" s="508"/>
      <c r="R91" s="504" t="s">
        <v>213</v>
      </c>
      <c r="S91" s="505"/>
      <c r="T91" s="13"/>
      <c r="U91" s="13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</row>
    <row r="92" spans="1:40" ht="20.399999999999999">
      <c r="B92" s="11"/>
      <c r="C92" s="29"/>
      <c r="D92" s="133" t="s">
        <v>10</v>
      </c>
      <c r="E92" s="80" t="s">
        <v>11</v>
      </c>
      <c r="F92" s="134" t="s">
        <v>12</v>
      </c>
      <c r="G92" s="135"/>
      <c r="H92" s="80"/>
      <c r="I92" s="134"/>
      <c r="J92" s="135" t="s">
        <v>10</v>
      </c>
      <c r="K92" s="80" t="s">
        <v>13</v>
      </c>
      <c r="L92" s="134" t="s">
        <v>12</v>
      </c>
      <c r="M92" s="135" t="s">
        <v>214</v>
      </c>
      <c r="N92" s="134" t="s">
        <v>216</v>
      </c>
      <c r="O92" s="80" t="s">
        <v>10</v>
      </c>
      <c r="P92" s="80" t="s">
        <v>11</v>
      </c>
      <c r="Q92" s="134" t="s">
        <v>12</v>
      </c>
      <c r="R92" s="135" t="s">
        <v>10</v>
      </c>
      <c r="S92" s="136" t="s">
        <v>12</v>
      </c>
      <c r="T92" s="13"/>
      <c r="U92" s="13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</row>
    <row r="93" spans="1:40" ht="20.399999999999999">
      <c r="A93" t="str">
        <f t="shared" ref="A93:A163" si="25">+B93&amp;C93</f>
        <v>Véhicules usagésVentes nettes</v>
      </c>
      <c r="B93" s="11" t="s">
        <v>70</v>
      </c>
      <c r="C93" s="86" t="s">
        <v>14</v>
      </c>
      <c r="D93" s="25"/>
      <c r="E93" s="25"/>
      <c r="F93" s="22">
        <v>1561050.3017974491</v>
      </c>
      <c r="G93" s="46"/>
      <c r="H93" s="25"/>
      <c r="I93" s="22"/>
      <c r="J93" s="23"/>
      <c r="K93" s="25"/>
      <c r="L93" s="22">
        <v>1432682.2499999998</v>
      </c>
      <c r="M93" s="137"/>
      <c r="N93" s="138"/>
      <c r="O93" s="23"/>
      <c r="P93" s="25"/>
      <c r="Q93" s="22">
        <v>917038.41999999993</v>
      </c>
      <c r="R93" s="137"/>
      <c r="S93" s="139"/>
      <c r="T93" s="13"/>
      <c r="U93" s="13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</row>
    <row r="94" spans="1:40" ht="20.399999999999999">
      <c r="A94" t="str">
        <f t="shared" si="25"/>
        <v>Véhicules usagésCertifié</v>
      </c>
      <c r="B94" s="11" t="s">
        <v>70</v>
      </c>
      <c r="C94" s="29" t="s">
        <v>72</v>
      </c>
      <c r="D94" s="30">
        <v>10</v>
      </c>
      <c r="E94" s="30">
        <f t="shared" ref="E94:E97" si="26">IF(D94=0,0,F94/D94)</f>
        <v>2400</v>
      </c>
      <c r="F94" s="30">
        <v>24000</v>
      </c>
      <c r="G94" s="31"/>
      <c r="H94" s="30"/>
      <c r="I94" s="30"/>
      <c r="J94" s="31">
        <v>11</v>
      </c>
      <c r="K94" s="30">
        <f t="shared" ref="K94:K96" si="27">IF(J94=0,0,L94/J94)</f>
        <v>3504.8609090909058</v>
      </c>
      <c r="L94" s="33">
        <v>38553.469999999965</v>
      </c>
      <c r="M94" s="31">
        <f t="shared" ref="M94:M97" si="28">J94-D94</f>
        <v>1</v>
      </c>
      <c r="N94" s="33">
        <f t="shared" ref="N94:N97" si="29">L94-F94</f>
        <v>14553.469999999965</v>
      </c>
      <c r="O94" s="31">
        <v>2</v>
      </c>
      <c r="P94" s="30">
        <f t="shared" ref="P94:P97" si="30">IF(O94=0,0,Q94/O94)</f>
        <v>3489.7299999999959</v>
      </c>
      <c r="Q94" s="33">
        <v>6979.4599999999919</v>
      </c>
      <c r="R94" s="31">
        <f t="shared" ref="R94:R97" si="31">J94-O94</f>
        <v>9</v>
      </c>
      <c r="S94" s="34">
        <f t="shared" ref="S94:S97" si="32">L94-Q94</f>
        <v>31574.009999999973</v>
      </c>
      <c r="T94" s="13"/>
      <c r="U94" s="13"/>
      <c r="W94" s="11" t="s">
        <v>246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</row>
    <row r="95" spans="1:40" ht="20.399999999999999">
      <c r="A95" t="str">
        <f t="shared" si="25"/>
        <v>Véhicules usagésNon Certifié</v>
      </c>
      <c r="B95" s="11" t="s">
        <v>70</v>
      </c>
      <c r="C95" s="29" t="s">
        <v>73</v>
      </c>
      <c r="D95" s="30">
        <v>2</v>
      </c>
      <c r="E95" s="30">
        <f t="shared" si="26"/>
        <v>1400</v>
      </c>
      <c r="F95" s="30">
        <v>2800</v>
      </c>
      <c r="G95" s="31"/>
      <c r="H95" s="30"/>
      <c r="I95" s="30"/>
      <c r="J95" s="31">
        <v>2</v>
      </c>
      <c r="K95" s="30">
        <f t="shared" si="27"/>
        <v>3489.1650000000018</v>
      </c>
      <c r="L95" s="32">
        <v>6978.3300000000036</v>
      </c>
      <c r="M95" s="31">
        <f t="shared" si="28"/>
        <v>0</v>
      </c>
      <c r="N95" s="33">
        <f t="shared" si="29"/>
        <v>4178.3300000000036</v>
      </c>
      <c r="O95" s="31">
        <v>5</v>
      </c>
      <c r="P95" s="30">
        <f t="shared" si="30"/>
        <v>1836.2619999999981</v>
      </c>
      <c r="Q95" s="32">
        <v>9181.3099999999904</v>
      </c>
      <c r="R95" s="31">
        <f t="shared" si="31"/>
        <v>-3</v>
      </c>
      <c r="S95" s="34">
        <f t="shared" si="32"/>
        <v>-2202.9799999999868</v>
      </c>
      <c r="T95" s="13"/>
      <c r="U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20.399999999999999">
      <c r="A96" t="str">
        <f t="shared" si="25"/>
        <v>Véhicules usagésAutres marques</v>
      </c>
      <c r="B96" s="11" t="s">
        <v>70</v>
      </c>
      <c r="C96" s="29" t="s">
        <v>206</v>
      </c>
      <c r="D96" s="30">
        <v>4</v>
      </c>
      <c r="E96" s="25">
        <f t="shared" si="26"/>
        <v>1500</v>
      </c>
      <c r="F96" s="30">
        <v>6000</v>
      </c>
      <c r="G96" s="31"/>
      <c r="H96" s="30"/>
      <c r="I96" s="30"/>
      <c r="J96" s="31">
        <v>1</v>
      </c>
      <c r="K96" s="30">
        <f t="shared" si="27"/>
        <v>1765.77</v>
      </c>
      <c r="L96" s="32">
        <v>1765.77</v>
      </c>
      <c r="M96" s="31">
        <f t="shared" si="28"/>
        <v>-3</v>
      </c>
      <c r="N96" s="33">
        <f t="shared" si="29"/>
        <v>-4234.2299999999996</v>
      </c>
      <c r="O96" s="31">
        <v>3</v>
      </c>
      <c r="P96" s="30">
        <f t="shared" si="30"/>
        <v>1345.849999999996</v>
      </c>
      <c r="Q96" s="32">
        <v>4037.5499999999884</v>
      </c>
      <c r="R96" s="31">
        <f t="shared" si="31"/>
        <v>-2</v>
      </c>
      <c r="S96" s="34">
        <f t="shared" si="32"/>
        <v>-2271.7799999999884</v>
      </c>
      <c r="T96" s="13"/>
      <c r="U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ht="21">
      <c r="A97" t="str">
        <f t="shared" si="25"/>
        <v>Véhicules usagésTotal Usagés</v>
      </c>
      <c r="B97" s="11" t="s">
        <v>70</v>
      </c>
      <c r="C97" s="35" t="s">
        <v>74</v>
      </c>
      <c r="D97" s="36">
        <f>+D95+D94+D96</f>
        <v>16</v>
      </c>
      <c r="E97" s="30">
        <f t="shared" si="26"/>
        <v>2050</v>
      </c>
      <c r="F97" s="37">
        <f>+F94+F95+F96</f>
        <v>32800</v>
      </c>
      <c r="G97" s="38"/>
      <c r="H97" s="36"/>
      <c r="I97" s="37"/>
      <c r="J97" s="38">
        <f>+J94+J95+J96</f>
        <v>14</v>
      </c>
      <c r="K97" s="36">
        <f>IF(J97&lt;=0,0,L97/J97)</f>
        <v>3378.3978571428547</v>
      </c>
      <c r="L97" s="37">
        <f>+L94+L95+L96</f>
        <v>47297.569999999963</v>
      </c>
      <c r="M97" s="38">
        <f t="shared" si="28"/>
        <v>-2</v>
      </c>
      <c r="N97" s="37">
        <f t="shared" si="29"/>
        <v>14497.569999999963</v>
      </c>
      <c r="O97" s="38">
        <f>+O95+O94+O96</f>
        <v>10</v>
      </c>
      <c r="P97" s="36">
        <f t="shared" si="30"/>
        <v>2019.8319999999972</v>
      </c>
      <c r="Q97" s="37">
        <f>+Q94+Q95+Q96</f>
        <v>20198.319999999971</v>
      </c>
      <c r="R97" s="38">
        <f t="shared" si="31"/>
        <v>4</v>
      </c>
      <c r="S97" s="39">
        <f t="shared" si="32"/>
        <v>27099.249999999993</v>
      </c>
      <c r="T97" s="13"/>
      <c r="U97" s="13"/>
      <c r="W97" s="457">
        <v>14</v>
      </c>
      <c r="X97" s="13">
        <v>37298</v>
      </c>
      <c r="Y97" s="499">
        <f>L97-X97</f>
        <v>9999.5699999999633</v>
      </c>
      <c r="Z97" s="13"/>
      <c r="AA97" s="13"/>
      <c r="AB97" s="13"/>
      <c r="AC97" s="82"/>
      <c r="AD97" s="13"/>
      <c r="AE97" s="13"/>
      <c r="AF97" s="82"/>
      <c r="AG97" s="13"/>
      <c r="AH97" s="13"/>
      <c r="AI97" s="13"/>
      <c r="AJ97" s="13"/>
      <c r="AK97" s="13"/>
      <c r="AL97" s="13"/>
      <c r="AM97" s="13"/>
      <c r="AN97" s="13"/>
    </row>
    <row r="98" spans="1:40" ht="21">
      <c r="A98" t="str">
        <f t="shared" si="25"/>
        <v>Véhicules usagés</v>
      </c>
      <c r="B98" s="11" t="s">
        <v>70</v>
      </c>
      <c r="C98" s="29"/>
      <c r="D98" s="13"/>
      <c r="E98" s="30"/>
      <c r="F98" s="40"/>
      <c r="G98" s="41"/>
      <c r="H98" s="13"/>
      <c r="I98" s="40"/>
      <c r="J98" s="41"/>
      <c r="K98" s="13"/>
      <c r="L98" s="40"/>
      <c r="M98" s="42">
        <f>M97/D97</f>
        <v>-0.125</v>
      </c>
      <c r="N98" s="43">
        <f>N97/F97</f>
        <v>0.44199908536585253</v>
      </c>
      <c r="O98" s="41"/>
      <c r="P98" s="13"/>
      <c r="Q98" s="40"/>
      <c r="R98" s="42">
        <f>R97/O97</f>
        <v>0.4</v>
      </c>
      <c r="S98" s="44">
        <f>IF(Q97=0,0,(S97/Q97))</f>
        <v>1.3416586131915937</v>
      </c>
      <c r="T98" s="13"/>
      <c r="U98" s="13"/>
      <c r="W98" s="13"/>
      <c r="X98" s="13"/>
      <c r="Y98" s="13"/>
      <c r="Z98" s="13"/>
      <c r="AA98" s="13"/>
      <c r="AB98" s="13"/>
      <c r="AC98" s="11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21">
      <c r="A99" t="str">
        <f t="shared" si="25"/>
        <v>Véhicules neufsRachat bail</v>
      </c>
      <c r="B99" s="11" t="str">
        <f>+$K$1</f>
        <v>Véhicules neufs</v>
      </c>
      <c r="C99" s="53" t="s">
        <v>23</v>
      </c>
      <c r="D99" s="30">
        <v>0</v>
      </c>
      <c r="E99" s="30">
        <f>IF(D99=0,0,F99/D99)</f>
        <v>0</v>
      </c>
      <c r="F99" s="30">
        <v>874.16704137020508</v>
      </c>
      <c r="G99" s="31"/>
      <c r="H99" s="30"/>
      <c r="I99" s="30"/>
      <c r="J99" s="31"/>
      <c r="K99" s="30"/>
      <c r="L99" s="33">
        <v>1499</v>
      </c>
      <c r="M99" s="31"/>
      <c r="N99" s="33">
        <f>L99-F99</f>
        <v>624.83295862979492</v>
      </c>
      <c r="O99" s="31"/>
      <c r="P99" s="30"/>
      <c r="Q99" s="33">
        <v>999</v>
      </c>
      <c r="R99" s="31">
        <f>O99-K99</f>
        <v>0</v>
      </c>
      <c r="S99" s="34">
        <f>L99-Q99</f>
        <v>500</v>
      </c>
      <c r="T99" s="13"/>
      <c r="U99" s="13"/>
      <c r="W99" s="11"/>
      <c r="X99" s="11">
        <v>1499</v>
      </c>
      <c r="Y99" s="499">
        <f>L99-X99</f>
        <v>0</v>
      </c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</row>
    <row r="100" spans="1:40" ht="20.399999999999999">
      <c r="A100" t="str">
        <f t="shared" si="25"/>
        <v>Véhicules usagés</v>
      </c>
      <c r="B100" s="11" t="s">
        <v>70</v>
      </c>
      <c r="C100" s="29"/>
      <c r="D100" s="30"/>
      <c r="E100" s="30"/>
      <c r="F100" s="30"/>
      <c r="G100" s="41"/>
      <c r="H100" s="30"/>
      <c r="I100" s="30"/>
      <c r="J100" s="31"/>
      <c r="K100" s="30"/>
      <c r="L100" s="33"/>
      <c r="M100" s="31"/>
      <c r="N100" s="33"/>
      <c r="O100" s="31"/>
      <c r="P100" s="30"/>
      <c r="Q100" s="33"/>
      <c r="R100" s="31"/>
      <c r="S100" s="34"/>
      <c r="T100" s="13"/>
      <c r="U100" s="13"/>
      <c r="W100" s="13"/>
      <c r="X100" s="13"/>
      <c r="Y100" s="13"/>
      <c r="Z100" s="13"/>
      <c r="AA100" s="13"/>
      <c r="AB100" s="13"/>
      <c r="AC100" s="11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20.399999999999999">
      <c r="A101" t="str">
        <f t="shared" si="25"/>
        <v>Véhicules usagésVentes au Gros</v>
      </c>
      <c r="B101" s="11" t="s">
        <v>70</v>
      </c>
      <c r="C101" s="29" t="s">
        <v>75</v>
      </c>
      <c r="D101" s="30">
        <v>23</v>
      </c>
      <c r="E101" s="30">
        <f>IF(D101=0,0,F101/D101)</f>
        <v>500</v>
      </c>
      <c r="F101" s="30">
        <v>11500</v>
      </c>
      <c r="G101" s="31"/>
      <c r="H101" s="30"/>
      <c r="I101" s="30"/>
      <c r="J101" s="31">
        <v>25</v>
      </c>
      <c r="K101" s="30">
        <f>IF(J101=0,0,L101/J101)</f>
        <v>2210.0092000000018</v>
      </c>
      <c r="L101" s="33">
        <v>55250.23000000004</v>
      </c>
      <c r="M101" s="31">
        <f>J101-D101</f>
        <v>2</v>
      </c>
      <c r="N101" s="33">
        <f>L101-F101</f>
        <v>43750.23000000004</v>
      </c>
      <c r="O101" s="31">
        <v>10</v>
      </c>
      <c r="P101" s="30">
        <f>IF(O101=0,0,Q101/O101)</f>
        <v>566.52200000000016</v>
      </c>
      <c r="Q101" s="33">
        <v>5665.2200000000012</v>
      </c>
      <c r="R101" s="31">
        <f>J101-O101</f>
        <v>15</v>
      </c>
      <c r="S101" s="34">
        <f>L101-Q101</f>
        <v>49585.010000000038</v>
      </c>
      <c r="T101" s="13"/>
      <c r="U101" s="13"/>
      <c r="W101" s="457">
        <v>25</v>
      </c>
      <c r="X101" s="13">
        <v>24273</v>
      </c>
      <c r="Y101" s="499">
        <f>L101-X101</f>
        <v>30977.23000000004</v>
      </c>
      <c r="Z101" s="13"/>
      <c r="AA101" s="13"/>
      <c r="AB101" s="13"/>
      <c r="AC101" s="82"/>
      <c r="AD101" s="13"/>
      <c r="AE101" s="13"/>
      <c r="AF101" s="140"/>
      <c r="AG101" s="13"/>
      <c r="AH101" s="13"/>
      <c r="AI101" s="13"/>
      <c r="AJ101" s="13"/>
      <c r="AK101" s="13"/>
      <c r="AL101" s="13"/>
      <c r="AM101" s="13"/>
      <c r="AN101" s="13"/>
    </row>
    <row r="102" spans="1:40" ht="21">
      <c r="A102" t="str">
        <f t="shared" si="25"/>
        <v>Véhicules usagés</v>
      </c>
      <c r="B102" s="11" t="s">
        <v>70</v>
      </c>
      <c r="C102" s="86"/>
      <c r="D102" s="25"/>
      <c r="E102" s="25"/>
      <c r="F102" s="48"/>
      <c r="G102" s="51"/>
      <c r="H102" s="47"/>
      <c r="I102" s="48"/>
      <c r="J102" s="51"/>
      <c r="K102" s="47"/>
      <c r="L102" s="48"/>
      <c r="M102" s="49"/>
      <c r="N102" s="141"/>
      <c r="O102" s="51"/>
      <c r="P102" s="47"/>
      <c r="Q102" s="48"/>
      <c r="R102" s="49"/>
      <c r="S102" s="142"/>
      <c r="T102" s="13"/>
      <c r="U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40"/>
      <c r="AG102" s="13"/>
      <c r="AH102" s="13"/>
      <c r="AI102" s="13"/>
      <c r="AJ102" s="13"/>
      <c r="AK102" s="13"/>
      <c r="AL102" s="13"/>
      <c r="AM102" s="13"/>
      <c r="AN102" s="13"/>
    </row>
    <row r="103" spans="1:40" ht="20.399999999999999">
      <c r="A103" t="str">
        <f t="shared" si="25"/>
        <v>Véhicules usagésRev. Finances</v>
      </c>
      <c r="B103" s="11" t="s">
        <v>70</v>
      </c>
      <c r="C103" s="29" t="s">
        <v>24</v>
      </c>
      <c r="D103" s="30"/>
      <c r="E103" s="30">
        <f>IF(D97=0,0,F103/D97)</f>
        <v>350</v>
      </c>
      <c r="F103" s="33">
        <v>5600</v>
      </c>
      <c r="G103" s="31"/>
      <c r="H103" s="30"/>
      <c r="I103" s="30"/>
      <c r="J103" s="31"/>
      <c r="K103" s="30">
        <f>IF(J97=0,0,L103/J97)</f>
        <v>210.08142857142857</v>
      </c>
      <c r="L103" s="33">
        <v>2941.14</v>
      </c>
      <c r="M103" s="31"/>
      <c r="N103" s="33">
        <f t="shared" ref="N103:N106" si="33">L103-F103</f>
        <v>-2658.86</v>
      </c>
      <c r="O103" s="31"/>
      <c r="P103" s="30">
        <f>IF(O97=0,0,Q103/O97)</f>
        <v>86.942000000000007</v>
      </c>
      <c r="Q103" s="33">
        <v>869.42000000000007</v>
      </c>
      <c r="R103" s="31">
        <f t="shared" ref="R103:R105" si="34">O103-K103</f>
        <v>-210.08142857142857</v>
      </c>
      <c r="S103" s="34">
        <f t="shared" ref="S103:S106" si="35">L103-Q103</f>
        <v>2071.7199999999998</v>
      </c>
      <c r="T103" s="13"/>
      <c r="U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20.399999999999999">
      <c r="A104" t="str">
        <f t="shared" si="25"/>
        <v>Véhicules usagésRev. Protections</v>
      </c>
      <c r="B104" s="11" t="s">
        <v>70</v>
      </c>
      <c r="C104" s="29" t="s">
        <v>25</v>
      </c>
      <c r="D104" s="30"/>
      <c r="E104" s="30">
        <f>IF(D97=0,0,F104/D97)</f>
        <v>950</v>
      </c>
      <c r="F104" s="33">
        <v>15200</v>
      </c>
      <c r="G104" s="31"/>
      <c r="H104" s="30"/>
      <c r="I104" s="30"/>
      <c r="J104" s="31"/>
      <c r="K104" s="30">
        <f>IF(J97=0,0,L104/J97)</f>
        <v>99.857142857142861</v>
      </c>
      <c r="L104" s="33">
        <v>1398</v>
      </c>
      <c r="M104" s="31"/>
      <c r="N104" s="33">
        <f t="shared" si="33"/>
        <v>-13802</v>
      </c>
      <c r="O104" s="31"/>
      <c r="P104" s="30">
        <f>IF(O97=0,0,Q104/O97)</f>
        <v>1425.4470000000001</v>
      </c>
      <c r="Q104" s="33">
        <v>14254.470000000001</v>
      </c>
      <c r="R104" s="31">
        <f t="shared" si="34"/>
        <v>-99.857142857142861</v>
      </c>
      <c r="S104" s="34">
        <f t="shared" si="35"/>
        <v>-12856.470000000001</v>
      </c>
      <c r="T104" s="13"/>
      <c r="U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20.399999999999999">
      <c r="A105" t="str">
        <f t="shared" si="25"/>
        <v>Véhicules usagésRev. Autres</v>
      </c>
      <c r="B105" s="11" t="s">
        <v>70</v>
      </c>
      <c r="C105" s="29" t="s">
        <v>26</v>
      </c>
      <c r="D105" s="30"/>
      <c r="E105" s="47">
        <f>IF(D97=0,0,F105/D97)</f>
        <v>200</v>
      </c>
      <c r="F105" s="33">
        <v>3200</v>
      </c>
      <c r="G105" s="31"/>
      <c r="H105" s="47"/>
      <c r="I105" s="30"/>
      <c r="J105" s="31"/>
      <c r="K105" s="47">
        <f>IF(J97=0,0,L105/J97)</f>
        <v>0</v>
      </c>
      <c r="L105" s="33">
        <v>0</v>
      </c>
      <c r="M105" s="51"/>
      <c r="N105" s="33">
        <f t="shared" si="33"/>
        <v>-3200</v>
      </c>
      <c r="O105" s="31"/>
      <c r="P105" s="47">
        <f>IF(O97=0,0,Q105/O97)</f>
        <v>155.5</v>
      </c>
      <c r="Q105" s="33">
        <v>1555</v>
      </c>
      <c r="R105" s="31">
        <f t="shared" si="34"/>
        <v>0</v>
      </c>
      <c r="S105" s="34">
        <f t="shared" si="35"/>
        <v>-1555</v>
      </c>
      <c r="T105" s="13"/>
      <c r="U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21">
      <c r="A106" t="str">
        <f t="shared" si="25"/>
        <v>Véhicules usagésTotal F&amp;I</v>
      </c>
      <c r="B106" s="11" t="s">
        <v>70</v>
      </c>
      <c r="C106" s="35" t="s">
        <v>27</v>
      </c>
      <c r="D106" s="36">
        <f>D97</f>
        <v>16</v>
      </c>
      <c r="E106" s="30">
        <f>IF(D106=0,0,F106/D106)</f>
        <v>1500</v>
      </c>
      <c r="F106" s="37">
        <f>F103+F104+F105</f>
        <v>24000</v>
      </c>
      <c r="G106" s="38"/>
      <c r="H106" s="36"/>
      <c r="I106" s="37"/>
      <c r="J106" s="38">
        <f>J97</f>
        <v>14</v>
      </c>
      <c r="K106" s="36">
        <f>IF(J106&lt;=0,0,L106/J106)</f>
        <v>309.93857142857138</v>
      </c>
      <c r="L106" s="37">
        <f>L103+L104+L105</f>
        <v>4339.1399999999994</v>
      </c>
      <c r="M106" s="31">
        <f>J106-D106</f>
        <v>-2</v>
      </c>
      <c r="N106" s="37">
        <f t="shared" si="33"/>
        <v>-19660.86</v>
      </c>
      <c r="O106" s="38">
        <f>O97</f>
        <v>10</v>
      </c>
      <c r="P106" s="36">
        <f>IF(O106=0,0,Q106/O106)</f>
        <v>1667.8889999999999</v>
      </c>
      <c r="Q106" s="37">
        <f>Q103+Q104+Q105</f>
        <v>16678.89</v>
      </c>
      <c r="R106" s="56"/>
      <c r="S106" s="39">
        <f t="shared" si="35"/>
        <v>-12339.75</v>
      </c>
      <c r="T106" s="13"/>
      <c r="U106" s="13"/>
      <c r="W106" s="13"/>
      <c r="X106" s="13">
        <v>4339</v>
      </c>
      <c r="Y106" s="499">
        <f>L106-X106</f>
        <v>0.13999999999941792</v>
      </c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21">
      <c r="A107" t="str">
        <f t="shared" si="25"/>
        <v>Véhicules usagés</v>
      </c>
      <c r="B107" s="11" t="s">
        <v>70</v>
      </c>
      <c r="C107" s="29"/>
      <c r="D107" s="13"/>
      <c r="E107" s="13"/>
      <c r="F107" s="59"/>
      <c r="G107" s="41"/>
      <c r="H107" s="143"/>
      <c r="I107" s="59"/>
      <c r="J107" s="41"/>
      <c r="K107" s="13"/>
      <c r="L107" s="59"/>
      <c r="M107" s="42"/>
      <c r="N107" s="43">
        <f>N106/F106</f>
        <v>-0.81920250000000006</v>
      </c>
      <c r="O107" s="41"/>
      <c r="P107" s="13"/>
      <c r="Q107" s="59"/>
      <c r="R107" s="60"/>
      <c r="S107" s="44">
        <f>IF(Q106=0,0,(S106/Q106))</f>
        <v>-0.73984239958414499</v>
      </c>
      <c r="T107" s="13"/>
      <c r="U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21.6" thickBot="1">
      <c r="A108" t="str">
        <f t="shared" si="25"/>
        <v>Véhicules usagés</v>
      </c>
      <c r="B108" s="11" t="s">
        <v>70</v>
      </c>
      <c r="C108" s="29"/>
      <c r="D108" s="13"/>
      <c r="E108" s="13"/>
      <c r="F108" s="59"/>
      <c r="G108" s="41"/>
      <c r="H108" s="143"/>
      <c r="I108" s="59"/>
      <c r="J108" s="41"/>
      <c r="K108" s="13"/>
      <c r="L108" s="59"/>
      <c r="M108" s="42"/>
      <c r="N108" s="43"/>
      <c r="O108" s="41"/>
      <c r="P108" s="13"/>
      <c r="Q108" s="59"/>
      <c r="R108" s="60"/>
      <c r="S108" s="44"/>
      <c r="T108" s="13"/>
      <c r="U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21.6" thickTop="1">
      <c r="A109" t="str">
        <f t="shared" si="25"/>
        <v>Véhicules usagésTotal Dépt. Usagés</v>
      </c>
      <c r="B109" s="11" t="s">
        <v>70</v>
      </c>
      <c r="C109" s="62" t="s">
        <v>76</v>
      </c>
      <c r="D109" s="63">
        <f>D97+D101</f>
        <v>39</v>
      </c>
      <c r="E109" s="67">
        <f>IF(D109&lt;=0,0,F109/D109)</f>
        <v>1773.6965908043644</v>
      </c>
      <c r="F109" s="65">
        <f>F97+F106+F101+F99</f>
        <v>69174.167041370209</v>
      </c>
      <c r="G109" s="66"/>
      <c r="H109" s="67"/>
      <c r="I109" s="65"/>
      <c r="J109" s="66">
        <f>J97+J101</f>
        <v>39</v>
      </c>
      <c r="K109" s="67">
        <f>IF(J109&lt;=0,0,L109/J109)</f>
        <v>2779.1266666666666</v>
      </c>
      <c r="L109" s="65">
        <f>L97+L106+L101+L99</f>
        <v>108385.94</v>
      </c>
      <c r="M109" s="66">
        <f>J109-D109</f>
        <v>0</v>
      </c>
      <c r="N109" s="65">
        <f>L109-F109</f>
        <v>39211.772958629794</v>
      </c>
      <c r="O109" s="66">
        <f>O97+O101</f>
        <v>20</v>
      </c>
      <c r="P109" s="67">
        <f>IF(O109&lt;=0,0,Q109/O109)</f>
        <v>2177.0714999999987</v>
      </c>
      <c r="Q109" s="65">
        <f>Q97+Q106+Q101+Q99</f>
        <v>43541.429999999971</v>
      </c>
      <c r="R109" s="66">
        <f>J109-O109</f>
        <v>19</v>
      </c>
      <c r="S109" s="68">
        <f>L109-Q109</f>
        <v>64844.510000000031</v>
      </c>
      <c r="T109" s="13"/>
      <c r="U109" s="13"/>
      <c r="W109" s="484">
        <f t="shared" ref="W109:X109" si="36">SUM(W95:W108)</f>
        <v>39</v>
      </c>
      <c r="X109" s="484">
        <f t="shared" si="36"/>
        <v>67409</v>
      </c>
      <c r="Y109" s="499">
        <f>L109-X109</f>
        <v>40976.94</v>
      </c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21.6" thickBot="1">
      <c r="A110" t="str">
        <f t="shared" si="25"/>
        <v>Véhicules usagés</v>
      </c>
      <c r="B110" s="11" t="s">
        <v>70</v>
      </c>
      <c r="C110" s="69"/>
      <c r="D110" s="70"/>
      <c r="E110" s="70"/>
      <c r="F110" s="71"/>
      <c r="G110" s="72"/>
      <c r="H110" s="70"/>
      <c r="I110" s="71"/>
      <c r="J110" s="72"/>
      <c r="K110" s="70"/>
      <c r="L110" s="71"/>
      <c r="M110" s="73">
        <f>M109/D109</f>
        <v>0</v>
      </c>
      <c r="N110" s="74">
        <f>N109/F109</f>
        <v>0.56685573004701095</v>
      </c>
      <c r="O110" s="72"/>
      <c r="P110" s="70"/>
      <c r="Q110" s="71"/>
      <c r="R110" s="73">
        <f>O109/R109</f>
        <v>1.0526315789473684</v>
      </c>
      <c r="S110" s="144">
        <f>IF(Q109=0,0,(S109/Q109))</f>
        <v>1.4892599990399964</v>
      </c>
      <c r="T110" s="13"/>
      <c r="U110" s="13"/>
      <c r="W110" s="13"/>
      <c r="X110" s="30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21.6" thickTop="1">
      <c r="A111" t="str">
        <f t="shared" si="25"/>
        <v>Véhicules usagés</v>
      </c>
      <c r="B111" s="11" t="s">
        <v>70</v>
      </c>
      <c r="C111" s="53"/>
      <c r="D111" s="76"/>
      <c r="E111" s="76"/>
      <c r="F111" s="77"/>
      <c r="G111" s="78"/>
      <c r="H111" s="76"/>
      <c r="I111" s="77"/>
      <c r="J111" s="78"/>
      <c r="K111" s="76"/>
      <c r="L111" s="77"/>
      <c r="M111" s="42"/>
      <c r="N111" s="43"/>
      <c r="O111" s="78"/>
      <c r="P111" s="76"/>
      <c r="Q111" s="77"/>
      <c r="R111" s="42"/>
      <c r="S111" s="44"/>
      <c r="T111" s="13"/>
      <c r="U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21">
      <c r="A112" t="str">
        <f t="shared" si="25"/>
        <v>Véhicules usagésDEPENSES</v>
      </c>
      <c r="B112" s="11" t="s">
        <v>70</v>
      </c>
      <c r="C112" s="79" t="s">
        <v>29</v>
      </c>
      <c r="D112" s="13"/>
      <c r="E112" s="80"/>
      <c r="F112" s="59"/>
      <c r="G112" s="41"/>
      <c r="H112" s="80"/>
      <c r="I112" s="59"/>
      <c r="J112" s="41"/>
      <c r="K112" s="80"/>
      <c r="L112" s="40"/>
      <c r="M112" s="41"/>
      <c r="N112" s="40"/>
      <c r="O112" s="41"/>
      <c r="P112" s="80"/>
      <c r="Q112" s="40"/>
      <c r="R112" s="41"/>
      <c r="S112" s="61"/>
      <c r="T112" s="13"/>
      <c r="U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20.399999999999999">
      <c r="A113" t="str">
        <f t="shared" si="25"/>
        <v>Véhicules usagésComm. vendeurs</v>
      </c>
      <c r="B113" s="11" t="s">
        <v>70</v>
      </c>
      <c r="C113" s="29" t="s">
        <v>30</v>
      </c>
      <c r="D113" s="147">
        <f>F113/(F97+F106)</f>
        <v>0.20507335002491814</v>
      </c>
      <c r="E113" s="82">
        <f t="shared" ref="E113:E122" si="37">F113/D$97</f>
        <v>728.01039258845935</v>
      </c>
      <c r="F113" s="30">
        <v>11648.16628141535</v>
      </c>
      <c r="G113" s="156"/>
      <c r="H113" s="82"/>
      <c r="I113" s="30"/>
      <c r="J113" s="156">
        <f>L113/L97</f>
        <v>0.2936114899771809</v>
      </c>
      <c r="K113" s="82">
        <f>IF($J$97=0,0,L113/(J$94+J$95+J96))</f>
        <v>991.93642857142856</v>
      </c>
      <c r="L113" s="33">
        <v>13887.11</v>
      </c>
      <c r="M113" s="41"/>
      <c r="N113" s="59">
        <f t="shared" ref="N113:N154" si="38">L113-F113</f>
        <v>2238.9437185846509</v>
      </c>
      <c r="O113" s="156">
        <f>Q113/Q97</f>
        <v>0.26600083571306959</v>
      </c>
      <c r="P113" s="82">
        <f t="shared" ref="P113:P122" si="39">Q113/O$97</f>
        <v>537.27700000000004</v>
      </c>
      <c r="Q113" s="33">
        <v>5372.77</v>
      </c>
      <c r="R113" s="41"/>
      <c r="S113" s="85">
        <f t="shared" ref="S113:S154" si="40">L113-Q113</f>
        <v>8514.34</v>
      </c>
      <c r="T113" s="13"/>
      <c r="U113" s="13"/>
      <c r="V113" s="489" t="s">
        <v>275</v>
      </c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20.399999999999999">
      <c r="A114" t="str">
        <f t="shared" si="25"/>
        <v>Véhicules usagésComm. F&amp;I</v>
      </c>
      <c r="B114" s="11" t="s">
        <v>70</v>
      </c>
      <c r="C114" s="86" t="s">
        <v>31</v>
      </c>
      <c r="D114" s="217">
        <f>F114/(F106+F99)</f>
        <v>0.26051123598320286</v>
      </c>
      <c r="E114" s="88">
        <f t="shared" si="37"/>
        <v>405</v>
      </c>
      <c r="F114" s="22">
        <v>6480</v>
      </c>
      <c r="G114" s="161"/>
      <c r="H114" s="88"/>
      <c r="I114" s="22"/>
      <c r="J114" s="161">
        <f>L114/L106</f>
        <v>0.10166991615850147</v>
      </c>
      <c r="K114" s="88">
        <f>IF($J$97=0,0,L114/(J$94+J$95+J96))</f>
        <v>31.511428571428574</v>
      </c>
      <c r="L114" s="33">
        <v>441.16</v>
      </c>
      <c r="M114" s="23"/>
      <c r="N114" s="91">
        <f t="shared" si="38"/>
        <v>-6038.84</v>
      </c>
      <c r="O114" s="161">
        <f>Q114/(Q106+Q99)</f>
        <v>0.22129677240892437</v>
      </c>
      <c r="P114" s="88">
        <f t="shared" si="39"/>
        <v>391.20600000000002</v>
      </c>
      <c r="Q114" s="33">
        <v>3912.06</v>
      </c>
      <c r="R114" s="23"/>
      <c r="S114" s="92">
        <f t="shared" si="40"/>
        <v>-3470.9</v>
      </c>
      <c r="T114" s="13"/>
      <c r="U114" s="13"/>
      <c r="V114" s="495" t="s">
        <v>276</v>
      </c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20.399999999999999">
      <c r="A115" t="str">
        <f t="shared" si="25"/>
        <v>Véhicules usagésFrais de livraison</v>
      </c>
      <c r="B115" s="11" t="s">
        <v>70</v>
      </c>
      <c r="C115" s="29" t="s">
        <v>32</v>
      </c>
      <c r="D115" s="81"/>
      <c r="E115" s="82">
        <f t="shared" si="37"/>
        <v>85</v>
      </c>
      <c r="F115" s="30">
        <v>1360</v>
      </c>
      <c r="G115" s="83"/>
      <c r="H115" s="82"/>
      <c r="I115" s="30"/>
      <c r="J115" s="41"/>
      <c r="K115" s="82">
        <f>IF($J$97=0,0,L115/(J$94+J$95+J96))</f>
        <v>7.6485714285714286</v>
      </c>
      <c r="L115" s="108">
        <v>107.08</v>
      </c>
      <c r="M115" s="41"/>
      <c r="N115" s="59">
        <f t="shared" si="38"/>
        <v>-1252.92</v>
      </c>
      <c r="O115" s="41"/>
      <c r="P115" s="82">
        <f t="shared" si="39"/>
        <v>116.10299999999999</v>
      </c>
      <c r="Q115" s="108">
        <v>1161.03</v>
      </c>
      <c r="R115" s="41"/>
      <c r="S115" s="85">
        <f t="shared" si="40"/>
        <v>-1053.95</v>
      </c>
      <c r="T115" s="13"/>
      <c r="U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ht="20.399999999999999">
      <c r="A116" t="str">
        <f t="shared" si="25"/>
        <v>Véhicules usagésService gratuit 1</v>
      </c>
      <c r="B116" s="11" t="s">
        <v>70</v>
      </c>
      <c r="C116" s="29" t="s">
        <v>33</v>
      </c>
      <c r="D116" s="81"/>
      <c r="E116" s="82">
        <f t="shared" si="37"/>
        <v>80</v>
      </c>
      <c r="F116" s="30">
        <v>1280</v>
      </c>
      <c r="G116" s="83"/>
      <c r="H116" s="82"/>
      <c r="I116" s="30"/>
      <c r="J116" s="41"/>
      <c r="K116" s="82">
        <f>IF($J$97=0,0,L116/(J$94+J$95+J96))</f>
        <v>282.50928571428574</v>
      </c>
      <c r="L116" s="33">
        <v>3955.13</v>
      </c>
      <c r="M116" s="41"/>
      <c r="N116" s="59">
        <f t="shared" si="38"/>
        <v>2675.13</v>
      </c>
      <c r="O116" s="41"/>
      <c r="P116" s="82">
        <f t="shared" si="39"/>
        <v>14.586000000000002</v>
      </c>
      <c r="Q116" s="33">
        <v>145.86000000000001</v>
      </c>
      <c r="R116" s="41"/>
      <c r="S116" s="85">
        <f t="shared" si="40"/>
        <v>3809.27</v>
      </c>
      <c r="T116" s="13"/>
      <c r="U116" s="13"/>
      <c r="V116" s="489" t="s">
        <v>277</v>
      </c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</row>
    <row r="117" spans="1:40" ht="20.399999999999999">
      <c r="A117" t="str">
        <f t="shared" si="25"/>
        <v>Véhicules usagésEntretien stock</v>
      </c>
      <c r="B117" s="11" t="s">
        <v>70</v>
      </c>
      <c r="C117" s="86" t="s">
        <v>34</v>
      </c>
      <c r="D117" s="87"/>
      <c r="E117" s="88">
        <f t="shared" si="37"/>
        <v>50.9375</v>
      </c>
      <c r="F117" s="22">
        <v>815</v>
      </c>
      <c r="G117" s="89"/>
      <c r="H117" s="88"/>
      <c r="I117" s="22"/>
      <c r="J117" s="23"/>
      <c r="K117" s="88">
        <f>IF($J$97=0,0,L117/(J$94+J$95+J96))</f>
        <v>27.5</v>
      </c>
      <c r="L117" s="48">
        <v>385</v>
      </c>
      <c r="M117" s="23"/>
      <c r="N117" s="91">
        <f t="shared" si="38"/>
        <v>-430</v>
      </c>
      <c r="O117" s="23"/>
      <c r="P117" s="88">
        <f t="shared" si="39"/>
        <v>231.38800000000001</v>
      </c>
      <c r="Q117" s="48">
        <v>2313.88</v>
      </c>
      <c r="R117" s="23"/>
      <c r="S117" s="92">
        <f t="shared" si="40"/>
        <v>-1928.88</v>
      </c>
      <c r="T117" s="13"/>
      <c r="U117" s="13"/>
      <c r="V117" s="489" t="s">
        <v>278</v>
      </c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20.399999999999999">
      <c r="A118" t="str">
        <f t="shared" si="25"/>
        <v>Véhicules usagésPublicité 1</v>
      </c>
      <c r="B118" s="11" t="s">
        <v>70</v>
      </c>
      <c r="C118" s="29" t="s">
        <v>35</v>
      </c>
      <c r="D118" s="81"/>
      <c r="E118" s="82">
        <f t="shared" si="37"/>
        <v>92.34375</v>
      </c>
      <c r="F118" s="30">
        <v>1477.5</v>
      </c>
      <c r="G118" s="83"/>
      <c r="H118" s="82"/>
      <c r="I118" s="30"/>
      <c r="J118" s="41"/>
      <c r="K118" s="82">
        <f>IF($J$97=0,0,L118/(J$94+J$95+J96))</f>
        <v>121.50357142857141</v>
      </c>
      <c r="L118" s="33">
        <v>1701.0499999999997</v>
      </c>
      <c r="M118" s="41"/>
      <c r="N118" s="59">
        <f t="shared" si="38"/>
        <v>223.54999999999973</v>
      </c>
      <c r="O118" s="41"/>
      <c r="P118" s="82">
        <f t="shared" si="39"/>
        <v>328.73500000000001</v>
      </c>
      <c r="Q118" s="33">
        <v>3287.3500000000004</v>
      </c>
      <c r="R118" s="41"/>
      <c r="S118" s="85">
        <f t="shared" si="40"/>
        <v>-1586.3000000000006</v>
      </c>
      <c r="T118" s="13"/>
      <c r="U118" s="13"/>
      <c r="W118" s="489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20.399999999999999">
      <c r="A119" t="str">
        <f t="shared" si="25"/>
        <v>Véhicules usagésIntérêt de gros</v>
      </c>
      <c r="B119" s="11" t="s">
        <v>70</v>
      </c>
      <c r="C119" s="29" t="s">
        <v>36</v>
      </c>
      <c r="D119" s="81"/>
      <c r="E119" s="82">
        <f t="shared" si="37"/>
        <v>453.64562704918023</v>
      </c>
      <c r="F119" s="30">
        <v>7258.3300327868837</v>
      </c>
      <c r="G119" s="83"/>
      <c r="H119" s="82"/>
      <c r="I119" s="30"/>
      <c r="J119" s="41"/>
      <c r="K119" s="82">
        <f>IF($J$97=0,0,L119/(J$94+J$95+J96))</f>
        <v>478.04214285714289</v>
      </c>
      <c r="L119" s="33">
        <v>6692.59</v>
      </c>
      <c r="M119" s="41"/>
      <c r="N119" s="59">
        <f t="shared" si="38"/>
        <v>-565.7400327868836</v>
      </c>
      <c r="O119" s="41"/>
      <c r="P119" s="82">
        <f t="shared" si="39"/>
        <v>271.08199999999999</v>
      </c>
      <c r="Q119" s="33">
        <v>2710.82</v>
      </c>
      <c r="R119" s="41"/>
      <c r="S119" s="85">
        <f t="shared" si="40"/>
        <v>3981.77</v>
      </c>
      <c r="T119" s="13"/>
      <c r="U119" s="13"/>
      <c r="V119" s="489">
        <v>6693</v>
      </c>
      <c r="W119" s="492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20.399999999999999" hidden="1">
      <c r="A120" t="str">
        <f t="shared" si="25"/>
        <v>Véhicules usagés[...]</v>
      </c>
      <c r="B120" s="11" t="s">
        <v>70</v>
      </c>
      <c r="C120" s="29" t="s">
        <v>19</v>
      </c>
      <c r="D120" s="81"/>
      <c r="E120" s="82">
        <f t="shared" si="37"/>
        <v>0</v>
      </c>
      <c r="F120" s="30">
        <v>0</v>
      </c>
      <c r="G120" s="83"/>
      <c r="H120" s="82"/>
      <c r="I120" s="30"/>
      <c r="J120" s="41"/>
      <c r="K120" s="82">
        <f t="shared" ref="K120:K122" si="41">IF($J$97=0,0,L120/(J$94+J$95))</f>
        <v>0</v>
      </c>
      <c r="L120" s="33">
        <v>0</v>
      </c>
      <c r="M120" s="41"/>
      <c r="N120" s="59">
        <f t="shared" si="38"/>
        <v>0</v>
      </c>
      <c r="O120" s="41"/>
      <c r="P120" s="82">
        <f t="shared" si="39"/>
        <v>0</v>
      </c>
      <c r="Q120" s="33">
        <v>0</v>
      </c>
      <c r="R120" s="41"/>
      <c r="S120" s="85">
        <f t="shared" si="40"/>
        <v>0</v>
      </c>
      <c r="T120" s="13"/>
      <c r="U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</row>
    <row r="121" spans="1:40" ht="20.399999999999999" hidden="1">
      <c r="A121" t="str">
        <f t="shared" si="25"/>
        <v>Véhicules usagés[...]</v>
      </c>
      <c r="B121" s="11" t="s">
        <v>70</v>
      </c>
      <c r="C121" s="29" t="s">
        <v>19</v>
      </c>
      <c r="D121" s="81"/>
      <c r="E121" s="82">
        <f t="shared" si="37"/>
        <v>0</v>
      </c>
      <c r="F121" s="30">
        <v>0</v>
      </c>
      <c r="G121" s="83"/>
      <c r="H121" s="82"/>
      <c r="I121" s="30"/>
      <c r="J121" s="41"/>
      <c r="K121" s="82">
        <f t="shared" si="41"/>
        <v>0</v>
      </c>
      <c r="L121" s="33">
        <v>0</v>
      </c>
      <c r="M121" s="41"/>
      <c r="N121" s="59">
        <f t="shared" si="38"/>
        <v>0</v>
      </c>
      <c r="O121" s="41"/>
      <c r="P121" s="82">
        <f t="shared" si="39"/>
        <v>0</v>
      </c>
      <c r="Q121" s="33">
        <v>0</v>
      </c>
      <c r="R121" s="41"/>
      <c r="S121" s="85">
        <f t="shared" si="40"/>
        <v>0</v>
      </c>
      <c r="T121" s="13"/>
      <c r="U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20.399999999999999" hidden="1">
      <c r="A122" t="str">
        <f t="shared" si="25"/>
        <v>Véhicules usagés[...]</v>
      </c>
      <c r="B122" s="11" t="s">
        <v>70</v>
      </c>
      <c r="C122" s="29" t="s">
        <v>19</v>
      </c>
      <c r="D122" s="81"/>
      <c r="E122" s="82">
        <f t="shared" si="37"/>
        <v>0</v>
      </c>
      <c r="F122" s="30">
        <v>0</v>
      </c>
      <c r="G122" s="83"/>
      <c r="H122" s="82"/>
      <c r="I122" s="30"/>
      <c r="J122" s="41"/>
      <c r="K122" s="82">
        <f t="shared" si="41"/>
        <v>0</v>
      </c>
      <c r="L122" s="33">
        <v>0</v>
      </c>
      <c r="M122" s="41"/>
      <c r="N122" s="59">
        <f t="shared" si="38"/>
        <v>0</v>
      </c>
      <c r="O122" s="41"/>
      <c r="P122" s="82">
        <f t="shared" si="39"/>
        <v>0</v>
      </c>
      <c r="Q122" s="33">
        <v>0</v>
      </c>
      <c r="R122" s="41"/>
      <c r="S122" s="85">
        <f t="shared" si="40"/>
        <v>0</v>
      </c>
      <c r="T122" s="13"/>
      <c r="U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21">
      <c r="A123" t="str">
        <f t="shared" si="25"/>
        <v>Véhicules usagésTOTAL VARIABLES</v>
      </c>
      <c r="B123" s="11" t="s">
        <v>70</v>
      </c>
      <c r="C123" s="93" t="s">
        <v>37</v>
      </c>
      <c r="D123" s="94" t="s">
        <v>38</v>
      </c>
      <c r="E123" s="95">
        <f>F123/F$109</f>
        <v>0.43829940584712346</v>
      </c>
      <c r="F123" s="96">
        <f>SUM(F113:F122)</f>
        <v>30318.996314202232</v>
      </c>
      <c r="G123" s="97"/>
      <c r="H123" s="95"/>
      <c r="I123" s="96"/>
      <c r="J123" s="97" t="s">
        <v>38</v>
      </c>
      <c r="K123" s="95">
        <f>L123/L$109</f>
        <v>0.25067015149750971</v>
      </c>
      <c r="L123" s="96">
        <f>SUM(L113:L122)</f>
        <v>27169.119999999999</v>
      </c>
      <c r="M123" s="100"/>
      <c r="N123" s="96">
        <f t="shared" si="38"/>
        <v>-3149.8763142022326</v>
      </c>
      <c r="O123" s="97" t="s">
        <v>38</v>
      </c>
      <c r="P123" s="95">
        <f>Q123/Q$109</f>
        <v>0.43415592919203655</v>
      </c>
      <c r="Q123" s="96">
        <f>SUM(Q113:Q122)</f>
        <v>18903.770000000004</v>
      </c>
      <c r="R123" s="100"/>
      <c r="S123" s="101">
        <f t="shared" si="40"/>
        <v>8265.3499999999949</v>
      </c>
      <c r="T123" s="13"/>
      <c r="U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20.399999999999999">
      <c r="A124" t="str">
        <f t="shared" si="25"/>
        <v>Véhicules usagésSalaires cadres</v>
      </c>
      <c r="B124" s="11" t="s">
        <v>70</v>
      </c>
      <c r="C124" s="102" t="s">
        <v>40</v>
      </c>
      <c r="D124" s="13"/>
      <c r="E124" s="13"/>
      <c r="F124" s="30">
        <v>5966.1677164750954</v>
      </c>
      <c r="G124" s="41"/>
      <c r="H124" s="13"/>
      <c r="I124" s="30"/>
      <c r="J124" s="41"/>
      <c r="K124" s="13"/>
      <c r="L124" s="33">
        <v>7014.24</v>
      </c>
      <c r="M124" s="41"/>
      <c r="N124" s="59">
        <f t="shared" si="38"/>
        <v>1048.0722835249044</v>
      </c>
      <c r="O124" s="41"/>
      <c r="P124" s="13"/>
      <c r="Q124" s="33">
        <v>2664.71</v>
      </c>
      <c r="R124" s="41"/>
      <c r="S124" s="85">
        <f t="shared" si="40"/>
        <v>4349.53</v>
      </c>
      <c r="T124" s="13"/>
      <c r="U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20.399999999999999">
      <c r="A125" t="str">
        <f t="shared" si="25"/>
        <v>Véhicules usagésSalaires commis</v>
      </c>
      <c r="B125" s="11" t="s">
        <v>70</v>
      </c>
      <c r="C125" s="103" t="s">
        <v>41</v>
      </c>
      <c r="D125" s="81"/>
      <c r="E125" s="13"/>
      <c r="F125" s="22">
        <v>1970.7279272030648</v>
      </c>
      <c r="G125" s="83"/>
      <c r="H125" s="13"/>
      <c r="I125" s="22"/>
      <c r="J125" s="41"/>
      <c r="K125" s="13"/>
      <c r="L125" s="22">
        <v>1520.94</v>
      </c>
      <c r="M125" s="41"/>
      <c r="N125" s="59">
        <f t="shared" si="38"/>
        <v>-449.78792720306478</v>
      </c>
      <c r="O125" s="41"/>
      <c r="P125" s="13"/>
      <c r="Q125" s="22">
        <v>3025.53</v>
      </c>
      <c r="R125" s="41"/>
      <c r="S125" s="85">
        <f t="shared" si="40"/>
        <v>-1504.5900000000001</v>
      </c>
      <c r="T125" s="13"/>
      <c r="U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20.399999999999999">
      <c r="A126" t="str">
        <f t="shared" si="25"/>
        <v>Véhicules usagésSalaires autres</v>
      </c>
      <c r="B126" s="11" t="s">
        <v>70</v>
      </c>
      <c r="C126" s="102" t="s">
        <v>42</v>
      </c>
      <c r="D126" s="104"/>
      <c r="E126" s="105"/>
      <c r="F126" s="30">
        <v>0</v>
      </c>
      <c r="G126" s="106"/>
      <c r="H126" s="105"/>
      <c r="I126" s="30"/>
      <c r="J126" s="107"/>
      <c r="K126" s="105"/>
      <c r="L126" s="33">
        <v>0</v>
      </c>
      <c r="M126" s="107"/>
      <c r="N126" s="109">
        <f t="shared" si="38"/>
        <v>0</v>
      </c>
      <c r="O126" s="107"/>
      <c r="P126" s="105"/>
      <c r="Q126" s="33">
        <v>2809</v>
      </c>
      <c r="R126" s="107"/>
      <c r="S126" s="110">
        <f t="shared" si="40"/>
        <v>-2809</v>
      </c>
      <c r="T126" s="13"/>
      <c r="U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</row>
    <row r="127" spans="1:40" ht="20.399999999999999" hidden="1">
      <c r="A127" t="str">
        <f t="shared" si="25"/>
        <v>Véhicules usagésSalaires spécialistes</v>
      </c>
      <c r="B127" s="11" t="s">
        <v>70</v>
      </c>
      <c r="C127" s="102" t="s">
        <v>43</v>
      </c>
      <c r="D127" s="81"/>
      <c r="E127" s="13"/>
      <c r="F127" s="30">
        <v>0</v>
      </c>
      <c r="G127" s="83"/>
      <c r="H127" s="13"/>
      <c r="I127" s="30"/>
      <c r="J127" s="41"/>
      <c r="K127" s="13"/>
      <c r="L127" s="33">
        <v>0</v>
      </c>
      <c r="M127" s="41"/>
      <c r="N127" s="59">
        <f t="shared" si="38"/>
        <v>0</v>
      </c>
      <c r="O127" s="41"/>
      <c r="P127" s="13"/>
      <c r="Q127" s="33">
        <v>0</v>
      </c>
      <c r="R127" s="41"/>
      <c r="S127" s="85">
        <f t="shared" si="40"/>
        <v>0</v>
      </c>
      <c r="T127" s="13"/>
      <c r="U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20.399999999999999" hidden="1">
      <c r="A128" t="str">
        <f t="shared" si="25"/>
        <v>Véhicules usagés[...]</v>
      </c>
      <c r="B128" s="11" t="s">
        <v>70</v>
      </c>
      <c r="C128" s="102" t="s">
        <v>19</v>
      </c>
      <c r="D128" s="81"/>
      <c r="E128" s="13"/>
      <c r="F128" s="30">
        <v>0</v>
      </c>
      <c r="G128" s="83"/>
      <c r="H128" s="13"/>
      <c r="I128" s="30"/>
      <c r="J128" s="41"/>
      <c r="K128" s="13"/>
      <c r="L128" s="33">
        <v>0</v>
      </c>
      <c r="M128" s="41"/>
      <c r="N128" s="59">
        <f t="shared" si="38"/>
        <v>0</v>
      </c>
      <c r="O128" s="41"/>
      <c r="P128" s="13"/>
      <c r="Q128" s="33">
        <v>0</v>
      </c>
      <c r="R128" s="41"/>
      <c r="S128" s="85">
        <f t="shared" si="40"/>
        <v>0</v>
      </c>
      <c r="T128" s="13"/>
      <c r="U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20.399999999999999" hidden="1">
      <c r="A129" t="str">
        <f t="shared" si="25"/>
        <v>Véhicules usagés[...]</v>
      </c>
      <c r="B129" s="11" t="s">
        <v>70</v>
      </c>
      <c r="C129" s="102" t="s">
        <v>19</v>
      </c>
      <c r="D129" s="81"/>
      <c r="E129" s="13"/>
      <c r="F129" s="30">
        <v>0</v>
      </c>
      <c r="G129" s="83"/>
      <c r="H129" s="13"/>
      <c r="I129" s="30"/>
      <c r="J129" s="41"/>
      <c r="K129" s="13"/>
      <c r="L129" s="33">
        <v>0</v>
      </c>
      <c r="M129" s="41"/>
      <c r="N129" s="59">
        <f t="shared" si="38"/>
        <v>0</v>
      </c>
      <c r="O129" s="41"/>
      <c r="P129" s="13"/>
      <c r="Q129" s="33">
        <v>0</v>
      </c>
      <c r="R129" s="41"/>
      <c r="S129" s="85">
        <f t="shared" si="40"/>
        <v>0</v>
      </c>
      <c r="T129" s="13"/>
      <c r="U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</row>
    <row r="130" spans="1:40" ht="20.399999999999999" hidden="1">
      <c r="A130" t="str">
        <f t="shared" si="25"/>
        <v>Véhicules usagés[...]</v>
      </c>
      <c r="B130" s="11" t="s">
        <v>70</v>
      </c>
      <c r="C130" s="102" t="s">
        <v>19</v>
      </c>
      <c r="D130" s="81"/>
      <c r="E130" s="13"/>
      <c r="F130" s="30">
        <v>0</v>
      </c>
      <c r="G130" s="83"/>
      <c r="H130" s="13"/>
      <c r="I130" s="30"/>
      <c r="J130" s="41"/>
      <c r="K130" s="13"/>
      <c r="L130" s="33">
        <v>0</v>
      </c>
      <c r="M130" s="41"/>
      <c r="N130" s="59">
        <f t="shared" si="38"/>
        <v>0</v>
      </c>
      <c r="O130" s="41"/>
      <c r="P130" s="13"/>
      <c r="Q130" s="33">
        <v>0</v>
      </c>
      <c r="R130" s="41"/>
      <c r="S130" s="85">
        <f t="shared" si="40"/>
        <v>0</v>
      </c>
      <c r="T130" s="13"/>
      <c r="U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20.399999999999999">
      <c r="A131" t="str">
        <f t="shared" si="25"/>
        <v>Véhicules usagésSalaires en absences</v>
      </c>
      <c r="B131" s="11" t="s">
        <v>70</v>
      </c>
      <c r="C131" s="103" t="s">
        <v>44</v>
      </c>
      <c r="D131" s="81"/>
      <c r="E131" s="13"/>
      <c r="F131" s="30">
        <v>3958.9516920573469</v>
      </c>
      <c r="G131" s="83"/>
      <c r="H131" s="13"/>
      <c r="I131" s="30"/>
      <c r="J131" s="41"/>
      <c r="K131" s="13"/>
      <c r="L131" s="33">
        <v>3983.91</v>
      </c>
      <c r="M131" s="41"/>
      <c r="N131" s="59">
        <f t="shared" si="38"/>
        <v>24.958307942652937</v>
      </c>
      <c r="O131" s="41"/>
      <c r="P131" s="13"/>
      <c r="Q131" s="33">
        <v>2624.04</v>
      </c>
      <c r="R131" s="41"/>
      <c r="S131" s="85">
        <f t="shared" si="40"/>
        <v>1359.87</v>
      </c>
      <c r="T131" s="13"/>
      <c r="U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20.399999999999999">
      <c r="A132" t="str">
        <f t="shared" si="25"/>
        <v>Véhicules usagésDéduction à la source</v>
      </c>
      <c r="B132" s="11" t="s">
        <v>70</v>
      </c>
      <c r="C132" s="102" t="s">
        <v>45</v>
      </c>
      <c r="D132" s="104"/>
      <c r="E132" s="105"/>
      <c r="F132" s="54">
        <v>3432.3246723905318</v>
      </c>
      <c r="G132" s="106"/>
      <c r="H132" s="105"/>
      <c r="I132" s="54"/>
      <c r="J132" s="107"/>
      <c r="K132" s="105"/>
      <c r="L132" s="55">
        <v>3005.51</v>
      </c>
      <c r="M132" s="107"/>
      <c r="N132" s="109">
        <f t="shared" si="38"/>
        <v>-426.81467239053154</v>
      </c>
      <c r="O132" s="107"/>
      <c r="P132" s="105"/>
      <c r="Q132" s="55">
        <v>2138.27</v>
      </c>
      <c r="R132" s="107"/>
      <c r="S132" s="110">
        <f t="shared" si="40"/>
        <v>867.24000000000024</v>
      </c>
      <c r="T132" s="13"/>
      <c r="U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20.399999999999999">
      <c r="A133" t="str">
        <f t="shared" si="25"/>
        <v>Véhicules usagésBénéfices marginaux</v>
      </c>
      <c r="B133" s="11" t="s">
        <v>70</v>
      </c>
      <c r="C133" s="102" t="s">
        <v>46</v>
      </c>
      <c r="D133" s="81"/>
      <c r="E133" s="13"/>
      <c r="F133" s="30">
        <v>2502.7367402847622</v>
      </c>
      <c r="G133" s="83"/>
      <c r="H133" s="13"/>
      <c r="I133" s="30"/>
      <c r="J133" s="41"/>
      <c r="K133" s="13"/>
      <c r="L133" s="33">
        <v>980.6</v>
      </c>
      <c r="M133" s="41"/>
      <c r="N133" s="59">
        <f t="shared" si="38"/>
        <v>-1522.1367402847623</v>
      </c>
      <c r="O133" s="41"/>
      <c r="P133" s="13"/>
      <c r="Q133" s="33">
        <v>1747.32</v>
      </c>
      <c r="R133" s="41"/>
      <c r="S133" s="85">
        <f t="shared" si="40"/>
        <v>-766.71999999999991</v>
      </c>
      <c r="T133" s="13"/>
      <c r="U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20.399999999999999">
      <c r="A134" t="str">
        <f t="shared" si="25"/>
        <v>Véhicules usagésCsst</v>
      </c>
      <c r="B134" s="11" t="s">
        <v>70</v>
      </c>
      <c r="C134" s="102" t="s">
        <v>47</v>
      </c>
      <c r="D134" s="81"/>
      <c r="E134" s="13"/>
      <c r="F134" s="30">
        <v>700.76628727973355</v>
      </c>
      <c r="G134" s="83"/>
      <c r="H134" s="13"/>
      <c r="I134" s="30"/>
      <c r="J134" s="41"/>
      <c r="K134" s="13"/>
      <c r="L134" s="33">
        <v>487.1</v>
      </c>
      <c r="M134" s="41"/>
      <c r="N134" s="59">
        <f t="shared" si="38"/>
        <v>-213.66628727973352</v>
      </c>
      <c r="O134" s="41"/>
      <c r="P134" s="13"/>
      <c r="Q134" s="33">
        <v>96.94</v>
      </c>
      <c r="R134" s="41"/>
      <c r="S134" s="85">
        <f t="shared" si="40"/>
        <v>390.16</v>
      </c>
      <c r="T134" s="13"/>
      <c r="U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</row>
    <row r="135" spans="1:40" ht="20.399999999999999" hidden="1">
      <c r="A135" t="str">
        <f t="shared" si="25"/>
        <v>Véhicules usagés[...]</v>
      </c>
      <c r="B135" s="11" t="s">
        <v>70</v>
      </c>
      <c r="C135" s="29" t="s">
        <v>19</v>
      </c>
      <c r="D135" s="87"/>
      <c r="E135" s="111"/>
      <c r="F135" s="30">
        <v>0</v>
      </c>
      <c r="G135" s="89"/>
      <c r="H135" s="111"/>
      <c r="I135" s="30"/>
      <c r="J135" s="23"/>
      <c r="K135" s="111"/>
      <c r="L135" s="33">
        <v>0</v>
      </c>
      <c r="M135" s="41"/>
      <c r="N135" s="59">
        <f t="shared" si="38"/>
        <v>0</v>
      </c>
      <c r="O135" s="23"/>
      <c r="P135" s="111"/>
      <c r="Q135" s="33">
        <v>0</v>
      </c>
      <c r="R135" s="23"/>
      <c r="S135" s="92">
        <f t="shared" si="40"/>
        <v>0</v>
      </c>
      <c r="T135" s="13"/>
      <c r="U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21">
      <c r="A136" t="str">
        <f t="shared" si="25"/>
        <v>Véhicules usagésTOTAL PERSONNEL</v>
      </c>
      <c r="B136" s="11" t="s">
        <v>70</v>
      </c>
      <c r="C136" s="93" t="s">
        <v>48</v>
      </c>
      <c r="D136" s="94" t="s">
        <v>38</v>
      </c>
      <c r="E136" s="95">
        <f>F136/F$109</f>
        <v>0.26789878112457077</v>
      </c>
      <c r="F136" s="96">
        <f>+SUM(F124:F135)</f>
        <v>18531.675035690536</v>
      </c>
      <c r="G136" s="97"/>
      <c r="H136" s="95"/>
      <c r="I136" s="96"/>
      <c r="J136" s="97" t="s">
        <v>38</v>
      </c>
      <c r="K136" s="95">
        <f>L136/L$109</f>
        <v>0.15677586963770393</v>
      </c>
      <c r="L136" s="96">
        <f>SUM(L124:L135)</f>
        <v>16992.3</v>
      </c>
      <c r="M136" s="458"/>
      <c r="N136" s="459">
        <f t="shared" si="38"/>
        <v>-1539.3750356905366</v>
      </c>
      <c r="O136" s="97" t="s">
        <v>38</v>
      </c>
      <c r="P136" s="95">
        <f>Q136/Q$109</f>
        <v>0.3469295794832648</v>
      </c>
      <c r="Q136" s="96">
        <f>+SUM(Q124:Q135)</f>
        <v>15105.81</v>
      </c>
      <c r="R136" s="146"/>
      <c r="S136" s="114">
        <f t="shared" si="40"/>
        <v>1886.4899999999998</v>
      </c>
      <c r="T136" s="13"/>
      <c r="U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20.399999999999999" hidden="1">
      <c r="A137" t="str">
        <f t="shared" si="25"/>
        <v>Véhicules usagésPublicité 2</v>
      </c>
      <c r="B137" s="11" t="s">
        <v>70</v>
      </c>
      <c r="C137" s="29" t="s">
        <v>49</v>
      </c>
      <c r="D137" s="81"/>
      <c r="E137" s="13"/>
      <c r="F137" s="30">
        <v>0</v>
      </c>
      <c r="G137" s="83"/>
      <c r="H137" s="13"/>
      <c r="I137" s="30"/>
      <c r="J137" s="41"/>
      <c r="K137" s="13"/>
      <c r="L137" s="33">
        <v>0</v>
      </c>
      <c r="M137" s="41"/>
      <c r="N137" s="59">
        <f t="shared" si="38"/>
        <v>0</v>
      </c>
      <c r="O137" s="41"/>
      <c r="P137" s="13"/>
      <c r="Q137" s="33">
        <v>0</v>
      </c>
      <c r="R137" s="41"/>
      <c r="S137" s="85">
        <f t="shared" si="40"/>
        <v>0</v>
      </c>
      <c r="T137" s="13"/>
      <c r="U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ht="20.399999999999999" hidden="1">
      <c r="A138" t="str">
        <f t="shared" si="25"/>
        <v>Véhicules usagésService gratuit 2</v>
      </c>
      <c r="B138" s="11" t="s">
        <v>70</v>
      </c>
      <c r="C138" s="29" t="s">
        <v>50</v>
      </c>
      <c r="D138" s="81"/>
      <c r="E138" s="13"/>
      <c r="F138" s="30">
        <v>0</v>
      </c>
      <c r="G138" s="83"/>
      <c r="H138" s="13"/>
      <c r="I138" s="30"/>
      <c r="J138" s="41"/>
      <c r="K138" s="13"/>
      <c r="L138" s="33">
        <v>0</v>
      </c>
      <c r="M138" s="41"/>
      <c r="N138" s="59">
        <f t="shared" si="38"/>
        <v>0</v>
      </c>
      <c r="O138" s="41"/>
      <c r="P138" s="13"/>
      <c r="Q138" s="33">
        <v>0</v>
      </c>
      <c r="R138" s="41"/>
      <c r="S138" s="85">
        <f t="shared" si="40"/>
        <v>0</v>
      </c>
      <c r="T138" s="13"/>
      <c r="U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</row>
    <row r="139" spans="1:40" ht="20.399999999999999">
      <c r="A139" t="str">
        <f t="shared" si="25"/>
        <v>Véhicules usagésFrais véhicules de cie</v>
      </c>
      <c r="B139" s="11" t="s">
        <v>70</v>
      </c>
      <c r="C139" s="86" t="s">
        <v>51</v>
      </c>
      <c r="D139" s="87"/>
      <c r="E139" s="111"/>
      <c r="F139" s="22">
        <v>763.58333333333337</v>
      </c>
      <c r="G139" s="89"/>
      <c r="H139" s="111"/>
      <c r="I139" s="22"/>
      <c r="J139" s="23"/>
      <c r="K139" s="111"/>
      <c r="L139" s="22">
        <v>511.21</v>
      </c>
      <c r="M139" s="23"/>
      <c r="N139" s="91">
        <f t="shared" si="38"/>
        <v>-252.37333333333339</v>
      </c>
      <c r="O139" s="23"/>
      <c r="P139" s="111"/>
      <c r="Q139" s="22">
        <v>1170.1600000000001</v>
      </c>
      <c r="R139" s="23"/>
      <c r="S139" s="92">
        <f t="shared" si="40"/>
        <v>-658.95</v>
      </c>
      <c r="T139" s="13"/>
      <c r="U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</row>
    <row r="140" spans="1:40" ht="20.399999999999999">
      <c r="A140" t="str">
        <f t="shared" si="25"/>
        <v>Véhicules usagésInformatique</v>
      </c>
      <c r="B140" s="11" t="s">
        <v>70</v>
      </c>
      <c r="C140" s="29" t="s">
        <v>52</v>
      </c>
      <c r="D140" s="81"/>
      <c r="E140" s="13"/>
      <c r="F140" s="30">
        <v>4084.5149999999999</v>
      </c>
      <c r="G140" s="83"/>
      <c r="H140" s="13"/>
      <c r="I140" s="30"/>
      <c r="J140" s="41"/>
      <c r="K140" s="13"/>
      <c r="L140" s="33">
        <v>4230.96</v>
      </c>
      <c r="M140" s="41"/>
      <c r="N140" s="59">
        <f t="shared" si="38"/>
        <v>146.44500000000016</v>
      </c>
      <c r="O140" s="41"/>
      <c r="P140" s="13"/>
      <c r="Q140" s="33">
        <v>1293.95</v>
      </c>
      <c r="R140" s="41"/>
      <c r="S140" s="85">
        <f t="shared" si="40"/>
        <v>2937.01</v>
      </c>
      <c r="T140" s="13"/>
      <c r="U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</row>
    <row r="141" spans="1:40" ht="20.399999999999999">
      <c r="A141" t="str">
        <f t="shared" si="25"/>
        <v>Véhicules usagésFrais de déplacement</v>
      </c>
      <c r="B141" s="11" t="s">
        <v>70</v>
      </c>
      <c r="C141" s="29" t="s">
        <v>53</v>
      </c>
      <c r="D141" s="81"/>
      <c r="E141" s="13"/>
      <c r="F141" s="30">
        <v>498.75</v>
      </c>
      <c r="G141" s="83"/>
      <c r="H141" s="13"/>
      <c r="I141" s="30"/>
      <c r="J141" s="41"/>
      <c r="K141" s="13"/>
      <c r="L141" s="33">
        <v>753.67</v>
      </c>
      <c r="M141" s="41"/>
      <c r="N141" s="59">
        <f t="shared" si="38"/>
        <v>254.91999999999996</v>
      </c>
      <c r="O141" s="41"/>
      <c r="P141" s="13"/>
      <c r="Q141" s="33">
        <v>115.1</v>
      </c>
      <c r="R141" s="41"/>
      <c r="S141" s="85">
        <f t="shared" si="40"/>
        <v>638.56999999999994</v>
      </c>
      <c r="T141" s="147"/>
      <c r="U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</row>
    <row r="142" spans="1:40" ht="20.399999999999999">
      <c r="A142" t="str">
        <f t="shared" si="25"/>
        <v>Véhicules usagésServices extérieurs</v>
      </c>
      <c r="B142" s="11" t="s">
        <v>70</v>
      </c>
      <c r="C142" s="86" t="s">
        <v>54</v>
      </c>
      <c r="D142" s="87"/>
      <c r="E142" s="111"/>
      <c r="F142" s="22">
        <v>2897.8903333333333</v>
      </c>
      <c r="G142" s="89"/>
      <c r="H142" s="111"/>
      <c r="I142" s="22"/>
      <c r="J142" s="23"/>
      <c r="K142" s="111"/>
      <c r="L142" s="22">
        <v>4643.66</v>
      </c>
      <c r="M142" s="23"/>
      <c r="N142" s="91">
        <f t="shared" si="38"/>
        <v>1745.7696666666666</v>
      </c>
      <c r="O142" s="23"/>
      <c r="P142" s="111"/>
      <c r="Q142" s="22">
        <v>751.99</v>
      </c>
      <c r="R142" s="23"/>
      <c r="S142" s="92">
        <f t="shared" si="40"/>
        <v>3891.67</v>
      </c>
      <c r="T142" s="13"/>
      <c r="U142" s="13"/>
      <c r="V142" s="489" t="s">
        <v>274</v>
      </c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</row>
    <row r="143" spans="1:40" ht="20.399999999999999">
      <c r="A143" t="str">
        <f t="shared" si="25"/>
        <v>Véhicules usagésFournitures autres</v>
      </c>
      <c r="B143" s="11" t="s">
        <v>70</v>
      </c>
      <c r="C143" s="29" t="s">
        <v>55</v>
      </c>
      <c r="D143" s="81"/>
      <c r="E143" s="13"/>
      <c r="F143" s="30">
        <v>13.75</v>
      </c>
      <c r="G143" s="83"/>
      <c r="H143" s="13"/>
      <c r="I143" s="30"/>
      <c r="J143" s="41"/>
      <c r="K143" s="13"/>
      <c r="L143" s="33">
        <v>14.85</v>
      </c>
      <c r="M143" s="41"/>
      <c r="N143" s="59">
        <f t="shared" si="38"/>
        <v>1.0999999999999996</v>
      </c>
      <c r="O143" s="41"/>
      <c r="P143" s="13"/>
      <c r="Q143" s="33">
        <v>24.59</v>
      </c>
      <c r="R143" s="41"/>
      <c r="S143" s="85">
        <f t="shared" si="40"/>
        <v>-9.74</v>
      </c>
      <c r="T143" s="13"/>
      <c r="U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</row>
    <row r="144" spans="1:40" ht="20.399999999999999">
      <c r="A144" t="str">
        <f t="shared" si="25"/>
        <v>Véhicules usagésUniformes</v>
      </c>
      <c r="B144" s="11" t="s">
        <v>70</v>
      </c>
      <c r="C144" s="29" t="s">
        <v>56</v>
      </c>
      <c r="D144" s="81"/>
      <c r="E144" s="13"/>
      <c r="F144" s="30">
        <v>7.5</v>
      </c>
      <c r="G144" s="83"/>
      <c r="H144" s="13"/>
      <c r="I144" s="30"/>
      <c r="J144" s="41"/>
      <c r="K144" s="13"/>
      <c r="L144" s="33">
        <v>0</v>
      </c>
      <c r="M144" s="41"/>
      <c r="N144" s="59">
        <f t="shared" si="38"/>
        <v>-7.5</v>
      </c>
      <c r="O144" s="41"/>
      <c r="P144" s="13"/>
      <c r="Q144" s="33">
        <v>0</v>
      </c>
      <c r="R144" s="41"/>
      <c r="S144" s="85">
        <f t="shared" si="40"/>
        <v>0</v>
      </c>
      <c r="T144" s="13"/>
      <c r="U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20.399999999999999">
      <c r="A145" t="str">
        <f t="shared" si="25"/>
        <v>Véhicules usagésPapeterie</v>
      </c>
      <c r="B145" s="11" t="s">
        <v>70</v>
      </c>
      <c r="C145" s="29" t="s">
        <v>57</v>
      </c>
      <c r="D145" s="81"/>
      <c r="E145" s="13"/>
      <c r="F145" s="30">
        <v>217.5</v>
      </c>
      <c r="G145" s="83"/>
      <c r="H145" s="13"/>
      <c r="I145" s="30"/>
      <c r="J145" s="41"/>
      <c r="K145" s="13"/>
      <c r="L145" s="32">
        <v>230.61</v>
      </c>
      <c r="M145" s="41"/>
      <c r="N145" s="59">
        <f t="shared" si="38"/>
        <v>13.110000000000014</v>
      </c>
      <c r="O145" s="41"/>
      <c r="P145" s="13"/>
      <c r="Q145" s="32">
        <v>231.32</v>
      </c>
      <c r="R145" s="41"/>
      <c r="S145" s="85">
        <f t="shared" si="40"/>
        <v>-0.70999999999997954</v>
      </c>
      <c r="T145" s="13"/>
      <c r="U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20.399999999999999">
      <c r="A146" t="str">
        <f t="shared" si="25"/>
        <v>Véhicules usagésTéléphone</v>
      </c>
      <c r="B146" s="11" t="s">
        <v>70</v>
      </c>
      <c r="C146" s="29" t="s">
        <v>58</v>
      </c>
      <c r="D146" s="81"/>
      <c r="E146" s="13"/>
      <c r="F146" s="30">
        <v>63.35</v>
      </c>
      <c r="G146" s="83"/>
      <c r="H146" s="13"/>
      <c r="I146" s="30"/>
      <c r="J146" s="41"/>
      <c r="K146" s="13"/>
      <c r="L146" s="33">
        <v>75.92</v>
      </c>
      <c r="M146" s="41"/>
      <c r="N146" s="59">
        <f t="shared" si="38"/>
        <v>12.57</v>
      </c>
      <c r="O146" s="41"/>
      <c r="P146" s="13"/>
      <c r="Q146" s="33">
        <v>74.739999999999995</v>
      </c>
      <c r="R146" s="41"/>
      <c r="S146" s="85">
        <f t="shared" si="40"/>
        <v>1.1800000000000068</v>
      </c>
      <c r="T146" s="13"/>
      <c r="U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20.399999999999999">
      <c r="A147" t="str">
        <f t="shared" si="25"/>
        <v>Véhicules usagésFrais postaux</v>
      </c>
      <c r="B147" s="11" t="s">
        <v>70</v>
      </c>
      <c r="C147" s="29" t="s">
        <v>59</v>
      </c>
      <c r="D147" s="81"/>
      <c r="E147" s="13"/>
      <c r="F147" s="30">
        <v>84.999999999999986</v>
      </c>
      <c r="G147" s="83"/>
      <c r="H147" s="13"/>
      <c r="I147" s="30"/>
      <c r="J147" s="41"/>
      <c r="K147" s="13"/>
      <c r="L147" s="33">
        <v>66.95</v>
      </c>
      <c r="M147" s="41"/>
      <c r="N147" s="59">
        <f t="shared" si="38"/>
        <v>-18.049999999999983</v>
      </c>
      <c r="O147" s="41"/>
      <c r="P147" s="13"/>
      <c r="Q147" s="33">
        <v>148.72</v>
      </c>
      <c r="R147" s="41"/>
      <c r="S147" s="85">
        <f t="shared" si="40"/>
        <v>-81.77</v>
      </c>
      <c r="T147" s="13"/>
      <c r="U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</row>
    <row r="148" spans="1:40" ht="20.399999999999999">
      <c r="A148" t="str">
        <f t="shared" si="25"/>
        <v>Véhicules usagésDivers</v>
      </c>
      <c r="B148" s="11" t="s">
        <v>70</v>
      </c>
      <c r="C148" s="29" t="s">
        <v>60</v>
      </c>
      <c r="D148" s="81"/>
      <c r="E148" s="13"/>
      <c r="F148" s="30">
        <v>238.91666666666663</v>
      </c>
      <c r="G148" s="83"/>
      <c r="H148" s="13"/>
      <c r="I148" s="30"/>
      <c r="J148" s="41"/>
      <c r="K148" s="13"/>
      <c r="L148" s="33">
        <v>224.52999999999997</v>
      </c>
      <c r="M148" s="41"/>
      <c r="N148" s="59">
        <f t="shared" si="38"/>
        <v>-14.386666666666656</v>
      </c>
      <c r="O148" s="41"/>
      <c r="P148" s="13"/>
      <c r="Q148" s="33">
        <v>169.22</v>
      </c>
      <c r="R148" s="41"/>
      <c r="S148" s="85">
        <f t="shared" si="40"/>
        <v>55.309999999999974</v>
      </c>
      <c r="T148" s="13"/>
      <c r="U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20.399999999999999">
      <c r="A149" t="str">
        <f t="shared" si="25"/>
        <v>Véhicules usagésFormation</v>
      </c>
      <c r="B149" s="11" t="s">
        <v>70</v>
      </c>
      <c r="C149" s="29" t="s">
        <v>61</v>
      </c>
      <c r="D149" s="81"/>
      <c r="E149" s="13"/>
      <c r="F149" s="30">
        <v>114.34800000000004</v>
      </c>
      <c r="G149" s="83"/>
      <c r="H149" s="13"/>
      <c r="I149" s="30"/>
      <c r="J149" s="41"/>
      <c r="K149" s="13"/>
      <c r="L149" s="59">
        <v>-219.13</v>
      </c>
      <c r="M149" s="41"/>
      <c r="N149" s="59">
        <f t="shared" si="38"/>
        <v>-333.47800000000007</v>
      </c>
      <c r="O149" s="41"/>
      <c r="P149" s="13"/>
      <c r="Q149" s="33">
        <v>-33.74</v>
      </c>
      <c r="R149" s="41"/>
      <c r="S149" s="85">
        <f t="shared" si="40"/>
        <v>-185.39</v>
      </c>
      <c r="T149" s="13"/>
      <c r="U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</row>
    <row r="150" spans="1:40" ht="20.399999999999999">
      <c r="A150" t="str">
        <f t="shared" si="25"/>
        <v>Véhicules usagésFrais bancaires</v>
      </c>
      <c r="B150" s="11" t="s">
        <v>70</v>
      </c>
      <c r="C150" s="29" t="s">
        <v>62</v>
      </c>
      <c r="D150" s="81"/>
      <c r="E150" s="13"/>
      <c r="F150" s="30">
        <v>1434.3294685962078</v>
      </c>
      <c r="G150" s="83"/>
      <c r="H150" s="13"/>
      <c r="I150" s="30"/>
      <c r="J150" s="41"/>
      <c r="K150" s="13"/>
      <c r="L150" s="33">
        <v>1044.3399999999999</v>
      </c>
      <c r="M150" s="41"/>
      <c r="N150" s="59">
        <f t="shared" si="38"/>
        <v>-389.98946859620787</v>
      </c>
      <c r="O150" s="41"/>
      <c r="P150" s="13"/>
      <c r="Q150" s="33">
        <v>338.31</v>
      </c>
      <c r="R150" s="41"/>
      <c r="S150" s="85">
        <f t="shared" si="40"/>
        <v>706.03</v>
      </c>
      <c r="T150" s="82"/>
      <c r="U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</row>
    <row r="151" spans="1:40" ht="20.399999999999999" hidden="1">
      <c r="A151" t="str">
        <f t="shared" si="25"/>
        <v>Véhicules usagés[...]</v>
      </c>
      <c r="B151" s="11" t="s">
        <v>70</v>
      </c>
      <c r="C151" s="29" t="s">
        <v>19</v>
      </c>
      <c r="D151" s="81"/>
      <c r="E151" s="13"/>
      <c r="F151" s="30">
        <v>0</v>
      </c>
      <c r="G151" s="83"/>
      <c r="H151" s="13"/>
      <c r="I151" s="30"/>
      <c r="J151" s="41"/>
      <c r="K151" s="13"/>
      <c r="L151" s="33">
        <v>0</v>
      </c>
      <c r="M151" s="41"/>
      <c r="N151" s="59">
        <f t="shared" si="38"/>
        <v>0</v>
      </c>
      <c r="O151" s="41"/>
      <c r="P151" s="13"/>
      <c r="Q151" s="33">
        <v>0</v>
      </c>
      <c r="R151" s="41"/>
      <c r="S151" s="85">
        <f t="shared" si="40"/>
        <v>0</v>
      </c>
      <c r="T151" s="13"/>
      <c r="U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</row>
    <row r="152" spans="1:40" ht="20.399999999999999" hidden="1">
      <c r="A152" t="str">
        <f t="shared" si="25"/>
        <v>Véhicules usagés[...]</v>
      </c>
      <c r="B152" s="11" t="s">
        <v>70</v>
      </c>
      <c r="C152" s="29" t="s">
        <v>19</v>
      </c>
      <c r="D152" s="81"/>
      <c r="E152" s="13"/>
      <c r="F152" s="30">
        <v>0</v>
      </c>
      <c r="G152" s="83"/>
      <c r="H152" s="13"/>
      <c r="I152" s="30"/>
      <c r="J152" s="41"/>
      <c r="K152" s="13"/>
      <c r="L152" s="33">
        <v>0</v>
      </c>
      <c r="M152" s="41"/>
      <c r="N152" s="59">
        <f t="shared" si="38"/>
        <v>0</v>
      </c>
      <c r="O152" s="41"/>
      <c r="P152" s="13"/>
      <c r="Q152" s="33">
        <v>0</v>
      </c>
      <c r="R152" s="41"/>
      <c r="S152" s="85">
        <f t="shared" si="40"/>
        <v>0</v>
      </c>
      <c r="T152" s="13"/>
      <c r="U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20.399999999999999" hidden="1">
      <c r="A153" t="str">
        <f t="shared" si="25"/>
        <v>Véhicules usagés[...]</v>
      </c>
      <c r="B153" s="11" t="s">
        <v>70</v>
      </c>
      <c r="C153" s="29" t="s">
        <v>19</v>
      </c>
      <c r="D153" s="81"/>
      <c r="E153" s="13"/>
      <c r="F153" s="30">
        <v>0</v>
      </c>
      <c r="G153" s="83"/>
      <c r="H153" s="13"/>
      <c r="I153" s="30"/>
      <c r="J153" s="41"/>
      <c r="K153" s="13"/>
      <c r="L153" s="33">
        <v>0</v>
      </c>
      <c r="M153" s="41"/>
      <c r="N153" s="59">
        <f t="shared" si="38"/>
        <v>0</v>
      </c>
      <c r="O153" s="41"/>
      <c r="P153" s="13"/>
      <c r="Q153" s="33">
        <v>0</v>
      </c>
      <c r="R153" s="41"/>
      <c r="S153" s="85">
        <f t="shared" si="40"/>
        <v>0</v>
      </c>
      <c r="T153" s="82"/>
      <c r="U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21">
      <c r="A154" t="str">
        <f t="shared" si="25"/>
        <v>Véhicules usagésTOTAL SEMI-FIXES</v>
      </c>
      <c r="B154" s="11" t="s">
        <v>70</v>
      </c>
      <c r="C154" s="93" t="s">
        <v>63</v>
      </c>
      <c r="D154" s="94" t="s">
        <v>38</v>
      </c>
      <c r="E154" s="95">
        <f>F154/F$109</f>
        <v>0.15062606819245267</v>
      </c>
      <c r="F154" s="96">
        <f>+SUM(F137:F153)</f>
        <v>10419.432801929541</v>
      </c>
      <c r="G154" s="97"/>
      <c r="H154" s="95"/>
      <c r="I154" s="96"/>
      <c r="J154" s="97" t="s">
        <v>38</v>
      </c>
      <c r="K154" s="95">
        <f>L154/L$109</f>
        <v>0.10681800609931512</v>
      </c>
      <c r="L154" s="96">
        <f>+SUM(L137:L153)</f>
        <v>11577.570000000003</v>
      </c>
      <c r="M154" s="100"/>
      <c r="N154" s="96">
        <f t="shared" si="38"/>
        <v>1158.1371980704625</v>
      </c>
      <c r="O154" s="97" t="s">
        <v>38</v>
      </c>
      <c r="P154" s="95">
        <f>Q154/Q$109</f>
        <v>9.8397319518444909E-2</v>
      </c>
      <c r="Q154" s="96">
        <f>+SUM(Q137:Q153)</f>
        <v>4284.3599999999997</v>
      </c>
      <c r="R154" s="100"/>
      <c r="S154" s="101">
        <f t="shared" si="40"/>
        <v>7293.2100000000037</v>
      </c>
      <c r="T154" s="112"/>
      <c r="U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</row>
    <row r="155" spans="1:40" ht="21">
      <c r="A155" t="str">
        <f t="shared" si="25"/>
        <v>Véhicules usagés</v>
      </c>
      <c r="B155" s="11" t="s">
        <v>70</v>
      </c>
      <c r="C155" s="86"/>
      <c r="D155" s="87"/>
      <c r="E155" s="111"/>
      <c r="F155" s="59"/>
      <c r="G155" s="89"/>
      <c r="H155" s="111"/>
      <c r="I155" s="59"/>
      <c r="J155" s="23"/>
      <c r="K155" s="111"/>
      <c r="L155" s="91"/>
      <c r="M155" s="23"/>
      <c r="N155" s="91"/>
      <c r="O155" s="23"/>
      <c r="P155" s="111"/>
      <c r="Q155" s="91"/>
      <c r="R155" s="23"/>
      <c r="S155" s="92"/>
      <c r="T155" s="112"/>
      <c r="U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</row>
    <row r="156" spans="1:40" ht="21">
      <c r="A156" t="str">
        <f t="shared" si="25"/>
        <v>Véhicules usagésTOTAL DES DÉPENSES</v>
      </c>
      <c r="B156" s="11" t="s">
        <v>70</v>
      </c>
      <c r="C156" s="93" t="s">
        <v>64</v>
      </c>
      <c r="D156" s="94" t="s">
        <v>38</v>
      </c>
      <c r="E156" s="95">
        <f>F156/F$109</f>
        <v>0.85682425516414695</v>
      </c>
      <c r="F156" s="96">
        <f>F123+F136+F154</f>
        <v>59270.104151822314</v>
      </c>
      <c r="G156" s="97"/>
      <c r="H156" s="95"/>
      <c r="I156" s="96"/>
      <c r="J156" s="97" t="s">
        <v>38</v>
      </c>
      <c r="K156" s="95">
        <f>L156/L$109</f>
        <v>0.5142640272345288</v>
      </c>
      <c r="L156" s="96">
        <f>L123+L136+L154</f>
        <v>55738.990000000005</v>
      </c>
      <c r="M156" s="100"/>
      <c r="N156" s="113">
        <f t="shared" ref="N156:N163" si="42">L156-F156</f>
        <v>-3531.1141518223085</v>
      </c>
      <c r="O156" s="97" t="s">
        <v>38</v>
      </c>
      <c r="P156" s="95">
        <f>Q156/Q$109</f>
        <v>0.87948282819374624</v>
      </c>
      <c r="Q156" s="96">
        <f>Q123+Q136+Q154</f>
        <v>38293.94</v>
      </c>
      <c r="R156" s="100"/>
      <c r="S156" s="114">
        <f t="shared" ref="S156:S163" si="43">L156-Q156</f>
        <v>17445.050000000003</v>
      </c>
      <c r="T156" s="112"/>
      <c r="U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ht="21">
      <c r="A157" t="str">
        <f t="shared" si="25"/>
        <v>Véhicules usagésRBSC used</v>
      </c>
      <c r="B157" s="11" t="s">
        <v>70</v>
      </c>
      <c r="C157" s="29" t="s">
        <v>217</v>
      </c>
      <c r="D157" s="148"/>
      <c r="E157" s="149"/>
      <c r="F157" s="30">
        <v>3750</v>
      </c>
      <c r="G157" s="150"/>
      <c r="H157" s="149"/>
      <c r="I157" s="30"/>
      <c r="J157" s="150"/>
      <c r="K157" s="149"/>
      <c r="L157" s="32">
        <v>2250</v>
      </c>
      <c r="M157" s="41"/>
      <c r="N157" s="59">
        <f t="shared" si="42"/>
        <v>-1500</v>
      </c>
      <c r="O157" s="150"/>
      <c r="P157" s="149"/>
      <c r="Q157" s="33">
        <v>0</v>
      </c>
      <c r="R157" s="41"/>
      <c r="S157" s="85">
        <f t="shared" si="43"/>
        <v>2250</v>
      </c>
      <c r="T157" s="112"/>
      <c r="U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</row>
    <row r="158" spans="1:40" ht="21">
      <c r="A158" t="str">
        <f t="shared" si="25"/>
        <v>Véhicules usagésProgramme 360</v>
      </c>
      <c r="B158" s="11" t="s">
        <v>70</v>
      </c>
      <c r="C158" s="29" t="s">
        <v>218</v>
      </c>
      <c r="D158" s="148"/>
      <c r="E158" s="149"/>
      <c r="F158" s="30">
        <v>0</v>
      </c>
      <c r="G158" s="150"/>
      <c r="H158" s="149"/>
      <c r="I158" s="30"/>
      <c r="J158" s="150"/>
      <c r="K158" s="149"/>
      <c r="L158" s="33">
        <v>0</v>
      </c>
      <c r="M158" s="41"/>
      <c r="N158" s="59">
        <f t="shared" si="42"/>
        <v>0</v>
      </c>
      <c r="O158" s="150"/>
      <c r="P158" s="149"/>
      <c r="Q158" s="33">
        <v>100</v>
      </c>
      <c r="R158" s="41"/>
      <c r="S158" s="85">
        <f t="shared" si="43"/>
        <v>-100</v>
      </c>
      <c r="T158" s="112"/>
      <c r="U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21" hidden="1">
      <c r="A159" t="str">
        <f t="shared" si="25"/>
        <v>Véhicules usagésProgramme used 3</v>
      </c>
      <c r="B159" s="11" t="s">
        <v>70</v>
      </c>
      <c r="C159" s="29" t="s">
        <v>77</v>
      </c>
      <c r="D159" s="81"/>
      <c r="E159" s="13"/>
      <c r="F159" s="30">
        <v>0</v>
      </c>
      <c r="G159" s="83"/>
      <c r="H159" s="13"/>
      <c r="I159" s="30"/>
      <c r="J159" s="41"/>
      <c r="K159" s="13"/>
      <c r="L159" s="33">
        <v>0</v>
      </c>
      <c r="M159" s="41"/>
      <c r="N159" s="59">
        <f t="shared" si="42"/>
        <v>0</v>
      </c>
      <c r="O159" s="41"/>
      <c r="P159" s="13"/>
      <c r="Q159" s="33">
        <v>0</v>
      </c>
      <c r="R159" s="41"/>
      <c r="S159" s="85">
        <f t="shared" si="43"/>
        <v>0</v>
      </c>
      <c r="T159" s="112"/>
      <c r="U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</row>
    <row r="160" spans="1:40" ht="21" hidden="1">
      <c r="A160" t="str">
        <f t="shared" si="25"/>
        <v>Véhicules usagés[...]</v>
      </c>
      <c r="B160" s="11" t="s">
        <v>70</v>
      </c>
      <c r="C160" s="29" t="s">
        <v>19</v>
      </c>
      <c r="D160" s="81"/>
      <c r="E160" s="13"/>
      <c r="F160" s="30">
        <v>0</v>
      </c>
      <c r="G160" s="83"/>
      <c r="H160" s="13"/>
      <c r="I160" s="30"/>
      <c r="J160" s="41"/>
      <c r="K160" s="13"/>
      <c r="L160" s="32">
        <v>0</v>
      </c>
      <c r="M160" s="41"/>
      <c r="N160" s="59">
        <f t="shared" si="42"/>
        <v>0</v>
      </c>
      <c r="O160" s="41"/>
      <c r="P160" s="13"/>
      <c r="Q160" s="33">
        <v>0</v>
      </c>
      <c r="R160" s="41"/>
      <c r="S160" s="85">
        <f t="shared" si="43"/>
        <v>0</v>
      </c>
      <c r="T160" s="112"/>
      <c r="U160" s="13"/>
      <c r="V160" s="489">
        <f>L160/595</f>
        <v>0</v>
      </c>
      <c r="W160" s="483">
        <f>V160/J97</f>
        <v>0</v>
      </c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21" hidden="1">
      <c r="A161" t="str">
        <f t="shared" si="25"/>
        <v>Véhicules usagés[...]</v>
      </c>
      <c r="B161" s="11" t="s">
        <v>70</v>
      </c>
      <c r="C161" s="29" t="s">
        <v>19</v>
      </c>
      <c r="D161" s="81"/>
      <c r="E161" s="13"/>
      <c r="F161" s="30">
        <v>0</v>
      </c>
      <c r="G161" s="83"/>
      <c r="H161" s="13"/>
      <c r="I161" s="30"/>
      <c r="J161" s="41"/>
      <c r="K161" s="13"/>
      <c r="L161" s="32">
        <v>0</v>
      </c>
      <c r="M161" s="41"/>
      <c r="N161" s="59">
        <f t="shared" si="42"/>
        <v>0</v>
      </c>
      <c r="O161" s="41"/>
      <c r="P161" s="13"/>
      <c r="Q161" s="33">
        <v>0</v>
      </c>
      <c r="R161" s="41"/>
      <c r="S161" s="85">
        <f t="shared" si="43"/>
        <v>0</v>
      </c>
      <c r="T161" s="112"/>
      <c r="U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</row>
    <row r="162" spans="1:40" ht="21" hidden="1">
      <c r="A162" t="str">
        <f t="shared" si="25"/>
        <v>Véhicules usagés[...]</v>
      </c>
      <c r="B162" s="11" t="s">
        <v>70</v>
      </c>
      <c r="C162" s="29" t="s">
        <v>19</v>
      </c>
      <c r="D162" s="81"/>
      <c r="E162" s="13"/>
      <c r="F162" s="30">
        <v>0</v>
      </c>
      <c r="G162" s="83"/>
      <c r="H162" s="13"/>
      <c r="I162" s="30"/>
      <c r="J162" s="41"/>
      <c r="K162" s="13"/>
      <c r="L162" s="32">
        <v>0</v>
      </c>
      <c r="M162" s="41"/>
      <c r="N162" s="59">
        <f t="shared" si="42"/>
        <v>0</v>
      </c>
      <c r="O162" s="41"/>
      <c r="P162" s="13"/>
      <c r="Q162" s="33">
        <v>0</v>
      </c>
      <c r="R162" s="41"/>
      <c r="S162" s="85">
        <f t="shared" si="43"/>
        <v>0</v>
      </c>
      <c r="T162" s="112"/>
      <c r="U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21">
      <c r="A163" t="str">
        <f t="shared" si="25"/>
        <v>Véhicules usagésFrais administration</v>
      </c>
      <c r="B163" s="11" t="s">
        <v>70</v>
      </c>
      <c r="C163" s="86" t="s">
        <v>67</v>
      </c>
      <c r="D163" s="87"/>
      <c r="E163" s="111"/>
      <c r="F163" s="30">
        <v>8092</v>
      </c>
      <c r="G163" s="83"/>
      <c r="H163" s="13"/>
      <c r="I163" s="30"/>
      <c r="J163" s="41"/>
      <c r="K163" s="13"/>
      <c r="L163" s="32">
        <v>6545</v>
      </c>
      <c r="M163" s="41"/>
      <c r="N163" s="59">
        <f t="shared" si="42"/>
        <v>-1547</v>
      </c>
      <c r="O163" s="41"/>
      <c r="P163" s="13"/>
      <c r="Q163" s="33">
        <v>0</v>
      </c>
      <c r="R163" s="41"/>
      <c r="S163" s="85">
        <f t="shared" si="43"/>
        <v>6545</v>
      </c>
      <c r="T163" s="112"/>
      <c r="U163" s="13"/>
      <c r="V163" s="489">
        <f>L163/595</f>
        <v>11</v>
      </c>
      <c r="W163" s="483">
        <f>V163/J97</f>
        <v>0.7857142857142857</v>
      </c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</row>
    <row r="164" spans="1:40" ht="21">
      <c r="B164" s="11"/>
      <c r="C164" s="93" t="s">
        <v>68</v>
      </c>
      <c r="D164" s="94"/>
      <c r="E164" s="95"/>
      <c r="F164" s="96">
        <f>+SUM(F157:F163)</f>
        <v>11842</v>
      </c>
      <c r="G164" s="97"/>
      <c r="H164" s="95"/>
      <c r="I164" s="96"/>
      <c r="J164" s="97"/>
      <c r="K164" s="95"/>
      <c r="L164" s="96">
        <f>+SUM(L157:L163)</f>
        <v>8795</v>
      </c>
      <c r="M164" s="100"/>
      <c r="N164" s="96">
        <f>SUM(N157:N160)</f>
        <v>-1500</v>
      </c>
      <c r="O164" s="97"/>
      <c r="P164" s="95"/>
      <c r="Q164" s="96">
        <f>+SUM(Q157:Q163)</f>
        <v>100</v>
      </c>
      <c r="R164" s="100"/>
      <c r="S164" s="101">
        <f>+SUM(S157:S163)</f>
        <v>8695</v>
      </c>
      <c r="T164" s="112"/>
      <c r="U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21">
      <c r="B165" s="11"/>
      <c r="C165" s="29"/>
      <c r="D165" s="81"/>
      <c r="E165" s="13"/>
      <c r="F165" s="59"/>
      <c r="G165" s="83"/>
      <c r="H165" s="13"/>
      <c r="I165" s="59"/>
      <c r="J165" s="41"/>
      <c r="K165" s="13"/>
      <c r="L165" s="59"/>
      <c r="M165" s="41"/>
      <c r="N165" s="59"/>
      <c r="O165" s="41"/>
      <c r="P165" s="13"/>
      <c r="Q165" s="59"/>
      <c r="R165" s="41"/>
      <c r="S165" s="85"/>
      <c r="T165" s="149"/>
      <c r="U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</row>
    <row r="166" spans="1:40" ht="21.6" thickBot="1">
      <c r="B166" s="11"/>
      <c r="C166" s="124" t="s">
        <v>69</v>
      </c>
      <c r="D166" s="151"/>
      <c r="E166" s="125"/>
      <c r="F166" s="127">
        <f>F109-F156+F164</f>
        <v>21746.062889547895</v>
      </c>
      <c r="G166" s="152"/>
      <c r="H166" s="125"/>
      <c r="I166" s="127"/>
      <c r="J166" s="153"/>
      <c r="K166" s="126"/>
      <c r="L166" s="127">
        <f>L109-L156+L164</f>
        <v>61441.95</v>
      </c>
      <c r="M166" s="153"/>
      <c r="N166" s="127">
        <f>L166-F166</f>
        <v>39695.887110452102</v>
      </c>
      <c r="O166" s="153"/>
      <c r="P166" s="126"/>
      <c r="Q166" s="127">
        <f>Q109-Q156+Q164</f>
        <v>5347.4899999999689</v>
      </c>
      <c r="R166" s="153"/>
      <c r="S166" s="129">
        <f>L166-Q166</f>
        <v>56094.460000000028</v>
      </c>
      <c r="T166" s="82"/>
      <c r="U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</row>
    <row r="167" spans="1:40" ht="21" thickTop="1">
      <c r="B167" s="11"/>
      <c r="C167" s="10"/>
      <c r="D167" s="10"/>
      <c r="E167" s="10"/>
      <c r="F167" s="10"/>
      <c r="G167" s="10"/>
      <c r="H167" s="10"/>
      <c r="I167" s="10"/>
      <c r="J167" s="10"/>
      <c r="K167" s="10"/>
      <c r="L167" s="154"/>
      <c r="M167" s="10"/>
      <c r="N167" s="10"/>
      <c r="O167" s="10"/>
      <c r="P167" s="10"/>
      <c r="Q167" s="10"/>
      <c r="R167" s="10"/>
      <c r="S167" s="10"/>
      <c r="T167" s="154"/>
      <c r="U167" s="10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</row>
    <row r="168" spans="1:40" ht="20.399999999999999">
      <c r="B168" s="11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54"/>
      <c r="U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spans="1:40" ht="35.4">
      <c r="B169" s="11"/>
      <c r="C169" s="6" t="str">
        <f>C1</f>
        <v>BMW Sherbrooke</v>
      </c>
      <c r="D169" s="2"/>
      <c r="E169" s="2"/>
      <c r="F169" s="2"/>
      <c r="G169" s="2"/>
      <c r="H169" s="1"/>
      <c r="I169" s="1"/>
      <c r="J169" s="1"/>
      <c r="K169" s="3" t="s">
        <v>78</v>
      </c>
      <c r="L169" s="2"/>
      <c r="M169" s="2"/>
      <c r="N169" s="1"/>
      <c r="O169" s="1"/>
      <c r="P169" s="2"/>
      <c r="Q169" s="1"/>
      <c r="R169" s="2"/>
      <c r="S169" s="5" t="str">
        <f>$S$1</f>
        <v>Réalisé, Septembre 2026</v>
      </c>
      <c r="T169" s="2"/>
      <c r="U169" s="6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spans="1:40" ht="36" thickBot="1">
      <c r="B170" s="11"/>
      <c r="C170" s="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</row>
    <row r="171" spans="1:40" ht="21.6" thickTop="1">
      <c r="B171" s="11"/>
      <c r="C171" s="12"/>
      <c r="D171" s="506" t="s">
        <v>5</v>
      </c>
      <c r="E171" s="507"/>
      <c r="F171" s="508"/>
      <c r="G171" s="509"/>
      <c r="H171" s="507"/>
      <c r="I171" s="508"/>
      <c r="J171" s="509" t="s">
        <v>7</v>
      </c>
      <c r="K171" s="507"/>
      <c r="L171" s="508"/>
      <c r="M171" s="509" t="s">
        <v>212</v>
      </c>
      <c r="N171" s="508"/>
      <c r="O171" s="506" t="s">
        <v>8</v>
      </c>
      <c r="P171" s="507"/>
      <c r="Q171" s="508"/>
      <c r="R171" s="504" t="s">
        <v>213</v>
      </c>
      <c r="S171" s="505"/>
      <c r="T171" s="148"/>
      <c r="U171" s="13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spans="1:40" ht="20.399999999999999">
      <c r="A172" t="str">
        <f t="shared" ref="A172:A229" si="44">+B172&amp;C172</f>
        <v>Service</v>
      </c>
      <c r="B172" s="11" t="s">
        <v>78</v>
      </c>
      <c r="C172" s="29"/>
      <c r="D172" s="80" t="s">
        <v>39</v>
      </c>
      <c r="E172" s="80" t="s">
        <v>79</v>
      </c>
      <c r="F172" s="134" t="s">
        <v>12</v>
      </c>
      <c r="G172" s="135"/>
      <c r="H172" s="80"/>
      <c r="I172" s="134"/>
      <c r="J172" s="135" t="s">
        <v>39</v>
      </c>
      <c r="K172" s="80" t="s">
        <v>79</v>
      </c>
      <c r="L172" s="134" t="s">
        <v>12</v>
      </c>
      <c r="M172" s="135" t="s">
        <v>219</v>
      </c>
      <c r="N172" s="134" t="s">
        <v>216</v>
      </c>
      <c r="O172" s="80" t="s">
        <v>39</v>
      </c>
      <c r="P172" s="80" t="s">
        <v>79</v>
      </c>
      <c r="Q172" s="134" t="s">
        <v>12</v>
      </c>
      <c r="R172" s="135" t="s">
        <v>80</v>
      </c>
      <c r="S172" s="136" t="s">
        <v>12</v>
      </c>
      <c r="T172" s="80"/>
      <c r="U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</row>
    <row r="173" spans="1:40" ht="20.399999999999999">
      <c r="A173" t="str">
        <f t="shared" si="44"/>
        <v>ServiceM/O Client</v>
      </c>
      <c r="B173" s="11" t="s">
        <v>78</v>
      </c>
      <c r="C173" s="29" t="s">
        <v>81</v>
      </c>
      <c r="D173" s="485">
        <v>128.9872936878476</v>
      </c>
      <c r="E173" s="82">
        <v>45790.489259185902</v>
      </c>
      <c r="F173" s="82">
        <v>36174.486514756863</v>
      </c>
      <c r="G173" s="155"/>
      <c r="H173" s="82"/>
      <c r="I173" s="82"/>
      <c r="J173" s="60">
        <v>132</v>
      </c>
      <c r="K173" s="30">
        <v>50732.19</v>
      </c>
      <c r="L173" s="33">
        <v>39309.230000000003</v>
      </c>
      <c r="M173" s="156">
        <f>(K173-E173)/E173</f>
        <v>0.10791980650922525</v>
      </c>
      <c r="N173" s="59">
        <f>L173-F173</f>
        <v>3134.7434852431397</v>
      </c>
      <c r="O173" s="60">
        <v>106</v>
      </c>
      <c r="P173" s="30">
        <v>39247.96</v>
      </c>
      <c r="Q173" s="33">
        <v>31146.079999999994</v>
      </c>
      <c r="R173" s="156">
        <f>IF(O173=0,0,J173/O173)</f>
        <v>1.2452830188679245</v>
      </c>
      <c r="S173" s="85">
        <f>L173-Q173</f>
        <v>8163.1500000000087</v>
      </c>
      <c r="T173" s="82"/>
      <c r="U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</row>
    <row r="174" spans="1:40" ht="20.399999999999999">
      <c r="A174" t="str">
        <f t="shared" si="44"/>
        <v>Service% profit / ventes</v>
      </c>
      <c r="B174" s="11" t="s">
        <v>78</v>
      </c>
      <c r="C174" s="29" t="s">
        <v>82</v>
      </c>
      <c r="D174" s="485"/>
      <c r="E174" s="143"/>
      <c r="F174" s="157">
        <f>F173/E173</f>
        <v>0.79</v>
      </c>
      <c r="G174" s="41"/>
      <c r="H174" s="143"/>
      <c r="I174" s="157"/>
      <c r="J174" s="60"/>
      <c r="K174" s="13"/>
      <c r="L174" s="157">
        <f>IF(L173=0,0,L173/K173)</f>
        <v>0.77483802690165748</v>
      </c>
      <c r="M174" s="156"/>
      <c r="N174" s="59"/>
      <c r="O174" s="60"/>
      <c r="P174" s="13"/>
      <c r="Q174" s="157">
        <f>Q173/P173</f>
        <v>0.79357194615974935</v>
      </c>
      <c r="R174" s="60"/>
      <c r="S174" s="85"/>
      <c r="T174" s="82"/>
      <c r="U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</row>
    <row r="175" spans="1:40" ht="20.399999999999999">
      <c r="A175" t="str">
        <f t="shared" si="44"/>
        <v>Service</v>
      </c>
      <c r="B175" s="11" t="s">
        <v>78</v>
      </c>
      <c r="C175" s="86"/>
      <c r="D175" s="486"/>
      <c r="E175" s="158">
        <f>IFERROR(E173/D173,0)</f>
        <v>355.00000000000006</v>
      </c>
      <c r="F175" s="159"/>
      <c r="G175" s="23"/>
      <c r="H175" s="158"/>
      <c r="I175" s="159"/>
      <c r="J175" s="160"/>
      <c r="K175" s="460">
        <f>IFERROR(K173/J173,0)</f>
        <v>384.33477272727276</v>
      </c>
      <c r="L175" s="159"/>
      <c r="M175" s="161"/>
      <c r="N175" s="91"/>
      <c r="O175" s="160"/>
      <c r="P175" s="460">
        <f>IFERROR(P173/O173,0)</f>
        <v>370.26377358490566</v>
      </c>
      <c r="Q175" s="159"/>
      <c r="R175" s="160"/>
      <c r="S175" s="92"/>
      <c r="T175" s="82"/>
      <c r="U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</row>
    <row r="176" spans="1:40" ht="20.399999999999999">
      <c r="A176" t="str">
        <f t="shared" si="44"/>
        <v>ServiceM/O Garantie</v>
      </c>
      <c r="B176" s="11" t="s">
        <v>78</v>
      </c>
      <c r="C176" s="14" t="s">
        <v>83</v>
      </c>
      <c r="D176" s="487">
        <v>230.90603514551307</v>
      </c>
      <c r="E176" s="82">
        <v>43872.146677647484</v>
      </c>
      <c r="F176" s="82">
        <v>29131.105393957932</v>
      </c>
      <c r="G176" s="163"/>
      <c r="H176" s="82"/>
      <c r="I176" s="82"/>
      <c r="J176" s="163">
        <v>167</v>
      </c>
      <c r="K176" s="164">
        <v>28584.71</v>
      </c>
      <c r="L176" s="33">
        <v>19616.539999999997</v>
      </c>
      <c r="M176" s="156">
        <f>(K176-E176)/E176</f>
        <v>-0.34845426621069159</v>
      </c>
      <c r="N176" s="109">
        <f>L176-F176</f>
        <v>-9514.5653939579352</v>
      </c>
      <c r="O176" s="163">
        <v>194</v>
      </c>
      <c r="P176" s="164">
        <v>42719.65</v>
      </c>
      <c r="Q176" s="33">
        <v>27709.489999999998</v>
      </c>
      <c r="R176" s="156">
        <f>IF(O176=0,0,J176/O176)</f>
        <v>0.86082474226804129</v>
      </c>
      <c r="S176" s="85">
        <f>L176-Q176</f>
        <v>-8092.9500000000007</v>
      </c>
      <c r="T176" s="82"/>
      <c r="U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21">
      <c r="A177" t="str">
        <f t="shared" si="44"/>
        <v>Service% profit / ventes</v>
      </c>
      <c r="B177" s="11" t="s">
        <v>78</v>
      </c>
      <c r="C177" s="29" t="s">
        <v>82</v>
      </c>
      <c r="D177" s="485"/>
      <c r="E177" s="13"/>
      <c r="F177" s="157">
        <f>F176/E176</f>
        <v>0.66400000000000003</v>
      </c>
      <c r="G177" s="41"/>
      <c r="H177" s="13"/>
      <c r="I177" s="157"/>
      <c r="J177" s="41"/>
      <c r="K177" s="13"/>
      <c r="L177" s="157">
        <f>IF(L176=0,0,L176/K176)</f>
        <v>0.68625989208916227</v>
      </c>
      <c r="M177" s="42"/>
      <c r="N177" s="43"/>
      <c r="O177" s="41"/>
      <c r="P177" s="13"/>
      <c r="Q177" s="157">
        <f>Q176/P176</f>
        <v>0.64863569809209576</v>
      </c>
      <c r="R177" s="42"/>
      <c r="S177" s="44"/>
      <c r="T177" s="13"/>
      <c r="U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21">
      <c r="A178" t="str">
        <f t="shared" si="44"/>
        <v>Service</v>
      </c>
      <c r="B178" s="11" t="s">
        <v>78</v>
      </c>
      <c r="C178" s="86"/>
      <c r="D178" s="486"/>
      <c r="E178" s="111"/>
      <c r="F178" s="159"/>
      <c r="G178" s="23"/>
      <c r="H178" s="111"/>
      <c r="I178" s="159"/>
      <c r="J178" s="23"/>
      <c r="K178" s="165"/>
      <c r="L178" s="159"/>
      <c r="M178" s="166"/>
      <c r="N178" s="167"/>
      <c r="O178" s="23"/>
      <c r="P178" s="165">
        <f>IFERROR(P176/O176,0)</f>
        <v>220.20438144329898</v>
      </c>
      <c r="Q178" s="159"/>
      <c r="R178" s="166"/>
      <c r="S178" s="168"/>
      <c r="T178" s="13"/>
      <c r="U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20.399999999999999">
      <c r="A179" t="str">
        <f t="shared" si="44"/>
        <v>ServiceM/O Interne</v>
      </c>
      <c r="B179" s="11" t="s">
        <v>78</v>
      </c>
      <c r="C179" s="29" t="s">
        <v>84</v>
      </c>
      <c r="D179" s="485">
        <v>195</v>
      </c>
      <c r="E179" s="82">
        <v>78000</v>
      </c>
      <c r="F179" s="82">
        <v>58734</v>
      </c>
      <c r="G179" s="41"/>
      <c r="H179" s="82"/>
      <c r="I179" s="82"/>
      <c r="J179" s="60">
        <v>220</v>
      </c>
      <c r="K179" s="164">
        <v>59610.819999999992</v>
      </c>
      <c r="L179" s="33">
        <v>45671.319999999985</v>
      </c>
      <c r="M179" s="156">
        <f>(K179-E179)/E179</f>
        <v>-0.23575871794871806</v>
      </c>
      <c r="N179" s="59">
        <f t="shared" ref="N179:N180" si="45">L179-F179</f>
        <v>-13062.680000000015</v>
      </c>
      <c r="O179" s="60">
        <v>153</v>
      </c>
      <c r="P179" s="164">
        <v>57371.26</v>
      </c>
      <c r="Q179" s="33">
        <v>40919.449999999997</v>
      </c>
      <c r="R179" s="156">
        <f>IF(O179=0,0,J179/O179)</f>
        <v>1.4379084967320261</v>
      </c>
      <c r="S179" s="85">
        <f>L179-Q179</f>
        <v>4751.8699999999881</v>
      </c>
      <c r="T179" s="82"/>
      <c r="U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</row>
    <row r="180" spans="1:40" ht="20.399999999999999">
      <c r="A180" t="str">
        <f t="shared" si="44"/>
        <v>Service% profit / ventes</v>
      </c>
      <c r="B180" s="11" t="s">
        <v>78</v>
      </c>
      <c r="C180" s="29" t="s">
        <v>82</v>
      </c>
      <c r="D180" s="485"/>
      <c r="E180" s="143"/>
      <c r="F180" s="157">
        <f>F179/E179</f>
        <v>0.753</v>
      </c>
      <c r="G180" s="41"/>
      <c r="H180" s="143"/>
      <c r="I180" s="157"/>
      <c r="J180" s="60"/>
      <c r="K180" s="143"/>
      <c r="L180" s="157">
        <f>IF(L179=0,0,L179/K179)</f>
        <v>0.76615822429552205</v>
      </c>
      <c r="M180" s="156"/>
      <c r="N180" s="59">
        <f t="shared" si="45"/>
        <v>1.3158224295522047E-2</v>
      </c>
      <c r="O180" s="60"/>
      <c r="P180" s="143"/>
      <c r="Q180" s="157">
        <f>Q179/P179</f>
        <v>0.71323952097269605</v>
      </c>
      <c r="R180" s="60">
        <f>O180-K180</f>
        <v>0</v>
      </c>
      <c r="S180" s="85"/>
      <c r="T180" s="82"/>
      <c r="U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ht="20.399999999999999">
      <c r="A181" t="str">
        <f t="shared" si="44"/>
        <v>Service</v>
      </c>
      <c r="B181" s="11" t="s">
        <v>78</v>
      </c>
      <c r="C181" s="29"/>
      <c r="D181" s="485"/>
      <c r="E181" s="169"/>
      <c r="F181" s="170"/>
      <c r="G181" s="41"/>
      <c r="H181" s="169"/>
      <c r="I181" s="159"/>
      <c r="J181" s="60"/>
      <c r="K181" s="450"/>
      <c r="L181" s="157"/>
      <c r="M181" s="156"/>
      <c r="N181" s="59"/>
      <c r="O181" s="60"/>
      <c r="P181" s="450">
        <f>IFERROR(P179/O179,0)</f>
        <v>374.97555555555556</v>
      </c>
      <c r="Q181" s="157"/>
      <c r="R181" s="171"/>
      <c r="S181" s="85"/>
      <c r="T181" s="82"/>
      <c r="U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</row>
    <row r="182" spans="1:40" ht="20.399999999999999">
      <c r="A182" t="str">
        <f t="shared" si="44"/>
        <v>ServiceM/O Esthétique</v>
      </c>
      <c r="B182" s="11" t="s">
        <v>78</v>
      </c>
      <c r="C182" s="14" t="s">
        <v>85</v>
      </c>
      <c r="D182" s="487">
        <v>34.483411620346281</v>
      </c>
      <c r="E182" s="82">
        <v>9482.9381955952249</v>
      </c>
      <c r="F182" s="82">
        <v>6789.7837480461803</v>
      </c>
      <c r="G182" s="107"/>
      <c r="H182" s="82"/>
      <c r="I182" s="82"/>
      <c r="J182" s="163">
        <v>25</v>
      </c>
      <c r="K182" s="164">
        <v>4866.72</v>
      </c>
      <c r="L182" s="108">
        <v>3535.4100000000003</v>
      </c>
      <c r="M182" s="172">
        <f>IF(E182=0,0,(K182-E182)/E182)</f>
        <v>-0.48679197316074818</v>
      </c>
      <c r="N182" s="109">
        <f>L182-F182</f>
        <v>-3254.37374804618</v>
      </c>
      <c r="O182" s="163">
        <v>27</v>
      </c>
      <c r="P182" s="164">
        <v>5318.66</v>
      </c>
      <c r="Q182" s="108">
        <v>3709.99</v>
      </c>
      <c r="R182" s="156">
        <f>IF(O182=0,0,J182/O182)</f>
        <v>0.92592592592592593</v>
      </c>
      <c r="S182" s="110">
        <f>L182-Q182</f>
        <v>-174.57999999999947</v>
      </c>
      <c r="T182" s="82"/>
      <c r="U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21">
      <c r="A183" t="str">
        <f t="shared" si="44"/>
        <v>Service% profit / ventes</v>
      </c>
      <c r="B183" s="11" t="s">
        <v>78</v>
      </c>
      <c r="C183" s="29" t="s">
        <v>82</v>
      </c>
      <c r="D183" s="76"/>
      <c r="E183" s="173"/>
      <c r="F183" s="157">
        <f>IFERROR(F182/E182,0)</f>
        <v>0.71599999999999997</v>
      </c>
      <c r="G183" s="78"/>
      <c r="H183" s="173"/>
      <c r="I183" s="157"/>
      <c r="J183" s="174"/>
      <c r="K183" s="173"/>
      <c r="L183" s="157">
        <f>IF(L182=0,0,L182/K182)</f>
        <v>0.72644614853535849</v>
      </c>
      <c r="M183" s="60">
        <f>J183-D183</f>
        <v>0</v>
      </c>
      <c r="N183" s="175"/>
      <c r="O183" s="174"/>
      <c r="P183" s="173"/>
      <c r="Q183" s="157">
        <f>IFERROR(Q182/P182,0)</f>
        <v>0.69754223808252447</v>
      </c>
      <c r="R183" s="41"/>
      <c r="S183" s="176"/>
      <c r="T183" s="112"/>
      <c r="U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</row>
    <row r="184" spans="1:40" ht="21">
      <c r="A184" t="str">
        <f t="shared" si="44"/>
        <v>Service</v>
      </c>
      <c r="B184" s="11" t="s">
        <v>78</v>
      </c>
      <c r="C184" s="86"/>
      <c r="D184" s="177"/>
      <c r="E184" s="178"/>
      <c r="F184" s="159"/>
      <c r="G184" s="179"/>
      <c r="H184" s="178"/>
      <c r="I184" s="159"/>
      <c r="J184" s="180"/>
      <c r="K184" s="25"/>
      <c r="L184" s="159"/>
      <c r="M184" s="160"/>
      <c r="N184" s="181"/>
      <c r="O184" s="180"/>
      <c r="P184" s="25">
        <f>IFERROR(P182/O182,0)</f>
        <v>196.9874074074074</v>
      </c>
      <c r="Q184" s="159"/>
      <c r="R184" s="23"/>
      <c r="S184" s="182"/>
      <c r="T184" s="112"/>
      <c r="U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21.6" thickBot="1">
      <c r="A185" t="str">
        <f t="shared" si="44"/>
        <v>ServiceAjustement M/O</v>
      </c>
      <c r="B185" s="11" t="s">
        <v>78</v>
      </c>
      <c r="C185" s="29" t="s">
        <v>86</v>
      </c>
      <c r="D185" s="13"/>
      <c r="E185" s="13"/>
      <c r="F185" s="59">
        <v>-2624.6485717196774</v>
      </c>
      <c r="G185" s="41"/>
      <c r="H185" s="82"/>
      <c r="I185" s="82"/>
      <c r="J185" s="60"/>
      <c r="K185" s="82"/>
      <c r="L185" s="82">
        <v>-2259.75</v>
      </c>
      <c r="M185" s="174"/>
      <c r="N185" s="59">
        <f t="shared" ref="N185:N186" si="46">L185-F185</f>
        <v>364.89857171967742</v>
      </c>
      <c r="O185" s="60"/>
      <c r="P185" s="82"/>
      <c r="Q185" s="82">
        <v>-2042.71</v>
      </c>
      <c r="R185" s="183"/>
      <c r="S185" s="85">
        <f t="shared" ref="S185:S186" si="47">L185-Q185</f>
        <v>-217.03999999999996</v>
      </c>
      <c r="T185" s="13"/>
      <c r="U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</row>
    <row r="186" spans="1:40" ht="21.6" thickTop="1">
      <c r="A186" t="str">
        <f t="shared" si="44"/>
        <v>ServiceSous-total M/O</v>
      </c>
      <c r="B186" s="11" t="s">
        <v>78</v>
      </c>
      <c r="C186" s="184" t="s">
        <v>87</v>
      </c>
      <c r="D186" s="185">
        <f t="shared" ref="D186:F186" si="48">D173+D176+D179+D182+D185</f>
        <v>589.37674045370693</v>
      </c>
      <c r="E186" s="185">
        <f t="shared" si="48"/>
        <v>177145.57413242862</v>
      </c>
      <c r="F186" s="186">
        <f t="shared" si="48"/>
        <v>128204.72708504129</v>
      </c>
      <c r="G186" s="187"/>
      <c r="H186" s="185"/>
      <c r="I186" s="186"/>
      <c r="J186" s="187">
        <f t="shared" ref="J186:L186" si="49">J173+J176+J179+J182+J185</f>
        <v>544</v>
      </c>
      <c r="K186" s="185">
        <f t="shared" si="49"/>
        <v>143794.43999999997</v>
      </c>
      <c r="L186" s="186">
        <f t="shared" si="49"/>
        <v>105872.75</v>
      </c>
      <c r="M186" s="188">
        <f>(K186-E186)/E186</f>
        <v>-0.18826964374224986</v>
      </c>
      <c r="N186" s="186">
        <f t="shared" si="46"/>
        <v>-22331.97708504129</v>
      </c>
      <c r="O186" s="187">
        <f t="shared" ref="O186:Q186" si="50">O173+O176+O179+O182+O185</f>
        <v>480</v>
      </c>
      <c r="P186" s="185">
        <f t="shared" si="50"/>
        <v>144657.53</v>
      </c>
      <c r="Q186" s="186">
        <f t="shared" si="50"/>
        <v>101442.29999999999</v>
      </c>
      <c r="R186" s="42">
        <f>IF(O186=0,0,J186/O186)</f>
        <v>1.1333333333333333</v>
      </c>
      <c r="S186" s="189">
        <f t="shared" si="47"/>
        <v>4430.4500000000116</v>
      </c>
      <c r="T186" s="112"/>
      <c r="U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21">
      <c r="A187" t="str">
        <f t="shared" si="44"/>
        <v>Service% protit / ventes</v>
      </c>
      <c r="B187" s="11" t="s">
        <v>78</v>
      </c>
      <c r="C187" s="190" t="s">
        <v>88</v>
      </c>
      <c r="D187" s="191"/>
      <c r="E187" s="191"/>
      <c r="F187" s="192">
        <f>F186/E186</f>
        <v>0.72372526219141864</v>
      </c>
      <c r="G187" s="193"/>
      <c r="H187" s="191"/>
      <c r="I187" s="43"/>
      <c r="J187" s="193"/>
      <c r="K187" s="440">
        <f>IF(J186=0,0,K186/J186)</f>
        <v>264.32801470588231</v>
      </c>
      <c r="L187" s="43">
        <f>IF(L186=0,0,L186/K186)</f>
        <v>0.73627846806872377</v>
      </c>
      <c r="M187" s="193"/>
      <c r="N187" s="192">
        <f>N186/F186</f>
        <v>-0.17418996625785843</v>
      </c>
      <c r="O187" s="193"/>
      <c r="P187" s="440">
        <f>IF(O186=0,0,P186/O186)</f>
        <v>301.36985416666664</v>
      </c>
      <c r="Q187" s="43">
        <f>Q186/P186</f>
        <v>0.70125834444981872</v>
      </c>
      <c r="R187" s="193"/>
      <c r="S187" s="44">
        <f>IF(R186=0,0,S186/R186)</f>
        <v>3909.2205882353046</v>
      </c>
      <c r="T187" s="112"/>
      <c r="U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21">
      <c r="A188" t="str">
        <f t="shared" si="44"/>
        <v>Service</v>
      </c>
      <c r="B188" s="11" t="s">
        <v>78</v>
      </c>
      <c r="C188" s="35"/>
      <c r="D188" s="194"/>
      <c r="E188" s="195"/>
      <c r="F188" s="196"/>
      <c r="G188" s="197"/>
      <c r="H188" s="195"/>
      <c r="I188" s="196"/>
      <c r="J188" s="197"/>
      <c r="K188" s="195"/>
      <c r="L188" s="196"/>
      <c r="M188" s="197"/>
      <c r="N188" s="196"/>
      <c r="O188" s="197"/>
      <c r="P188" s="195"/>
      <c r="Q188" s="196"/>
      <c r="R188" s="197"/>
      <c r="S188" s="198"/>
      <c r="T188" s="112"/>
      <c r="U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21">
      <c r="A189" t="str">
        <f t="shared" si="44"/>
        <v>ServiceSous-traitement</v>
      </c>
      <c r="B189" s="11" t="s">
        <v>78</v>
      </c>
      <c r="C189" s="29" t="s">
        <v>89</v>
      </c>
      <c r="D189" s="82"/>
      <c r="E189" s="82">
        <v>9623.4514532862595</v>
      </c>
      <c r="F189" s="82">
        <v>1443.517717992939</v>
      </c>
      <c r="G189" s="60"/>
      <c r="H189" s="82"/>
      <c r="I189" s="82"/>
      <c r="J189" s="60"/>
      <c r="K189" s="30">
        <v>12785.39</v>
      </c>
      <c r="L189" s="33">
        <v>2404.7199999999989</v>
      </c>
      <c r="M189" s="84">
        <f>IF(E189=0,0,(K189-E189)/E189)</f>
        <v>0.3285659580725569</v>
      </c>
      <c r="N189" s="59">
        <f>L189-F189</f>
        <v>961.20228200705992</v>
      </c>
      <c r="O189" s="60"/>
      <c r="P189" s="30">
        <v>18681.54</v>
      </c>
      <c r="Q189" s="33">
        <v>2090.4600000000009</v>
      </c>
      <c r="R189" s="156">
        <f>IF(O189=0,0,J189/O189)</f>
        <v>0</v>
      </c>
      <c r="S189" s="85">
        <f>L189-Q189</f>
        <v>314.25999999999794</v>
      </c>
      <c r="T189" s="112"/>
      <c r="U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</row>
    <row r="190" spans="1:40" ht="21">
      <c r="A190" t="str">
        <f t="shared" si="44"/>
        <v>Service% profit / ventes</v>
      </c>
      <c r="B190" s="11" t="s">
        <v>78</v>
      </c>
      <c r="C190" s="29" t="s">
        <v>82</v>
      </c>
      <c r="D190" s="13"/>
      <c r="E190" s="143"/>
      <c r="F190" s="157">
        <f>IFERROR(F189/E189,0)</f>
        <v>0.15</v>
      </c>
      <c r="G190" s="41"/>
      <c r="H190" s="143"/>
      <c r="I190" s="157"/>
      <c r="J190" s="174"/>
      <c r="K190" s="173"/>
      <c r="L190" s="157">
        <f>IF(L189=0,0,L189/K189)</f>
        <v>0.18808342960206917</v>
      </c>
      <c r="M190" s="174"/>
      <c r="N190" s="175"/>
      <c r="O190" s="174"/>
      <c r="P190" s="173"/>
      <c r="Q190" s="157">
        <f>IFERROR(Q189/P189,0)</f>
        <v>0.11189976843450812</v>
      </c>
      <c r="R190" s="174"/>
      <c r="S190" s="176"/>
      <c r="T190" s="112"/>
      <c r="U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</row>
    <row r="191" spans="1:40" ht="21" hidden="1">
      <c r="A191" t="str">
        <f t="shared" si="44"/>
        <v>Service</v>
      </c>
      <c r="B191" s="11" t="s">
        <v>78</v>
      </c>
      <c r="C191" s="29"/>
      <c r="D191" s="13"/>
      <c r="E191" s="143"/>
      <c r="F191" s="157"/>
      <c r="G191" s="41"/>
      <c r="H191" s="143"/>
      <c r="I191" s="157"/>
      <c r="J191" s="174"/>
      <c r="K191" s="173"/>
      <c r="L191" s="157"/>
      <c r="M191" s="174"/>
      <c r="N191" s="175"/>
      <c r="O191" s="174"/>
      <c r="P191" s="173"/>
      <c r="Q191" s="157"/>
      <c r="R191" s="174"/>
      <c r="S191" s="176"/>
      <c r="T191" s="112"/>
      <c r="U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</row>
    <row r="192" spans="1:40" ht="21" hidden="1">
      <c r="A192" t="str">
        <f t="shared" si="44"/>
        <v>ServiceM.O. Recond. MCPA</v>
      </c>
      <c r="B192" s="11" t="s">
        <v>78</v>
      </c>
      <c r="C192" s="29" t="s">
        <v>90</v>
      </c>
      <c r="D192" s="13"/>
      <c r="E192" s="82">
        <v>0</v>
      </c>
      <c r="F192" s="82">
        <v>0</v>
      </c>
      <c r="G192" s="41"/>
      <c r="H192" s="82"/>
      <c r="I192" s="82"/>
      <c r="J192" s="174"/>
      <c r="K192" s="30">
        <v>0</v>
      </c>
      <c r="L192" s="157"/>
      <c r="M192" s="174"/>
      <c r="N192" s="175"/>
      <c r="O192" s="174"/>
      <c r="P192" s="30">
        <v>0</v>
      </c>
      <c r="Q192" s="157">
        <v>0</v>
      </c>
      <c r="R192" s="174"/>
      <c r="S192" s="176"/>
      <c r="T192" s="112"/>
      <c r="U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</row>
    <row r="193" spans="1:40" ht="21" hidden="1">
      <c r="A193" t="str">
        <f t="shared" si="44"/>
        <v>Service% profit / ventes</v>
      </c>
      <c r="B193" s="11" t="s">
        <v>78</v>
      </c>
      <c r="C193" s="29" t="s">
        <v>82</v>
      </c>
      <c r="D193" s="13"/>
      <c r="E193" s="143"/>
      <c r="F193" s="157">
        <f>IF(F192=0,0,F192/E192)</f>
        <v>0</v>
      </c>
      <c r="G193" s="41"/>
      <c r="H193" s="143"/>
      <c r="I193" s="157"/>
      <c r="J193" s="174"/>
      <c r="K193" s="173"/>
      <c r="L193" s="157">
        <f>IF(L192=0,0,L192/K192)</f>
        <v>0</v>
      </c>
      <c r="M193" s="174"/>
      <c r="N193" s="175"/>
      <c r="O193" s="174"/>
      <c r="P193" s="173"/>
      <c r="Q193" s="157">
        <f>IF(Q192=0,0,Q192/P192)</f>
        <v>0</v>
      </c>
      <c r="R193" s="174"/>
      <c r="S193" s="176"/>
      <c r="T193" s="112"/>
      <c r="U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</row>
    <row r="194" spans="1:40" ht="21.6" thickBot="1">
      <c r="A194" t="str">
        <f t="shared" si="44"/>
        <v>Service</v>
      </c>
      <c r="B194" s="11" t="s">
        <v>78</v>
      </c>
      <c r="C194" s="199"/>
      <c r="D194" s="200"/>
      <c r="E194" s="201"/>
      <c r="F194" s="202"/>
      <c r="G194" s="203"/>
      <c r="H194" s="201"/>
      <c r="I194" s="202"/>
      <c r="J194" s="203"/>
      <c r="K194" s="201"/>
      <c r="L194" s="202"/>
      <c r="M194" s="203"/>
      <c r="N194" s="202"/>
      <c r="O194" s="203"/>
      <c r="P194" s="201"/>
      <c r="Q194" s="202"/>
      <c r="R194" s="203"/>
      <c r="S194" s="204"/>
      <c r="T194" s="112"/>
      <c r="U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</row>
    <row r="195" spans="1:40" ht="21.6" thickTop="1">
      <c r="A195" t="str">
        <f t="shared" si="44"/>
        <v>ServiceTotal Mécanique</v>
      </c>
      <c r="B195" s="11" t="s">
        <v>78</v>
      </c>
      <c r="C195" s="62" t="s">
        <v>91</v>
      </c>
      <c r="D195" s="63"/>
      <c r="E195" s="63">
        <f t="shared" ref="E195:F195" si="51">E186+E189+E192</f>
        <v>186769.02558571487</v>
      </c>
      <c r="F195" s="65">
        <f t="shared" si="51"/>
        <v>129648.24480303423</v>
      </c>
      <c r="G195" s="66"/>
      <c r="H195" s="63"/>
      <c r="I195" s="65"/>
      <c r="J195" s="66"/>
      <c r="K195" s="63">
        <f t="shared" ref="K195:L195" si="52">K186+K189+K192</f>
        <v>156579.82999999996</v>
      </c>
      <c r="L195" s="65">
        <f t="shared" si="52"/>
        <v>108277.47</v>
      </c>
      <c r="M195" s="205">
        <f>L196-F196</f>
        <v>-2.6474446693746101E-3</v>
      </c>
      <c r="N195" s="65">
        <f>L195-F195</f>
        <v>-21370.774803034234</v>
      </c>
      <c r="O195" s="66"/>
      <c r="P195" s="63">
        <f t="shared" ref="P195:Q195" si="53">P186+P189+P192</f>
        <v>163339.07</v>
      </c>
      <c r="Q195" s="65">
        <f t="shared" si="53"/>
        <v>103532.76</v>
      </c>
      <c r="R195" s="205">
        <f>L196-Q196</f>
        <v>5.7664300022308157E-2</v>
      </c>
      <c r="S195" s="68">
        <f>L195-Q195</f>
        <v>4744.7100000000064</v>
      </c>
      <c r="T195" s="112"/>
      <c r="U195" s="13"/>
      <c r="W195" s="11"/>
      <c r="X195" s="484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</row>
    <row r="196" spans="1:40" ht="21.6" thickBot="1">
      <c r="A196" t="str">
        <f t="shared" si="44"/>
        <v>Service</v>
      </c>
      <c r="B196" s="11" t="s">
        <v>78</v>
      </c>
      <c r="C196" s="69"/>
      <c r="D196" s="70"/>
      <c r="E196" s="70"/>
      <c r="F196" s="74">
        <f>F195/E195</f>
        <v>0.69416352308126217</v>
      </c>
      <c r="G196" s="72"/>
      <c r="H196" s="70"/>
      <c r="I196" s="74"/>
      <c r="J196" s="72"/>
      <c r="K196" s="70"/>
      <c r="L196" s="74">
        <f>L195/K195</f>
        <v>0.69151607841188756</v>
      </c>
      <c r="M196" s="73"/>
      <c r="N196" s="74">
        <f>N195/F195</f>
        <v>-0.16483659177570356</v>
      </c>
      <c r="O196" s="72"/>
      <c r="P196" s="70"/>
      <c r="Q196" s="74">
        <f>Q195/P195</f>
        <v>0.6338517783895794</v>
      </c>
      <c r="R196" s="73"/>
      <c r="S196" s="75">
        <f>L195/S195</f>
        <v>22.820671864033809</v>
      </c>
      <c r="T196" s="76"/>
      <c r="U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</row>
    <row r="197" spans="1:40" ht="21.6" thickTop="1">
      <c r="A197" t="str">
        <f t="shared" si="44"/>
        <v>Service</v>
      </c>
      <c r="B197" s="11" t="s">
        <v>78</v>
      </c>
      <c r="C197" s="53"/>
      <c r="D197" s="76"/>
      <c r="E197" s="76"/>
      <c r="F197" s="43"/>
      <c r="G197" s="78"/>
      <c r="H197" s="76"/>
      <c r="I197" s="43"/>
      <c r="J197" s="78"/>
      <c r="K197" s="76"/>
      <c r="L197" s="461"/>
      <c r="M197" s="42"/>
      <c r="N197" s="43"/>
      <c r="O197" s="78"/>
      <c r="P197" s="76"/>
      <c r="Q197" s="43"/>
      <c r="R197" s="42"/>
      <c r="S197" s="44"/>
      <c r="T197" s="76"/>
      <c r="U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</row>
    <row r="198" spans="1:40" ht="21">
      <c r="A198" t="str">
        <f t="shared" si="44"/>
        <v>ServiceDEPENSES</v>
      </c>
      <c r="B198" s="11" t="s">
        <v>78</v>
      </c>
      <c r="C198" s="79" t="s">
        <v>29</v>
      </c>
      <c r="D198" s="13"/>
      <c r="E198" s="13"/>
      <c r="F198" s="59"/>
      <c r="G198" s="41"/>
      <c r="H198" s="13"/>
      <c r="I198" s="59"/>
      <c r="J198" s="41"/>
      <c r="K198" s="13"/>
      <c r="L198" s="40"/>
      <c r="M198" s="41"/>
      <c r="N198" s="40"/>
      <c r="O198" s="41"/>
      <c r="P198" s="13"/>
      <c r="Q198" s="40"/>
      <c r="R198" s="41"/>
      <c r="S198" s="61"/>
      <c r="T198" s="13"/>
      <c r="U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</row>
    <row r="199" spans="1:40" ht="20.399999999999999">
      <c r="A199" t="str">
        <f t="shared" si="44"/>
        <v>ServiceSalaires cadres</v>
      </c>
      <c r="B199" s="11" t="s">
        <v>78</v>
      </c>
      <c r="C199" s="102" t="s">
        <v>40</v>
      </c>
      <c r="D199" s="13"/>
      <c r="E199" s="13"/>
      <c r="F199" s="30">
        <v>10830.291555116217</v>
      </c>
      <c r="G199" s="41"/>
      <c r="H199" s="13"/>
      <c r="I199" s="30"/>
      <c r="J199" s="41"/>
      <c r="K199" s="13"/>
      <c r="L199" s="33">
        <v>8716.5300000000007</v>
      </c>
      <c r="M199" s="41"/>
      <c r="N199" s="59">
        <f t="shared" ref="N199:N230" si="54">L199-F199</f>
        <v>-2113.7615551162162</v>
      </c>
      <c r="O199" s="41"/>
      <c r="P199" s="13"/>
      <c r="Q199" s="33">
        <v>12817.44</v>
      </c>
      <c r="R199" s="41"/>
      <c r="S199" s="85">
        <f t="shared" ref="S199:S230" si="55">L199-Q199</f>
        <v>-4100.91</v>
      </c>
      <c r="T199" s="13"/>
      <c r="U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20.399999999999999">
      <c r="A200" t="str">
        <f t="shared" si="44"/>
        <v>ServiceSalaires commis</v>
      </c>
      <c r="B200" s="11" t="s">
        <v>78</v>
      </c>
      <c r="C200" s="103" t="s">
        <v>41</v>
      </c>
      <c r="D200" s="81"/>
      <c r="E200" s="13"/>
      <c r="F200" s="22">
        <v>5290.2845956590227</v>
      </c>
      <c r="G200" s="83"/>
      <c r="H200" s="13"/>
      <c r="I200" s="22"/>
      <c r="J200" s="41"/>
      <c r="K200" s="13"/>
      <c r="L200" s="33">
        <v>2534.9</v>
      </c>
      <c r="M200" s="41"/>
      <c r="N200" s="59">
        <f t="shared" si="54"/>
        <v>-2755.3845956590226</v>
      </c>
      <c r="O200" s="41"/>
      <c r="P200" s="13"/>
      <c r="Q200" s="33">
        <v>5066.99</v>
      </c>
      <c r="R200" s="41"/>
      <c r="S200" s="85">
        <f t="shared" si="55"/>
        <v>-2532.0899999999997</v>
      </c>
      <c r="T200" s="13"/>
      <c r="U200" s="13"/>
      <c r="V200" s="489" t="s">
        <v>245</v>
      </c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20.399999999999999">
      <c r="A201" t="str">
        <f t="shared" si="44"/>
        <v>ServiceSalaires autres</v>
      </c>
      <c r="B201" s="11" t="s">
        <v>78</v>
      </c>
      <c r="C201" s="102" t="s">
        <v>42</v>
      </c>
      <c r="D201" s="104"/>
      <c r="E201" s="105"/>
      <c r="F201" s="30">
        <v>13883.263471579279</v>
      </c>
      <c r="G201" s="106"/>
      <c r="H201" s="105"/>
      <c r="I201" s="30"/>
      <c r="J201" s="107"/>
      <c r="K201" s="105"/>
      <c r="L201" s="108">
        <v>14307.96</v>
      </c>
      <c r="M201" s="107"/>
      <c r="N201" s="109">
        <f t="shared" si="54"/>
        <v>424.69652842071991</v>
      </c>
      <c r="O201" s="107"/>
      <c r="P201" s="105"/>
      <c r="Q201" s="108">
        <v>2985.91</v>
      </c>
      <c r="R201" s="107"/>
      <c r="S201" s="110">
        <f t="shared" si="55"/>
        <v>11322.05</v>
      </c>
      <c r="T201" s="13"/>
      <c r="U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</row>
    <row r="202" spans="1:40" ht="20.399999999999999">
      <c r="A202" t="str">
        <f t="shared" si="44"/>
        <v>ServiceSalaires spécialistes</v>
      </c>
      <c r="B202" s="11" t="s">
        <v>78</v>
      </c>
      <c r="C202" s="102" t="s">
        <v>43</v>
      </c>
      <c r="D202" s="81"/>
      <c r="E202" s="13"/>
      <c r="F202" s="30">
        <v>15342.486590038312</v>
      </c>
      <c r="G202" s="83"/>
      <c r="H202" s="13"/>
      <c r="I202" s="30"/>
      <c r="J202" s="41"/>
      <c r="K202" s="13"/>
      <c r="L202" s="33">
        <v>13056.46</v>
      </c>
      <c r="M202" s="41"/>
      <c r="N202" s="59">
        <f t="shared" si="54"/>
        <v>-2286.0265900383129</v>
      </c>
      <c r="O202" s="41"/>
      <c r="P202" s="13"/>
      <c r="Q202" s="33">
        <v>14362.52</v>
      </c>
      <c r="R202" s="41"/>
      <c r="S202" s="85">
        <f t="shared" si="55"/>
        <v>-1306.0600000000013</v>
      </c>
      <c r="T202" s="13"/>
      <c r="U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ht="20.399999999999999" hidden="1">
      <c r="A203" t="str">
        <f t="shared" si="44"/>
        <v>Service[...]</v>
      </c>
      <c r="B203" s="11" t="s">
        <v>78</v>
      </c>
      <c r="C203" s="29" t="s">
        <v>19</v>
      </c>
      <c r="D203" s="81"/>
      <c r="E203" s="13"/>
      <c r="F203" s="30">
        <v>0</v>
      </c>
      <c r="G203" s="83"/>
      <c r="H203" s="13"/>
      <c r="I203" s="30"/>
      <c r="J203" s="41"/>
      <c r="K203" s="13"/>
      <c r="L203" s="33">
        <v>0</v>
      </c>
      <c r="M203" s="41"/>
      <c r="N203" s="59">
        <f t="shared" si="54"/>
        <v>0</v>
      </c>
      <c r="O203" s="41"/>
      <c r="P203" s="13"/>
      <c r="Q203" s="33">
        <v>0</v>
      </c>
      <c r="R203" s="41"/>
      <c r="S203" s="85">
        <f t="shared" si="55"/>
        <v>0</v>
      </c>
      <c r="T203" s="13"/>
      <c r="U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</row>
    <row r="204" spans="1:40" ht="20.399999999999999" hidden="1">
      <c r="A204" t="str">
        <f t="shared" si="44"/>
        <v>Service[...]</v>
      </c>
      <c r="B204" s="11" t="s">
        <v>78</v>
      </c>
      <c r="C204" s="29" t="s">
        <v>19</v>
      </c>
      <c r="D204" s="81"/>
      <c r="E204" s="13"/>
      <c r="F204" s="30">
        <v>0</v>
      </c>
      <c r="G204" s="83"/>
      <c r="H204" s="13"/>
      <c r="I204" s="30"/>
      <c r="J204" s="41"/>
      <c r="K204" s="13"/>
      <c r="L204" s="33">
        <v>0</v>
      </c>
      <c r="M204" s="41"/>
      <c r="N204" s="59">
        <f t="shared" si="54"/>
        <v>0</v>
      </c>
      <c r="O204" s="41"/>
      <c r="P204" s="13"/>
      <c r="Q204" s="33">
        <v>0</v>
      </c>
      <c r="R204" s="41"/>
      <c r="S204" s="85">
        <f t="shared" si="55"/>
        <v>0</v>
      </c>
      <c r="T204" s="13"/>
      <c r="U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20.399999999999999" hidden="1">
      <c r="A205" t="str">
        <f t="shared" si="44"/>
        <v>Service[...]</v>
      </c>
      <c r="B205" s="11" t="s">
        <v>78</v>
      </c>
      <c r="C205" s="29" t="s">
        <v>19</v>
      </c>
      <c r="D205" s="81"/>
      <c r="E205" s="13"/>
      <c r="F205" s="30">
        <v>0</v>
      </c>
      <c r="G205" s="83"/>
      <c r="H205" s="13"/>
      <c r="I205" s="30"/>
      <c r="J205" s="41"/>
      <c r="K205" s="13"/>
      <c r="L205" s="33">
        <v>0</v>
      </c>
      <c r="M205" s="41"/>
      <c r="N205" s="59">
        <f t="shared" si="54"/>
        <v>0</v>
      </c>
      <c r="O205" s="41"/>
      <c r="P205" s="13"/>
      <c r="Q205" s="33">
        <v>0</v>
      </c>
      <c r="R205" s="41"/>
      <c r="S205" s="85">
        <f t="shared" si="55"/>
        <v>0</v>
      </c>
      <c r="T205" s="13"/>
      <c r="U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20.399999999999999">
      <c r="A206" t="str">
        <f t="shared" si="44"/>
        <v>ServiceSalaires en absences</v>
      </c>
      <c r="B206" s="11" t="s">
        <v>78</v>
      </c>
      <c r="C206" s="103" t="s">
        <v>44</v>
      </c>
      <c r="D206" s="81"/>
      <c r="E206" s="13"/>
      <c r="F206" s="30">
        <v>14030.637113696455</v>
      </c>
      <c r="G206" s="83"/>
      <c r="H206" s="13"/>
      <c r="I206" s="30"/>
      <c r="J206" s="41"/>
      <c r="K206" s="13"/>
      <c r="L206" s="33">
        <v>12120.61</v>
      </c>
      <c r="M206" s="41"/>
      <c r="N206" s="59">
        <f t="shared" si="54"/>
        <v>-1910.0271136964548</v>
      </c>
      <c r="O206" s="41"/>
      <c r="P206" s="13"/>
      <c r="Q206" s="33">
        <v>11665.44</v>
      </c>
      <c r="R206" s="41"/>
      <c r="S206" s="85">
        <f t="shared" si="55"/>
        <v>455.17000000000007</v>
      </c>
      <c r="T206" s="13"/>
      <c r="U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20.399999999999999">
      <c r="A207" t="str">
        <f t="shared" si="44"/>
        <v>ServiceDéduction à la source</v>
      </c>
      <c r="B207" s="11" t="s">
        <v>78</v>
      </c>
      <c r="C207" s="102" t="s">
        <v>45</v>
      </c>
      <c r="D207" s="104"/>
      <c r="E207" s="105"/>
      <c r="F207" s="55">
        <v>12540.047081119325</v>
      </c>
      <c r="G207" s="106"/>
      <c r="H207" s="105"/>
      <c r="I207" s="55"/>
      <c r="J207" s="107"/>
      <c r="K207" s="105"/>
      <c r="L207" s="108">
        <v>11912.46</v>
      </c>
      <c r="M207" s="107"/>
      <c r="N207" s="109">
        <f t="shared" si="54"/>
        <v>-627.58708111932538</v>
      </c>
      <c r="O207" s="107"/>
      <c r="P207" s="105"/>
      <c r="Q207" s="108">
        <v>12106.42</v>
      </c>
      <c r="R207" s="107"/>
      <c r="S207" s="110">
        <f t="shared" si="55"/>
        <v>-193.96000000000095</v>
      </c>
      <c r="T207" s="13"/>
      <c r="U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20.399999999999999">
      <c r="A208" t="str">
        <f t="shared" si="44"/>
        <v>ServiceBénéfices marginaux</v>
      </c>
      <c r="B208" s="11" t="s">
        <v>78</v>
      </c>
      <c r="C208" s="102" t="s">
        <v>46</v>
      </c>
      <c r="D208" s="81"/>
      <c r="E208" s="13"/>
      <c r="F208" s="30">
        <v>9645.3862132276117</v>
      </c>
      <c r="G208" s="83"/>
      <c r="H208" s="13"/>
      <c r="I208" s="30"/>
      <c r="J208" s="41"/>
      <c r="K208" s="13"/>
      <c r="L208" s="33">
        <v>5556.41</v>
      </c>
      <c r="M208" s="41"/>
      <c r="N208" s="59">
        <f t="shared" si="54"/>
        <v>-4088.9762132276119</v>
      </c>
      <c r="O208" s="41"/>
      <c r="P208" s="13"/>
      <c r="Q208" s="33">
        <v>6554</v>
      </c>
      <c r="R208" s="41"/>
      <c r="S208" s="85">
        <f t="shared" si="55"/>
        <v>-997.59000000000015</v>
      </c>
      <c r="T208" s="13"/>
      <c r="U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20.399999999999999">
      <c r="A209" t="str">
        <f t="shared" si="44"/>
        <v>ServiceCsst</v>
      </c>
      <c r="B209" s="11" t="s">
        <v>78</v>
      </c>
      <c r="C209" s="102" t="s">
        <v>47</v>
      </c>
      <c r="D209" s="81"/>
      <c r="E209" s="13"/>
      <c r="F209" s="30">
        <v>2560.2596123951953</v>
      </c>
      <c r="G209" s="83"/>
      <c r="H209" s="13"/>
      <c r="I209" s="30"/>
      <c r="J209" s="41"/>
      <c r="K209" s="13"/>
      <c r="L209" s="33">
        <v>1601.32</v>
      </c>
      <c r="M209" s="462"/>
      <c r="N209" s="145">
        <f t="shared" si="54"/>
        <v>-958.93961239519535</v>
      </c>
      <c r="O209" s="462"/>
      <c r="P209" s="463"/>
      <c r="Q209" s="22">
        <v>2007.56</v>
      </c>
      <c r="R209" s="462"/>
      <c r="S209" s="464">
        <f t="shared" si="55"/>
        <v>-406.24</v>
      </c>
      <c r="T209" s="13"/>
      <c r="U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20.399999999999999" hidden="1">
      <c r="A210" t="str">
        <f t="shared" si="44"/>
        <v>Service[...]</v>
      </c>
      <c r="B210" s="11" t="s">
        <v>78</v>
      </c>
      <c r="C210" s="29" t="s">
        <v>19</v>
      </c>
      <c r="D210" s="87"/>
      <c r="E210" s="111"/>
      <c r="F210" s="30">
        <v>0</v>
      </c>
      <c r="G210" s="89"/>
      <c r="H210" s="111"/>
      <c r="I210" s="30"/>
      <c r="J210" s="23"/>
      <c r="K210" s="111"/>
      <c r="L210" s="33">
        <v>0</v>
      </c>
      <c r="M210" s="23"/>
      <c r="N210" s="91">
        <f t="shared" si="54"/>
        <v>0</v>
      </c>
      <c r="O210" s="23"/>
      <c r="P210" s="111"/>
      <c r="Q210" s="33">
        <v>0</v>
      </c>
      <c r="R210" s="23"/>
      <c r="S210" s="92">
        <f t="shared" si="55"/>
        <v>0</v>
      </c>
      <c r="T210" s="13"/>
      <c r="U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21">
      <c r="A211" t="str">
        <f t="shared" si="44"/>
        <v>ServiceTOTAL PERSONNEL</v>
      </c>
      <c r="B211" s="11" t="s">
        <v>78</v>
      </c>
      <c r="C211" s="93" t="s">
        <v>48</v>
      </c>
      <c r="D211" s="94" t="s">
        <v>92</v>
      </c>
      <c r="E211" s="95">
        <f>F211/F$195</f>
        <v>0.64885302813496049</v>
      </c>
      <c r="F211" s="96">
        <f>+SUM(F199:F210)</f>
        <v>84122.656232831418</v>
      </c>
      <c r="G211" s="97"/>
      <c r="H211" s="95"/>
      <c r="I211" s="96"/>
      <c r="J211" s="97" t="s">
        <v>92</v>
      </c>
      <c r="K211" s="95">
        <f>L211/L$195</f>
        <v>0.64470152470315389</v>
      </c>
      <c r="L211" s="96">
        <f>+SUM(L199:L210)</f>
        <v>69806.650000000009</v>
      </c>
      <c r="M211" s="146"/>
      <c r="N211" s="113">
        <f t="shared" si="54"/>
        <v>-14316.006232831409</v>
      </c>
      <c r="O211" s="97" t="s">
        <v>92</v>
      </c>
      <c r="P211" s="95">
        <f>Q211/Q$195</f>
        <v>0.65260773498166191</v>
      </c>
      <c r="Q211" s="96">
        <f>+SUM(Q199:Q210)</f>
        <v>67566.28</v>
      </c>
      <c r="R211" s="146"/>
      <c r="S211" s="114">
        <f t="shared" si="55"/>
        <v>2240.3700000000099</v>
      </c>
      <c r="T211" s="13"/>
      <c r="U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20.399999999999999">
      <c r="A212" t="str">
        <f t="shared" si="44"/>
        <v>ServicePublicité 2</v>
      </c>
      <c r="B212" s="11" t="s">
        <v>78</v>
      </c>
      <c r="C212" s="29" t="s">
        <v>49</v>
      </c>
      <c r="D212" s="81"/>
      <c r="E212" s="13"/>
      <c r="F212" s="30">
        <v>1354.4890372242405</v>
      </c>
      <c r="G212" s="83"/>
      <c r="H212" s="13"/>
      <c r="I212" s="30"/>
      <c r="J212" s="41"/>
      <c r="K212" s="13"/>
      <c r="L212" s="33">
        <v>1260.1600000000001</v>
      </c>
      <c r="M212" s="41"/>
      <c r="N212" s="59">
        <f t="shared" si="54"/>
        <v>-94.329037224240437</v>
      </c>
      <c r="O212" s="41"/>
      <c r="P212" s="13"/>
      <c r="Q212" s="33">
        <v>3646.98</v>
      </c>
      <c r="R212" s="41"/>
      <c r="S212" s="85">
        <f t="shared" si="55"/>
        <v>-2386.8199999999997</v>
      </c>
      <c r="T212" s="13"/>
      <c r="U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20.399999999999999">
      <c r="A213" t="str">
        <f t="shared" si="44"/>
        <v>ServiceService gratuit 2</v>
      </c>
      <c r="B213" s="11" t="s">
        <v>78</v>
      </c>
      <c r="C213" s="29" t="s">
        <v>50</v>
      </c>
      <c r="D213" s="81"/>
      <c r="E213" s="13"/>
      <c r="F213" s="30">
        <v>3750</v>
      </c>
      <c r="G213" s="83"/>
      <c r="H213" s="13"/>
      <c r="I213" s="30"/>
      <c r="J213" s="41"/>
      <c r="K213" s="13"/>
      <c r="L213" s="33">
        <v>7137.83</v>
      </c>
      <c r="M213" s="41"/>
      <c r="N213" s="59">
        <f t="shared" si="54"/>
        <v>3387.83</v>
      </c>
      <c r="O213" s="41"/>
      <c r="P213" s="13"/>
      <c r="Q213" s="33">
        <v>2839.97</v>
      </c>
      <c r="R213" s="41"/>
      <c r="S213" s="85">
        <f t="shared" si="55"/>
        <v>4297.8600000000006</v>
      </c>
      <c r="T213" s="13"/>
      <c r="U213" s="13"/>
      <c r="V213" s="489" t="s">
        <v>279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20.399999999999999">
      <c r="A214" t="str">
        <f t="shared" si="44"/>
        <v>ServiceFrais véhicules de cie</v>
      </c>
      <c r="B214" s="11" t="s">
        <v>78</v>
      </c>
      <c r="C214" s="86" t="s">
        <v>51</v>
      </c>
      <c r="D214" s="87"/>
      <c r="E214" s="111"/>
      <c r="F214" s="22">
        <v>7453.2500000000009</v>
      </c>
      <c r="G214" s="89"/>
      <c r="H214" s="111"/>
      <c r="I214" s="22"/>
      <c r="J214" s="23"/>
      <c r="K214" s="111"/>
      <c r="L214" s="33">
        <v>8671.1299999999992</v>
      </c>
      <c r="M214" s="23"/>
      <c r="N214" s="91">
        <f t="shared" si="54"/>
        <v>1217.8799999999983</v>
      </c>
      <c r="O214" s="23"/>
      <c r="P214" s="111"/>
      <c r="Q214" s="33">
        <v>5632.89</v>
      </c>
      <c r="R214" s="23"/>
      <c r="S214" s="92">
        <f t="shared" si="55"/>
        <v>3038.2399999999989</v>
      </c>
      <c r="T214" s="13"/>
      <c r="U214" s="13"/>
      <c r="V214" s="489" t="s">
        <v>280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</row>
    <row r="215" spans="1:40" ht="20.399999999999999">
      <c r="A215" t="str">
        <f t="shared" si="44"/>
        <v>ServiceInformatique</v>
      </c>
      <c r="B215" s="11" t="s">
        <v>78</v>
      </c>
      <c r="C215" s="29" t="s">
        <v>52</v>
      </c>
      <c r="D215" s="81"/>
      <c r="E215" s="13"/>
      <c r="F215" s="30">
        <v>6636.4108333333334</v>
      </c>
      <c r="G215" s="83"/>
      <c r="H215" s="13"/>
      <c r="I215" s="30"/>
      <c r="J215" s="41"/>
      <c r="K215" s="13"/>
      <c r="L215" s="108">
        <v>7113.84</v>
      </c>
      <c r="M215" s="41"/>
      <c r="N215" s="59">
        <f t="shared" si="54"/>
        <v>477.42916666666679</v>
      </c>
      <c r="O215" s="41"/>
      <c r="P215" s="13"/>
      <c r="Q215" s="108">
        <v>6173.99</v>
      </c>
      <c r="R215" s="41"/>
      <c r="S215" s="85">
        <f t="shared" si="55"/>
        <v>939.85000000000036</v>
      </c>
      <c r="T215" s="13"/>
      <c r="U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</row>
    <row r="216" spans="1:40" ht="20.399999999999999">
      <c r="A216" t="str">
        <f t="shared" si="44"/>
        <v>ServiceFrais de déplacement</v>
      </c>
      <c r="B216" s="11" t="s">
        <v>78</v>
      </c>
      <c r="C216" s="29" t="s">
        <v>53</v>
      </c>
      <c r="D216" s="81"/>
      <c r="E216" s="13"/>
      <c r="F216" s="30">
        <v>1331.25</v>
      </c>
      <c r="G216" s="83"/>
      <c r="H216" s="13"/>
      <c r="I216" s="30"/>
      <c r="J216" s="41"/>
      <c r="K216" s="13"/>
      <c r="L216" s="33">
        <v>1626.9</v>
      </c>
      <c r="M216" s="41"/>
      <c r="N216" s="59">
        <f t="shared" si="54"/>
        <v>295.65000000000009</v>
      </c>
      <c r="O216" s="41"/>
      <c r="P216" s="13"/>
      <c r="Q216" s="33">
        <v>-10.84</v>
      </c>
      <c r="R216" s="41"/>
      <c r="S216" s="85">
        <f t="shared" si="55"/>
        <v>1637.74</v>
      </c>
      <c r="T216" s="13"/>
      <c r="U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20.399999999999999">
      <c r="A217" t="str">
        <f t="shared" si="44"/>
        <v>ServiceServices extérieurs</v>
      </c>
      <c r="B217" s="11" t="s">
        <v>78</v>
      </c>
      <c r="C217" s="86" t="s">
        <v>54</v>
      </c>
      <c r="D217" s="87"/>
      <c r="E217" s="111"/>
      <c r="F217" s="22">
        <v>2199.8866666666668</v>
      </c>
      <c r="G217" s="89"/>
      <c r="H217" s="111"/>
      <c r="I217" s="22"/>
      <c r="J217" s="23"/>
      <c r="K217" s="111"/>
      <c r="L217" s="22">
        <v>10983.58</v>
      </c>
      <c r="M217" s="462"/>
      <c r="N217" s="145">
        <f t="shared" si="54"/>
        <v>8783.6933333333327</v>
      </c>
      <c r="O217" s="462"/>
      <c r="P217" s="463"/>
      <c r="Q217" s="22">
        <v>3169.86</v>
      </c>
      <c r="R217" s="23"/>
      <c r="S217" s="92">
        <f t="shared" si="55"/>
        <v>7813.7199999999993</v>
      </c>
      <c r="T217" s="13"/>
      <c r="U217" s="13"/>
      <c r="V217" s="495" t="s">
        <v>281</v>
      </c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20.399999999999999" hidden="1">
      <c r="A218" t="str">
        <f t="shared" si="44"/>
        <v>ServiceFournitures d'atelier</v>
      </c>
      <c r="B218" s="11" t="s">
        <v>78</v>
      </c>
      <c r="C218" s="29" t="s">
        <v>93</v>
      </c>
      <c r="D218" s="81"/>
      <c r="E218" s="13"/>
      <c r="F218" s="30"/>
      <c r="G218" s="83"/>
      <c r="H218" s="13"/>
      <c r="I218" s="30"/>
      <c r="J218" s="41"/>
      <c r="K218" s="13"/>
      <c r="L218" s="33">
        <v>0</v>
      </c>
      <c r="M218" s="41"/>
      <c r="N218" s="59">
        <f t="shared" si="54"/>
        <v>0</v>
      </c>
      <c r="O218" s="41"/>
      <c r="P218" s="13"/>
      <c r="Q218" s="33">
        <v>0</v>
      </c>
      <c r="R218" s="41"/>
      <c r="S218" s="85">
        <f t="shared" si="55"/>
        <v>0</v>
      </c>
      <c r="T218" s="13"/>
      <c r="U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20.399999999999999">
      <c r="A219" t="str">
        <f t="shared" si="44"/>
        <v>ServiceFournitures autres</v>
      </c>
      <c r="B219" s="11" t="s">
        <v>78</v>
      </c>
      <c r="C219" s="29" t="s">
        <v>55</v>
      </c>
      <c r="D219" s="81"/>
      <c r="E219" s="13"/>
      <c r="F219" s="30">
        <v>3250</v>
      </c>
      <c r="G219" s="83"/>
      <c r="H219" s="13"/>
      <c r="I219" s="30"/>
      <c r="J219" s="41"/>
      <c r="K219" s="13"/>
      <c r="L219" s="33">
        <v>2943.86</v>
      </c>
      <c r="M219" s="41"/>
      <c r="N219" s="59">
        <f t="shared" si="54"/>
        <v>-306.13999999999987</v>
      </c>
      <c r="O219" s="41"/>
      <c r="P219" s="13"/>
      <c r="Q219" s="33">
        <v>2667.5</v>
      </c>
      <c r="R219" s="41"/>
      <c r="S219" s="85">
        <f t="shared" si="55"/>
        <v>276.36000000000013</v>
      </c>
      <c r="T219" s="13"/>
      <c r="U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20.399999999999999">
      <c r="A220" t="str">
        <f t="shared" si="44"/>
        <v>ServiceUniformes</v>
      </c>
      <c r="B220" s="11" t="s">
        <v>78</v>
      </c>
      <c r="C220" s="29" t="s">
        <v>56</v>
      </c>
      <c r="D220" s="81"/>
      <c r="E220" s="13"/>
      <c r="F220" s="30">
        <v>1325</v>
      </c>
      <c r="G220" s="83"/>
      <c r="H220" s="13"/>
      <c r="I220" s="30"/>
      <c r="J220" s="41"/>
      <c r="K220" s="13"/>
      <c r="L220" s="33">
        <v>1172.5999999999999</v>
      </c>
      <c r="M220" s="41"/>
      <c r="N220" s="59">
        <f t="shared" si="54"/>
        <v>-152.40000000000009</v>
      </c>
      <c r="O220" s="41"/>
      <c r="P220" s="13"/>
      <c r="Q220" s="33">
        <v>1680.6</v>
      </c>
      <c r="R220" s="41"/>
      <c r="S220" s="85">
        <f t="shared" si="55"/>
        <v>-508</v>
      </c>
      <c r="T220" s="13"/>
      <c r="U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20.399999999999999">
      <c r="A221" t="str">
        <f t="shared" si="44"/>
        <v>ServicePapeterie</v>
      </c>
      <c r="B221" s="11" t="s">
        <v>78</v>
      </c>
      <c r="C221" s="29" t="s">
        <v>57</v>
      </c>
      <c r="D221" s="81"/>
      <c r="E221" s="13"/>
      <c r="F221" s="30">
        <v>362.5</v>
      </c>
      <c r="G221" s="83"/>
      <c r="H221" s="13"/>
      <c r="I221" s="30"/>
      <c r="J221" s="41"/>
      <c r="K221" s="13"/>
      <c r="L221" s="32">
        <v>363.19</v>
      </c>
      <c r="M221" s="41"/>
      <c r="N221" s="59">
        <f t="shared" si="54"/>
        <v>0.68999999999999773</v>
      </c>
      <c r="O221" s="41"/>
      <c r="P221" s="13"/>
      <c r="Q221" s="32">
        <v>559.76</v>
      </c>
      <c r="R221" s="41"/>
      <c r="S221" s="85">
        <f t="shared" si="55"/>
        <v>-196.57</v>
      </c>
      <c r="T221" s="13"/>
      <c r="U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20.399999999999999">
      <c r="A222" t="str">
        <f t="shared" si="44"/>
        <v>ServiceTéléphone</v>
      </c>
      <c r="B222" s="11" t="s">
        <v>78</v>
      </c>
      <c r="C222" s="29" t="s">
        <v>58</v>
      </c>
      <c r="D222" s="81"/>
      <c r="E222" s="13"/>
      <c r="F222" s="30">
        <v>114.25</v>
      </c>
      <c r="G222" s="83"/>
      <c r="H222" s="13"/>
      <c r="I222" s="30"/>
      <c r="J222" s="41"/>
      <c r="K222" s="13"/>
      <c r="L222" s="33">
        <v>120.43</v>
      </c>
      <c r="M222" s="41"/>
      <c r="N222" s="59">
        <f t="shared" si="54"/>
        <v>6.1800000000000068</v>
      </c>
      <c r="O222" s="41"/>
      <c r="P222" s="13"/>
      <c r="Q222" s="33">
        <v>105.66</v>
      </c>
      <c r="R222" s="41"/>
      <c r="S222" s="85">
        <f t="shared" si="55"/>
        <v>14.77000000000001</v>
      </c>
      <c r="T222" s="13"/>
      <c r="U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</row>
    <row r="223" spans="1:40" ht="20.399999999999999">
      <c r="A223" t="str">
        <f t="shared" si="44"/>
        <v>ServiceFrais postaux</v>
      </c>
      <c r="B223" s="11" t="s">
        <v>78</v>
      </c>
      <c r="C223" s="29" t="s">
        <v>59</v>
      </c>
      <c r="D223" s="81"/>
      <c r="E223" s="13"/>
      <c r="F223" s="30">
        <v>141.66666666666666</v>
      </c>
      <c r="G223" s="83"/>
      <c r="H223" s="13"/>
      <c r="I223" s="30"/>
      <c r="J223" s="41"/>
      <c r="K223" s="13"/>
      <c r="L223" s="33">
        <v>252.02</v>
      </c>
      <c r="M223" s="41"/>
      <c r="N223" s="59">
        <f t="shared" si="54"/>
        <v>110.35333333333335</v>
      </c>
      <c r="O223" s="41"/>
      <c r="P223" s="13"/>
      <c r="Q223" s="33">
        <v>205.11</v>
      </c>
      <c r="R223" s="41"/>
      <c r="S223" s="85">
        <f t="shared" si="55"/>
        <v>46.91</v>
      </c>
      <c r="T223" s="13"/>
      <c r="U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ht="20.399999999999999">
      <c r="A224" t="str">
        <f t="shared" si="44"/>
        <v>ServiceDivers</v>
      </c>
      <c r="B224" s="11" t="s">
        <v>78</v>
      </c>
      <c r="C224" s="29" t="s">
        <v>60</v>
      </c>
      <c r="D224" s="81"/>
      <c r="E224" s="13"/>
      <c r="F224" s="30">
        <v>381.66666666666663</v>
      </c>
      <c r="G224" s="83"/>
      <c r="H224" s="13"/>
      <c r="I224" s="30"/>
      <c r="J224" s="41"/>
      <c r="K224" s="13"/>
      <c r="L224" s="33">
        <v>1007.21</v>
      </c>
      <c r="M224" s="41"/>
      <c r="N224" s="59">
        <f t="shared" si="54"/>
        <v>625.54333333333341</v>
      </c>
      <c r="O224" s="41"/>
      <c r="P224" s="13"/>
      <c r="Q224" s="33">
        <v>423.07</v>
      </c>
      <c r="R224" s="41"/>
      <c r="S224" s="85">
        <f t="shared" si="55"/>
        <v>584.1400000000001</v>
      </c>
      <c r="T224" s="13"/>
      <c r="U224" s="13"/>
      <c r="V224" s="489" t="s">
        <v>282</v>
      </c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</row>
    <row r="225" spans="1:40" ht="20.399999999999999">
      <c r="A225" t="str">
        <f t="shared" si="44"/>
        <v>ServiceFormation</v>
      </c>
      <c r="B225" s="11" t="s">
        <v>78</v>
      </c>
      <c r="C225" s="29" t="s">
        <v>61</v>
      </c>
      <c r="D225" s="81"/>
      <c r="E225" s="13"/>
      <c r="F225" s="30">
        <v>1782.2466666666669</v>
      </c>
      <c r="G225" s="83"/>
      <c r="H225" s="13"/>
      <c r="I225" s="30"/>
      <c r="J225" s="41"/>
      <c r="K225" s="13"/>
      <c r="L225" s="33">
        <v>1786.09</v>
      </c>
      <c r="M225" s="41"/>
      <c r="N225" s="59">
        <f t="shared" si="54"/>
        <v>3.8433333333330211</v>
      </c>
      <c r="O225" s="41"/>
      <c r="P225" s="13"/>
      <c r="Q225" s="33">
        <v>1191.3399999999999</v>
      </c>
      <c r="R225" s="41"/>
      <c r="S225" s="85">
        <f t="shared" si="55"/>
        <v>594.75</v>
      </c>
      <c r="T225" s="13"/>
      <c r="U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20.399999999999999">
      <c r="A226" t="str">
        <f t="shared" si="44"/>
        <v>ServiceFrais bancaires</v>
      </c>
      <c r="B226" s="11" t="s">
        <v>78</v>
      </c>
      <c r="C226" s="29" t="s">
        <v>62</v>
      </c>
      <c r="D226" s="81"/>
      <c r="E226" s="13"/>
      <c r="F226" s="30">
        <v>2390.5491143270133</v>
      </c>
      <c r="G226" s="83"/>
      <c r="H226" s="13"/>
      <c r="I226" s="30"/>
      <c r="J226" s="41"/>
      <c r="K226" s="13"/>
      <c r="L226" s="33">
        <v>1787.88</v>
      </c>
      <c r="M226" s="41"/>
      <c r="N226" s="59">
        <f t="shared" si="54"/>
        <v>-602.66911432701318</v>
      </c>
      <c r="O226" s="41"/>
      <c r="P226" s="13"/>
      <c r="Q226" s="33">
        <v>845.77</v>
      </c>
      <c r="R226" s="41"/>
      <c r="S226" s="85">
        <f t="shared" si="55"/>
        <v>942.11000000000013</v>
      </c>
      <c r="T226" s="13"/>
      <c r="U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20.399999999999999" hidden="1">
      <c r="A227" t="str">
        <f t="shared" si="44"/>
        <v>Service[...]</v>
      </c>
      <c r="B227" s="11" t="s">
        <v>78</v>
      </c>
      <c r="C227" s="29" t="s">
        <v>19</v>
      </c>
      <c r="D227" s="81"/>
      <c r="E227" s="13"/>
      <c r="F227" s="30">
        <v>0</v>
      </c>
      <c r="G227" s="83"/>
      <c r="H227" s="13"/>
      <c r="I227" s="30"/>
      <c r="J227" s="41"/>
      <c r="K227" s="13"/>
      <c r="L227" s="33">
        <v>0</v>
      </c>
      <c r="M227" s="41"/>
      <c r="N227" s="59">
        <f t="shared" si="54"/>
        <v>0</v>
      </c>
      <c r="O227" s="41"/>
      <c r="P227" s="13"/>
      <c r="Q227" s="33">
        <v>0</v>
      </c>
      <c r="R227" s="41"/>
      <c r="S227" s="85">
        <f t="shared" si="55"/>
        <v>0</v>
      </c>
      <c r="T227" s="13"/>
      <c r="U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20.399999999999999" hidden="1">
      <c r="A228" t="str">
        <f t="shared" si="44"/>
        <v>Service[...]</v>
      </c>
      <c r="B228" s="11" t="s">
        <v>78</v>
      </c>
      <c r="C228" s="29" t="s">
        <v>19</v>
      </c>
      <c r="D228" s="81"/>
      <c r="E228" s="13"/>
      <c r="F228" s="30">
        <v>0</v>
      </c>
      <c r="G228" s="83"/>
      <c r="H228" s="13"/>
      <c r="I228" s="30"/>
      <c r="J228" s="41"/>
      <c r="K228" s="13"/>
      <c r="L228" s="33">
        <v>0</v>
      </c>
      <c r="M228" s="41"/>
      <c r="N228" s="59">
        <f t="shared" si="54"/>
        <v>0</v>
      </c>
      <c r="O228" s="41"/>
      <c r="P228" s="13"/>
      <c r="Q228" s="33">
        <v>0</v>
      </c>
      <c r="R228" s="41"/>
      <c r="S228" s="85">
        <f t="shared" si="55"/>
        <v>0</v>
      </c>
      <c r="T228" s="13"/>
      <c r="U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20.399999999999999" hidden="1">
      <c r="A229" t="str">
        <f t="shared" si="44"/>
        <v>Service[...]</v>
      </c>
      <c r="B229" s="11" t="s">
        <v>78</v>
      </c>
      <c r="C229" s="29" t="s">
        <v>19</v>
      </c>
      <c r="D229" s="81"/>
      <c r="E229" s="13"/>
      <c r="F229" s="30">
        <v>0</v>
      </c>
      <c r="G229" s="83"/>
      <c r="H229" s="13"/>
      <c r="I229" s="30"/>
      <c r="J229" s="41"/>
      <c r="K229" s="13"/>
      <c r="L229" s="33">
        <v>0</v>
      </c>
      <c r="M229" s="41"/>
      <c r="N229" s="59">
        <f t="shared" si="54"/>
        <v>0</v>
      </c>
      <c r="O229" s="41"/>
      <c r="P229" s="13"/>
      <c r="Q229" s="33">
        <v>0</v>
      </c>
      <c r="R229" s="41"/>
      <c r="S229" s="85">
        <f t="shared" si="55"/>
        <v>0</v>
      </c>
      <c r="T229" s="13"/>
      <c r="U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21">
      <c r="B230" s="11"/>
      <c r="C230" s="93" t="s">
        <v>63</v>
      </c>
      <c r="D230" s="94" t="s">
        <v>92</v>
      </c>
      <c r="E230" s="95">
        <f>F230/F$195</f>
        <v>0.25047130951047986</v>
      </c>
      <c r="F230" s="96">
        <f>+SUM(F212:F229)</f>
        <v>32473.165651551251</v>
      </c>
      <c r="G230" s="97"/>
      <c r="H230" s="95"/>
      <c r="I230" s="96"/>
      <c r="J230" s="97" t="s">
        <v>92</v>
      </c>
      <c r="K230" s="95">
        <f>L230/L$195</f>
        <v>0.4269283351374944</v>
      </c>
      <c r="L230" s="96">
        <f>+SUM(L212:L229)</f>
        <v>46226.719999999994</v>
      </c>
      <c r="M230" s="100"/>
      <c r="N230" s="96">
        <f t="shared" si="54"/>
        <v>13753.554348448743</v>
      </c>
      <c r="O230" s="97" t="s">
        <v>92</v>
      </c>
      <c r="P230" s="95">
        <f>Q230/Q$195</f>
        <v>0.28137625230893104</v>
      </c>
      <c r="Q230" s="96">
        <f>+SUM(Q212:Q229)</f>
        <v>29131.66</v>
      </c>
      <c r="R230" s="100"/>
      <c r="S230" s="101">
        <f t="shared" si="55"/>
        <v>17095.059999999994</v>
      </c>
      <c r="T230" s="13"/>
      <c r="U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20.399999999999999">
      <c r="B231" s="11"/>
      <c r="C231" s="86"/>
      <c r="D231" s="87"/>
      <c r="E231" s="111"/>
      <c r="F231" s="59"/>
      <c r="G231" s="89"/>
      <c r="H231" s="111"/>
      <c r="I231" s="59"/>
      <c r="J231" s="23"/>
      <c r="K231" s="111"/>
      <c r="L231" s="91"/>
      <c r="M231" s="23"/>
      <c r="N231" s="91"/>
      <c r="O231" s="23"/>
      <c r="P231" s="111"/>
      <c r="Q231" s="91"/>
      <c r="R231" s="23"/>
      <c r="S231" s="92"/>
      <c r="T231" s="13"/>
      <c r="U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21">
      <c r="B232" s="11"/>
      <c r="C232" s="93" t="s">
        <v>64</v>
      </c>
      <c r="D232" s="94" t="s">
        <v>38</v>
      </c>
      <c r="E232" s="95">
        <f>F232/F$195</f>
        <v>0.89932433764544029</v>
      </c>
      <c r="F232" s="96">
        <f>F211+F230</f>
        <v>116595.82188438266</v>
      </c>
      <c r="G232" s="97"/>
      <c r="H232" s="95"/>
      <c r="I232" s="96"/>
      <c r="J232" s="97" t="s">
        <v>38</v>
      </c>
      <c r="K232" s="95">
        <f>L232/L$195</f>
        <v>1.0716298598406482</v>
      </c>
      <c r="L232" s="96">
        <f>L211+L230</f>
        <v>116033.37</v>
      </c>
      <c r="M232" s="100"/>
      <c r="N232" s="113">
        <f>L232-F232</f>
        <v>-562.45188438266632</v>
      </c>
      <c r="O232" s="97" t="s">
        <v>38</v>
      </c>
      <c r="P232" s="95">
        <f>Q232/Q$195</f>
        <v>0.93398398729059295</v>
      </c>
      <c r="Q232" s="96">
        <f>Q211+Q230</f>
        <v>96697.94</v>
      </c>
      <c r="R232" s="100"/>
      <c r="S232" s="114">
        <f>L232-Q232</f>
        <v>19335.429999999993</v>
      </c>
      <c r="T232" s="13"/>
      <c r="U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20.399999999999999">
      <c r="B233" s="11"/>
      <c r="C233" s="29"/>
      <c r="D233" s="81"/>
      <c r="E233" s="13"/>
      <c r="F233" s="59"/>
      <c r="G233" s="83"/>
      <c r="H233" s="13"/>
      <c r="I233" s="59"/>
      <c r="J233" s="41"/>
      <c r="K233" s="13"/>
      <c r="L233" s="59"/>
      <c r="M233" s="41"/>
      <c r="N233" s="59"/>
      <c r="O233" s="41"/>
      <c r="P233" s="13"/>
      <c r="Q233" s="59"/>
      <c r="R233" s="41"/>
      <c r="S233" s="85"/>
      <c r="T233" s="13"/>
      <c r="U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21.6" thickBot="1">
      <c r="B234" s="11"/>
      <c r="C234" s="124" t="s">
        <v>69</v>
      </c>
      <c r="D234" s="151"/>
      <c r="E234" s="125"/>
      <c r="F234" s="127">
        <f>F195-F232</f>
        <v>13052.422918651573</v>
      </c>
      <c r="G234" s="152"/>
      <c r="H234" s="125"/>
      <c r="I234" s="127"/>
      <c r="J234" s="153"/>
      <c r="K234" s="126"/>
      <c r="L234" s="127">
        <f>L195-L232</f>
        <v>-7755.8999999999942</v>
      </c>
      <c r="M234" s="153"/>
      <c r="N234" s="127">
        <f>L234-F234</f>
        <v>-20808.322918651567</v>
      </c>
      <c r="O234" s="153"/>
      <c r="P234" s="126"/>
      <c r="Q234" s="127">
        <f>Q195-Q232</f>
        <v>6834.8199999999924</v>
      </c>
      <c r="R234" s="153"/>
      <c r="S234" s="129">
        <f>L234-Q234</f>
        <v>-14590.719999999987</v>
      </c>
      <c r="T234" s="13"/>
      <c r="U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21" thickTop="1">
      <c r="B235" s="11"/>
      <c r="C235" s="13"/>
      <c r="D235" s="13"/>
      <c r="E235" s="13"/>
      <c r="F235" s="13"/>
      <c r="G235" s="13"/>
      <c r="H235" s="13"/>
      <c r="I235" s="13"/>
      <c r="J235" s="13"/>
      <c r="K235" s="13"/>
      <c r="L235" s="82"/>
      <c r="M235" s="82"/>
      <c r="N235" s="13"/>
      <c r="O235" s="82"/>
      <c r="P235" s="13"/>
      <c r="Q235" s="82"/>
      <c r="R235" s="13"/>
      <c r="S235" s="13"/>
      <c r="T235" s="13"/>
      <c r="U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20.399999999999999">
      <c r="B236" s="11"/>
      <c r="C236" s="10"/>
      <c r="D236" s="10"/>
      <c r="E236" s="10"/>
      <c r="F236" s="154"/>
      <c r="G236" s="10"/>
      <c r="H236" s="10"/>
      <c r="I236" s="10"/>
      <c r="J236" s="10"/>
      <c r="K236" s="10"/>
      <c r="L236" s="154"/>
      <c r="M236" s="154"/>
      <c r="N236" s="10"/>
      <c r="O236" s="154"/>
      <c r="P236" s="10"/>
      <c r="Q236" s="154"/>
      <c r="R236" s="10"/>
      <c r="S236" s="10"/>
      <c r="T236" s="10"/>
      <c r="U236" s="10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35.4" hidden="1">
      <c r="B237" s="11"/>
      <c r="C237" s="6" t="str">
        <f>C1</f>
        <v>BMW Sherbrooke</v>
      </c>
      <c r="D237" s="2"/>
      <c r="E237" s="2"/>
      <c r="F237" s="2"/>
      <c r="G237" s="2"/>
      <c r="H237" s="1"/>
      <c r="I237" s="1"/>
      <c r="J237" s="1"/>
      <c r="K237" s="3" t="s">
        <v>94</v>
      </c>
      <c r="L237" s="2"/>
      <c r="M237" s="2"/>
      <c r="N237" s="1"/>
      <c r="O237" s="1"/>
      <c r="P237" s="2"/>
      <c r="Q237" s="1"/>
      <c r="R237" s="2"/>
      <c r="S237" s="5" t="str">
        <f>$S$1</f>
        <v>Réalisé, Septembre 2026</v>
      </c>
      <c r="T237" s="2"/>
      <c r="U237" s="6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</row>
    <row r="238" spans="1:40" ht="35.4" hidden="1">
      <c r="B238" s="11"/>
      <c r="C238" s="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</row>
    <row r="239" spans="1:40" ht="21.6" hidden="1" thickTop="1">
      <c r="B239" s="11"/>
      <c r="C239" s="12"/>
      <c r="D239" s="506" t="s">
        <v>5</v>
      </c>
      <c r="E239" s="507"/>
      <c r="F239" s="508"/>
      <c r="G239" s="509"/>
      <c r="H239" s="507"/>
      <c r="I239" s="508"/>
      <c r="J239" s="509" t="s">
        <v>7</v>
      </c>
      <c r="K239" s="507"/>
      <c r="L239" s="508"/>
      <c r="M239" s="509" t="s">
        <v>212</v>
      </c>
      <c r="N239" s="508"/>
      <c r="O239" s="506" t="s">
        <v>8</v>
      </c>
      <c r="P239" s="507"/>
      <c r="Q239" s="508"/>
      <c r="R239" s="504" t="s">
        <v>213</v>
      </c>
      <c r="S239" s="505"/>
      <c r="T239" s="148"/>
      <c r="U239" s="13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</row>
    <row r="240" spans="1:40" ht="20.399999999999999" hidden="1">
      <c r="A240" t="str">
        <f t="shared" ref="A240:A285" si="56">+B240&amp;C240</f>
        <v>Carrosserie</v>
      </c>
      <c r="B240" s="11" t="s">
        <v>94</v>
      </c>
      <c r="C240" s="29"/>
      <c r="D240" s="80" t="s">
        <v>39</v>
      </c>
      <c r="E240" s="80" t="s">
        <v>79</v>
      </c>
      <c r="F240" s="134" t="s">
        <v>12</v>
      </c>
      <c r="G240" s="135"/>
      <c r="H240" s="80"/>
      <c r="I240" s="134"/>
      <c r="J240" s="135" t="s">
        <v>39</v>
      </c>
      <c r="K240" s="80" t="s">
        <v>79</v>
      </c>
      <c r="L240" s="134" t="s">
        <v>12</v>
      </c>
      <c r="M240" s="135" t="s">
        <v>39</v>
      </c>
      <c r="N240" s="134" t="s">
        <v>216</v>
      </c>
      <c r="O240" s="80" t="s">
        <v>39</v>
      </c>
      <c r="P240" s="80" t="s">
        <v>79</v>
      </c>
      <c r="Q240" s="134" t="s">
        <v>12</v>
      </c>
      <c r="R240" s="135" t="s">
        <v>80</v>
      </c>
      <c r="S240" s="136" t="s">
        <v>12</v>
      </c>
      <c r="T240" s="80"/>
      <c r="U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20.399999999999999" hidden="1">
      <c r="A241" t="str">
        <f t="shared" si="56"/>
        <v>Carrosserie</v>
      </c>
      <c r="B241" s="11" t="s">
        <v>94</v>
      </c>
      <c r="C241" s="29"/>
      <c r="D241" s="80"/>
      <c r="E241" s="80"/>
      <c r="F241" s="134"/>
      <c r="G241" s="135"/>
      <c r="H241" s="80"/>
      <c r="I241" s="134"/>
      <c r="J241" s="135"/>
      <c r="K241" s="30"/>
      <c r="L241" s="33"/>
      <c r="M241" s="135"/>
      <c r="N241" s="134"/>
      <c r="O241" s="80"/>
      <c r="P241" s="80"/>
      <c r="Q241" s="134"/>
      <c r="R241" s="135"/>
      <c r="S241" s="136"/>
      <c r="T241" s="80"/>
      <c r="U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20.399999999999999" hidden="1">
      <c r="A242" t="str">
        <f t="shared" si="56"/>
        <v>CarrosserieM/O Sous-traitement</v>
      </c>
      <c r="B242" s="11" t="s">
        <v>94</v>
      </c>
      <c r="C242" s="29" t="s">
        <v>95</v>
      </c>
      <c r="D242" s="80">
        <v>0</v>
      </c>
      <c r="E242" s="82">
        <v>0</v>
      </c>
      <c r="F242" s="82">
        <v>0</v>
      </c>
      <c r="G242" s="155"/>
      <c r="H242" s="82"/>
      <c r="I242" s="82"/>
      <c r="J242" s="60">
        <v>0</v>
      </c>
      <c r="K242" s="30">
        <v>0</v>
      </c>
      <c r="L242" s="33">
        <v>0</v>
      </c>
      <c r="M242" s="156">
        <f>IFERROR((K242-E242)/E242,0)</f>
        <v>0</v>
      </c>
      <c r="N242" s="59">
        <f>L242-F242</f>
        <v>0</v>
      </c>
      <c r="O242" s="60">
        <v>0</v>
      </c>
      <c r="P242" s="30">
        <v>0</v>
      </c>
      <c r="Q242" s="33">
        <v>0</v>
      </c>
      <c r="R242" s="156">
        <f>IF(O242=0,0,J242/O242)</f>
        <v>0</v>
      </c>
      <c r="S242" s="85">
        <f>L242-Q242</f>
        <v>0</v>
      </c>
      <c r="T242" s="80"/>
      <c r="U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20.399999999999999" hidden="1">
      <c r="A243" t="str">
        <f t="shared" si="56"/>
        <v>Carrosserie% profit / ventes</v>
      </c>
      <c r="B243" s="11" t="s">
        <v>94</v>
      </c>
      <c r="C243" s="29" t="s">
        <v>82</v>
      </c>
      <c r="D243" s="80"/>
      <c r="E243" s="143"/>
      <c r="F243" s="157">
        <f>IFERROR(F242/E242,0)</f>
        <v>0</v>
      </c>
      <c r="G243" s="41"/>
      <c r="H243" s="143"/>
      <c r="I243" s="157"/>
      <c r="J243" s="60"/>
      <c r="K243" s="13"/>
      <c r="L243" s="157">
        <f>IFERROR(L242/K242,0)</f>
        <v>0</v>
      </c>
      <c r="M243" s="156"/>
      <c r="N243" s="465">
        <f>IFERROR(N242/M242,0)</f>
        <v>0</v>
      </c>
      <c r="O243" s="60"/>
      <c r="P243" s="13"/>
      <c r="Q243" s="157">
        <f>IFERROR(Q242/P242,0)</f>
        <v>0</v>
      </c>
      <c r="R243" s="60"/>
      <c r="S243" s="85">
        <f>IFERROR(S242/R242,0)</f>
        <v>0</v>
      </c>
      <c r="T243" s="80"/>
      <c r="U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20.399999999999999" hidden="1">
      <c r="A244" t="str">
        <f t="shared" si="56"/>
        <v>Carrosserie</v>
      </c>
      <c r="B244" s="11" t="s">
        <v>94</v>
      </c>
      <c r="C244" s="29"/>
      <c r="D244" s="80"/>
      <c r="E244" s="206"/>
      <c r="F244" s="466"/>
      <c r="G244" s="135"/>
      <c r="H244" s="206"/>
      <c r="I244" s="466"/>
      <c r="J244" s="135"/>
      <c r="K244" s="80"/>
      <c r="L244" s="134"/>
      <c r="M244" s="135"/>
      <c r="N244" s="134"/>
      <c r="O244" s="135"/>
      <c r="P244" s="80"/>
      <c r="Q244" s="134"/>
      <c r="R244" s="207"/>
      <c r="S244" s="136"/>
      <c r="T244" s="80"/>
      <c r="U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20.399999999999999" hidden="1">
      <c r="A245" t="str">
        <f t="shared" si="56"/>
        <v>CarrosserieM/O Carrosserie</v>
      </c>
      <c r="B245" s="11" t="s">
        <v>94</v>
      </c>
      <c r="C245" s="14" t="s">
        <v>96</v>
      </c>
      <c r="D245" s="105">
        <v>0</v>
      </c>
      <c r="E245" s="82">
        <v>0</v>
      </c>
      <c r="F245" s="82">
        <v>0</v>
      </c>
      <c r="G245" s="208"/>
      <c r="H245" s="82"/>
      <c r="I245" s="82"/>
      <c r="J245" s="163">
        <v>0</v>
      </c>
      <c r="K245" s="164">
        <v>0</v>
      </c>
      <c r="L245" s="108">
        <v>0</v>
      </c>
      <c r="M245" s="172">
        <f>IFERROR((K245-E245)/E245,0)</f>
        <v>0</v>
      </c>
      <c r="N245" s="109">
        <f>L245-F245</f>
        <v>0</v>
      </c>
      <c r="O245" s="163">
        <v>0</v>
      </c>
      <c r="P245" s="164">
        <v>0</v>
      </c>
      <c r="Q245" s="108">
        <v>0</v>
      </c>
      <c r="R245" s="156">
        <f>IF(O245=0,0,J245/O245)</f>
        <v>0</v>
      </c>
      <c r="S245" s="110">
        <f>L245-Q245</f>
        <v>0</v>
      </c>
      <c r="T245" s="147"/>
      <c r="U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20.399999999999999" hidden="1">
      <c r="A246" t="str">
        <f t="shared" si="56"/>
        <v>Carrosserie% profit / ventes</v>
      </c>
      <c r="B246" s="11" t="s">
        <v>94</v>
      </c>
      <c r="C246" s="29" t="s">
        <v>82</v>
      </c>
      <c r="D246" s="13"/>
      <c r="E246" s="143"/>
      <c r="F246" s="157" t="e">
        <f>F245/E245</f>
        <v>#DIV/0!</v>
      </c>
      <c r="G246" s="41"/>
      <c r="H246" s="143"/>
      <c r="I246" s="157"/>
      <c r="J246" s="60"/>
      <c r="K246" s="13"/>
      <c r="L246" s="157">
        <f>IFERROR(L245/K245,0)</f>
        <v>0</v>
      </c>
      <c r="M246" s="156"/>
      <c r="N246" s="59">
        <f>IFERROR(N245/F245,0)</f>
        <v>0</v>
      </c>
      <c r="O246" s="60"/>
      <c r="P246" s="13"/>
      <c r="Q246" s="157">
        <f>IFERROR(Q245/P245,0)</f>
        <v>0</v>
      </c>
      <c r="R246" s="60"/>
      <c r="S246" s="85">
        <f>IF(Q245=0,0,S245/Q245)</f>
        <v>0</v>
      </c>
      <c r="T246" s="147"/>
      <c r="U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20.399999999999999" hidden="1">
      <c r="A247" t="str">
        <f t="shared" si="56"/>
        <v>Carrosserie</v>
      </c>
      <c r="B247" s="11" t="s">
        <v>94</v>
      </c>
      <c r="C247" s="86"/>
      <c r="D247" s="111"/>
      <c r="E247" s="158"/>
      <c r="F247" s="159"/>
      <c r="G247" s="23"/>
      <c r="H247" s="169"/>
      <c r="I247" s="159"/>
      <c r="J247" s="160"/>
      <c r="K247" s="209"/>
      <c r="L247" s="159"/>
      <c r="M247" s="161"/>
      <c r="N247" s="91"/>
      <c r="O247" s="160"/>
      <c r="P247" s="209"/>
      <c r="Q247" s="159"/>
      <c r="R247" s="160"/>
      <c r="S247" s="92"/>
      <c r="T247" s="147"/>
      <c r="U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20.399999999999999" hidden="1">
      <c r="A248" t="str">
        <f t="shared" si="56"/>
        <v>CarrosserieM/O Esthétique Carr.</v>
      </c>
      <c r="B248" s="11" t="s">
        <v>94</v>
      </c>
      <c r="C248" s="14" t="s">
        <v>97</v>
      </c>
      <c r="D248" s="162">
        <v>0</v>
      </c>
      <c r="E248" s="82">
        <v>0</v>
      </c>
      <c r="F248" s="82">
        <v>0</v>
      </c>
      <c r="G248" s="163"/>
      <c r="H248" s="82"/>
      <c r="I248" s="82"/>
      <c r="J248" s="163">
        <v>0</v>
      </c>
      <c r="K248" s="30">
        <v>0</v>
      </c>
      <c r="L248" s="33">
        <v>0</v>
      </c>
      <c r="M248" s="156">
        <f>IFERROR((K248-E248)/E248,0)</f>
        <v>0</v>
      </c>
      <c r="N248" s="109">
        <f>L248-F248</f>
        <v>0</v>
      </c>
      <c r="O248" s="163">
        <v>0</v>
      </c>
      <c r="P248" s="30">
        <v>0</v>
      </c>
      <c r="Q248" s="33">
        <v>0</v>
      </c>
      <c r="R248" s="156">
        <f>IF(O248=0,0,J248/O248)</f>
        <v>0</v>
      </c>
      <c r="S248" s="85">
        <f>L248-Q248</f>
        <v>0</v>
      </c>
      <c r="T248" s="147"/>
      <c r="U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21" hidden="1">
      <c r="A249" t="str">
        <f t="shared" si="56"/>
        <v>Carrosserie% profit / ventes</v>
      </c>
      <c r="B249" s="11" t="s">
        <v>94</v>
      </c>
      <c r="C249" s="29" t="s">
        <v>82</v>
      </c>
      <c r="D249" s="13"/>
      <c r="E249" s="13"/>
      <c r="F249" s="157" t="e">
        <f>F248/E248</f>
        <v>#DIV/0!</v>
      </c>
      <c r="G249" s="41"/>
      <c r="H249" s="13"/>
      <c r="I249" s="157"/>
      <c r="J249" s="41"/>
      <c r="K249" s="13"/>
      <c r="L249" s="157">
        <f>IFERROR(L248/K248,0)</f>
        <v>0</v>
      </c>
      <c r="M249" s="42"/>
      <c r="N249" s="43">
        <f>IF(L248=0,0,N248/L248)</f>
        <v>0</v>
      </c>
      <c r="O249" s="41"/>
      <c r="P249" s="13"/>
      <c r="Q249" s="157">
        <f>IFERROR(Q248/P248,0)</f>
        <v>0</v>
      </c>
      <c r="R249" s="42"/>
      <c r="S249" s="44">
        <f>IF(Q248=0,0,S248/Q248)</f>
        <v>0</v>
      </c>
      <c r="T249" s="147"/>
      <c r="U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21" hidden="1">
      <c r="A250" t="str">
        <f t="shared" si="56"/>
        <v>Carrosserie</v>
      </c>
      <c r="B250" s="11" t="s">
        <v>94</v>
      </c>
      <c r="C250" s="29"/>
      <c r="D250" s="13"/>
      <c r="E250" s="13"/>
      <c r="F250" s="157"/>
      <c r="G250" s="41"/>
      <c r="H250" s="13"/>
      <c r="I250" s="157"/>
      <c r="J250" s="41"/>
      <c r="K250" s="13"/>
      <c r="L250" s="157"/>
      <c r="M250" s="42"/>
      <c r="N250" s="43"/>
      <c r="O250" s="41"/>
      <c r="P250" s="13"/>
      <c r="Q250" s="157"/>
      <c r="R250" s="42"/>
      <c r="S250" s="44"/>
      <c r="T250" s="147"/>
      <c r="U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21.6" hidden="1" thickTop="1">
      <c r="A251" t="str">
        <f t="shared" si="56"/>
        <v>CarrosserieTotal Mécanique</v>
      </c>
      <c r="B251" s="11" t="s">
        <v>94</v>
      </c>
      <c r="C251" s="62" t="s">
        <v>91</v>
      </c>
      <c r="D251" s="63"/>
      <c r="E251" s="63">
        <f t="shared" ref="E251:F251" si="57">E245+E248+E242</f>
        <v>0</v>
      </c>
      <c r="F251" s="65">
        <f t="shared" si="57"/>
        <v>0</v>
      </c>
      <c r="G251" s="66"/>
      <c r="H251" s="63"/>
      <c r="I251" s="65"/>
      <c r="J251" s="66"/>
      <c r="K251" s="63">
        <f t="shared" ref="K251:L251" si="58">K245+K248+K242</f>
        <v>0</v>
      </c>
      <c r="L251" s="65">
        <f t="shared" si="58"/>
        <v>0</v>
      </c>
      <c r="M251" s="205" t="e">
        <f>L252-F252</f>
        <v>#DIV/0!</v>
      </c>
      <c r="N251" s="65">
        <f>L251-F251</f>
        <v>0</v>
      </c>
      <c r="O251" s="66"/>
      <c r="P251" s="63">
        <f t="shared" ref="P251:Q251" si="59">P245+P248+P242</f>
        <v>0</v>
      </c>
      <c r="Q251" s="65">
        <f t="shared" si="59"/>
        <v>0</v>
      </c>
      <c r="R251" s="205" t="e">
        <f>L252-Q252</f>
        <v>#DIV/0!</v>
      </c>
      <c r="S251" s="68">
        <f>L251-Q251</f>
        <v>0</v>
      </c>
      <c r="T251" s="147"/>
      <c r="U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21.6" hidden="1" thickBot="1">
      <c r="A252" t="str">
        <f t="shared" si="56"/>
        <v>Carrosserie</v>
      </c>
      <c r="B252" s="11" t="s">
        <v>94</v>
      </c>
      <c r="C252" s="69"/>
      <c r="D252" s="70"/>
      <c r="E252" s="70"/>
      <c r="F252" s="74" t="e">
        <f>F251/E251</f>
        <v>#DIV/0!</v>
      </c>
      <c r="G252" s="72"/>
      <c r="H252" s="70"/>
      <c r="I252" s="74"/>
      <c r="J252" s="72"/>
      <c r="K252" s="70"/>
      <c r="L252" s="74">
        <f>IF(K251=0,0,L251/K251)</f>
        <v>0</v>
      </c>
      <c r="M252" s="73"/>
      <c r="N252" s="74" t="e">
        <f>N251/F251</f>
        <v>#DIV/0!</v>
      </c>
      <c r="O252" s="72"/>
      <c r="P252" s="70"/>
      <c r="Q252" s="74" t="e">
        <f>Q251/P251</f>
        <v>#DIV/0!</v>
      </c>
      <c r="R252" s="73"/>
      <c r="S252" s="75" t="e">
        <f>IF(R251=0,0,S251/R251)</f>
        <v>#DIV/0!</v>
      </c>
      <c r="T252" s="147"/>
      <c r="U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20.399999999999999" hidden="1">
      <c r="A253" t="str">
        <f t="shared" si="56"/>
        <v>Carrosserie</v>
      </c>
      <c r="B253" s="11" t="s">
        <v>94</v>
      </c>
      <c r="C253" s="29"/>
      <c r="D253" s="13"/>
      <c r="E253" s="13"/>
      <c r="F253" s="59"/>
      <c r="G253" s="41"/>
      <c r="H253" s="13"/>
      <c r="I253" s="59"/>
      <c r="J253" s="41"/>
      <c r="K253" s="13"/>
      <c r="L253" s="40"/>
      <c r="M253" s="41"/>
      <c r="N253" s="40"/>
      <c r="O253" s="41"/>
      <c r="P253" s="13"/>
      <c r="Q253" s="40"/>
      <c r="R253" s="41"/>
      <c r="S253" s="61"/>
      <c r="T253" s="13"/>
      <c r="U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21" hidden="1">
      <c r="A254" t="str">
        <f t="shared" si="56"/>
        <v>CarrosserieDEPENSES</v>
      </c>
      <c r="B254" s="11" t="s">
        <v>94</v>
      </c>
      <c r="C254" s="79" t="s">
        <v>29</v>
      </c>
      <c r="D254" s="13"/>
      <c r="E254" s="13"/>
      <c r="F254" s="59"/>
      <c r="G254" s="41"/>
      <c r="H254" s="13"/>
      <c r="I254" s="59"/>
      <c r="J254" s="41"/>
      <c r="K254" s="13"/>
      <c r="L254" s="40"/>
      <c r="M254" s="41"/>
      <c r="N254" s="40"/>
      <c r="O254" s="41"/>
      <c r="P254" s="13"/>
      <c r="Q254" s="40"/>
      <c r="R254" s="41"/>
      <c r="S254" s="61"/>
      <c r="T254" s="13"/>
      <c r="U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20.399999999999999" hidden="1">
      <c r="A255" t="str">
        <f t="shared" si="56"/>
        <v>CarrosserieSalaires cadres</v>
      </c>
      <c r="B255" s="11" t="s">
        <v>94</v>
      </c>
      <c r="C255" s="102" t="s">
        <v>40</v>
      </c>
      <c r="D255" s="13"/>
      <c r="E255" s="13"/>
      <c r="F255" s="30">
        <v>0</v>
      </c>
      <c r="G255" s="41"/>
      <c r="H255" s="13"/>
      <c r="I255" s="30"/>
      <c r="J255" s="41"/>
      <c r="K255" s="13"/>
      <c r="L255" s="33">
        <v>0</v>
      </c>
      <c r="M255" s="41"/>
      <c r="N255" s="59">
        <f t="shared" ref="N255:N285" si="60">L255-F255</f>
        <v>0</v>
      </c>
      <c r="O255" s="41"/>
      <c r="P255" s="13"/>
      <c r="Q255" s="33">
        <v>0</v>
      </c>
      <c r="R255" s="41"/>
      <c r="S255" s="85">
        <f t="shared" ref="S255:S286" si="61">L255-Q255</f>
        <v>0</v>
      </c>
      <c r="T255" s="13"/>
      <c r="U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20.399999999999999" hidden="1">
      <c r="A256" t="str">
        <f t="shared" si="56"/>
        <v>CarrosserieSalaires commis</v>
      </c>
      <c r="B256" s="11" t="s">
        <v>94</v>
      </c>
      <c r="C256" s="103" t="s">
        <v>41</v>
      </c>
      <c r="D256" s="81"/>
      <c r="E256" s="13"/>
      <c r="F256" s="22">
        <v>0</v>
      </c>
      <c r="G256" s="83"/>
      <c r="H256" s="13"/>
      <c r="I256" s="22"/>
      <c r="J256" s="41"/>
      <c r="K256" s="13"/>
      <c r="L256" s="33">
        <v>0</v>
      </c>
      <c r="M256" s="41"/>
      <c r="N256" s="59">
        <f t="shared" si="60"/>
        <v>0</v>
      </c>
      <c r="O256" s="41"/>
      <c r="P256" s="13"/>
      <c r="Q256" s="33">
        <v>0</v>
      </c>
      <c r="R256" s="41"/>
      <c r="S256" s="85">
        <f t="shared" si="61"/>
        <v>0</v>
      </c>
      <c r="T256" s="13"/>
      <c r="U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20.399999999999999" hidden="1">
      <c r="A257" t="str">
        <f t="shared" si="56"/>
        <v>CarrosserieSalaires autres</v>
      </c>
      <c r="B257" s="11" t="s">
        <v>94</v>
      </c>
      <c r="C257" s="102" t="s">
        <v>42</v>
      </c>
      <c r="D257" s="104"/>
      <c r="E257" s="105"/>
      <c r="F257" s="30">
        <v>0</v>
      </c>
      <c r="G257" s="106"/>
      <c r="H257" s="105"/>
      <c r="I257" s="30"/>
      <c r="J257" s="107"/>
      <c r="K257" s="105"/>
      <c r="L257" s="108">
        <v>0</v>
      </c>
      <c r="M257" s="107"/>
      <c r="N257" s="109">
        <f t="shared" si="60"/>
        <v>0</v>
      </c>
      <c r="O257" s="107"/>
      <c r="P257" s="105"/>
      <c r="Q257" s="108">
        <v>0</v>
      </c>
      <c r="R257" s="107"/>
      <c r="S257" s="110">
        <f t="shared" si="61"/>
        <v>0</v>
      </c>
      <c r="T257" s="13"/>
      <c r="U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20.399999999999999" hidden="1">
      <c r="A258" t="str">
        <f t="shared" si="56"/>
        <v>CarrosserieSalaires spécialistes</v>
      </c>
      <c r="B258" s="11" t="s">
        <v>94</v>
      </c>
      <c r="C258" s="102" t="s">
        <v>43</v>
      </c>
      <c r="D258" s="81"/>
      <c r="E258" s="13"/>
      <c r="F258" s="30">
        <v>0</v>
      </c>
      <c r="G258" s="83"/>
      <c r="H258" s="13"/>
      <c r="I258" s="30"/>
      <c r="J258" s="41"/>
      <c r="K258" s="13"/>
      <c r="L258" s="33">
        <v>0</v>
      </c>
      <c r="M258" s="41"/>
      <c r="N258" s="59">
        <f t="shared" si="60"/>
        <v>0</v>
      </c>
      <c r="O258" s="41"/>
      <c r="P258" s="13"/>
      <c r="Q258" s="33">
        <v>0</v>
      </c>
      <c r="R258" s="41"/>
      <c r="S258" s="85">
        <f t="shared" si="61"/>
        <v>0</v>
      </c>
      <c r="T258" s="13"/>
      <c r="U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20.399999999999999" hidden="1">
      <c r="A259" t="str">
        <f t="shared" si="56"/>
        <v>Carrosserie[...]</v>
      </c>
      <c r="B259" s="11" t="s">
        <v>94</v>
      </c>
      <c r="C259" s="29" t="s">
        <v>19</v>
      </c>
      <c r="D259" s="81"/>
      <c r="E259" s="13"/>
      <c r="F259" s="30">
        <v>0</v>
      </c>
      <c r="G259" s="83"/>
      <c r="H259" s="13"/>
      <c r="I259" s="30"/>
      <c r="J259" s="41"/>
      <c r="K259" s="13"/>
      <c r="L259" s="33">
        <v>0</v>
      </c>
      <c r="M259" s="41"/>
      <c r="N259" s="59">
        <f t="shared" si="60"/>
        <v>0</v>
      </c>
      <c r="O259" s="41"/>
      <c r="P259" s="13"/>
      <c r="Q259" s="33">
        <v>0</v>
      </c>
      <c r="R259" s="41"/>
      <c r="S259" s="85">
        <f t="shared" si="61"/>
        <v>0</v>
      </c>
      <c r="T259" s="13"/>
      <c r="U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20.399999999999999" hidden="1">
      <c r="A260" t="str">
        <f t="shared" si="56"/>
        <v>Carrosserie[...]</v>
      </c>
      <c r="B260" s="11" t="s">
        <v>94</v>
      </c>
      <c r="C260" s="29" t="s">
        <v>19</v>
      </c>
      <c r="D260" s="81"/>
      <c r="E260" s="13"/>
      <c r="F260" s="30">
        <v>0</v>
      </c>
      <c r="G260" s="83"/>
      <c r="H260" s="13"/>
      <c r="I260" s="30"/>
      <c r="J260" s="41"/>
      <c r="K260" s="13"/>
      <c r="L260" s="33">
        <v>0</v>
      </c>
      <c r="M260" s="41"/>
      <c r="N260" s="59">
        <f t="shared" si="60"/>
        <v>0</v>
      </c>
      <c r="O260" s="41"/>
      <c r="P260" s="13"/>
      <c r="Q260" s="33">
        <v>0</v>
      </c>
      <c r="R260" s="41"/>
      <c r="S260" s="85">
        <f t="shared" si="61"/>
        <v>0</v>
      </c>
      <c r="T260" s="13"/>
      <c r="U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20.399999999999999" hidden="1">
      <c r="A261" t="str">
        <f t="shared" si="56"/>
        <v>Carrosserie[...]</v>
      </c>
      <c r="B261" s="11" t="s">
        <v>94</v>
      </c>
      <c r="C261" s="29" t="s">
        <v>19</v>
      </c>
      <c r="D261" s="81"/>
      <c r="E261" s="13"/>
      <c r="F261" s="30">
        <v>0</v>
      </c>
      <c r="G261" s="83"/>
      <c r="H261" s="13"/>
      <c r="I261" s="30"/>
      <c r="J261" s="41"/>
      <c r="K261" s="13"/>
      <c r="L261" s="33">
        <v>0</v>
      </c>
      <c r="M261" s="41"/>
      <c r="N261" s="59">
        <f t="shared" si="60"/>
        <v>0</v>
      </c>
      <c r="O261" s="41"/>
      <c r="P261" s="13"/>
      <c r="Q261" s="33">
        <v>0</v>
      </c>
      <c r="R261" s="41"/>
      <c r="S261" s="85">
        <f t="shared" si="61"/>
        <v>0</v>
      </c>
      <c r="T261" s="13"/>
      <c r="U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20.399999999999999" hidden="1">
      <c r="A262" t="str">
        <f t="shared" si="56"/>
        <v>CarrosserieSalaires en absences</v>
      </c>
      <c r="B262" s="11" t="s">
        <v>94</v>
      </c>
      <c r="C262" s="103" t="s">
        <v>44</v>
      </c>
      <c r="D262" s="81"/>
      <c r="E262" s="13"/>
      <c r="F262" s="22">
        <v>0</v>
      </c>
      <c r="G262" s="83"/>
      <c r="H262" s="13"/>
      <c r="I262" s="22"/>
      <c r="J262" s="41"/>
      <c r="K262" s="13"/>
      <c r="L262" s="33">
        <v>0</v>
      </c>
      <c r="M262" s="41"/>
      <c r="N262" s="59">
        <f t="shared" si="60"/>
        <v>0</v>
      </c>
      <c r="O262" s="41"/>
      <c r="P262" s="13"/>
      <c r="Q262" s="33">
        <v>0</v>
      </c>
      <c r="R262" s="41"/>
      <c r="S262" s="85">
        <f t="shared" si="61"/>
        <v>0</v>
      </c>
      <c r="T262" s="13"/>
      <c r="U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</row>
    <row r="263" spans="1:40" ht="20.399999999999999" hidden="1">
      <c r="A263" t="str">
        <f t="shared" si="56"/>
        <v>CarrosserieDéduction à la source</v>
      </c>
      <c r="B263" s="11" t="s">
        <v>94</v>
      </c>
      <c r="C263" s="102" t="s">
        <v>45</v>
      </c>
      <c r="D263" s="104"/>
      <c r="E263" s="105"/>
      <c r="F263" s="30">
        <v>0</v>
      </c>
      <c r="G263" s="106"/>
      <c r="H263" s="105"/>
      <c r="I263" s="30"/>
      <c r="J263" s="107"/>
      <c r="K263" s="105"/>
      <c r="L263" s="108">
        <v>0</v>
      </c>
      <c r="M263" s="107"/>
      <c r="N263" s="109">
        <f t="shared" si="60"/>
        <v>0</v>
      </c>
      <c r="O263" s="107"/>
      <c r="P263" s="105"/>
      <c r="Q263" s="108">
        <v>0</v>
      </c>
      <c r="R263" s="107"/>
      <c r="S263" s="110">
        <f t="shared" si="61"/>
        <v>0</v>
      </c>
      <c r="T263" s="13"/>
      <c r="U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20.399999999999999" hidden="1">
      <c r="A264" t="str">
        <f t="shared" si="56"/>
        <v>CarrosserieBénéfices marginaux</v>
      </c>
      <c r="B264" s="11" t="s">
        <v>94</v>
      </c>
      <c r="C264" s="102" t="s">
        <v>46</v>
      </c>
      <c r="D264" s="81"/>
      <c r="E264" s="13"/>
      <c r="F264" s="30">
        <v>0</v>
      </c>
      <c r="G264" s="83"/>
      <c r="H264" s="13"/>
      <c r="I264" s="30"/>
      <c r="J264" s="41"/>
      <c r="K264" s="13"/>
      <c r="L264" s="33">
        <v>0</v>
      </c>
      <c r="M264" s="41"/>
      <c r="N264" s="59">
        <f t="shared" si="60"/>
        <v>0</v>
      </c>
      <c r="O264" s="41"/>
      <c r="P264" s="13"/>
      <c r="Q264" s="33">
        <v>0</v>
      </c>
      <c r="R264" s="41"/>
      <c r="S264" s="85">
        <f t="shared" si="61"/>
        <v>0</v>
      </c>
      <c r="T264" s="13"/>
      <c r="U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20.399999999999999" hidden="1">
      <c r="A265" t="str">
        <f t="shared" si="56"/>
        <v>CarrosserieCsst</v>
      </c>
      <c r="B265" s="11" t="s">
        <v>94</v>
      </c>
      <c r="C265" s="102" t="s">
        <v>47</v>
      </c>
      <c r="D265" s="81"/>
      <c r="E265" s="13"/>
      <c r="F265" s="30">
        <v>0</v>
      </c>
      <c r="G265" s="83"/>
      <c r="H265" s="13"/>
      <c r="I265" s="30"/>
      <c r="J265" s="41"/>
      <c r="K265" s="13"/>
      <c r="L265" s="33">
        <v>0</v>
      </c>
      <c r="M265" s="462"/>
      <c r="N265" s="145">
        <f t="shared" si="60"/>
        <v>0</v>
      </c>
      <c r="O265" s="41"/>
      <c r="P265" s="13"/>
      <c r="Q265" s="33">
        <v>0</v>
      </c>
      <c r="R265" s="41"/>
      <c r="S265" s="85">
        <f t="shared" si="61"/>
        <v>0</v>
      </c>
      <c r="T265" s="13"/>
      <c r="U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ht="20.399999999999999" hidden="1">
      <c r="A266" t="str">
        <f t="shared" si="56"/>
        <v>Carrosserie[...]</v>
      </c>
      <c r="B266" s="11" t="s">
        <v>94</v>
      </c>
      <c r="C266" s="29" t="s">
        <v>19</v>
      </c>
      <c r="D266" s="87"/>
      <c r="E266" s="111"/>
      <c r="F266" s="30">
        <v>0</v>
      </c>
      <c r="G266" s="89"/>
      <c r="H266" s="111"/>
      <c r="I266" s="30"/>
      <c r="J266" s="23"/>
      <c r="K266" s="111"/>
      <c r="L266" s="33">
        <v>0</v>
      </c>
      <c r="M266" s="23"/>
      <c r="N266" s="91">
        <f t="shared" si="60"/>
        <v>0</v>
      </c>
      <c r="O266" s="23"/>
      <c r="P266" s="111"/>
      <c r="Q266" s="33">
        <v>0</v>
      </c>
      <c r="R266" s="23"/>
      <c r="S266" s="92">
        <f t="shared" si="61"/>
        <v>0</v>
      </c>
      <c r="T266" s="13"/>
      <c r="U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</row>
    <row r="267" spans="1:40" ht="21" hidden="1">
      <c r="A267" t="str">
        <f t="shared" si="56"/>
        <v>CarrosserieTOTAL PERSONNEL</v>
      </c>
      <c r="B267" s="11" t="s">
        <v>94</v>
      </c>
      <c r="C267" s="93" t="s">
        <v>48</v>
      </c>
      <c r="D267" s="94" t="s">
        <v>38</v>
      </c>
      <c r="E267" s="95" t="e">
        <f>F267/F$245</f>
        <v>#DIV/0!</v>
      </c>
      <c r="F267" s="96">
        <f>+SUM(F255:F266)</f>
        <v>0</v>
      </c>
      <c r="G267" s="97"/>
      <c r="H267" s="95"/>
      <c r="I267" s="96"/>
      <c r="J267" s="97" t="s">
        <v>38</v>
      </c>
      <c r="K267" s="95">
        <f>IF(L245=0,0,L267/L$245)</f>
        <v>0</v>
      </c>
      <c r="L267" s="96">
        <f>+SUM(L255:L266)</f>
        <v>0</v>
      </c>
      <c r="M267" s="146"/>
      <c r="N267" s="113">
        <f t="shared" si="60"/>
        <v>0</v>
      </c>
      <c r="O267" s="97" t="s">
        <v>38</v>
      </c>
      <c r="P267" s="95">
        <f>IF(Q245=0,0,Q267/Q$245)</f>
        <v>0</v>
      </c>
      <c r="Q267" s="96">
        <f>+SUM(Q255:Q266)</f>
        <v>0</v>
      </c>
      <c r="R267" s="146"/>
      <c r="S267" s="114">
        <f t="shared" si="61"/>
        <v>0</v>
      </c>
      <c r="T267" s="13"/>
      <c r="U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20.399999999999999" hidden="1">
      <c r="A268" t="str">
        <f t="shared" si="56"/>
        <v>CarrosseriePublicité 2</v>
      </c>
      <c r="B268" s="11" t="s">
        <v>94</v>
      </c>
      <c r="C268" s="210" t="s">
        <v>49</v>
      </c>
      <c r="D268" s="81"/>
      <c r="E268" s="13"/>
      <c r="F268" s="30">
        <v>0</v>
      </c>
      <c r="G268" s="83"/>
      <c r="H268" s="13"/>
      <c r="I268" s="30"/>
      <c r="J268" s="41"/>
      <c r="K268" s="13"/>
      <c r="L268" s="33">
        <v>0</v>
      </c>
      <c r="M268" s="41"/>
      <c r="N268" s="59">
        <f t="shared" si="60"/>
        <v>0</v>
      </c>
      <c r="O268" s="41"/>
      <c r="P268" s="13"/>
      <c r="Q268" s="33">
        <v>0</v>
      </c>
      <c r="R268" s="41"/>
      <c r="S268" s="85">
        <f t="shared" si="61"/>
        <v>0</v>
      </c>
      <c r="T268" s="13"/>
      <c r="U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20.399999999999999" hidden="1">
      <c r="A269" t="str">
        <f t="shared" si="56"/>
        <v>CarrosserieService gratuit 2</v>
      </c>
      <c r="B269" s="11" t="s">
        <v>94</v>
      </c>
      <c r="C269" s="102" t="s">
        <v>50</v>
      </c>
      <c r="D269" s="81"/>
      <c r="E269" s="13"/>
      <c r="F269" s="30">
        <v>0</v>
      </c>
      <c r="G269" s="83"/>
      <c r="H269" s="13"/>
      <c r="I269" s="30"/>
      <c r="J269" s="41"/>
      <c r="K269" s="13"/>
      <c r="L269" s="33">
        <v>0</v>
      </c>
      <c r="M269" s="41"/>
      <c r="N269" s="59">
        <f t="shared" si="60"/>
        <v>0</v>
      </c>
      <c r="O269" s="41"/>
      <c r="P269" s="13"/>
      <c r="Q269" s="33">
        <v>0</v>
      </c>
      <c r="R269" s="41"/>
      <c r="S269" s="85">
        <f t="shared" si="61"/>
        <v>0</v>
      </c>
      <c r="T269" s="13"/>
      <c r="U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20.399999999999999" hidden="1">
      <c r="A270" t="str">
        <f t="shared" si="56"/>
        <v>CarrosserieFrais véhicules de cie</v>
      </c>
      <c r="B270" s="11" t="s">
        <v>94</v>
      </c>
      <c r="C270" s="103" t="s">
        <v>51</v>
      </c>
      <c r="D270" s="87"/>
      <c r="E270" s="111"/>
      <c r="F270" s="22">
        <v>0</v>
      </c>
      <c r="G270" s="89"/>
      <c r="H270" s="111"/>
      <c r="I270" s="22"/>
      <c r="J270" s="23"/>
      <c r="K270" s="111"/>
      <c r="L270" s="33">
        <v>0</v>
      </c>
      <c r="M270" s="23"/>
      <c r="N270" s="91">
        <f t="shared" si="60"/>
        <v>0</v>
      </c>
      <c r="O270" s="23"/>
      <c r="P270" s="111"/>
      <c r="Q270" s="33">
        <v>0</v>
      </c>
      <c r="R270" s="23"/>
      <c r="S270" s="92">
        <f t="shared" si="61"/>
        <v>0</v>
      </c>
      <c r="T270" s="13"/>
      <c r="U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20.399999999999999" hidden="1">
      <c r="A271" t="str">
        <f t="shared" si="56"/>
        <v>CarrosserieInformatique</v>
      </c>
      <c r="B271" s="11" t="s">
        <v>94</v>
      </c>
      <c r="C271" s="102" t="s">
        <v>52</v>
      </c>
      <c r="D271" s="81"/>
      <c r="E271" s="13"/>
      <c r="F271" s="30">
        <v>0</v>
      </c>
      <c r="G271" s="83"/>
      <c r="H271" s="13"/>
      <c r="I271" s="30"/>
      <c r="J271" s="41"/>
      <c r="K271" s="13"/>
      <c r="L271" s="108">
        <v>0</v>
      </c>
      <c r="M271" s="41"/>
      <c r="N271" s="59">
        <f t="shared" si="60"/>
        <v>0</v>
      </c>
      <c r="O271" s="41"/>
      <c r="P271" s="13"/>
      <c r="Q271" s="108">
        <v>0</v>
      </c>
      <c r="R271" s="41"/>
      <c r="S271" s="85">
        <f t="shared" si="61"/>
        <v>0</v>
      </c>
      <c r="T271" s="13"/>
      <c r="U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20.399999999999999" hidden="1">
      <c r="A272" t="str">
        <f t="shared" si="56"/>
        <v>CarrosserieFrais de déplacement</v>
      </c>
      <c r="B272" s="11" t="s">
        <v>94</v>
      </c>
      <c r="C272" s="102" t="s">
        <v>53</v>
      </c>
      <c r="D272" s="81"/>
      <c r="E272" s="13"/>
      <c r="F272" s="30">
        <v>0</v>
      </c>
      <c r="G272" s="83"/>
      <c r="H272" s="13"/>
      <c r="I272" s="30"/>
      <c r="J272" s="41"/>
      <c r="K272" s="13"/>
      <c r="L272" s="33">
        <v>0</v>
      </c>
      <c r="M272" s="41"/>
      <c r="N272" s="59">
        <f t="shared" si="60"/>
        <v>0</v>
      </c>
      <c r="O272" s="41"/>
      <c r="P272" s="13"/>
      <c r="Q272" s="33">
        <v>0</v>
      </c>
      <c r="R272" s="41"/>
      <c r="S272" s="85">
        <f t="shared" si="61"/>
        <v>0</v>
      </c>
      <c r="T272" s="13"/>
      <c r="U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20.399999999999999" hidden="1">
      <c r="A273" t="str">
        <f t="shared" si="56"/>
        <v>CarrosserieServices extérieurs</v>
      </c>
      <c r="B273" s="11" t="s">
        <v>94</v>
      </c>
      <c r="C273" s="102" t="s">
        <v>54</v>
      </c>
      <c r="D273" s="87"/>
      <c r="E273" s="111"/>
      <c r="F273" s="22">
        <v>0</v>
      </c>
      <c r="G273" s="89"/>
      <c r="H273" s="111"/>
      <c r="I273" s="22"/>
      <c r="J273" s="23"/>
      <c r="K273" s="111"/>
      <c r="L273" s="33">
        <v>0</v>
      </c>
      <c r="M273" s="23"/>
      <c r="N273" s="91">
        <f t="shared" si="60"/>
        <v>0</v>
      </c>
      <c r="O273" s="23"/>
      <c r="P273" s="111"/>
      <c r="Q273" s="22">
        <v>0</v>
      </c>
      <c r="R273" s="23"/>
      <c r="S273" s="92">
        <f t="shared" si="61"/>
        <v>0</v>
      </c>
      <c r="T273" s="13"/>
      <c r="U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20.399999999999999" hidden="1">
      <c r="A274" t="str">
        <f t="shared" si="56"/>
        <v>CarrosserieFournitures d'atelier</v>
      </c>
      <c r="B274" s="11" t="s">
        <v>94</v>
      </c>
      <c r="C274" s="211" t="s">
        <v>93</v>
      </c>
      <c r="D274" s="81"/>
      <c r="E274" s="13"/>
      <c r="F274" s="30"/>
      <c r="G274" s="83"/>
      <c r="H274" s="13"/>
      <c r="I274" s="30"/>
      <c r="J274" s="41"/>
      <c r="K274" s="13"/>
      <c r="L274" s="55">
        <v>0</v>
      </c>
      <c r="M274" s="41"/>
      <c r="N274" s="59">
        <f t="shared" si="60"/>
        <v>0</v>
      </c>
      <c r="O274" s="41"/>
      <c r="P274" s="13"/>
      <c r="Q274" s="33">
        <v>0</v>
      </c>
      <c r="R274" s="41"/>
      <c r="S274" s="85">
        <f t="shared" si="61"/>
        <v>0</v>
      </c>
      <c r="T274" s="13"/>
      <c r="U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20.399999999999999" hidden="1">
      <c r="A275" t="str">
        <f t="shared" si="56"/>
        <v>CarrosserieFournitures autres</v>
      </c>
      <c r="B275" s="11" t="s">
        <v>94</v>
      </c>
      <c r="C275" s="102" t="s">
        <v>55</v>
      </c>
      <c r="D275" s="81"/>
      <c r="E275" s="13"/>
      <c r="F275" s="30">
        <v>0</v>
      </c>
      <c r="G275" s="83"/>
      <c r="H275" s="13"/>
      <c r="I275" s="30"/>
      <c r="J275" s="41"/>
      <c r="K275" s="13"/>
      <c r="L275" s="33">
        <v>0</v>
      </c>
      <c r="M275" s="41"/>
      <c r="N275" s="59">
        <f t="shared" si="60"/>
        <v>0</v>
      </c>
      <c r="O275" s="41"/>
      <c r="P275" s="13"/>
      <c r="Q275" s="33">
        <v>0</v>
      </c>
      <c r="R275" s="41"/>
      <c r="S275" s="85">
        <f t="shared" si="61"/>
        <v>0</v>
      </c>
      <c r="T275" s="13"/>
      <c r="U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20.399999999999999" hidden="1">
      <c r="A276" t="str">
        <f t="shared" si="56"/>
        <v>CarrosserieUniformes</v>
      </c>
      <c r="B276" s="11" t="s">
        <v>94</v>
      </c>
      <c r="C276" s="102" t="s">
        <v>56</v>
      </c>
      <c r="D276" s="81"/>
      <c r="E276" s="13"/>
      <c r="F276" s="30">
        <v>0</v>
      </c>
      <c r="G276" s="83"/>
      <c r="H276" s="13"/>
      <c r="I276" s="30"/>
      <c r="J276" s="41"/>
      <c r="K276" s="13"/>
      <c r="L276" s="33">
        <v>0</v>
      </c>
      <c r="M276" s="41"/>
      <c r="N276" s="59">
        <f t="shared" si="60"/>
        <v>0</v>
      </c>
      <c r="O276" s="41"/>
      <c r="P276" s="13"/>
      <c r="Q276" s="33">
        <v>0</v>
      </c>
      <c r="R276" s="41"/>
      <c r="S276" s="85">
        <f t="shared" si="61"/>
        <v>0</v>
      </c>
      <c r="T276" s="13"/>
      <c r="U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20.399999999999999" hidden="1">
      <c r="A277" t="str">
        <f t="shared" si="56"/>
        <v>CarrosseriePapeterie</v>
      </c>
      <c r="B277" s="11" t="s">
        <v>94</v>
      </c>
      <c r="C277" s="102" t="s">
        <v>57</v>
      </c>
      <c r="D277" s="81"/>
      <c r="E277" s="13"/>
      <c r="F277" s="30">
        <v>0</v>
      </c>
      <c r="G277" s="83"/>
      <c r="H277" s="13"/>
      <c r="I277" s="30"/>
      <c r="J277" s="41"/>
      <c r="K277" s="13"/>
      <c r="L277" s="32">
        <v>0</v>
      </c>
      <c r="M277" s="41"/>
      <c r="N277" s="59">
        <f t="shared" si="60"/>
        <v>0</v>
      </c>
      <c r="O277" s="41"/>
      <c r="P277" s="13"/>
      <c r="Q277" s="32">
        <v>0</v>
      </c>
      <c r="R277" s="41"/>
      <c r="S277" s="85">
        <f t="shared" si="61"/>
        <v>0</v>
      </c>
      <c r="T277" s="13"/>
      <c r="U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20.399999999999999" hidden="1">
      <c r="A278" t="str">
        <f t="shared" si="56"/>
        <v>CarrosserieTéléphone</v>
      </c>
      <c r="B278" s="11" t="s">
        <v>94</v>
      </c>
      <c r="C278" s="102" t="s">
        <v>58</v>
      </c>
      <c r="D278" s="81"/>
      <c r="E278" s="13"/>
      <c r="F278" s="30">
        <v>0</v>
      </c>
      <c r="G278" s="83"/>
      <c r="H278" s="13"/>
      <c r="I278" s="30"/>
      <c r="J278" s="41"/>
      <c r="K278" s="13"/>
      <c r="L278" s="33">
        <v>0</v>
      </c>
      <c r="M278" s="41"/>
      <c r="N278" s="59">
        <f t="shared" si="60"/>
        <v>0</v>
      </c>
      <c r="O278" s="41"/>
      <c r="P278" s="13"/>
      <c r="Q278" s="33">
        <v>0</v>
      </c>
      <c r="R278" s="41"/>
      <c r="S278" s="85">
        <f t="shared" si="61"/>
        <v>0</v>
      </c>
      <c r="T278" s="13"/>
      <c r="U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ht="20.399999999999999" hidden="1">
      <c r="A279" t="str">
        <f t="shared" si="56"/>
        <v>CarrosserieFrais postaux</v>
      </c>
      <c r="B279" s="11" t="s">
        <v>94</v>
      </c>
      <c r="C279" s="102" t="s">
        <v>59</v>
      </c>
      <c r="D279" s="81"/>
      <c r="E279" s="13"/>
      <c r="F279" s="30">
        <v>0</v>
      </c>
      <c r="G279" s="83"/>
      <c r="H279" s="13"/>
      <c r="I279" s="30"/>
      <c r="J279" s="41"/>
      <c r="K279" s="13"/>
      <c r="L279" s="33">
        <v>0</v>
      </c>
      <c r="M279" s="41"/>
      <c r="N279" s="59">
        <f t="shared" si="60"/>
        <v>0</v>
      </c>
      <c r="O279" s="41"/>
      <c r="P279" s="13"/>
      <c r="Q279" s="33">
        <v>0</v>
      </c>
      <c r="R279" s="41"/>
      <c r="S279" s="85">
        <f t="shared" si="61"/>
        <v>0</v>
      </c>
      <c r="T279" s="13"/>
      <c r="U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</row>
    <row r="280" spans="1:40" ht="20.399999999999999" hidden="1">
      <c r="A280" t="str">
        <f t="shared" si="56"/>
        <v>CarrosserieDivers</v>
      </c>
      <c r="B280" s="11" t="s">
        <v>94</v>
      </c>
      <c r="C280" s="102" t="s">
        <v>60</v>
      </c>
      <c r="D280" s="81"/>
      <c r="E280" s="13"/>
      <c r="F280" s="30">
        <v>0</v>
      </c>
      <c r="G280" s="83"/>
      <c r="H280" s="13"/>
      <c r="I280" s="30"/>
      <c r="J280" s="41"/>
      <c r="K280" s="13"/>
      <c r="L280" s="33">
        <v>0</v>
      </c>
      <c r="M280" s="41"/>
      <c r="N280" s="59">
        <f t="shared" si="60"/>
        <v>0</v>
      </c>
      <c r="O280" s="41"/>
      <c r="P280" s="13"/>
      <c r="Q280" s="33">
        <v>0</v>
      </c>
      <c r="R280" s="41"/>
      <c r="S280" s="85">
        <f t="shared" si="61"/>
        <v>0</v>
      </c>
      <c r="T280" s="13"/>
      <c r="U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20.399999999999999" hidden="1">
      <c r="A281" t="str">
        <f t="shared" si="56"/>
        <v>CarrosserieFormation</v>
      </c>
      <c r="B281" s="11" t="s">
        <v>94</v>
      </c>
      <c r="C281" s="102" t="s">
        <v>61</v>
      </c>
      <c r="D281" s="81"/>
      <c r="E281" s="13"/>
      <c r="F281" s="30">
        <v>0</v>
      </c>
      <c r="G281" s="83"/>
      <c r="H281" s="13"/>
      <c r="I281" s="30"/>
      <c r="J281" s="41"/>
      <c r="K281" s="13"/>
      <c r="L281" s="33">
        <v>0</v>
      </c>
      <c r="M281" s="41"/>
      <c r="N281" s="59">
        <f t="shared" si="60"/>
        <v>0</v>
      </c>
      <c r="O281" s="41"/>
      <c r="P281" s="13"/>
      <c r="Q281" s="33">
        <v>0</v>
      </c>
      <c r="R281" s="41"/>
      <c r="S281" s="85">
        <f t="shared" si="61"/>
        <v>0</v>
      </c>
      <c r="T281" s="13"/>
      <c r="U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20.399999999999999" hidden="1">
      <c r="A282" t="str">
        <f t="shared" si="56"/>
        <v>CarrosserieFrais bancaires</v>
      </c>
      <c r="B282" s="11" t="s">
        <v>94</v>
      </c>
      <c r="C282" s="102" t="s">
        <v>62</v>
      </c>
      <c r="D282" s="81"/>
      <c r="E282" s="13"/>
      <c r="F282" s="30">
        <v>0</v>
      </c>
      <c r="G282" s="83"/>
      <c r="H282" s="13"/>
      <c r="I282" s="30"/>
      <c r="J282" s="41"/>
      <c r="K282" s="13"/>
      <c r="L282" s="33">
        <v>0</v>
      </c>
      <c r="M282" s="41"/>
      <c r="N282" s="59">
        <f t="shared" si="60"/>
        <v>0</v>
      </c>
      <c r="O282" s="41"/>
      <c r="P282" s="13"/>
      <c r="Q282" s="33">
        <v>0</v>
      </c>
      <c r="R282" s="41"/>
      <c r="S282" s="85">
        <f t="shared" si="61"/>
        <v>0</v>
      </c>
      <c r="T282" s="13"/>
      <c r="U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20.399999999999999" hidden="1">
      <c r="A283" t="str">
        <f t="shared" si="56"/>
        <v>Carrosserie[...]</v>
      </c>
      <c r="B283" s="11" t="s">
        <v>94</v>
      </c>
      <c r="C283" s="102" t="s">
        <v>19</v>
      </c>
      <c r="D283" s="81"/>
      <c r="E283" s="13"/>
      <c r="F283" s="30">
        <v>0</v>
      </c>
      <c r="G283" s="83"/>
      <c r="H283" s="13"/>
      <c r="I283" s="30"/>
      <c r="J283" s="41"/>
      <c r="K283" s="13"/>
      <c r="L283" s="33">
        <v>0</v>
      </c>
      <c r="M283" s="41"/>
      <c r="N283" s="59">
        <f t="shared" si="60"/>
        <v>0</v>
      </c>
      <c r="O283" s="41"/>
      <c r="P283" s="13"/>
      <c r="Q283" s="33">
        <v>0</v>
      </c>
      <c r="R283" s="41"/>
      <c r="S283" s="85">
        <f t="shared" si="61"/>
        <v>0</v>
      </c>
      <c r="T283" s="13"/>
      <c r="U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20.399999999999999" hidden="1">
      <c r="A284" t="str">
        <f t="shared" si="56"/>
        <v>Carrosserie[...]</v>
      </c>
      <c r="B284" s="11" t="s">
        <v>94</v>
      </c>
      <c r="C284" s="102" t="s">
        <v>19</v>
      </c>
      <c r="D284" s="81"/>
      <c r="E284" s="13"/>
      <c r="F284" s="30">
        <v>0</v>
      </c>
      <c r="G284" s="83"/>
      <c r="H284" s="13"/>
      <c r="I284" s="30"/>
      <c r="J284" s="41"/>
      <c r="K284" s="13"/>
      <c r="L284" s="33">
        <v>0</v>
      </c>
      <c r="M284" s="41"/>
      <c r="N284" s="59">
        <f t="shared" si="60"/>
        <v>0</v>
      </c>
      <c r="O284" s="41"/>
      <c r="P284" s="13"/>
      <c r="Q284" s="33">
        <v>0</v>
      </c>
      <c r="R284" s="41"/>
      <c r="S284" s="85">
        <f t="shared" si="61"/>
        <v>0</v>
      </c>
      <c r="T284" s="13"/>
      <c r="U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20.399999999999999" hidden="1">
      <c r="A285" t="str">
        <f t="shared" si="56"/>
        <v>Carrosserie[...]</v>
      </c>
      <c r="B285" s="11" t="s">
        <v>94</v>
      </c>
      <c r="C285" s="102" t="s">
        <v>19</v>
      </c>
      <c r="D285" s="81"/>
      <c r="E285" s="13"/>
      <c r="F285" s="30">
        <v>0</v>
      </c>
      <c r="G285" s="83"/>
      <c r="H285" s="13"/>
      <c r="I285" s="30"/>
      <c r="J285" s="41"/>
      <c r="K285" s="13"/>
      <c r="L285" s="33">
        <v>0</v>
      </c>
      <c r="M285" s="41"/>
      <c r="N285" s="59">
        <f t="shared" si="60"/>
        <v>0</v>
      </c>
      <c r="O285" s="41"/>
      <c r="P285" s="13"/>
      <c r="Q285" s="33">
        <v>0</v>
      </c>
      <c r="R285" s="41"/>
      <c r="S285" s="85">
        <f t="shared" si="61"/>
        <v>0</v>
      </c>
      <c r="T285" s="13"/>
      <c r="U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21" hidden="1">
      <c r="B286" s="11"/>
      <c r="C286" s="93" t="s">
        <v>63</v>
      </c>
      <c r="D286" s="94" t="s">
        <v>38</v>
      </c>
      <c r="E286" s="95" t="e">
        <f>F286/F$245</f>
        <v>#DIV/0!</v>
      </c>
      <c r="F286" s="96">
        <f>+SUM(F268:F285)</f>
        <v>0</v>
      </c>
      <c r="G286" s="97"/>
      <c r="H286" s="95"/>
      <c r="I286" s="96"/>
      <c r="J286" s="97" t="s">
        <v>38</v>
      </c>
      <c r="K286" s="95">
        <f>IF(L263=0,0,L286/L$245)</f>
        <v>0</v>
      </c>
      <c r="L286" s="96">
        <f>+SUM(L268:L285)</f>
        <v>0</v>
      </c>
      <c r="M286" s="100"/>
      <c r="N286" s="96">
        <f>+SUM(N268:N285)</f>
        <v>0</v>
      </c>
      <c r="O286" s="97" t="s">
        <v>38</v>
      </c>
      <c r="P286" s="95">
        <f>IF(Q$245=0,0,Q286/Q$245)</f>
        <v>0</v>
      </c>
      <c r="Q286" s="96">
        <f>+SUM(Q268:Q285)</f>
        <v>0</v>
      </c>
      <c r="R286" s="100"/>
      <c r="S286" s="101">
        <f t="shared" si="61"/>
        <v>0</v>
      </c>
      <c r="T286" s="76"/>
      <c r="U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21" hidden="1">
      <c r="B287" s="11"/>
      <c r="C287" s="86"/>
      <c r="D287" s="87"/>
      <c r="E287" s="111"/>
      <c r="F287" s="59"/>
      <c r="G287" s="89"/>
      <c r="H287" s="111"/>
      <c r="I287" s="59"/>
      <c r="J287" s="23"/>
      <c r="K287" s="111"/>
      <c r="L287" s="91"/>
      <c r="M287" s="23"/>
      <c r="N287" s="91"/>
      <c r="O287" s="23"/>
      <c r="P287" s="111"/>
      <c r="Q287" s="91"/>
      <c r="R287" s="23"/>
      <c r="S287" s="92"/>
      <c r="T287" s="76"/>
      <c r="U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21" hidden="1">
      <c r="B288" s="11"/>
      <c r="C288" s="93" t="s">
        <v>64</v>
      </c>
      <c r="D288" s="94" t="s">
        <v>38</v>
      </c>
      <c r="E288" s="95" t="e">
        <f>F288/F$245</f>
        <v>#DIV/0!</v>
      </c>
      <c r="F288" s="96">
        <f>F267+F286</f>
        <v>0</v>
      </c>
      <c r="G288" s="97"/>
      <c r="H288" s="95"/>
      <c r="I288" s="96"/>
      <c r="J288" s="97" t="s">
        <v>38</v>
      </c>
      <c r="K288" s="95">
        <f>IF(L265=0,0,L288/L$245)</f>
        <v>0</v>
      </c>
      <c r="L288" s="96">
        <f>L267+L286</f>
        <v>0</v>
      </c>
      <c r="M288" s="100"/>
      <c r="N288" s="113">
        <f>L288-F288</f>
        <v>0</v>
      </c>
      <c r="O288" s="97" t="s">
        <v>38</v>
      </c>
      <c r="P288" s="95">
        <f>IF(Q$245=0,0,Q288/Q$245)</f>
        <v>0</v>
      </c>
      <c r="Q288" s="96">
        <f>Q267+Q286</f>
        <v>0</v>
      </c>
      <c r="R288" s="100"/>
      <c r="S288" s="114">
        <f>L288-Q288</f>
        <v>0</v>
      </c>
      <c r="T288" s="76"/>
      <c r="U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20.399999999999999" hidden="1">
      <c r="B289" s="11"/>
      <c r="C289" s="29"/>
      <c r="D289" s="81"/>
      <c r="E289" s="13"/>
      <c r="F289" s="59"/>
      <c r="G289" s="83"/>
      <c r="H289" s="13"/>
      <c r="I289" s="59"/>
      <c r="J289" s="41"/>
      <c r="K289" s="13"/>
      <c r="L289" s="59"/>
      <c r="M289" s="41"/>
      <c r="N289" s="59"/>
      <c r="O289" s="41"/>
      <c r="P289" s="13"/>
      <c r="Q289" s="59"/>
      <c r="R289" s="41"/>
      <c r="S289" s="85"/>
      <c r="T289" s="13"/>
      <c r="U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21.6" hidden="1" thickBot="1">
      <c r="B290" s="11"/>
      <c r="C290" s="124" t="s">
        <v>69</v>
      </c>
      <c r="D290" s="151"/>
      <c r="E290" s="125"/>
      <c r="F290" s="127">
        <f>F251-F288</f>
        <v>0</v>
      </c>
      <c r="G290" s="152"/>
      <c r="H290" s="125"/>
      <c r="I290" s="127"/>
      <c r="J290" s="153"/>
      <c r="K290" s="126"/>
      <c r="L290" s="127">
        <f>L251-L288</f>
        <v>0</v>
      </c>
      <c r="M290" s="153"/>
      <c r="N290" s="127">
        <f>L290-F290</f>
        <v>0</v>
      </c>
      <c r="O290" s="153"/>
      <c r="P290" s="126"/>
      <c r="Q290" s="127">
        <f>Q251-Q288</f>
        <v>0</v>
      </c>
      <c r="R290" s="153"/>
      <c r="S290" s="129">
        <f>L290-Q290</f>
        <v>0</v>
      </c>
      <c r="T290" s="76"/>
      <c r="U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ht="20.399999999999999" hidden="1">
      <c r="B291" s="11"/>
      <c r="C291" s="13"/>
      <c r="D291" s="13"/>
      <c r="E291" s="13"/>
      <c r="F291" s="13"/>
      <c r="G291" s="13"/>
      <c r="H291" s="13"/>
      <c r="I291" s="13"/>
      <c r="J291" s="13"/>
      <c r="K291" s="13"/>
      <c r="L291" s="82"/>
      <c r="M291" s="13"/>
      <c r="N291" s="13"/>
      <c r="O291" s="13"/>
      <c r="P291" s="13"/>
      <c r="Q291" s="13"/>
      <c r="R291" s="13"/>
      <c r="S291" s="13"/>
      <c r="T291" s="13"/>
      <c r="U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</row>
    <row r="292" spans="1:40" ht="35.4">
      <c r="B292" s="11"/>
      <c r="C292" s="6" t="str">
        <f>C1</f>
        <v>BMW Sherbrooke</v>
      </c>
      <c r="D292" s="2"/>
      <c r="E292" s="2"/>
      <c r="F292" s="2"/>
      <c r="G292" s="2"/>
      <c r="H292" s="1"/>
      <c r="I292" s="1"/>
      <c r="J292" s="1"/>
      <c r="K292" s="3" t="s">
        <v>98</v>
      </c>
      <c r="L292" s="2"/>
      <c r="M292" s="2"/>
      <c r="N292" s="1"/>
      <c r="O292" s="1"/>
      <c r="P292" s="2"/>
      <c r="Q292" s="1"/>
      <c r="R292" s="2"/>
      <c r="S292" s="5" t="str">
        <f>$S$1</f>
        <v>Réalisé, Septembre 2026</v>
      </c>
      <c r="T292" s="13"/>
      <c r="U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21" thickBot="1">
      <c r="B293" s="11"/>
      <c r="C293" s="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3"/>
      <c r="U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21.6" thickTop="1">
      <c r="B294" s="11"/>
      <c r="C294" s="12"/>
      <c r="D294" s="506" t="s">
        <v>5</v>
      </c>
      <c r="E294" s="507"/>
      <c r="F294" s="508"/>
      <c r="G294" s="509"/>
      <c r="H294" s="507"/>
      <c r="I294" s="508"/>
      <c r="J294" s="509" t="s">
        <v>7</v>
      </c>
      <c r="K294" s="507"/>
      <c r="L294" s="508"/>
      <c r="M294" s="509" t="s">
        <v>212</v>
      </c>
      <c r="N294" s="508"/>
      <c r="O294" s="506" t="s">
        <v>8</v>
      </c>
      <c r="P294" s="507"/>
      <c r="Q294" s="508"/>
      <c r="R294" s="504" t="s">
        <v>213</v>
      </c>
      <c r="S294" s="505"/>
      <c r="T294" s="13"/>
      <c r="U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20.399999999999999">
      <c r="A295" t="str">
        <f t="shared" ref="A295:A349" si="62">+B295&amp;C295</f>
        <v>Pièces</v>
      </c>
      <c r="B295" s="11" t="s">
        <v>98</v>
      </c>
      <c r="C295" s="29"/>
      <c r="D295" s="80" t="s">
        <v>79</v>
      </c>
      <c r="E295" s="80" t="s">
        <v>99</v>
      </c>
      <c r="F295" s="134" t="s">
        <v>12</v>
      </c>
      <c r="G295" s="135"/>
      <c r="H295" s="80"/>
      <c r="I295" s="134"/>
      <c r="J295" s="135" t="s">
        <v>79</v>
      </c>
      <c r="K295" s="80" t="s">
        <v>99</v>
      </c>
      <c r="L295" s="134" t="s">
        <v>12</v>
      </c>
      <c r="M295" s="135" t="s">
        <v>39</v>
      </c>
      <c r="N295" s="134" t="s">
        <v>216</v>
      </c>
      <c r="O295" s="80" t="s">
        <v>79</v>
      </c>
      <c r="P295" s="80" t="s">
        <v>99</v>
      </c>
      <c r="Q295" s="134" t="s">
        <v>12</v>
      </c>
      <c r="R295" s="135" t="s">
        <v>80</v>
      </c>
      <c r="S295" s="136" t="s">
        <v>12</v>
      </c>
      <c r="T295" s="13"/>
      <c r="U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20.399999999999999">
      <c r="A296" t="str">
        <f t="shared" si="62"/>
        <v>PiècesPièces Ro Clients</v>
      </c>
      <c r="B296" s="11" t="s">
        <v>98</v>
      </c>
      <c r="C296" s="29" t="s">
        <v>100</v>
      </c>
      <c r="D296" s="82">
        <v>45423.9038577725</v>
      </c>
      <c r="E296" s="147">
        <f t="shared" ref="E296:E304" si="63">IF(D296=0,0,F296/D296)</f>
        <v>0.40200000000000002</v>
      </c>
      <c r="F296" s="85">
        <v>18260.409350824546</v>
      </c>
      <c r="G296" s="82"/>
      <c r="H296" s="147"/>
      <c r="I296" s="85"/>
      <c r="J296" s="30">
        <v>76569.509999999995</v>
      </c>
      <c r="K296" s="147">
        <f t="shared" ref="K296:K305" si="64">IF(J296&lt;=0,0,L296/J296)</f>
        <v>0.36083083201133193</v>
      </c>
      <c r="L296" s="33">
        <v>27628.639999999999</v>
      </c>
      <c r="M296" s="156">
        <f t="shared" ref="M296:M302" si="65">(+J296-D296)/D296</f>
        <v>0.68566555265148477</v>
      </c>
      <c r="N296" s="59">
        <f t="shared" ref="N296:N305" si="66">L296-F296</f>
        <v>9368.2306491754534</v>
      </c>
      <c r="O296" s="30">
        <v>39550.31</v>
      </c>
      <c r="P296" s="147">
        <f t="shared" ref="P296:P304" si="67">IF(O296=0,0,Q296/O296)</f>
        <v>0.36886714667976045</v>
      </c>
      <c r="Q296" s="33">
        <v>14588.809999999996</v>
      </c>
      <c r="R296" s="156">
        <f t="shared" ref="R296:R305" si="68">IF(O296=0,0,(J296-O296)/O296)</f>
        <v>0.93600277722222658</v>
      </c>
      <c r="S296" s="85">
        <f t="shared" ref="S296:S305" si="69">L296-Q296</f>
        <v>13039.830000000004</v>
      </c>
      <c r="T296" s="13"/>
      <c r="U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20.399999999999999">
      <c r="A297" t="str">
        <f t="shared" si="62"/>
        <v>PiècesPièces Ro Carrosserie</v>
      </c>
      <c r="B297" s="11" t="s">
        <v>98</v>
      </c>
      <c r="C297" s="29" t="s">
        <v>101</v>
      </c>
      <c r="D297" s="82">
        <v>0</v>
      </c>
      <c r="E297" s="147">
        <f t="shared" si="63"/>
        <v>0</v>
      </c>
      <c r="F297" s="85">
        <v>0</v>
      </c>
      <c r="G297" s="82"/>
      <c r="H297" s="147"/>
      <c r="I297" s="85"/>
      <c r="J297" s="30">
        <v>0</v>
      </c>
      <c r="K297" s="147">
        <f t="shared" si="64"/>
        <v>0</v>
      </c>
      <c r="L297" s="33">
        <v>0</v>
      </c>
      <c r="M297" s="156" t="e">
        <f t="shared" si="65"/>
        <v>#DIV/0!</v>
      </c>
      <c r="N297" s="59">
        <f t="shared" si="66"/>
        <v>0</v>
      </c>
      <c r="O297" s="30">
        <v>0</v>
      </c>
      <c r="P297" s="147">
        <f t="shared" si="67"/>
        <v>0</v>
      </c>
      <c r="Q297" s="33">
        <v>0</v>
      </c>
      <c r="R297" s="156">
        <f t="shared" si="68"/>
        <v>0</v>
      </c>
      <c r="S297" s="85">
        <f t="shared" si="69"/>
        <v>0</v>
      </c>
      <c r="T297" s="13"/>
      <c r="U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ht="20.399999999999999">
      <c r="A298" t="str">
        <f t="shared" si="62"/>
        <v>PiècesP/A Garantie</v>
      </c>
      <c r="B298" s="11" t="s">
        <v>98</v>
      </c>
      <c r="C298" s="29" t="s">
        <v>102</v>
      </c>
      <c r="D298" s="82">
        <v>97331.8737320074</v>
      </c>
      <c r="E298" s="147">
        <f t="shared" si="63"/>
        <v>0.27700000000000002</v>
      </c>
      <c r="F298" s="85">
        <v>26960.929023766053</v>
      </c>
      <c r="G298" s="82"/>
      <c r="H298" s="147"/>
      <c r="I298" s="85"/>
      <c r="J298" s="30">
        <v>66769.94</v>
      </c>
      <c r="K298" s="147">
        <f t="shared" si="64"/>
        <v>0.25973649219993311</v>
      </c>
      <c r="L298" s="33">
        <v>17342.590000000004</v>
      </c>
      <c r="M298" s="156">
        <f t="shared" si="65"/>
        <v>-0.313997178520947</v>
      </c>
      <c r="N298" s="59">
        <f t="shared" si="66"/>
        <v>-9618.3390237660496</v>
      </c>
      <c r="O298" s="30">
        <v>102128.39</v>
      </c>
      <c r="P298" s="147">
        <f t="shared" si="67"/>
        <v>0.28571702736134402</v>
      </c>
      <c r="Q298" s="33">
        <v>29179.820000000011</v>
      </c>
      <c r="R298" s="156">
        <f t="shared" si="68"/>
        <v>-0.34621568008660469</v>
      </c>
      <c r="S298" s="85">
        <f t="shared" si="69"/>
        <v>-11837.230000000007</v>
      </c>
      <c r="T298" s="13"/>
      <c r="U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</row>
    <row r="299" spans="1:40" ht="20.399999999999999">
      <c r="A299" t="str">
        <f t="shared" si="62"/>
        <v>PiècesVentes Internes</v>
      </c>
      <c r="B299" s="11" t="s">
        <v>98</v>
      </c>
      <c r="C299" s="29" t="s">
        <v>103</v>
      </c>
      <c r="D299" s="82">
        <v>31200</v>
      </c>
      <c r="E299" s="147">
        <f t="shared" si="63"/>
        <v>0.33800000000000002</v>
      </c>
      <c r="F299" s="85">
        <v>10545.6</v>
      </c>
      <c r="G299" s="82"/>
      <c r="H299" s="147"/>
      <c r="I299" s="85"/>
      <c r="J299" s="30">
        <v>27085.73</v>
      </c>
      <c r="K299" s="147">
        <f t="shared" si="64"/>
        <v>0.21298558318346977</v>
      </c>
      <c r="L299" s="33">
        <v>5768.8700000000026</v>
      </c>
      <c r="M299" s="156">
        <f t="shared" si="65"/>
        <v>-0.13186762820512821</v>
      </c>
      <c r="N299" s="59">
        <f t="shared" si="66"/>
        <v>-4776.7299999999977</v>
      </c>
      <c r="O299" s="30">
        <v>16277.330000000002</v>
      </c>
      <c r="P299" s="147">
        <f t="shared" si="67"/>
        <v>0.33547270959057784</v>
      </c>
      <c r="Q299" s="33">
        <v>5460.6000000000013</v>
      </c>
      <c r="R299" s="156">
        <f t="shared" si="68"/>
        <v>0.66401553571746696</v>
      </c>
      <c r="S299" s="85">
        <f t="shared" si="69"/>
        <v>308.27000000000135</v>
      </c>
      <c r="T299" s="13"/>
      <c r="U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20.399999999999999">
      <c r="A300" t="str">
        <f t="shared" si="62"/>
        <v>PiècesVentes Détails</v>
      </c>
      <c r="B300" s="11" t="s">
        <v>98</v>
      </c>
      <c r="C300" s="29" t="s">
        <v>104</v>
      </c>
      <c r="D300" s="82">
        <v>20736.276499888663</v>
      </c>
      <c r="E300" s="147">
        <f t="shared" si="63"/>
        <v>0.33100000000000002</v>
      </c>
      <c r="F300" s="85">
        <v>6863.7075214631477</v>
      </c>
      <c r="G300" s="82"/>
      <c r="H300" s="147"/>
      <c r="I300" s="85"/>
      <c r="J300" s="30">
        <v>34393.5</v>
      </c>
      <c r="K300" s="147">
        <f t="shared" si="64"/>
        <v>0.34244115893991595</v>
      </c>
      <c r="L300" s="33">
        <v>11777.75</v>
      </c>
      <c r="M300" s="156">
        <f t="shared" si="65"/>
        <v>0.65861503631978791</v>
      </c>
      <c r="N300" s="59">
        <f t="shared" si="66"/>
        <v>4914.0424785368523</v>
      </c>
      <c r="O300" s="30">
        <v>16589.210000000003</v>
      </c>
      <c r="P300" s="147">
        <f t="shared" si="67"/>
        <v>0.37189293522717476</v>
      </c>
      <c r="Q300" s="33">
        <v>6169.4100000000008</v>
      </c>
      <c r="R300" s="156">
        <f t="shared" si="68"/>
        <v>1.0732451997412773</v>
      </c>
      <c r="S300" s="85">
        <f t="shared" si="69"/>
        <v>5608.3399999999992</v>
      </c>
      <c r="T300" s="13"/>
      <c r="U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20.399999999999999">
      <c r="A301" t="str">
        <f t="shared" si="62"/>
        <v>PiècesVentes de Gros</v>
      </c>
      <c r="B301" s="11" t="s">
        <v>98</v>
      </c>
      <c r="C301" s="29" t="s">
        <v>105</v>
      </c>
      <c r="D301" s="82">
        <v>103200</v>
      </c>
      <c r="E301" s="147">
        <f t="shared" si="63"/>
        <v>0.2</v>
      </c>
      <c r="F301" s="85">
        <v>20640</v>
      </c>
      <c r="G301" s="82"/>
      <c r="H301" s="147"/>
      <c r="I301" s="85"/>
      <c r="J301" s="30">
        <v>67095.149999999994</v>
      </c>
      <c r="K301" s="147">
        <f t="shared" si="64"/>
        <v>0.19309115487483067</v>
      </c>
      <c r="L301" s="33">
        <v>12955.479999999994</v>
      </c>
      <c r="M301" s="156">
        <f t="shared" si="65"/>
        <v>-0.34985319767441864</v>
      </c>
      <c r="N301" s="59">
        <f t="shared" si="66"/>
        <v>-7684.5200000000059</v>
      </c>
      <c r="O301" s="30">
        <v>46917.64</v>
      </c>
      <c r="P301" s="147">
        <f t="shared" si="67"/>
        <v>0.19223686442881602</v>
      </c>
      <c r="Q301" s="33">
        <v>9019.2999999999956</v>
      </c>
      <c r="R301" s="156">
        <f t="shared" si="68"/>
        <v>0.43006233902643004</v>
      </c>
      <c r="S301" s="85">
        <f t="shared" si="69"/>
        <v>3936.1799999999985</v>
      </c>
      <c r="T301" s="13"/>
      <c r="U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ht="20.399999999999999" hidden="1">
      <c r="A302" t="str">
        <f t="shared" si="62"/>
        <v>Pièces[...]</v>
      </c>
      <c r="B302" s="11" t="s">
        <v>98</v>
      </c>
      <c r="C302" s="29" t="s">
        <v>19</v>
      </c>
      <c r="D302" s="82">
        <v>0</v>
      </c>
      <c r="E302" s="147">
        <f t="shared" si="63"/>
        <v>0</v>
      </c>
      <c r="F302" s="85">
        <v>0</v>
      </c>
      <c r="G302" s="82"/>
      <c r="H302" s="147"/>
      <c r="I302" s="85"/>
      <c r="J302" s="30">
        <v>0</v>
      </c>
      <c r="K302" s="147">
        <f t="shared" si="64"/>
        <v>0</v>
      </c>
      <c r="L302" s="33">
        <v>0</v>
      </c>
      <c r="M302" s="156" t="e">
        <f t="shared" si="65"/>
        <v>#DIV/0!</v>
      </c>
      <c r="N302" s="59">
        <f t="shared" si="66"/>
        <v>0</v>
      </c>
      <c r="O302" s="30">
        <v>0</v>
      </c>
      <c r="P302" s="147">
        <f t="shared" si="67"/>
        <v>0</v>
      </c>
      <c r="Q302" s="33">
        <v>0</v>
      </c>
      <c r="R302" s="156">
        <f t="shared" si="68"/>
        <v>0</v>
      </c>
      <c r="S302" s="85">
        <f t="shared" si="69"/>
        <v>0</v>
      </c>
      <c r="T302" s="13"/>
      <c r="U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</row>
    <row r="303" spans="1:40" ht="20.399999999999999">
      <c r="A303" t="str">
        <f t="shared" si="62"/>
        <v>PiècesEscomptes</v>
      </c>
      <c r="B303" s="11" t="s">
        <v>98</v>
      </c>
      <c r="C303" s="29" t="s">
        <v>106</v>
      </c>
      <c r="D303" s="82">
        <v>0</v>
      </c>
      <c r="E303" s="147">
        <f t="shared" si="63"/>
        <v>0</v>
      </c>
      <c r="F303" s="85">
        <v>11033.039040358095</v>
      </c>
      <c r="G303" s="82"/>
      <c r="H303" s="147"/>
      <c r="I303" s="85"/>
      <c r="J303" s="30">
        <v>0</v>
      </c>
      <c r="K303" s="147">
        <f t="shared" si="64"/>
        <v>0</v>
      </c>
      <c r="L303" s="33">
        <v>16735.52</v>
      </c>
      <c r="M303" s="156"/>
      <c r="N303" s="59">
        <f t="shared" si="66"/>
        <v>5702.4809596419054</v>
      </c>
      <c r="O303" s="30">
        <v>0</v>
      </c>
      <c r="P303" s="147">
        <f t="shared" si="67"/>
        <v>0</v>
      </c>
      <c r="Q303" s="33">
        <v>6663.95</v>
      </c>
      <c r="R303" s="156">
        <f t="shared" si="68"/>
        <v>0</v>
      </c>
      <c r="S303" s="85">
        <f t="shared" si="69"/>
        <v>10071.57</v>
      </c>
      <c r="T303" s="13"/>
      <c r="U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20.399999999999999">
      <c r="A304" t="str">
        <f t="shared" si="62"/>
        <v>PiècesRectif. Inventaire</v>
      </c>
      <c r="B304" s="11" t="s">
        <v>98</v>
      </c>
      <c r="C304" s="86" t="s">
        <v>107</v>
      </c>
      <c r="D304" s="82">
        <v>0</v>
      </c>
      <c r="E304" s="147">
        <f t="shared" si="63"/>
        <v>0</v>
      </c>
      <c r="F304" s="85">
        <v>0</v>
      </c>
      <c r="G304" s="82"/>
      <c r="H304" s="147"/>
      <c r="I304" s="85"/>
      <c r="J304" s="30">
        <v>0</v>
      </c>
      <c r="K304" s="147">
        <f t="shared" si="64"/>
        <v>0</v>
      </c>
      <c r="L304" s="33">
        <v>15000</v>
      </c>
      <c r="M304" s="156"/>
      <c r="N304" s="59">
        <f t="shared" si="66"/>
        <v>15000</v>
      </c>
      <c r="O304" s="30">
        <v>0</v>
      </c>
      <c r="P304" s="147">
        <f t="shared" si="67"/>
        <v>0</v>
      </c>
      <c r="Q304" s="33">
        <v>0</v>
      </c>
      <c r="R304" s="156">
        <f t="shared" si="68"/>
        <v>0</v>
      </c>
      <c r="S304" s="85">
        <f t="shared" si="69"/>
        <v>15000</v>
      </c>
      <c r="T304" s="13"/>
      <c r="U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21">
      <c r="A305" t="str">
        <f t="shared" si="62"/>
        <v>PiècesSous-total Pièces</v>
      </c>
      <c r="B305" s="11" t="s">
        <v>98</v>
      </c>
      <c r="C305" s="53" t="s">
        <v>108</v>
      </c>
      <c r="D305" s="194">
        <f>SUM(D296:D304)</f>
        <v>297892.05408966856</v>
      </c>
      <c r="E305" s="212">
        <f>IF(D305&lt;=0,0,F305/D305)</f>
        <v>0.31656999118219342</v>
      </c>
      <c r="F305" s="198">
        <f>SUM(F296:F304)</f>
        <v>94303.684936411853</v>
      </c>
      <c r="G305" s="194"/>
      <c r="H305" s="212"/>
      <c r="I305" s="198"/>
      <c r="J305" s="194">
        <f>SUM(J296:J304)</f>
        <v>271913.83</v>
      </c>
      <c r="K305" s="212">
        <f t="shared" si="64"/>
        <v>0.39427509075209599</v>
      </c>
      <c r="L305" s="196">
        <f>SUM(L296:L304)</f>
        <v>107208.85</v>
      </c>
      <c r="M305" s="213">
        <f>(+J305-D305)/D305</f>
        <v>-8.7206837956976285E-2</v>
      </c>
      <c r="N305" s="196">
        <f t="shared" si="66"/>
        <v>12905.165063588152</v>
      </c>
      <c r="O305" s="194">
        <f>SUM(O296:O304)</f>
        <v>221462.88</v>
      </c>
      <c r="P305" s="212">
        <f>IF(O305&lt;=0,0,Q305/O305)</f>
        <v>0.32096525611876808</v>
      </c>
      <c r="Q305" s="196">
        <f>SUM(Q296:Q304)</f>
        <v>71081.89</v>
      </c>
      <c r="R305" s="213">
        <f t="shared" si="68"/>
        <v>0.22780770303357389</v>
      </c>
      <c r="S305" s="198">
        <f t="shared" si="69"/>
        <v>36126.960000000006</v>
      </c>
      <c r="T305" s="13"/>
      <c r="U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21">
      <c r="A306" t="str">
        <f t="shared" si="62"/>
        <v>Pièces</v>
      </c>
      <c r="B306" s="11" t="s">
        <v>98</v>
      </c>
      <c r="C306" s="29"/>
      <c r="D306" s="13"/>
      <c r="E306" s="13"/>
      <c r="F306" s="40"/>
      <c r="G306" s="41"/>
      <c r="H306" s="13"/>
      <c r="I306" s="40"/>
      <c r="J306" s="41"/>
      <c r="K306" s="13"/>
      <c r="L306" s="40"/>
      <c r="M306" s="41"/>
      <c r="N306" s="43">
        <f>N305/F305</f>
        <v>0.13684688007992468</v>
      </c>
      <c r="O306" s="41"/>
      <c r="P306" s="13"/>
      <c r="Q306" s="40"/>
      <c r="R306" s="41"/>
      <c r="S306" s="44">
        <f>IF(Q305=0,0,S305/Q305)</f>
        <v>0.50824422366934818</v>
      </c>
      <c r="T306" s="13"/>
      <c r="U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21">
      <c r="A307" t="str">
        <f t="shared" si="62"/>
        <v>Pièces</v>
      </c>
      <c r="B307" s="11" t="s">
        <v>98</v>
      </c>
      <c r="C307" s="86"/>
      <c r="D307" s="111"/>
      <c r="E307" s="111"/>
      <c r="F307" s="214"/>
      <c r="G307" s="23"/>
      <c r="H307" s="215"/>
      <c r="I307" s="214"/>
      <c r="J307" s="23"/>
      <c r="K307" s="111"/>
      <c r="L307" s="214"/>
      <c r="M307" s="23"/>
      <c r="N307" s="167"/>
      <c r="O307" s="23"/>
      <c r="P307" s="111"/>
      <c r="Q307" s="214"/>
      <c r="R307" s="23"/>
      <c r="S307" s="168"/>
      <c r="T307" s="13"/>
      <c r="U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ht="20.399999999999999">
      <c r="A308" t="str">
        <f t="shared" si="62"/>
        <v>PiècesVentes Pneus</v>
      </c>
      <c r="B308" s="11" t="s">
        <v>98</v>
      </c>
      <c r="C308" s="29" t="s">
        <v>109</v>
      </c>
      <c r="D308" s="82">
        <v>74412.379774359084</v>
      </c>
      <c r="E308" s="147">
        <f t="shared" ref="E308:E309" si="70">IF(D308=0,0,F308/D308)</f>
        <v>0.25</v>
      </c>
      <c r="F308" s="110">
        <v>18603.094943589771</v>
      </c>
      <c r="G308" s="82"/>
      <c r="H308" s="147"/>
      <c r="I308" s="110"/>
      <c r="J308" s="30">
        <v>97539</v>
      </c>
      <c r="K308" s="147">
        <f t="shared" ref="K308:K310" si="71">IF(J308&lt;=0,0,L308/J308)</f>
        <v>0.27144301253857428</v>
      </c>
      <c r="L308" s="33">
        <v>26476.28</v>
      </c>
      <c r="M308" s="156">
        <f t="shared" ref="M308:M310" si="72">(+J308-D308)/D308</f>
        <v>0.31078995586175107</v>
      </c>
      <c r="N308" s="59">
        <f t="shared" ref="N308:N310" si="73">L308-F308</f>
        <v>7873.1850564102278</v>
      </c>
      <c r="O308" s="30">
        <v>75313.929999999993</v>
      </c>
      <c r="P308" s="147">
        <f t="shared" ref="P308:P309" si="74">IF(O308=0,0,Q308/O308)</f>
        <v>0.32085910269189244</v>
      </c>
      <c r="Q308" s="33">
        <v>24165.159999999996</v>
      </c>
      <c r="R308" s="156">
        <f t="shared" ref="R308:R310" si="75">IF(O308=0,0,(J308-O308)/O308)</f>
        <v>0.29509906069169423</v>
      </c>
      <c r="S308" s="85">
        <f t="shared" ref="S308:S310" si="76">L308-Q308</f>
        <v>2311.1200000000026</v>
      </c>
      <c r="T308" s="13"/>
      <c r="U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</row>
    <row r="309" spans="1:40" ht="20.399999999999999">
      <c r="A309" t="str">
        <f t="shared" si="62"/>
        <v>PiècesHuiles et Graisse</v>
      </c>
      <c r="B309" s="11" t="s">
        <v>98</v>
      </c>
      <c r="C309" s="86" t="s">
        <v>110</v>
      </c>
      <c r="D309" s="82">
        <v>10199.314163600156</v>
      </c>
      <c r="E309" s="147">
        <f t="shared" si="70"/>
        <v>0.35499999999999998</v>
      </c>
      <c r="F309" s="92">
        <v>3620.7565280780555</v>
      </c>
      <c r="G309" s="82"/>
      <c r="H309" s="147"/>
      <c r="I309" s="92"/>
      <c r="J309" s="30">
        <v>10928.64</v>
      </c>
      <c r="K309" s="147">
        <f t="shared" si="71"/>
        <v>0.34410137034434291</v>
      </c>
      <c r="L309" s="33">
        <v>3760.5599999999995</v>
      </c>
      <c r="M309" s="156">
        <f t="shared" si="72"/>
        <v>7.1507341052665971E-2</v>
      </c>
      <c r="N309" s="59">
        <f t="shared" si="73"/>
        <v>139.80347192194404</v>
      </c>
      <c r="O309" s="30">
        <v>10164.970000000001</v>
      </c>
      <c r="P309" s="147">
        <f t="shared" si="74"/>
        <v>0.33665519917914183</v>
      </c>
      <c r="Q309" s="33">
        <v>3422.0900000000015</v>
      </c>
      <c r="R309" s="156">
        <f t="shared" si="75"/>
        <v>7.5127619658493641E-2</v>
      </c>
      <c r="S309" s="85">
        <f t="shared" si="76"/>
        <v>338.46999999999798</v>
      </c>
      <c r="T309" s="13"/>
      <c r="U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21">
      <c r="A310" t="str">
        <f t="shared" si="62"/>
        <v>PiècesSous-total Pièces et Acc.</v>
      </c>
      <c r="B310" s="11" t="s">
        <v>98</v>
      </c>
      <c r="C310" s="53" t="s">
        <v>111</v>
      </c>
      <c r="D310" s="194">
        <f>D305+D308+D309</f>
        <v>382503.74802762776</v>
      </c>
      <c r="E310" s="212">
        <f>IF(D310&lt;=0,0,F310/D310)</f>
        <v>0.30464416887141987</v>
      </c>
      <c r="F310" s="196">
        <f>F305+F308+F309</f>
        <v>116527.53640807967</v>
      </c>
      <c r="G310" s="197"/>
      <c r="H310" s="212"/>
      <c r="I310" s="196"/>
      <c r="J310" s="197">
        <f>J305+J308+J309</f>
        <v>380381.47000000003</v>
      </c>
      <c r="K310" s="212">
        <f t="shared" si="71"/>
        <v>0.36133644995903713</v>
      </c>
      <c r="L310" s="196">
        <f>L305+L308+L309</f>
        <v>137445.69</v>
      </c>
      <c r="M310" s="213">
        <f t="shared" si="72"/>
        <v>-5.5483849205954557E-3</v>
      </c>
      <c r="N310" s="196">
        <f t="shared" si="73"/>
        <v>20918.153591920331</v>
      </c>
      <c r="O310" s="197">
        <f>O305+O308+O309</f>
        <v>306941.78000000003</v>
      </c>
      <c r="P310" s="212">
        <f>IF(O310&lt;=0,0,Q310/O310)</f>
        <v>0.32145881215649424</v>
      </c>
      <c r="Q310" s="196">
        <f>Q305+Q308+Q309</f>
        <v>98669.139999999985</v>
      </c>
      <c r="R310" s="213">
        <f t="shared" si="75"/>
        <v>0.23926260543611885</v>
      </c>
      <c r="S310" s="198">
        <f t="shared" si="76"/>
        <v>38776.550000000017</v>
      </c>
      <c r="T310" s="13"/>
      <c r="U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21">
      <c r="A311" t="str">
        <f t="shared" si="62"/>
        <v>Pièces</v>
      </c>
      <c r="B311" s="11" t="s">
        <v>98</v>
      </c>
      <c r="C311" s="29"/>
      <c r="D311" s="13"/>
      <c r="E311" s="13"/>
      <c r="F311" s="40"/>
      <c r="G311" s="41"/>
      <c r="H311" s="13"/>
      <c r="I311" s="40"/>
      <c r="J311" s="41"/>
      <c r="K311" s="13"/>
      <c r="L311" s="40"/>
      <c r="M311" s="41"/>
      <c r="N311" s="43">
        <f>N310/F310</f>
        <v>0.17951253614995269</v>
      </c>
      <c r="O311" s="41"/>
      <c r="P311" s="13"/>
      <c r="Q311" s="40"/>
      <c r="R311" s="41"/>
      <c r="S311" s="44">
        <f>IF(Q310=0,0,S310/Q310)</f>
        <v>0.39299572287748757</v>
      </c>
      <c r="T311" s="13"/>
      <c r="U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21">
      <c r="A312" t="str">
        <f t="shared" si="62"/>
        <v>Pièces</v>
      </c>
      <c r="B312" s="11" t="s">
        <v>98</v>
      </c>
      <c r="C312" s="29"/>
      <c r="D312" s="13"/>
      <c r="E312" s="13"/>
      <c r="F312" s="40"/>
      <c r="G312" s="41"/>
      <c r="H312" s="13"/>
      <c r="I312" s="40"/>
      <c r="J312" s="41"/>
      <c r="K312" s="13"/>
      <c r="L312" s="40"/>
      <c r="M312" s="41"/>
      <c r="N312" s="43"/>
      <c r="O312" s="41"/>
      <c r="P312" s="13"/>
      <c r="Q312" s="40"/>
      <c r="R312" s="41"/>
      <c r="S312" s="44"/>
      <c r="T312" s="13"/>
      <c r="U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20.399999999999999">
      <c r="A313" t="str">
        <f t="shared" si="62"/>
        <v>PiècesAutostock</v>
      </c>
      <c r="B313" s="11" t="s">
        <v>98</v>
      </c>
      <c r="C313" s="86" t="s">
        <v>112</v>
      </c>
      <c r="D313" s="90">
        <v>0</v>
      </c>
      <c r="E313" s="216">
        <f>IF(D313=0,0,F313/D313)</f>
        <v>0</v>
      </c>
      <c r="F313" s="145">
        <v>0</v>
      </c>
      <c r="G313" s="171"/>
      <c r="H313" s="216"/>
      <c r="I313" s="145"/>
      <c r="J313" s="46">
        <v>0</v>
      </c>
      <c r="K313" s="217">
        <f>IF(J313&lt;=0,0,L313/J313)</f>
        <v>0</v>
      </c>
      <c r="L313" s="22">
        <v>0</v>
      </c>
      <c r="M313" s="217">
        <f>IF(F313=0,0,(+L313-F313)/F313)</f>
        <v>0</v>
      </c>
      <c r="N313" s="91">
        <f>L313-F313</f>
        <v>0</v>
      </c>
      <c r="O313" s="46">
        <v>0</v>
      </c>
      <c r="P313" s="217">
        <f>IF(O313=0,0,Q313/O313)</f>
        <v>0</v>
      </c>
      <c r="Q313" s="22">
        <v>0</v>
      </c>
      <c r="R313" s="217">
        <f>IF(S313=0,0,(+O313-K313)/K313)</f>
        <v>0</v>
      </c>
      <c r="S313" s="92">
        <f>L313-Q313</f>
        <v>0</v>
      </c>
      <c r="T313" s="13"/>
      <c r="U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21" thickBot="1">
      <c r="A314" t="str">
        <f t="shared" si="62"/>
        <v>Pièces</v>
      </c>
      <c r="B314" s="11" t="s">
        <v>98</v>
      </c>
      <c r="C314" s="29"/>
      <c r="D314" s="82"/>
      <c r="E314" s="147"/>
      <c r="F314" s="59"/>
      <c r="G314" s="60"/>
      <c r="H314" s="147"/>
      <c r="I314" s="59"/>
      <c r="J314" s="60"/>
      <c r="K314" s="147"/>
      <c r="L314" s="59"/>
      <c r="M314" s="156"/>
      <c r="N314" s="59"/>
      <c r="O314" s="60"/>
      <c r="P314" s="147"/>
      <c r="Q314" s="59"/>
      <c r="R314" s="156"/>
      <c r="S314" s="85"/>
      <c r="T314" s="13"/>
      <c r="U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21.6" thickTop="1">
      <c r="A315" t="str">
        <f t="shared" si="62"/>
        <v>PiècesTotal Dépt. Pièces</v>
      </c>
      <c r="B315" s="11" t="s">
        <v>98</v>
      </c>
      <c r="C315" s="62" t="s">
        <v>113</v>
      </c>
      <c r="D315" s="63">
        <f>D310+D313</f>
        <v>382503.74802762776</v>
      </c>
      <c r="E315" s="218">
        <f>IF(D315&lt;=0,0,F315/D315)</f>
        <v>0.30464416887141987</v>
      </c>
      <c r="F315" s="65">
        <f>F310+F313</f>
        <v>116527.53640807967</v>
      </c>
      <c r="G315" s="66"/>
      <c r="H315" s="218"/>
      <c r="I315" s="65"/>
      <c r="J315" s="66">
        <f>J310+J313</f>
        <v>380381.47000000003</v>
      </c>
      <c r="K315" s="218">
        <f>IF(J315&lt;=0,0,L315/J315)</f>
        <v>0.36133644995903713</v>
      </c>
      <c r="L315" s="65">
        <f>L310+L313</f>
        <v>137445.69</v>
      </c>
      <c r="M315" s="219">
        <f>(+J315-D315)/D315</f>
        <v>-5.5483849205954557E-3</v>
      </c>
      <c r="N315" s="220">
        <f>L315-F315</f>
        <v>20918.153591920331</v>
      </c>
      <c r="O315" s="66">
        <f>O310+O313</f>
        <v>306941.78000000003</v>
      </c>
      <c r="P315" s="218">
        <f>IF(O315&lt;=0,0,Q315/O315)</f>
        <v>0.32145881215649424</v>
      </c>
      <c r="Q315" s="65">
        <f>Q310+Q313</f>
        <v>98669.139999999985</v>
      </c>
      <c r="R315" s="219">
        <f>IF(O315=0,0,(J315-O315)/O315)</f>
        <v>0.23926260543611885</v>
      </c>
      <c r="S315" s="221">
        <f>L315-Q315</f>
        <v>38776.550000000017</v>
      </c>
      <c r="T315" s="13"/>
      <c r="U315" s="13"/>
      <c r="W315" s="11"/>
      <c r="X315" s="484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21.6" thickBot="1">
      <c r="A316" t="str">
        <f t="shared" si="62"/>
        <v>Pièces</v>
      </c>
      <c r="B316" s="11" t="s">
        <v>98</v>
      </c>
      <c r="C316" s="222"/>
      <c r="D316" s="223"/>
      <c r="E316" s="224"/>
      <c r="F316" s="225"/>
      <c r="G316" s="226"/>
      <c r="H316" s="224"/>
      <c r="I316" s="225"/>
      <c r="J316" s="226"/>
      <c r="K316" s="224"/>
      <c r="L316" s="225"/>
      <c r="M316" s="227"/>
      <c r="N316" s="74">
        <f>N315/F315</f>
        <v>0.17951253614995269</v>
      </c>
      <c r="O316" s="226"/>
      <c r="P316" s="224"/>
      <c r="Q316" s="225"/>
      <c r="R316" s="227"/>
      <c r="S316" s="75">
        <f>IF(Q315=0,0,S315/Q315)</f>
        <v>0.39299572287748757</v>
      </c>
      <c r="T316" s="13"/>
      <c r="U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</row>
    <row r="317" spans="1:40" ht="21.6" thickTop="1">
      <c r="A317" t="str">
        <f t="shared" si="62"/>
        <v>Pièces</v>
      </c>
      <c r="B317" s="11" t="s">
        <v>98</v>
      </c>
      <c r="C317" s="53"/>
      <c r="D317" s="112"/>
      <c r="E317" s="173"/>
      <c r="F317" s="175"/>
      <c r="G317" s="174"/>
      <c r="H317" s="173"/>
      <c r="I317" s="175"/>
      <c r="J317" s="174"/>
      <c r="K317" s="173"/>
      <c r="L317" s="175"/>
      <c r="M317" s="41"/>
      <c r="N317" s="43"/>
      <c r="O317" s="174"/>
      <c r="P317" s="173"/>
      <c r="Q317" s="175"/>
      <c r="R317" s="41"/>
      <c r="S317" s="44"/>
      <c r="T317" s="13"/>
      <c r="U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21">
      <c r="A318" t="str">
        <f t="shared" si="62"/>
        <v>PiècesDEPENSES</v>
      </c>
      <c r="B318" s="11" t="s">
        <v>98</v>
      </c>
      <c r="C318" s="79" t="s">
        <v>29</v>
      </c>
      <c r="D318" s="13"/>
      <c r="E318" s="13"/>
      <c r="F318" s="59"/>
      <c r="G318" s="41"/>
      <c r="H318" s="13"/>
      <c r="I318" s="59"/>
      <c r="J318" s="41"/>
      <c r="K318" s="13"/>
      <c r="L318" s="40"/>
      <c r="M318" s="41"/>
      <c r="N318" s="40"/>
      <c r="O318" s="41"/>
      <c r="P318" s="13"/>
      <c r="Q318" s="40"/>
      <c r="R318" s="41"/>
      <c r="S318" s="61"/>
      <c r="T318" s="13"/>
      <c r="U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</row>
    <row r="319" spans="1:40" ht="20.399999999999999">
      <c r="A319" t="str">
        <f t="shared" si="62"/>
        <v>PiècesSalaires cadres</v>
      </c>
      <c r="B319" s="11" t="s">
        <v>98</v>
      </c>
      <c r="C319" s="102" t="s">
        <v>40</v>
      </c>
      <c r="D319" s="13"/>
      <c r="E319" s="13"/>
      <c r="F319" s="30">
        <v>4527.3187739463601</v>
      </c>
      <c r="G319" s="41"/>
      <c r="H319" s="13"/>
      <c r="I319" s="30"/>
      <c r="J319" s="41"/>
      <c r="K319" s="13"/>
      <c r="L319" s="33">
        <v>1505.43</v>
      </c>
      <c r="M319" s="41"/>
      <c r="N319" s="59">
        <f t="shared" ref="N319:N349" si="77">L319-F319</f>
        <v>-3021.8887739463598</v>
      </c>
      <c r="O319" s="41"/>
      <c r="P319" s="13"/>
      <c r="Q319" s="33">
        <v>4560.49</v>
      </c>
      <c r="R319" s="41"/>
      <c r="S319" s="85">
        <f t="shared" ref="S319:S349" si="78">L319-Q319</f>
        <v>-3055.0599999999995</v>
      </c>
      <c r="T319" s="13"/>
      <c r="U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</row>
    <row r="320" spans="1:40" ht="20.399999999999999">
      <c r="A320" t="str">
        <f t="shared" si="62"/>
        <v>PiècesSalaires commis</v>
      </c>
      <c r="B320" s="11" t="s">
        <v>98</v>
      </c>
      <c r="C320" s="103" t="s">
        <v>41</v>
      </c>
      <c r="D320" s="81"/>
      <c r="E320" s="13"/>
      <c r="F320" s="22">
        <v>2423.0906206896552</v>
      </c>
      <c r="G320" s="83"/>
      <c r="H320" s="13"/>
      <c r="I320" s="22"/>
      <c r="J320" s="41"/>
      <c r="K320" s="13"/>
      <c r="L320" s="33">
        <v>2027.91</v>
      </c>
      <c r="M320" s="41"/>
      <c r="N320" s="59">
        <f t="shared" si="77"/>
        <v>-395.18062068965514</v>
      </c>
      <c r="O320" s="41"/>
      <c r="P320" s="13"/>
      <c r="Q320" s="33">
        <v>3003.91</v>
      </c>
      <c r="R320" s="41"/>
      <c r="S320" s="85">
        <f t="shared" si="78"/>
        <v>-975.99999999999977</v>
      </c>
      <c r="T320" s="13"/>
      <c r="U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20.399999999999999">
      <c r="A321" t="str">
        <f t="shared" si="62"/>
        <v>PiècesSalaires autres</v>
      </c>
      <c r="B321" s="11" t="s">
        <v>98</v>
      </c>
      <c r="C321" s="102" t="s">
        <v>42</v>
      </c>
      <c r="D321" s="104"/>
      <c r="E321" s="105"/>
      <c r="F321" s="30">
        <v>20187.896837376</v>
      </c>
      <c r="G321" s="106"/>
      <c r="H321" s="105"/>
      <c r="I321" s="30"/>
      <c r="J321" s="107"/>
      <c r="K321" s="105"/>
      <c r="L321" s="108">
        <v>18511.16</v>
      </c>
      <c r="M321" s="107"/>
      <c r="N321" s="109">
        <f t="shared" si="77"/>
        <v>-1676.736837376</v>
      </c>
      <c r="O321" s="107"/>
      <c r="P321" s="105"/>
      <c r="Q321" s="108">
        <v>15492.59</v>
      </c>
      <c r="R321" s="107"/>
      <c r="S321" s="110">
        <f t="shared" si="78"/>
        <v>3018.5699999999997</v>
      </c>
      <c r="T321" s="13"/>
      <c r="U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</row>
    <row r="322" spans="1:40" ht="20.399999999999999" hidden="1">
      <c r="A322" t="str">
        <f t="shared" si="62"/>
        <v>PiècesSalaires spécialistes</v>
      </c>
      <c r="B322" s="11" t="s">
        <v>98</v>
      </c>
      <c r="C322" s="102" t="s">
        <v>43</v>
      </c>
      <c r="D322" s="81"/>
      <c r="E322" s="13"/>
      <c r="F322" s="30">
        <v>0</v>
      </c>
      <c r="G322" s="83"/>
      <c r="H322" s="13"/>
      <c r="I322" s="30"/>
      <c r="J322" s="41"/>
      <c r="K322" s="13"/>
      <c r="L322" s="33">
        <v>0</v>
      </c>
      <c r="M322" s="41"/>
      <c r="N322" s="59">
        <f t="shared" si="77"/>
        <v>0</v>
      </c>
      <c r="O322" s="41"/>
      <c r="P322" s="13"/>
      <c r="Q322" s="33">
        <v>0</v>
      </c>
      <c r="R322" s="41"/>
      <c r="S322" s="85">
        <f t="shared" si="78"/>
        <v>0</v>
      </c>
      <c r="T322" s="13"/>
      <c r="U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</row>
    <row r="323" spans="1:40" ht="20.399999999999999" hidden="1">
      <c r="A323" t="str">
        <f t="shared" si="62"/>
        <v>Pièces[...]</v>
      </c>
      <c r="B323" s="11" t="s">
        <v>98</v>
      </c>
      <c r="C323" s="228" t="s">
        <v>19</v>
      </c>
      <c r="D323" s="81"/>
      <c r="E323" s="13"/>
      <c r="F323" s="30">
        <v>0</v>
      </c>
      <c r="G323" s="83"/>
      <c r="H323" s="13"/>
      <c r="I323" s="30"/>
      <c r="J323" s="41"/>
      <c r="K323" s="13"/>
      <c r="L323" s="33">
        <v>0</v>
      </c>
      <c r="M323" s="41"/>
      <c r="N323" s="59">
        <f t="shared" si="77"/>
        <v>0</v>
      </c>
      <c r="O323" s="41"/>
      <c r="P323" s="13"/>
      <c r="Q323" s="33">
        <v>0</v>
      </c>
      <c r="R323" s="41"/>
      <c r="S323" s="85">
        <f t="shared" si="78"/>
        <v>0</v>
      </c>
      <c r="T323" s="13"/>
      <c r="U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20.399999999999999" hidden="1">
      <c r="A324" t="str">
        <f t="shared" si="62"/>
        <v>Pièces[...]</v>
      </c>
      <c r="B324" s="11" t="s">
        <v>98</v>
      </c>
      <c r="C324" s="228" t="s">
        <v>19</v>
      </c>
      <c r="D324" s="81"/>
      <c r="E324" s="13"/>
      <c r="F324" s="30">
        <v>0</v>
      </c>
      <c r="G324" s="83"/>
      <c r="H324" s="13"/>
      <c r="I324" s="30"/>
      <c r="J324" s="41"/>
      <c r="K324" s="13"/>
      <c r="L324" s="33">
        <v>0</v>
      </c>
      <c r="M324" s="41"/>
      <c r="N324" s="59">
        <f t="shared" si="77"/>
        <v>0</v>
      </c>
      <c r="O324" s="41"/>
      <c r="P324" s="13"/>
      <c r="Q324" s="33">
        <v>0</v>
      </c>
      <c r="R324" s="41"/>
      <c r="S324" s="85">
        <f t="shared" si="78"/>
        <v>0</v>
      </c>
      <c r="T324" s="13"/>
      <c r="U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20.399999999999999" hidden="1">
      <c r="A325" t="str">
        <f t="shared" si="62"/>
        <v>Pièces[...]</v>
      </c>
      <c r="B325" s="11" t="s">
        <v>98</v>
      </c>
      <c r="C325" s="228" t="s">
        <v>19</v>
      </c>
      <c r="D325" s="81"/>
      <c r="E325" s="13"/>
      <c r="F325" s="30">
        <v>0</v>
      </c>
      <c r="G325" s="83"/>
      <c r="H325" s="13"/>
      <c r="I325" s="30"/>
      <c r="J325" s="41"/>
      <c r="K325" s="13"/>
      <c r="L325" s="33">
        <v>0</v>
      </c>
      <c r="M325" s="41"/>
      <c r="N325" s="59">
        <f t="shared" si="77"/>
        <v>0</v>
      </c>
      <c r="O325" s="41"/>
      <c r="P325" s="13"/>
      <c r="Q325" s="33">
        <v>0</v>
      </c>
      <c r="R325" s="41"/>
      <c r="S325" s="85">
        <f t="shared" si="78"/>
        <v>0</v>
      </c>
      <c r="T325" s="13"/>
      <c r="U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20.399999999999999">
      <c r="A326" t="str">
        <f t="shared" si="62"/>
        <v>PiècesSalaires en absences</v>
      </c>
      <c r="B326" s="11" t="s">
        <v>98</v>
      </c>
      <c r="C326" s="103" t="s">
        <v>44</v>
      </c>
      <c r="D326" s="81"/>
      <c r="E326" s="13"/>
      <c r="F326" s="22">
        <v>3996.6918960473113</v>
      </c>
      <c r="G326" s="83"/>
      <c r="H326" s="13"/>
      <c r="I326" s="22"/>
      <c r="J326" s="41"/>
      <c r="K326" s="13"/>
      <c r="L326" s="33">
        <v>3924.58</v>
      </c>
      <c r="M326" s="41"/>
      <c r="N326" s="59">
        <f t="shared" si="77"/>
        <v>-72.111896047311348</v>
      </c>
      <c r="O326" s="41"/>
      <c r="P326" s="13"/>
      <c r="Q326" s="33">
        <v>3906.46</v>
      </c>
      <c r="R326" s="41"/>
      <c r="S326" s="85">
        <f t="shared" si="78"/>
        <v>18.119999999999891</v>
      </c>
      <c r="T326" s="13"/>
      <c r="U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20.399999999999999">
      <c r="A327" t="str">
        <f t="shared" si="62"/>
        <v>PiècesDéduction à la source</v>
      </c>
      <c r="B327" s="11" t="s">
        <v>98</v>
      </c>
      <c r="C327" s="102" t="s">
        <v>45</v>
      </c>
      <c r="D327" s="104"/>
      <c r="E327" s="105"/>
      <c r="F327" s="30">
        <v>3662.6197363471892</v>
      </c>
      <c r="G327" s="106"/>
      <c r="H327" s="105"/>
      <c r="I327" s="30"/>
      <c r="J327" s="107"/>
      <c r="K327" s="105"/>
      <c r="L327" s="108">
        <v>3348.81</v>
      </c>
      <c r="M327" s="107"/>
      <c r="N327" s="109">
        <f t="shared" si="77"/>
        <v>-313.8097363471893</v>
      </c>
      <c r="O327" s="107"/>
      <c r="P327" s="105"/>
      <c r="Q327" s="108">
        <v>4131.46</v>
      </c>
      <c r="R327" s="107"/>
      <c r="S327" s="110">
        <f t="shared" si="78"/>
        <v>-782.65000000000009</v>
      </c>
      <c r="T327" s="13"/>
      <c r="U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20.399999999999999">
      <c r="A328" t="str">
        <f t="shared" si="62"/>
        <v>PiècesBénéfices marginaux</v>
      </c>
      <c r="B328" s="11" t="s">
        <v>98</v>
      </c>
      <c r="C328" s="102" t="s">
        <v>46</v>
      </c>
      <c r="D328" s="81"/>
      <c r="E328" s="13"/>
      <c r="F328" s="30">
        <v>2991.1394513502046</v>
      </c>
      <c r="G328" s="83"/>
      <c r="H328" s="13"/>
      <c r="I328" s="30"/>
      <c r="J328" s="41"/>
      <c r="K328" s="13"/>
      <c r="L328" s="33">
        <v>2739.19</v>
      </c>
      <c r="M328" s="41"/>
      <c r="N328" s="59">
        <f t="shared" si="77"/>
        <v>-251.94945135020453</v>
      </c>
      <c r="O328" s="41"/>
      <c r="P328" s="13"/>
      <c r="Q328" s="33">
        <v>2532.77</v>
      </c>
      <c r="R328" s="41"/>
      <c r="S328" s="85">
        <f t="shared" si="78"/>
        <v>206.42000000000007</v>
      </c>
      <c r="T328" s="13"/>
      <c r="U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20.399999999999999">
      <c r="A329" t="str">
        <f t="shared" si="62"/>
        <v>PiècesCsst</v>
      </c>
      <c r="B329" s="11" t="s">
        <v>98</v>
      </c>
      <c r="C329" s="102" t="s">
        <v>47</v>
      </c>
      <c r="D329" s="81"/>
      <c r="E329" s="13"/>
      <c r="F329" s="30">
        <v>747.78486283755115</v>
      </c>
      <c r="G329" s="83"/>
      <c r="H329" s="13"/>
      <c r="I329" s="30"/>
      <c r="J329" s="41"/>
      <c r="K329" s="13"/>
      <c r="L329" s="33">
        <v>527.05999999999995</v>
      </c>
      <c r="M329" s="462"/>
      <c r="N329" s="145">
        <f t="shared" si="77"/>
        <v>-220.7248628375512</v>
      </c>
      <c r="O329" s="41"/>
      <c r="P329" s="13"/>
      <c r="Q329" s="33">
        <v>861.79</v>
      </c>
      <c r="R329" s="41"/>
      <c r="S329" s="85">
        <f t="shared" si="78"/>
        <v>-334.73</v>
      </c>
      <c r="T329" s="13"/>
      <c r="U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20.399999999999999" hidden="1">
      <c r="A330" t="str">
        <f t="shared" si="62"/>
        <v>Pièces[...]</v>
      </c>
      <c r="B330" s="11" t="s">
        <v>98</v>
      </c>
      <c r="C330" s="29" t="s">
        <v>19</v>
      </c>
      <c r="D330" s="87"/>
      <c r="E330" s="111"/>
      <c r="F330" s="30">
        <v>0</v>
      </c>
      <c r="G330" s="89"/>
      <c r="H330" s="111"/>
      <c r="I330" s="30"/>
      <c r="J330" s="23"/>
      <c r="K330" s="111"/>
      <c r="L330" s="33">
        <v>0</v>
      </c>
      <c r="M330" s="23"/>
      <c r="N330" s="91">
        <f t="shared" si="77"/>
        <v>0</v>
      </c>
      <c r="O330" s="23"/>
      <c r="P330" s="111"/>
      <c r="Q330" s="33">
        <v>0</v>
      </c>
      <c r="R330" s="23"/>
      <c r="S330" s="92">
        <f t="shared" si="78"/>
        <v>0</v>
      </c>
      <c r="T330" s="13"/>
      <c r="U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ht="21">
      <c r="A331" t="str">
        <f t="shared" si="62"/>
        <v>PiècesTOTAL PERSONNEL</v>
      </c>
      <c r="B331" s="11" t="s">
        <v>98</v>
      </c>
      <c r="C331" s="93" t="s">
        <v>48</v>
      </c>
      <c r="D331" s="94" t="s">
        <v>38</v>
      </c>
      <c r="E331" s="95">
        <f>F331/F$315</f>
        <v>0.33070760239570512</v>
      </c>
      <c r="F331" s="96">
        <f>+SUM(F319:F330)</f>
        <v>38536.542178594267</v>
      </c>
      <c r="G331" s="97"/>
      <c r="H331" s="95"/>
      <c r="I331" s="96"/>
      <c r="J331" s="97" t="s">
        <v>38</v>
      </c>
      <c r="K331" s="95">
        <f>L331/L$315</f>
        <v>0.2370692016606705</v>
      </c>
      <c r="L331" s="96">
        <f>+SUM(L319:L330)</f>
        <v>32584.140000000003</v>
      </c>
      <c r="M331" s="146"/>
      <c r="N331" s="113">
        <f t="shared" si="77"/>
        <v>-5952.4021785942641</v>
      </c>
      <c r="O331" s="97" t="s">
        <v>38</v>
      </c>
      <c r="P331" s="95">
        <f>Q331/Q$315</f>
        <v>0.34954667690424784</v>
      </c>
      <c r="Q331" s="96">
        <f>+SUM(Q319:Q330)</f>
        <v>34489.469999999994</v>
      </c>
      <c r="R331" s="146"/>
      <c r="S331" s="114">
        <f t="shared" si="78"/>
        <v>-1905.3299999999908</v>
      </c>
      <c r="T331" s="13"/>
      <c r="U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</row>
    <row r="332" spans="1:40" ht="20.399999999999999">
      <c r="A332" t="str">
        <f t="shared" si="62"/>
        <v>PiècesPublicité 2</v>
      </c>
      <c r="B332" s="11" t="s">
        <v>98</v>
      </c>
      <c r="C332" s="210" t="s">
        <v>49</v>
      </c>
      <c r="D332" s="81"/>
      <c r="E332" s="13"/>
      <c r="F332" s="30">
        <v>775.81460978741154</v>
      </c>
      <c r="G332" s="83"/>
      <c r="H332" s="13"/>
      <c r="I332" s="30"/>
      <c r="J332" s="41"/>
      <c r="K332" s="13"/>
      <c r="L332" s="33">
        <v>840.1</v>
      </c>
      <c r="M332" s="41"/>
      <c r="N332" s="59">
        <f t="shared" si="77"/>
        <v>64.285390212588482</v>
      </c>
      <c r="O332" s="41"/>
      <c r="P332" s="13"/>
      <c r="Q332" s="33">
        <v>1914.43</v>
      </c>
      <c r="R332" s="41"/>
      <c r="S332" s="85">
        <f t="shared" si="78"/>
        <v>-1074.33</v>
      </c>
      <c r="T332" s="13"/>
      <c r="U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20.399999999999999">
      <c r="A333" t="str">
        <f t="shared" si="62"/>
        <v>PiècesService gratuit 2</v>
      </c>
      <c r="B333" s="11" t="s">
        <v>98</v>
      </c>
      <c r="C333" s="102" t="s">
        <v>50</v>
      </c>
      <c r="D333" s="81"/>
      <c r="E333" s="13"/>
      <c r="F333" s="30">
        <v>625</v>
      </c>
      <c r="G333" s="83"/>
      <c r="H333" s="13"/>
      <c r="I333" s="30"/>
      <c r="J333" s="41"/>
      <c r="K333" s="13"/>
      <c r="L333" s="30">
        <v>762.62</v>
      </c>
      <c r="M333" s="41"/>
      <c r="N333" s="59">
        <f t="shared" si="77"/>
        <v>137.62</v>
      </c>
      <c r="O333" s="41"/>
      <c r="P333" s="13"/>
      <c r="Q333" s="33">
        <v>371</v>
      </c>
      <c r="R333" s="41"/>
      <c r="S333" s="85">
        <f t="shared" si="78"/>
        <v>391.62</v>
      </c>
      <c r="T333" s="13"/>
      <c r="U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20.399999999999999">
      <c r="A334" t="str">
        <f t="shared" si="62"/>
        <v>PiècesFrais véhicules de cie</v>
      </c>
      <c r="B334" s="11" t="s">
        <v>98</v>
      </c>
      <c r="C334" s="103" t="s">
        <v>51</v>
      </c>
      <c r="D334" s="87"/>
      <c r="E334" s="111"/>
      <c r="F334" s="22">
        <v>4823.666666666667</v>
      </c>
      <c r="G334" s="89"/>
      <c r="H334" s="111"/>
      <c r="I334" s="22"/>
      <c r="J334" s="23"/>
      <c r="K334" s="111"/>
      <c r="L334" s="22">
        <v>5461.47</v>
      </c>
      <c r="M334" s="23"/>
      <c r="N334" s="91">
        <f t="shared" si="77"/>
        <v>637.80333333333328</v>
      </c>
      <c r="O334" s="23"/>
      <c r="P334" s="111"/>
      <c r="Q334" s="33">
        <v>4817.5599999999995</v>
      </c>
      <c r="R334" s="23"/>
      <c r="S334" s="92">
        <f t="shared" si="78"/>
        <v>643.91000000000076</v>
      </c>
      <c r="T334" s="13"/>
      <c r="U334" s="13"/>
      <c r="V334" s="489" t="s">
        <v>280</v>
      </c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20.399999999999999">
      <c r="A335" t="str">
        <f t="shared" si="62"/>
        <v>PiècesInformatique</v>
      </c>
      <c r="B335" s="11" t="s">
        <v>98</v>
      </c>
      <c r="C335" s="102" t="s">
        <v>52</v>
      </c>
      <c r="D335" s="81"/>
      <c r="E335" s="13"/>
      <c r="F335" s="30">
        <v>2651.4753333333338</v>
      </c>
      <c r="G335" s="83"/>
      <c r="H335" s="13"/>
      <c r="I335" s="30"/>
      <c r="J335" s="41"/>
      <c r="K335" s="13"/>
      <c r="L335" s="108">
        <v>2712.28</v>
      </c>
      <c r="M335" s="41"/>
      <c r="N335" s="59">
        <f t="shared" si="77"/>
        <v>60.804666666666435</v>
      </c>
      <c r="O335" s="41"/>
      <c r="P335" s="13"/>
      <c r="Q335" s="108">
        <v>1487.64</v>
      </c>
      <c r="R335" s="41"/>
      <c r="S335" s="85">
        <f t="shared" si="78"/>
        <v>1224.6400000000001</v>
      </c>
      <c r="T335" s="13"/>
      <c r="U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20.399999999999999">
      <c r="A336" t="str">
        <f t="shared" si="62"/>
        <v>PiècesFrais de déplacement</v>
      </c>
      <c r="B336" s="11" t="s">
        <v>98</v>
      </c>
      <c r="C336" s="102" t="s">
        <v>53</v>
      </c>
      <c r="D336" s="81"/>
      <c r="E336" s="13"/>
      <c r="F336" s="30">
        <v>998.33333333333326</v>
      </c>
      <c r="G336" s="83"/>
      <c r="H336" s="13"/>
      <c r="I336" s="30"/>
      <c r="J336" s="41"/>
      <c r="K336" s="13"/>
      <c r="L336" s="33">
        <v>1124.9100000000001</v>
      </c>
      <c r="M336" s="41"/>
      <c r="N336" s="59">
        <f t="shared" si="77"/>
        <v>126.57666666666682</v>
      </c>
      <c r="O336" s="41"/>
      <c r="P336" s="13"/>
      <c r="Q336" s="33">
        <v>-149</v>
      </c>
      <c r="R336" s="41"/>
      <c r="S336" s="85">
        <f t="shared" si="78"/>
        <v>1273.9100000000001</v>
      </c>
      <c r="T336" s="13"/>
      <c r="U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20.399999999999999">
      <c r="A337" t="str">
        <f t="shared" si="62"/>
        <v>PiècesServices extérieurs</v>
      </c>
      <c r="B337" s="11" t="s">
        <v>98</v>
      </c>
      <c r="C337" s="229" t="s">
        <v>54</v>
      </c>
      <c r="D337" s="87"/>
      <c r="E337" s="111"/>
      <c r="F337" s="22">
        <v>1318.576</v>
      </c>
      <c r="G337" s="89"/>
      <c r="H337" s="111"/>
      <c r="I337" s="22"/>
      <c r="J337" s="23"/>
      <c r="K337" s="111"/>
      <c r="L337" s="48">
        <v>2807.57</v>
      </c>
      <c r="M337" s="23"/>
      <c r="N337" s="91">
        <f t="shared" si="77"/>
        <v>1488.9940000000001</v>
      </c>
      <c r="O337" s="23"/>
      <c r="P337" s="111"/>
      <c r="Q337" s="48">
        <v>1975.6</v>
      </c>
      <c r="R337" s="23"/>
      <c r="S337" s="92">
        <f t="shared" si="78"/>
        <v>831.97000000000025</v>
      </c>
      <c r="T337" s="13"/>
      <c r="U337" s="13"/>
      <c r="V337" s="489" t="s">
        <v>274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20.399999999999999" hidden="1">
      <c r="A338" t="str">
        <f t="shared" si="62"/>
        <v>PiècesFournitures d'atelier</v>
      </c>
      <c r="B338" s="11" t="s">
        <v>98</v>
      </c>
      <c r="C338" s="102" t="s">
        <v>93</v>
      </c>
      <c r="D338" s="81"/>
      <c r="E338" s="13"/>
      <c r="F338" s="30"/>
      <c r="G338" s="83"/>
      <c r="H338" s="13"/>
      <c r="I338" s="30"/>
      <c r="J338" s="41"/>
      <c r="K338" s="13"/>
      <c r="L338" s="33">
        <v>0</v>
      </c>
      <c r="M338" s="41"/>
      <c r="N338" s="59">
        <f t="shared" si="77"/>
        <v>0</v>
      </c>
      <c r="O338" s="41"/>
      <c r="P338" s="13"/>
      <c r="Q338" s="33">
        <v>0</v>
      </c>
      <c r="R338" s="41"/>
      <c r="S338" s="85">
        <f t="shared" si="78"/>
        <v>0</v>
      </c>
      <c r="T338" s="13"/>
      <c r="U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20.399999999999999">
      <c r="A339" t="str">
        <f t="shared" si="62"/>
        <v>PiècesFournitures autres</v>
      </c>
      <c r="B339" s="11" t="s">
        <v>98</v>
      </c>
      <c r="C339" s="102" t="s">
        <v>55</v>
      </c>
      <c r="D339" s="81"/>
      <c r="E339" s="13"/>
      <c r="F339" s="30">
        <v>15</v>
      </c>
      <c r="G339" s="83"/>
      <c r="H339" s="13"/>
      <c r="I339" s="30"/>
      <c r="J339" s="41"/>
      <c r="K339" s="13"/>
      <c r="L339" s="33">
        <v>19.8</v>
      </c>
      <c r="M339" s="41"/>
      <c r="N339" s="59">
        <f t="shared" si="77"/>
        <v>4.8000000000000007</v>
      </c>
      <c r="O339" s="41"/>
      <c r="P339" s="13"/>
      <c r="Q339" s="33">
        <v>49.16</v>
      </c>
      <c r="R339" s="41"/>
      <c r="S339" s="85">
        <f t="shared" si="78"/>
        <v>-29.359999999999996</v>
      </c>
      <c r="T339" s="13"/>
      <c r="U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20.399999999999999">
      <c r="A340" t="str">
        <f t="shared" si="62"/>
        <v>PiècesUniformes</v>
      </c>
      <c r="B340" s="11" t="s">
        <v>98</v>
      </c>
      <c r="C340" s="102" t="s">
        <v>56</v>
      </c>
      <c r="D340" s="81"/>
      <c r="E340" s="13"/>
      <c r="F340" s="30">
        <v>37.5</v>
      </c>
      <c r="G340" s="83"/>
      <c r="H340" s="13"/>
      <c r="I340" s="30"/>
      <c r="J340" s="41"/>
      <c r="K340" s="13"/>
      <c r="L340" s="33">
        <v>0</v>
      </c>
      <c r="M340" s="41"/>
      <c r="N340" s="59">
        <f t="shared" si="77"/>
        <v>-37.5</v>
      </c>
      <c r="O340" s="41"/>
      <c r="P340" s="13"/>
      <c r="Q340" s="33">
        <v>0</v>
      </c>
      <c r="R340" s="41"/>
      <c r="S340" s="85">
        <f t="shared" si="78"/>
        <v>0</v>
      </c>
      <c r="T340" s="13"/>
      <c r="U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20.399999999999999">
      <c r="A341" t="str">
        <f t="shared" si="62"/>
        <v>PiècesPapeterie</v>
      </c>
      <c r="B341" s="11" t="s">
        <v>98</v>
      </c>
      <c r="C341" s="102" t="s">
        <v>57</v>
      </c>
      <c r="D341" s="81"/>
      <c r="E341" s="13"/>
      <c r="F341" s="30">
        <v>290</v>
      </c>
      <c r="G341" s="83"/>
      <c r="H341" s="13"/>
      <c r="I341" s="30"/>
      <c r="J341" s="41"/>
      <c r="K341" s="13"/>
      <c r="L341" s="32">
        <v>162.22999999999999</v>
      </c>
      <c r="M341" s="41"/>
      <c r="N341" s="59">
        <f t="shared" si="77"/>
        <v>-127.77000000000001</v>
      </c>
      <c r="O341" s="41"/>
      <c r="P341" s="13"/>
      <c r="Q341" s="32">
        <v>277.62</v>
      </c>
      <c r="R341" s="41"/>
      <c r="S341" s="85">
        <f t="shared" si="78"/>
        <v>-115.39000000000001</v>
      </c>
      <c r="T341" s="13"/>
      <c r="U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20.399999999999999">
      <c r="A342" t="str">
        <f t="shared" si="62"/>
        <v>PiècesTéléphone</v>
      </c>
      <c r="B342" s="11" t="s">
        <v>98</v>
      </c>
      <c r="C342" s="102" t="s">
        <v>58</v>
      </c>
      <c r="D342" s="81"/>
      <c r="E342" s="13"/>
      <c r="F342" s="30">
        <v>113.8</v>
      </c>
      <c r="G342" s="83"/>
      <c r="H342" s="13"/>
      <c r="I342" s="30"/>
      <c r="J342" s="41"/>
      <c r="K342" s="13"/>
      <c r="L342" s="33">
        <v>103.73</v>
      </c>
      <c r="M342" s="41"/>
      <c r="N342" s="59">
        <f t="shared" si="77"/>
        <v>-10.069999999999993</v>
      </c>
      <c r="O342" s="41"/>
      <c r="P342" s="13"/>
      <c r="Q342" s="33">
        <v>105.23</v>
      </c>
      <c r="R342" s="41"/>
      <c r="S342" s="85">
        <f t="shared" si="78"/>
        <v>-1.5</v>
      </c>
      <c r="T342" s="13"/>
      <c r="U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20.399999999999999">
      <c r="A343" t="str">
        <f t="shared" si="62"/>
        <v>PiècesFrais postaux</v>
      </c>
      <c r="B343" s="11" t="s">
        <v>98</v>
      </c>
      <c r="C343" s="102" t="s">
        <v>59</v>
      </c>
      <c r="D343" s="81"/>
      <c r="E343" s="13"/>
      <c r="F343" s="30">
        <v>2371.666666666667</v>
      </c>
      <c r="G343" s="83"/>
      <c r="H343" s="13"/>
      <c r="I343" s="30"/>
      <c r="J343" s="41"/>
      <c r="K343" s="13"/>
      <c r="L343" s="33">
        <v>-377.76</v>
      </c>
      <c r="M343" s="41"/>
      <c r="N343" s="59">
        <f t="shared" si="77"/>
        <v>-2749.4266666666672</v>
      </c>
      <c r="O343" s="41"/>
      <c r="P343" s="13"/>
      <c r="Q343" s="33">
        <v>394.99</v>
      </c>
      <c r="R343" s="41"/>
      <c r="S343" s="85">
        <f t="shared" si="78"/>
        <v>-772.75</v>
      </c>
      <c r="T343" s="13"/>
      <c r="U343" s="13"/>
      <c r="V343" s="489" t="s">
        <v>283</v>
      </c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20.399999999999999">
      <c r="A344" t="str">
        <f t="shared" si="62"/>
        <v>PiècesDivers</v>
      </c>
      <c r="B344" s="11" t="s">
        <v>98</v>
      </c>
      <c r="C344" s="102" t="s">
        <v>60</v>
      </c>
      <c r="D344" s="81"/>
      <c r="E344" s="13"/>
      <c r="F344" s="30">
        <v>305.33333333333331</v>
      </c>
      <c r="G344" s="83"/>
      <c r="H344" s="13"/>
      <c r="I344" s="30"/>
      <c r="J344" s="41"/>
      <c r="K344" s="13"/>
      <c r="L344" s="33">
        <v>299.33000000000004</v>
      </c>
      <c r="M344" s="41"/>
      <c r="N344" s="59">
        <f t="shared" si="77"/>
        <v>-6.0033333333332735</v>
      </c>
      <c r="O344" s="41"/>
      <c r="P344" s="13"/>
      <c r="Q344" s="33">
        <v>338.44</v>
      </c>
      <c r="R344" s="41"/>
      <c r="S344" s="85">
        <f t="shared" si="78"/>
        <v>-39.109999999999957</v>
      </c>
      <c r="T344" s="13"/>
      <c r="U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ht="20.399999999999999">
      <c r="A345" t="str">
        <f t="shared" si="62"/>
        <v>PiècesFormation</v>
      </c>
      <c r="B345" s="11" t="s">
        <v>98</v>
      </c>
      <c r="C345" s="102" t="s">
        <v>61</v>
      </c>
      <c r="D345" s="81"/>
      <c r="E345" s="13"/>
      <c r="F345" s="30">
        <v>152.46400000000006</v>
      </c>
      <c r="G345" s="83"/>
      <c r="H345" s="13"/>
      <c r="I345" s="30"/>
      <c r="J345" s="41"/>
      <c r="K345" s="13"/>
      <c r="L345" s="59">
        <v>-292.18</v>
      </c>
      <c r="M345" s="41"/>
      <c r="N345" s="59">
        <f t="shared" si="77"/>
        <v>-444.64400000000006</v>
      </c>
      <c r="O345" s="41"/>
      <c r="P345" s="13"/>
      <c r="Q345" s="33">
        <v>-67.47</v>
      </c>
      <c r="R345" s="41"/>
      <c r="S345" s="85">
        <f t="shared" si="78"/>
        <v>-224.71</v>
      </c>
      <c r="T345" s="13"/>
      <c r="U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</row>
    <row r="346" spans="1:40" ht="20.399999999999999">
      <c r="A346" t="str">
        <f t="shared" si="62"/>
        <v>PiècesFrais bancaires</v>
      </c>
      <c r="B346" s="11" t="s">
        <v>98</v>
      </c>
      <c r="C346" s="102" t="s">
        <v>62</v>
      </c>
      <c r="D346" s="81"/>
      <c r="E346" s="13"/>
      <c r="F346" s="30">
        <v>1912.4392914616108</v>
      </c>
      <c r="G346" s="83"/>
      <c r="H346" s="13"/>
      <c r="I346" s="30"/>
      <c r="J346" s="41"/>
      <c r="K346" s="13"/>
      <c r="L346" s="32">
        <v>1345.77</v>
      </c>
      <c r="M346" s="41"/>
      <c r="N346" s="59">
        <f t="shared" si="77"/>
        <v>-566.66929146161078</v>
      </c>
      <c r="O346" s="41"/>
      <c r="P346" s="13"/>
      <c r="Q346" s="33">
        <v>676.59</v>
      </c>
      <c r="R346" s="41"/>
      <c r="S346" s="85">
        <f t="shared" si="78"/>
        <v>669.18</v>
      </c>
      <c r="T346" s="13"/>
      <c r="U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20.399999999999999" hidden="1">
      <c r="A347" t="str">
        <f t="shared" si="62"/>
        <v>Pièces[...]</v>
      </c>
      <c r="B347" s="11" t="s">
        <v>98</v>
      </c>
      <c r="C347" s="102" t="s">
        <v>19</v>
      </c>
      <c r="D347" s="81"/>
      <c r="E347" s="13"/>
      <c r="F347" s="30">
        <v>0</v>
      </c>
      <c r="G347" s="83"/>
      <c r="H347" s="13"/>
      <c r="I347" s="30"/>
      <c r="J347" s="41"/>
      <c r="K347" s="13"/>
      <c r="L347" s="33">
        <v>0</v>
      </c>
      <c r="M347" s="41"/>
      <c r="N347" s="59">
        <f t="shared" si="77"/>
        <v>0</v>
      </c>
      <c r="O347" s="41"/>
      <c r="P347" s="13"/>
      <c r="Q347" s="33">
        <v>0</v>
      </c>
      <c r="R347" s="41"/>
      <c r="S347" s="85">
        <f t="shared" si="78"/>
        <v>0</v>
      </c>
      <c r="T347" s="13"/>
      <c r="U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20.399999999999999" hidden="1">
      <c r="A348" t="str">
        <f t="shared" si="62"/>
        <v>Pièces[...]</v>
      </c>
      <c r="B348" s="11" t="s">
        <v>98</v>
      </c>
      <c r="C348" s="102" t="s">
        <v>19</v>
      </c>
      <c r="D348" s="81"/>
      <c r="E348" s="13"/>
      <c r="F348" s="30">
        <v>0</v>
      </c>
      <c r="G348" s="83"/>
      <c r="H348" s="13"/>
      <c r="I348" s="30"/>
      <c r="J348" s="41"/>
      <c r="K348" s="13"/>
      <c r="L348" s="33">
        <v>0</v>
      </c>
      <c r="M348" s="41"/>
      <c r="N348" s="59">
        <f t="shared" si="77"/>
        <v>0</v>
      </c>
      <c r="O348" s="41"/>
      <c r="P348" s="13"/>
      <c r="Q348" s="33">
        <v>0</v>
      </c>
      <c r="R348" s="41"/>
      <c r="S348" s="85">
        <f t="shared" si="78"/>
        <v>0</v>
      </c>
      <c r="T348" s="13"/>
      <c r="U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20.399999999999999" hidden="1">
      <c r="A349" t="str">
        <f t="shared" si="62"/>
        <v>Pièces[...]</v>
      </c>
      <c r="B349" s="11" t="s">
        <v>98</v>
      </c>
      <c r="C349" s="102" t="s">
        <v>19</v>
      </c>
      <c r="D349" s="81"/>
      <c r="E349" s="13"/>
      <c r="F349" s="30">
        <v>0</v>
      </c>
      <c r="G349" s="83"/>
      <c r="H349" s="13"/>
      <c r="I349" s="30"/>
      <c r="J349" s="41"/>
      <c r="K349" s="13"/>
      <c r="L349" s="33">
        <v>0</v>
      </c>
      <c r="M349" s="41"/>
      <c r="N349" s="59">
        <f t="shared" si="77"/>
        <v>0</v>
      </c>
      <c r="O349" s="41"/>
      <c r="P349" s="13"/>
      <c r="Q349" s="33">
        <v>0</v>
      </c>
      <c r="R349" s="41"/>
      <c r="S349" s="85">
        <f t="shared" si="78"/>
        <v>0</v>
      </c>
      <c r="T349" s="13"/>
      <c r="U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21">
      <c r="B350" s="7"/>
      <c r="C350" s="93" t="s">
        <v>63</v>
      </c>
      <c r="D350" s="94" t="s">
        <v>38</v>
      </c>
      <c r="E350" s="95">
        <f>F350/F$315</f>
        <v>0.14066262567485163</v>
      </c>
      <c r="F350" s="96">
        <f>+SUM(F332:F349)</f>
        <v>16391.069234582355</v>
      </c>
      <c r="G350" s="97"/>
      <c r="H350" s="95"/>
      <c r="I350" s="96"/>
      <c r="J350" s="97" t="s">
        <v>38</v>
      </c>
      <c r="K350" s="95">
        <f>L350/L$315</f>
        <v>0.10891480118438053</v>
      </c>
      <c r="L350" s="96">
        <f>+SUM(L332:L349)</f>
        <v>14969.869999999999</v>
      </c>
      <c r="M350" s="100"/>
      <c r="N350" s="96">
        <f>+SUM(N332:N349)</f>
        <v>-1421.1992345823562</v>
      </c>
      <c r="O350" s="97" t="s">
        <v>38</v>
      </c>
      <c r="P350" s="95">
        <f>Q350/Q$315</f>
        <v>0.1235623417818378</v>
      </c>
      <c r="Q350" s="96">
        <f>+SUM(Q332:Q349)</f>
        <v>12191.79</v>
      </c>
      <c r="R350" s="100"/>
      <c r="S350" s="101">
        <f>+SUM(S332:S349)</f>
        <v>2778.0800000000008</v>
      </c>
      <c r="T350" s="13"/>
      <c r="U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20.399999999999999">
      <c r="B351" s="7"/>
      <c r="C351" s="86"/>
      <c r="D351" s="87"/>
      <c r="E351" s="111"/>
      <c r="F351" s="59"/>
      <c r="G351" s="89"/>
      <c r="H351" s="111"/>
      <c r="I351" s="59"/>
      <c r="J351" s="23"/>
      <c r="K351" s="111"/>
      <c r="L351" s="91"/>
      <c r="M351" s="23"/>
      <c r="N351" s="91"/>
      <c r="O351" s="23"/>
      <c r="P351" s="111"/>
      <c r="Q351" s="91"/>
      <c r="R351" s="23"/>
      <c r="S351" s="92"/>
      <c r="T351" s="13"/>
      <c r="U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21">
      <c r="B352" s="7"/>
      <c r="C352" s="93" t="s">
        <v>64</v>
      </c>
      <c r="D352" s="94" t="s">
        <v>38</v>
      </c>
      <c r="E352" s="95">
        <f>F352/F$315</f>
        <v>0.47137022807055678</v>
      </c>
      <c r="F352" s="96">
        <f>F331+F350</f>
        <v>54927.611413176623</v>
      </c>
      <c r="G352" s="97"/>
      <c r="H352" s="95"/>
      <c r="I352" s="96"/>
      <c r="J352" s="97" t="s">
        <v>38</v>
      </c>
      <c r="K352" s="95">
        <f>L352/L$315</f>
        <v>0.34598400284505104</v>
      </c>
      <c r="L352" s="96">
        <f>L331+L350</f>
        <v>47554.01</v>
      </c>
      <c r="M352" s="100"/>
      <c r="N352" s="113">
        <f>L352-F352</f>
        <v>-7373.6014131766206</v>
      </c>
      <c r="O352" s="97" t="s">
        <v>38</v>
      </c>
      <c r="P352" s="95">
        <f>Q352/Q$315</f>
        <v>0.47310901868608568</v>
      </c>
      <c r="Q352" s="96">
        <f>Q331+Q350</f>
        <v>46681.259999999995</v>
      </c>
      <c r="R352" s="100"/>
      <c r="S352" s="114">
        <f>L352-Q352</f>
        <v>872.75000000000728</v>
      </c>
      <c r="T352" s="13"/>
      <c r="U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20.399999999999999">
      <c r="B353" s="7"/>
      <c r="C353" s="29"/>
      <c r="D353" s="81"/>
      <c r="E353" s="13"/>
      <c r="F353" s="59"/>
      <c r="G353" s="83"/>
      <c r="H353" s="13"/>
      <c r="I353" s="59"/>
      <c r="J353" s="41"/>
      <c r="K353" s="13"/>
      <c r="L353" s="59"/>
      <c r="M353" s="41"/>
      <c r="N353" s="59"/>
      <c r="O353" s="41"/>
      <c r="P353" s="13"/>
      <c r="Q353" s="59"/>
      <c r="R353" s="41"/>
      <c r="S353" s="85"/>
      <c r="T353" s="13"/>
      <c r="U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21.6" thickBot="1">
      <c r="B354" s="7"/>
      <c r="C354" s="124" t="s">
        <v>69</v>
      </c>
      <c r="D354" s="151"/>
      <c r="E354" s="125"/>
      <c r="F354" s="127">
        <f>F315-F352</f>
        <v>61599.924994903049</v>
      </c>
      <c r="G354" s="152"/>
      <c r="H354" s="125"/>
      <c r="I354" s="127"/>
      <c r="J354" s="153"/>
      <c r="K354" s="126"/>
      <c r="L354" s="127">
        <f>L315-L352</f>
        <v>89891.68</v>
      </c>
      <c r="M354" s="153"/>
      <c r="N354" s="127">
        <f>L354-F354</f>
        <v>28291.755005096944</v>
      </c>
      <c r="O354" s="153"/>
      <c r="P354" s="126"/>
      <c r="Q354" s="127">
        <f>Q315-Q352</f>
        <v>51987.87999999999</v>
      </c>
      <c r="R354" s="153"/>
      <c r="S354" s="129">
        <f>L354-Q354</f>
        <v>37903.800000000003</v>
      </c>
      <c r="T354" s="13"/>
      <c r="U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21.6" thickTop="1">
      <c r="B355" s="7"/>
      <c r="C355" s="76"/>
      <c r="D355" s="81"/>
      <c r="E355" s="13"/>
      <c r="F355" s="112"/>
      <c r="G355" s="81"/>
      <c r="H355" s="13"/>
      <c r="I355" s="112"/>
      <c r="J355" s="76"/>
      <c r="K355" s="76"/>
      <c r="L355" s="112"/>
      <c r="M355" s="76"/>
      <c r="N355" s="112"/>
      <c r="O355" s="76"/>
      <c r="P355" s="76"/>
      <c r="Q355" s="112"/>
      <c r="R355" s="76"/>
      <c r="S355" s="112"/>
      <c r="T355" s="13"/>
      <c r="U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21" hidden="1">
      <c r="B356" s="7"/>
      <c r="C356" s="76"/>
      <c r="D356" s="81"/>
      <c r="E356" s="13"/>
      <c r="F356" s="112"/>
      <c r="G356" s="81"/>
      <c r="H356" s="13"/>
      <c r="I356" s="112"/>
      <c r="J356" s="76"/>
      <c r="K356" s="76"/>
      <c r="L356" s="112"/>
      <c r="M356" s="76"/>
      <c r="N356" s="112"/>
      <c r="O356" s="76"/>
      <c r="P356" s="76"/>
      <c r="Q356" s="112"/>
      <c r="R356" s="76"/>
      <c r="S356" s="112"/>
      <c r="T356" s="13"/>
      <c r="U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35.4" hidden="1">
      <c r="B357" s="7"/>
      <c r="C357" s="6" t="str">
        <f>+C292</f>
        <v>BMW Sherbrooke</v>
      </c>
      <c r="D357" s="2"/>
      <c r="E357" s="2"/>
      <c r="F357" s="2"/>
      <c r="G357" s="2"/>
      <c r="H357" s="1"/>
      <c r="I357" s="1"/>
      <c r="J357" s="1"/>
      <c r="K357" s="3" t="s">
        <v>114</v>
      </c>
      <c r="L357" s="2"/>
      <c r="M357" s="2"/>
      <c r="N357" s="1"/>
      <c r="O357" s="1"/>
      <c r="P357" s="2"/>
      <c r="Q357" s="1"/>
      <c r="R357" s="2"/>
      <c r="S357" s="5" t="str">
        <f>$S$1</f>
        <v>Réalisé, Septembre 2026</v>
      </c>
      <c r="T357" s="10"/>
      <c r="U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</row>
    <row r="358" spans="1:40" hidden="1">
      <c r="B358" s="7"/>
      <c r="C358" s="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</row>
    <row r="359" spans="1:40" ht="21.6" hidden="1" thickTop="1">
      <c r="B359" s="7"/>
      <c r="C359" s="12"/>
      <c r="D359" s="506" t="s">
        <v>5</v>
      </c>
      <c r="E359" s="507"/>
      <c r="F359" s="508"/>
      <c r="G359" s="509"/>
      <c r="H359" s="507"/>
      <c r="I359" s="508"/>
      <c r="J359" s="509" t="s">
        <v>7</v>
      </c>
      <c r="K359" s="507"/>
      <c r="L359" s="508"/>
      <c r="M359" s="509"/>
      <c r="N359" s="508"/>
      <c r="O359" s="506" t="s">
        <v>8</v>
      </c>
      <c r="P359" s="507"/>
      <c r="Q359" s="508"/>
      <c r="R359" s="509" t="s">
        <v>9</v>
      </c>
      <c r="S359" s="510"/>
      <c r="T359" s="10"/>
      <c r="U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</row>
    <row r="360" spans="1:40" ht="21" hidden="1" thickBot="1">
      <c r="A360" t="str">
        <f t="shared" ref="A360:A395" si="79">+B360&amp;C360</f>
        <v>Boutique</v>
      </c>
      <c r="B360" s="11" t="s">
        <v>114</v>
      </c>
      <c r="C360" s="29"/>
      <c r="D360" s="230" t="s">
        <v>79</v>
      </c>
      <c r="E360" s="230" t="s">
        <v>99</v>
      </c>
      <c r="F360" s="231" t="s">
        <v>12</v>
      </c>
      <c r="G360" s="232"/>
      <c r="H360" s="230"/>
      <c r="I360" s="231"/>
      <c r="J360" s="135" t="s">
        <v>79</v>
      </c>
      <c r="K360" s="80" t="s">
        <v>99</v>
      </c>
      <c r="L360" s="134" t="s">
        <v>12</v>
      </c>
      <c r="M360" s="135"/>
      <c r="N360" s="134"/>
      <c r="O360" s="135" t="s">
        <v>79</v>
      </c>
      <c r="P360" s="80" t="s">
        <v>99</v>
      </c>
      <c r="Q360" s="134" t="s">
        <v>12</v>
      </c>
      <c r="R360" s="135" t="s">
        <v>80</v>
      </c>
      <c r="S360" s="136" t="s">
        <v>12</v>
      </c>
      <c r="T360" s="10"/>
      <c r="U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</row>
    <row r="361" spans="1:40" ht="21.6" hidden="1" thickTop="1">
      <c r="A361" t="str">
        <f t="shared" si="79"/>
        <v>BoutiqueBoutique</v>
      </c>
      <c r="B361" s="11" t="s">
        <v>114</v>
      </c>
      <c r="C361" s="62" t="s">
        <v>114</v>
      </c>
      <c r="D361" s="233">
        <v>0</v>
      </c>
      <c r="E361" s="234">
        <f>IFERROR(F361/D361,0)</f>
        <v>0</v>
      </c>
      <c r="F361" s="235">
        <v>0</v>
      </c>
      <c r="G361" s="233"/>
      <c r="H361" s="234"/>
      <c r="I361" s="233"/>
      <c r="J361" s="236">
        <v>0</v>
      </c>
      <c r="K361" s="218">
        <f>IF(J361&lt;=0,0,L361/J361)</f>
        <v>0</v>
      </c>
      <c r="L361" s="237">
        <v>0</v>
      </c>
      <c r="M361" s="219"/>
      <c r="N361" s="220"/>
      <c r="O361" s="236">
        <v>0</v>
      </c>
      <c r="P361" s="218">
        <f>IFERROR(Q361/O361,0)</f>
        <v>0</v>
      </c>
      <c r="Q361" s="237">
        <v>0</v>
      </c>
      <c r="R361" s="219">
        <f>IF(O361=0,0,(J361-O361)/O361)</f>
        <v>0</v>
      </c>
      <c r="S361" s="221">
        <f>L361-Q361</f>
        <v>0</v>
      </c>
      <c r="T361" s="10"/>
      <c r="U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</row>
    <row r="362" spans="1:40" ht="21.6" hidden="1" thickBot="1">
      <c r="A362" t="str">
        <f t="shared" si="79"/>
        <v>Boutique</v>
      </c>
      <c r="B362" s="11" t="s">
        <v>114</v>
      </c>
      <c r="C362" s="222"/>
      <c r="D362" s="223"/>
      <c r="E362" s="224"/>
      <c r="F362" s="225"/>
      <c r="G362" s="226"/>
      <c r="H362" s="224"/>
      <c r="I362" s="225"/>
      <c r="J362" s="226"/>
      <c r="K362" s="224"/>
      <c r="L362" s="225"/>
      <c r="M362" s="227"/>
      <c r="N362" s="74"/>
      <c r="O362" s="226"/>
      <c r="P362" s="224"/>
      <c r="Q362" s="225"/>
      <c r="R362" s="227"/>
      <c r="S362" s="75"/>
      <c r="T362" s="10"/>
      <c r="U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</row>
    <row r="363" spans="1:40" ht="21.6" hidden="1" thickTop="1">
      <c r="A363" t="str">
        <f t="shared" si="79"/>
        <v>BoutiqueTotal Dépt. Boutique</v>
      </c>
      <c r="B363" s="11" t="s">
        <v>114</v>
      </c>
      <c r="C363" s="53" t="s">
        <v>115</v>
      </c>
      <c r="D363" s="238">
        <f>+D361</f>
        <v>0</v>
      </c>
      <c r="E363" s="173">
        <f>IF(D363&lt;=0,0,F363/D363)</f>
        <v>0</v>
      </c>
      <c r="F363" s="175">
        <f>+F361</f>
        <v>0</v>
      </c>
      <c r="G363" s="174"/>
      <c r="H363" s="173"/>
      <c r="I363" s="175"/>
      <c r="J363" s="174">
        <f>+J361</f>
        <v>0</v>
      </c>
      <c r="K363" s="173">
        <f>IF(J363&lt;=0,0,L363/J363)</f>
        <v>0</v>
      </c>
      <c r="L363" s="175">
        <f>+L361</f>
        <v>0</v>
      </c>
      <c r="M363" s="239"/>
      <c r="N363" s="240"/>
      <c r="O363" s="174">
        <f>+O361</f>
        <v>0</v>
      </c>
      <c r="P363" s="173">
        <f>IF(O363&lt;=0,0,Q363/O363)</f>
        <v>0</v>
      </c>
      <c r="Q363" s="175">
        <f>+Q361</f>
        <v>0</v>
      </c>
      <c r="R363" s="41">
        <f>IF(O363=0,0,(J363-O363)/O363)</f>
        <v>0</v>
      </c>
      <c r="S363" s="44">
        <f>L363-Q363</f>
        <v>0</v>
      </c>
      <c r="T363" s="10"/>
      <c r="U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</row>
    <row r="364" spans="1:40" ht="21" hidden="1">
      <c r="A364" t="str">
        <f t="shared" si="79"/>
        <v>Boutique</v>
      </c>
      <c r="B364" s="11" t="s">
        <v>114</v>
      </c>
      <c r="C364" s="79"/>
      <c r="D364" s="13"/>
      <c r="E364" s="13"/>
      <c r="F364" s="59"/>
      <c r="G364" s="41"/>
      <c r="H364" s="241"/>
      <c r="I364" s="59"/>
      <c r="J364" s="41"/>
      <c r="K364" s="13"/>
      <c r="L364" s="40"/>
      <c r="M364" s="41"/>
      <c r="N364" s="242"/>
      <c r="O364" s="41"/>
      <c r="P364" s="13"/>
      <c r="Q364" s="40"/>
      <c r="R364" s="41"/>
      <c r="S364" s="61">
        <f>IF(Q363=0,0,S363/Q363)</f>
        <v>0</v>
      </c>
      <c r="T364" s="10"/>
      <c r="U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</row>
    <row r="365" spans="1:40" ht="21" hidden="1">
      <c r="A365" t="str">
        <f t="shared" si="79"/>
        <v>BoutiqueDEPENSES</v>
      </c>
      <c r="B365" s="11" t="s">
        <v>114</v>
      </c>
      <c r="C365" s="79" t="s">
        <v>29</v>
      </c>
      <c r="D365" s="13"/>
      <c r="E365" s="13"/>
      <c r="F365" s="59"/>
      <c r="G365" s="41"/>
      <c r="H365" s="13"/>
      <c r="I365" s="59"/>
      <c r="J365" s="41"/>
      <c r="K365" s="13"/>
      <c r="L365" s="40"/>
      <c r="M365" s="41"/>
      <c r="N365" s="40"/>
      <c r="O365" s="41"/>
      <c r="P365" s="13"/>
      <c r="Q365" s="40"/>
      <c r="R365" s="41"/>
      <c r="S365" s="61"/>
      <c r="T365" s="10"/>
      <c r="U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</row>
    <row r="366" spans="1:40" ht="20.399999999999999" hidden="1">
      <c r="A366" t="str">
        <f t="shared" si="79"/>
        <v>BoutiqueSalaires cadres</v>
      </c>
      <c r="B366" s="11" t="s">
        <v>114</v>
      </c>
      <c r="C366" s="102" t="s">
        <v>40</v>
      </c>
      <c r="D366" s="13"/>
      <c r="E366" s="13"/>
      <c r="F366" s="30">
        <v>0</v>
      </c>
      <c r="G366" s="41"/>
      <c r="H366" s="13"/>
      <c r="I366" s="30"/>
      <c r="J366" s="41"/>
      <c r="K366" s="13"/>
      <c r="L366" s="33">
        <v>0</v>
      </c>
      <c r="M366" s="41"/>
      <c r="N366" s="40"/>
      <c r="O366" s="41"/>
      <c r="P366" s="13"/>
      <c r="Q366" s="33">
        <v>0</v>
      </c>
      <c r="R366" s="41"/>
      <c r="S366" s="34">
        <f t="shared" ref="S366:S395" si="80">L366-Q366</f>
        <v>0</v>
      </c>
      <c r="T366" s="10"/>
      <c r="U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</row>
    <row r="367" spans="1:40" ht="20.399999999999999" hidden="1">
      <c r="A367" t="str">
        <f t="shared" si="79"/>
        <v>BoutiqueSalaires commis</v>
      </c>
      <c r="B367" s="11" t="s">
        <v>114</v>
      </c>
      <c r="C367" s="103" t="s">
        <v>41</v>
      </c>
      <c r="D367" s="81"/>
      <c r="E367" s="13"/>
      <c r="F367" s="22">
        <v>0</v>
      </c>
      <c r="G367" s="83"/>
      <c r="H367" s="13"/>
      <c r="I367" s="22"/>
      <c r="J367" s="41"/>
      <c r="K367" s="13"/>
      <c r="L367" s="22">
        <v>0</v>
      </c>
      <c r="M367" s="41"/>
      <c r="N367" s="59"/>
      <c r="O367" s="41"/>
      <c r="P367" s="13"/>
      <c r="Q367" s="22">
        <v>0</v>
      </c>
      <c r="R367" s="41"/>
      <c r="S367" s="85">
        <f t="shared" si="80"/>
        <v>0</v>
      </c>
      <c r="T367" s="10"/>
      <c r="U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</row>
    <row r="368" spans="1:40" ht="20.399999999999999" hidden="1">
      <c r="A368" t="str">
        <f t="shared" si="79"/>
        <v>BoutiqueSalaires autres</v>
      </c>
      <c r="B368" s="11" t="s">
        <v>114</v>
      </c>
      <c r="C368" s="102" t="s">
        <v>42</v>
      </c>
      <c r="D368" s="104"/>
      <c r="E368" s="105"/>
      <c r="F368" s="30">
        <v>0</v>
      </c>
      <c r="G368" s="106"/>
      <c r="H368" s="105"/>
      <c r="I368" s="30"/>
      <c r="J368" s="107"/>
      <c r="K368" s="105"/>
      <c r="L368" s="33">
        <v>0</v>
      </c>
      <c r="M368" s="107"/>
      <c r="N368" s="109"/>
      <c r="O368" s="107"/>
      <c r="P368" s="105"/>
      <c r="Q368" s="33">
        <v>0</v>
      </c>
      <c r="R368" s="107"/>
      <c r="S368" s="110">
        <f t="shared" si="80"/>
        <v>0</v>
      </c>
      <c r="T368" s="10"/>
      <c r="U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</row>
    <row r="369" spans="1:40" ht="20.399999999999999" hidden="1">
      <c r="A369" t="str">
        <f t="shared" si="79"/>
        <v>BoutiqueSalaires spécialistes</v>
      </c>
      <c r="B369" s="11" t="s">
        <v>114</v>
      </c>
      <c r="C369" s="102" t="s">
        <v>43</v>
      </c>
      <c r="D369" s="81"/>
      <c r="E369" s="13"/>
      <c r="F369" s="30">
        <v>0</v>
      </c>
      <c r="G369" s="83"/>
      <c r="H369" s="13"/>
      <c r="I369" s="30"/>
      <c r="J369" s="41"/>
      <c r="K369" s="13"/>
      <c r="L369" s="33">
        <v>0</v>
      </c>
      <c r="M369" s="41"/>
      <c r="N369" s="59"/>
      <c r="O369" s="41"/>
      <c r="P369" s="13"/>
      <c r="Q369" s="33">
        <v>0</v>
      </c>
      <c r="R369" s="41"/>
      <c r="S369" s="85">
        <f t="shared" si="80"/>
        <v>0</v>
      </c>
      <c r="T369" s="10"/>
      <c r="U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</row>
    <row r="370" spans="1:40" ht="20.399999999999999" hidden="1">
      <c r="A370" t="str">
        <f t="shared" si="79"/>
        <v>Boutique[...]</v>
      </c>
      <c r="B370" s="11" t="s">
        <v>114</v>
      </c>
      <c r="C370" s="29" t="s">
        <v>19</v>
      </c>
      <c r="D370" s="81"/>
      <c r="E370" s="13"/>
      <c r="F370" s="30">
        <v>0</v>
      </c>
      <c r="G370" s="83"/>
      <c r="H370" s="13"/>
      <c r="I370" s="30"/>
      <c r="J370" s="41"/>
      <c r="K370" s="13"/>
      <c r="L370" s="33">
        <v>0</v>
      </c>
      <c r="M370" s="41"/>
      <c r="N370" s="59"/>
      <c r="O370" s="41"/>
      <c r="P370" s="13"/>
      <c r="Q370" s="33">
        <v>0</v>
      </c>
      <c r="R370" s="41"/>
      <c r="S370" s="85">
        <f t="shared" si="80"/>
        <v>0</v>
      </c>
      <c r="T370" s="10"/>
      <c r="U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</row>
    <row r="371" spans="1:40" ht="20.399999999999999" hidden="1">
      <c r="A371" t="str">
        <f t="shared" si="79"/>
        <v>Boutique[...]</v>
      </c>
      <c r="B371" s="11" t="s">
        <v>114</v>
      </c>
      <c r="C371" s="29" t="s">
        <v>19</v>
      </c>
      <c r="D371" s="81"/>
      <c r="E371" s="13"/>
      <c r="F371" s="30">
        <v>0</v>
      </c>
      <c r="G371" s="83"/>
      <c r="H371" s="13"/>
      <c r="I371" s="30"/>
      <c r="J371" s="41"/>
      <c r="K371" s="13"/>
      <c r="L371" s="33">
        <v>0</v>
      </c>
      <c r="M371" s="41"/>
      <c r="N371" s="59"/>
      <c r="O371" s="41"/>
      <c r="P371" s="13"/>
      <c r="Q371" s="33">
        <v>0</v>
      </c>
      <c r="R371" s="41"/>
      <c r="S371" s="85">
        <f t="shared" si="80"/>
        <v>0</v>
      </c>
      <c r="T371" s="10"/>
      <c r="U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</row>
    <row r="372" spans="1:40" ht="20.399999999999999" hidden="1">
      <c r="A372" t="str">
        <f t="shared" si="79"/>
        <v>Boutique[...]</v>
      </c>
      <c r="B372" s="11" t="s">
        <v>114</v>
      </c>
      <c r="C372" s="29" t="s">
        <v>19</v>
      </c>
      <c r="D372" s="81"/>
      <c r="E372" s="13"/>
      <c r="F372" s="30">
        <v>0</v>
      </c>
      <c r="G372" s="83"/>
      <c r="H372" s="13"/>
      <c r="I372" s="30"/>
      <c r="J372" s="41"/>
      <c r="K372" s="13"/>
      <c r="L372" s="33">
        <v>0</v>
      </c>
      <c r="M372" s="41"/>
      <c r="N372" s="59"/>
      <c r="O372" s="41"/>
      <c r="P372" s="13"/>
      <c r="Q372" s="33">
        <v>0</v>
      </c>
      <c r="R372" s="41"/>
      <c r="S372" s="85">
        <f t="shared" si="80"/>
        <v>0</v>
      </c>
      <c r="T372" s="10"/>
      <c r="U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</row>
    <row r="373" spans="1:40" ht="20.399999999999999" hidden="1">
      <c r="A373" t="str">
        <f t="shared" si="79"/>
        <v>BoutiqueSalaires en absences</v>
      </c>
      <c r="B373" s="11" t="s">
        <v>114</v>
      </c>
      <c r="C373" s="103" t="s">
        <v>44</v>
      </c>
      <c r="D373" s="81"/>
      <c r="E373" s="13"/>
      <c r="F373" s="22">
        <v>0</v>
      </c>
      <c r="G373" s="83"/>
      <c r="H373" s="13"/>
      <c r="I373" s="22"/>
      <c r="J373" s="41"/>
      <c r="K373" s="13"/>
      <c r="L373" s="22">
        <v>0</v>
      </c>
      <c r="M373" s="41"/>
      <c r="N373" s="59"/>
      <c r="O373" s="41"/>
      <c r="P373" s="13"/>
      <c r="Q373" s="22">
        <v>0</v>
      </c>
      <c r="R373" s="41"/>
      <c r="S373" s="85">
        <f t="shared" si="80"/>
        <v>0</v>
      </c>
      <c r="T373" s="10"/>
      <c r="U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</row>
    <row r="374" spans="1:40" ht="20.399999999999999" hidden="1">
      <c r="A374" t="str">
        <f t="shared" si="79"/>
        <v>BoutiqueDéduction à la source</v>
      </c>
      <c r="B374" s="11" t="s">
        <v>114</v>
      </c>
      <c r="C374" s="102" t="s">
        <v>45</v>
      </c>
      <c r="D374" s="104"/>
      <c r="E374" s="105"/>
      <c r="F374" s="30">
        <v>0</v>
      </c>
      <c r="G374" s="106"/>
      <c r="H374" s="105"/>
      <c r="I374" s="30"/>
      <c r="J374" s="107"/>
      <c r="K374" s="105"/>
      <c r="L374" s="33">
        <v>0</v>
      </c>
      <c r="M374" s="107"/>
      <c r="N374" s="109"/>
      <c r="O374" s="107"/>
      <c r="P374" s="105"/>
      <c r="Q374" s="33">
        <v>0</v>
      </c>
      <c r="R374" s="107"/>
      <c r="S374" s="110">
        <f t="shared" si="80"/>
        <v>0</v>
      </c>
      <c r="T374" s="10"/>
      <c r="U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</row>
    <row r="375" spans="1:40" ht="20.399999999999999" hidden="1">
      <c r="A375" t="str">
        <f t="shared" si="79"/>
        <v>BoutiqueBénéfices marginaux</v>
      </c>
      <c r="B375" s="11" t="s">
        <v>114</v>
      </c>
      <c r="C375" s="102" t="s">
        <v>46</v>
      </c>
      <c r="D375" s="81"/>
      <c r="E375" s="13"/>
      <c r="F375" s="30">
        <v>0</v>
      </c>
      <c r="G375" s="83"/>
      <c r="H375" s="13"/>
      <c r="I375" s="30"/>
      <c r="J375" s="41"/>
      <c r="K375" s="13"/>
      <c r="L375" s="33">
        <v>0</v>
      </c>
      <c r="M375" s="41"/>
      <c r="N375" s="59"/>
      <c r="O375" s="41"/>
      <c r="P375" s="13"/>
      <c r="Q375" s="33">
        <v>0</v>
      </c>
      <c r="R375" s="41"/>
      <c r="S375" s="85">
        <f t="shared" si="80"/>
        <v>0</v>
      </c>
      <c r="T375" s="10"/>
      <c r="U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</row>
    <row r="376" spans="1:40" ht="20.399999999999999" hidden="1">
      <c r="A376" t="str">
        <f t="shared" si="79"/>
        <v>BoutiqueCsst</v>
      </c>
      <c r="B376" s="11" t="s">
        <v>114</v>
      </c>
      <c r="C376" s="102" t="s">
        <v>47</v>
      </c>
      <c r="D376" s="81"/>
      <c r="E376" s="13"/>
      <c r="F376" s="30">
        <v>0</v>
      </c>
      <c r="G376" s="83"/>
      <c r="H376" s="13"/>
      <c r="I376" s="30"/>
      <c r="J376" s="41"/>
      <c r="K376" s="13"/>
      <c r="L376" s="33">
        <v>0</v>
      </c>
      <c r="M376" s="41"/>
      <c r="N376" s="59"/>
      <c r="O376" s="41"/>
      <c r="P376" s="13"/>
      <c r="Q376" s="33">
        <v>0</v>
      </c>
      <c r="R376" s="41"/>
      <c r="S376" s="85">
        <f t="shared" si="80"/>
        <v>0</v>
      </c>
      <c r="T376" s="10"/>
      <c r="U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</row>
    <row r="377" spans="1:40" ht="20.399999999999999" hidden="1">
      <c r="A377" t="str">
        <f t="shared" si="79"/>
        <v>Boutique[...]</v>
      </c>
      <c r="B377" s="11" t="s">
        <v>114</v>
      </c>
      <c r="C377" s="29" t="s">
        <v>19</v>
      </c>
      <c r="D377" s="87"/>
      <c r="E377" s="111"/>
      <c r="F377" s="30">
        <v>0</v>
      </c>
      <c r="G377" s="89"/>
      <c r="H377" s="111"/>
      <c r="I377" s="30"/>
      <c r="J377" s="23"/>
      <c r="K377" s="111"/>
      <c r="L377" s="33">
        <v>0</v>
      </c>
      <c r="M377" s="23"/>
      <c r="N377" s="91"/>
      <c r="O377" s="23"/>
      <c r="P377" s="111"/>
      <c r="Q377" s="33">
        <v>0</v>
      </c>
      <c r="R377" s="23"/>
      <c r="S377" s="92">
        <f t="shared" si="80"/>
        <v>0</v>
      </c>
      <c r="T377" s="10"/>
      <c r="U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</row>
    <row r="378" spans="1:40" ht="21" hidden="1">
      <c r="A378" t="str">
        <f t="shared" si="79"/>
        <v>BoutiqueTOTAL PERSONNEL</v>
      </c>
      <c r="B378" s="11" t="s">
        <v>114</v>
      </c>
      <c r="C378" s="93" t="s">
        <v>48</v>
      </c>
      <c r="D378" s="94" t="s">
        <v>38</v>
      </c>
      <c r="E378" s="95">
        <f>IFERROR(F378/F$361,0)</f>
        <v>0</v>
      </c>
      <c r="F378" s="96">
        <f>+SUM(F366:F377)</f>
        <v>0</v>
      </c>
      <c r="G378" s="97"/>
      <c r="H378" s="95"/>
      <c r="I378" s="96"/>
      <c r="J378" s="97" t="s">
        <v>38</v>
      </c>
      <c r="K378" s="95">
        <f>IFERROR(L378/L$361,0)</f>
        <v>0</v>
      </c>
      <c r="L378" s="96">
        <f>+SUM(L366:L377)</f>
        <v>0</v>
      </c>
      <c r="M378" s="146"/>
      <c r="N378" s="113"/>
      <c r="O378" s="97" t="s">
        <v>38</v>
      </c>
      <c r="P378" s="95">
        <f>IFERROR(Q378/Q$361,0)</f>
        <v>0</v>
      </c>
      <c r="Q378" s="96">
        <f>+SUM(Q366:Q377)</f>
        <v>0</v>
      </c>
      <c r="R378" s="146"/>
      <c r="S378" s="114">
        <f t="shared" si="80"/>
        <v>0</v>
      </c>
      <c r="T378" s="10"/>
      <c r="U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</row>
    <row r="379" spans="1:40" ht="20.399999999999999" hidden="1">
      <c r="A379" t="str">
        <f t="shared" si="79"/>
        <v>BoutiquePublicité 2</v>
      </c>
      <c r="B379" s="11" t="s">
        <v>114</v>
      </c>
      <c r="C379" s="210" t="s">
        <v>49</v>
      </c>
      <c r="D379" s="81"/>
      <c r="E379" s="13"/>
      <c r="F379" s="30">
        <v>0</v>
      </c>
      <c r="G379" s="83"/>
      <c r="H379" s="13"/>
      <c r="I379" s="30"/>
      <c r="J379" s="41"/>
      <c r="K379" s="13"/>
      <c r="L379" s="33">
        <v>0</v>
      </c>
      <c r="M379" s="41"/>
      <c r="N379" s="59"/>
      <c r="O379" s="41"/>
      <c r="P379" s="13"/>
      <c r="Q379" s="33">
        <v>0</v>
      </c>
      <c r="R379" s="41"/>
      <c r="S379" s="85">
        <f t="shared" si="80"/>
        <v>0</v>
      </c>
      <c r="T379" s="10"/>
      <c r="U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</row>
    <row r="380" spans="1:40" ht="20.399999999999999" hidden="1">
      <c r="A380" t="str">
        <f t="shared" si="79"/>
        <v>BoutiqueService gratuit 2</v>
      </c>
      <c r="B380" s="11" t="s">
        <v>114</v>
      </c>
      <c r="C380" s="102" t="s">
        <v>50</v>
      </c>
      <c r="D380" s="81"/>
      <c r="E380" s="13"/>
      <c r="F380" s="30">
        <v>0</v>
      </c>
      <c r="G380" s="83"/>
      <c r="H380" s="13"/>
      <c r="I380" s="30"/>
      <c r="J380" s="41"/>
      <c r="K380" s="13"/>
      <c r="L380" s="33">
        <v>0</v>
      </c>
      <c r="M380" s="41"/>
      <c r="N380" s="59"/>
      <c r="O380" s="41"/>
      <c r="P380" s="13"/>
      <c r="Q380" s="33">
        <v>0</v>
      </c>
      <c r="R380" s="41"/>
      <c r="S380" s="85">
        <f t="shared" si="80"/>
        <v>0</v>
      </c>
      <c r="T380" s="10"/>
      <c r="U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</row>
    <row r="381" spans="1:40" ht="20.399999999999999" hidden="1">
      <c r="A381" t="str">
        <f t="shared" si="79"/>
        <v>BoutiqueFrais véhicules de cie</v>
      </c>
      <c r="B381" s="11" t="s">
        <v>114</v>
      </c>
      <c r="C381" s="103" t="s">
        <v>51</v>
      </c>
      <c r="D381" s="87"/>
      <c r="E381" s="111"/>
      <c r="F381" s="22">
        <v>0</v>
      </c>
      <c r="G381" s="89"/>
      <c r="H381" s="111"/>
      <c r="I381" s="22"/>
      <c r="J381" s="23"/>
      <c r="K381" s="111"/>
      <c r="L381" s="22">
        <v>0</v>
      </c>
      <c r="M381" s="23"/>
      <c r="N381" s="91"/>
      <c r="O381" s="23"/>
      <c r="P381" s="111"/>
      <c r="Q381" s="22">
        <v>0</v>
      </c>
      <c r="R381" s="23"/>
      <c r="S381" s="92">
        <f t="shared" si="80"/>
        <v>0</v>
      </c>
      <c r="T381" s="10"/>
      <c r="U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</row>
    <row r="382" spans="1:40" ht="20.399999999999999" hidden="1">
      <c r="A382" t="str">
        <f t="shared" si="79"/>
        <v>BoutiqueInformatique</v>
      </c>
      <c r="B382" s="11" t="s">
        <v>114</v>
      </c>
      <c r="C382" s="102" t="s">
        <v>52</v>
      </c>
      <c r="D382" s="81"/>
      <c r="E382" s="13"/>
      <c r="F382" s="30">
        <v>0</v>
      </c>
      <c r="G382" s="83"/>
      <c r="H382" s="13"/>
      <c r="I382" s="30"/>
      <c r="J382" s="41"/>
      <c r="K382" s="13"/>
      <c r="L382" s="33">
        <v>0</v>
      </c>
      <c r="M382" s="41"/>
      <c r="N382" s="59"/>
      <c r="O382" s="41"/>
      <c r="P382" s="13"/>
      <c r="Q382" s="33">
        <v>0</v>
      </c>
      <c r="R382" s="41"/>
      <c r="S382" s="85">
        <f t="shared" si="80"/>
        <v>0</v>
      </c>
      <c r="T382" s="10"/>
      <c r="U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</row>
    <row r="383" spans="1:40" ht="20.399999999999999" hidden="1">
      <c r="A383" t="str">
        <f t="shared" si="79"/>
        <v>BoutiqueFrais de déplacement</v>
      </c>
      <c r="B383" s="11" t="s">
        <v>114</v>
      </c>
      <c r="C383" s="102" t="s">
        <v>53</v>
      </c>
      <c r="D383" s="81"/>
      <c r="E383" s="13"/>
      <c r="F383" s="30">
        <v>0</v>
      </c>
      <c r="G383" s="83"/>
      <c r="H383" s="13"/>
      <c r="I383" s="30"/>
      <c r="J383" s="41"/>
      <c r="K383" s="13"/>
      <c r="L383" s="33">
        <v>0</v>
      </c>
      <c r="M383" s="41"/>
      <c r="N383" s="59"/>
      <c r="O383" s="41"/>
      <c r="P383" s="13"/>
      <c r="Q383" s="33">
        <v>0</v>
      </c>
      <c r="R383" s="41"/>
      <c r="S383" s="85">
        <f t="shared" si="80"/>
        <v>0</v>
      </c>
      <c r="T383" s="10"/>
      <c r="U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</row>
    <row r="384" spans="1:40" ht="20.399999999999999" hidden="1">
      <c r="A384" t="str">
        <f t="shared" si="79"/>
        <v>BoutiqueServices extérieurs</v>
      </c>
      <c r="B384" s="11" t="s">
        <v>114</v>
      </c>
      <c r="C384" s="102" t="s">
        <v>54</v>
      </c>
      <c r="D384" s="87"/>
      <c r="E384" s="111"/>
      <c r="F384" s="22">
        <v>0</v>
      </c>
      <c r="G384" s="89"/>
      <c r="H384" s="111"/>
      <c r="I384" s="22"/>
      <c r="J384" s="23"/>
      <c r="K384" s="111"/>
      <c r="L384" s="22">
        <v>0</v>
      </c>
      <c r="M384" s="23"/>
      <c r="N384" s="91"/>
      <c r="O384" s="23"/>
      <c r="P384" s="111"/>
      <c r="Q384" s="22">
        <v>0</v>
      </c>
      <c r="R384" s="23"/>
      <c r="S384" s="92">
        <f t="shared" si="80"/>
        <v>0</v>
      </c>
      <c r="T384" s="10"/>
      <c r="U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</row>
    <row r="385" spans="1:40" ht="20.399999999999999" hidden="1">
      <c r="A385" t="str">
        <f t="shared" si="79"/>
        <v>BoutiqueFournitures autres</v>
      </c>
      <c r="B385" s="11" t="s">
        <v>114</v>
      </c>
      <c r="C385" s="210" t="s">
        <v>55</v>
      </c>
      <c r="D385" s="81"/>
      <c r="E385" s="13"/>
      <c r="F385" s="30">
        <v>0</v>
      </c>
      <c r="G385" s="83"/>
      <c r="H385" s="13"/>
      <c r="I385" s="30"/>
      <c r="J385" s="41"/>
      <c r="K385" s="13"/>
      <c r="L385" s="33">
        <v>0</v>
      </c>
      <c r="M385" s="41"/>
      <c r="N385" s="59"/>
      <c r="O385" s="41"/>
      <c r="P385" s="13"/>
      <c r="Q385" s="33">
        <v>0</v>
      </c>
      <c r="R385" s="41"/>
      <c r="S385" s="85">
        <f t="shared" si="80"/>
        <v>0</v>
      </c>
      <c r="T385" s="10"/>
      <c r="U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</row>
    <row r="386" spans="1:40" ht="20.399999999999999" hidden="1">
      <c r="A386" t="str">
        <f t="shared" si="79"/>
        <v>BoutiqueUniformes</v>
      </c>
      <c r="B386" s="11" t="s">
        <v>114</v>
      </c>
      <c r="C386" s="102" t="s">
        <v>56</v>
      </c>
      <c r="D386" s="81"/>
      <c r="E386" s="13"/>
      <c r="F386" s="30">
        <v>0</v>
      </c>
      <c r="G386" s="83"/>
      <c r="H386" s="13"/>
      <c r="I386" s="30"/>
      <c r="J386" s="41"/>
      <c r="K386" s="13"/>
      <c r="L386" s="33">
        <v>0</v>
      </c>
      <c r="M386" s="41"/>
      <c r="N386" s="59"/>
      <c r="O386" s="41"/>
      <c r="P386" s="13"/>
      <c r="Q386" s="33">
        <v>0</v>
      </c>
      <c r="R386" s="41"/>
      <c r="S386" s="85">
        <f t="shared" si="80"/>
        <v>0</v>
      </c>
      <c r="T386" s="10"/>
      <c r="U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</row>
    <row r="387" spans="1:40" ht="20.399999999999999" hidden="1">
      <c r="A387" t="str">
        <f t="shared" si="79"/>
        <v>BoutiquePapeterie</v>
      </c>
      <c r="B387" s="11" t="s">
        <v>114</v>
      </c>
      <c r="C387" s="102" t="s">
        <v>57</v>
      </c>
      <c r="D387" s="81"/>
      <c r="E387" s="13"/>
      <c r="F387" s="30">
        <v>0</v>
      </c>
      <c r="G387" s="83"/>
      <c r="H387" s="13"/>
      <c r="I387" s="30"/>
      <c r="J387" s="41"/>
      <c r="K387" s="13"/>
      <c r="L387" s="33">
        <v>0</v>
      </c>
      <c r="M387" s="41"/>
      <c r="N387" s="59"/>
      <c r="O387" s="41"/>
      <c r="P387" s="13"/>
      <c r="Q387" s="33">
        <v>0</v>
      </c>
      <c r="R387" s="41"/>
      <c r="S387" s="85">
        <f t="shared" si="80"/>
        <v>0</v>
      </c>
      <c r="T387" s="10"/>
      <c r="U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</row>
    <row r="388" spans="1:40" ht="20.399999999999999" hidden="1">
      <c r="A388" t="str">
        <f t="shared" si="79"/>
        <v>BoutiqueTéléphone</v>
      </c>
      <c r="B388" s="11" t="s">
        <v>114</v>
      </c>
      <c r="C388" s="102" t="s">
        <v>58</v>
      </c>
      <c r="D388" s="81"/>
      <c r="E388" s="13"/>
      <c r="F388" s="30">
        <v>0</v>
      </c>
      <c r="G388" s="83"/>
      <c r="H388" s="13"/>
      <c r="I388" s="30"/>
      <c r="J388" s="41"/>
      <c r="K388" s="13"/>
      <c r="L388" s="33">
        <v>0</v>
      </c>
      <c r="M388" s="41"/>
      <c r="N388" s="59"/>
      <c r="O388" s="41"/>
      <c r="P388" s="13"/>
      <c r="Q388" s="33">
        <v>0</v>
      </c>
      <c r="R388" s="41"/>
      <c r="S388" s="85">
        <f t="shared" si="80"/>
        <v>0</v>
      </c>
      <c r="T388" s="10"/>
      <c r="U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</row>
    <row r="389" spans="1:40" ht="20.399999999999999" hidden="1">
      <c r="A389" t="str">
        <f t="shared" si="79"/>
        <v>BoutiqueFrais postaux</v>
      </c>
      <c r="B389" s="11" t="s">
        <v>114</v>
      </c>
      <c r="C389" s="102" t="s">
        <v>59</v>
      </c>
      <c r="D389" s="81"/>
      <c r="E389" s="13"/>
      <c r="F389" s="30">
        <v>0</v>
      </c>
      <c r="G389" s="83"/>
      <c r="H389" s="13"/>
      <c r="I389" s="30"/>
      <c r="J389" s="41"/>
      <c r="K389" s="13"/>
      <c r="L389" s="33">
        <v>0</v>
      </c>
      <c r="M389" s="41"/>
      <c r="N389" s="59"/>
      <c r="O389" s="41"/>
      <c r="P389" s="13"/>
      <c r="Q389" s="33">
        <v>0</v>
      </c>
      <c r="R389" s="41"/>
      <c r="S389" s="85">
        <f t="shared" si="80"/>
        <v>0</v>
      </c>
      <c r="T389" s="10"/>
      <c r="U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</row>
    <row r="390" spans="1:40" ht="20.399999999999999" hidden="1">
      <c r="A390" t="str">
        <f t="shared" si="79"/>
        <v>BoutiqueDivers</v>
      </c>
      <c r="B390" s="11" t="s">
        <v>114</v>
      </c>
      <c r="C390" s="102" t="s">
        <v>60</v>
      </c>
      <c r="D390" s="81"/>
      <c r="E390" s="13"/>
      <c r="F390" s="30">
        <v>0</v>
      </c>
      <c r="G390" s="83"/>
      <c r="H390" s="13"/>
      <c r="I390" s="30"/>
      <c r="J390" s="41"/>
      <c r="K390" s="13"/>
      <c r="L390" s="33">
        <v>0</v>
      </c>
      <c r="M390" s="41"/>
      <c r="N390" s="59"/>
      <c r="O390" s="41"/>
      <c r="P390" s="13"/>
      <c r="Q390" s="33">
        <v>0</v>
      </c>
      <c r="R390" s="41"/>
      <c r="S390" s="85">
        <f t="shared" si="80"/>
        <v>0</v>
      </c>
      <c r="T390" s="10"/>
      <c r="U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</row>
    <row r="391" spans="1:40" ht="20.399999999999999" hidden="1">
      <c r="A391" t="str">
        <f t="shared" si="79"/>
        <v>BoutiqueFormation</v>
      </c>
      <c r="B391" s="11" t="s">
        <v>114</v>
      </c>
      <c r="C391" s="102" t="s">
        <v>61</v>
      </c>
      <c r="D391" s="81"/>
      <c r="E391" s="13"/>
      <c r="F391" s="30">
        <v>0</v>
      </c>
      <c r="G391" s="83"/>
      <c r="H391" s="13"/>
      <c r="I391" s="30"/>
      <c r="J391" s="41"/>
      <c r="K391" s="13"/>
      <c r="L391" s="33">
        <v>0</v>
      </c>
      <c r="M391" s="41"/>
      <c r="N391" s="59"/>
      <c r="O391" s="41"/>
      <c r="P391" s="13"/>
      <c r="Q391" s="33">
        <v>0</v>
      </c>
      <c r="R391" s="41"/>
      <c r="S391" s="85">
        <f t="shared" si="80"/>
        <v>0</v>
      </c>
      <c r="T391" s="10"/>
      <c r="U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</row>
    <row r="392" spans="1:40" ht="20.399999999999999" hidden="1">
      <c r="A392" t="str">
        <f t="shared" si="79"/>
        <v>BoutiqueFrais bancaires</v>
      </c>
      <c r="B392" s="11" t="s">
        <v>114</v>
      </c>
      <c r="C392" s="102" t="s">
        <v>62</v>
      </c>
      <c r="D392" s="81"/>
      <c r="E392" s="13"/>
      <c r="F392" s="30">
        <v>0</v>
      </c>
      <c r="G392" s="83"/>
      <c r="H392" s="13"/>
      <c r="I392" s="30"/>
      <c r="J392" s="41"/>
      <c r="K392" s="13"/>
      <c r="L392" s="33">
        <v>0</v>
      </c>
      <c r="M392" s="41"/>
      <c r="N392" s="59"/>
      <c r="O392" s="41"/>
      <c r="P392" s="13"/>
      <c r="Q392" s="33">
        <v>0</v>
      </c>
      <c r="R392" s="41"/>
      <c r="S392" s="85">
        <f t="shared" si="80"/>
        <v>0</v>
      </c>
      <c r="T392" s="10"/>
      <c r="U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</row>
    <row r="393" spans="1:40" ht="20.399999999999999" hidden="1">
      <c r="A393" t="str">
        <f t="shared" si="79"/>
        <v>Boutique[...]</v>
      </c>
      <c r="B393" s="11" t="s">
        <v>114</v>
      </c>
      <c r="C393" s="102" t="s">
        <v>19</v>
      </c>
      <c r="D393" s="81"/>
      <c r="E393" s="13"/>
      <c r="F393" s="30">
        <v>0</v>
      </c>
      <c r="G393" s="83"/>
      <c r="H393" s="13"/>
      <c r="I393" s="30"/>
      <c r="J393" s="41"/>
      <c r="K393" s="13"/>
      <c r="L393" s="33">
        <v>0</v>
      </c>
      <c r="M393" s="41"/>
      <c r="N393" s="59"/>
      <c r="O393" s="41"/>
      <c r="P393" s="13"/>
      <c r="Q393" s="33">
        <v>0</v>
      </c>
      <c r="R393" s="41"/>
      <c r="S393" s="85">
        <f t="shared" si="80"/>
        <v>0</v>
      </c>
      <c r="T393" s="10"/>
      <c r="U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</row>
    <row r="394" spans="1:40" ht="20.399999999999999" hidden="1">
      <c r="A394" t="str">
        <f t="shared" si="79"/>
        <v>Boutique[...]</v>
      </c>
      <c r="B394" s="11" t="s">
        <v>114</v>
      </c>
      <c r="C394" s="102" t="s">
        <v>19</v>
      </c>
      <c r="D394" s="81"/>
      <c r="E394" s="13"/>
      <c r="F394" s="30">
        <v>0</v>
      </c>
      <c r="G394" s="83"/>
      <c r="H394" s="13"/>
      <c r="I394" s="30"/>
      <c r="J394" s="41"/>
      <c r="K394" s="13"/>
      <c r="L394" s="33">
        <v>0</v>
      </c>
      <c r="M394" s="41"/>
      <c r="N394" s="59"/>
      <c r="O394" s="41"/>
      <c r="P394" s="13"/>
      <c r="Q394" s="33">
        <v>0</v>
      </c>
      <c r="R394" s="41"/>
      <c r="S394" s="85">
        <f t="shared" si="80"/>
        <v>0</v>
      </c>
      <c r="T394" s="10"/>
      <c r="U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</row>
    <row r="395" spans="1:40" ht="20.399999999999999" hidden="1">
      <c r="A395" t="str">
        <f t="shared" si="79"/>
        <v>Boutique[...]</v>
      </c>
      <c r="B395" s="11" t="s">
        <v>114</v>
      </c>
      <c r="C395" s="102" t="s">
        <v>19</v>
      </c>
      <c r="D395" s="87"/>
      <c r="E395" s="111"/>
      <c r="F395" s="30">
        <v>0</v>
      </c>
      <c r="G395" s="89"/>
      <c r="H395" s="111"/>
      <c r="I395" s="30"/>
      <c r="J395" s="23"/>
      <c r="K395" s="111"/>
      <c r="L395" s="33">
        <v>0</v>
      </c>
      <c r="M395" s="23"/>
      <c r="N395" s="91"/>
      <c r="O395" s="23"/>
      <c r="P395" s="111"/>
      <c r="Q395" s="33">
        <v>0</v>
      </c>
      <c r="R395" s="23"/>
      <c r="S395" s="92">
        <f t="shared" si="80"/>
        <v>0</v>
      </c>
      <c r="T395" s="10"/>
      <c r="U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</row>
    <row r="396" spans="1:40" ht="21" hidden="1">
      <c r="B396" s="7"/>
      <c r="C396" s="93" t="s">
        <v>63</v>
      </c>
      <c r="D396" s="94" t="s">
        <v>38</v>
      </c>
      <c r="E396" s="95">
        <f>IFERROR(F396/F$361,0)</f>
        <v>0</v>
      </c>
      <c r="F396" s="96">
        <f>+SUM(F379:F395)</f>
        <v>0</v>
      </c>
      <c r="G396" s="97"/>
      <c r="H396" s="95"/>
      <c r="I396" s="96"/>
      <c r="J396" s="97" t="s">
        <v>38</v>
      </c>
      <c r="K396" s="95">
        <f>IFERROR(L396/L$361,0)</f>
        <v>0</v>
      </c>
      <c r="L396" s="96">
        <f>+SUM(L379:L395)</f>
        <v>0</v>
      </c>
      <c r="M396" s="146"/>
      <c r="N396" s="96"/>
      <c r="O396" s="97" t="s">
        <v>38</v>
      </c>
      <c r="P396" s="95">
        <f>IFERROR(Q396/Q$361,0)</f>
        <v>0</v>
      </c>
      <c r="Q396" s="96">
        <f>+SUM(Q379:Q395)</f>
        <v>0</v>
      </c>
      <c r="R396" s="146"/>
      <c r="S396" s="114">
        <f>+SUM(S379:S395)</f>
        <v>0</v>
      </c>
      <c r="T396" s="10"/>
      <c r="U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</row>
    <row r="397" spans="1:40" ht="21" hidden="1">
      <c r="B397" s="7"/>
      <c r="C397" s="29"/>
      <c r="D397" s="13"/>
      <c r="E397" s="13"/>
      <c r="F397" s="40"/>
      <c r="G397" s="41"/>
      <c r="H397" s="13"/>
      <c r="I397" s="40"/>
      <c r="J397" s="41"/>
      <c r="K397" s="13"/>
      <c r="L397" s="40"/>
      <c r="M397" s="78"/>
      <c r="N397" s="77"/>
      <c r="O397" s="41"/>
      <c r="P397" s="13"/>
      <c r="Q397" s="40"/>
      <c r="R397" s="41"/>
      <c r="S397" s="243"/>
      <c r="T397" s="244"/>
      <c r="U397" s="244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</row>
    <row r="398" spans="1:40" ht="21" hidden="1">
      <c r="B398" s="7"/>
      <c r="C398" s="93" t="s">
        <v>64</v>
      </c>
      <c r="D398" s="94" t="s">
        <v>38</v>
      </c>
      <c r="E398" s="95">
        <f>IFERROR(F398/F$361,0)</f>
        <v>0</v>
      </c>
      <c r="F398" s="96">
        <f>F378+F396</f>
        <v>0</v>
      </c>
      <c r="G398" s="97"/>
      <c r="H398" s="95"/>
      <c r="I398" s="96"/>
      <c r="J398" s="97" t="s">
        <v>38</v>
      </c>
      <c r="K398" s="95">
        <f>IFERROR(L398/L$361,0)</f>
        <v>0</v>
      </c>
      <c r="L398" s="96">
        <f>L378+L396</f>
        <v>0</v>
      </c>
      <c r="M398" s="245"/>
      <c r="N398" s="96"/>
      <c r="O398" s="97" t="s">
        <v>38</v>
      </c>
      <c r="P398" s="95">
        <f>IFERROR(Q398/Q$361,0)</f>
        <v>0</v>
      </c>
      <c r="Q398" s="96">
        <f>Q378+Q396</f>
        <v>0</v>
      </c>
      <c r="R398" s="100"/>
      <c r="S398" s="101">
        <f>L398-Q398</f>
        <v>0</v>
      </c>
      <c r="T398" s="244"/>
      <c r="U398" s="244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</row>
    <row r="399" spans="1:40" ht="21" hidden="1">
      <c r="B399" s="7"/>
      <c r="C399" s="29"/>
      <c r="D399" s="13"/>
      <c r="E399" s="13"/>
      <c r="F399" s="59"/>
      <c r="G399" s="41"/>
      <c r="H399" s="13"/>
      <c r="I399" s="59"/>
      <c r="J399" s="41"/>
      <c r="K399" s="13"/>
      <c r="L399" s="59"/>
      <c r="M399" s="78"/>
      <c r="N399" s="77"/>
      <c r="O399" s="41"/>
      <c r="P399" s="13"/>
      <c r="Q399" s="59"/>
      <c r="R399" s="41"/>
      <c r="S399" s="243"/>
      <c r="T399" s="10"/>
      <c r="U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</row>
    <row r="400" spans="1:40" ht="22.2" hidden="1" thickTop="1" thickBot="1">
      <c r="B400" s="7"/>
      <c r="C400" s="246" t="s">
        <v>69</v>
      </c>
      <c r="D400" s="247"/>
      <c r="E400" s="247"/>
      <c r="F400" s="248">
        <f>F363-F398</f>
        <v>0</v>
      </c>
      <c r="G400" s="249"/>
      <c r="H400" s="247"/>
      <c r="I400" s="248"/>
      <c r="J400" s="250"/>
      <c r="K400" s="251"/>
      <c r="L400" s="248">
        <f>L363-L398</f>
        <v>0</v>
      </c>
      <c r="M400" s="249"/>
      <c r="N400" s="248"/>
      <c r="O400" s="250"/>
      <c r="P400" s="251"/>
      <c r="Q400" s="248">
        <f>Q363-Q398</f>
        <v>0</v>
      </c>
      <c r="R400" s="250"/>
      <c r="S400" s="252">
        <f>L400-Q400</f>
        <v>0</v>
      </c>
      <c r="T400" s="10"/>
      <c r="U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</row>
    <row r="401" spans="1:61" ht="21" hidden="1">
      <c r="B401" s="7"/>
      <c r="C401" s="76"/>
      <c r="D401" s="81"/>
      <c r="E401" s="13"/>
      <c r="F401" s="112"/>
      <c r="G401" s="81"/>
      <c r="H401" s="13"/>
      <c r="I401" s="112"/>
      <c r="J401" s="76"/>
      <c r="K401" s="76"/>
      <c r="L401" s="112"/>
      <c r="M401" s="76"/>
      <c r="N401" s="112"/>
      <c r="O401" s="76"/>
      <c r="P401" s="76"/>
      <c r="Q401" s="112"/>
      <c r="R401" s="76"/>
      <c r="S401" s="112"/>
      <c r="T401" s="13"/>
      <c r="U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61" ht="20.399999999999999">
      <c r="B402" s="7"/>
      <c r="C402" s="13"/>
      <c r="D402" s="13"/>
      <c r="E402" s="13"/>
      <c r="F402" s="82">
        <f>F354+F290+F234</f>
        <v>74652.347913554622</v>
      </c>
      <c r="G402" s="13"/>
      <c r="H402" s="13"/>
      <c r="I402" s="13"/>
      <c r="J402" s="13"/>
      <c r="K402" s="13"/>
      <c r="L402" s="82">
        <f>L354+L290+L234</f>
        <v>82135.78</v>
      </c>
      <c r="M402" s="13"/>
      <c r="N402" s="13"/>
      <c r="O402" s="13"/>
      <c r="P402" s="13"/>
      <c r="Q402" s="13"/>
      <c r="R402" s="13"/>
      <c r="S402" s="13"/>
      <c r="T402" s="10"/>
      <c r="U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Q402" s="467"/>
      <c r="AU402" s="467"/>
      <c r="AV402" s="468"/>
    </row>
    <row r="403" spans="1:61" ht="35.4">
      <c r="B403" s="7"/>
      <c r="C403" s="10"/>
      <c r="D403" s="10"/>
      <c r="E403" s="10"/>
      <c r="F403" s="154"/>
      <c r="G403" s="10"/>
      <c r="H403" s="10"/>
      <c r="I403" s="10"/>
      <c r="J403" s="10"/>
      <c r="K403" s="10"/>
      <c r="L403" s="493">
        <f>L402/F402</f>
        <v>1.1002437605192403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6" t="str">
        <f>C1</f>
        <v>BMW Sherbrooke</v>
      </c>
      <c r="W403" s="6"/>
      <c r="X403" s="6"/>
      <c r="Y403" s="6"/>
      <c r="Z403" s="1"/>
      <c r="AA403" s="1"/>
      <c r="AB403" s="6"/>
      <c r="AC403" s="6"/>
      <c r="AD403" s="1"/>
      <c r="AE403" s="3" t="s">
        <v>116</v>
      </c>
      <c r="AF403" s="6"/>
      <c r="AG403" s="6"/>
      <c r="AH403" s="1"/>
      <c r="AI403" s="1"/>
      <c r="AJ403" s="253"/>
      <c r="AK403" s="2"/>
      <c r="AL403" s="1"/>
      <c r="AM403" s="6"/>
      <c r="AN403" s="6"/>
      <c r="AO403" s="5" t="str">
        <f>$S$1</f>
        <v>Réalisé, Septembre 2026</v>
      </c>
      <c r="AP403" s="244"/>
      <c r="AQ403" s="467"/>
      <c r="AS403" s="468"/>
      <c r="AT403" s="469"/>
      <c r="AU403" s="467"/>
      <c r="AV403" s="468"/>
      <c r="AW403" s="468"/>
      <c r="AX403" s="468"/>
      <c r="AY403" s="244"/>
      <c r="AZ403" s="244"/>
      <c r="BA403" s="244"/>
      <c r="BB403" s="244"/>
      <c r="BC403" s="244"/>
      <c r="BD403" s="244"/>
      <c r="BE403" s="244"/>
      <c r="BF403" s="244"/>
      <c r="BG403" s="244"/>
      <c r="BH403" s="244"/>
      <c r="BI403" s="244"/>
    </row>
    <row r="404" spans="1:61" ht="18" thickBot="1">
      <c r="B404" s="7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25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10"/>
      <c r="AM404" s="10"/>
      <c r="AN404" s="10"/>
      <c r="AO404" s="10"/>
      <c r="AP404" s="244"/>
      <c r="AQ404" s="470"/>
      <c r="AR404" s="244"/>
      <c r="AS404" s="468"/>
      <c r="AT404" s="471"/>
      <c r="AU404" s="470"/>
      <c r="AV404" s="472"/>
      <c r="AW404" s="472"/>
      <c r="AX404" s="472"/>
      <c r="AY404" s="244"/>
      <c r="AZ404" s="244"/>
      <c r="BA404" s="244"/>
      <c r="BB404" s="244"/>
      <c r="BC404" s="244"/>
      <c r="BD404" s="244"/>
      <c r="BE404" s="244"/>
      <c r="BF404" s="244"/>
      <c r="BG404" s="244"/>
      <c r="BH404" s="244"/>
      <c r="BI404" s="244"/>
    </row>
    <row r="405" spans="1:61" ht="22.2" thickTop="1" thickBot="1">
      <c r="A405" t="str">
        <f t="shared" ref="A405:A440" si="81">+U405&amp;V405</f>
        <v/>
      </c>
      <c r="B405" s="7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255"/>
      <c r="W405" s="256"/>
      <c r="X405" s="514" t="s">
        <v>117</v>
      </c>
      <c r="Y405" s="512"/>
      <c r="Z405" s="515"/>
      <c r="AA405" s="511"/>
      <c r="AB405" s="512"/>
      <c r="AC405" s="515"/>
      <c r="AD405" s="511" t="s">
        <v>7</v>
      </c>
      <c r="AE405" s="512"/>
      <c r="AF405" s="515"/>
      <c r="AG405" s="511" t="s">
        <v>212</v>
      </c>
      <c r="AH405" s="512"/>
      <c r="AI405" s="515"/>
      <c r="AJ405" s="511" t="s">
        <v>118</v>
      </c>
      <c r="AK405" s="512"/>
      <c r="AL405" s="512"/>
      <c r="AM405" s="511" t="s">
        <v>119</v>
      </c>
      <c r="AN405" s="512"/>
      <c r="AO405" s="513"/>
      <c r="AP405" s="244"/>
      <c r="AQ405" s="470"/>
      <c r="AR405" s="244"/>
      <c r="AS405" s="472"/>
      <c r="AT405" s="471"/>
      <c r="AU405" s="470"/>
      <c r="AV405" s="472"/>
      <c r="AW405" s="472"/>
      <c r="AX405" s="472"/>
      <c r="AY405" s="244"/>
      <c r="AZ405" s="244"/>
      <c r="BA405" s="244"/>
      <c r="BB405" s="244"/>
      <c r="BC405" s="244"/>
      <c r="BD405" s="244"/>
      <c r="BE405" s="244"/>
      <c r="BF405" s="244"/>
      <c r="BG405" s="244"/>
      <c r="BH405" s="244"/>
      <c r="BI405" s="244"/>
    </row>
    <row r="406" spans="1:61" ht="20.399999999999999">
      <c r="A406" t="str">
        <f t="shared" si="81"/>
        <v/>
      </c>
      <c r="B406" s="7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86"/>
      <c r="W406" s="257" t="s">
        <v>120</v>
      </c>
      <c r="X406" s="257" t="s">
        <v>121</v>
      </c>
      <c r="Y406" s="257" t="s">
        <v>122</v>
      </c>
      <c r="Z406" s="258" t="s">
        <v>123</v>
      </c>
      <c r="AA406" s="257"/>
      <c r="AB406" s="257"/>
      <c r="AC406" s="258"/>
      <c r="AD406" s="259" t="s">
        <v>121</v>
      </c>
      <c r="AE406" s="257" t="s">
        <v>122</v>
      </c>
      <c r="AF406" s="257" t="s">
        <v>123</v>
      </c>
      <c r="AG406" s="259" t="s">
        <v>124</v>
      </c>
      <c r="AH406" s="257" t="s">
        <v>125</v>
      </c>
      <c r="AI406" s="257" t="s">
        <v>126</v>
      </c>
      <c r="AJ406" s="259" t="s">
        <v>121</v>
      </c>
      <c r="AK406" s="257" t="s">
        <v>122</v>
      </c>
      <c r="AL406" s="257" t="s">
        <v>123</v>
      </c>
      <c r="AM406" s="260" t="s">
        <v>124</v>
      </c>
      <c r="AN406" s="257" t="s">
        <v>125</v>
      </c>
      <c r="AO406" s="139" t="s">
        <v>126</v>
      </c>
      <c r="AP406" s="244"/>
      <c r="AQ406" s="473"/>
      <c r="AR406" s="393"/>
      <c r="AS406" s="393"/>
      <c r="AT406" s="474"/>
      <c r="AU406" s="473"/>
      <c r="AV406" s="475"/>
      <c r="AW406" s="475"/>
      <c r="AX406" s="475"/>
      <c r="AY406" s="244"/>
      <c r="AZ406" s="244"/>
      <c r="BA406" s="244"/>
      <c r="BB406" s="244"/>
      <c r="BC406" s="244"/>
      <c r="BD406" s="244"/>
      <c r="BE406" s="244"/>
      <c r="BF406" s="244"/>
      <c r="BG406" s="244"/>
      <c r="BH406" s="244"/>
      <c r="BI406" s="244"/>
    </row>
    <row r="407" spans="1:61" ht="17.399999999999999">
      <c r="A407" t="str">
        <f t="shared" si="81"/>
        <v>Ventes nettes</v>
      </c>
      <c r="B407" s="7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244"/>
      <c r="U407" s="244"/>
      <c r="V407" s="103" t="s">
        <v>14</v>
      </c>
      <c r="W407" s="261"/>
      <c r="X407" s="261"/>
      <c r="Y407" s="261"/>
      <c r="Z407" s="262">
        <f>F5+F93+E195+E251+D315+D363</f>
        <v>5279923.9577637324</v>
      </c>
      <c r="AA407" s="261"/>
      <c r="AB407" s="261"/>
      <c r="AC407" s="262"/>
      <c r="AD407" s="263"/>
      <c r="AE407" s="264"/>
      <c r="AF407" s="264">
        <f>L5+L93+K195+K251+J315+J363</f>
        <v>5343849.8500000006</v>
      </c>
      <c r="AG407" s="263"/>
      <c r="AH407" s="264"/>
      <c r="AI407" s="265"/>
      <c r="AJ407" s="263"/>
      <c r="AK407" s="264"/>
      <c r="AL407" s="264">
        <f>Q5+Q93+P195+P251+O315+O363</f>
        <v>2670881.0499999998</v>
      </c>
      <c r="AM407" s="266"/>
      <c r="AN407" s="264"/>
      <c r="AO407" s="267"/>
      <c r="AP407" s="244"/>
      <c r="AQ407" s="244"/>
      <c r="AR407" s="244"/>
      <c r="AS407" s="244"/>
      <c r="AT407" s="244"/>
      <c r="AU407" s="244"/>
      <c r="AV407" s="472"/>
      <c r="AW407" s="244"/>
      <c r="AX407" s="244"/>
      <c r="AY407" s="244"/>
      <c r="AZ407" s="244"/>
      <c r="BA407" s="244"/>
      <c r="BB407" s="244"/>
      <c r="BC407" s="244"/>
      <c r="BD407" s="244"/>
      <c r="BE407" s="244"/>
      <c r="BF407" s="244"/>
      <c r="BG407" s="244"/>
      <c r="BH407" s="244"/>
      <c r="BI407" s="244"/>
    </row>
    <row r="408" spans="1:61" ht="17.399999999999999">
      <c r="A408" t="str">
        <f t="shared" si="81"/>
        <v>Profit brut</v>
      </c>
      <c r="B408" s="7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244"/>
      <c r="U408" s="244"/>
      <c r="V408" s="268" t="s">
        <v>127</v>
      </c>
      <c r="W408" s="269"/>
      <c r="X408" s="269"/>
      <c r="Y408" s="269"/>
      <c r="Z408" s="270">
        <f>F27+F109+F195+F251+F315+F363</f>
        <v>496853.21295836649</v>
      </c>
      <c r="AA408" s="269"/>
      <c r="AB408" s="269"/>
      <c r="AC408" s="270"/>
      <c r="AD408" s="271"/>
      <c r="AE408" s="272"/>
      <c r="AF408" s="272">
        <f>L27+L109+L195+L251+L315+L363</f>
        <v>556554.28</v>
      </c>
      <c r="AG408" s="271"/>
      <c r="AH408" s="272">
        <f>AF408-Z408</f>
        <v>59701.067041633534</v>
      </c>
      <c r="AI408" s="273">
        <f>AH408/Z408</f>
        <v>0.12015835962126735</v>
      </c>
      <c r="AJ408" s="271">
        <f>+AL408/AL407</f>
        <v>0.11929480348815984</v>
      </c>
      <c r="AK408" s="272"/>
      <c r="AL408" s="272">
        <f>Q27+Q109+Q195+Q251+Q315+Q363</f>
        <v>318622.23</v>
      </c>
      <c r="AM408" s="274"/>
      <c r="AN408" s="272">
        <f>AF408-AL408</f>
        <v>237932.05000000005</v>
      </c>
      <c r="AO408" s="275">
        <f>IF(AL408=0,0,AN408/AL408)</f>
        <v>0.74675282386919473</v>
      </c>
      <c r="AP408" s="244"/>
      <c r="AQ408" s="244"/>
      <c r="AR408" s="308"/>
      <c r="AS408" s="308"/>
      <c r="AT408" s="244"/>
      <c r="AU408" s="244"/>
      <c r="AV408" s="244"/>
      <c r="AW408" s="244"/>
      <c r="AX408" s="244"/>
      <c r="AY408" s="244"/>
      <c r="AZ408" s="244"/>
      <c r="BA408" s="244"/>
      <c r="BB408" s="244"/>
      <c r="BC408" s="244"/>
      <c r="BD408" s="244"/>
      <c r="BE408" s="244"/>
      <c r="BF408" s="244"/>
      <c r="BG408" s="244"/>
      <c r="BH408" s="244"/>
      <c r="BI408" s="244"/>
    </row>
    <row r="409" spans="1:61" ht="17.399999999999999">
      <c r="A409" t="str">
        <f t="shared" si="81"/>
        <v>DÉPENSES</v>
      </c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244"/>
      <c r="U409" s="244"/>
      <c r="V409" s="276" t="s">
        <v>128</v>
      </c>
      <c r="W409" s="277"/>
      <c r="X409" s="277"/>
      <c r="Y409" s="277"/>
      <c r="Z409" s="278"/>
      <c r="AA409" s="277"/>
      <c r="AB409" s="277"/>
      <c r="AC409" s="278"/>
      <c r="AD409" s="279"/>
      <c r="AE409" s="277"/>
      <c r="AF409" s="280"/>
      <c r="AG409" s="279"/>
      <c r="AH409" s="280"/>
      <c r="AI409" s="281"/>
      <c r="AJ409" s="279"/>
      <c r="AK409" s="277"/>
      <c r="AL409" s="280"/>
      <c r="AM409" s="282"/>
      <c r="AN409" s="280"/>
      <c r="AO409" s="283"/>
      <c r="AP409" s="244"/>
      <c r="AQ409" s="244"/>
      <c r="AR409" s="244"/>
      <c r="AS409" s="244"/>
      <c r="AT409" s="244"/>
      <c r="AU409" s="470"/>
      <c r="AV409" s="470"/>
      <c r="AW409" s="470"/>
      <c r="AX409" s="470"/>
      <c r="AY409" s="470"/>
      <c r="AZ409" s="244"/>
      <c r="BA409" s="244"/>
      <c r="BB409" s="244"/>
      <c r="BC409" s="244"/>
      <c r="BD409" s="244"/>
      <c r="BE409" s="244"/>
      <c r="BF409" s="244"/>
      <c r="BG409" s="244"/>
      <c r="BH409" s="244"/>
      <c r="BI409" s="244"/>
    </row>
    <row r="410" spans="1:61" ht="17.399999999999999">
      <c r="A410" t="str">
        <f t="shared" si="81"/>
        <v>Comm. vendeurs</v>
      </c>
      <c r="B410" s="7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244"/>
      <c r="U410" s="244"/>
      <c r="V410" s="102" t="s">
        <v>30</v>
      </c>
      <c r="W410" s="284" t="s">
        <v>129</v>
      </c>
      <c r="X410" s="277"/>
      <c r="Y410" s="285">
        <f t="shared" ref="Y410:Y419" si="82">Z410/(D$13+D$97)</f>
        <v>1038.7059736966414</v>
      </c>
      <c r="Z410" s="278">
        <f t="shared" ref="Z410:Z416" si="83">+SUMIF($C:$C,$V410,F:F)</f>
        <v>46741.768816348864</v>
      </c>
      <c r="AA410" s="277"/>
      <c r="AB410" s="285"/>
      <c r="AC410" s="278"/>
      <c r="AD410" s="286"/>
      <c r="AE410" s="285">
        <f t="shared" ref="AE410:AE415" si="84">IF(AF410=0,0,AF410/(J$13+J$97))</f>
        <v>1161.1521739130435</v>
      </c>
      <c r="AF410" s="278">
        <f t="shared" ref="AF410:AF416" si="85">+SUMIF($C:$C,$V410,L:L)</f>
        <v>53413</v>
      </c>
      <c r="AG410" s="279">
        <f t="shared" ref="AG410:AH425" si="86">AE410-Y410</f>
        <v>122.44620021640208</v>
      </c>
      <c r="AH410" s="280">
        <f t="shared" si="86"/>
        <v>6671.2311836511362</v>
      </c>
      <c r="AI410" s="281">
        <f t="shared" ref="AI410:AI419" si="87">IF(Z410=0,0,AH410/Z410)</f>
        <v>0.14272526163617796</v>
      </c>
      <c r="AJ410" s="286"/>
      <c r="AK410" s="280">
        <f t="shared" ref="AK410:AK419" si="88">AL410/(O$13+O$97)</f>
        <v>928.61954545454546</v>
      </c>
      <c r="AL410" s="278">
        <f t="shared" ref="AL410:AL415" si="89">+SUMIF($C:$C,$V410,Q:Q)</f>
        <v>20429.63</v>
      </c>
      <c r="AM410" s="282">
        <f t="shared" ref="AM410:AM419" si="90">AE410-Y410</f>
        <v>122.44620021640208</v>
      </c>
      <c r="AN410" s="280">
        <f t="shared" ref="AN410:AN432" si="91">AF410-AL410</f>
        <v>32983.369999999995</v>
      </c>
      <c r="AO410" s="287">
        <f t="shared" ref="AO410:AO432" si="92">IF(AL410=0,0,AN410/AL410)</f>
        <v>1.6144868996648492</v>
      </c>
      <c r="AP410" s="244"/>
      <c r="AQ410" s="244"/>
      <c r="AS410" s="476"/>
      <c r="AT410" s="469"/>
      <c r="AU410" s="470"/>
      <c r="AV410" s="470"/>
      <c r="AW410" s="470"/>
      <c r="AX410" s="470"/>
      <c r="AY410" s="470"/>
      <c r="AZ410" s="244"/>
      <c r="BA410" s="244"/>
      <c r="BB410" s="244"/>
      <c r="BC410" s="244"/>
      <c r="BD410" s="244"/>
      <c r="BE410" s="244"/>
      <c r="BF410" s="244"/>
      <c r="BG410" s="244"/>
      <c r="BH410" s="244"/>
      <c r="BI410" s="244"/>
    </row>
    <row r="411" spans="1:61" ht="17.399999999999999">
      <c r="A411" t="str">
        <f t="shared" si="81"/>
        <v>Comm. F&amp;I</v>
      </c>
      <c r="B411" s="7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244"/>
      <c r="U411" s="244"/>
      <c r="V411" s="103" t="s">
        <v>31</v>
      </c>
      <c r="W411" s="288" t="s">
        <v>130</v>
      </c>
      <c r="X411" s="261"/>
      <c r="Y411" s="289">
        <f t="shared" si="82"/>
        <v>501.86666666666667</v>
      </c>
      <c r="Z411" s="262">
        <f t="shared" si="83"/>
        <v>22584</v>
      </c>
      <c r="AA411" s="261"/>
      <c r="AB411" s="289"/>
      <c r="AC411" s="262"/>
      <c r="AD411" s="290"/>
      <c r="AE411" s="289">
        <f t="shared" si="84"/>
        <v>197.04</v>
      </c>
      <c r="AF411" s="262">
        <f t="shared" si="85"/>
        <v>9063.84</v>
      </c>
      <c r="AG411" s="263">
        <f t="shared" si="86"/>
        <v>-304.82666666666671</v>
      </c>
      <c r="AH411" s="264">
        <f t="shared" si="86"/>
        <v>-13520.16</v>
      </c>
      <c r="AI411" s="291">
        <f t="shared" si="87"/>
        <v>-0.59866099893730074</v>
      </c>
      <c r="AJ411" s="290"/>
      <c r="AK411" s="264">
        <f t="shared" si="88"/>
        <v>477.0559090909091</v>
      </c>
      <c r="AL411" s="262">
        <f t="shared" si="89"/>
        <v>10495.23</v>
      </c>
      <c r="AM411" s="266">
        <f t="shared" si="90"/>
        <v>-304.82666666666671</v>
      </c>
      <c r="AN411" s="264">
        <f t="shared" si="91"/>
        <v>-1431.3899999999994</v>
      </c>
      <c r="AO411" s="292">
        <f t="shared" si="92"/>
        <v>-0.13638481481587345</v>
      </c>
      <c r="AP411" s="244"/>
      <c r="AQ411" s="244"/>
      <c r="AS411" s="436"/>
      <c r="AT411" s="469"/>
      <c r="AU411" s="470"/>
      <c r="AV411" s="470"/>
      <c r="AW411" s="470"/>
      <c r="AX411" s="470"/>
      <c r="AY411" s="470"/>
      <c r="AZ411" s="244"/>
      <c r="BA411" s="244"/>
      <c r="BB411" s="244"/>
      <c r="BC411" s="244"/>
      <c r="BD411" s="244"/>
      <c r="BE411" s="244"/>
      <c r="BF411" s="244"/>
      <c r="BG411" s="244"/>
      <c r="BH411" s="244"/>
      <c r="BI411" s="244"/>
    </row>
    <row r="412" spans="1:61" ht="17.399999999999999">
      <c r="A412" t="str">
        <f t="shared" si="81"/>
        <v>Frais de livraison</v>
      </c>
      <c r="B412" s="7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244"/>
      <c r="U412" s="244"/>
      <c r="V412" s="102" t="s">
        <v>32</v>
      </c>
      <c r="W412" s="284" t="s">
        <v>131</v>
      </c>
      <c r="X412" s="277"/>
      <c r="Y412" s="285">
        <f t="shared" si="82"/>
        <v>118.22222222222223</v>
      </c>
      <c r="Z412" s="278">
        <f t="shared" si="83"/>
        <v>5320</v>
      </c>
      <c r="AA412" s="277"/>
      <c r="AB412" s="285"/>
      <c r="AC412" s="278"/>
      <c r="AD412" s="286"/>
      <c r="AE412" s="285">
        <f t="shared" si="84"/>
        <v>78.713260869565218</v>
      </c>
      <c r="AF412" s="278">
        <f t="shared" si="85"/>
        <v>3620.81</v>
      </c>
      <c r="AG412" s="279">
        <f t="shared" si="86"/>
        <v>-39.50896135265701</v>
      </c>
      <c r="AH412" s="280">
        <f t="shared" si="86"/>
        <v>-1699.19</v>
      </c>
      <c r="AI412" s="281">
        <f t="shared" si="87"/>
        <v>-0.31939661654135337</v>
      </c>
      <c r="AJ412" s="286"/>
      <c r="AK412" s="280">
        <f t="shared" si="88"/>
        <v>223.70136363636365</v>
      </c>
      <c r="AL412" s="278">
        <f t="shared" si="89"/>
        <v>4921.43</v>
      </c>
      <c r="AM412" s="282">
        <f t="shared" si="90"/>
        <v>-39.50896135265701</v>
      </c>
      <c r="AN412" s="280">
        <f t="shared" si="91"/>
        <v>-1300.6200000000003</v>
      </c>
      <c r="AO412" s="287">
        <f t="shared" si="92"/>
        <v>-0.2642768463637602</v>
      </c>
      <c r="AP412" s="244"/>
      <c r="AQ412" s="244"/>
      <c r="AS412" s="436"/>
      <c r="AT412" s="469"/>
      <c r="AU412" s="470"/>
      <c r="AV412" s="470"/>
      <c r="AW412" s="470"/>
      <c r="AX412" s="470"/>
      <c r="AY412" s="470"/>
      <c r="AZ412" s="244"/>
      <c r="BA412" s="244"/>
      <c r="BB412" s="244"/>
      <c r="BC412" s="244"/>
      <c r="BD412" s="244"/>
      <c r="BE412" s="244"/>
      <c r="BF412" s="244"/>
      <c r="BG412" s="244"/>
      <c r="BH412" s="244"/>
      <c r="BI412" s="244"/>
    </row>
    <row r="413" spans="1:61" ht="17.399999999999999">
      <c r="A413" t="str">
        <f t="shared" si="81"/>
        <v>Service gratuit 1</v>
      </c>
      <c r="B413" s="7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244"/>
      <c r="U413" s="244"/>
      <c r="V413" s="102" t="s">
        <v>33</v>
      </c>
      <c r="W413" s="284" t="s">
        <v>148</v>
      </c>
      <c r="X413" s="277"/>
      <c r="Y413" s="285">
        <f t="shared" si="82"/>
        <v>54.111111111111114</v>
      </c>
      <c r="Z413" s="278">
        <f t="shared" si="83"/>
        <v>2435</v>
      </c>
      <c r="AA413" s="277"/>
      <c r="AB413" s="285"/>
      <c r="AC413" s="278"/>
      <c r="AD413" s="286"/>
      <c r="AE413" s="285">
        <f t="shared" si="84"/>
        <v>106.37695652173913</v>
      </c>
      <c r="AF413" s="278">
        <f t="shared" si="85"/>
        <v>4893.34</v>
      </c>
      <c r="AG413" s="279">
        <f t="shared" si="86"/>
        <v>52.265845410628017</v>
      </c>
      <c r="AH413" s="280">
        <f t="shared" si="86"/>
        <v>2458.34</v>
      </c>
      <c r="AI413" s="281">
        <f t="shared" si="87"/>
        <v>1.0095852156057497</v>
      </c>
      <c r="AJ413" s="286"/>
      <c r="AK413" s="280">
        <f t="shared" si="88"/>
        <v>6.6300000000000008</v>
      </c>
      <c r="AL413" s="278">
        <f t="shared" si="89"/>
        <v>145.86000000000001</v>
      </c>
      <c r="AM413" s="282">
        <f t="shared" si="90"/>
        <v>52.265845410628017</v>
      </c>
      <c r="AN413" s="280">
        <f t="shared" si="91"/>
        <v>4747.4800000000005</v>
      </c>
      <c r="AO413" s="293">
        <f t="shared" si="92"/>
        <v>32.548196901138077</v>
      </c>
      <c r="AP413" s="244"/>
      <c r="AQ413" s="244"/>
      <c r="AS413" s="436"/>
      <c r="AT413" s="469"/>
      <c r="AU413" s="470"/>
      <c r="AV413" s="470"/>
      <c r="AW413" s="470"/>
      <c r="AX413" s="470"/>
      <c r="AY413" s="470"/>
      <c r="AZ413" s="244"/>
      <c r="BA413" s="244"/>
      <c r="BB413" s="244"/>
      <c r="BC413" s="244"/>
      <c r="BD413" s="244"/>
      <c r="BE413" s="244"/>
      <c r="BF413" s="244"/>
      <c r="BG413" s="244"/>
      <c r="BH413" s="244"/>
      <c r="BI413" s="244"/>
    </row>
    <row r="414" spans="1:61" ht="17.399999999999999">
      <c r="A414" t="str">
        <f t="shared" si="81"/>
        <v>Entretien stock</v>
      </c>
      <c r="B414" s="7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244"/>
      <c r="U414" s="244"/>
      <c r="V414" s="103" t="s">
        <v>34</v>
      </c>
      <c r="W414" s="288" t="s">
        <v>220</v>
      </c>
      <c r="X414" s="261"/>
      <c r="Y414" s="289">
        <f t="shared" si="82"/>
        <v>88.533333333333331</v>
      </c>
      <c r="Z414" s="262">
        <f t="shared" si="83"/>
        <v>3984</v>
      </c>
      <c r="AA414" s="261"/>
      <c r="AB414" s="289"/>
      <c r="AC414" s="262"/>
      <c r="AD414" s="290"/>
      <c r="AE414" s="289">
        <f t="shared" si="84"/>
        <v>51.089130434782604</v>
      </c>
      <c r="AF414" s="262">
        <f t="shared" si="85"/>
        <v>2350.1</v>
      </c>
      <c r="AG414" s="263">
        <f t="shared" si="86"/>
        <v>-37.444202898550728</v>
      </c>
      <c r="AH414" s="264">
        <f t="shared" si="86"/>
        <v>-1633.9</v>
      </c>
      <c r="AI414" s="291">
        <f t="shared" si="87"/>
        <v>-0.41011546184738956</v>
      </c>
      <c r="AJ414" s="290"/>
      <c r="AK414" s="264">
        <f t="shared" si="88"/>
        <v>227.27272727272728</v>
      </c>
      <c r="AL414" s="262">
        <f t="shared" si="89"/>
        <v>5000</v>
      </c>
      <c r="AM414" s="266">
        <f t="shared" si="90"/>
        <v>-37.444202898550728</v>
      </c>
      <c r="AN414" s="264">
        <f t="shared" si="91"/>
        <v>-2649.9</v>
      </c>
      <c r="AO414" s="292">
        <f t="shared" si="92"/>
        <v>-0.52998000000000001</v>
      </c>
      <c r="AP414" s="244"/>
      <c r="AQ414" s="244"/>
      <c r="AS414" s="436"/>
      <c r="AT414" s="469"/>
      <c r="AU414" s="470"/>
      <c r="AV414" s="470"/>
      <c r="AW414" s="470"/>
      <c r="AX414" s="470"/>
      <c r="AY414" s="470"/>
      <c r="AZ414" s="244"/>
      <c r="BA414" s="244"/>
      <c r="BB414" s="244"/>
      <c r="BC414" s="244"/>
      <c r="BD414" s="244"/>
      <c r="BE414" s="244"/>
      <c r="BF414" s="244"/>
      <c r="BG414" s="244"/>
      <c r="BH414" s="244"/>
      <c r="BI414" s="244"/>
    </row>
    <row r="415" spans="1:61" ht="17.399999999999999">
      <c r="A415" t="str">
        <f t="shared" si="81"/>
        <v>Publicité 1</v>
      </c>
      <c r="B415" s="7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244"/>
      <c r="U415" s="244"/>
      <c r="V415" s="102" t="s">
        <v>35</v>
      </c>
      <c r="W415" s="284" t="s">
        <v>221</v>
      </c>
      <c r="X415" s="281"/>
      <c r="Y415" s="285">
        <f t="shared" si="82"/>
        <v>205.08444444444442</v>
      </c>
      <c r="Z415" s="278">
        <f t="shared" si="83"/>
        <v>9228.7999999999993</v>
      </c>
      <c r="AA415" s="281"/>
      <c r="AB415" s="285"/>
      <c r="AC415" s="278"/>
      <c r="AD415" s="286"/>
      <c r="AE415" s="285">
        <f t="shared" si="84"/>
        <v>193.10543478260871</v>
      </c>
      <c r="AF415" s="278">
        <f t="shared" si="85"/>
        <v>8882.85</v>
      </c>
      <c r="AG415" s="279">
        <f t="shared" si="86"/>
        <v>-11.979009661835704</v>
      </c>
      <c r="AH415" s="280">
        <f t="shared" si="86"/>
        <v>-345.94999999999891</v>
      </c>
      <c r="AI415" s="281">
        <f t="shared" si="87"/>
        <v>-3.7485913661581022E-2</v>
      </c>
      <c r="AJ415" s="286"/>
      <c r="AK415" s="280">
        <f t="shared" si="88"/>
        <v>688.22727272727275</v>
      </c>
      <c r="AL415" s="278">
        <f t="shared" si="89"/>
        <v>15141</v>
      </c>
      <c r="AM415" s="282">
        <f t="shared" si="90"/>
        <v>-11.979009661835704</v>
      </c>
      <c r="AN415" s="280">
        <f t="shared" si="91"/>
        <v>-6258.15</v>
      </c>
      <c r="AO415" s="287">
        <f t="shared" si="92"/>
        <v>-0.413324747374678</v>
      </c>
      <c r="AP415" s="244"/>
      <c r="AQ415" s="244"/>
      <c r="AR415" s="437"/>
      <c r="AS415" s="436"/>
      <c r="AT415" s="469"/>
      <c r="AU415" s="470"/>
      <c r="AV415" s="470"/>
      <c r="AW415" s="470"/>
      <c r="AX415" s="470"/>
      <c r="AY415" s="470"/>
      <c r="AZ415" s="244"/>
      <c r="BA415" s="244"/>
      <c r="BB415" s="244"/>
      <c r="BC415" s="244"/>
      <c r="BD415" s="244"/>
      <c r="BE415" s="244"/>
      <c r="BF415" s="244"/>
      <c r="BG415" s="244"/>
      <c r="BH415" s="244"/>
      <c r="BI415" s="244"/>
    </row>
    <row r="416" spans="1:61" ht="20.399999999999999">
      <c r="A416" t="str">
        <f t="shared" si="81"/>
        <v>Intérêt de gros</v>
      </c>
      <c r="B416" s="7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244"/>
      <c r="U416" s="244"/>
      <c r="V416" s="102" t="s">
        <v>36</v>
      </c>
      <c r="W416" s="284" t="s">
        <v>222</v>
      </c>
      <c r="X416" s="277"/>
      <c r="Y416" s="285">
        <f t="shared" si="82"/>
        <v>684.7012846213895</v>
      </c>
      <c r="Z416" s="278">
        <f t="shared" si="83"/>
        <v>30811.557807962527</v>
      </c>
      <c r="AA416" s="277"/>
      <c r="AB416" s="285"/>
      <c r="AC416" s="278"/>
      <c r="AD416" s="286"/>
      <c r="AE416" s="285">
        <f t="shared" ref="AE416:AE419" si="93">IF(AF416=0,0,AF416/(J$13+J$13))</f>
        <v>480.2578125</v>
      </c>
      <c r="AF416" s="278">
        <f t="shared" si="85"/>
        <v>30736.5</v>
      </c>
      <c r="AG416" s="279">
        <f t="shared" si="86"/>
        <v>-204.4434721213895</v>
      </c>
      <c r="AH416" s="280">
        <f t="shared" si="86"/>
        <v>-75.057807962526567</v>
      </c>
      <c r="AI416" s="281">
        <f t="shared" si="87"/>
        <v>-2.436027689035886E-3</v>
      </c>
      <c r="AJ416" s="286"/>
      <c r="AK416" s="280">
        <f t="shared" si="88"/>
        <v>1140.5209090909091</v>
      </c>
      <c r="AL416" s="278">
        <f t="shared" ref="AL416:AL419" si="94">IFERROR(SUMIF($C:$C,$V416,Q:Q),0)</f>
        <v>25091.46</v>
      </c>
      <c r="AM416" s="282">
        <f t="shared" si="90"/>
        <v>-204.4434721213895</v>
      </c>
      <c r="AN416" s="280">
        <f t="shared" si="91"/>
        <v>5645.0400000000009</v>
      </c>
      <c r="AO416" s="292">
        <f t="shared" si="92"/>
        <v>0.22497853851469787</v>
      </c>
      <c r="AP416" s="244"/>
      <c r="AQ416" s="470">
        <v>30736.5</v>
      </c>
      <c r="AR416" s="13">
        <f>AQ416-AF416</f>
        <v>0</v>
      </c>
      <c r="AS416" s="477"/>
      <c r="AT416" s="244"/>
      <c r="AU416" s="470"/>
      <c r="AV416" s="470"/>
      <c r="AW416" s="470"/>
      <c r="AX416" s="470"/>
      <c r="AY416" s="470"/>
      <c r="AZ416" s="244"/>
      <c r="BA416" s="244"/>
      <c r="BB416" s="244"/>
      <c r="BC416" s="244"/>
      <c r="BD416" s="244"/>
      <c r="BE416" s="244"/>
      <c r="BF416" s="244"/>
      <c r="BG416" s="244"/>
      <c r="BH416" s="244"/>
      <c r="BI416" s="244"/>
    </row>
    <row r="417" spans="1:61" ht="20.25" hidden="1" customHeight="1">
      <c r="A417" t="str">
        <f t="shared" si="81"/>
        <v>[...]</v>
      </c>
      <c r="B417" s="7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244"/>
      <c r="U417" s="244"/>
      <c r="V417" s="102" t="s">
        <v>19</v>
      </c>
      <c r="W417" s="284"/>
      <c r="X417" s="281"/>
      <c r="Y417" s="285">
        <f t="shared" si="82"/>
        <v>0</v>
      </c>
      <c r="Z417" s="278">
        <f t="shared" ref="Z417:Z419" si="95">IFERROR(SUMIF($C:$C,$V417,F:F),0)</f>
        <v>0</v>
      </c>
      <c r="AA417" s="277"/>
      <c r="AB417" s="285"/>
      <c r="AC417" s="278"/>
      <c r="AD417" s="286"/>
      <c r="AE417" s="285">
        <f t="shared" si="93"/>
        <v>0</v>
      </c>
      <c r="AF417" s="278">
        <f t="shared" ref="AF417:AF419" si="96">IFERROR(SUMIF($C:$C,$V417,L:L),0)</f>
        <v>0</v>
      </c>
      <c r="AG417" s="279">
        <f t="shared" si="86"/>
        <v>0</v>
      </c>
      <c r="AH417" s="280">
        <f t="shared" si="86"/>
        <v>0</v>
      </c>
      <c r="AI417" s="281">
        <f t="shared" si="87"/>
        <v>0</v>
      </c>
      <c r="AJ417" s="286"/>
      <c r="AK417" s="280">
        <f t="shared" si="88"/>
        <v>0</v>
      </c>
      <c r="AL417" s="278">
        <f t="shared" si="94"/>
        <v>0</v>
      </c>
      <c r="AM417" s="282">
        <f t="shared" si="90"/>
        <v>0</v>
      </c>
      <c r="AN417" s="280">
        <f t="shared" si="91"/>
        <v>0</v>
      </c>
      <c r="AO417" s="287">
        <f t="shared" si="92"/>
        <v>0</v>
      </c>
      <c r="AP417" s="244"/>
      <c r="AQ417" s="244"/>
      <c r="AR417" s="13"/>
      <c r="AS417" s="244"/>
      <c r="AT417" s="244"/>
      <c r="AU417" s="470"/>
      <c r="AV417" s="470"/>
      <c r="AW417" s="470"/>
      <c r="AX417" s="470"/>
      <c r="AY417" s="470"/>
      <c r="AZ417" s="244"/>
      <c r="BA417" s="244"/>
      <c r="BB417" s="244"/>
      <c r="BC417" s="244"/>
      <c r="BD417" s="244"/>
      <c r="BE417" s="244"/>
      <c r="BF417" s="244"/>
      <c r="BG417" s="244"/>
      <c r="BH417" s="244"/>
      <c r="BI417" s="244"/>
    </row>
    <row r="418" spans="1:61" ht="20.25" hidden="1" customHeight="1">
      <c r="A418" t="str">
        <f t="shared" si="81"/>
        <v>[...]</v>
      </c>
      <c r="B418" s="7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244"/>
      <c r="U418" s="244"/>
      <c r="V418" s="102" t="s">
        <v>19</v>
      </c>
      <c r="W418" s="284"/>
      <c r="X418" s="281"/>
      <c r="Y418" s="285">
        <f t="shared" si="82"/>
        <v>0</v>
      </c>
      <c r="Z418" s="278">
        <f t="shared" si="95"/>
        <v>0</v>
      </c>
      <c r="AA418" s="277"/>
      <c r="AB418" s="285"/>
      <c r="AC418" s="278"/>
      <c r="AD418" s="286"/>
      <c r="AE418" s="285">
        <f t="shared" si="93"/>
        <v>0</v>
      </c>
      <c r="AF418" s="278">
        <f t="shared" si="96"/>
        <v>0</v>
      </c>
      <c r="AG418" s="279">
        <f t="shared" si="86"/>
        <v>0</v>
      </c>
      <c r="AH418" s="280">
        <f t="shared" si="86"/>
        <v>0</v>
      </c>
      <c r="AI418" s="281">
        <f t="shared" si="87"/>
        <v>0</v>
      </c>
      <c r="AJ418" s="286"/>
      <c r="AK418" s="280">
        <f t="shared" si="88"/>
        <v>0</v>
      </c>
      <c r="AL418" s="278">
        <f t="shared" si="94"/>
        <v>0</v>
      </c>
      <c r="AM418" s="282">
        <f t="shared" si="90"/>
        <v>0</v>
      </c>
      <c r="AN418" s="280">
        <f t="shared" si="91"/>
        <v>0</v>
      </c>
      <c r="AO418" s="287">
        <f t="shared" si="92"/>
        <v>0</v>
      </c>
      <c r="AP418" s="244"/>
      <c r="AQ418" s="244"/>
      <c r="AR418" s="13"/>
      <c r="AS418" s="244"/>
      <c r="AT418" s="244"/>
      <c r="AU418" s="470"/>
      <c r="AV418" s="470"/>
      <c r="AW418" s="470"/>
      <c r="AX418" s="470"/>
      <c r="AY418" s="470"/>
      <c r="AZ418" s="244"/>
      <c r="BA418" s="244"/>
      <c r="BB418" s="244"/>
      <c r="BC418" s="244"/>
      <c r="BD418" s="244"/>
      <c r="BE418" s="244"/>
      <c r="BF418" s="244"/>
      <c r="BG418" s="244"/>
      <c r="BH418" s="244"/>
      <c r="BI418" s="244"/>
    </row>
    <row r="419" spans="1:61" ht="20.25" hidden="1" customHeight="1">
      <c r="A419" t="str">
        <f t="shared" si="81"/>
        <v>[...]</v>
      </c>
      <c r="B419" s="7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244"/>
      <c r="U419" s="244"/>
      <c r="V419" s="102" t="s">
        <v>19</v>
      </c>
      <c r="W419" s="284" t="s">
        <v>134</v>
      </c>
      <c r="X419" s="277"/>
      <c r="Y419" s="285">
        <f t="shared" si="82"/>
        <v>0</v>
      </c>
      <c r="Z419" s="278">
        <f t="shared" si="95"/>
        <v>0</v>
      </c>
      <c r="AA419" s="277"/>
      <c r="AB419" s="285"/>
      <c r="AC419" s="278"/>
      <c r="AD419" s="286"/>
      <c r="AE419" s="285">
        <f t="shared" si="93"/>
        <v>0</v>
      </c>
      <c r="AF419" s="278">
        <f t="shared" si="96"/>
        <v>0</v>
      </c>
      <c r="AG419" s="279">
        <f t="shared" si="86"/>
        <v>0</v>
      </c>
      <c r="AH419" s="280">
        <f t="shared" si="86"/>
        <v>0</v>
      </c>
      <c r="AI419" s="281">
        <f t="shared" si="87"/>
        <v>0</v>
      </c>
      <c r="AJ419" s="286"/>
      <c r="AK419" s="280">
        <f t="shared" si="88"/>
        <v>0</v>
      </c>
      <c r="AL419" s="278">
        <f t="shared" si="94"/>
        <v>0</v>
      </c>
      <c r="AM419" s="282">
        <f t="shared" si="90"/>
        <v>0</v>
      </c>
      <c r="AN419" s="280">
        <f t="shared" si="91"/>
        <v>0</v>
      </c>
      <c r="AO419" s="287">
        <f t="shared" si="92"/>
        <v>0</v>
      </c>
      <c r="AP419" s="244"/>
      <c r="AQ419" s="244"/>
      <c r="AR419" s="13"/>
      <c r="AS419" s="244"/>
      <c r="AT419" s="244"/>
      <c r="AU419" s="470"/>
      <c r="AV419" s="470"/>
      <c r="AW419" s="470"/>
      <c r="AX419" s="470"/>
      <c r="AY419" s="470"/>
      <c r="AZ419" s="244"/>
      <c r="BA419" s="244"/>
      <c r="BB419" s="244"/>
      <c r="BC419" s="244"/>
      <c r="BD419" s="244"/>
      <c r="BE419" s="244"/>
      <c r="BF419" s="244"/>
      <c r="BG419" s="244"/>
      <c r="BH419" s="244"/>
      <c r="BI419" s="244"/>
    </row>
    <row r="420" spans="1:61" ht="20.399999999999999">
      <c r="A420" t="str">
        <f t="shared" si="81"/>
        <v>TOTAL VARIABLES</v>
      </c>
      <c r="B420" s="7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244"/>
      <c r="U420" s="244"/>
      <c r="V420" s="294" t="s">
        <v>37</v>
      </c>
      <c r="W420" s="295"/>
      <c r="X420" s="296">
        <f>Z420/Z408</f>
        <v>0.24374427590641207</v>
      </c>
      <c r="Y420" s="295"/>
      <c r="Z420" s="297">
        <f>SUM(Z410:Z419)</f>
        <v>121105.12662431139</v>
      </c>
      <c r="AA420" s="296"/>
      <c r="AB420" s="295"/>
      <c r="AC420" s="297"/>
      <c r="AD420" s="298">
        <f>AF420/AF408</f>
        <v>0.20296392294386811</v>
      </c>
      <c r="AE420" s="295"/>
      <c r="AF420" s="297">
        <f>SUM(AF410:AF419)</f>
        <v>112960.44</v>
      </c>
      <c r="AG420" s="299"/>
      <c r="AH420" s="300">
        <f t="shared" si="86"/>
        <v>-8144.6866243113909</v>
      </c>
      <c r="AI420" s="296">
        <f>AH420/Z420</f>
        <v>-6.7253029259261563E-2</v>
      </c>
      <c r="AJ420" s="298">
        <f>IF($AL$408=0,0,AL420/$AL$408)</f>
        <v>0.25492449161503894</v>
      </c>
      <c r="AK420" s="295"/>
      <c r="AL420" s="297">
        <f>SUM(AL410:AL419)</f>
        <v>81224.61</v>
      </c>
      <c r="AM420" s="301"/>
      <c r="AN420" s="300">
        <f t="shared" si="91"/>
        <v>31735.83</v>
      </c>
      <c r="AO420" s="275">
        <f t="shared" si="92"/>
        <v>0.39071692680334202</v>
      </c>
      <c r="AP420" s="244"/>
      <c r="AQ420" s="244"/>
      <c r="AR420" s="13"/>
      <c r="AS420" s="244"/>
      <c r="AT420" s="244"/>
      <c r="AU420" s="470"/>
      <c r="AV420" s="470"/>
      <c r="AW420" s="470"/>
      <c r="AX420" s="470"/>
      <c r="AY420" s="470"/>
      <c r="AZ420" s="244"/>
      <c r="BA420" s="244"/>
      <c r="BB420" s="244"/>
      <c r="BC420" s="244"/>
      <c r="BD420" s="244"/>
      <c r="BE420" s="244"/>
      <c r="BF420" s="244"/>
      <c r="BG420" s="244"/>
      <c r="BH420" s="244"/>
      <c r="BI420" s="244"/>
    </row>
    <row r="421" spans="1:61" ht="17.399999999999999">
      <c r="A421" t="str">
        <f t="shared" si="81"/>
        <v>Salaires propriétaire</v>
      </c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02"/>
      <c r="P421" s="154"/>
      <c r="Q421" s="10"/>
      <c r="R421" s="10"/>
      <c r="S421" s="10"/>
      <c r="T421" s="244"/>
      <c r="U421" s="244"/>
      <c r="V421" s="102" t="s">
        <v>135</v>
      </c>
      <c r="W421" s="284" t="s">
        <v>137</v>
      </c>
      <c r="X421" s="277"/>
      <c r="Y421" s="277"/>
      <c r="Z421" s="278">
        <v>16917.624521072798</v>
      </c>
      <c r="AA421" s="277"/>
      <c r="AB421" s="277"/>
      <c r="AC421" s="278"/>
      <c r="AD421" s="286"/>
      <c r="AE421" s="285"/>
      <c r="AF421" s="278">
        <v>17007.669999999998</v>
      </c>
      <c r="AG421" s="279"/>
      <c r="AH421" s="280">
        <f t="shared" si="86"/>
        <v>90.045478927200747</v>
      </c>
      <c r="AI421" s="281">
        <f t="shared" ref="AI421:AI433" si="97">IF(Z421=0,0,AH421/Z421)</f>
        <v>5.322584078813134E-3</v>
      </c>
      <c r="AJ421" s="286"/>
      <c r="AK421" s="277"/>
      <c r="AL421" s="278">
        <v>15408.03</v>
      </c>
      <c r="AM421" s="282"/>
      <c r="AN421" s="280">
        <f t="shared" si="91"/>
        <v>1599.6399999999976</v>
      </c>
      <c r="AO421" s="287">
        <f t="shared" si="92"/>
        <v>0.10381859329193917</v>
      </c>
      <c r="AP421" s="244"/>
      <c r="AQ421" s="244"/>
      <c r="AS421" s="244"/>
      <c r="AT421" s="244"/>
      <c r="AU421" s="470"/>
      <c r="AV421" s="470"/>
      <c r="AW421" s="470"/>
      <c r="AX421" s="470"/>
      <c r="AY421" s="470"/>
      <c r="AZ421" s="244"/>
      <c r="BA421" s="244"/>
      <c r="BB421" s="244"/>
      <c r="BC421" s="244"/>
      <c r="BD421" s="244"/>
      <c r="BE421" s="244"/>
      <c r="BF421" s="244"/>
      <c r="BG421" s="244"/>
      <c r="BH421" s="244"/>
      <c r="BI421" s="244"/>
    </row>
    <row r="422" spans="1:61" ht="17.399999999999999">
      <c r="A422" t="str">
        <f t="shared" si="81"/>
        <v>Salaires cadres</v>
      </c>
      <c r="B422" s="7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02"/>
      <c r="P422" s="154"/>
      <c r="Q422" s="10"/>
      <c r="R422" s="10"/>
      <c r="S422" s="10"/>
      <c r="T422" s="244"/>
      <c r="U422" s="244"/>
      <c r="V422" s="102" t="s">
        <v>40</v>
      </c>
      <c r="W422" s="284" t="s">
        <v>140</v>
      </c>
      <c r="X422" s="277"/>
      <c r="Y422" s="277"/>
      <c r="Z422" s="278">
        <f t="shared" ref="Z422:Z432" si="98">+SUMIF($C:$C,$V422,F:F)</f>
        <v>34583.917333988684</v>
      </c>
      <c r="AA422" s="277"/>
      <c r="AB422" s="277"/>
      <c r="AC422" s="278"/>
      <c r="AD422" s="286"/>
      <c r="AE422" s="285"/>
      <c r="AF422" s="278">
        <f t="shared" ref="AF422:AF433" si="99">+SUMIF($C:$C,$V422,L:L)</f>
        <v>31641.370000000003</v>
      </c>
      <c r="AG422" s="279"/>
      <c r="AH422" s="280">
        <f t="shared" si="86"/>
        <v>-2942.5473339886812</v>
      </c>
      <c r="AI422" s="281">
        <f t="shared" si="97"/>
        <v>-8.5084269244906474E-2</v>
      </c>
      <c r="AJ422" s="286"/>
      <c r="AK422" s="277"/>
      <c r="AL422" s="278">
        <f t="shared" ref="AL422:AL430" si="100">+SUMIF($C:$C,$V422,Q:Q)</f>
        <v>28708.019999999997</v>
      </c>
      <c r="AM422" s="282"/>
      <c r="AN422" s="280">
        <f t="shared" si="91"/>
        <v>2933.3500000000058</v>
      </c>
      <c r="AO422" s="287">
        <f t="shared" si="92"/>
        <v>0.10217876398302655</v>
      </c>
      <c r="AP422" s="244"/>
      <c r="AQ422" s="244"/>
      <c r="AR422" s="437"/>
      <c r="AS422" s="244"/>
      <c r="AT422" s="244"/>
      <c r="AU422" s="470"/>
      <c r="AV422" s="470"/>
      <c r="AW422" s="470"/>
      <c r="AX422" s="470"/>
      <c r="AY422" s="470"/>
      <c r="AZ422" s="244"/>
      <c r="BA422" s="244"/>
      <c r="BB422" s="244"/>
      <c r="BC422" s="244"/>
      <c r="BD422" s="244"/>
      <c r="BE422" s="244"/>
      <c r="BF422" s="244"/>
      <c r="BG422" s="244"/>
      <c r="BH422" s="244"/>
      <c r="BI422" s="244"/>
    </row>
    <row r="423" spans="1:61" ht="17.399999999999999">
      <c r="A423" t="str">
        <f t="shared" si="81"/>
        <v>Salaires commis</v>
      </c>
      <c r="B423" s="7"/>
      <c r="C423" s="244"/>
      <c r="D423" s="244"/>
      <c r="E423" s="244"/>
      <c r="F423" s="244"/>
      <c r="G423" s="244"/>
      <c r="H423" s="244"/>
      <c r="I423" s="244"/>
      <c r="J423" s="244"/>
      <c r="K423" s="244"/>
      <c r="L423" s="244"/>
      <c r="M423" s="244"/>
      <c r="N423" s="244"/>
      <c r="O423" s="303"/>
      <c r="P423" s="154"/>
      <c r="Q423" s="244"/>
      <c r="R423" s="244"/>
      <c r="S423" s="244"/>
      <c r="T423" s="244"/>
      <c r="U423" s="244"/>
      <c r="V423" s="103" t="s">
        <v>41</v>
      </c>
      <c r="W423" s="288" t="s">
        <v>138</v>
      </c>
      <c r="X423" s="261"/>
      <c r="Y423" s="261"/>
      <c r="Z423" s="262">
        <f t="shared" si="98"/>
        <v>14815.188599490441</v>
      </c>
      <c r="AA423" s="261"/>
      <c r="AB423" s="261"/>
      <c r="AC423" s="262"/>
      <c r="AD423" s="290"/>
      <c r="AE423" s="289"/>
      <c r="AF423" s="262">
        <f t="shared" si="99"/>
        <v>10139.6</v>
      </c>
      <c r="AG423" s="263"/>
      <c r="AH423" s="264">
        <f t="shared" si="86"/>
        <v>-4675.5885994904402</v>
      </c>
      <c r="AI423" s="291">
        <f t="shared" si="97"/>
        <v>-0.31559426787528405</v>
      </c>
      <c r="AJ423" s="290"/>
      <c r="AK423" s="261"/>
      <c r="AL423" s="262">
        <f t="shared" si="100"/>
        <v>20684.649999999998</v>
      </c>
      <c r="AM423" s="266"/>
      <c r="AN423" s="264">
        <f t="shared" si="91"/>
        <v>-10545.049999999997</v>
      </c>
      <c r="AO423" s="267">
        <f t="shared" si="92"/>
        <v>-0.50980074596379432</v>
      </c>
      <c r="AP423" s="244"/>
      <c r="AQ423" s="244"/>
      <c r="AR423" s="437"/>
      <c r="AS423" s="244"/>
      <c r="AT423" s="244"/>
      <c r="AU423" s="470"/>
      <c r="AV423" s="470"/>
      <c r="AW423" s="470"/>
      <c r="AX423" s="470"/>
      <c r="AY423" s="470"/>
      <c r="AZ423" s="244"/>
      <c r="BA423" s="244"/>
      <c r="BB423" s="244"/>
      <c r="BC423" s="244"/>
      <c r="BD423" s="244"/>
      <c r="BE423" s="244"/>
      <c r="BF423" s="244"/>
      <c r="BG423" s="244"/>
      <c r="BH423" s="244"/>
      <c r="BI423" s="244"/>
    </row>
    <row r="424" spans="1:61" ht="17.399999999999999">
      <c r="A424" t="str">
        <f t="shared" si="81"/>
        <v>Salaires autres</v>
      </c>
      <c r="B424" s="7"/>
      <c r="C424" s="244"/>
      <c r="D424" s="244"/>
      <c r="E424" s="244"/>
      <c r="F424" s="244"/>
      <c r="G424" s="244"/>
      <c r="H424" s="244"/>
      <c r="I424" s="244"/>
      <c r="J424" s="244"/>
      <c r="K424" s="244"/>
      <c r="L424" s="244"/>
      <c r="M424" s="244"/>
      <c r="N424" s="244"/>
      <c r="O424" s="303"/>
      <c r="P424" s="154"/>
      <c r="Q424" s="244"/>
      <c r="R424" s="244"/>
      <c r="S424" s="244"/>
      <c r="T424" s="244"/>
      <c r="U424" s="244"/>
      <c r="V424" s="102" t="s">
        <v>42</v>
      </c>
      <c r="W424" s="284" t="s">
        <v>139</v>
      </c>
      <c r="X424" s="277"/>
      <c r="Y424" s="277"/>
      <c r="Z424" s="278">
        <f t="shared" si="98"/>
        <v>34071.160308955281</v>
      </c>
      <c r="AA424" s="277"/>
      <c r="AB424" s="277"/>
      <c r="AC424" s="278"/>
      <c r="AD424" s="286"/>
      <c r="AE424" s="285"/>
      <c r="AF424" s="278">
        <f t="shared" si="99"/>
        <v>33269.119999999995</v>
      </c>
      <c r="AG424" s="279"/>
      <c r="AH424" s="280">
        <f t="shared" si="86"/>
        <v>-802.04030895528558</v>
      </c>
      <c r="AI424" s="281">
        <f t="shared" si="97"/>
        <v>-2.3540152483285899E-2</v>
      </c>
      <c r="AJ424" s="286"/>
      <c r="AK424" s="277"/>
      <c r="AL424" s="278">
        <f t="shared" si="100"/>
        <v>21629.5</v>
      </c>
      <c r="AM424" s="282"/>
      <c r="AN424" s="280">
        <f t="shared" si="91"/>
        <v>11639.619999999995</v>
      </c>
      <c r="AO424" s="287">
        <f t="shared" si="92"/>
        <v>0.53813634157054002</v>
      </c>
      <c r="AP424" s="244"/>
      <c r="AQ424" s="244"/>
      <c r="AS424" s="244"/>
      <c r="AT424" s="244"/>
      <c r="AU424" s="470"/>
      <c r="AV424" s="470"/>
      <c r="AW424" s="470"/>
      <c r="AX424" s="470"/>
      <c r="AY424" s="470"/>
      <c r="AZ424" s="244"/>
      <c r="BA424" s="244"/>
      <c r="BB424" s="244"/>
      <c r="BC424" s="244"/>
      <c r="BD424" s="244"/>
      <c r="BE424" s="244"/>
      <c r="BF424" s="244"/>
      <c r="BG424" s="244"/>
      <c r="BH424" s="244"/>
      <c r="BI424" s="244"/>
    </row>
    <row r="425" spans="1:61" ht="17.399999999999999">
      <c r="A425" t="str">
        <f t="shared" si="81"/>
        <v>Salaires spécialistes</v>
      </c>
      <c r="B425" s="7"/>
      <c r="C425" s="244"/>
      <c r="D425" s="244"/>
      <c r="E425" s="244"/>
      <c r="F425" s="244"/>
      <c r="G425" s="244"/>
      <c r="H425" s="244"/>
      <c r="I425" s="244"/>
      <c r="J425" s="244"/>
      <c r="K425" s="244"/>
      <c r="L425" s="244"/>
      <c r="M425" s="244"/>
      <c r="N425" s="244"/>
      <c r="O425" s="303"/>
      <c r="P425" s="154"/>
      <c r="Q425" s="244"/>
      <c r="R425" s="244"/>
      <c r="S425" s="244"/>
      <c r="T425" s="244"/>
      <c r="U425" s="244"/>
      <c r="V425" s="102" t="s">
        <v>43</v>
      </c>
      <c r="W425" s="284" t="s">
        <v>223</v>
      </c>
      <c r="X425" s="277"/>
      <c r="Y425" s="277"/>
      <c r="Z425" s="278">
        <f t="shared" si="98"/>
        <v>15342.486590038312</v>
      </c>
      <c r="AA425" s="277"/>
      <c r="AB425" s="277"/>
      <c r="AC425" s="278"/>
      <c r="AD425" s="286"/>
      <c r="AE425" s="285"/>
      <c r="AF425" s="278">
        <f t="shared" si="99"/>
        <v>13056.46</v>
      </c>
      <c r="AG425" s="279"/>
      <c r="AH425" s="280">
        <f t="shared" si="86"/>
        <v>-2286.0265900383129</v>
      </c>
      <c r="AI425" s="281">
        <f t="shared" si="97"/>
        <v>-0.14899974502976601</v>
      </c>
      <c r="AJ425" s="286"/>
      <c r="AK425" s="277"/>
      <c r="AL425" s="278">
        <f t="shared" si="100"/>
        <v>14362.52</v>
      </c>
      <c r="AM425" s="282"/>
      <c r="AN425" s="280">
        <f t="shared" si="91"/>
        <v>-1306.0600000000013</v>
      </c>
      <c r="AO425" s="287">
        <f t="shared" si="92"/>
        <v>-9.0935295477395414E-2</v>
      </c>
      <c r="AP425" s="244"/>
      <c r="AQ425" s="244"/>
      <c r="AS425" s="470"/>
      <c r="AT425" s="470"/>
      <c r="AU425" s="470"/>
      <c r="AV425" s="470"/>
      <c r="AW425" s="470"/>
      <c r="AX425" s="470"/>
      <c r="AY425" s="470"/>
      <c r="AZ425" s="244"/>
      <c r="BA425" s="244"/>
      <c r="BB425" s="244"/>
      <c r="BC425" s="244"/>
      <c r="BD425" s="244"/>
      <c r="BE425" s="244"/>
      <c r="BF425" s="244"/>
      <c r="BG425" s="244"/>
      <c r="BH425" s="244"/>
      <c r="BI425" s="244"/>
    </row>
    <row r="426" spans="1:61" ht="18" hidden="1" customHeight="1">
      <c r="A426" t="str">
        <f t="shared" si="81"/>
        <v>[...]</v>
      </c>
      <c r="B426" s="7"/>
      <c r="C426" s="244"/>
      <c r="D426" s="244"/>
      <c r="E426" s="244"/>
      <c r="F426" s="244"/>
      <c r="G426" s="244"/>
      <c r="H426" s="244"/>
      <c r="I426" s="244"/>
      <c r="J426" s="244"/>
      <c r="K426" s="244"/>
      <c r="L426" s="244"/>
      <c r="M426" s="244"/>
      <c r="N426" s="244"/>
      <c r="O426" s="303"/>
      <c r="P426" s="154"/>
      <c r="Q426" s="244"/>
      <c r="R426" s="244"/>
      <c r="S426" s="244"/>
      <c r="T426" s="244"/>
      <c r="U426" s="244"/>
      <c r="V426" s="102" t="s">
        <v>19</v>
      </c>
      <c r="W426" s="284"/>
      <c r="X426" s="277"/>
      <c r="Y426" s="277"/>
      <c r="Z426" s="280">
        <f t="shared" si="98"/>
        <v>0</v>
      </c>
      <c r="AA426" s="277"/>
      <c r="AB426" s="277"/>
      <c r="AC426" s="280"/>
      <c r="AD426" s="286"/>
      <c r="AE426" s="285"/>
      <c r="AF426" s="278">
        <f t="shared" si="99"/>
        <v>0</v>
      </c>
      <c r="AG426" s="279"/>
      <c r="AH426" s="280">
        <f t="shared" ref="AH426:AH458" si="101">AF426-Z426</f>
        <v>0</v>
      </c>
      <c r="AI426" s="281">
        <f t="shared" si="97"/>
        <v>0</v>
      </c>
      <c r="AJ426" s="286"/>
      <c r="AK426" s="277"/>
      <c r="AL426" s="278">
        <f t="shared" si="100"/>
        <v>0</v>
      </c>
      <c r="AM426" s="282"/>
      <c r="AN426" s="280">
        <f t="shared" si="91"/>
        <v>0</v>
      </c>
      <c r="AO426" s="287">
        <f t="shared" si="92"/>
        <v>0</v>
      </c>
      <c r="AP426" s="244"/>
      <c r="AQ426" s="244"/>
      <c r="AR426" s="437"/>
      <c r="AS426" s="470"/>
      <c r="AT426" s="470"/>
      <c r="AU426" s="470"/>
      <c r="AV426" s="470"/>
      <c r="AW426" s="470"/>
      <c r="AX426" s="470"/>
      <c r="AY426" s="470"/>
      <c r="AZ426" s="244"/>
      <c r="BA426" s="244"/>
      <c r="BB426" s="244"/>
      <c r="BC426" s="244"/>
      <c r="BD426" s="244"/>
      <c r="BE426" s="244"/>
      <c r="BF426" s="244"/>
      <c r="BG426" s="244"/>
      <c r="BH426" s="244"/>
      <c r="BI426" s="244"/>
    </row>
    <row r="427" spans="1:61" ht="18" hidden="1" customHeight="1">
      <c r="A427" t="str">
        <f t="shared" si="81"/>
        <v>[...]</v>
      </c>
      <c r="B427" s="7"/>
      <c r="C427" s="244"/>
      <c r="D427" s="244"/>
      <c r="E427" s="244"/>
      <c r="F427" s="244"/>
      <c r="G427" s="244"/>
      <c r="H427" s="244"/>
      <c r="I427" s="244"/>
      <c r="J427" s="244"/>
      <c r="K427" s="244"/>
      <c r="L427" s="244"/>
      <c r="M427" s="244"/>
      <c r="N427" s="244"/>
      <c r="O427" s="303"/>
      <c r="P427" s="154"/>
      <c r="Q427" s="244"/>
      <c r="R427" s="244"/>
      <c r="S427" s="244"/>
      <c r="T427" s="244"/>
      <c r="U427" s="244"/>
      <c r="V427" s="102" t="s">
        <v>19</v>
      </c>
      <c r="W427" s="284"/>
      <c r="X427" s="277"/>
      <c r="Y427" s="277"/>
      <c r="Z427" s="280">
        <f t="shared" si="98"/>
        <v>0</v>
      </c>
      <c r="AA427" s="277"/>
      <c r="AB427" s="277"/>
      <c r="AC427" s="280"/>
      <c r="AD427" s="286"/>
      <c r="AE427" s="285"/>
      <c r="AF427" s="278">
        <f t="shared" si="99"/>
        <v>0</v>
      </c>
      <c r="AG427" s="279"/>
      <c r="AH427" s="280">
        <f t="shared" si="101"/>
        <v>0</v>
      </c>
      <c r="AI427" s="281">
        <f t="shared" si="97"/>
        <v>0</v>
      </c>
      <c r="AJ427" s="286"/>
      <c r="AK427" s="277"/>
      <c r="AL427" s="278">
        <f t="shared" si="100"/>
        <v>0</v>
      </c>
      <c r="AM427" s="282"/>
      <c r="AN427" s="280">
        <f t="shared" si="91"/>
        <v>0</v>
      </c>
      <c r="AO427" s="287">
        <f t="shared" si="92"/>
        <v>0</v>
      </c>
      <c r="AP427" s="244"/>
      <c r="AQ427" s="244"/>
      <c r="AS427" s="470"/>
      <c r="AT427" s="470"/>
      <c r="AU427" s="470"/>
      <c r="AV427" s="470"/>
      <c r="AW427" s="470"/>
      <c r="AX427" s="470"/>
      <c r="AY427" s="470"/>
      <c r="AZ427" s="244"/>
      <c r="BA427" s="244"/>
      <c r="BB427" s="244"/>
      <c r="BC427" s="244"/>
      <c r="BD427" s="244"/>
      <c r="BE427" s="244"/>
      <c r="BF427" s="244"/>
      <c r="BG427" s="244"/>
      <c r="BH427" s="244"/>
      <c r="BI427" s="244"/>
    </row>
    <row r="428" spans="1:61" ht="18" hidden="1" customHeight="1">
      <c r="A428" t="str">
        <f t="shared" si="81"/>
        <v>[...]</v>
      </c>
      <c r="B428" s="7"/>
      <c r="C428" s="244"/>
      <c r="D428" s="244"/>
      <c r="E428" s="244"/>
      <c r="F428" s="244"/>
      <c r="G428" s="244"/>
      <c r="H428" s="244"/>
      <c r="I428" s="244"/>
      <c r="J428" s="244"/>
      <c r="K428" s="244"/>
      <c r="L428" s="244"/>
      <c r="M428" s="244"/>
      <c r="N428" s="244"/>
      <c r="O428" s="303"/>
      <c r="P428" s="154"/>
      <c r="Q428" s="244"/>
      <c r="R428" s="244"/>
      <c r="S428" s="244"/>
      <c r="T428" s="244"/>
      <c r="U428" s="244"/>
      <c r="V428" s="102" t="s">
        <v>19</v>
      </c>
      <c r="W428" s="284"/>
      <c r="X428" s="277"/>
      <c r="Y428" s="277"/>
      <c r="Z428" s="280">
        <f t="shared" si="98"/>
        <v>0</v>
      </c>
      <c r="AA428" s="277"/>
      <c r="AB428" s="277"/>
      <c r="AC428" s="280"/>
      <c r="AD428" s="286"/>
      <c r="AE428" s="285"/>
      <c r="AF428" s="278">
        <f t="shared" si="99"/>
        <v>0</v>
      </c>
      <c r="AG428" s="279"/>
      <c r="AH428" s="280">
        <f t="shared" si="101"/>
        <v>0</v>
      </c>
      <c r="AI428" s="281">
        <f t="shared" si="97"/>
        <v>0</v>
      </c>
      <c r="AJ428" s="286"/>
      <c r="AK428" s="277"/>
      <c r="AL428" s="278">
        <f t="shared" si="100"/>
        <v>0</v>
      </c>
      <c r="AM428" s="282"/>
      <c r="AN428" s="280">
        <f t="shared" si="91"/>
        <v>0</v>
      </c>
      <c r="AO428" s="287">
        <f t="shared" si="92"/>
        <v>0</v>
      </c>
      <c r="AP428" s="244"/>
      <c r="AQ428" s="244"/>
      <c r="AS428" s="470"/>
      <c r="AT428" s="470"/>
      <c r="AU428" s="470"/>
      <c r="AV428" s="470"/>
      <c r="AW428" s="470"/>
      <c r="AX428" s="470"/>
      <c r="AY428" s="470"/>
      <c r="AZ428" s="244"/>
      <c r="BA428" s="244"/>
      <c r="BB428" s="244"/>
      <c r="BC428" s="244"/>
      <c r="BD428" s="244"/>
      <c r="BE428" s="244"/>
      <c r="BF428" s="244"/>
      <c r="BG428" s="244"/>
      <c r="BH428" s="244"/>
      <c r="BI428" s="244"/>
    </row>
    <row r="429" spans="1:61" ht="17.399999999999999">
      <c r="A429" t="str">
        <f t="shared" si="81"/>
        <v>Salaires en absences</v>
      </c>
      <c r="B429" s="7"/>
      <c r="C429" s="244"/>
      <c r="D429" s="244"/>
      <c r="E429" s="244"/>
      <c r="F429" s="244"/>
      <c r="G429" s="244"/>
      <c r="H429" s="244"/>
      <c r="I429" s="244"/>
      <c r="J429" s="244"/>
      <c r="K429" s="244"/>
      <c r="L429" s="244"/>
      <c r="M429" s="244"/>
      <c r="N429" s="244"/>
      <c r="O429" s="303"/>
      <c r="P429" s="154"/>
      <c r="Q429" s="244"/>
      <c r="R429" s="244"/>
      <c r="S429" s="244"/>
      <c r="T429" s="244"/>
      <c r="U429" s="244"/>
      <c r="V429" s="103" t="s">
        <v>44</v>
      </c>
      <c r="W429" s="288" t="s">
        <v>141</v>
      </c>
      <c r="X429" s="261"/>
      <c r="Y429" s="261"/>
      <c r="Z429" s="262">
        <f t="shared" si="98"/>
        <v>31730.76703931309</v>
      </c>
      <c r="AA429" s="261"/>
      <c r="AB429" s="261"/>
      <c r="AC429" s="262"/>
      <c r="AD429" s="290"/>
      <c r="AE429" s="289"/>
      <c r="AF429" s="262">
        <f t="shared" si="99"/>
        <v>27804.200000000004</v>
      </c>
      <c r="AG429" s="263"/>
      <c r="AH429" s="264">
        <f t="shared" si="101"/>
        <v>-3926.5670393130858</v>
      </c>
      <c r="AI429" s="291">
        <f t="shared" si="97"/>
        <v>-0.12374636372477961</v>
      </c>
      <c r="AJ429" s="290"/>
      <c r="AK429" s="261"/>
      <c r="AL429" s="262">
        <f t="shared" si="100"/>
        <v>23886.720000000001</v>
      </c>
      <c r="AM429" s="266"/>
      <c r="AN429" s="264">
        <f t="shared" si="91"/>
        <v>3917.4800000000032</v>
      </c>
      <c r="AO429" s="292">
        <f t="shared" si="92"/>
        <v>0.16400242477828697</v>
      </c>
      <c r="AP429" s="470"/>
      <c r="AQ429" s="478"/>
      <c r="AR429" s="478"/>
      <c r="AS429" s="470"/>
      <c r="AT429" s="470"/>
      <c r="AU429" s="470"/>
      <c r="AV429" s="470"/>
      <c r="AW429" s="470"/>
      <c r="AX429" s="470"/>
      <c r="AY429" s="470"/>
      <c r="AZ429" s="244"/>
      <c r="BA429" s="244"/>
      <c r="BB429" s="244"/>
      <c r="BC429" s="244"/>
      <c r="BD429" s="244"/>
      <c r="BE429" s="244"/>
      <c r="BF429" s="244"/>
      <c r="BG429" s="244"/>
      <c r="BH429" s="244"/>
      <c r="BI429" s="244"/>
    </row>
    <row r="430" spans="1:61" ht="17.399999999999999">
      <c r="A430" t="str">
        <f t="shared" si="81"/>
        <v>Déduction à la source</v>
      </c>
      <c r="B430" s="7"/>
      <c r="C430" s="244"/>
      <c r="D430" s="244"/>
      <c r="E430" s="244"/>
      <c r="F430" s="244"/>
      <c r="G430" s="244"/>
      <c r="H430" s="244"/>
      <c r="I430" s="244"/>
      <c r="J430" s="244"/>
      <c r="K430" s="244"/>
      <c r="L430" s="244"/>
      <c r="M430" s="244"/>
      <c r="N430" s="244"/>
      <c r="O430" s="303"/>
      <c r="P430" s="154"/>
      <c r="Q430" s="244"/>
      <c r="R430" s="244"/>
      <c r="S430" s="244"/>
      <c r="T430" s="244"/>
      <c r="U430" s="244"/>
      <c r="V430" s="102" t="s">
        <v>45</v>
      </c>
      <c r="W430" s="284" t="s">
        <v>142</v>
      </c>
      <c r="X430" s="277"/>
      <c r="Y430" s="277"/>
      <c r="Z430" s="278">
        <f t="shared" si="98"/>
        <v>28797.696740387328</v>
      </c>
      <c r="AA430" s="277"/>
      <c r="AB430" s="277"/>
      <c r="AC430" s="278"/>
      <c r="AD430" s="286"/>
      <c r="AE430" s="285"/>
      <c r="AF430" s="278">
        <f t="shared" si="99"/>
        <v>24131.210000000003</v>
      </c>
      <c r="AG430" s="279"/>
      <c r="AH430" s="280">
        <f t="shared" si="101"/>
        <v>-4666.486740387325</v>
      </c>
      <c r="AI430" s="281">
        <f t="shared" si="97"/>
        <v>-0.16204374893089318</v>
      </c>
      <c r="AJ430" s="286"/>
      <c r="AK430" s="277"/>
      <c r="AL430" s="278">
        <f t="shared" si="100"/>
        <v>24666.699999999997</v>
      </c>
      <c r="AM430" s="282"/>
      <c r="AN430" s="280">
        <f t="shared" si="91"/>
        <v>-535.48999999999432</v>
      </c>
      <c r="AO430" s="287">
        <f t="shared" si="92"/>
        <v>-2.1709024717533939E-2</v>
      </c>
      <c r="AP430" s="470"/>
      <c r="AQ430" s="469"/>
      <c r="AR430" s="469"/>
      <c r="AS430" s="470"/>
      <c r="AT430" s="470"/>
      <c r="AU430" s="470"/>
      <c r="AV430" s="244"/>
      <c r="AW430" s="244"/>
      <c r="AX430" s="244"/>
      <c r="AY430" s="244"/>
      <c r="AZ430" s="244"/>
      <c r="BA430" s="244"/>
      <c r="BB430" s="244"/>
      <c r="BC430" s="244"/>
      <c r="BD430" s="244"/>
      <c r="BE430" s="244"/>
      <c r="BF430" s="244"/>
      <c r="BG430" s="244"/>
      <c r="BH430" s="244"/>
      <c r="BI430" s="244"/>
    </row>
    <row r="431" spans="1:61" ht="17.399999999999999">
      <c r="A431" t="str">
        <f t="shared" si="81"/>
        <v>Bénéfices marginaux</v>
      </c>
      <c r="B431" s="7"/>
      <c r="C431" s="244"/>
      <c r="D431" s="244"/>
      <c r="E431" s="244"/>
      <c r="F431" s="244"/>
      <c r="G431" s="244"/>
      <c r="H431" s="244"/>
      <c r="I431" s="244"/>
      <c r="J431" s="244"/>
      <c r="K431" s="244"/>
      <c r="L431" s="244"/>
      <c r="M431" s="244"/>
      <c r="N431" s="244"/>
      <c r="O431" s="303"/>
      <c r="P431" s="154"/>
      <c r="Q431" s="244"/>
      <c r="R431" s="244"/>
      <c r="S431" s="244"/>
      <c r="T431" s="244"/>
      <c r="U431" s="244"/>
      <c r="V431" s="102" t="s">
        <v>46</v>
      </c>
      <c r="W431" s="284" t="s">
        <v>224</v>
      </c>
      <c r="X431" s="277"/>
      <c r="Y431" s="277"/>
      <c r="Z431" s="278">
        <f t="shared" si="98"/>
        <v>21820.401650040909</v>
      </c>
      <c r="AA431" s="277"/>
      <c r="AB431" s="277"/>
      <c r="AC431" s="278"/>
      <c r="AD431" s="286"/>
      <c r="AE431" s="285"/>
      <c r="AF431" s="278">
        <f t="shared" si="99"/>
        <v>11447.86</v>
      </c>
      <c r="AG431" s="279"/>
      <c r="AH431" s="280">
        <f t="shared" si="101"/>
        <v>-10372.541650040908</v>
      </c>
      <c r="AI431" s="281">
        <f t="shared" si="97"/>
        <v>-0.47535979476443146</v>
      </c>
      <c r="AJ431" s="286"/>
      <c r="AK431" s="277"/>
      <c r="AL431" s="278">
        <f t="shared" ref="AL431:AL433" si="102">IFERROR(SUMIF($C:$C,$V431,Q:Q),0)</f>
        <v>14496.53</v>
      </c>
      <c r="AM431" s="282"/>
      <c r="AN431" s="280">
        <f t="shared" si="91"/>
        <v>-3048.67</v>
      </c>
      <c r="AO431" s="287">
        <f t="shared" si="92"/>
        <v>-0.21030343123492312</v>
      </c>
      <c r="AP431" s="470"/>
      <c r="AQ431" s="469"/>
      <c r="AR431" s="469"/>
      <c r="AS431" s="470"/>
      <c r="AT431" s="470"/>
      <c r="AU431" s="470"/>
      <c r="AV431" s="244"/>
      <c r="AW431" s="244"/>
      <c r="AX431" s="244"/>
      <c r="AY431" s="244"/>
      <c r="AZ431" s="244"/>
      <c r="BA431" s="244"/>
      <c r="BB431" s="244"/>
      <c r="BC431" s="244"/>
      <c r="BD431" s="244"/>
      <c r="BE431" s="244"/>
      <c r="BF431" s="244"/>
      <c r="BG431" s="244"/>
      <c r="BH431" s="244"/>
      <c r="BI431" s="244"/>
    </row>
    <row r="432" spans="1:61" ht="17.399999999999999">
      <c r="A432" t="str">
        <f t="shared" si="81"/>
        <v>Csst</v>
      </c>
      <c r="B432" s="7"/>
      <c r="C432" s="244"/>
      <c r="D432" s="244"/>
      <c r="E432" s="244"/>
      <c r="F432" s="244"/>
      <c r="G432" s="244"/>
      <c r="H432" s="244"/>
      <c r="I432" s="244"/>
      <c r="J432" s="244"/>
      <c r="K432" s="244"/>
      <c r="L432" s="244"/>
      <c r="M432" s="244"/>
      <c r="N432" s="244"/>
      <c r="O432" s="303"/>
      <c r="P432" s="154"/>
      <c r="Q432" s="244"/>
      <c r="R432" s="244"/>
      <c r="S432" s="244"/>
      <c r="T432" s="244"/>
      <c r="U432" s="244"/>
      <c r="V432" s="102" t="s">
        <v>47</v>
      </c>
      <c r="W432" s="284" t="s">
        <v>225</v>
      </c>
      <c r="X432" s="277"/>
      <c r="Y432" s="277"/>
      <c r="Z432" s="278">
        <f t="shared" si="98"/>
        <v>5879.529751162413</v>
      </c>
      <c r="AA432" s="277"/>
      <c r="AB432" s="277"/>
      <c r="AC432" s="278"/>
      <c r="AD432" s="286"/>
      <c r="AE432" s="285"/>
      <c r="AF432" s="278">
        <f t="shared" si="99"/>
        <v>3616.2000000000003</v>
      </c>
      <c r="AG432" s="279"/>
      <c r="AH432" s="280">
        <f t="shared" si="101"/>
        <v>-2263.3297511624128</v>
      </c>
      <c r="AI432" s="304">
        <f t="shared" si="97"/>
        <v>-0.38495081187656904</v>
      </c>
      <c r="AJ432" s="286"/>
      <c r="AK432" s="277"/>
      <c r="AL432" s="278">
        <f t="shared" si="102"/>
        <v>3228.44</v>
      </c>
      <c r="AM432" s="282"/>
      <c r="AN432" s="280">
        <f t="shared" si="91"/>
        <v>387.76000000000022</v>
      </c>
      <c r="AO432" s="292">
        <f t="shared" si="92"/>
        <v>0.12010754420091443</v>
      </c>
      <c r="AP432" s="470"/>
      <c r="AQ432" s="469"/>
      <c r="AR432" s="469"/>
      <c r="AS432" s="470"/>
      <c r="AT432" s="470"/>
      <c r="AU432" s="470"/>
      <c r="AV432" s="244"/>
      <c r="AW432" s="244"/>
      <c r="AX432" s="244"/>
      <c r="AY432" s="244"/>
      <c r="AZ432" s="244"/>
      <c r="BA432" s="244"/>
      <c r="BB432" s="244"/>
      <c r="BC432" s="244"/>
      <c r="BD432" s="244"/>
      <c r="BE432" s="244"/>
      <c r="BF432" s="244"/>
      <c r="BG432" s="244"/>
      <c r="BH432" s="244"/>
      <c r="BI432" s="244"/>
    </row>
    <row r="433" spans="1:62" ht="18" hidden="1" customHeight="1">
      <c r="A433" t="str">
        <f t="shared" si="81"/>
        <v>[...]</v>
      </c>
      <c r="B433" s="7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244"/>
      <c r="U433" s="244"/>
      <c r="V433" s="29" t="s">
        <v>19</v>
      </c>
      <c r="W433" s="284"/>
      <c r="X433" s="277"/>
      <c r="Y433" s="285"/>
      <c r="Z433" s="280">
        <f>IFERROR(SUMIF($C:$C,$V433,F:F),0)</f>
        <v>0</v>
      </c>
      <c r="AA433" s="277"/>
      <c r="AB433" s="277"/>
      <c r="AC433" s="280"/>
      <c r="AD433" s="286"/>
      <c r="AE433" s="285"/>
      <c r="AF433" s="278">
        <f t="shared" si="99"/>
        <v>0</v>
      </c>
      <c r="AG433" s="279"/>
      <c r="AH433" s="280">
        <f t="shared" si="101"/>
        <v>0</v>
      </c>
      <c r="AI433" s="281">
        <f t="shared" si="97"/>
        <v>0</v>
      </c>
      <c r="AJ433" s="286"/>
      <c r="AK433" s="277"/>
      <c r="AL433" s="278">
        <f t="shared" si="102"/>
        <v>0</v>
      </c>
      <c r="AM433" s="282"/>
      <c r="AN433" s="280"/>
      <c r="AO433" s="292"/>
      <c r="AP433" s="244"/>
      <c r="AQ433" s="244"/>
      <c r="AR433" s="469"/>
      <c r="AS433" s="470"/>
      <c r="AT433" s="470"/>
      <c r="AU433" s="470"/>
      <c r="AV433" s="244"/>
      <c r="AW433" s="244"/>
      <c r="AX433" s="244"/>
      <c r="AY433" s="244"/>
      <c r="AZ433" s="244"/>
      <c r="BA433" s="244"/>
      <c r="BB433" s="244"/>
      <c r="BC433" s="244"/>
      <c r="BD433" s="244"/>
      <c r="BE433" s="244"/>
      <c r="BF433" s="244"/>
      <c r="BG433" s="244"/>
      <c r="BH433" s="244"/>
      <c r="BI433" s="244"/>
    </row>
    <row r="434" spans="1:62" ht="17.399999999999999">
      <c r="A434" t="str">
        <f t="shared" si="81"/>
        <v>TOTAL PERSONNEL</v>
      </c>
      <c r="B434" s="7"/>
      <c r="C434" s="244"/>
      <c r="D434" s="244"/>
      <c r="E434" s="244"/>
      <c r="F434" s="244"/>
      <c r="G434" s="244"/>
      <c r="H434" s="244"/>
      <c r="I434" s="244"/>
      <c r="J434" s="244"/>
      <c r="K434" s="244"/>
      <c r="L434" s="244"/>
      <c r="M434" s="244"/>
      <c r="R434" s="244"/>
      <c r="S434" s="244"/>
      <c r="T434" s="244"/>
      <c r="U434" s="244"/>
      <c r="V434" s="294" t="s">
        <v>48</v>
      </c>
      <c r="W434" s="295"/>
      <c r="X434" s="296">
        <f>Z434/Z408</f>
        <v>0.41050106392597657</v>
      </c>
      <c r="Y434" s="295"/>
      <c r="Z434" s="297">
        <f>SUM(Z421:Z433)</f>
        <v>203958.77253444926</v>
      </c>
      <c r="AA434" s="296"/>
      <c r="AB434" s="295"/>
      <c r="AC434" s="297"/>
      <c r="AD434" s="298">
        <f>AF434/AF408</f>
        <v>0.30924870436716434</v>
      </c>
      <c r="AE434" s="305"/>
      <c r="AF434" s="297">
        <f>SUM(AF421:AF433)</f>
        <v>172113.69</v>
      </c>
      <c r="AG434" s="306"/>
      <c r="AH434" s="300">
        <f t="shared" si="101"/>
        <v>-31845.082534449262</v>
      </c>
      <c r="AI434" s="296">
        <f>AH434/Z434</f>
        <v>-0.15613489990517829</v>
      </c>
      <c r="AJ434" s="298">
        <f>IF($AL$408=0,0,AL434/$AL$408)</f>
        <v>0.5243548449208959</v>
      </c>
      <c r="AK434" s="295"/>
      <c r="AL434" s="297">
        <f>SUM(AL421:AL433)</f>
        <v>167071.11000000002</v>
      </c>
      <c r="AM434" s="307"/>
      <c r="AN434" s="300">
        <f t="shared" ref="AN434:AN452" si="103">AF434-AL434</f>
        <v>5042.5799999999872</v>
      </c>
      <c r="AO434" s="275">
        <f t="shared" ref="AO434:AO462" si="104">IF(AL434=0,0,AN434/AL434)</f>
        <v>3.0182237970406655E-2</v>
      </c>
      <c r="AP434" s="244"/>
      <c r="AQ434" s="244"/>
      <c r="AR434" s="469"/>
      <c r="AS434" s="470"/>
      <c r="AT434" s="470"/>
      <c r="AU434" s="470"/>
      <c r="AV434" s="244"/>
      <c r="AW434" s="244"/>
      <c r="AX434" s="244"/>
      <c r="AY434" s="244"/>
      <c r="AZ434" s="244"/>
      <c r="BA434" s="244"/>
      <c r="BB434" s="244"/>
      <c r="BC434" s="244"/>
      <c r="BD434" s="244"/>
      <c r="BE434" s="244"/>
      <c r="BF434" s="244"/>
      <c r="BG434" s="244"/>
      <c r="BH434" s="244"/>
      <c r="BI434" s="244"/>
    </row>
    <row r="435" spans="1:62" ht="17.399999999999999">
      <c r="A435" t="str">
        <f t="shared" si="81"/>
        <v>Publicité 2</v>
      </c>
      <c r="B435" s="7"/>
      <c r="C435" s="244"/>
      <c r="D435" s="244"/>
      <c r="E435" s="244"/>
      <c r="F435" s="244"/>
      <c r="G435" s="244"/>
      <c r="H435" s="244"/>
      <c r="I435" s="244"/>
      <c r="J435" s="244"/>
      <c r="K435" s="244"/>
      <c r="L435" s="244"/>
      <c r="M435" s="244"/>
      <c r="N435" s="244"/>
      <c r="O435" s="244"/>
      <c r="P435" s="244"/>
      <c r="Q435" s="308"/>
      <c r="S435" s="244"/>
      <c r="T435" s="244"/>
      <c r="U435" s="244"/>
      <c r="V435" s="210" t="s">
        <v>49</v>
      </c>
      <c r="W435" s="309" t="s">
        <v>226</v>
      </c>
      <c r="X435" s="310"/>
      <c r="Y435" s="310"/>
      <c r="Z435" s="311">
        <f t="shared" ref="Z435:Z449" si="105">+SUMIF($C:$C,$V435,F:F)</f>
        <v>2130.3036470116522</v>
      </c>
      <c r="AA435" s="310"/>
      <c r="AB435" s="310"/>
      <c r="AC435" s="311"/>
      <c r="AD435" s="312"/>
      <c r="AE435" s="313"/>
      <c r="AF435" s="311">
        <f t="shared" ref="AF435:AF452" si="106">+SUMIF($C:$C,$V435,L:L)</f>
        <v>2100.2600000000002</v>
      </c>
      <c r="AG435" s="312"/>
      <c r="AH435" s="314">
        <f t="shared" si="101"/>
        <v>-30.043647011651956</v>
      </c>
      <c r="AI435" s="315">
        <f t="shared" ref="AI435:AI452" si="107">IF(Z435=0,0,AH435/Z435)</f>
        <v>-1.410298811335961E-2</v>
      </c>
      <c r="AJ435" s="312"/>
      <c r="AK435" s="310"/>
      <c r="AL435" s="311">
        <f t="shared" ref="AL435:AL449" si="108">+SUMIF($C:$C,$V435,Q:Q)</f>
        <v>5561.41</v>
      </c>
      <c r="AM435" s="316"/>
      <c r="AN435" s="314">
        <f t="shared" si="103"/>
        <v>-3461.1499999999996</v>
      </c>
      <c r="AO435" s="283">
        <f t="shared" si="104"/>
        <v>-0.62235116634090992</v>
      </c>
      <c r="AP435" s="244"/>
      <c r="AQ435" s="244">
        <f>3084-334+150-800</f>
        <v>2100</v>
      </c>
      <c r="AR435" s="244"/>
      <c r="AS435" s="479"/>
      <c r="AT435" s="470"/>
      <c r="AU435" s="470"/>
      <c r="AV435" s="244"/>
      <c r="AW435" s="244"/>
      <c r="AX435" s="244"/>
      <c r="AY435" s="244"/>
      <c r="AZ435" s="244"/>
      <c r="BA435" s="244"/>
      <c r="BB435" s="244"/>
      <c r="BC435" s="244"/>
      <c r="BD435" s="244"/>
      <c r="BE435" s="244"/>
      <c r="BF435" s="244"/>
      <c r="BG435" s="244"/>
      <c r="BH435" s="244"/>
      <c r="BI435" s="244"/>
    </row>
    <row r="436" spans="1:62" ht="17.399999999999999">
      <c r="A436" t="str">
        <f t="shared" si="81"/>
        <v>Service gratuit 2</v>
      </c>
      <c r="B436" s="7"/>
      <c r="C436" s="244"/>
      <c r="D436" s="244"/>
      <c r="E436" s="244"/>
      <c r="F436" s="244"/>
      <c r="G436" s="244"/>
      <c r="H436" s="244"/>
      <c r="I436" s="244"/>
      <c r="J436" s="244"/>
      <c r="K436" s="244"/>
      <c r="L436" s="244"/>
      <c r="M436" s="244"/>
      <c r="N436" s="244"/>
      <c r="O436" s="244"/>
      <c r="Q436" s="308"/>
      <c r="S436" s="244"/>
      <c r="T436" s="244"/>
      <c r="U436" s="244"/>
      <c r="V436" s="102" t="s">
        <v>50</v>
      </c>
      <c r="W436" s="284" t="s">
        <v>148</v>
      </c>
      <c r="X436" s="277"/>
      <c r="Y436" s="277"/>
      <c r="Z436" s="278">
        <f t="shared" si="105"/>
        <v>4375</v>
      </c>
      <c r="AA436" s="277"/>
      <c r="AB436" s="277"/>
      <c r="AC436" s="278"/>
      <c r="AD436" s="286"/>
      <c r="AE436" s="285"/>
      <c r="AF436" s="278">
        <f t="shared" si="106"/>
        <v>7900.45</v>
      </c>
      <c r="AG436" s="279"/>
      <c r="AH436" s="280">
        <f t="shared" si="101"/>
        <v>3525.45</v>
      </c>
      <c r="AI436" s="281">
        <f t="shared" si="107"/>
        <v>0.80581714285714279</v>
      </c>
      <c r="AJ436" s="286"/>
      <c r="AK436" s="277"/>
      <c r="AL436" s="278">
        <f t="shared" si="108"/>
        <v>3210.97</v>
      </c>
      <c r="AM436" s="282"/>
      <c r="AN436" s="280">
        <f t="shared" si="103"/>
        <v>4689.4799999999996</v>
      </c>
      <c r="AO436" s="287">
        <f t="shared" si="104"/>
        <v>1.4604558747045284</v>
      </c>
      <c r="AP436" s="244"/>
      <c r="AQ436" s="244">
        <v>8308</v>
      </c>
      <c r="AR436" s="244" t="s">
        <v>284</v>
      </c>
      <c r="AS436" s="244"/>
      <c r="AT436" s="244"/>
      <c r="AU436" s="244"/>
      <c r="AV436" s="244"/>
      <c r="AW436" s="244"/>
      <c r="AX436" s="244"/>
      <c r="AY436" s="244"/>
      <c r="AZ436" s="244"/>
      <c r="BA436" s="244"/>
      <c r="BB436" s="244"/>
      <c r="BC436" s="244"/>
      <c r="BD436" s="244"/>
      <c r="BE436" s="244"/>
      <c r="BF436" s="244"/>
      <c r="BG436" s="244"/>
      <c r="BH436" s="244"/>
      <c r="BI436" s="244"/>
    </row>
    <row r="437" spans="1:62" ht="17.399999999999999">
      <c r="A437" t="str">
        <f t="shared" si="81"/>
        <v>Frais véhicules de cie</v>
      </c>
      <c r="B437" s="7"/>
      <c r="C437" s="244"/>
      <c r="D437" s="244"/>
      <c r="E437" s="244"/>
      <c r="F437" s="244"/>
      <c r="G437" s="244"/>
      <c r="H437" s="244"/>
      <c r="I437" s="244"/>
      <c r="J437" s="244"/>
      <c r="K437" s="244"/>
      <c r="L437" s="244"/>
      <c r="M437" s="244"/>
      <c r="N437" s="244"/>
      <c r="O437" s="244"/>
      <c r="P437" s="244"/>
      <c r="Q437" s="308"/>
      <c r="S437" s="244"/>
      <c r="T437" s="244"/>
      <c r="U437" s="244"/>
      <c r="V437" s="103" t="s">
        <v>51</v>
      </c>
      <c r="W437" s="288" t="s">
        <v>227</v>
      </c>
      <c r="X437" s="261"/>
      <c r="Y437" s="261"/>
      <c r="Z437" s="262">
        <f t="shared" si="105"/>
        <v>15077</v>
      </c>
      <c r="AA437" s="261"/>
      <c r="AB437" s="261"/>
      <c r="AC437" s="262"/>
      <c r="AD437" s="290"/>
      <c r="AE437" s="289"/>
      <c r="AF437" s="262">
        <f t="shared" si="106"/>
        <v>16002.45</v>
      </c>
      <c r="AG437" s="263"/>
      <c r="AH437" s="264">
        <f t="shared" si="101"/>
        <v>925.45000000000073</v>
      </c>
      <c r="AI437" s="291">
        <f t="shared" si="107"/>
        <v>6.1381574583803195E-2</v>
      </c>
      <c r="AJ437" s="290"/>
      <c r="AK437" s="261"/>
      <c r="AL437" s="262">
        <f t="shared" si="108"/>
        <v>17882.82</v>
      </c>
      <c r="AM437" s="266"/>
      <c r="AN437" s="264">
        <f t="shared" si="103"/>
        <v>-1880.369999999999</v>
      </c>
      <c r="AO437" s="267">
        <f t="shared" si="104"/>
        <v>-0.10514952339731648</v>
      </c>
      <c r="AP437" s="244"/>
      <c r="AQ437" s="480">
        <v>16002</v>
      </c>
      <c r="AR437" s="480"/>
      <c r="AS437" s="244"/>
      <c r="AT437" s="244"/>
      <c r="AU437" s="244"/>
      <c r="AV437" s="244"/>
      <c r="AW437" s="244"/>
      <c r="AX437" s="244"/>
      <c r="AY437" s="244"/>
      <c r="AZ437" s="244"/>
      <c r="BA437" s="244"/>
      <c r="BB437" s="244"/>
      <c r="BC437" s="244"/>
      <c r="BD437" s="244"/>
      <c r="BE437" s="244"/>
      <c r="BF437" s="244"/>
      <c r="BG437" s="244"/>
      <c r="BH437" s="244"/>
      <c r="BI437" s="244"/>
      <c r="BJ437" s="244"/>
    </row>
    <row r="438" spans="1:62" ht="17.399999999999999">
      <c r="A438" t="str">
        <f t="shared" si="81"/>
        <v>Informatique</v>
      </c>
      <c r="B438" s="7"/>
      <c r="C438" s="244"/>
      <c r="D438" s="244"/>
      <c r="E438" s="244"/>
      <c r="F438" s="244"/>
      <c r="G438" s="244"/>
      <c r="H438" s="244"/>
      <c r="I438" s="244"/>
      <c r="J438" s="244"/>
      <c r="K438" s="244"/>
      <c r="L438" s="244"/>
      <c r="M438" s="244"/>
      <c r="N438" s="244"/>
      <c r="O438" s="244"/>
      <c r="P438" s="244"/>
      <c r="Q438" s="308"/>
      <c r="S438" s="244"/>
      <c r="T438" s="244"/>
      <c r="U438" s="244"/>
      <c r="V438" s="102" t="s">
        <v>52</v>
      </c>
      <c r="W438" s="284" t="s">
        <v>228</v>
      </c>
      <c r="X438" s="277"/>
      <c r="Y438" s="277"/>
      <c r="Z438" s="278">
        <f t="shared" si="105"/>
        <v>22567.753333333334</v>
      </c>
      <c r="AA438" s="277"/>
      <c r="AB438" s="277"/>
      <c r="AC438" s="278"/>
      <c r="AD438" s="286"/>
      <c r="AE438" s="285"/>
      <c r="AF438" s="278">
        <f t="shared" si="106"/>
        <v>23169.27</v>
      </c>
      <c r="AG438" s="279"/>
      <c r="AH438" s="280">
        <f t="shared" si="101"/>
        <v>601.51666666666642</v>
      </c>
      <c r="AI438" s="281">
        <f t="shared" si="107"/>
        <v>2.6653812534285636E-2</v>
      </c>
      <c r="AJ438" s="286"/>
      <c r="AK438" s="277"/>
      <c r="AL438" s="278">
        <f t="shared" si="108"/>
        <v>13089.75</v>
      </c>
      <c r="AM438" s="282"/>
      <c r="AN438" s="280">
        <f t="shared" si="103"/>
        <v>10079.52</v>
      </c>
      <c r="AO438" s="287">
        <f t="shared" si="104"/>
        <v>0.77003151320689855</v>
      </c>
      <c r="AP438" s="480"/>
      <c r="AQ438" s="244">
        <f>21527+1832-190</f>
        <v>23169</v>
      </c>
      <c r="AR438" s="480"/>
      <c r="AS438" s="480"/>
      <c r="AT438" s="244"/>
      <c r="AU438" s="244"/>
      <c r="AV438" s="244"/>
      <c r="AW438" s="244"/>
      <c r="AX438" s="244"/>
      <c r="AY438" s="244"/>
      <c r="AZ438" s="244"/>
      <c r="BA438" s="244"/>
      <c r="BB438" s="244"/>
      <c r="BC438" s="244"/>
      <c r="BD438" s="244"/>
      <c r="BE438" s="244"/>
      <c r="BF438" s="244"/>
      <c r="BG438" s="244"/>
      <c r="BH438" s="244"/>
      <c r="BI438" s="244"/>
      <c r="BJ438" s="244"/>
    </row>
    <row r="439" spans="1:62" ht="17.399999999999999">
      <c r="A439" t="str">
        <f t="shared" si="81"/>
        <v>Frais de déplacement</v>
      </c>
      <c r="B439" s="7"/>
      <c r="C439" s="244"/>
      <c r="D439" s="244"/>
      <c r="E439" s="244"/>
      <c r="F439" s="244"/>
      <c r="G439" s="244"/>
      <c r="H439" s="244"/>
      <c r="I439" s="244"/>
      <c r="J439" s="244"/>
      <c r="K439" s="244"/>
      <c r="L439" s="244"/>
      <c r="M439" s="244"/>
      <c r="N439" s="244"/>
      <c r="O439" s="244"/>
      <c r="P439" s="244"/>
      <c r="Q439" s="308"/>
      <c r="S439" s="244"/>
      <c r="T439" s="244"/>
      <c r="U439" s="244"/>
      <c r="V439" s="102" t="s">
        <v>53</v>
      </c>
      <c r="W439" s="284" t="s">
        <v>229</v>
      </c>
      <c r="X439" s="277"/>
      <c r="Y439" s="277"/>
      <c r="Z439" s="278">
        <f t="shared" si="105"/>
        <v>4158.333333333333</v>
      </c>
      <c r="AA439" s="277"/>
      <c r="AB439" s="277"/>
      <c r="AC439" s="278"/>
      <c r="AD439" s="286"/>
      <c r="AE439" s="285"/>
      <c r="AF439" s="278">
        <f t="shared" si="106"/>
        <v>7974.2800000000007</v>
      </c>
      <c r="AG439" s="279"/>
      <c r="AH439" s="280">
        <f t="shared" si="101"/>
        <v>3815.9466666666676</v>
      </c>
      <c r="AI439" s="281">
        <f t="shared" si="107"/>
        <v>0.91766252505010049</v>
      </c>
      <c r="AJ439" s="286"/>
      <c r="AK439" s="277"/>
      <c r="AL439" s="278">
        <f t="shared" si="108"/>
        <v>-203.68</v>
      </c>
      <c r="AM439" s="282"/>
      <c r="AN439" s="280">
        <f t="shared" si="103"/>
        <v>8177.9600000000009</v>
      </c>
      <c r="AO439" s="287">
        <f t="shared" si="104"/>
        <v>-40.151021209740776</v>
      </c>
      <c r="AP439" s="480"/>
      <c r="AQ439" s="244">
        <v>7974</v>
      </c>
      <c r="AR439" s="244" t="s">
        <v>285</v>
      </c>
      <c r="AS439" s="244"/>
      <c r="AT439" s="244"/>
      <c r="AU439" s="244"/>
      <c r="AV439" s="244"/>
      <c r="AW439" s="244"/>
      <c r="AX439" s="244"/>
      <c r="AY439" s="244"/>
      <c r="AZ439" s="244"/>
      <c r="BA439" s="244"/>
      <c r="BB439" s="244"/>
      <c r="BC439" s="244"/>
      <c r="BD439" s="244"/>
      <c r="BE439" s="244"/>
      <c r="BF439" s="244"/>
      <c r="BG439" s="244"/>
      <c r="BH439" s="244"/>
      <c r="BI439" s="244"/>
      <c r="BJ439" s="244"/>
    </row>
    <row r="440" spans="1:62" ht="17.399999999999999">
      <c r="A440" t="str">
        <f t="shared" si="81"/>
        <v>Services extérieurs</v>
      </c>
      <c r="B440" s="7"/>
      <c r="C440" s="244"/>
      <c r="D440" s="244"/>
      <c r="E440" s="244"/>
      <c r="F440" s="244"/>
      <c r="G440" s="244"/>
      <c r="H440" s="244"/>
      <c r="I440" s="244"/>
      <c r="J440" s="244"/>
      <c r="K440" s="244"/>
      <c r="L440" s="244"/>
      <c r="M440" s="244"/>
      <c r="N440" s="244"/>
      <c r="O440" s="244"/>
      <c r="P440" s="244"/>
      <c r="Q440" s="308"/>
      <c r="S440" s="244"/>
      <c r="T440" s="244"/>
      <c r="U440" s="244"/>
      <c r="V440" s="102" t="s">
        <v>54</v>
      </c>
      <c r="W440" s="284" t="s">
        <v>230</v>
      </c>
      <c r="X440" s="277"/>
      <c r="Y440" s="277"/>
      <c r="Z440" s="278">
        <f t="shared" si="105"/>
        <v>9088.7133333333331</v>
      </c>
      <c r="AA440" s="277"/>
      <c r="AB440" s="277"/>
      <c r="AC440" s="278"/>
      <c r="AD440" s="286"/>
      <c r="AE440" s="285"/>
      <c r="AF440" s="278">
        <f t="shared" si="106"/>
        <v>24114.400000000001</v>
      </c>
      <c r="AG440" s="279"/>
      <c r="AH440" s="280">
        <f t="shared" si="101"/>
        <v>15025.686666666668</v>
      </c>
      <c r="AI440" s="281">
        <f t="shared" si="107"/>
        <v>1.6532248422402294</v>
      </c>
      <c r="AJ440" s="286"/>
      <c r="AK440" s="277"/>
      <c r="AL440" s="278">
        <f t="shared" si="108"/>
        <v>9043.85</v>
      </c>
      <c r="AM440" s="282"/>
      <c r="AN440" s="280">
        <f t="shared" si="103"/>
        <v>15070.550000000001</v>
      </c>
      <c r="AO440" s="287">
        <f t="shared" si="104"/>
        <v>1.6663865499759505</v>
      </c>
      <c r="AP440" s="244"/>
      <c r="AQ440" s="480">
        <v>24114</v>
      </c>
      <c r="AR440" s="480" t="s">
        <v>286</v>
      </c>
      <c r="AS440" s="244"/>
      <c r="AT440" s="244"/>
      <c r="AU440" s="244"/>
      <c r="AV440" s="244"/>
      <c r="AW440" s="244"/>
      <c r="AX440" s="244"/>
      <c r="AY440" s="244"/>
      <c r="AZ440" s="244"/>
      <c r="BA440" s="244"/>
      <c r="BB440" s="244"/>
      <c r="BC440" s="244"/>
      <c r="BD440" s="244"/>
      <c r="BE440" s="244"/>
      <c r="BF440" s="244"/>
      <c r="BG440" s="244"/>
      <c r="BH440" s="244"/>
      <c r="BI440" s="244"/>
      <c r="BJ440" s="244"/>
    </row>
    <row r="441" spans="1:62" ht="18" hidden="1" customHeight="1">
      <c r="B441" s="7"/>
      <c r="C441" s="244"/>
      <c r="D441" s="244"/>
      <c r="E441" s="244"/>
      <c r="F441" s="244"/>
      <c r="G441" s="244"/>
      <c r="H441" s="244"/>
      <c r="I441" s="244"/>
      <c r="J441" s="244"/>
      <c r="K441" s="244"/>
      <c r="L441" s="244"/>
      <c r="M441" s="244"/>
      <c r="N441" s="244"/>
      <c r="O441" s="244"/>
      <c r="P441" s="244"/>
      <c r="Q441" s="308"/>
      <c r="S441" s="244"/>
      <c r="T441" s="244"/>
      <c r="U441" s="244"/>
      <c r="V441" s="211" t="s">
        <v>93</v>
      </c>
      <c r="W441" s="317"/>
      <c r="X441" s="318"/>
      <c r="Y441" s="318"/>
      <c r="Z441" s="319">
        <f t="shared" si="105"/>
        <v>0</v>
      </c>
      <c r="AA441" s="318"/>
      <c r="AB441" s="318"/>
      <c r="AC441" s="319"/>
      <c r="AD441" s="320"/>
      <c r="AE441" s="321"/>
      <c r="AF441" s="498">
        <f t="shared" si="106"/>
        <v>0</v>
      </c>
      <c r="AG441" s="322"/>
      <c r="AH441" s="323">
        <f t="shared" si="101"/>
        <v>0</v>
      </c>
      <c r="AI441" s="324">
        <f t="shared" si="107"/>
        <v>0</v>
      </c>
      <c r="AJ441" s="320"/>
      <c r="AK441" s="318"/>
      <c r="AL441" s="319">
        <f t="shared" si="108"/>
        <v>0</v>
      </c>
      <c r="AM441" s="325"/>
      <c r="AN441" s="323">
        <f t="shared" si="103"/>
        <v>0</v>
      </c>
      <c r="AO441" s="326">
        <f t="shared" si="104"/>
        <v>0</v>
      </c>
      <c r="AP441" s="244"/>
      <c r="AQ441" s="244"/>
      <c r="AR441" s="244"/>
      <c r="AS441" s="244"/>
      <c r="AT441" s="244"/>
      <c r="AU441" s="244"/>
      <c r="AV441" s="244"/>
      <c r="AW441" s="244"/>
      <c r="AX441" s="244"/>
      <c r="AY441" s="244"/>
      <c r="AZ441" s="244"/>
      <c r="BA441" s="244"/>
      <c r="BB441" s="244"/>
      <c r="BC441" s="244"/>
      <c r="BD441" s="244"/>
      <c r="BE441" s="244"/>
      <c r="BF441" s="244"/>
      <c r="BG441" s="244"/>
      <c r="BH441" s="244"/>
      <c r="BI441" s="244"/>
      <c r="BJ441" s="244"/>
    </row>
    <row r="442" spans="1:62" ht="17.399999999999999">
      <c r="A442" t="str">
        <f t="shared" ref="A442:A488" si="109">+U442&amp;V442</f>
        <v>Fournitures autres</v>
      </c>
      <c r="B442" s="7"/>
      <c r="C442" s="244"/>
      <c r="D442" s="244"/>
      <c r="E442" s="244"/>
      <c r="F442" s="244"/>
      <c r="G442" s="244"/>
      <c r="H442" s="244"/>
      <c r="I442" s="244"/>
      <c r="J442" s="244"/>
      <c r="K442" s="244"/>
      <c r="L442" s="244"/>
      <c r="M442" s="244"/>
      <c r="N442" s="244"/>
      <c r="O442" s="244"/>
      <c r="P442" s="327"/>
      <c r="Q442" s="308"/>
      <c r="R442" s="244"/>
      <c r="S442" s="244"/>
      <c r="T442" s="244"/>
      <c r="U442" s="244"/>
      <c r="V442" s="102" t="s">
        <v>55</v>
      </c>
      <c r="W442" s="284" t="s">
        <v>149</v>
      </c>
      <c r="X442" s="277"/>
      <c r="Y442" s="285"/>
      <c r="Z442" s="278">
        <f t="shared" si="105"/>
        <v>3353.75</v>
      </c>
      <c r="AA442" s="277"/>
      <c r="AB442" s="285"/>
      <c r="AC442" s="278"/>
      <c r="AD442" s="286"/>
      <c r="AE442" s="285"/>
      <c r="AF442" s="278">
        <f t="shared" si="106"/>
        <v>3018.11</v>
      </c>
      <c r="AG442" s="279"/>
      <c r="AH442" s="280">
        <f t="shared" si="101"/>
        <v>-335.63999999999987</v>
      </c>
      <c r="AI442" s="281">
        <f t="shared" si="107"/>
        <v>-0.1000790160268356</v>
      </c>
      <c r="AJ442" s="286"/>
      <c r="AK442" s="277"/>
      <c r="AL442" s="278">
        <f t="shared" si="108"/>
        <v>2855.1499999999996</v>
      </c>
      <c r="AM442" s="282"/>
      <c r="AN442" s="280">
        <f t="shared" si="103"/>
        <v>162.96000000000049</v>
      </c>
      <c r="AO442" s="287">
        <f t="shared" si="104"/>
        <v>5.7075810377738651E-2</v>
      </c>
      <c r="AP442" s="244"/>
      <c r="AQ442" s="244">
        <v>3018</v>
      </c>
      <c r="AR442" s="480"/>
      <c r="AS442" s="244"/>
      <c r="AT442" s="244"/>
      <c r="AU442" s="244"/>
      <c r="AV442" s="244"/>
      <c r="AW442" s="244"/>
      <c r="AX442" s="244"/>
      <c r="AY442" s="244"/>
      <c r="AZ442" s="244"/>
      <c r="BA442" s="244"/>
      <c r="BB442" s="244"/>
      <c r="BC442" s="244"/>
      <c r="BD442" s="244"/>
      <c r="BE442" s="244"/>
      <c r="BF442" s="244"/>
      <c r="BG442" s="244"/>
      <c r="BH442" s="244"/>
      <c r="BI442" s="244"/>
      <c r="BJ442" s="244"/>
    </row>
    <row r="443" spans="1:62" ht="17.399999999999999">
      <c r="A443" t="str">
        <f t="shared" si="109"/>
        <v>Uniformes</v>
      </c>
      <c r="B443" s="7"/>
      <c r="C443" s="244"/>
      <c r="D443" s="244"/>
      <c r="E443" s="244"/>
      <c r="F443" s="244"/>
      <c r="G443" s="244"/>
      <c r="H443" s="244"/>
      <c r="I443" s="244"/>
      <c r="J443" s="244"/>
      <c r="K443" s="244"/>
      <c r="L443" s="244"/>
      <c r="M443" s="244"/>
      <c r="N443" s="244"/>
      <c r="O443" s="244"/>
      <c r="Q443" s="308"/>
      <c r="S443" s="244"/>
      <c r="T443" s="244"/>
      <c r="U443" s="244"/>
      <c r="V443" s="102" t="s">
        <v>56</v>
      </c>
      <c r="W443" s="284" t="s">
        <v>145</v>
      </c>
      <c r="X443" s="277"/>
      <c r="Y443" s="277"/>
      <c r="Z443" s="278">
        <f t="shared" si="105"/>
        <v>1400</v>
      </c>
      <c r="AA443" s="277"/>
      <c r="AB443" s="277"/>
      <c r="AC443" s="278"/>
      <c r="AD443" s="286"/>
      <c r="AE443" s="285"/>
      <c r="AF443" s="278">
        <f t="shared" si="106"/>
        <v>1172.5999999999999</v>
      </c>
      <c r="AG443" s="279"/>
      <c r="AH443" s="280">
        <f t="shared" si="101"/>
        <v>-227.40000000000009</v>
      </c>
      <c r="AI443" s="304">
        <f t="shared" si="107"/>
        <v>-0.16242857142857151</v>
      </c>
      <c r="AJ443" s="286"/>
      <c r="AK443" s="277"/>
      <c r="AL443" s="278">
        <f t="shared" si="108"/>
        <v>1680.6</v>
      </c>
      <c r="AM443" s="282"/>
      <c r="AN443" s="280">
        <f t="shared" si="103"/>
        <v>-508</v>
      </c>
      <c r="AO443" s="287">
        <f t="shared" si="104"/>
        <v>-0.30227299773890282</v>
      </c>
      <c r="AP443" s="244"/>
      <c r="AQ443" s="244">
        <f>673+500</f>
        <v>1173</v>
      </c>
      <c r="AR443" s="244"/>
      <c r="AS443" s="244"/>
      <c r="AT443" s="244"/>
      <c r="AU443" s="244"/>
      <c r="AV443" s="244"/>
      <c r="AW443" s="244"/>
      <c r="AX443" s="244"/>
      <c r="AY443" s="244"/>
      <c r="AZ443" s="244"/>
      <c r="BA443" s="244"/>
      <c r="BB443" s="244"/>
      <c r="BC443" s="244"/>
      <c r="BD443" s="244"/>
      <c r="BE443" s="244"/>
      <c r="BF443" s="244"/>
      <c r="BG443" s="244"/>
      <c r="BH443" s="244"/>
      <c r="BI443" s="244"/>
      <c r="BJ443" s="244"/>
    </row>
    <row r="444" spans="1:62" ht="17.399999999999999">
      <c r="A444" t="str">
        <f t="shared" si="109"/>
        <v>Papeterie</v>
      </c>
      <c r="B444" s="7"/>
      <c r="C444" s="244"/>
      <c r="D444" s="244"/>
      <c r="E444" s="244"/>
      <c r="F444" s="244"/>
      <c r="G444" s="244"/>
      <c r="H444" s="244"/>
      <c r="I444" s="244"/>
      <c r="J444" s="244"/>
      <c r="K444" s="244"/>
      <c r="L444" s="244"/>
      <c r="M444" s="244"/>
      <c r="N444" s="244"/>
      <c r="O444" s="244"/>
      <c r="P444" s="327"/>
      <c r="Q444" s="308"/>
      <c r="R444" s="244"/>
      <c r="S444" s="244"/>
      <c r="T444" s="244"/>
      <c r="U444" s="244"/>
      <c r="V444" s="102" t="s">
        <v>57</v>
      </c>
      <c r="W444" s="284" t="s">
        <v>151</v>
      </c>
      <c r="X444" s="277"/>
      <c r="Y444" s="277"/>
      <c r="Z444" s="278">
        <f t="shared" si="105"/>
        <v>1450</v>
      </c>
      <c r="AA444" s="277"/>
      <c r="AB444" s="277"/>
      <c r="AC444" s="278"/>
      <c r="AD444" s="286"/>
      <c r="AE444" s="285"/>
      <c r="AF444" s="278">
        <f t="shared" si="106"/>
        <v>1258.8</v>
      </c>
      <c r="AG444" s="279"/>
      <c r="AH444" s="280">
        <f t="shared" si="101"/>
        <v>-191.20000000000005</v>
      </c>
      <c r="AI444" s="281">
        <f t="shared" si="107"/>
        <v>-0.13186206896551728</v>
      </c>
      <c r="AJ444" s="286"/>
      <c r="AK444" s="277"/>
      <c r="AL444" s="278">
        <f t="shared" si="108"/>
        <v>1674.6</v>
      </c>
      <c r="AM444" s="282"/>
      <c r="AN444" s="280">
        <f t="shared" si="103"/>
        <v>-415.79999999999995</v>
      </c>
      <c r="AO444" s="287">
        <f t="shared" si="104"/>
        <v>-0.24829810103905409</v>
      </c>
      <c r="AP444" s="244"/>
      <c r="AQ444" s="244">
        <v>1259</v>
      </c>
      <c r="AR444" s="244"/>
      <c r="AS444" s="244"/>
      <c r="AT444" s="244"/>
      <c r="AU444" s="244"/>
      <c r="AV444" s="244"/>
      <c r="AW444" s="244"/>
      <c r="AX444" s="244"/>
      <c r="AY444" s="244"/>
      <c r="AZ444" s="244"/>
      <c r="BA444" s="244"/>
      <c r="BB444" s="244"/>
      <c r="BC444" s="244"/>
      <c r="BD444" s="244"/>
      <c r="BE444" s="244"/>
      <c r="BF444" s="244"/>
      <c r="BG444" s="244"/>
      <c r="BH444" s="244"/>
      <c r="BI444" s="244"/>
      <c r="BJ444" s="244"/>
    </row>
    <row r="445" spans="1:62" ht="17.399999999999999">
      <c r="A445" t="str">
        <f t="shared" si="109"/>
        <v>Téléphone</v>
      </c>
      <c r="B445" s="7"/>
      <c r="C445" s="244"/>
      <c r="D445" s="244"/>
      <c r="E445" s="244"/>
      <c r="F445" s="244"/>
      <c r="G445" s="244"/>
      <c r="H445" s="244"/>
      <c r="I445" s="244"/>
      <c r="J445" s="244"/>
      <c r="K445" s="244"/>
      <c r="L445" s="244"/>
      <c r="M445" s="244"/>
      <c r="N445" s="244"/>
      <c r="O445" s="244"/>
      <c r="P445" s="244"/>
      <c r="Q445" s="308"/>
      <c r="S445" s="244"/>
      <c r="T445" s="244"/>
      <c r="U445" s="244"/>
      <c r="V445" s="102" t="s">
        <v>58</v>
      </c>
      <c r="W445" s="284" t="s">
        <v>231</v>
      </c>
      <c r="X445" s="277"/>
      <c r="Y445" s="277"/>
      <c r="Z445" s="278">
        <f t="shared" si="105"/>
        <v>449</v>
      </c>
      <c r="AA445" s="277"/>
      <c r="AB445" s="277"/>
      <c r="AC445" s="278"/>
      <c r="AD445" s="286"/>
      <c r="AE445" s="285"/>
      <c r="AF445" s="278">
        <f t="shared" si="106"/>
        <v>481.71000000000004</v>
      </c>
      <c r="AG445" s="279"/>
      <c r="AH445" s="280">
        <f t="shared" si="101"/>
        <v>32.710000000000036</v>
      </c>
      <c r="AI445" s="304">
        <f t="shared" si="107"/>
        <v>7.2850779510022348E-2</v>
      </c>
      <c r="AJ445" s="286"/>
      <c r="AK445" s="277"/>
      <c r="AL445" s="278">
        <f t="shared" si="108"/>
        <v>489.14</v>
      </c>
      <c r="AM445" s="282"/>
      <c r="AN445" s="280">
        <f t="shared" si="103"/>
        <v>-7.42999999999995</v>
      </c>
      <c r="AO445" s="287">
        <f t="shared" si="104"/>
        <v>-1.5189925174796479E-2</v>
      </c>
      <c r="AP445" s="244"/>
      <c r="AQ445" s="244">
        <v>482</v>
      </c>
      <c r="AR445" s="480"/>
      <c r="AS445" s="244"/>
      <c r="AT445" s="244"/>
      <c r="AU445" s="244"/>
      <c r="AV445" s="244"/>
      <c r="AW445" s="244"/>
      <c r="AX445" s="244"/>
      <c r="AY445" s="244"/>
      <c r="AZ445" s="244"/>
      <c r="BA445" s="244"/>
      <c r="BB445" s="244"/>
      <c r="BC445" s="244"/>
      <c r="BD445" s="244"/>
      <c r="BE445" s="244"/>
      <c r="BF445" s="244"/>
      <c r="BG445" s="244"/>
      <c r="BH445" s="244"/>
      <c r="BI445" s="244"/>
      <c r="BJ445" s="244"/>
    </row>
    <row r="446" spans="1:62" ht="17.399999999999999">
      <c r="A446" t="str">
        <f t="shared" si="109"/>
        <v>Frais postaux</v>
      </c>
      <c r="B446" s="7"/>
      <c r="C446" s="244"/>
      <c r="D446" s="244"/>
      <c r="E446" s="244"/>
      <c r="F446" s="244"/>
      <c r="G446" s="244"/>
      <c r="H446" s="244"/>
      <c r="I446" s="244"/>
      <c r="J446" s="244"/>
      <c r="K446" s="244"/>
      <c r="L446" s="244"/>
      <c r="M446" s="244"/>
      <c r="N446" s="244"/>
      <c r="O446" s="244"/>
      <c r="P446" s="244"/>
      <c r="Q446" s="308"/>
      <c r="S446" s="244"/>
      <c r="T446" s="244"/>
      <c r="U446" s="244"/>
      <c r="V446" s="102" t="s">
        <v>59</v>
      </c>
      <c r="W446" s="284" t="s">
        <v>232</v>
      </c>
      <c r="X446" s="277"/>
      <c r="Y446" s="277"/>
      <c r="Z446" s="278">
        <f t="shared" si="105"/>
        <v>2825</v>
      </c>
      <c r="AA446" s="277"/>
      <c r="AB446" s="277"/>
      <c r="AC446" s="278"/>
      <c r="AD446" s="286"/>
      <c r="AE446" s="285"/>
      <c r="AF446" s="278">
        <f t="shared" si="106"/>
        <v>176.52999999999997</v>
      </c>
      <c r="AG446" s="279"/>
      <c r="AH446" s="280">
        <f t="shared" si="101"/>
        <v>-2648.4700000000003</v>
      </c>
      <c r="AI446" s="281">
        <f t="shared" si="107"/>
        <v>-0.93751150442477882</v>
      </c>
      <c r="AJ446" s="286"/>
      <c r="AK446" s="277"/>
      <c r="AL446" s="278">
        <f t="shared" si="108"/>
        <v>847.46</v>
      </c>
      <c r="AM446" s="282"/>
      <c r="AN446" s="280">
        <f t="shared" si="103"/>
        <v>-670.93000000000006</v>
      </c>
      <c r="AO446" s="287">
        <f t="shared" si="104"/>
        <v>-0.79169518325348698</v>
      </c>
      <c r="AP446" s="244"/>
      <c r="AQ446" s="244">
        <v>177</v>
      </c>
      <c r="AR446" s="244"/>
      <c r="AS446" s="244"/>
      <c r="AT446" s="244"/>
      <c r="AU446" s="244"/>
      <c r="AV446" s="244"/>
      <c r="AW446" s="244"/>
      <c r="AX446" s="244"/>
      <c r="AY446" s="244"/>
      <c r="AZ446" s="244"/>
      <c r="BA446" s="244"/>
      <c r="BB446" s="244"/>
      <c r="BC446" s="244"/>
      <c r="BD446" s="244"/>
      <c r="BE446" s="244"/>
      <c r="BF446" s="244"/>
      <c r="BG446" s="244"/>
      <c r="BH446" s="244"/>
      <c r="BI446" s="244"/>
      <c r="BJ446" s="244"/>
    </row>
    <row r="447" spans="1:62" ht="17.399999999999999">
      <c r="A447" t="str">
        <f t="shared" si="109"/>
        <v>Divers</v>
      </c>
      <c r="B447" s="7"/>
      <c r="C447" s="244"/>
      <c r="D447" s="244"/>
      <c r="E447" s="244"/>
      <c r="F447" s="244"/>
      <c r="G447" s="244"/>
      <c r="H447" s="244"/>
      <c r="I447" s="244"/>
      <c r="J447" s="244"/>
      <c r="K447" s="244"/>
      <c r="L447" s="244"/>
      <c r="M447" s="244"/>
      <c r="N447" s="244"/>
      <c r="O447" s="244"/>
      <c r="P447" s="244"/>
      <c r="Q447" s="308"/>
      <c r="R447" s="244"/>
      <c r="S447" s="244"/>
      <c r="T447" s="244"/>
      <c r="U447" s="244"/>
      <c r="V447" s="102" t="s">
        <v>60</v>
      </c>
      <c r="W447" s="284" t="s">
        <v>233</v>
      </c>
      <c r="X447" s="277"/>
      <c r="Y447" s="285"/>
      <c r="Z447" s="278">
        <f t="shared" si="105"/>
        <v>1554.9999999999998</v>
      </c>
      <c r="AA447" s="277"/>
      <c r="AB447" s="285"/>
      <c r="AC447" s="278"/>
      <c r="AD447" s="286"/>
      <c r="AE447" s="285"/>
      <c r="AF447" s="278">
        <f t="shared" si="106"/>
        <v>2129.7800000000002</v>
      </c>
      <c r="AG447" s="279"/>
      <c r="AH447" s="280">
        <f t="shared" si="101"/>
        <v>574.78000000000043</v>
      </c>
      <c r="AI447" s="304">
        <f t="shared" si="107"/>
        <v>0.36963344051446978</v>
      </c>
      <c r="AJ447" s="286"/>
      <c r="AK447" s="277"/>
      <c r="AL447" s="278">
        <f t="shared" si="108"/>
        <v>1692.24</v>
      </c>
      <c r="AM447" s="282"/>
      <c r="AN447" s="280">
        <f t="shared" si="103"/>
        <v>437.54000000000019</v>
      </c>
      <c r="AO447" s="287">
        <f t="shared" si="104"/>
        <v>0.25855670590459995</v>
      </c>
      <c r="AP447" s="244"/>
      <c r="AQ447" s="244">
        <v>2130</v>
      </c>
      <c r="AR447" s="480" t="s">
        <v>287</v>
      </c>
      <c r="AS447" s="244"/>
      <c r="AT447" s="244"/>
      <c r="AU447" s="244"/>
      <c r="AV447" s="244"/>
      <c r="AW447" s="244"/>
      <c r="AX447" s="244"/>
      <c r="AY447" s="244"/>
      <c r="AZ447" s="244"/>
      <c r="BA447" s="244"/>
      <c r="BB447" s="244"/>
      <c r="BC447" s="244"/>
      <c r="BD447" s="244"/>
      <c r="BE447" s="244"/>
      <c r="BF447" s="244"/>
      <c r="BG447" s="244"/>
      <c r="BH447" s="244"/>
      <c r="BI447" s="244"/>
      <c r="BJ447" s="244"/>
    </row>
    <row r="448" spans="1:62" ht="17.399999999999999">
      <c r="A448" t="str">
        <f t="shared" si="109"/>
        <v>Formation</v>
      </c>
      <c r="B448" s="7"/>
      <c r="C448" s="244"/>
      <c r="D448" s="244"/>
      <c r="E448" s="244"/>
      <c r="F448" s="244"/>
      <c r="G448" s="244"/>
      <c r="H448" s="244"/>
      <c r="I448" s="244"/>
      <c r="J448" s="244"/>
      <c r="K448" s="244"/>
      <c r="L448" s="244"/>
      <c r="M448" s="244"/>
      <c r="N448" s="244"/>
      <c r="O448" s="244"/>
      <c r="P448" s="244"/>
      <c r="Q448" s="308"/>
      <c r="R448" s="244"/>
      <c r="S448" s="244"/>
      <c r="T448" s="244"/>
      <c r="U448" s="244"/>
      <c r="V448" s="102" t="s">
        <v>61</v>
      </c>
      <c r="W448" s="284" t="s">
        <v>234</v>
      </c>
      <c r="X448" s="277"/>
      <c r="Y448" s="285"/>
      <c r="Z448" s="278">
        <f t="shared" si="105"/>
        <v>2370.6533333333336</v>
      </c>
      <c r="AA448" s="277"/>
      <c r="AB448" s="285"/>
      <c r="AC448" s="278"/>
      <c r="AD448" s="286"/>
      <c r="AE448" s="285"/>
      <c r="AF448" s="278">
        <f t="shared" si="106"/>
        <v>690.43999999999983</v>
      </c>
      <c r="AG448" s="279"/>
      <c r="AH448" s="280">
        <f t="shared" si="101"/>
        <v>-1680.2133333333338</v>
      </c>
      <c r="AI448" s="281">
        <f t="shared" si="107"/>
        <v>-0.70875539232504126</v>
      </c>
      <c r="AJ448" s="286"/>
      <c r="AK448" s="277"/>
      <c r="AL448" s="278">
        <f t="shared" si="108"/>
        <v>674.31999999999994</v>
      </c>
      <c r="AM448" s="282"/>
      <c r="AN448" s="280">
        <f t="shared" si="103"/>
        <v>16.119999999999891</v>
      </c>
      <c r="AO448" s="287">
        <f t="shared" si="104"/>
        <v>2.3905564123857949E-2</v>
      </c>
      <c r="AP448" s="244"/>
      <c r="AQ448" s="244">
        <v>690</v>
      </c>
      <c r="AR448" s="244"/>
      <c r="AS448" s="244"/>
      <c r="AT448" s="244"/>
      <c r="AU448" s="244"/>
      <c r="AV448" s="244"/>
      <c r="AW448" s="244"/>
      <c r="AX448" s="244"/>
      <c r="AY448" s="244"/>
      <c r="AZ448" s="244"/>
      <c r="BA448" s="244"/>
      <c r="BB448" s="244"/>
      <c r="BC448" s="244"/>
      <c r="BD448" s="244"/>
      <c r="BE448" s="244"/>
      <c r="BF448" s="244"/>
      <c r="BG448" s="244"/>
      <c r="BH448" s="244"/>
      <c r="BI448" s="244"/>
      <c r="BJ448" s="244"/>
    </row>
    <row r="449" spans="1:62" ht="17.399999999999999">
      <c r="A449" t="str">
        <f t="shared" si="109"/>
        <v>Frais bancaires</v>
      </c>
      <c r="B449" s="7"/>
      <c r="C449" s="244"/>
      <c r="D449" s="244"/>
      <c r="E449" s="244"/>
      <c r="F449" s="244"/>
      <c r="G449" s="244"/>
      <c r="H449" s="244"/>
      <c r="I449" s="244"/>
      <c r="J449" s="244"/>
      <c r="K449" s="244"/>
      <c r="L449" s="244"/>
      <c r="M449" s="244"/>
      <c r="N449" s="244"/>
      <c r="O449" s="244"/>
      <c r="P449" s="244"/>
      <c r="Q449" s="308"/>
      <c r="R449" s="244"/>
      <c r="S449" s="244"/>
      <c r="T449" s="244"/>
      <c r="U449" s="244"/>
      <c r="V449" s="102" t="s">
        <v>62</v>
      </c>
      <c r="W449" s="284" t="s">
        <v>235</v>
      </c>
      <c r="X449" s="277"/>
      <c r="Y449" s="285">
        <f>Z449/Z407</f>
        <v>1.8110481389125993E-3</v>
      </c>
      <c r="Z449" s="278">
        <f t="shared" si="105"/>
        <v>9562.1964573080531</v>
      </c>
      <c r="AA449" s="277"/>
      <c r="AB449" s="285"/>
      <c r="AC449" s="278"/>
      <c r="AD449" s="286"/>
      <c r="AE449" s="285"/>
      <c r="AF449" s="278">
        <f t="shared" si="106"/>
        <v>6966.4400000000005</v>
      </c>
      <c r="AG449" s="279"/>
      <c r="AH449" s="280">
        <f t="shared" si="101"/>
        <v>-2595.7564573080526</v>
      </c>
      <c r="AI449" s="281">
        <f t="shared" si="107"/>
        <v>-0.27146027263685912</v>
      </c>
      <c r="AJ449" s="286"/>
      <c r="AK449" s="277"/>
      <c r="AL449" s="278">
        <f t="shared" si="108"/>
        <v>3383.05</v>
      </c>
      <c r="AM449" s="282"/>
      <c r="AN449" s="280">
        <f t="shared" si="103"/>
        <v>3583.3900000000003</v>
      </c>
      <c r="AO449" s="287">
        <f t="shared" si="104"/>
        <v>1.0592187523093066</v>
      </c>
      <c r="AP449" s="244"/>
      <c r="AQ449" s="244">
        <v>6966</v>
      </c>
      <c r="AR449" s="244"/>
      <c r="AS449" s="244"/>
      <c r="AT449" s="244"/>
      <c r="AU449" s="244"/>
      <c r="AV449" s="244"/>
      <c r="AW449" s="244"/>
      <c r="AX449" s="244"/>
      <c r="AY449" s="244"/>
      <c r="AZ449" s="244"/>
      <c r="BA449" s="244"/>
      <c r="BB449" s="244"/>
      <c r="BC449" s="244"/>
      <c r="BD449" s="244"/>
      <c r="BE449" s="244"/>
      <c r="BF449" s="244"/>
      <c r="BG449" s="244"/>
      <c r="BH449" s="244"/>
      <c r="BI449" s="244"/>
      <c r="BJ449" s="244"/>
    </row>
    <row r="450" spans="1:62" ht="18" hidden="1" customHeight="1">
      <c r="A450" t="str">
        <f t="shared" si="109"/>
        <v>[...]</v>
      </c>
      <c r="B450" s="7"/>
      <c r="C450" s="244"/>
      <c r="D450" s="244"/>
      <c r="E450" s="244"/>
      <c r="F450" s="244"/>
      <c r="G450" s="244"/>
      <c r="H450" s="244"/>
      <c r="I450" s="244"/>
      <c r="J450" s="244"/>
      <c r="K450" s="244"/>
      <c r="L450" s="244"/>
      <c r="M450" s="244"/>
      <c r="N450" s="244"/>
      <c r="O450" s="244"/>
      <c r="P450" s="244"/>
      <c r="Q450" s="308"/>
      <c r="R450" s="244"/>
      <c r="S450" s="244"/>
      <c r="T450" s="244"/>
      <c r="U450" s="244"/>
      <c r="V450" s="102" t="s">
        <v>19</v>
      </c>
      <c r="W450" s="284"/>
      <c r="X450" s="277"/>
      <c r="Y450" s="285"/>
      <c r="Z450" s="280">
        <f t="shared" ref="Z450:Z452" si="110">IFERROR(SUMIF($C:$C,$V450,F:F),0)</f>
        <v>0</v>
      </c>
      <c r="AA450" s="277"/>
      <c r="AB450" s="277"/>
      <c r="AC450" s="280"/>
      <c r="AD450" s="286"/>
      <c r="AE450" s="285"/>
      <c r="AF450" s="278">
        <f t="shared" si="106"/>
        <v>0</v>
      </c>
      <c r="AG450" s="279"/>
      <c r="AH450" s="280">
        <f t="shared" si="101"/>
        <v>0</v>
      </c>
      <c r="AI450" s="281">
        <f t="shared" si="107"/>
        <v>0</v>
      </c>
      <c r="AJ450" s="286"/>
      <c r="AK450" s="277"/>
      <c r="AL450" s="278">
        <f t="shared" ref="AL450:AL452" si="111">IFERROR(SUMIF($C:$C,$V450,Q:Q),0)</f>
        <v>0</v>
      </c>
      <c r="AM450" s="282"/>
      <c r="AN450" s="280">
        <f t="shared" si="103"/>
        <v>0</v>
      </c>
      <c r="AO450" s="287">
        <f t="shared" si="104"/>
        <v>0</v>
      </c>
      <c r="AP450" s="244"/>
      <c r="AQ450" s="244"/>
      <c r="AR450" s="244"/>
      <c r="AS450" s="244"/>
      <c r="AT450" s="244"/>
      <c r="AU450" s="244"/>
      <c r="AV450" s="244"/>
      <c r="AW450" s="244"/>
      <c r="AX450" s="244"/>
      <c r="AY450" s="244"/>
      <c r="AZ450" s="244"/>
      <c r="BA450" s="244"/>
      <c r="BB450" s="244"/>
      <c r="BC450" s="244"/>
      <c r="BD450" s="244"/>
      <c r="BE450" s="244"/>
      <c r="BF450" s="244"/>
      <c r="BG450" s="244"/>
      <c r="BH450" s="244"/>
      <c r="BI450" s="244"/>
      <c r="BJ450" s="244"/>
    </row>
    <row r="451" spans="1:62" ht="18" hidden="1" customHeight="1">
      <c r="A451" t="str">
        <f t="shared" si="109"/>
        <v>[...]</v>
      </c>
      <c r="B451" s="7"/>
      <c r="C451" s="244"/>
      <c r="D451" s="244"/>
      <c r="E451" s="244"/>
      <c r="F451" s="244"/>
      <c r="G451" s="244"/>
      <c r="H451" s="244"/>
      <c r="I451" s="244"/>
      <c r="J451" s="244"/>
      <c r="K451" s="244"/>
      <c r="L451" s="244"/>
      <c r="M451" s="244"/>
      <c r="N451" s="244"/>
      <c r="O451" s="244"/>
      <c r="P451" s="244"/>
      <c r="Q451" s="308"/>
      <c r="R451" s="244"/>
      <c r="S451" s="244"/>
      <c r="T451" s="244"/>
      <c r="U451" s="244"/>
      <c r="V451" s="102" t="s">
        <v>19</v>
      </c>
      <c r="W451" s="284"/>
      <c r="X451" s="277"/>
      <c r="Y451" s="285"/>
      <c r="Z451" s="280">
        <f t="shared" si="110"/>
        <v>0</v>
      </c>
      <c r="AA451" s="277"/>
      <c r="AB451" s="277"/>
      <c r="AC451" s="280"/>
      <c r="AD451" s="286"/>
      <c r="AE451" s="285"/>
      <c r="AF451" s="278">
        <f t="shared" si="106"/>
        <v>0</v>
      </c>
      <c r="AG451" s="279"/>
      <c r="AH451" s="280">
        <f t="shared" si="101"/>
        <v>0</v>
      </c>
      <c r="AI451" s="281">
        <f t="shared" si="107"/>
        <v>0</v>
      </c>
      <c r="AJ451" s="286"/>
      <c r="AK451" s="277"/>
      <c r="AL451" s="278">
        <f t="shared" si="111"/>
        <v>0</v>
      </c>
      <c r="AM451" s="282"/>
      <c r="AN451" s="280">
        <f t="shared" si="103"/>
        <v>0</v>
      </c>
      <c r="AO451" s="287">
        <f t="shared" si="104"/>
        <v>0</v>
      </c>
      <c r="AP451" s="244"/>
      <c r="AQ451" s="244"/>
      <c r="AR451" s="244"/>
      <c r="AS451" s="244"/>
      <c r="AT451" s="244"/>
      <c r="AU451" s="244"/>
      <c r="AV451" s="244"/>
      <c r="AW451" s="244"/>
      <c r="AX451" s="244"/>
      <c r="AY451" s="244"/>
      <c r="AZ451" s="244"/>
      <c r="BA451" s="244"/>
      <c r="BB451" s="244"/>
      <c r="BC451" s="244"/>
      <c r="BD451" s="244"/>
      <c r="BE451" s="244"/>
      <c r="BF451" s="244"/>
      <c r="BG451" s="244"/>
      <c r="BH451" s="244"/>
      <c r="BI451" s="244"/>
      <c r="BJ451" s="244"/>
    </row>
    <row r="452" spans="1:62" ht="18" hidden="1" customHeight="1">
      <c r="A452" t="str">
        <f t="shared" si="109"/>
        <v>[...]</v>
      </c>
      <c r="B452" s="7"/>
      <c r="C452" s="244"/>
      <c r="D452" s="244"/>
      <c r="E452" s="244"/>
      <c r="F452" s="244"/>
      <c r="G452" s="244"/>
      <c r="H452" s="244"/>
      <c r="I452" s="244"/>
      <c r="J452" s="244"/>
      <c r="K452" s="244"/>
      <c r="L452" s="244"/>
      <c r="M452" s="244"/>
      <c r="N452" s="244"/>
      <c r="O452" s="244"/>
      <c r="P452" s="327"/>
      <c r="Q452" s="308"/>
      <c r="R452" s="244"/>
      <c r="S452" s="244"/>
      <c r="T452" s="244"/>
      <c r="U452" s="244"/>
      <c r="V452" s="102" t="s">
        <v>19</v>
      </c>
      <c r="W452" s="284"/>
      <c r="X452" s="277"/>
      <c r="Y452" s="285"/>
      <c r="Z452" s="280">
        <f t="shared" si="110"/>
        <v>0</v>
      </c>
      <c r="AA452" s="277"/>
      <c r="AB452" s="277"/>
      <c r="AC452" s="280"/>
      <c r="AD452" s="286"/>
      <c r="AE452" s="285"/>
      <c r="AF452" s="278">
        <f t="shared" si="106"/>
        <v>0</v>
      </c>
      <c r="AG452" s="279"/>
      <c r="AH452" s="280">
        <f t="shared" si="101"/>
        <v>0</v>
      </c>
      <c r="AI452" s="281">
        <f t="shared" si="107"/>
        <v>0</v>
      </c>
      <c r="AJ452" s="286"/>
      <c r="AK452" s="277"/>
      <c r="AL452" s="278">
        <f t="shared" si="111"/>
        <v>0</v>
      </c>
      <c r="AM452" s="282"/>
      <c r="AN452" s="280">
        <f t="shared" si="103"/>
        <v>0</v>
      </c>
      <c r="AO452" s="287">
        <f t="shared" si="104"/>
        <v>0</v>
      </c>
      <c r="AP452" s="244"/>
      <c r="AQ452" s="244"/>
      <c r="AR452" s="244"/>
      <c r="AS452" s="244"/>
      <c r="AT452" s="244"/>
      <c r="AU452" s="244"/>
      <c r="AV452" s="244"/>
      <c r="AW452" s="244"/>
      <c r="AX452" s="244"/>
      <c r="AY452" s="244"/>
      <c r="AZ452" s="244"/>
      <c r="BA452" s="244"/>
      <c r="BB452" s="244"/>
      <c r="BC452" s="244"/>
      <c r="BD452" s="244"/>
      <c r="BE452" s="244"/>
      <c r="BF452" s="244"/>
      <c r="BG452" s="244"/>
      <c r="BH452" s="244"/>
      <c r="BI452" s="244"/>
      <c r="BJ452" s="244"/>
    </row>
    <row r="453" spans="1:62" ht="17.399999999999999">
      <c r="A453" t="str">
        <f t="shared" si="109"/>
        <v>TOTAL SEMI-FIXES</v>
      </c>
      <c r="B453" s="7"/>
      <c r="C453" s="244"/>
      <c r="D453" s="244"/>
      <c r="E453" s="244"/>
      <c r="F453" s="244"/>
      <c r="G453" s="244"/>
      <c r="H453" s="244"/>
      <c r="I453" s="244"/>
      <c r="J453" s="244"/>
      <c r="K453" s="244"/>
      <c r="L453" s="244"/>
      <c r="M453" s="244"/>
      <c r="N453" s="244"/>
      <c r="O453" s="244"/>
      <c r="P453" s="244"/>
      <c r="Q453" s="308"/>
      <c r="R453" s="244"/>
      <c r="S453" s="244"/>
      <c r="T453" s="244"/>
      <c r="U453" s="244"/>
      <c r="V453" s="294" t="s">
        <v>63</v>
      </c>
      <c r="W453" s="328"/>
      <c r="X453" s="296">
        <f>Z453/+Z408</f>
        <v>0.16174335063500331</v>
      </c>
      <c r="Y453" s="295"/>
      <c r="Z453" s="297">
        <f>+SUM(Z435:Z452)</f>
        <v>80362.703437653036</v>
      </c>
      <c r="AA453" s="296"/>
      <c r="AB453" s="295"/>
      <c r="AC453" s="297"/>
      <c r="AD453" s="298">
        <f>AF453/AF408</f>
        <v>0.17456611779178127</v>
      </c>
      <c r="AE453" s="295"/>
      <c r="AF453" s="297">
        <f>+SUM(AF435:AF452)</f>
        <v>97155.520000000019</v>
      </c>
      <c r="AG453" s="306"/>
      <c r="AH453" s="300">
        <f>+SUM(AH435:AH452)</f>
        <v>16792.816562346961</v>
      </c>
      <c r="AI453" s="296">
        <f>AH453/Z453</f>
        <v>0.2089628128970942</v>
      </c>
      <c r="AJ453" s="298">
        <f>IF($AL$408=0,0,AL453/$AL$408)</f>
        <v>0.19421645501633705</v>
      </c>
      <c r="AK453" s="296"/>
      <c r="AL453" s="297">
        <f>+SUM(AL435:AL452)</f>
        <v>61881.679999999993</v>
      </c>
      <c r="AM453" s="307"/>
      <c r="AN453" s="300">
        <f>+SUM(AN435:AN452)</f>
        <v>35273.840000000004</v>
      </c>
      <c r="AO453" s="329">
        <f t="shared" si="104"/>
        <v>0.57002072341927379</v>
      </c>
      <c r="AP453" s="244"/>
      <c r="AQ453" s="308">
        <f>SUM(AQ435:AQ449)-AF453</f>
        <v>406.47999999998137</v>
      </c>
      <c r="AR453" s="308"/>
      <c r="AS453" s="244"/>
      <c r="AT453" s="244"/>
      <c r="AU453" s="244"/>
      <c r="AV453" s="244"/>
      <c r="AW453" s="244"/>
      <c r="AX453" s="244"/>
      <c r="AY453" s="244"/>
      <c r="AZ453" s="244"/>
      <c r="BA453" s="244"/>
      <c r="BB453" s="244"/>
      <c r="BC453" s="244"/>
      <c r="BD453" s="244"/>
      <c r="BE453" s="244"/>
      <c r="BF453" s="244"/>
      <c r="BG453" s="244"/>
      <c r="BH453" s="244"/>
      <c r="BI453" s="244"/>
      <c r="BJ453" s="244"/>
    </row>
    <row r="454" spans="1:62" ht="17.399999999999999">
      <c r="A454" t="str">
        <f t="shared" si="109"/>
        <v>Loyer</v>
      </c>
      <c r="B454" s="7"/>
      <c r="C454" s="244"/>
      <c r="D454" s="244"/>
      <c r="E454" s="244"/>
      <c r="F454" s="244"/>
      <c r="G454" s="244"/>
      <c r="H454" s="244"/>
      <c r="I454" s="244"/>
      <c r="J454" s="244"/>
      <c r="K454" s="244"/>
      <c r="L454" s="244"/>
      <c r="M454" s="244"/>
      <c r="N454" s="244"/>
      <c r="O454" s="244"/>
      <c r="P454" s="244"/>
      <c r="Q454" s="244"/>
      <c r="R454" s="244"/>
      <c r="S454" s="244"/>
      <c r="T454" s="244"/>
      <c r="U454" s="244"/>
      <c r="V454" s="102" t="s">
        <v>157</v>
      </c>
      <c r="W454" s="284" t="s">
        <v>158</v>
      </c>
      <c r="X454" s="277"/>
      <c r="Y454" s="285"/>
      <c r="Z454" s="278">
        <v>50000</v>
      </c>
      <c r="AA454" s="277"/>
      <c r="AB454" s="285"/>
      <c r="AC454" s="278"/>
      <c r="AD454" s="286"/>
      <c r="AE454" s="285"/>
      <c r="AF454" s="278">
        <v>50000</v>
      </c>
      <c r="AG454" s="279"/>
      <c r="AH454" s="280">
        <f t="shared" ref="AH454:AH462" si="112">AF454-Z454</f>
        <v>0</v>
      </c>
      <c r="AI454" s="281">
        <f t="shared" ref="AI454:AI462" si="113">IF(Z454=0,0,AH454/Z454)</f>
        <v>0</v>
      </c>
      <c r="AJ454" s="286"/>
      <c r="AK454" s="277"/>
      <c r="AL454" s="278">
        <v>50000</v>
      </c>
      <c r="AM454" s="282"/>
      <c r="AN454" s="280">
        <f t="shared" ref="AN454:AN462" si="114">AF454-AL454</f>
        <v>0</v>
      </c>
      <c r="AO454" s="287">
        <f t="shared" si="104"/>
        <v>0</v>
      </c>
      <c r="AP454" s="244"/>
      <c r="AQ454" s="494">
        <v>50000</v>
      </c>
      <c r="AR454" s="308"/>
      <c r="AS454" s="244"/>
      <c r="AT454" s="244"/>
      <c r="AU454" s="244"/>
      <c r="AV454" s="244"/>
      <c r="AW454" s="244"/>
      <c r="AX454" s="244"/>
      <c r="AY454" s="244"/>
      <c r="AZ454" s="244"/>
      <c r="BA454" s="244"/>
      <c r="BB454" s="244"/>
      <c r="BC454" s="244"/>
      <c r="BD454" s="244"/>
      <c r="BE454" s="244"/>
      <c r="BF454" s="244"/>
      <c r="BG454" s="244"/>
      <c r="BH454" s="244"/>
      <c r="BI454" s="244"/>
      <c r="BJ454" s="244"/>
    </row>
    <row r="455" spans="1:62" ht="17.399999999999999">
      <c r="A455" t="str">
        <f t="shared" si="109"/>
        <v>Taxes foncières</v>
      </c>
      <c r="B455" s="7"/>
      <c r="C455" s="244"/>
      <c r="D455" s="244"/>
      <c r="E455" s="244"/>
      <c r="F455" s="244"/>
      <c r="G455" s="244"/>
      <c r="H455" s="244"/>
      <c r="I455" s="244"/>
      <c r="J455" s="244"/>
      <c r="K455" s="244"/>
      <c r="L455" s="244"/>
      <c r="M455" s="244"/>
      <c r="N455" s="244"/>
      <c r="O455" s="244"/>
      <c r="P455" s="244"/>
      <c r="Q455" s="244"/>
      <c r="R455" s="244"/>
      <c r="S455" s="244"/>
      <c r="T455" s="244"/>
      <c r="U455" s="244"/>
      <c r="V455" s="102" t="s">
        <v>159</v>
      </c>
      <c r="W455" s="284" t="s">
        <v>160</v>
      </c>
      <c r="X455" s="277"/>
      <c r="Y455" s="285"/>
      <c r="Z455" s="278">
        <v>6346.5300000000007</v>
      </c>
      <c r="AA455" s="277"/>
      <c r="AB455" s="285"/>
      <c r="AC455" s="278"/>
      <c r="AD455" s="286"/>
      <c r="AE455" s="285"/>
      <c r="AF455" s="278">
        <v>6134.99</v>
      </c>
      <c r="AG455" s="279"/>
      <c r="AH455" s="280">
        <f t="shared" si="112"/>
        <v>-211.54000000000087</v>
      </c>
      <c r="AI455" s="281">
        <f t="shared" si="113"/>
        <v>-3.3331600102733436E-2</v>
      </c>
      <c r="AJ455" s="286"/>
      <c r="AK455" s="277"/>
      <c r="AL455" s="278">
        <v>6166.7999999999993</v>
      </c>
      <c r="AM455" s="282"/>
      <c r="AN455" s="280">
        <f t="shared" si="114"/>
        <v>-31.809999999999491</v>
      </c>
      <c r="AO455" s="287">
        <f t="shared" si="104"/>
        <v>-5.1582668482842795E-3</v>
      </c>
      <c r="AP455" s="244"/>
      <c r="AQ455" s="494">
        <v>6135</v>
      </c>
      <c r="AR455" s="308"/>
      <c r="AS455" s="244"/>
      <c r="AT455" s="244"/>
      <c r="AU455" s="244"/>
      <c r="AV455" s="244"/>
      <c r="AW455" s="244"/>
      <c r="AX455" s="244"/>
      <c r="AY455" s="244"/>
      <c r="AZ455" s="244"/>
      <c r="BA455" s="244"/>
      <c r="BB455" s="244"/>
      <c r="BC455" s="244"/>
      <c r="BD455" s="244"/>
      <c r="BE455" s="244"/>
      <c r="BF455" s="244"/>
      <c r="BG455" s="244"/>
      <c r="BH455" s="244"/>
      <c r="BI455" s="244"/>
      <c r="BJ455" s="244"/>
    </row>
    <row r="456" spans="1:62" ht="17.399999999999999">
      <c r="A456" t="str">
        <f t="shared" si="109"/>
        <v>Taxes d`affaires</v>
      </c>
      <c r="B456" s="7"/>
      <c r="C456" s="244"/>
      <c r="D456" s="244"/>
      <c r="E456" s="244"/>
      <c r="F456" s="244"/>
      <c r="G456" s="244"/>
      <c r="H456" s="244"/>
      <c r="I456" s="244"/>
      <c r="J456" s="244"/>
      <c r="K456" s="244"/>
      <c r="L456" s="244"/>
      <c r="M456" s="244"/>
      <c r="N456" s="244"/>
      <c r="O456" s="244"/>
      <c r="P456" s="244"/>
      <c r="Q456" s="244"/>
      <c r="R456" s="244"/>
      <c r="S456" s="244"/>
      <c r="T456" s="244"/>
      <c r="U456" s="244"/>
      <c r="V456" s="103" t="s">
        <v>161</v>
      </c>
      <c r="W456" s="288" t="s">
        <v>162</v>
      </c>
      <c r="X456" s="261"/>
      <c r="Y456" s="289"/>
      <c r="Z456" s="262">
        <v>2719.9400000000005</v>
      </c>
      <c r="AA456" s="261"/>
      <c r="AB456" s="289"/>
      <c r="AC456" s="262"/>
      <c r="AD456" s="290"/>
      <c r="AE456" s="289"/>
      <c r="AF456" s="262">
        <v>2629.28</v>
      </c>
      <c r="AG456" s="263"/>
      <c r="AH456" s="264">
        <f t="shared" si="112"/>
        <v>-90.660000000000309</v>
      </c>
      <c r="AI456" s="291">
        <f t="shared" si="113"/>
        <v>-3.3331617609212078E-2</v>
      </c>
      <c r="AJ456" s="290"/>
      <c r="AK456" s="261"/>
      <c r="AL456" s="262">
        <v>2642.92</v>
      </c>
      <c r="AM456" s="266"/>
      <c r="AN456" s="264">
        <f t="shared" si="114"/>
        <v>-13.639999999999873</v>
      </c>
      <c r="AO456" s="267">
        <f t="shared" si="104"/>
        <v>-5.160958333963901E-3</v>
      </c>
      <c r="AP456" s="244"/>
      <c r="AQ456" s="494">
        <v>2629</v>
      </c>
      <c r="AR456" s="308"/>
      <c r="AS456" s="244"/>
      <c r="AT456" s="244"/>
      <c r="AU456" s="244"/>
      <c r="AV456" s="244"/>
      <c r="AW456" s="244"/>
      <c r="AX456" s="244"/>
      <c r="AY456" s="244"/>
      <c r="AZ456" s="244"/>
      <c r="BA456" s="244"/>
      <c r="BB456" s="244"/>
      <c r="BC456" s="244"/>
      <c r="BD456" s="244"/>
      <c r="BE456" s="244"/>
      <c r="BF456" s="244"/>
      <c r="BG456" s="244"/>
      <c r="BH456" s="244"/>
      <c r="BI456" s="244"/>
      <c r="BJ456" s="244"/>
    </row>
    <row r="457" spans="1:62" ht="18" hidden="1" customHeight="1">
      <c r="A457" t="str">
        <f t="shared" si="109"/>
        <v>Taxe sur le capital</v>
      </c>
      <c r="B457" s="7"/>
      <c r="C457" s="244"/>
      <c r="D457" s="244"/>
      <c r="E457" s="244"/>
      <c r="F457" s="244"/>
      <c r="G457" s="244"/>
      <c r="H457" s="244"/>
      <c r="I457" s="244"/>
      <c r="J457" s="244"/>
      <c r="K457" s="244"/>
      <c r="L457" s="244"/>
      <c r="M457" s="244"/>
      <c r="N457" s="244"/>
      <c r="O457" s="244"/>
      <c r="P457" s="244"/>
      <c r="Q457" s="244"/>
      <c r="R457" s="244"/>
      <c r="S457" s="244"/>
      <c r="T457" s="244"/>
      <c r="U457" s="244"/>
      <c r="V457" s="102" t="s">
        <v>163</v>
      </c>
      <c r="W457" s="284"/>
      <c r="X457" s="277"/>
      <c r="Y457" s="285"/>
      <c r="Z457" s="278">
        <v>0</v>
      </c>
      <c r="AA457" s="277"/>
      <c r="AB457" s="285"/>
      <c r="AC457" s="278"/>
      <c r="AD457" s="286"/>
      <c r="AE457" s="285"/>
      <c r="AF457" s="278">
        <v>0</v>
      </c>
      <c r="AG457" s="279"/>
      <c r="AH457" s="280">
        <f t="shared" si="112"/>
        <v>0</v>
      </c>
      <c r="AI457" s="281">
        <f t="shared" si="113"/>
        <v>0</v>
      </c>
      <c r="AJ457" s="286"/>
      <c r="AK457" s="277"/>
      <c r="AL457" s="278">
        <v>0</v>
      </c>
      <c r="AM457" s="282"/>
      <c r="AN457" s="280">
        <f t="shared" si="114"/>
        <v>0</v>
      </c>
      <c r="AO457" s="287">
        <f t="shared" si="104"/>
        <v>0</v>
      </c>
      <c r="AP457" s="244"/>
      <c r="AQ457" s="244"/>
      <c r="AR457" s="308"/>
      <c r="AS457" s="244"/>
      <c r="AT457" s="244"/>
      <c r="AU457" s="244"/>
      <c r="AV457" s="244"/>
      <c r="AW457" s="244"/>
      <c r="AX457" s="244"/>
      <c r="AY457" s="244"/>
      <c r="AZ457" s="244"/>
      <c r="BA457" s="244"/>
      <c r="BB457" s="244"/>
      <c r="BC457" s="244"/>
      <c r="BD457" s="244"/>
      <c r="BE457" s="244"/>
      <c r="BF457" s="244"/>
      <c r="BG457" s="244"/>
      <c r="BH457" s="244"/>
      <c r="BI457" s="244"/>
      <c r="BJ457" s="244"/>
    </row>
    <row r="458" spans="1:62" ht="17.399999999999999">
      <c r="A458" t="str">
        <f t="shared" si="109"/>
        <v>Assurances</v>
      </c>
      <c r="B458" s="7"/>
      <c r="C458" s="244"/>
      <c r="D458" s="244"/>
      <c r="E458" s="244"/>
      <c r="F458" s="244"/>
      <c r="G458" s="244"/>
      <c r="H458" s="244"/>
      <c r="I458" s="244"/>
      <c r="J458" s="244"/>
      <c r="K458" s="244"/>
      <c r="L458" s="244"/>
      <c r="M458" s="244"/>
      <c r="N458" s="244"/>
      <c r="O458" s="244"/>
      <c r="P458" s="244"/>
      <c r="Q458" s="244"/>
      <c r="R458" s="244"/>
      <c r="S458" s="244"/>
      <c r="T458" s="244"/>
      <c r="U458" s="244"/>
      <c r="V458" s="103" t="s">
        <v>164</v>
      </c>
      <c r="W458" s="288" t="s">
        <v>165</v>
      </c>
      <c r="X458" s="261"/>
      <c r="Y458" s="289"/>
      <c r="Z458" s="262">
        <v>3571.166666666667</v>
      </c>
      <c r="AA458" s="261"/>
      <c r="AB458" s="289"/>
      <c r="AC458" s="262"/>
      <c r="AD458" s="290"/>
      <c r="AE458" s="289"/>
      <c r="AF458" s="262">
        <v>3571.16</v>
      </c>
      <c r="AG458" s="263"/>
      <c r="AH458" s="264">
        <f t="shared" si="112"/>
        <v>-6.6666666671153507E-3</v>
      </c>
      <c r="AI458" s="291">
        <f t="shared" si="113"/>
        <v>-1.8668035657204508E-6</v>
      </c>
      <c r="AJ458" s="290"/>
      <c r="AK458" s="261"/>
      <c r="AL458" s="262">
        <v>4853.83</v>
      </c>
      <c r="AM458" s="266"/>
      <c r="AN458" s="264">
        <f t="shared" si="114"/>
        <v>-1282.67</v>
      </c>
      <c r="AO458" s="267">
        <f t="shared" si="104"/>
        <v>-0.26425935807393341</v>
      </c>
      <c r="AP458" s="244"/>
      <c r="AQ458" s="494">
        <v>3571</v>
      </c>
      <c r="AR458" s="308"/>
      <c r="AS458" s="244"/>
      <c r="AT458" s="244"/>
      <c r="AU458" s="244"/>
      <c r="AV458" s="244"/>
      <c r="AW458" s="244"/>
      <c r="AX458" s="244"/>
      <c r="AY458" s="244"/>
      <c r="AZ458" s="244"/>
      <c r="BA458" s="244"/>
      <c r="BB458" s="244"/>
      <c r="BC458" s="244"/>
      <c r="BD458" s="244"/>
      <c r="BE458" s="244"/>
      <c r="BF458" s="244"/>
      <c r="BG458" s="244"/>
      <c r="BH458" s="244"/>
      <c r="BI458" s="244"/>
      <c r="BJ458" s="244"/>
    </row>
    <row r="459" spans="1:62" ht="17.399999999999999">
      <c r="A459" t="str">
        <f t="shared" si="109"/>
        <v>Chauffage, éclairage</v>
      </c>
      <c r="B459" s="7"/>
      <c r="C459" s="244"/>
      <c r="D459" s="244"/>
      <c r="E459" s="244"/>
      <c r="F459" s="244"/>
      <c r="G459" s="244"/>
      <c r="H459" s="244"/>
      <c r="I459" s="244"/>
      <c r="J459" s="244"/>
      <c r="K459" s="244"/>
      <c r="L459" s="244"/>
      <c r="M459" s="244"/>
      <c r="N459" s="244"/>
      <c r="O459" s="244"/>
      <c r="P459" s="244"/>
      <c r="Q459" s="244"/>
      <c r="R459" s="244"/>
      <c r="S459" s="244"/>
      <c r="T459" s="244"/>
      <c r="U459" s="244"/>
      <c r="V459" s="102" t="s">
        <v>166</v>
      </c>
      <c r="W459" s="284" t="s">
        <v>167</v>
      </c>
      <c r="X459" s="330"/>
      <c r="Y459" s="331"/>
      <c r="Z459" s="278">
        <v>6675</v>
      </c>
      <c r="AA459" s="330"/>
      <c r="AB459" s="331"/>
      <c r="AC459" s="278"/>
      <c r="AD459" s="286"/>
      <c r="AE459" s="285"/>
      <c r="AF459" s="278">
        <v>6260.71</v>
      </c>
      <c r="AG459" s="279"/>
      <c r="AH459" s="280">
        <f t="shared" si="112"/>
        <v>-414.28999999999996</v>
      </c>
      <c r="AI459" s="281">
        <f t="shared" si="113"/>
        <v>-6.2065917602996248E-2</v>
      </c>
      <c r="AJ459" s="286"/>
      <c r="AK459" s="277"/>
      <c r="AL459" s="278">
        <v>4994.3599999999997</v>
      </c>
      <c r="AM459" s="282"/>
      <c r="AN459" s="280">
        <f t="shared" si="114"/>
        <v>1266.3500000000004</v>
      </c>
      <c r="AO459" s="287">
        <f t="shared" si="104"/>
        <v>0.25355601118061183</v>
      </c>
      <c r="AP459" s="244"/>
      <c r="AQ459" s="244">
        <f>4761+1500</f>
        <v>6261</v>
      </c>
      <c r="AR459" s="308"/>
      <c r="AS459" s="244"/>
      <c r="AT459" s="244"/>
      <c r="AU459" s="244"/>
      <c r="AV459" s="244"/>
      <c r="AW459" s="244"/>
      <c r="AX459" s="244"/>
      <c r="AY459" s="244"/>
      <c r="AZ459" s="244"/>
      <c r="BA459" s="244"/>
      <c r="BB459" s="244"/>
      <c r="BC459" s="244"/>
      <c r="BD459" s="244"/>
      <c r="BE459" s="244"/>
      <c r="BF459" s="244"/>
      <c r="BG459" s="244"/>
      <c r="BH459" s="244"/>
      <c r="BI459" s="244"/>
      <c r="BJ459" s="244"/>
    </row>
    <row r="460" spans="1:62" ht="17.399999999999999">
      <c r="A460" t="str">
        <f t="shared" si="109"/>
        <v>Honoraires</v>
      </c>
      <c r="B460" s="7"/>
      <c r="C460" s="244"/>
      <c r="D460" s="244"/>
      <c r="E460" s="244"/>
      <c r="F460" s="244"/>
      <c r="G460" s="244"/>
      <c r="H460" s="244"/>
      <c r="I460" s="244"/>
      <c r="J460" s="244"/>
      <c r="K460" s="244"/>
      <c r="L460" s="244"/>
      <c r="M460" s="244"/>
      <c r="N460" s="244"/>
      <c r="O460" s="244"/>
      <c r="P460" s="244"/>
      <c r="Q460" s="244"/>
      <c r="R460" s="244"/>
      <c r="S460" s="244"/>
      <c r="T460" s="244"/>
      <c r="U460" s="244"/>
      <c r="V460" s="102" t="s">
        <v>168</v>
      </c>
      <c r="W460" s="284" t="s">
        <v>152</v>
      </c>
      <c r="X460" s="277"/>
      <c r="Y460" s="285"/>
      <c r="Z460" s="278">
        <v>1750</v>
      </c>
      <c r="AA460" s="277"/>
      <c r="AB460" s="285"/>
      <c r="AC460" s="278"/>
      <c r="AD460" s="286"/>
      <c r="AE460" s="285"/>
      <c r="AF460" s="278">
        <v>1500</v>
      </c>
      <c r="AG460" s="279"/>
      <c r="AH460" s="280">
        <f t="shared" si="112"/>
        <v>-250</v>
      </c>
      <c r="AI460" s="281">
        <f t="shared" si="113"/>
        <v>-0.14285714285714285</v>
      </c>
      <c r="AJ460" s="286"/>
      <c r="AK460" s="277"/>
      <c r="AL460" s="278">
        <v>6307.33</v>
      </c>
      <c r="AM460" s="282"/>
      <c r="AN460" s="280">
        <f t="shared" si="114"/>
        <v>-4807.33</v>
      </c>
      <c r="AO460" s="287">
        <f t="shared" si="104"/>
        <v>-0.76218146188640834</v>
      </c>
      <c r="AP460" s="244"/>
      <c r="AQ460" s="494">
        <f>1500</f>
        <v>1500</v>
      </c>
      <c r="AR460" s="308"/>
      <c r="AS460" s="244"/>
      <c r="AT460" s="244"/>
      <c r="AU460" s="244"/>
      <c r="AV460" s="244"/>
      <c r="AW460" s="244"/>
      <c r="AX460" s="244"/>
      <c r="AY460" s="244"/>
      <c r="AZ460" s="244"/>
      <c r="BA460" s="244"/>
      <c r="BB460" s="244"/>
      <c r="BC460" s="244"/>
      <c r="BD460" s="244"/>
      <c r="BE460" s="244"/>
      <c r="BF460" s="244"/>
      <c r="BG460" s="244"/>
      <c r="BH460" s="244"/>
      <c r="BI460" s="244"/>
      <c r="BJ460" s="244"/>
    </row>
    <row r="461" spans="1:62" ht="17.399999999999999">
      <c r="A461" t="str">
        <f t="shared" si="109"/>
        <v>Réparation équipement</v>
      </c>
      <c r="B461" s="7"/>
      <c r="C461" s="244"/>
      <c r="D461" s="244"/>
      <c r="E461" s="244"/>
      <c r="F461" s="244"/>
      <c r="G461" s="244"/>
      <c r="H461" s="244"/>
      <c r="I461" s="244"/>
      <c r="J461" s="244"/>
      <c r="K461" s="244"/>
      <c r="L461" s="244"/>
      <c r="M461" s="244"/>
      <c r="N461" s="244"/>
      <c r="O461" s="244"/>
      <c r="P461" s="244"/>
      <c r="Q461" s="244"/>
      <c r="R461" s="244"/>
      <c r="S461" s="244"/>
      <c r="T461" s="244"/>
      <c r="U461" s="244"/>
      <c r="V461" s="103" t="s">
        <v>170</v>
      </c>
      <c r="W461" s="288" t="s">
        <v>236</v>
      </c>
      <c r="X461" s="261"/>
      <c r="Y461" s="289"/>
      <c r="Z461" s="262">
        <v>450</v>
      </c>
      <c r="AA461" s="261"/>
      <c r="AB461" s="289"/>
      <c r="AC461" s="262"/>
      <c r="AD461" s="290"/>
      <c r="AE461" s="289"/>
      <c r="AF461" s="262">
        <v>250</v>
      </c>
      <c r="AG461" s="263"/>
      <c r="AH461" s="264">
        <f t="shared" si="112"/>
        <v>-200</v>
      </c>
      <c r="AI461" s="291">
        <f t="shared" si="113"/>
        <v>-0.44444444444444442</v>
      </c>
      <c r="AJ461" s="290"/>
      <c r="AK461" s="261"/>
      <c r="AL461" s="262">
        <v>0</v>
      </c>
      <c r="AM461" s="266"/>
      <c r="AN461" s="264">
        <f t="shared" si="114"/>
        <v>250</v>
      </c>
      <c r="AO461" s="267">
        <f t="shared" si="104"/>
        <v>0</v>
      </c>
      <c r="AP461" s="244"/>
      <c r="AQ461" s="244">
        <v>250</v>
      </c>
      <c r="AR461" s="308"/>
      <c r="AS461" s="244"/>
      <c r="AT461" s="244"/>
      <c r="AU461" s="244"/>
      <c r="AV461" s="244"/>
      <c r="AW461" s="244"/>
      <c r="AX461" s="244"/>
      <c r="AY461" s="244"/>
      <c r="AZ461" s="244"/>
      <c r="BA461" s="244"/>
      <c r="BB461" s="244"/>
      <c r="BC461" s="244"/>
      <c r="BD461" s="244"/>
      <c r="BE461" s="244"/>
      <c r="BF461" s="244"/>
      <c r="BG461" s="244"/>
      <c r="BH461" s="244"/>
      <c r="BI461" s="244"/>
      <c r="BJ461" s="244"/>
    </row>
    <row r="462" spans="1:62" ht="17.399999999999999">
      <c r="A462" t="str">
        <f t="shared" si="109"/>
        <v>Location équipement</v>
      </c>
      <c r="B462" s="7"/>
      <c r="C462" s="244"/>
      <c r="D462" s="244"/>
      <c r="E462" s="244"/>
      <c r="F462" s="244"/>
      <c r="G462" s="244"/>
      <c r="H462" s="244"/>
      <c r="I462" s="244"/>
      <c r="J462" s="244"/>
      <c r="K462" s="244"/>
      <c r="L462" s="244"/>
      <c r="M462" s="244"/>
      <c r="N462" s="244"/>
      <c r="O462" s="244"/>
      <c r="P462" s="244"/>
      <c r="Q462" s="244"/>
      <c r="R462" s="244"/>
      <c r="S462" s="244"/>
      <c r="T462" s="244"/>
      <c r="U462" s="332"/>
      <c r="V462" s="102" t="s">
        <v>172</v>
      </c>
      <c r="W462" s="284" t="s">
        <v>173</v>
      </c>
      <c r="X462" s="277"/>
      <c r="Y462" s="285"/>
      <c r="Z462" s="278">
        <v>279</v>
      </c>
      <c r="AA462" s="277"/>
      <c r="AB462" s="285"/>
      <c r="AC462" s="278"/>
      <c r="AD462" s="286"/>
      <c r="AE462" s="285"/>
      <c r="AF462" s="278">
        <v>414</v>
      </c>
      <c r="AG462" s="279"/>
      <c r="AH462" s="280">
        <f t="shared" si="112"/>
        <v>135</v>
      </c>
      <c r="AI462" s="333">
        <f t="shared" si="113"/>
        <v>0.4838709677419355</v>
      </c>
      <c r="AJ462" s="277"/>
      <c r="AK462" s="277"/>
      <c r="AL462" s="278">
        <v>164</v>
      </c>
      <c r="AM462" s="282"/>
      <c r="AN462" s="280">
        <f t="shared" si="114"/>
        <v>250</v>
      </c>
      <c r="AO462" s="287">
        <f t="shared" si="104"/>
        <v>1.524390243902439</v>
      </c>
      <c r="AP462" s="244"/>
      <c r="AQ462" s="244">
        <f>164+250</f>
        <v>414</v>
      </c>
      <c r="AR462" s="308"/>
      <c r="AS462" s="244"/>
      <c r="AT462" s="244"/>
      <c r="AU462" s="244"/>
      <c r="AV462" s="244"/>
      <c r="AW462" s="244"/>
      <c r="AX462" s="244"/>
      <c r="AY462" s="244"/>
      <c r="AZ462" s="244"/>
      <c r="BA462" s="244"/>
      <c r="BB462" s="244"/>
      <c r="BC462" s="244"/>
      <c r="BD462" s="244"/>
      <c r="BE462" s="244"/>
      <c r="BF462" s="244"/>
      <c r="BG462" s="244"/>
      <c r="BH462" s="244"/>
      <c r="BI462" s="244"/>
      <c r="BJ462" s="244"/>
    </row>
    <row r="463" spans="1:62" ht="18" hidden="1" customHeight="1">
      <c r="A463" t="str">
        <f t="shared" si="109"/>
        <v>Dons</v>
      </c>
      <c r="B463" s="7"/>
      <c r="C463" s="244"/>
      <c r="D463" s="244"/>
      <c r="E463" s="244"/>
      <c r="F463" s="244"/>
      <c r="G463" s="244"/>
      <c r="H463" s="244"/>
      <c r="I463" s="244"/>
      <c r="J463" s="244"/>
      <c r="K463" s="244"/>
      <c r="L463" s="244"/>
      <c r="M463" s="244"/>
      <c r="N463" s="244"/>
      <c r="O463" s="244"/>
      <c r="P463" s="244"/>
      <c r="Q463" s="244"/>
      <c r="R463" s="244"/>
      <c r="S463" s="244"/>
      <c r="T463" s="244"/>
      <c r="U463" s="332"/>
      <c r="V463" s="102" t="s">
        <v>174</v>
      </c>
      <c r="W463" s="284" t="s">
        <v>175</v>
      </c>
      <c r="X463" s="277"/>
      <c r="Y463" s="285"/>
      <c r="Z463" s="278">
        <v>0</v>
      </c>
      <c r="AA463" s="277"/>
      <c r="AB463" s="285"/>
      <c r="AC463" s="278"/>
      <c r="AD463" s="286"/>
      <c r="AE463" s="285"/>
      <c r="AF463" s="278">
        <v>0</v>
      </c>
      <c r="AG463" s="279"/>
      <c r="AH463" s="280">
        <v>0</v>
      </c>
      <c r="AI463" s="304">
        <v>0</v>
      </c>
      <c r="AJ463" s="277"/>
      <c r="AK463" s="277"/>
      <c r="AL463" s="278">
        <v>0</v>
      </c>
      <c r="AM463" s="282"/>
      <c r="AN463" s="280">
        <v>0</v>
      </c>
      <c r="AO463" s="287">
        <v>0</v>
      </c>
      <c r="AP463" s="244"/>
      <c r="AQ463" s="244"/>
      <c r="AR463" s="244"/>
      <c r="AS463" s="244"/>
      <c r="AT463" s="244"/>
      <c r="AU463" s="244"/>
      <c r="AV463" s="244"/>
      <c r="AW463" s="244"/>
      <c r="AX463" s="244"/>
      <c r="AY463" s="244"/>
      <c r="AZ463" s="244"/>
      <c r="BA463" s="244"/>
      <c r="BB463" s="244"/>
      <c r="BC463" s="244"/>
      <c r="BD463" s="244"/>
      <c r="BE463" s="244"/>
      <c r="BF463" s="244"/>
      <c r="BG463" s="244"/>
      <c r="BH463" s="244"/>
      <c r="BI463" s="244"/>
      <c r="BJ463" s="244"/>
    </row>
    <row r="464" spans="1:62" ht="18" hidden="1" customHeight="1">
      <c r="A464" t="str">
        <f t="shared" si="109"/>
        <v>[...]</v>
      </c>
      <c r="B464" s="7"/>
      <c r="C464" s="244"/>
      <c r="D464" s="244"/>
      <c r="E464" s="244"/>
      <c r="F464" s="244"/>
      <c r="G464" s="244"/>
      <c r="H464" s="244"/>
      <c r="I464" s="244"/>
      <c r="J464" s="244"/>
      <c r="K464" s="244"/>
      <c r="L464" s="244"/>
      <c r="M464" s="244"/>
      <c r="N464" s="244"/>
      <c r="O464" s="244"/>
      <c r="P464" s="244"/>
      <c r="Q464" s="244"/>
      <c r="R464" s="244"/>
      <c r="S464" s="244"/>
      <c r="T464" s="244"/>
      <c r="U464" s="332"/>
      <c r="V464" s="102" t="s">
        <v>19</v>
      </c>
      <c r="W464" s="284"/>
      <c r="X464" s="277"/>
      <c r="Y464" s="285"/>
      <c r="Z464" s="280">
        <f t="shared" ref="Z464:Z466" si="115">IFERROR(SUMIF($C:$C,$V464,F:F),0)</f>
        <v>0</v>
      </c>
      <c r="AA464" s="277"/>
      <c r="AB464" s="277"/>
      <c r="AC464" s="280"/>
      <c r="AD464" s="286"/>
      <c r="AE464" s="285"/>
      <c r="AF464" s="278">
        <f t="shared" ref="AF464:AF466" si="116">+SUMIF($C:$C,$V464,L:L)</f>
        <v>0</v>
      </c>
      <c r="AG464" s="279"/>
      <c r="AH464" s="280">
        <f t="shared" ref="AH464:AH466" si="117">AF464-Z464</f>
        <v>0</v>
      </c>
      <c r="AI464" s="281">
        <f t="shared" ref="AI464:AI467" si="118">IF(Z464=0,0,AH464/Z464)</f>
        <v>0</v>
      </c>
      <c r="AJ464" s="286"/>
      <c r="AK464" s="277"/>
      <c r="AL464" s="278">
        <f t="shared" ref="AL464:AL466" si="119">IFERROR(SUMIF($C:$C,$V464,Q:Q),0)</f>
        <v>0</v>
      </c>
      <c r="AM464" s="282"/>
      <c r="AN464" s="280">
        <v>0</v>
      </c>
      <c r="AO464" s="287">
        <v>1</v>
      </c>
      <c r="AP464" s="244"/>
      <c r="AQ464" s="244"/>
      <c r="AR464" s="244"/>
      <c r="AS464" s="244"/>
      <c r="AT464" s="244"/>
      <c r="AU464" s="244"/>
      <c r="AV464" s="244"/>
      <c r="AW464" s="244"/>
      <c r="AX464" s="244"/>
      <c r="AY464" s="244"/>
      <c r="AZ464" s="244"/>
      <c r="BA464" s="244"/>
      <c r="BB464" s="244"/>
      <c r="BC464" s="244"/>
      <c r="BD464" s="244"/>
      <c r="BE464" s="244"/>
      <c r="BF464" s="244"/>
      <c r="BG464" s="244"/>
      <c r="BH464" s="244"/>
      <c r="BI464" s="244"/>
      <c r="BJ464" s="244"/>
    </row>
    <row r="465" spans="1:62" ht="18" hidden="1" customHeight="1">
      <c r="A465" t="str">
        <f t="shared" si="109"/>
        <v>[...]</v>
      </c>
      <c r="B465" s="7"/>
      <c r="C465" s="244"/>
      <c r="D465" s="244"/>
      <c r="E465" s="244"/>
      <c r="F465" s="244"/>
      <c r="G465" s="244"/>
      <c r="H465" s="244"/>
      <c r="I465" s="244"/>
      <c r="J465" s="244"/>
      <c r="K465" s="244"/>
      <c r="L465" s="244"/>
      <c r="M465" s="244"/>
      <c r="N465" s="244"/>
      <c r="O465" s="244"/>
      <c r="P465" s="244"/>
      <c r="Q465" s="244"/>
      <c r="R465" s="244"/>
      <c r="S465" s="244"/>
      <c r="T465" s="244"/>
      <c r="U465" s="332"/>
      <c r="V465" s="102" t="s">
        <v>19</v>
      </c>
      <c r="W465" s="284"/>
      <c r="X465" s="277"/>
      <c r="Y465" s="285"/>
      <c r="Z465" s="280">
        <f t="shared" si="115"/>
        <v>0</v>
      </c>
      <c r="AA465" s="277"/>
      <c r="AB465" s="277"/>
      <c r="AC465" s="280"/>
      <c r="AD465" s="286"/>
      <c r="AE465" s="285"/>
      <c r="AF465" s="278">
        <f t="shared" si="116"/>
        <v>0</v>
      </c>
      <c r="AG465" s="279"/>
      <c r="AH465" s="280">
        <f t="shared" si="117"/>
        <v>0</v>
      </c>
      <c r="AI465" s="281">
        <f t="shared" si="118"/>
        <v>0</v>
      </c>
      <c r="AJ465" s="286"/>
      <c r="AK465" s="277"/>
      <c r="AL465" s="278">
        <f t="shared" si="119"/>
        <v>0</v>
      </c>
      <c r="AM465" s="282"/>
      <c r="AN465" s="280">
        <v>0</v>
      </c>
      <c r="AO465" s="287">
        <v>2</v>
      </c>
      <c r="AP465" s="244"/>
      <c r="AQ465" s="244"/>
      <c r="AR465" s="244"/>
      <c r="AS465" s="244"/>
      <c r="AT465" s="244"/>
      <c r="AU465" s="244"/>
      <c r="AV465" s="244"/>
      <c r="AW465" s="244"/>
      <c r="AX465" s="244"/>
      <c r="AY465" s="244"/>
      <c r="AZ465" s="244"/>
      <c r="BA465" s="244"/>
      <c r="BB465" s="244"/>
      <c r="BC465" s="244"/>
      <c r="BD465" s="244"/>
      <c r="BE465" s="244"/>
      <c r="BF465" s="244"/>
      <c r="BG465" s="244"/>
      <c r="BH465" s="244"/>
      <c r="BI465" s="244"/>
      <c r="BJ465" s="244"/>
    </row>
    <row r="466" spans="1:62" ht="18" hidden="1" customHeight="1">
      <c r="A466" t="str">
        <f t="shared" si="109"/>
        <v>[...]</v>
      </c>
      <c r="B466" s="7"/>
      <c r="C466" s="244"/>
      <c r="D466" s="244"/>
      <c r="E466" s="244"/>
      <c r="F466" s="244"/>
      <c r="G466" s="244"/>
      <c r="H466" s="244"/>
      <c r="I466" s="244"/>
      <c r="J466" s="244"/>
      <c r="K466" s="244"/>
      <c r="L466" s="244"/>
      <c r="M466" s="244"/>
      <c r="N466" s="244"/>
      <c r="O466" s="244"/>
      <c r="P466" s="244"/>
      <c r="Q466" s="244"/>
      <c r="R466" s="244"/>
      <c r="S466" s="244"/>
      <c r="T466" s="244"/>
      <c r="U466" s="244"/>
      <c r="V466" s="102" t="s">
        <v>19</v>
      </c>
      <c r="W466" s="284"/>
      <c r="X466" s="277"/>
      <c r="Y466" s="285"/>
      <c r="Z466" s="280">
        <f t="shared" si="115"/>
        <v>0</v>
      </c>
      <c r="AA466" s="277"/>
      <c r="AB466" s="277"/>
      <c r="AC466" s="280"/>
      <c r="AD466" s="286"/>
      <c r="AE466" s="285"/>
      <c r="AF466" s="278">
        <f t="shared" si="116"/>
        <v>0</v>
      </c>
      <c r="AG466" s="279"/>
      <c r="AH466" s="280">
        <f t="shared" si="117"/>
        <v>0</v>
      </c>
      <c r="AI466" s="281">
        <f t="shared" si="118"/>
        <v>0</v>
      </c>
      <c r="AJ466" s="286"/>
      <c r="AK466" s="277"/>
      <c r="AL466" s="278">
        <f t="shared" si="119"/>
        <v>0</v>
      </c>
      <c r="AM466" s="282"/>
      <c r="AN466" s="280">
        <v>0</v>
      </c>
      <c r="AO466" s="287">
        <v>3</v>
      </c>
      <c r="AP466" s="244"/>
      <c r="AQ466" s="244"/>
      <c r="AR466" s="244"/>
      <c r="AS466" s="244"/>
      <c r="AT466" s="244"/>
      <c r="AU466" s="244"/>
      <c r="AV466" s="244"/>
      <c r="AW466" s="244"/>
      <c r="AX466" s="244"/>
      <c r="AY466" s="244"/>
      <c r="AZ466" s="244"/>
      <c r="BA466" s="244"/>
      <c r="BB466" s="244"/>
      <c r="BC466" s="244"/>
      <c r="BD466" s="244"/>
      <c r="BE466" s="244"/>
      <c r="BF466" s="244"/>
      <c r="BG466" s="244"/>
      <c r="BH466" s="244"/>
      <c r="BI466" s="244"/>
      <c r="BJ466" s="244"/>
    </row>
    <row r="467" spans="1:62" ht="17.399999999999999">
      <c r="A467" t="str">
        <f t="shared" si="109"/>
        <v>TOTAL DÉPENSES FIXES</v>
      </c>
      <c r="B467" s="7"/>
      <c r="C467" s="244"/>
      <c r="D467" s="244"/>
      <c r="E467" s="244"/>
      <c r="F467" s="244"/>
      <c r="G467" s="244"/>
      <c r="H467" s="244"/>
      <c r="I467" s="244"/>
      <c r="J467" s="244"/>
      <c r="K467" s="244"/>
      <c r="L467" s="244"/>
      <c r="M467" s="244"/>
      <c r="N467" s="244"/>
      <c r="O467" s="244"/>
      <c r="P467" s="244"/>
      <c r="Q467" s="244"/>
      <c r="R467" s="244"/>
      <c r="S467" s="244"/>
      <c r="T467" s="244"/>
      <c r="U467" s="244"/>
      <c r="V467" s="294" t="s">
        <v>176</v>
      </c>
      <c r="W467" s="295"/>
      <c r="X467" s="296">
        <f>Z467/+Z408</f>
        <v>0.14449264852128951</v>
      </c>
      <c r="Y467" s="295"/>
      <c r="Z467" s="297">
        <f>SUM(Z454:Z466)</f>
        <v>71791.636666666658</v>
      </c>
      <c r="AA467" s="296"/>
      <c r="AB467" s="295"/>
      <c r="AC467" s="297"/>
      <c r="AD467" s="298">
        <f>AF467/AF408</f>
        <v>0.12713969246629456</v>
      </c>
      <c r="AE467" s="295"/>
      <c r="AF467" s="297">
        <f>SUM(AF454:AF466)</f>
        <v>70760.14</v>
      </c>
      <c r="AG467" s="306"/>
      <c r="AH467" s="300">
        <f>SUM(AH454:AH466)</f>
        <v>-1031.4966666666683</v>
      </c>
      <c r="AI467" s="296">
        <f t="shared" si="118"/>
        <v>-1.436792242884747E-2</v>
      </c>
      <c r="AJ467" s="298">
        <f>IF($AL$408=0,0,AL467/$AL$408)</f>
        <v>0.23579409383959182</v>
      </c>
      <c r="AK467" s="296"/>
      <c r="AL467" s="297">
        <f>SUM(AL454:AL466)</f>
        <v>75129.240000000005</v>
      </c>
      <c r="AM467" s="307"/>
      <c r="AN467" s="300">
        <f>SUM(AN454:AN466)</f>
        <v>-4369.0999999999985</v>
      </c>
      <c r="AO467" s="329">
        <f t="shared" ref="AO467:AO484" si="120">IF(AL467=0,0,AN467/AL467)</f>
        <v>-5.8154454909965791E-2</v>
      </c>
      <c r="AP467" s="244"/>
      <c r="AQ467" s="308">
        <f>SUM(AQ454:AQ462)-AF467</f>
        <v>-0.13999999999941792</v>
      </c>
      <c r="AR467" s="308"/>
      <c r="AS467" s="244"/>
      <c r="AT467" s="244"/>
      <c r="AU467" s="244"/>
      <c r="AV467" s="244"/>
      <c r="AW467" s="244"/>
      <c r="AX467" s="244"/>
      <c r="AY467" s="244"/>
      <c r="AZ467" s="244"/>
      <c r="BA467" s="244"/>
      <c r="BB467" s="244"/>
      <c r="BC467" s="244"/>
      <c r="BD467" s="244"/>
      <c r="BE467" s="244"/>
      <c r="BF467" s="244"/>
      <c r="BG467" s="244"/>
      <c r="BH467" s="244"/>
      <c r="BI467" s="244"/>
      <c r="BJ467" s="244"/>
    </row>
    <row r="468" spans="1:62" ht="17.399999999999999">
      <c r="A468" t="str">
        <f t="shared" si="109"/>
        <v/>
      </c>
      <c r="B468" s="7"/>
      <c r="C468" s="244"/>
      <c r="D468" s="244"/>
      <c r="E468" s="244"/>
      <c r="F468" s="244"/>
      <c r="G468" s="244"/>
      <c r="H468" s="244"/>
      <c r="I468" s="244"/>
      <c r="J468" s="244"/>
      <c r="K468" s="244"/>
      <c r="L468" s="244"/>
      <c r="M468" s="244"/>
      <c r="N468" s="244"/>
      <c r="O468" s="244"/>
      <c r="P468" s="244"/>
      <c r="Q468" s="244"/>
      <c r="R468" s="244"/>
      <c r="S468" s="244"/>
      <c r="T468" s="244"/>
      <c r="U468" s="244"/>
      <c r="V468" s="102"/>
      <c r="W468" s="277"/>
      <c r="X468" s="277"/>
      <c r="Y468" s="277"/>
      <c r="Z468" s="334"/>
      <c r="AA468" s="277"/>
      <c r="AB468" s="277"/>
      <c r="AC468" s="334"/>
      <c r="AD468" s="286"/>
      <c r="AE468" s="277"/>
      <c r="AF468" s="334"/>
      <c r="AG468" s="286"/>
      <c r="AH468" s="280">
        <f t="shared" ref="AH468:AH482" si="121">AF468-Z468</f>
        <v>0</v>
      </c>
      <c r="AI468" s="281"/>
      <c r="AJ468" s="286"/>
      <c r="AK468" s="277"/>
      <c r="AL468" s="334"/>
      <c r="AM468" s="335"/>
      <c r="AN468" s="280">
        <f t="shared" ref="AN468:AN484" si="122">AF468-AL468</f>
        <v>0</v>
      </c>
      <c r="AO468" s="336">
        <f t="shared" si="120"/>
        <v>0</v>
      </c>
      <c r="AP468" s="244"/>
      <c r="AQ468" s="244"/>
      <c r="AR468" s="244"/>
      <c r="AS468" s="244"/>
      <c r="AT468" s="244"/>
      <c r="AU468" s="244"/>
      <c r="AV468" s="244"/>
      <c r="AW468" s="244"/>
      <c r="AX468" s="244"/>
      <c r="AY468" s="244"/>
      <c r="AZ468" s="244"/>
      <c r="BA468" s="244"/>
      <c r="BB468" s="244"/>
      <c r="BC468" s="244"/>
      <c r="BD468" s="244"/>
      <c r="BE468" s="244"/>
      <c r="BF468" s="244"/>
      <c r="BG468" s="244"/>
      <c r="BH468" s="244"/>
      <c r="BI468" s="244"/>
      <c r="BJ468" s="244"/>
    </row>
    <row r="469" spans="1:62" ht="17.399999999999999">
      <c r="A469" t="str">
        <f t="shared" si="109"/>
        <v>TOTAL DES DÉPENSES</v>
      </c>
      <c r="B469" s="7"/>
      <c r="C469" s="244"/>
      <c r="D469" s="244"/>
      <c r="E469" s="244"/>
      <c r="F469" s="244"/>
      <c r="G469" s="244"/>
      <c r="H469" s="244"/>
      <c r="I469" s="244"/>
      <c r="J469" s="244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44"/>
      <c r="V469" s="294" t="s">
        <v>64</v>
      </c>
      <c r="W469" s="295"/>
      <c r="X469" s="296">
        <f>Z469/+Z408</f>
        <v>0.96048133898868149</v>
      </c>
      <c r="Y469" s="295"/>
      <c r="Z469" s="297">
        <f>Z420+Z434+Z453+Z467</f>
        <v>477218.23926308035</v>
      </c>
      <c r="AA469" s="296"/>
      <c r="AB469" s="295"/>
      <c r="AC469" s="297"/>
      <c r="AD469" s="298">
        <f>AF469/AF408</f>
        <v>0.81391843756910831</v>
      </c>
      <c r="AE469" s="295"/>
      <c r="AF469" s="297">
        <f>AF420+AF434+AF453+AF467</f>
        <v>452989.79000000004</v>
      </c>
      <c r="AG469" s="306"/>
      <c r="AH469" s="300">
        <f t="shared" si="121"/>
        <v>-24228.449263080314</v>
      </c>
      <c r="AI469" s="296">
        <f>AH469/Z469</f>
        <v>-5.077016607850917E-2</v>
      </c>
      <c r="AJ469" s="298">
        <f>IF($AL$408=0,0,AL469/$AL$408)</f>
        <v>1.2092898853918637</v>
      </c>
      <c r="AK469" s="296"/>
      <c r="AL469" s="297">
        <f>AL420+AL434+AL453+AL467</f>
        <v>385306.64</v>
      </c>
      <c r="AM469" s="307"/>
      <c r="AN469" s="300">
        <f t="shared" si="122"/>
        <v>67683.150000000023</v>
      </c>
      <c r="AO469" s="275">
        <f t="shared" si="120"/>
        <v>0.17566048173994619</v>
      </c>
      <c r="AP469" s="308"/>
      <c r="AQ469" s="244"/>
      <c r="AR469" s="244"/>
      <c r="AS469" s="308"/>
      <c r="AT469" s="244"/>
      <c r="AU469" s="244"/>
      <c r="AV469" s="244"/>
      <c r="AW469" s="244"/>
      <c r="AX469" s="244"/>
      <c r="AY469" s="244"/>
      <c r="AZ469" s="244"/>
      <c r="BA469" s="244"/>
      <c r="BB469" s="244"/>
      <c r="BC469" s="244"/>
      <c r="BD469" s="244"/>
      <c r="BE469" s="244"/>
      <c r="BF469" s="244"/>
      <c r="BG469" s="244"/>
      <c r="BH469" s="244"/>
      <c r="BI469" s="244"/>
      <c r="BJ469" s="244"/>
    </row>
    <row r="470" spans="1:62" ht="17.399999999999999">
      <c r="A470" t="str">
        <f t="shared" si="109"/>
        <v>Revenus autres</v>
      </c>
      <c r="B470" s="7"/>
      <c r="C470" s="244"/>
      <c r="D470" s="244"/>
      <c r="E470" s="244"/>
      <c r="F470" s="244"/>
      <c r="G470" s="244"/>
      <c r="H470" s="244"/>
      <c r="I470" s="244"/>
      <c r="J470" s="244"/>
      <c r="K470" s="244"/>
      <c r="L470" s="244"/>
      <c r="M470" s="244"/>
      <c r="N470" s="244"/>
      <c r="O470" s="244"/>
      <c r="P470" s="244"/>
      <c r="Q470" s="244"/>
      <c r="R470" s="244"/>
      <c r="S470" s="244"/>
      <c r="T470" s="244"/>
      <c r="U470" s="244"/>
      <c r="V470" s="102" t="s">
        <v>177</v>
      </c>
      <c r="W470" s="331"/>
      <c r="X470" s="331"/>
      <c r="Y470" s="277"/>
      <c r="Z470" s="311">
        <v>0</v>
      </c>
      <c r="AA470" s="337"/>
      <c r="AB470" s="338"/>
      <c r="AC470" s="311"/>
      <c r="AD470" s="339"/>
      <c r="AE470" s="338"/>
      <c r="AF470" s="278">
        <v>18.16</v>
      </c>
      <c r="AG470" s="340"/>
      <c r="AH470" s="280">
        <f t="shared" si="121"/>
        <v>18.16</v>
      </c>
      <c r="AI470" s="333" t="e">
        <f>IF(AH470=0,0,AH470/Z470)</f>
        <v>#DIV/0!</v>
      </c>
      <c r="AJ470" s="339"/>
      <c r="AK470" s="337"/>
      <c r="AL470" s="341">
        <v>1777.17</v>
      </c>
      <c r="AM470" s="342"/>
      <c r="AN470" s="280">
        <f t="shared" si="122"/>
        <v>-1759.01</v>
      </c>
      <c r="AO470" s="287">
        <f t="shared" si="120"/>
        <v>-0.98978150655255259</v>
      </c>
      <c r="AP470" s="244" t="s">
        <v>288</v>
      </c>
      <c r="AQ470" s="244">
        <v>18</v>
      </c>
      <c r="AR470" s="244"/>
      <c r="AS470" s="244">
        <f t="shared" ref="AS470:AS481" si="123">AQ470+AR470</f>
        <v>18</v>
      </c>
      <c r="AT470" s="308">
        <f t="shared" ref="AT470:AT481" si="124">AS470-AF470</f>
        <v>-0.16000000000000014</v>
      </c>
      <c r="AU470" s="244"/>
      <c r="AV470" s="244"/>
      <c r="AW470" s="244"/>
      <c r="AX470" s="244"/>
      <c r="AY470" s="244"/>
      <c r="AZ470" s="244"/>
      <c r="BA470" s="244"/>
      <c r="BB470" s="244"/>
      <c r="BC470" s="244"/>
      <c r="BD470" s="244"/>
      <c r="BE470" s="244"/>
      <c r="BF470" s="244"/>
      <c r="BG470" s="244"/>
      <c r="BH470" s="244"/>
      <c r="BI470" s="244"/>
      <c r="BJ470" s="244"/>
    </row>
    <row r="471" spans="1:62" ht="17.399999999999999">
      <c r="A471" t="str">
        <f t="shared" si="109"/>
        <v>Holdbacks</v>
      </c>
      <c r="B471" s="7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102" t="s">
        <v>66</v>
      </c>
      <c r="W471" s="277"/>
      <c r="X471" s="277"/>
      <c r="Y471" s="277"/>
      <c r="Z471" s="278">
        <f>+SUMIF($C:$C,$V471,F:F)</f>
        <v>60158.057142857149</v>
      </c>
      <c r="AA471" s="330"/>
      <c r="AB471" s="331"/>
      <c r="AC471" s="278"/>
      <c r="AD471" s="343"/>
      <c r="AE471" s="331"/>
      <c r="AF471" s="278">
        <f t="shared" ref="AF471:AF477" si="125">+SUMIF($C:$C,$V471,L:L)</f>
        <v>59259</v>
      </c>
      <c r="AG471" s="344"/>
      <c r="AH471" s="280">
        <f t="shared" si="121"/>
        <v>-899.0571428571493</v>
      </c>
      <c r="AI471" s="304">
        <f>IF(Z471=0,0,AH471/Z471)</f>
        <v>-1.4944916534158694E-2</v>
      </c>
      <c r="AJ471" s="343"/>
      <c r="AK471" s="330"/>
      <c r="AL471" s="345">
        <f>+SUMIF($C:$C,$V471,Q:Q)</f>
        <v>19545</v>
      </c>
      <c r="AM471" s="346"/>
      <c r="AN471" s="280">
        <f t="shared" si="122"/>
        <v>39714</v>
      </c>
      <c r="AO471" s="287">
        <f t="shared" si="120"/>
        <v>2.0319263238679968</v>
      </c>
      <c r="AP471" s="244"/>
      <c r="AQ471" s="244">
        <v>59259</v>
      </c>
      <c r="AR471" s="244"/>
      <c r="AS471" s="244">
        <f t="shared" si="123"/>
        <v>59259</v>
      </c>
      <c r="AT471" s="308">
        <f t="shared" si="124"/>
        <v>0</v>
      </c>
      <c r="AU471" s="244"/>
      <c r="AV471" s="244"/>
      <c r="AW471" s="244"/>
      <c r="AX471" s="244"/>
      <c r="AY471" s="244"/>
      <c r="AZ471" s="244"/>
      <c r="BA471" s="244"/>
      <c r="BB471" s="244"/>
      <c r="BC471" s="244"/>
      <c r="BD471" s="244"/>
      <c r="BE471" s="244"/>
      <c r="BF471" s="244"/>
      <c r="BG471" s="244"/>
      <c r="BH471" s="244"/>
      <c r="BI471" s="244"/>
      <c r="BJ471" s="244"/>
    </row>
    <row r="472" spans="1:62" ht="17.399999999999999">
      <c r="A472" t="str">
        <f t="shared" si="109"/>
        <v>RBSC neuf</v>
      </c>
      <c r="B472" s="7"/>
      <c r="C472" s="244"/>
      <c r="D472" s="244"/>
      <c r="E472" s="244"/>
      <c r="F472" s="244"/>
      <c r="G472" s="244"/>
      <c r="H472" s="244"/>
      <c r="I472" s="244"/>
      <c r="J472" s="244"/>
      <c r="K472" s="244"/>
      <c r="L472" s="244"/>
      <c r="M472" s="244"/>
      <c r="N472" s="244"/>
      <c r="O472" s="244"/>
      <c r="P472" s="244"/>
      <c r="Q472" s="244"/>
      <c r="R472" s="244"/>
      <c r="S472" s="244"/>
      <c r="T472" s="244"/>
      <c r="U472" s="244"/>
      <c r="V472" s="102" t="s">
        <v>215</v>
      </c>
      <c r="W472" s="277"/>
      <c r="X472" s="277"/>
      <c r="Y472" s="277"/>
      <c r="Z472" s="278">
        <v>49630.397142857146</v>
      </c>
      <c r="AA472" s="330"/>
      <c r="AB472" s="331"/>
      <c r="AC472" s="278"/>
      <c r="AD472" s="343"/>
      <c r="AE472" s="331"/>
      <c r="AF472" s="278">
        <f t="shared" si="125"/>
        <v>86785.1</v>
      </c>
      <c r="AG472" s="344"/>
      <c r="AH472" s="280">
        <f t="shared" si="121"/>
        <v>37154.70285714286</v>
      </c>
      <c r="AI472" s="304">
        <f t="shared" ref="AI472:AI481" si="126">IF(AH472=0,0,AH472/Z472)</f>
        <v>0.74862795778554836</v>
      </c>
      <c r="AJ472" s="343"/>
      <c r="AK472" s="330"/>
      <c r="AL472" s="345">
        <v>28695.24</v>
      </c>
      <c r="AM472" s="346"/>
      <c r="AN472" s="280">
        <f t="shared" si="122"/>
        <v>58089.86</v>
      </c>
      <c r="AO472" s="287">
        <f t="shared" si="120"/>
        <v>2.024372683413695</v>
      </c>
      <c r="AP472" s="244"/>
      <c r="AQ472" s="244">
        <f>101219.25-2250</f>
        <v>98969.25</v>
      </c>
      <c r="AR472" s="244">
        <f>2000.21-13299.03+1110.1-1995.28</f>
        <v>-12184</v>
      </c>
      <c r="AS472" s="244">
        <f t="shared" si="123"/>
        <v>86785.25</v>
      </c>
      <c r="AT472" s="308">
        <f t="shared" si="124"/>
        <v>0.14999999999417923</v>
      </c>
      <c r="AU472" s="244"/>
      <c r="AV472" s="244"/>
      <c r="AW472" s="244"/>
      <c r="AX472" s="244"/>
      <c r="AY472" s="244"/>
      <c r="AZ472" s="244"/>
      <c r="BA472" s="244"/>
      <c r="BB472" s="244"/>
      <c r="BC472" s="244"/>
      <c r="BD472" s="244"/>
      <c r="BE472" s="244"/>
      <c r="BF472" s="244"/>
      <c r="BG472" s="244"/>
      <c r="BH472" s="244"/>
      <c r="BI472" s="244"/>
      <c r="BJ472" s="244"/>
    </row>
    <row r="473" spans="1:62" ht="18" hidden="1" customHeight="1">
      <c r="A473" t="str">
        <f t="shared" si="109"/>
        <v>Programme neuf 2</v>
      </c>
      <c r="B473" s="7"/>
      <c r="C473" s="244"/>
      <c r="D473" s="244"/>
      <c r="E473" s="244"/>
      <c r="F473" s="244"/>
      <c r="G473" s="244"/>
      <c r="H473" s="244"/>
      <c r="I473" s="244"/>
      <c r="J473" s="244"/>
      <c r="K473" s="244"/>
      <c r="L473" s="244"/>
      <c r="M473" s="244"/>
      <c r="N473" s="244"/>
      <c r="O473" s="244"/>
      <c r="P473" s="244"/>
      <c r="Q473" s="244"/>
      <c r="R473" s="244"/>
      <c r="S473" s="244"/>
      <c r="T473" s="244"/>
      <c r="U473" s="244"/>
      <c r="V473" s="102" t="s">
        <v>187</v>
      </c>
      <c r="W473" s="277"/>
      <c r="X473" s="277"/>
      <c r="Y473" s="277"/>
      <c r="Z473" s="278">
        <f t="shared" ref="Z473:Z474" si="127">+SUMIF($C:$C,$V473,F:F)</f>
        <v>0</v>
      </c>
      <c r="AA473" s="330"/>
      <c r="AB473" s="331"/>
      <c r="AC473" s="278"/>
      <c r="AD473" s="343"/>
      <c r="AE473" s="331"/>
      <c r="AF473" s="278">
        <f t="shared" si="125"/>
        <v>0</v>
      </c>
      <c r="AG473" s="344"/>
      <c r="AH473" s="280">
        <f t="shared" si="121"/>
        <v>0</v>
      </c>
      <c r="AI473" s="304">
        <f t="shared" si="126"/>
        <v>0</v>
      </c>
      <c r="AJ473" s="343"/>
      <c r="AK473" s="330"/>
      <c r="AL473" s="345">
        <f t="shared" ref="AL473:AL474" si="128">+SUMIF($C:$C,$V473,Q:Q)</f>
        <v>0</v>
      </c>
      <c r="AM473" s="346"/>
      <c r="AN473" s="280">
        <f t="shared" si="122"/>
        <v>0</v>
      </c>
      <c r="AO473" s="287">
        <f t="shared" si="120"/>
        <v>0</v>
      </c>
      <c r="AP473" s="244"/>
      <c r="AQ473" s="244"/>
      <c r="AR473" s="244"/>
      <c r="AS473" s="244">
        <f t="shared" si="123"/>
        <v>0</v>
      </c>
      <c r="AT473" s="308">
        <f t="shared" si="124"/>
        <v>0</v>
      </c>
      <c r="AU473" s="244"/>
      <c r="AV473" s="244"/>
      <c r="AW473" s="244"/>
      <c r="AX473" s="244"/>
      <c r="AY473" s="244"/>
      <c r="AZ473" s="244"/>
      <c r="BA473" s="244"/>
      <c r="BB473" s="244"/>
      <c r="BC473" s="244"/>
      <c r="BD473" s="244"/>
      <c r="BE473" s="244"/>
      <c r="BF473" s="244"/>
      <c r="BG473" s="244"/>
      <c r="BH473" s="244"/>
      <c r="BI473" s="244"/>
      <c r="BJ473" s="244"/>
    </row>
    <row r="474" spans="1:62" ht="18" hidden="1" customHeight="1">
      <c r="A474" t="str">
        <f t="shared" si="109"/>
        <v>Programme neuf 3</v>
      </c>
      <c r="B474" s="7"/>
      <c r="C474" s="244"/>
      <c r="D474" s="244"/>
      <c r="E474" s="244"/>
      <c r="F474" s="244"/>
      <c r="G474" s="244"/>
      <c r="H474" s="244"/>
      <c r="I474" s="244"/>
      <c r="J474" s="244"/>
      <c r="K474" s="244"/>
      <c r="L474" s="244"/>
      <c r="M474" s="244"/>
      <c r="N474" s="244"/>
      <c r="O474" s="244"/>
      <c r="P474" s="244"/>
      <c r="Q474" s="244"/>
      <c r="R474" s="244"/>
      <c r="S474" s="244"/>
      <c r="T474" s="244"/>
      <c r="U474" s="244"/>
      <c r="V474" s="102" t="s">
        <v>65</v>
      </c>
      <c r="W474" s="277"/>
      <c r="X474" s="277"/>
      <c r="Y474" s="277"/>
      <c r="Z474" s="278">
        <f t="shared" si="127"/>
        <v>0</v>
      </c>
      <c r="AA474" s="330"/>
      <c r="AB474" s="331"/>
      <c r="AC474" s="278"/>
      <c r="AD474" s="343"/>
      <c r="AE474" s="331"/>
      <c r="AF474" s="278">
        <f t="shared" si="125"/>
        <v>0</v>
      </c>
      <c r="AG474" s="344"/>
      <c r="AH474" s="280">
        <f t="shared" si="121"/>
        <v>0</v>
      </c>
      <c r="AI474" s="304">
        <f t="shared" si="126"/>
        <v>0</v>
      </c>
      <c r="AJ474" s="343"/>
      <c r="AK474" s="330"/>
      <c r="AL474" s="345">
        <f t="shared" si="128"/>
        <v>0</v>
      </c>
      <c r="AM474" s="346"/>
      <c r="AN474" s="280">
        <f t="shared" si="122"/>
        <v>0</v>
      </c>
      <c r="AO474" s="287">
        <f t="shared" si="120"/>
        <v>0</v>
      </c>
      <c r="AP474" s="244"/>
      <c r="AQ474" s="244"/>
      <c r="AR474" s="244"/>
      <c r="AS474" s="244">
        <f t="shared" si="123"/>
        <v>0</v>
      </c>
      <c r="AT474" s="308">
        <f t="shared" si="124"/>
        <v>0</v>
      </c>
      <c r="AU474" s="244"/>
      <c r="AV474" s="244"/>
      <c r="AW474" s="244"/>
      <c r="AX474" s="244"/>
      <c r="AY474" s="244"/>
      <c r="AZ474" s="244"/>
      <c r="BA474" s="244"/>
      <c r="BB474" s="244"/>
      <c r="BC474" s="244"/>
      <c r="BD474" s="244"/>
      <c r="BE474" s="244"/>
      <c r="BF474" s="244"/>
      <c r="BG474" s="244"/>
      <c r="BH474" s="244"/>
      <c r="BI474" s="244"/>
      <c r="BJ474" s="244"/>
    </row>
    <row r="475" spans="1:62" ht="17.399999999999999">
      <c r="A475" t="str">
        <f t="shared" si="109"/>
        <v>RBSC used</v>
      </c>
      <c r="B475" s="7"/>
      <c r="C475" s="244"/>
      <c r="D475" s="244"/>
      <c r="E475" s="244"/>
      <c r="F475" s="244"/>
      <c r="G475" s="244"/>
      <c r="H475" s="244"/>
      <c r="I475" s="244"/>
      <c r="J475" s="244"/>
      <c r="K475" s="244"/>
      <c r="L475" s="244"/>
      <c r="M475" s="244"/>
      <c r="N475" s="244"/>
      <c r="O475" s="244"/>
      <c r="P475" s="244"/>
      <c r="Q475" s="244"/>
      <c r="R475" s="244"/>
      <c r="S475" s="244"/>
      <c r="T475" s="244"/>
      <c r="U475" s="244"/>
      <c r="V475" s="102" t="s">
        <v>217</v>
      </c>
      <c r="W475" s="277"/>
      <c r="X475" s="277"/>
      <c r="Y475" s="277"/>
      <c r="Z475" s="278">
        <v>3750</v>
      </c>
      <c r="AA475" s="330"/>
      <c r="AB475" s="331"/>
      <c r="AC475" s="278"/>
      <c r="AD475" s="343"/>
      <c r="AE475" s="331"/>
      <c r="AF475" s="278">
        <f t="shared" si="125"/>
        <v>2250</v>
      </c>
      <c r="AG475" s="344"/>
      <c r="AH475" s="280">
        <f t="shared" si="121"/>
        <v>-1500</v>
      </c>
      <c r="AI475" s="304">
        <f t="shared" si="126"/>
        <v>-0.4</v>
      </c>
      <c r="AJ475" s="343"/>
      <c r="AK475" s="330"/>
      <c r="AL475" s="345">
        <v>0</v>
      </c>
      <c r="AM475" s="346"/>
      <c r="AN475" s="280">
        <f t="shared" si="122"/>
        <v>2250</v>
      </c>
      <c r="AO475" s="287">
        <f t="shared" si="120"/>
        <v>0</v>
      </c>
      <c r="AP475" s="244"/>
      <c r="AQ475" s="244">
        <v>2250</v>
      </c>
      <c r="AR475" s="244"/>
      <c r="AS475" s="244">
        <f t="shared" si="123"/>
        <v>2250</v>
      </c>
      <c r="AT475" s="308">
        <f t="shared" si="124"/>
        <v>0</v>
      </c>
      <c r="AU475" s="244"/>
      <c r="AV475" s="244"/>
      <c r="AW475" s="244"/>
      <c r="AX475" s="244"/>
      <c r="AY475" s="244"/>
      <c r="AZ475" s="244"/>
      <c r="BA475" s="244"/>
      <c r="BB475" s="244"/>
      <c r="BC475" s="244"/>
      <c r="BD475" s="244"/>
      <c r="BE475" s="244"/>
      <c r="BF475" s="244"/>
      <c r="BG475" s="244"/>
      <c r="BH475" s="244"/>
      <c r="BI475" s="244"/>
      <c r="BJ475" s="244"/>
    </row>
    <row r="476" spans="1:62" ht="17.399999999999999">
      <c r="A476" t="str">
        <f t="shared" si="109"/>
        <v>Programme 360</v>
      </c>
      <c r="B476" s="7"/>
      <c r="C476" s="244"/>
      <c r="D476" s="244"/>
      <c r="E476" s="244"/>
      <c r="F476" s="244"/>
      <c r="G476" s="244"/>
      <c r="H476" s="244"/>
      <c r="I476" s="244"/>
      <c r="J476" s="244"/>
      <c r="K476" s="244"/>
      <c r="L476" s="244"/>
      <c r="M476" s="244"/>
      <c r="N476" s="244"/>
      <c r="O476" s="244"/>
      <c r="P476" s="244"/>
      <c r="Q476" s="244"/>
      <c r="R476" s="244"/>
      <c r="S476" s="244"/>
      <c r="T476" s="244"/>
      <c r="U476" s="244"/>
      <c r="V476" s="102" t="s">
        <v>218</v>
      </c>
      <c r="W476" s="277"/>
      <c r="X476" s="277"/>
      <c r="Y476" s="277"/>
      <c r="Z476" s="278">
        <f t="shared" ref="Z476:Z477" si="129">+SUMIF($C:$C,$V476,F:F)</f>
        <v>0</v>
      </c>
      <c r="AA476" s="330"/>
      <c r="AB476" s="331"/>
      <c r="AC476" s="278"/>
      <c r="AD476" s="343"/>
      <c r="AE476" s="331"/>
      <c r="AF476" s="278">
        <f t="shared" si="125"/>
        <v>0</v>
      </c>
      <c r="AG476" s="344"/>
      <c r="AH476" s="280">
        <f t="shared" si="121"/>
        <v>0</v>
      </c>
      <c r="AI476" s="304">
        <f t="shared" si="126"/>
        <v>0</v>
      </c>
      <c r="AJ476" s="343"/>
      <c r="AK476" s="330"/>
      <c r="AL476" s="345">
        <f t="shared" ref="AL476:AL477" si="130">+SUMIF($C:$C,$V476,Q:Q)</f>
        <v>100</v>
      </c>
      <c r="AM476" s="346"/>
      <c r="AN476" s="280">
        <f t="shared" si="122"/>
        <v>-100</v>
      </c>
      <c r="AO476" s="287">
        <f t="shared" si="120"/>
        <v>-1</v>
      </c>
      <c r="AP476" s="244"/>
      <c r="AQ476" s="244"/>
      <c r="AR476" s="244"/>
      <c r="AS476" s="244">
        <f t="shared" si="123"/>
        <v>0</v>
      </c>
      <c r="AT476" s="308">
        <f t="shared" si="124"/>
        <v>0</v>
      </c>
      <c r="AU476" s="244"/>
      <c r="AV476" s="244"/>
      <c r="AW476" s="244"/>
      <c r="AX476" s="244"/>
      <c r="AY476" s="244"/>
      <c r="AZ476" s="244"/>
      <c r="BA476" s="244"/>
      <c r="BB476" s="244"/>
      <c r="BC476" s="244"/>
      <c r="BD476" s="244"/>
      <c r="BE476" s="244"/>
      <c r="BF476" s="244"/>
      <c r="BG476" s="244"/>
      <c r="BH476" s="244"/>
      <c r="BI476" s="244"/>
      <c r="BJ476" s="244"/>
    </row>
    <row r="477" spans="1:62" ht="18" hidden="1" customHeight="1">
      <c r="A477" t="str">
        <f t="shared" si="109"/>
        <v>Programme used 3</v>
      </c>
      <c r="B477" s="7"/>
      <c r="C477" s="244"/>
      <c r="D477" s="244"/>
      <c r="E477" s="244"/>
      <c r="F477" s="244"/>
      <c r="G477" s="244"/>
      <c r="H477" s="244"/>
      <c r="I477" s="244"/>
      <c r="J477" s="244"/>
      <c r="K477" s="244"/>
      <c r="L477" s="244"/>
      <c r="M477" s="244"/>
      <c r="N477" s="244"/>
      <c r="O477" s="244"/>
      <c r="P477" s="244"/>
      <c r="Q477" s="244"/>
      <c r="R477" s="244"/>
      <c r="S477" s="244"/>
      <c r="T477" s="244"/>
      <c r="U477" s="244"/>
      <c r="V477" s="102" t="s">
        <v>77</v>
      </c>
      <c r="W477" s="277"/>
      <c r="X477" s="277"/>
      <c r="Y477" s="277"/>
      <c r="Z477" s="278">
        <f t="shared" si="129"/>
        <v>0</v>
      </c>
      <c r="AA477" s="330"/>
      <c r="AB477" s="331"/>
      <c r="AC477" s="278"/>
      <c r="AD477" s="343"/>
      <c r="AE477" s="331"/>
      <c r="AF477" s="278">
        <f t="shared" si="125"/>
        <v>0</v>
      </c>
      <c r="AG477" s="344"/>
      <c r="AH477" s="280">
        <f t="shared" si="121"/>
        <v>0</v>
      </c>
      <c r="AI477" s="304">
        <f t="shared" si="126"/>
        <v>0</v>
      </c>
      <c r="AJ477" s="343"/>
      <c r="AK477" s="330"/>
      <c r="AL477" s="345">
        <f t="shared" si="130"/>
        <v>0</v>
      </c>
      <c r="AM477" s="346"/>
      <c r="AN477" s="280">
        <f t="shared" si="122"/>
        <v>0</v>
      </c>
      <c r="AO477" s="287">
        <f t="shared" si="120"/>
        <v>0</v>
      </c>
      <c r="AP477" s="244"/>
      <c r="AQ477" s="244"/>
      <c r="AR477" s="244"/>
      <c r="AS477" s="244">
        <f t="shared" si="123"/>
        <v>0</v>
      </c>
      <c r="AT477" s="308">
        <f t="shared" si="124"/>
        <v>0</v>
      </c>
      <c r="AU477" s="244"/>
      <c r="AV477" s="244"/>
      <c r="AW477" s="244"/>
      <c r="AX477" s="244"/>
      <c r="AY477" s="244"/>
      <c r="AZ477" s="244"/>
      <c r="BA477" s="244"/>
      <c r="BB477" s="244"/>
      <c r="BC477" s="244"/>
      <c r="BD477" s="244"/>
      <c r="BE477" s="244"/>
      <c r="BF477" s="244"/>
      <c r="BG477" s="244"/>
      <c r="BH477" s="244"/>
      <c r="BI477" s="244"/>
      <c r="BJ477" s="244"/>
    </row>
    <row r="478" spans="1:62" ht="17.399999999999999">
      <c r="A478" t="str">
        <f t="shared" si="109"/>
        <v>Facility Fund</v>
      </c>
      <c r="B478" s="7"/>
      <c r="C478" s="244"/>
      <c r="D478" s="244"/>
      <c r="E478" s="244"/>
      <c r="F478" s="244"/>
      <c r="G478" s="244"/>
      <c r="H478" s="244"/>
      <c r="I478" s="244"/>
      <c r="J478" s="244"/>
      <c r="K478" s="244"/>
      <c r="L478" s="244"/>
      <c r="M478" s="244"/>
      <c r="N478" s="244"/>
      <c r="O478" s="244"/>
      <c r="P478" s="244"/>
      <c r="Q478" s="244"/>
      <c r="R478" s="244"/>
      <c r="S478" s="244"/>
      <c r="T478" s="244"/>
      <c r="U478" s="244"/>
      <c r="V478" s="102" t="s">
        <v>188</v>
      </c>
      <c r="W478" s="277"/>
      <c r="X478" s="277"/>
      <c r="Y478" s="277"/>
      <c r="Z478" s="278">
        <v>33086.931428571428</v>
      </c>
      <c r="AA478" s="330"/>
      <c r="AB478" s="331"/>
      <c r="AC478" s="278"/>
      <c r="AD478" s="343"/>
      <c r="AE478" s="331"/>
      <c r="AF478" s="278">
        <v>28611.94</v>
      </c>
      <c r="AG478" s="344"/>
      <c r="AH478" s="280">
        <f t="shared" si="121"/>
        <v>-4474.9914285714294</v>
      </c>
      <c r="AI478" s="304">
        <f t="shared" si="126"/>
        <v>-0.13524951500057081</v>
      </c>
      <c r="AJ478" s="343"/>
      <c r="AK478" s="330"/>
      <c r="AL478" s="345">
        <v>15393.29</v>
      </c>
      <c r="AM478" s="346"/>
      <c r="AN478" s="280">
        <f t="shared" si="122"/>
        <v>13218.649999999998</v>
      </c>
      <c r="AO478" s="287">
        <f t="shared" si="120"/>
        <v>0.85872805618551962</v>
      </c>
      <c r="AP478" s="244"/>
      <c r="AQ478" s="244">
        <v>33465</v>
      </c>
      <c r="AR478" s="244">
        <f>1444.45-5639.9+718.3-1375.47</f>
        <v>-4852.62</v>
      </c>
      <c r="AS478" s="244">
        <f t="shared" si="123"/>
        <v>28612.38</v>
      </c>
      <c r="AT478" s="308">
        <f t="shared" si="124"/>
        <v>0.44000000000232831</v>
      </c>
      <c r="AU478" s="244"/>
      <c r="AV478" s="244"/>
      <c r="AW478" s="244"/>
      <c r="AX478" s="244"/>
      <c r="AY478" s="244"/>
      <c r="AZ478" s="244"/>
      <c r="BA478" s="244"/>
      <c r="BB478" s="244"/>
      <c r="BC478" s="244"/>
      <c r="BD478" s="244"/>
      <c r="BE478" s="244"/>
      <c r="BF478" s="244"/>
      <c r="BG478" s="244"/>
      <c r="BH478" s="244"/>
      <c r="BI478" s="244"/>
      <c r="BJ478" s="244"/>
    </row>
    <row r="479" spans="1:62" ht="18" hidden="1" customHeight="1">
      <c r="A479" t="str">
        <f t="shared" si="109"/>
        <v>[...]</v>
      </c>
      <c r="B479" s="7"/>
      <c r="C479" s="244"/>
      <c r="D479" s="244"/>
      <c r="E479" s="244"/>
      <c r="F479" s="244"/>
      <c r="G479" s="244"/>
      <c r="H479" s="244"/>
      <c r="I479" s="244"/>
      <c r="J479" s="244"/>
      <c r="K479" s="244"/>
      <c r="L479" s="244"/>
      <c r="M479" s="244"/>
      <c r="N479" s="244"/>
      <c r="O479" s="244"/>
      <c r="P479" s="244"/>
      <c r="Q479" s="244"/>
      <c r="R479" s="244"/>
      <c r="S479" s="244"/>
      <c r="T479" s="244"/>
      <c r="U479" s="244"/>
      <c r="V479" s="102" t="s">
        <v>19</v>
      </c>
      <c r="W479" s="277"/>
      <c r="X479" s="277"/>
      <c r="Y479" s="277"/>
      <c r="Z479" s="280">
        <f t="shared" ref="Z479:Z480" si="131">IFERROR(SUMIF($C:$C,$V479,F:F),0)</f>
        <v>0</v>
      </c>
      <c r="AA479" s="277"/>
      <c r="AB479" s="277"/>
      <c r="AC479" s="280"/>
      <c r="AD479" s="286"/>
      <c r="AE479" s="285"/>
      <c r="AF479" s="278">
        <f t="shared" ref="AF479:AF481" si="132">+SUMIF($C:$C,$V479,L:L)</f>
        <v>0</v>
      </c>
      <c r="AG479" s="279"/>
      <c r="AH479" s="280">
        <f t="shared" si="121"/>
        <v>0</v>
      </c>
      <c r="AI479" s="281">
        <f t="shared" si="126"/>
        <v>0</v>
      </c>
      <c r="AJ479" s="286"/>
      <c r="AK479" s="277"/>
      <c r="AL479" s="278">
        <f t="shared" ref="AL479:AL480" si="133">+SUMIF($C:$C,$V479,Q:Q)</f>
        <v>0</v>
      </c>
      <c r="AM479" s="346"/>
      <c r="AN479" s="280">
        <f t="shared" si="122"/>
        <v>0</v>
      </c>
      <c r="AO479" s="287">
        <f t="shared" si="120"/>
        <v>0</v>
      </c>
      <c r="AP479" s="244"/>
      <c r="AQ479" s="244"/>
      <c r="AR479" s="244"/>
      <c r="AS479" s="244">
        <f t="shared" si="123"/>
        <v>0</v>
      </c>
      <c r="AT479" s="308">
        <f t="shared" si="124"/>
        <v>0</v>
      </c>
      <c r="AU479" s="244"/>
      <c r="AV479" s="244"/>
      <c r="AW479" s="244"/>
      <c r="AX479" s="244"/>
      <c r="AY479" s="244"/>
      <c r="AZ479" s="244"/>
      <c r="BA479" s="244"/>
      <c r="BB479" s="244"/>
      <c r="BC479" s="244"/>
      <c r="BD479" s="244"/>
      <c r="BE479" s="244"/>
      <c r="BF479" s="244"/>
      <c r="BG479" s="244"/>
      <c r="BH479" s="244"/>
      <c r="BI479" s="244"/>
      <c r="BJ479" s="244"/>
    </row>
    <row r="480" spans="1:62" ht="18" hidden="1" customHeight="1">
      <c r="A480" t="str">
        <f t="shared" si="109"/>
        <v>[...]</v>
      </c>
      <c r="B480" s="7"/>
      <c r="C480" s="244"/>
      <c r="D480" s="244"/>
      <c r="E480" s="244"/>
      <c r="F480" s="244"/>
      <c r="G480" s="244"/>
      <c r="H480" s="244"/>
      <c r="I480" s="244"/>
      <c r="J480" s="244"/>
      <c r="K480" s="244"/>
      <c r="L480" s="244"/>
      <c r="M480" s="244"/>
      <c r="N480" s="244"/>
      <c r="O480" s="244"/>
      <c r="P480" s="244"/>
      <c r="Q480" s="244"/>
      <c r="R480" s="244"/>
      <c r="S480" s="244"/>
      <c r="T480" s="244"/>
      <c r="U480" s="244"/>
      <c r="V480" s="102" t="s">
        <v>19</v>
      </c>
      <c r="W480" s="277"/>
      <c r="X480" s="277"/>
      <c r="Y480" s="277"/>
      <c r="Z480" s="280">
        <f t="shared" si="131"/>
        <v>0</v>
      </c>
      <c r="AA480" s="277"/>
      <c r="AB480" s="277"/>
      <c r="AC480" s="280"/>
      <c r="AD480" s="286"/>
      <c r="AE480" s="285"/>
      <c r="AF480" s="278">
        <f t="shared" si="132"/>
        <v>0</v>
      </c>
      <c r="AG480" s="279"/>
      <c r="AH480" s="280">
        <f t="shared" si="121"/>
        <v>0</v>
      </c>
      <c r="AI480" s="281">
        <f t="shared" si="126"/>
        <v>0</v>
      </c>
      <c r="AJ480" s="286"/>
      <c r="AK480" s="277"/>
      <c r="AL480" s="278">
        <f t="shared" si="133"/>
        <v>0</v>
      </c>
      <c r="AM480" s="346"/>
      <c r="AN480" s="280">
        <f t="shared" si="122"/>
        <v>0</v>
      </c>
      <c r="AO480" s="287">
        <f t="shared" si="120"/>
        <v>0</v>
      </c>
      <c r="AP480" s="244"/>
      <c r="AQ480" s="244"/>
      <c r="AR480" s="244"/>
      <c r="AS480" s="244">
        <f t="shared" si="123"/>
        <v>0</v>
      </c>
      <c r="AT480" s="308">
        <f t="shared" si="124"/>
        <v>0</v>
      </c>
      <c r="AU480" s="244"/>
      <c r="AV480" s="244"/>
      <c r="AW480" s="244"/>
      <c r="AX480" s="244"/>
      <c r="AY480" s="244"/>
      <c r="AZ480" s="244"/>
      <c r="BA480" s="244"/>
      <c r="BB480" s="244"/>
      <c r="BC480" s="244"/>
      <c r="BD480" s="244"/>
      <c r="BE480" s="244"/>
      <c r="BF480" s="244"/>
      <c r="BG480" s="244"/>
      <c r="BH480" s="244"/>
      <c r="BI480" s="244"/>
      <c r="BJ480" s="244"/>
    </row>
    <row r="481" spans="1:62" ht="17.399999999999999">
      <c r="A481" t="str">
        <f t="shared" si="109"/>
        <v>Frais administration</v>
      </c>
      <c r="B481" s="7"/>
      <c r="C481" s="244"/>
      <c r="D481" s="244"/>
      <c r="E481" s="244"/>
      <c r="F481" s="244"/>
      <c r="G481" s="244"/>
      <c r="H481" s="244"/>
      <c r="I481" s="244"/>
      <c r="J481" s="244"/>
      <c r="K481" s="244"/>
      <c r="L481" s="244"/>
      <c r="M481" s="244"/>
      <c r="N481" s="244"/>
      <c r="O481" s="244"/>
      <c r="P481" s="244"/>
      <c r="Q481" s="244"/>
      <c r="R481" s="244"/>
      <c r="S481" s="244"/>
      <c r="T481" s="244"/>
      <c r="U481" s="244"/>
      <c r="V481" s="103" t="s">
        <v>67</v>
      </c>
      <c r="W481" s="277"/>
      <c r="X481" s="277"/>
      <c r="Y481" s="277"/>
      <c r="Z481" s="278">
        <f>+SUMIF($C:$C,$V481,F:F)</f>
        <v>27334.3</v>
      </c>
      <c r="AA481" s="330"/>
      <c r="AB481" s="331"/>
      <c r="AC481" s="278"/>
      <c r="AD481" s="343"/>
      <c r="AE481" s="331"/>
      <c r="AF481" s="278">
        <f t="shared" si="132"/>
        <v>29155</v>
      </c>
      <c r="AG481" s="344"/>
      <c r="AH481" s="280">
        <f t="shared" si="121"/>
        <v>1820.7000000000007</v>
      </c>
      <c r="AI481" s="304">
        <f t="shared" si="126"/>
        <v>6.660861993905097E-2</v>
      </c>
      <c r="AJ481" s="343"/>
      <c r="AK481" s="330"/>
      <c r="AL481" s="345">
        <v>15470</v>
      </c>
      <c r="AM481" s="346"/>
      <c r="AN481" s="280">
        <f t="shared" si="122"/>
        <v>13685</v>
      </c>
      <c r="AO481" s="287">
        <f t="shared" si="120"/>
        <v>0.88461538461538458</v>
      </c>
      <c r="AP481" s="244"/>
      <c r="AQ481" s="244">
        <v>29155</v>
      </c>
      <c r="AR481" s="244"/>
      <c r="AS481" s="244">
        <f t="shared" si="123"/>
        <v>29155</v>
      </c>
      <c r="AT481" s="308">
        <f t="shared" si="124"/>
        <v>0</v>
      </c>
      <c r="AU481" s="244"/>
      <c r="AV481" s="244"/>
      <c r="AW481" s="244"/>
      <c r="AX481" s="244"/>
      <c r="AY481" s="244"/>
      <c r="AZ481" s="244"/>
      <c r="BA481" s="244"/>
      <c r="BB481" s="244"/>
      <c r="BC481" s="244"/>
      <c r="BD481" s="244"/>
      <c r="BE481" s="244"/>
      <c r="BF481" s="244"/>
      <c r="BG481" s="244"/>
      <c r="BH481" s="244"/>
      <c r="BI481" s="244"/>
      <c r="BJ481" s="244"/>
    </row>
    <row r="482" spans="1:62" ht="17.399999999999999">
      <c r="A482" t="str">
        <f t="shared" si="109"/>
        <v>TOTAL AUTRES REVENUS</v>
      </c>
      <c r="B482" s="7"/>
      <c r="C482" s="244"/>
      <c r="D482" s="244"/>
      <c r="E482" s="244"/>
      <c r="F482" s="244"/>
      <c r="G482" s="244"/>
      <c r="H482" s="244"/>
      <c r="I482" s="244"/>
      <c r="J482" s="244"/>
      <c r="K482" s="244"/>
      <c r="L482" s="244"/>
      <c r="M482" s="244"/>
      <c r="N482" s="244"/>
      <c r="O482" s="244"/>
      <c r="P482" s="244"/>
      <c r="Q482" s="244"/>
      <c r="R482" s="244"/>
      <c r="S482" s="244"/>
      <c r="T482" s="244"/>
      <c r="U482" s="244"/>
      <c r="V482" s="294" t="s">
        <v>178</v>
      </c>
      <c r="W482" s="295"/>
      <c r="X482" s="296">
        <f>Z482/+Z408</f>
        <v>0.35012289581160977</v>
      </c>
      <c r="Y482" s="328"/>
      <c r="Z482" s="297">
        <f>SUM(Z470:Z481)</f>
        <v>173959.6857142857</v>
      </c>
      <c r="AA482" s="296"/>
      <c r="AB482" s="328"/>
      <c r="AC482" s="297"/>
      <c r="AD482" s="296">
        <f>AF482/+AF408</f>
        <v>0.37027691171470284</v>
      </c>
      <c r="AE482" s="328"/>
      <c r="AF482" s="297">
        <f>SUM(AF470:AF481)</f>
        <v>206079.2</v>
      </c>
      <c r="AG482" s="306"/>
      <c r="AH482" s="300">
        <f t="shared" si="121"/>
        <v>32119.514285714307</v>
      </c>
      <c r="AI482" s="296">
        <f>AH482/Z482</f>
        <v>0.18463768863360638</v>
      </c>
      <c r="AJ482" s="347"/>
      <c r="AK482" s="348"/>
      <c r="AL482" s="297">
        <f>SUM(AL470:AL481)</f>
        <v>80980.700000000012</v>
      </c>
      <c r="AM482" s="349"/>
      <c r="AN482" s="300">
        <f t="shared" si="122"/>
        <v>125098.5</v>
      </c>
      <c r="AO482" s="329">
        <f t="shared" si="120"/>
        <v>1.5447940064731471</v>
      </c>
      <c r="AP482" s="244"/>
      <c r="AQ482" s="244">
        <f t="shared" ref="AQ482:AR482" si="134">SUM(AQ470:AQ481)</f>
        <v>223116.25</v>
      </c>
      <c r="AR482" s="244">
        <f t="shared" si="134"/>
        <v>-17036.62</v>
      </c>
      <c r="AS482" s="308">
        <f>SUM(AS470:AS481)-AF482</f>
        <v>0.42999999999301508</v>
      </c>
      <c r="AT482" s="308"/>
      <c r="AU482" s="244"/>
      <c r="AV482" s="244"/>
      <c r="AW482" s="244"/>
      <c r="AX482" s="244"/>
      <c r="AY482" s="244"/>
      <c r="AZ482" s="244"/>
      <c r="BA482" s="244"/>
      <c r="BB482" s="244"/>
      <c r="BC482" s="244"/>
      <c r="BD482" s="244"/>
      <c r="BE482" s="244"/>
      <c r="BF482" s="244"/>
      <c r="BG482" s="244"/>
      <c r="BH482" s="244"/>
      <c r="BI482" s="244"/>
      <c r="BJ482" s="244"/>
    </row>
    <row r="483" spans="1:62" ht="18" thickBot="1">
      <c r="A483" t="str">
        <f t="shared" si="109"/>
        <v/>
      </c>
      <c r="B483" s="7"/>
      <c r="C483" s="244"/>
      <c r="D483" s="244"/>
      <c r="E483" s="244"/>
      <c r="F483" s="244"/>
      <c r="G483" s="244"/>
      <c r="H483" s="244"/>
      <c r="I483" s="244"/>
      <c r="J483" s="244"/>
      <c r="K483" s="244"/>
      <c r="L483" s="244"/>
      <c r="M483" s="244"/>
      <c r="N483" s="244"/>
      <c r="O483" s="244"/>
      <c r="P483" s="244"/>
      <c r="Q483" s="244"/>
      <c r="R483" s="244"/>
      <c r="S483" s="244"/>
      <c r="T483" s="244"/>
      <c r="U483" s="244"/>
      <c r="V483" s="350"/>
      <c r="W483" s="351"/>
      <c r="X483" s="351"/>
      <c r="Y483" s="352"/>
      <c r="Z483" s="353"/>
      <c r="AA483" s="351"/>
      <c r="AB483" s="354"/>
      <c r="AC483" s="353"/>
      <c r="AD483" s="351"/>
      <c r="AE483" s="354"/>
      <c r="AF483" s="355"/>
      <c r="AG483" s="356"/>
      <c r="AH483" s="357"/>
      <c r="AI483" s="358"/>
      <c r="AJ483" s="359"/>
      <c r="AK483" s="360"/>
      <c r="AL483" s="355"/>
      <c r="AM483" s="361"/>
      <c r="AN483" s="357">
        <f t="shared" si="122"/>
        <v>0</v>
      </c>
      <c r="AO483" s="362">
        <f t="shared" si="120"/>
        <v>0</v>
      </c>
      <c r="AP483" s="244"/>
      <c r="AQ483" s="244"/>
      <c r="AR483" s="244"/>
      <c r="AS483" s="244"/>
      <c r="AT483" s="244"/>
      <c r="AU483" s="244"/>
      <c r="AV483" s="244"/>
      <c r="AW483" s="244"/>
      <c r="AX483" s="244"/>
      <c r="AY483" s="244"/>
      <c r="AZ483" s="244"/>
      <c r="BA483" s="244"/>
      <c r="BB483" s="244"/>
      <c r="BC483" s="244"/>
      <c r="BD483" s="244"/>
      <c r="BE483" s="244"/>
      <c r="BF483" s="244"/>
      <c r="BG483" s="244"/>
      <c r="BH483" s="244"/>
      <c r="BI483" s="244"/>
      <c r="BJ483" s="244"/>
    </row>
    <row r="484" spans="1:62" ht="18.600000000000001" thickTop="1" thickBot="1">
      <c r="A484" t="str">
        <f t="shared" si="109"/>
        <v>BAIIA OPÉRATIONNEL</v>
      </c>
      <c r="B484" s="7"/>
      <c r="C484" s="244"/>
      <c r="D484" s="244"/>
      <c r="E484" s="244"/>
      <c r="F484" s="244"/>
      <c r="G484" s="244"/>
      <c r="H484" s="244"/>
      <c r="I484" s="244"/>
      <c r="J484" s="244"/>
      <c r="K484" s="244"/>
      <c r="L484" s="244"/>
      <c r="M484" s="244"/>
      <c r="N484" s="244"/>
      <c r="O484" s="244"/>
      <c r="P484" s="244"/>
      <c r="Q484" s="244"/>
      <c r="R484" s="244"/>
      <c r="S484" s="244"/>
      <c r="T484" s="244"/>
      <c r="U484" s="244"/>
      <c r="V484" s="363" t="s">
        <v>179</v>
      </c>
      <c r="W484" s="364"/>
      <c r="X484" s="365" t="s">
        <v>180</v>
      </c>
      <c r="Y484" s="366">
        <f>Z484/Z407</f>
        <v>3.6666183255329922E-2</v>
      </c>
      <c r="Z484" s="367">
        <f>Z408-Z469+Z482</f>
        <v>193594.65940957185</v>
      </c>
      <c r="AA484" s="365"/>
      <c r="AB484" s="366"/>
      <c r="AC484" s="367"/>
      <c r="AD484" s="365" t="s">
        <v>180</v>
      </c>
      <c r="AE484" s="366">
        <f>AF484/AF407</f>
        <v>5.7943935307239215E-2</v>
      </c>
      <c r="AF484" s="368">
        <f>AF408-AF469+AF482</f>
        <v>309643.69</v>
      </c>
      <c r="AG484" s="369"/>
      <c r="AH484" s="368">
        <f>AF484-Z484</f>
        <v>116049.03059042816</v>
      </c>
      <c r="AI484" s="481">
        <f>AH484/Z484</f>
        <v>0.59944334696192747</v>
      </c>
      <c r="AJ484" s="371" t="s">
        <v>180</v>
      </c>
      <c r="AK484" s="366">
        <f>IF($AL$407=0,0,AL484/$AL$407)</f>
        <v>5.3526494562533885E-3</v>
      </c>
      <c r="AL484" s="368">
        <f>AL408-AL469+AL482</f>
        <v>14296.289999999979</v>
      </c>
      <c r="AM484" s="372"/>
      <c r="AN484" s="368">
        <f t="shared" si="122"/>
        <v>295347.40000000002</v>
      </c>
      <c r="AO484" s="373">
        <f t="shared" si="120"/>
        <v>20.659024124440709</v>
      </c>
      <c r="AP484" s="244"/>
      <c r="AQ484" s="244"/>
      <c r="AS484" s="244"/>
      <c r="AT484" s="244"/>
      <c r="AU484" s="244"/>
      <c r="AV484" s="244"/>
      <c r="AW484" s="244"/>
      <c r="AX484" s="244"/>
      <c r="AY484" s="244"/>
      <c r="AZ484" s="244"/>
      <c r="BA484" s="244"/>
      <c r="BB484" s="244"/>
      <c r="BC484" s="244"/>
      <c r="BD484" s="244"/>
      <c r="BE484" s="244"/>
      <c r="BF484" s="244"/>
      <c r="BG484" s="244"/>
      <c r="BH484" s="244"/>
      <c r="BI484" s="244"/>
      <c r="BJ484" s="244"/>
    </row>
    <row r="485" spans="1:62" ht="36" thickTop="1">
      <c r="A485" t="str">
        <f t="shared" si="109"/>
        <v/>
      </c>
      <c r="B485" s="7"/>
      <c r="C485" s="244"/>
      <c r="D485" s="244"/>
      <c r="E485" s="244"/>
      <c r="F485" s="244"/>
      <c r="G485" s="244"/>
      <c r="H485" s="244"/>
      <c r="I485" s="244"/>
      <c r="J485" s="244"/>
      <c r="K485" s="244"/>
      <c r="L485" s="244"/>
      <c r="M485" s="244"/>
      <c r="N485" s="244"/>
      <c r="O485" s="244"/>
      <c r="P485" s="244"/>
      <c r="Q485" s="244"/>
      <c r="R485" s="244"/>
      <c r="S485" s="244"/>
      <c r="T485" s="244"/>
      <c r="U485" s="244"/>
      <c r="V485" s="6"/>
      <c r="W485" s="6"/>
      <c r="X485" s="6"/>
      <c r="Y485" s="6"/>
      <c r="Z485" s="82"/>
      <c r="AA485" s="13"/>
      <c r="AB485" s="13"/>
      <c r="AC485" s="82"/>
      <c r="AD485" s="13"/>
      <c r="AE485" s="13"/>
      <c r="AF485" s="374"/>
      <c r="AG485" s="13"/>
      <c r="AH485" s="13"/>
      <c r="AI485" s="13"/>
      <c r="AJ485" s="13"/>
      <c r="AK485" s="13"/>
      <c r="AL485" s="82"/>
      <c r="AM485" s="13"/>
      <c r="AN485" s="13"/>
      <c r="AO485" s="13"/>
      <c r="AP485" s="244"/>
      <c r="AQ485" s="244"/>
      <c r="AR485" s="244"/>
      <c r="AS485" s="244"/>
      <c r="AT485" s="244"/>
      <c r="AU485" s="244"/>
      <c r="AV485" s="244"/>
      <c r="AW485" s="244"/>
      <c r="AX485" s="244"/>
      <c r="AY485" s="244"/>
      <c r="AZ485" s="244"/>
      <c r="BA485" s="244"/>
      <c r="BB485" s="244"/>
      <c r="BC485" s="244"/>
      <c r="BD485" s="244"/>
      <c r="BE485" s="244"/>
      <c r="BF485" s="244"/>
      <c r="BG485" s="244"/>
      <c r="BH485" s="244"/>
      <c r="BI485" s="244"/>
      <c r="BJ485" s="244"/>
    </row>
    <row r="486" spans="1:62" ht="35.4">
      <c r="A486" t="str">
        <f t="shared" si="109"/>
        <v>BMW Sherbrooke</v>
      </c>
      <c r="B486" s="7"/>
      <c r="C486" s="244"/>
      <c r="D486" s="244"/>
      <c r="E486" s="244"/>
      <c r="F486" s="244"/>
      <c r="G486" s="244"/>
      <c r="H486" s="244"/>
      <c r="I486" s="244"/>
      <c r="J486" s="244"/>
      <c r="K486" s="244"/>
      <c r="L486" s="244"/>
      <c r="M486" s="244"/>
      <c r="N486" s="244"/>
      <c r="O486" s="244"/>
      <c r="P486" s="244"/>
      <c r="Q486" s="244"/>
      <c r="R486" s="244"/>
      <c r="S486" s="244"/>
      <c r="T486" s="244"/>
      <c r="U486" s="244"/>
      <c r="V486" s="6" t="str">
        <f>C1</f>
        <v>BMW Sherbrooke</v>
      </c>
      <c r="W486" s="6"/>
      <c r="X486" s="6"/>
      <c r="Y486" s="6"/>
      <c r="Z486" s="1"/>
      <c r="AA486" s="1"/>
      <c r="AB486" s="6"/>
      <c r="AC486" s="6"/>
      <c r="AD486" s="1"/>
      <c r="AE486" s="3" t="s">
        <v>181</v>
      </c>
      <c r="AF486" s="6"/>
      <c r="AG486" s="6"/>
      <c r="AH486" s="1"/>
      <c r="AI486" s="1"/>
      <c r="AJ486" s="253"/>
      <c r="AK486" s="2"/>
      <c r="AL486" s="1"/>
      <c r="AM486" s="6"/>
      <c r="AN486" s="6"/>
      <c r="AO486" s="5" t="str">
        <f>$S$1</f>
        <v>Réalisé, Septembre 2026</v>
      </c>
      <c r="AP486" s="244"/>
      <c r="AQ486" s="244"/>
      <c r="AR486" s="244"/>
      <c r="AS486" s="244"/>
      <c r="AT486" s="244"/>
      <c r="AU486" s="244"/>
      <c r="AV486" s="244"/>
      <c r="AW486" s="244"/>
      <c r="AX486" s="244"/>
      <c r="AY486" s="244"/>
      <c r="AZ486" s="244"/>
      <c r="BA486" s="244"/>
      <c r="BB486" s="244"/>
      <c r="BC486" s="244"/>
      <c r="BD486" s="244"/>
      <c r="BE486" s="244"/>
      <c r="BF486" s="244"/>
      <c r="BG486" s="244"/>
      <c r="BH486" s="244"/>
      <c r="BI486" s="244"/>
      <c r="BJ486" s="244"/>
    </row>
    <row r="487" spans="1:62" ht="35.25" hidden="1" customHeight="1" thickBot="1">
      <c r="A487" t="str">
        <f t="shared" si="109"/>
        <v/>
      </c>
      <c r="B487" s="7"/>
      <c r="C487" s="244"/>
      <c r="D487" s="244"/>
      <c r="E487" s="244"/>
      <c r="F487" s="244"/>
      <c r="G487" s="244"/>
      <c r="H487" s="244"/>
      <c r="I487" s="244"/>
      <c r="J487" s="244"/>
      <c r="K487" s="244"/>
      <c r="L487" s="244"/>
      <c r="M487" s="244"/>
      <c r="N487" s="244"/>
      <c r="O487" s="244"/>
      <c r="P487" s="244"/>
      <c r="Q487" s="244"/>
      <c r="R487" s="244"/>
      <c r="S487" s="244"/>
      <c r="T487" s="244"/>
      <c r="U487" s="244"/>
      <c r="V487" s="6"/>
      <c r="W487" s="6"/>
      <c r="X487" s="6"/>
      <c r="Y487" s="6"/>
      <c r="Z487" s="82"/>
      <c r="AA487" s="13"/>
      <c r="AB487" s="13"/>
      <c r="AC487" s="82"/>
      <c r="AD487" s="13"/>
      <c r="AE487" s="13"/>
      <c r="AF487" s="374"/>
      <c r="AG487" s="13"/>
      <c r="AH487" s="13"/>
      <c r="AI487" s="13"/>
      <c r="AJ487" s="13"/>
      <c r="AK487" s="13"/>
      <c r="AL487" s="82"/>
      <c r="AM487" s="13"/>
      <c r="AN487" s="13"/>
      <c r="AO487" s="13"/>
      <c r="AP487" s="244"/>
      <c r="AQ487" s="244"/>
      <c r="AR487" s="244"/>
      <c r="AS487" s="244"/>
      <c r="AT487" s="244"/>
      <c r="AU487" s="244"/>
      <c r="AV487" s="244"/>
      <c r="AW487" s="244"/>
      <c r="AX487" s="244"/>
      <c r="AY487" s="244"/>
      <c r="AZ487" s="244"/>
      <c r="BA487" s="244"/>
      <c r="BB487" s="244"/>
      <c r="BC487" s="244"/>
      <c r="BD487" s="244"/>
      <c r="BE487" s="244"/>
      <c r="BF487" s="244"/>
      <c r="BG487" s="244"/>
      <c r="BH487" s="244"/>
      <c r="BI487" s="244"/>
      <c r="BJ487" s="244"/>
    </row>
    <row r="488" spans="1:62" ht="36" thickBot="1">
      <c r="A488" t="str">
        <f t="shared" si="109"/>
        <v/>
      </c>
      <c r="B488" s="7"/>
      <c r="C488" s="244"/>
      <c r="D488" s="244"/>
      <c r="E488" s="244"/>
      <c r="F488" s="244"/>
      <c r="G488" s="244"/>
      <c r="H488" s="244"/>
      <c r="I488" s="244"/>
      <c r="J488" s="244"/>
      <c r="K488" s="244"/>
      <c r="L488" s="244"/>
      <c r="M488" s="244"/>
      <c r="N488" s="244"/>
      <c r="O488" s="244"/>
      <c r="P488" s="244"/>
      <c r="Q488" s="244"/>
      <c r="R488" s="244"/>
      <c r="S488" s="244"/>
      <c r="T488" s="244"/>
      <c r="U488" s="244"/>
      <c r="V488" s="6"/>
      <c r="W488" s="6"/>
      <c r="X488" s="6"/>
      <c r="Y488" s="6"/>
      <c r="Z488" s="82"/>
      <c r="AA488" s="13"/>
      <c r="AB488" s="13"/>
      <c r="AC488" s="82"/>
      <c r="AD488" s="13"/>
      <c r="AE488" s="13"/>
      <c r="AF488" s="374"/>
      <c r="AG488" s="13"/>
      <c r="AH488" s="13"/>
      <c r="AI488" s="13"/>
      <c r="AJ488" s="13"/>
      <c r="AK488" s="13"/>
      <c r="AL488" s="82"/>
      <c r="AM488" s="13"/>
      <c r="AN488" s="13"/>
      <c r="AO488" s="13"/>
      <c r="AP488" s="244"/>
      <c r="AQ488" s="244"/>
      <c r="AR488" s="244"/>
      <c r="AS488" s="244"/>
      <c r="AT488" s="244"/>
      <c r="AU488" s="244"/>
      <c r="AV488" s="244"/>
      <c r="AW488" s="244"/>
      <c r="AX488" s="244"/>
      <c r="AY488" s="244"/>
      <c r="AZ488" s="244"/>
      <c r="BA488" s="244"/>
      <c r="BB488" s="244"/>
      <c r="BC488" s="244"/>
      <c r="BD488" s="244"/>
      <c r="BE488" s="244"/>
      <c r="BF488" s="244"/>
      <c r="BG488" s="244"/>
      <c r="BH488" s="244"/>
      <c r="BI488" s="244"/>
      <c r="BJ488" s="244"/>
    </row>
    <row r="489" spans="1:62" ht="18.600000000000001" hidden="1" thickTop="1" thickBot="1">
      <c r="A489" t="e">
        <f>+U489&amp;#REF!</f>
        <v>#REF!</v>
      </c>
      <c r="B489" s="7"/>
      <c r="C489" s="244"/>
      <c r="D489" s="244"/>
      <c r="E489" s="244"/>
      <c r="F489" s="244"/>
      <c r="G489" s="244"/>
      <c r="H489" s="244"/>
      <c r="I489" s="244"/>
      <c r="J489" s="244"/>
      <c r="K489" s="244"/>
      <c r="L489" s="244"/>
      <c r="M489" s="244"/>
      <c r="N489" s="244"/>
      <c r="O489" s="244"/>
      <c r="P489" s="244"/>
      <c r="Q489" s="244"/>
      <c r="R489" s="244"/>
      <c r="S489" s="244"/>
      <c r="T489" s="244"/>
      <c r="U489" s="244"/>
      <c r="V489" s="441" t="s">
        <v>208</v>
      </c>
      <c r="W489" s="442"/>
      <c r="X489" s="443" t="s">
        <v>180</v>
      </c>
      <c r="Y489" s="444">
        <f>Z489/Z407</f>
        <v>4.2501789611488976E-2</v>
      </c>
      <c r="Z489" s="446">
        <f>Z490+Z416</f>
        <v>224406.21721753437</v>
      </c>
      <c r="AA489" s="443"/>
      <c r="AB489" s="444"/>
      <c r="AC489" s="445"/>
      <c r="AD489" s="443" t="s">
        <v>180</v>
      </c>
      <c r="AE489" s="444">
        <f>AF489/AF407</f>
        <v>6.3695687482686281E-2</v>
      </c>
      <c r="AF489" s="446">
        <f>AF490+AF416</f>
        <v>340380.19</v>
      </c>
      <c r="AG489" s="447"/>
      <c r="AH489" s="446">
        <f t="shared" ref="AH489:AH490" si="135">AF489-Z489</f>
        <v>115973.97278246563</v>
      </c>
      <c r="AI489" s="488">
        <f t="shared" ref="AI489:AI490" si="136">AH489/Z489</f>
        <v>0.51680374198386425</v>
      </c>
      <c r="AJ489" s="443" t="s">
        <v>180</v>
      </c>
      <c r="AK489" s="444">
        <f t="shared" ref="AK489:AK490" si="137">IF($AL$407=0,0,AL489/$AL$407)</f>
        <v>1.47471000252894E-2</v>
      </c>
      <c r="AL489" s="446">
        <f>AL490+AL416</f>
        <v>39387.749999999978</v>
      </c>
      <c r="AM489" s="448"/>
      <c r="AN489" s="446">
        <f t="shared" ref="AN489:AN490" si="138">AF489-AL489</f>
        <v>300992.44</v>
      </c>
      <c r="AO489" s="449">
        <f t="shared" ref="AO489:AO490" si="139">IF(AL489=0,0,AN489/AL489)</f>
        <v>7.6417779639608803</v>
      </c>
      <c r="AP489" s="244"/>
      <c r="AQ489" s="244"/>
      <c r="AR489" s="244"/>
      <c r="AS489" s="244"/>
      <c r="AT489" s="244"/>
      <c r="AU489" s="244"/>
      <c r="AV489" s="244"/>
      <c r="AW489" s="244"/>
      <c r="AX489" s="244"/>
      <c r="AY489" s="244"/>
      <c r="AZ489" s="244"/>
      <c r="BA489" s="244"/>
      <c r="BB489" s="244"/>
      <c r="BC489" s="244"/>
      <c r="BD489" s="244"/>
      <c r="BE489" s="244"/>
      <c r="BF489" s="244"/>
      <c r="BG489" s="244"/>
      <c r="BH489" s="244"/>
      <c r="BI489" s="244"/>
      <c r="BJ489" s="244"/>
    </row>
    <row r="490" spans="1:62" ht="18.600000000000001" thickTop="1" thickBot="1">
      <c r="A490" t="str">
        <f t="shared" ref="A490:A499" si="140">+U490&amp;V490</f>
        <v>BAIIA OPÉRATIONNEL</v>
      </c>
      <c r="B490" s="7"/>
      <c r="C490" s="244"/>
      <c r="D490" s="244"/>
      <c r="E490" s="244"/>
      <c r="F490" s="244"/>
      <c r="G490" s="244"/>
      <c r="H490" s="244"/>
      <c r="I490" s="244"/>
      <c r="J490" s="244"/>
      <c r="K490" s="244"/>
      <c r="L490" s="244"/>
      <c r="M490" s="244"/>
      <c r="N490" s="244"/>
      <c r="O490" s="244"/>
      <c r="P490" s="244"/>
      <c r="Q490" s="244"/>
      <c r="R490" s="244"/>
      <c r="S490" s="244"/>
      <c r="T490" s="244"/>
      <c r="U490" s="244"/>
      <c r="V490" s="375" t="s">
        <v>179</v>
      </c>
      <c r="W490" s="376"/>
      <c r="X490" s="377" t="s">
        <v>180</v>
      </c>
      <c r="Y490" s="378">
        <f>Z490/Z407</f>
        <v>3.6666183255329922E-2</v>
      </c>
      <c r="Z490" s="379">
        <f>Z484</f>
        <v>193594.65940957185</v>
      </c>
      <c r="AA490" s="377"/>
      <c r="AB490" s="378"/>
      <c r="AC490" s="379"/>
      <c r="AD490" s="377" t="s">
        <v>180</v>
      </c>
      <c r="AE490" s="378">
        <f>AF490/AF407</f>
        <v>5.7943935307239215E-2</v>
      </c>
      <c r="AF490" s="379">
        <f>AF484</f>
        <v>309643.69</v>
      </c>
      <c r="AG490" s="380"/>
      <c r="AH490" s="368">
        <f t="shared" si="135"/>
        <v>116049.03059042816</v>
      </c>
      <c r="AI490" s="481">
        <f t="shared" si="136"/>
        <v>0.59944334696192747</v>
      </c>
      <c r="AJ490" s="377" t="s">
        <v>180</v>
      </c>
      <c r="AK490" s="378">
        <f t="shared" si="137"/>
        <v>5.3526494562533885E-3</v>
      </c>
      <c r="AL490" s="381">
        <f>AL484</f>
        <v>14296.289999999979</v>
      </c>
      <c r="AM490" s="382"/>
      <c r="AN490" s="383">
        <f t="shared" si="138"/>
        <v>295347.40000000002</v>
      </c>
      <c r="AO490" s="384">
        <f t="shared" si="139"/>
        <v>20.659024124440709</v>
      </c>
      <c r="AP490" s="244"/>
      <c r="AQ490" s="244"/>
      <c r="AR490" s="244"/>
      <c r="AS490" s="244"/>
      <c r="AT490" s="244"/>
      <c r="AU490" s="244"/>
      <c r="AV490" s="244"/>
      <c r="AW490" s="244"/>
      <c r="AX490" s="244"/>
      <c r="AY490" s="244"/>
      <c r="AZ490" s="244"/>
      <c r="BA490" s="244"/>
      <c r="BB490" s="244"/>
      <c r="BC490" s="244"/>
      <c r="BD490" s="244"/>
      <c r="BE490" s="244"/>
      <c r="BF490" s="244"/>
      <c r="BG490" s="244"/>
      <c r="BH490" s="244"/>
      <c r="BI490" s="244"/>
      <c r="BJ490" s="244"/>
    </row>
    <row r="491" spans="1:62" ht="16.2" thickTop="1">
      <c r="A491" t="str">
        <f t="shared" si="140"/>
        <v/>
      </c>
      <c r="B491" s="7"/>
      <c r="C491" s="244"/>
      <c r="D491" s="244"/>
      <c r="E491" s="244"/>
      <c r="F491" s="308"/>
      <c r="G491" s="244"/>
      <c r="H491" s="244"/>
      <c r="I491" s="308"/>
      <c r="J491" s="244"/>
      <c r="K491" s="244"/>
      <c r="L491" s="244"/>
      <c r="M491" s="308"/>
      <c r="N491" s="244"/>
      <c r="O491" s="244"/>
      <c r="P491" s="244"/>
      <c r="Q491" s="308"/>
      <c r="R491" s="308"/>
      <c r="S491" s="308"/>
      <c r="T491" s="332"/>
      <c r="U491" s="332"/>
      <c r="V491" s="385"/>
      <c r="W491" s="244"/>
      <c r="X491" s="244"/>
      <c r="Y491" s="244"/>
      <c r="Z491" s="386"/>
      <c r="AA491" s="244"/>
      <c r="AB491" s="244"/>
      <c r="AC491" s="387"/>
      <c r="AD491" s="244"/>
      <c r="AE491" s="244"/>
      <c r="AF491" s="387"/>
      <c r="AG491" s="244"/>
      <c r="AH491" s="244"/>
      <c r="AI491" s="387"/>
      <c r="AJ491" s="244"/>
      <c r="AK491" s="244"/>
      <c r="AL491" s="388"/>
      <c r="AM491" s="389"/>
      <c r="AN491" s="244"/>
      <c r="AO491" s="390"/>
      <c r="AP491" s="244"/>
      <c r="AQ491" s="244"/>
      <c r="AR491" s="244"/>
      <c r="AS491" s="244"/>
      <c r="AT491" s="244"/>
      <c r="AU491" s="244"/>
      <c r="AV491" s="244"/>
      <c r="AW491" s="244"/>
      <c r="AX491" s="244"/>
      <c r="AY491" s="244"/>
      <c r="AZ491" s="244"/>
      <c r="BA491" s="244"/>
      <c r="BB491" s="244"/>
      <c r="BC491" s="244"/>
      <c r="BD491" s="244"/>
      <c r="BE491" s="244"/>
      <c r="BF491" s="244"/>
      <c r="BG491" s="244"/>
      <c r="BH491" s="244"/>
      <c r="BI491" s="244"/>
      <c r="BJ491" s="244"/>
    </row>
    <row r="492" spans="1:62" ht="17.399999999999999">
      <c r="A492" t="str">
        <f t="shared" si="140"/>
        <v>Amortissement</v>
      </c>
      <c r="B492" s="7"/>
      <c r="C492" s="244"/>
      <c r="D492" s="244"/>
      <c r="E492" s="244"/>
      <c r="F492" s="244"/>
      <c r="G492" s="244"/>
      <c r="H492" s="244"/>
      <c r="I492" s="244"/>
      <c r="J492" s="244"/>
      <c r="K492" s="244"/>
      <c r="L492" s="244"/>
      <c r="M492" s="244"/>
      <c r="N492" s="244"/>
      <c r="O492" s="244"/>
      <c r="P492" s="244"/>
      <c r="Q492" s="244"/>
      <c r="R492" s="244"/>
      <c r="S492" s="244"/>
      <c r="T492" s="244"/>
      <c r="U492" s="244"/>
      <c r="V492" s="102" t="s">
        <v>182</v>
      </c>
      <c r="W492" s="284"/>
      <c r="X492" s="277"/>
      <c r="Y492" s="285"/>
      <c r="Z492" s="278">
        <v>4077.75</v>
      </c>
      <c r="AA492" s="277"/>
      <c r="AB492" s="285"/>
      <c r="AC492" s="278"/>
      <c r="AD492" s="277"/>
      <c r="AE492" s="285"/>
      <c r="AF492" s="278">
        <v>4077.75</v>
      </c>
      <c r="AG492" s="277"/>
      <c r="AH492" s="280">
        <f t="shared" ref="AH492:AH499" si="141">AF492-Z492</f>
        <v>0</v>
      </c>
      <c r="AI492" s="304">
        <f t="shared" ref="AI492:AI498" si="142">IF(Z492=0,0,AH492/Z492)</f>
        <v>0</v>
      </c>
      <c r="AJ492" s="277"/>
      <c r="AK492" s="277"/>
      <c r="AL492" s="278">
        <v>15300</v>
      </c>
      <c r="AM492" s="282"/>
      <c r="AN492" s="280">
        <f t="shared" ref="AN492:AN499" si="143">AF492-AL492</f>
        <v>-11222.25</v>
      </c>
      <c r="AO492" s="287">
        <f t="shared" ref="AO492:AO499" si="144">IF(AL492=0,0,AN492/AL492)</f>
        <v>-0.73348039215686278</v>
      </c>
      <c r="AP492" s="244"/>
      <c r="AQ492" s="494">
        <v>4078</v>
      </c>
      <c r="AR492" s="308">
        <f t="shared" ref="AR492:AR497" si="145">AQ492-AF492</f>
        <v>0.25</v>
      </c>
      <c r="AS492" s="244"/>
      <c r="AT492" s="244"/>
      <c r="AU492" s="244"/>
      <c r="AV492" s="244"/>
      <c r="AW492" s="244"/>
      <c r="AX492" s="244"/>
      <c r="AY492" s="244"/>
      <c r="AZ492" s="244"/>
      <c r="BA492" s="244"/>
      <c r="BB492" s="244"/>
      <c r="BC492" s="244"/>
      <c r="BD492" s="244"/>
      <c r="BE492" s="244"/>
      <c r="BF492" s="244"/>
      <c r="BG492" s="244"/>
      <c r="BH492" s="244"/>
      <c r="BI492" s="244"/>
      <c r="BJ492" s="244"/>
    </row>
    <row r="493" spans="1:62" ht="20.25" hidden="1" customHeight="1">
      <c r="A493" t="str">
        <f t="shared" si="140"/>
        <v>Intérêts sur marge</v>
      </c>
      <c r="B493" s="7"/>
      <c r="C493" s="244"/>
      <c r="D493" s="244"/>
      <c r="E493" s="244"/>
      <c r="F493" s="308"/>
      <c r="G493" s="244"/>
      <c r="H493" s="244"/>
      <c r="I493" s="308"/>
      <c r="J493" s="244"/>
      <c r="K493" s="244"/>
      <c r="L493" s="244"/>
      <c r="M493" s="308"/>
      <c r="N493" s="244"/>
      <c r="O493" s="244"/>
      <c r="P493" s="244"/>
      <c r="Q493" s="308"/>
      <c r="R493" s="308"/>
      <c r="S493" s="308"/>
      <c r="T493" s="244"/>
      <c r="U493" s="244"/>
      <c r="V493" s="102" t="s">
        <v>183</v>
      </c>
      <c r="W493" s="10"/>
      <c r="X493" s="10"/>
      <c r="Y493" s="10"/>
      <c r="Z493" s="278">
        <v>0</v>
      </c>
      <c r="AA493" s="10"/>
      <c r="AB493" s="10"/>
      <c r="AC493" s="278"/>
      <c r="AD493" s="10"/>
      <c r="AE493" s="13"/>
      <c r="AF493" s="278">
        <v>0</v>
      </c>
      <c r="AG493" s="10"/>
      <c r="AH493" s="280">
        <f t="shared" si="141"/>
        <v>0</v>
      </c>
      <c r="AI493" s="304">
        <f t="shared" si="142"/>
        <v>0</v>
      </c>
      <c r="AJ493" s="10"/>
      <c r="AK493" s="10"/>
      <c r="AL493" s="278">
        <v>0</v>
      </c>
      <c r="AM493" s="391"/>
      <c r="AN493" s="280">
        <f t="shared" si="143"/>
        <v>0</v>
      </c>
      <c r="AO493" s="287">
        <f t="shared" si="144"/>
        <v>0</v>
      </c>
      <c r="AP493" s="244"/>
      <c r="AQ493" s="244"/>
      <c r="AR493" s="308">
        <f t="shared" si="145"/>
        <v>0</v>
      </c>
      <c r="AS493" s="244"/>
      <c r="AT493" s="244"/>
      <c r="AU493" s="244"/>
      <c r="AV493" s="244"/>
      <c r="AW493" s="244"/>
      <c r="AX493" s="244"/>
      <c r="AY493" s="244"/>
      <c r="AZ493" s="244"/>
      <c r="BA493" s="244"/>
      <c r="BB493" s="244"/>
      <c r="BC493" s="244"/>
      <c r="BD493" s="244"/>
      <c r="BE493" s="244"/>
      <c r="BF493" s="244"/>
      <c r="BG493" s="244"/>
      <c r="BH493" s="244"/>
      <c r="BI493" s="244"/>
      <c r="BJ493" s="244"/>
    </row>
    <row r="494" spans="1:62" ht="22.5" hidden="1" customHeight="1">
      <c r="A494" t="str">
        <f t="shared" si="140"/>
        <v>Intérêts sur prêt</v>
      </c>
      <c r="B494" s="7"/>
      <c r="C494" s="244"/>
      <c r="D494" s="244"/>
      <c r="E494" s="244"/>
      <c r="F494" s="308"/>
      <c r="G494" s="244"/>
      <c r="H494" s="244"/>
      <c r="I494" s="308"/>
      <c r="J494" s="244"/>
      <c r="K494" s="244"/>
      <c r="L494" s="244"/>
      <c r="M494" s="308"/>
      <c r="N494" s="244"/>
      <c r="O494" s="244"/>
      <c r="P494" s="244"/>
      <c r="Q494" s="308"/>
      <c r="R494" s="308"/>
      <c r="S494" s="308"/>
      <c r="T494" s="244"/>
      <c r="U494" s="244"/>
      <c r="V494" s="102" t="s">
        <v>184</v>
      </c>
      <c r="W494" s="13"/>
      <c r="X494" s="13"/>
      <c r="Y494" s="13"/>
      <c r="Z494" s="278">
        <v>0</v>
      </c>
      <c r="AA494" s="10"/>
      <c r="AB494" s="10"/>
      <c r="AC494" s="278"/>
      <c r="AD494" s="10"/>
      <c r="AE494" s="13"/>
      <c r="AF494" s="278">
        <v>0</v>
      </c>
      <c r="AG494" s="10"/>
      <c r="AH494" s="280">
        <f t="shared" si="141"/>
        <v>0</v>
      </c>
      <c r="AI494" s="304">
        <f t="shared" si="142"/>
        <v>0</v>
      </c>
      <c r="AJ494" s="10"/>
      <c r="AK494" s="10"/>
      <c r="AL494" s="278">
        <v>0</v>
      </c>
      <c r="AM494" s="391"/>
      <c r="AN494" s="280">
        <f t="shared" si="143"/>
        <v>0</v>
      </c>
      <c r="AO494" s="287">
        <f t="shared" si="144"/>
        <v>0</v>
      </c>
      <c r="AP494" s="244"/>
      <c r="AQ494" s="244"/>
      <c r="AR494" s="308">
        <f t="shared" si="145"/>
        <v>0</v>
      </c>
      <c r="AS494" s="244"/>
      <c r="AT494" s="244"/>
      <c r="AU494" s="244"/>
      <c r="AV494" s="244"/>
      <c r="AW494" s="244"/>
      <c r="AX494" s="244"/>
      <c r="AY494" s="244"/>
      <c r="AZ494" s="244"/>
      <c r="BA494" s="244"/>
      <c r="BB494" s="244"/>
      <c r="BC494" s="244"/>
      <c r="BD494" s="244"/>
      <c r="BE494" s="244"/>
      <c r="BF494" s="244"/>
      <c r="BG494" s="244"/>
      <c r="BH494" s="244"/>
      <c r="BI494" s="244"/>
      <c r="BJ494" s="244"/>
    </row>
    <row r="495" spans="1:62" ht="20.25" hidden="1" customHeight="1">
      <c r="A495" t="str">
        <f t="shared" si="140"/>
        <v>Intérêts sur avance</v>
      </c>
      <c r="B495" s="7"/>
      <c r="C495" s="244"/>
      <c r="D495" s="244"/>
      <c r="E495" s="244"/>
      <c r="F495" s="308"/>
      <c r="G495" s="244"/>
      <c r="H495" s="244"/>
      <c r="I495" s="308"/>
      <c r="J495" s="244"/>
      <c r="K495" s="244"/>
      <c r="L495" s="244"/>
      <c r="M495" s="308"/>
      <c r="N495" s="244"/>
      <c r="O495" s="244"/>
      <c r="P495" s="244"/>
      <c r="Q495" s="308"/>
      <c r="R495" s="308"/>
      <c r="S495" s="308"/>
      <c r="T495" s="244"/>
      <c r="U495" s="244"/>
      <c r="V495" s="102" t="s">
        <v>185</v>
      </c>
      <c r="W495" s="13"/>
      <c r="X495" s="13"/>
      <c r="Y495" s="13"/>
      <c r="Z495" s="278">
        <v>0</v>
      </c>
      <c r="AA495" s="10"/>
      <c r="AB495" s="10"/>
      <c r="AC495" s="278"/>
      <c r="AD495" s="10"/>
      <c r="AE495" s="13"/>
      <c r="AF495" s="278">
        <v>0</v>
      </c>
      <c r="AG495" s="10"/>
      <c r="AH495" s="280">
        <f t="shared" si="141"/>
        <v>0</v>
      </c>
      <c r="AI495" s="304">
        <f t="shared" si="142"/>
        <v>0</v>
      </c>
      <c r="AJ495" s="10"/>
      <c r="AK495" s="10"/>
      <c r="AL495" s="278">
        <v>0</v>
      </c>
      <c r="AM495" s="391"/>
      <c r="AN495" s="280">
        <f t="shared" si="143"/>
        <v>0</v>
      </c>
      <c r="AO495" s="287">
        <f t="shared" si="144"/>
        <v>0</v>
      </c>
      <c r="AP495" s="244"/>
      <c r="AQ495" s="244"/>
      <c r="AR495" s="308">
        <f t="shared" si="145"/>
        <v>0</v>
      </c>
      <c r="AS495" s="244"/>
      <c r="AT495" s="244"/>
      <c r="AU495" s="244"/>
      <c r="AV495" s="244"/>
      <c r="AW495" s="244"/>
      <c r="AX495" s="244"/>
      <c r="AY495" s="244"/>
      <c r="AZ495" s="244"/>
      <c r="BA495" s="244"/>
      <c r="BB495" s="244"/>
      <c r="BC495" s="244"/>
      <c r="BD495" s="244"/>
      <c r="BE495" s="244"/>
      <c r="BF495" s="244"/>
      <c r="BG495" s="244"/>
      <c r="BH495" s="244"/>
      <c r="BI495" s="244"/>
      <c r="BJ495" s="244"/>
    </row>
    <row r="496" spans="1:62" ht="20.25" hidden="1" customHeight="1" thickBot="1">
      <c r="A496" t="str">
        <f t="shared" si="140"/>
        <v>[...]</v>
      </c>
      <c r="B496" s="7"/>
      <c r="C496" s="244"/>
      <c r="D496" s="244"/>
      <c r="E496" s="244"/>
      <c r="F496" s="308"/>
      <c r="G496" s="244"/>
      <c r="H496" s="244"/>
      <c r="I496" s="308"/>
      <c r="J496" s="244"/>
      <c r="K496" s="244"/>
      <c r="L496" s="244"/>
      <c r="M496" s="308"/>
      <c r="N496" s="244"/>
      <c r="O496" s="244"/>
      <c r="P496" s="244"/>
      <c r="Q496" s="308"/>
      <c r="R496" s="308"/>
      <c r="S496" s="308"/>
      <c r="T496" s="244"/>
      <c r="U496" s="244"/>
      <c r="V496" s="102" t="s">
        <v>19</v>
      </c>
      <c r="W496" s="13"/>
      <c r="X496" s="13"/>
      <c r="Y496" s="13"/>
      <c r="Z496" s="280">
        <f>IFERROR(SUMIF($C:$C,$V496,F:F),0)</f>
        <v>0</v>
      </c>
      <c r="AA496" s="277"/>
      <c r="AB496" s="277"/>
      <c r="AC496" s="280"/>
      <c r="AD496" s="286"/>
      <c r="AE496" s="285"/>
      <c r="AF496" s="278">
        <v>0</v>
      </c>
      <c r="AG496" s="279"/>
      <c r="AH496" s="280">
        <f t="shared" si="141"/>
        <v>0</v>
      </c>
      <c r="AI496" s="281">
        <f t="shared" si="142"/>
        <v>0</v>
      </c>
      <c r="AJ496" s="286"/>
      <c r="AK496" s="277"/>
      <c r="AL496" s="278"/>
      <c r="AM496" s="391"/>
      <c r="AN496" s="280">
        <f t="shared" si="143"/>
        <v>0</v>
      </c>
      <c r="AO496" s="287">
        <f t="shared" si="144"/>
        <v>0</v>
      </c>
      <c r="AP496" s="244"/>
      <c r="AQ496" s="244"/>
      <c r="AR496" s="308">
        <f t="shared" si="145"/>
        <v>0</v>
      </c>
      <c r="AS496" s="244"/>
      <c r="AT496" s="244"/>
      <c r="AU496" s="244"/>
      <c r="AV496" s="244"/>
      <c r="AW496" s="244"/>
      <c r="AX496" s="244"/>
      <c r="AY496" s="244"/>
      <c r="AZ496" s="244"/>
      <c r="BA496" s="244"/>
      <c r="BB496" s="244"/>
      <c r="BC496" s="244"/>
      <c r="BD496" s="244"/>
      <c r="BE496" s="244"/>
      <c r="BF496" s="244"/>
      <c r="BG496" s="244"/>
      <c r="BH496" s="244"/>
      <c r="BI496" s="244"/>
      <c r="BJ496" s="244"/>
    </row>
    <row r="497" spans="1:62" ht="21" thickBot="1">
      <c r="A497" t="str">
        <f t="shared" si="140"/>
        <v>Revenus d'intérêts Floor plan</v>
      </c>
      <c r="B497" s="7"/>
      <c r="C497" s="244"/>
      <c r="D497" s="244"/>
      <c r="E497" s="244"/>
      <c r="F497" s="308"/>
      <c r="G497" s="244"/>
      <c r="H497" s="244"/>
      <c r="I497" s="308"/>
      <c r="J497" s="244"/>
      <c r="K497" s="244"/>
      <c r="L497" s="244"/>
      <c r="M497" s="308"/>
      <c r="N497" s="244"/>
      <c r="O497" s="244"/>
      <c r="P497" s="244"/>
      <c r="Q497" s="308"/>
      <c r="R497" s="308"/>
      <c r="S497" s="308"/>
      <c r="T497" s="244"/>
      <c r="U497" s="244"/>
      <c r="V497" s="102" t="s">
        <v>207</v>
      </c>
      <c r="W497" s="13"/>
      <c r="X497" s="13"/>
      <c r="Y497" s="13"/>
      <c r="Z497" s="280">
        <v>0</v>
      </c>
      <c r="AA497" s="277"/>
      <c r="AB497" s="277"/>
      <c r="AC497" s="280"/>
      <c r="AD497" s="286"/>
      <c r="AE497" s="285"/>
      <c r="AF497" s="278">
        <v>-4510.96</v>
      </c>
      <c r="AG497" s="279"/>
      <c r="AH497" s="280">
        <f t="shared" si="141"/>
        <v>-4510.96</v>
      </c>
      <c r="AI497" s="281">
        <f t="shared" si="142"/>
        <v>0</v>
      </c>
      <c r="AJ497" s="286"/>
      <c r="AK497" s="277"/>
      <c r="AL497" s="278">
        <v>-2547.54</v>
      </c>
      <c r="AM497" s="391"/>
      <c r="AN497" s="280">
        <f t="shared" si="143"/>
        <v>-1963.42</v>
      </c>
      <c r="AO497" s="287">
        <f t="shared" si="144"/>
        <v>0.77071213798409455</v>
      </c>
      <c r="AP497" s="244"/>
      <c r="AQ497" s="308">
        <v>-4511</v>
      </c>
      <c r="AR497" s="308">
        <f t="shared" si="145"/>
        <v>-3.999999999996362E-2</v>
      </c>
      <c r="AS497" s="244"/>
      <c r="AT497" s="244"/>
      <c r="AU497" s="244"/>
      <c r="AV497" s="244"/>
      <c r="AW497" s="244"/>
      <c r="AX497" s="244"/>
      <c r="AY497" s="244"/>
      <c r="AZ497" s="244"/>
      <c r="BA497" s="244"/>
      <c r="BB497" s="244"/>
      <c r="BC497" s="244"/>
      <c r="BD497" s="244"/>
      <c r="BE497" s="244"/>
      <c r="BF497" s="244"/>
      <c r="BG497" s="244"/>
      <c r="BH497" s="244"/>
      <c r="BI497" s="244"/>
      <c r="BJ497" s="244"/>
    </row>
    <row r="498" spans="1:62" ht="21" hidden="1" customHeight="1" thickTop="1" thickBot="1">
      <c r="A498" t="str">
        <f t="shared" si="140"/>
        <v>[...]</v>
      </c>
      <c r="B498" s="7"/>
      <c r="C498" s="244"/>
      <c r="D498" s="244"/>
      <c r="E498" s="244"/>
      <c r="F498" s="308"/>
      <c r="G498" s="244"/>
      <c r="H498" s="244"/>
      <c r="I498" s="308"/>
      <c r="J498" s="244"/>
      <c r="K498" s="244"/>
      <c r="L498" s="244"/>
      <c r="M498" s="308"/>
      <c r="N498" s="244"/>
      <c r="O498" s="244"/>
      <c r="P498" s="244"/>
      <c r="Q498" s="308"/>
      <c r="R498" s="308"/>
      <c r="S498" s="308"/>
      <c r="T498" s="244"/>
      <c r="U498" s="244"/>
      <c r="V498" s="102" t="s">
        <v>19</v>
      </c>
      <c r="W498" s="13"/>
      <c r="X498" s="244"/>
      <c r="Y498" s="13"/>
      <c r="Z498" s="280">
        <f>IFERROR(SUMIF($C:$C,$V498,F:F),0)</f>
        <v>0</v>
      </c>
      <c r="AA498" s="277"/>
      <c r="AB498" s="277"/>
      <c r="AC498" s="280"/>
      <c r="AD498" s="286"/>
      <c r="AE498" s="285"/>
      <c r="AF498" s="278">
        <v>0</v>
      </c>
      <c r="AG498" s="279"/>
      <c r="AH498" s="280">
        <f t="shared" si="141"/>
        <v>0</v>
      </c>
      <c r="AI498" s="281">
        <f t="shared" si="142"/>
        <v>0</v>
      </c>
      <c r="AJ498" s="286"/>
      <c r="AK498" s="277"/>
      <c r="AL498" s="278"/>
      <c r="AM498" s="391"/>
      <c r="AN498" s="280">
        <f t="shared" si="143"/>
        <v>0</v>
      </c>
      <c r="AO498" s="287">
        <f t="shared" si="144"/>
        <v>0</v>
      </c>
      <c r="AP498" s="244"/>
      <c r="AQ498" s="244"/>
      <c r="AR498" s="244"/>
      <c r="AS498" s="244"/>
      <c r="AT498" s="244"/>
      <c r="AU498" s="244"/>
      <c r="AV498" s="244"/>
      <c r="AW498" s="244"/>
      <c r="AX498" s="244"/>
      <c r="AY498" s="244"/>
      <c r="AZ498" s="244"/>
      <c r="BA498" s="244"/>
      <c r="BB498" s="244"/>
      <c r="BC498" s="244"/>
      <c r="BD498" s="244"/>
      <c r="BE498" s="244"/>
      <c r="BF498" s="244"/>
      <c r="BG498" s="244"/>
      <c r="BH498" s="244"/>
      <c r="BI498" s="244"/>
      <c r="BJ498" s="244"/>
    </row>
    <row r="499" spans="1:62" ht="18.600000000000001" thickTop="1" thickBot="1">
      <c r="A499" t="str">
        <f t="shared" si="140"/>
        <v>Profit Net</v>
      </c>
      <c r="B499" s="7"/>
      <c r="C499" s="244"/>
      <c r="D499" s="244"/>
      <c r="E499" s="244"/>
      <c r="F499" s="308"/>
      <c r="G499" s="244"/>
      <c r="H499" s="244"/>
      <c r="I499" s="308"/>
      <c r="J499" s="244"/>
      <c r="K499" s="244"/>
      <c r="L499" s="244"/>
      <c r="M499" s="308"/>
      <c r="N499" s="244"/>
      <c r="O499" s="244"/>
      <c r="P499" s="244"/>
      <c r="Q499" s="308"/>
      <c r="R499" s="308"/>
      <c r="S499" s="308"/>
      <c r="T499" s="244"/>
      <c r="U499" s="244"/>
      <c r="V499" s="363" t="s">
        <v>186</v>
      </c>
      <c r="W499" s="364"/>
      <c r="X499" s="365" t="s">
        <v>180</v>
      </c>
      <c r="Y499" s="366">
        <f>Z499/Z407</f>
        <v>3.5893870996172479E-2</v>
      </c>
      <c r="Z499" s="367">
        <f>Z490-Z492-Z493-Z494-Z498-Z497-Z495-Z496</f>
        <v>189516.90940957185</v>
      </c>
      <c r="AA499" s="365"/>
      <c r="AB499" s="366"/>
      <c r="AC499" s="367"/>
      <c r="AD499" s="365" t="s">
        <v>180</v>
      </c>
      <c r="AE499" s="366">
        <f>AF499/AF407</f>
        <v>5.8025002330482765E-2</v>
      </c>
      <c r="AF499" s="368">
        <f>AF490-AF492-AF493-AF494-AF498-AF497-AF495-AF496</f>
        <v>310076.90000000002</v>
      </c>
      <c r="AG499" s="369"/>
      <c r="AH499" s="368">
        <f t="shared" si="141"/>
        <v>120559.99059042818</v>
      </c>
      <c r="AI499" s="481">
        <f>AH499/Z499</f>
        <v>0.63614371385659119</v>
      </c>
      <c r="AJ499" s="371" t="s">
        <v>180</v>
      </c>
      <c r="AK499" s="366">
        <f>IF($AL$407=0,0,AL499/$AL$407)</f>
        <v>5.7802274646412248E-4</v>
      </c>
      <c r="AL499" s="368">
        <f>AL490-AL492-AL493-AL494-AL498-AL497-AL495-AL496</f>
        <v>1543.829999999979</v>
      </c>
      <c r="AM499" s="372"/>
      <c r="AN499" s="368">
        <f t="shared" si="143"/>
        <v>308533.07000000007</v>
      </c>
      <c r="AO499" s="392">
        <f t="shared" si="144"/>
        <v>199.84912198882276</v>
      </c>
      <c r="AP499" s="308"/>
      <c r="AQ499" s="244"/>
      <c r="AR499" s="244"/>
      <c r="AS499" s="308"/>
      <c r="AT499" s="244"/>
      <c r="AU499" s="244"/>
      <c r="AV499" s="244"/>
      <c r="AW499" s="244"/>
      <c r="AX499" s="244"/>
      <c r="AY499" s="244"/>
      <c r="AZ499" s="244"/>
      <c r="BA499" s="244"/>
      <c r="BB499" s="244"/>
      <c r="BC499" s="244"/>
      <c r="BD499" s="244"/>
      <c r="BE499" s="244"/>
      <c r="BF499" s="244"/>
      <c r="BG499" s="244"/>
      <c r="BH499" s="244"/>
      <c r="BI499" s="244"/>
      <c r="BJ499" s="244"/>
    </row>
    <row r="500" spans="1:62" ht="16.2" thickTop="1">
      <c r="A500" t="str">
        <f>+U500&amp;V489</f>
        <v>BAIIA Corpo</v>
      </c>
      <c r="B500" s="7"/>
      <c r="C500" s="244"/>
      <c r="D500" s="244"/>
      <c r="E500" s="244"/>
      <c r="F500" s="308"/>
      <c r="G500" s="244"/>
      <c r="H500" s="244"/>
      <c r="I500" s="308"/>
      <c r="J500" s="244"/>
      <c r="K500" s="244"/>
      <c r="L500" s="244"/>
      <c r="M500" s="308"/>
      <c r="N500" s="244"/>
      <c r="O500" s="244"/>
      <c r="P500" s="244"/>
      <c r="Q500" s="308"/>
      <c r="R500" s="308"/>
      <c r="S500" s="308"/>
      <c r="T500" s="244"/>
      <c r="U500" s="244"/>
      <c r="V500"/>
      <c r="AP500" s="244"/>
      <c r="AQ500" s="244"/>
      <c r="AR500" s="244"/>
      <c r="AS500" s="244"/>
      <c r="AT500" s="244"/>
      <c r="AU500" s="244"/>
      <c r="AV500" s="244"/>
      <c r="AW500" s="244"/>
      <c r="AX500" s="244"/>
      <c r="AY500" s="244"/>
      <c r="AZ500" s="244"/>
      <c r="BA500" s="244"/>
      <c r="BB500" s="244"/>
      <c r="BC500" s="244"/>
      <c r="BD500" s="244"/>
      <c r="BE500" s="244"/>
      <c r="BF500" s="244"/>
      <c r="BG500" s="244"/>
      <c r="BH500" s="244"/>
      <c r="BI500" s="244"/>
      <c r="BJ500" s="244"/>
    </row>
    <row r="501" spans="1:62" ht="15.75" customHeight="1" outlineLevel="1">
      <c r="B501" s="7"/>
      <c r="C501" s="244"/>
      <c r="D501" s="244"/>
      <c r="E501" s="244"/>
      <c r="F501" s="308"/>
      <c r="G501" s="244"/>
      <c r="H501" s="244"/>
      <c r="I501" s="308"/>
      <c r="J501" s="244"/>
      <c r="K501" s="244"/>
      <c r="L501" s="244"/>
      <c r="M501" s="308"/>
      <c r="N501" s="244"/>
      <c r="O501" s="244"/>
      <c r="P501" s="244"/>
      <c r="Q501" s="308"/>
      <c r="R501" s="308"/>
      <c r="S501" s="308"/>
      <c r="T501" s="244"/>
      <c r="U501" s="244"/>
      <c r="V501" s="244" t="s">
        <v>237</v>
      </c>
      <c r="W501" s="244"/>
      <c r="X501" s="244"/>
      <c r="Y501" s="244"/>
      <c r="Z501" s="244"/>
      <c r="AA501" s="244"/>
      <c r="AB501" s="244"/>
      <c r="AC501" s="244"/>
      <c r="AD501" s="244"/>
      <c r="AE501" s="393"/>
      <c r="AF501" s="244">
        <v>0</v>
      </c>
      <c r="AG501" s="244"/>
      <c r="AH501" s="244"/>
      <c r="AI501" s="244"/>
      <c r="AJ501" s="244"/>
      <c r="AK501" s="244"/>
      <c r="AL501" s="244"/>
      <c r="AM501" s="244"/>
      <c r="AN501" s="244"/>
      <c r="AO501" s="244"/>
      <c r="AP501" s="244"/>
      <c r="AQ501" s="244"/>
      <c r="AR501" s="244"/>
      <c r="AS501" s="244"/>
      <c r="AT501" s="244"/>
      <c r="AU501" s="244"/>
      <c r="AV501" s="244"/>
      <c r="AW501" s="244"/>
      <c r="AX501" s="244"/>
      <c r="AY501" s="244"/>
      <c r="AZ501" s="244"/>
      <c r="BA501" s="244"/>
      <c r="BB501" s="244"/>
      <c r="BC501" s="244"/>
      <c r="BD501" s="244"/>
      <c r="BE501" s="244"/>
      <c r="BF501" s="244"/>
      <c r="BG501" s="244"/>
      <c r="BH501" s="244"/>
      <c r="BI501" s="244"/>
      <c r="BJ501" s="244"/>
    </row>
    <row r="502" spans="1:62" ht="15.75" customHeight="1" outlineLevel="1" thickBot="1">
      <c r="B502" s="7"/>
      <c r="C502" s="244"/>
      <c r="D502" s="244"/>
      <c r="E502" s="244"/>
      <c r="F502" s="308"/>
      <c r="G502" s="244"/>
      <c r="H502" s="244"/>
      <c r="I502" s="308"/>
      <c r="J502" s="244"/>
      <c r="K502" s="244"/>
      <c r="L502" s="244"/>
      <c r="M502" s="308"/>
      <c r="N502" s="244"/>
      <c r="O502" s="244"/>
      <c r="P502" s="244"/>
      <c r="Q502" s="308"/>
      <c r="R502" s="308"/>
      <c r="S502" s="308"/>
      <c r="T502" s="244"/>
      <c r="U502" s="244"/>
      <c r="V502" s="244"/>
      <c r="W502" s="244"/>
      <c r="X502" s="244"/>
      <c r="Y502" s="244"/>
      <c r="Z502" s="244"/>
      <c r="AA502" s="244"/>
      <c r="AB502" s="244"/>
      <c r="AC502" s="244"/>
      <c r="AD502" s="244"/>
      <c r="AE502" s="393"/>
      <c r="AF502" s="394"/>
      <c r="AG502" s="244"/>
      <c r="AH502" s="244"/>
      <c r="AI502" s="244"/>
      <c r="AJ502" s="244"/>
      <c r="AK502" s="244"/>
      <c r="AL502" s="244"/>
      <c r="AM502" s="244"/>
      <c r="AN502" s="244"/>
      <c r="AO502" s="244"/>
      <c r="AP502" s="244"/>
      <c r="AQ502" s="244"/>
      <c r="AR502" s="244"/>
      <c r="AS502" s="244"/>
      <c r="AT502" s="244"/>
      <c r="AU502" s="244"/>
      <c r="AV502" s="244"/>
      <c r="AW502" s="244"/>
      <c r="AX502" s="244"/>
      <c r="AY502" s="244"/>
      <c r="AZ502" s="244"/>
      <c r="BA502" s="244"/>
      <c r="BB502" s="244"/>
      <c r="BC502" s="244"/>
      <c r="BD502" s="244"/>
      <c r="BE502" s="244"/>
      <c r="BF502" s="244"/>
      <c r="BG502" s="244"/>
      <c r="BH502" s="244"/>
      <c r="BI502" s="244"/>
      <c r="BJ502" s="244"/>
    </row>
    <row r="503" spans="1:62" ht="15.75" customHeight="1" outlineLevel="1" thickTop="1" thickBot="1">
      <c r="B503" s="7"/>
      <c r="C503" s="244"/>
      <c r="D503" s="244"/>
      <c r="E503" s="244"/>
      <c r="F503" s="308"/>
      <c r="G503" s="244"/>
      <c r="H503" s="244"/>
      <c r="I503" s="308"/>
      <c r="J503" s="244"/>
      <c r="K503" s="244"/>
      <c r="L503" s="244"/>
      <c r="M503" s="308"/>
      <c r="N503" s="244"/>
      <c r="O503" s="244"/>
      <c r="P503" s="244"/>
      <c r="Q503" s="308"/>
      <c r="R503" s="308"/>
      <c r="S503" s="308"/>
      <c r="T503" s="244"/>
      <c r="U503" s="244"/>
      <c r="V503" s="363" t="s">
        <v>238</v>
      </c>
      <c r="W503" s="364"/>
      <c r="X503" s="365"/>
      <c r="Y503" s="366"/>
      <c r="Z503" s="367"/>
      <c r="AA503" s="365"/>
      <c r="AB503" s="366"/>
      <c r="AC503" s="367"/>
      <c r="AD503" s="365"/>
      <c r="AE503" s="366"/>
      <c r="AF503" s="368">
        <f>+AF499-AF501</f>
        <v>310076.90000000002</v>
      </c>
      <c r="AG503" s="369"/>
      <c r="AH503" s="369"/>
      <c r="AI503" s="370"/>
      <c r="AJ503" s="371"/>
      <c r="AK503" s="366"/>
      <c r="AL503" s="368"/>
      <c r="AM503" s="372"/>
      <c r="AN503" s="368"/>
      <c r="AO503" s="392"/>
      <c r="AP503" s="244"/>
      <c r="AQ503" s="244"/>
      <c r="AR503" s="308"/>
      <c r="AS503" s="244"/>
      <c r="AT503" s="244"/>
      <c r="AU503" s="244"/>
      <c r="AV503" s="244"/>
      <c r="AW503" s="244"/>
      <c r="AX503" s="244"/>
      <c r="AY503" s="244"/>
      <c r="AZ503" s="244"/>
      <c r="BA503" s="244"/>
      <c r="BB503" s="244"/>
      <c r="BC503" s="244"/>
      <c r="BD503" s="244"/>
      <c r="BE503" s="244"/>
      <c r="BF503" s="244"/>
      <c r="BG503" s="244"/>
      <c r="BH503" s="244"/>
      <c r="BI503" s="244"/>
      <c r="BJ503" s="244"/>
    </row>
    <row r="504" spans="1:62" ht="17.399999999999999" thickTop="1">
      <c r="B504" s="7"/>
      <c r="C504" s="244"/>
      <c r="D504" s="244"/>
      <c r="E504" s="244"/>
      <c r="F504" s="308"/>
      <c r="G504" s="244"/>
      <c r="H504" s="244"/>
      <c r="I504" s="308"/>
      <c r="J504" s="244"/>
      <c r="K504" s="244"/>
      <c r="L504" s="244"/>
      <c r="M504" s="308"/>
      <c r="N504" s="244"/>
      <c r="O504" s="244"/>
      <c r="P504" s="244"/>
      <c r="Q504" s="308"/>
      <c r="R504" s="308"/>
      <c r="S504" s="308"/>
      <c r="T504" s="244"/>
      <c r="U504" s="244"/>
      <c r="W504" s="244"/>
      <c r="X504" s="244"/>
      <c r="Y504" s="244"/>
      <c r="Z504" s="244"/>
      <c r="AA504" s="244"/>
      <c r="AB504" s="244"/>
      <c r="AC504" s="244"/>
      <c r="AD504" s="244"/>
      <c r="AE504" s="393"/>
      <c r="AF504" s="394"/>
      <c r="AG504" s="244"/>
      <c r="AH504" s="308"/>
      <c r="AI504" s="244"/>
      <c r="AJ504" s="244"/>
      <c r="AK504" s="244"/>
      <c r="AL504" s="244"/>
      <c r="AM504" s="244"/>
      <c r="AN504" s="244"/>
      <c r="AO504" s="244"/>
      <c r="AP504" s="244"/>
      <c r="AQ504" s="244"/>
      <c r="AR504" s="244"/>
      <c r="AS504" s="244"/>
      <c r="AT504" s="244"/>
      <c r="AU504" s="244"/>
      <c r="AV504" s="244"/>
      <c r="AW504" s="244"/>
      <c r="AX504" s="244"/>
      <c r="AY504" s="244"/>
      <c r="AZ504" s="244"/>
      <c r="BA504" s="244"/>
      <c r="BB504" s="244"/>
      <c r="BC504" s="244"/>
      <c r="BD504" s="244"/>
      <c r="BE504" s="244"/>
      <c r="BF504" s="244"/>
      <c r="BG504" s="244"/>
      <c r="BH504" s="244"/>
      <c r="BI504" s="244"/>
      <c r="BJ504" s="244"/>
    </row>
    <row r="505" spans="1:62" ht="17.399999999999999">
      <c r="B505" s="7"/>
      <c r="C505" s="244"/>
      <c r="D505" s="244"/>
      <c r="E505" s="244"/>
      <c r="F505" s="308"/>
      <c r="G505" s="244"/>
      <c r="H505" s="244"/>
      <c r="I505" s="308"/>
      <c r="J505" s="244"/>
      <c r="K505" s="244"/>
      <c r="L505" s="244"/>
      <c r="M505" s="308"/>
      <c r="N505" s="244"/>
      <c r="O505" s="244"/>
      <c r="P505" s="244"/>
      <c r="Q505" s="308"/>
      <c r="R505" s="308"/>
      <c r="S505" s="308"/>
      <c r="T505" s="244"/>
      <c r="U505" s="244"/>
      <c r="W505" s="244"/>
      <c r="X505" s="244"/>
      <c r="Y505" s="244"/>
      <c r="Z505" s="308"/>
      <c r="AA505" s="244"/>
      <c r="AB505" s="244"/>
      <c r="AC505" s="244"/>
      <c r="AD505" s="244"/>
      <c r="AE505" s="244"/>
      <c r="AF505" s="482">
        <f>AF501/AF499</f>
        <v>0</v>
      </c>
      <c r="AG505" s="244"/>
      <c r="AH505" s="244"/>
      <c r="AI505" s="244"/>
      <c r="AJ505" s="244"/>
      <c r="AK505" s="244"/>
      <c r="AL505" s="244"/>
      <c r="AM505" s="244"/>
      <c r="AN505" s="244"/>
      <c r="AO505" s="244"/>
      <c r="AP505" s="244"/>
      <c r="AQ505" s="244"/>
      <c r="AR505" s="244"/>
      <c r="AS505" s="244"/>
      <c r="AT505" s="244"/>
      <c r="AU505" s="244"/>
      <c r="AV505" s="244"/>
      <c r="AW505" s="244"/>
      <c r="AX505" s="244"/>
      <c r="AY505" s="244"/>
      <c r="AZ505" s="244"/>
      <c r="BA505" s="244"/>
      <c r="BB505" s="244"/>
      <c r="BC505" s="244"/>
      <c r="BD505" s="244"/>
      <c r="BE505" s="244"/>
      <c r="BF505" s="244"/>
      <c r="BG505" s="244"/>
      <c r="BH505" s="244"/>
      <c r="BI505" s="244"/>
      <c r="BJ505" s="244"/>
    </row>
    <row r="506" spans="1:62">
      <c r="B506" s="7"/>
      <c r="C506" s="244"/>
      <c r="D506" s="244"/>
      <c r="E506" s="244"/>
      <c r="F506" s="308"/>
      <c r="G506" s="244"/>
      <c r="H506" s="244"/>
      <c r="I506" s="308"/>
      <c r="J506" s="244"/>
      <c r="K506" s="244"/>
      <c r="L506" s="244"/>
      <c r="M506" s="308"/>
      <c r="N506" s="244"/>
      <c r="O506" s="244"/>
      <c r="P506" s="244"/>
      <c r="Q506" s="308"/>
      <c r="R506" s="308"/>
      <c r="S506" s="308"/>
      <c r="T506" s="332"/>
      <c r="U506" s="332"/>
      <c r="W506" s="244"/>
      <c r="X506" s="244"/>
      <c r="Y506" s="244"/>
      <c r="Z506" s="308"/>
      <c r="AA506" s="244"/>
      <c r="AB506" s="244"/>
      <c r="AC506" s="244"/>
      <c r="AD506" s="244"/>
      <c r="AE506" s="244"/>
      <c r="AF506" s="308"/>
      <c r="AG506" s="244"/>
      <c r="AH506" s="244"/>
      <c r="AI506" s="244"/>
      <c r="AJ506" s="244"/>
      <c r="AK506" s="244"/>
      <c r="AL506" s="244"/>
      <c r="AM506" s="244"/>
      <c r="AN506" s="244"/>
      <c r="AO506" s="244"/>
      <c r="AP506" s="244"/>
      <c r="AQ506" s="244"/>
      <c r="AR506" s="244"/>
      <c r="AS506" s="244"/>
      <c r="AT506" s="244"/>
      <c r="AU506" s="244"/>
      <c r="AV506" s="244"/>
      <c r="AW506" s="244"/>
      <c r="AX506" s="244"/>
      <c r="AY506" s="244"/>
      <c r="AZ506" s="244"/>
      <c r="BA506" s="244"/>
      <c r="BB506" s="244"/>
      <c r="BC506" s="244"/>
      <c r="BD506" s="244"/>
      <c r="BE506" s="244"/>
      <c r="BF506" s="244"/>
      <c r="BG506" s="244"/>
      <c r="BH506" s="244"/>
      <c r="BI506" s="244"/>
      <c r="BJ506" s="244"/>
    </row>
    <row r="507" spans="1:62" ht="17.399999999999999">
      <c r="B507" s="7"/>
      <c r="C507" s="244"/>
      <c r="D507" s="244"/>
      <c r="E507" s="244"/>
      <c r="F507" s="308"/>
      <c r="G507" s="244"/>
      <c r="H507" s="244"/>
      <c r="I507" s="308"/>
      <c r="J507" s="244"/>
      <c r="K507" s="244"/>
      <c r="L507" s="244"/>
      <c r="M507" s="308"/>
      <c r="N507" s="244"/>
      <c r="O507" s="244"/>
      <c r="P507" s="244"/>
      <c r="Q507" s="308"/>
      <c r="R507" s="308"/>
      <c r="S507" s="308"/>
      <c r="T507" s="332"/>
      <c r="U507" s="332"/>
      <c r="W507" s="244"/>
      <c r="X507" s="244"/>
      <c r="Y507" s="244"/>
      <c r="Z507" s="244"/>
      <c r="AA507" s="244"/>
      <c r="AB507" s="244"/>
      <c r="AC507" s="244"/>
      <c r="AD507" s="244"/>
      <c r="AE507" s="244"/>
      <c r="AF507" s="496"/>
      <c r="AG507" s="244"/>
      <c r="AH507" s="244"/>
      <c r="AI507" s="244"/>
      <c r="AJ507" s="244"/>
      <c r="AK507" s="244"/>
      <c r="AL507" s="244"/>
      <c r="AM507" s="244"/>
      <c r="AN507" s="244"/>
      <c r="AO507" s="244"/>
      <c r="AP507" s="244"/>
      <c r="AQ507" s="244"/>
      <c r="AR507" s="244"/>
      <c r="AS507" s="244"/>
      <c r="AT507" s="244"/>
      <c r="AU507" s="244"/>
      <c r="AV507" s="244"/>
      <c r="AW507" s="244"/>
      <c r="AX507" s="244"/>
      <c r="AY507" s="244"/>
      <c r="AZ507" s="244"/>
      <c r="BA507" s="244"/>
      <c r="BB507" s="244"/>
      <c r="BC507" s="244"/>
      <c r="BD507" s="244"/>
      <c r="BE507" s="244"/>
      <c r="BF507" s="244"/>
      <c r="BG507" s="244"/>
      <c r="BH507" s="244"/>
      <c r="BI507" s="244"/>
      <c r="BJ507" s="244"/>
    </row>
    <row r="508" spans="1:62" ht="17.399999999999999">
      <c r="B508" s="7"/>
      <c r="C508" s="244"/>
      <c r="D508" s="244"/>
      <c r="E508" s="244"/>
      <c r="F508" s="308"/>
      <c r="G508" s="244"/>
      <c r="H508" s="244"/>
      <c r="I508" s="308"/>
      <c r="J508" s="244"/>
      <c r="K508" s="244"/>
      <c r="L508" s="244"/>
      <c r="M508" s="308"/>
      <c r="N508" s="244"/>
      <c r="O508" s="244"/>
      <c r="P508" s="244"/>
      <c r="Q508" s="308"/>
      <c r="R508" s="308"/>
      <c r="S508" s="308"/>
      <c r="T508" s="332"/>
      <c r="U508" s="332"/>
      <c r="W508" s="244"/>
      <c r="X508" s="244"/>
      <c r="Y508" s="244"/>
      <c r="Z508" s="244"/>
      <c r="AA508" s="244"/>
      <c r="AB508" s="244"/>
      <c r="AC508" s="244"/>
      <c r="AD508" s="244" t="s">
        <v>240</v>
      </c>
      <c r="AE508" s="244"/>
      <c r="AF508" s="496"/>
      <c r="AG508" s="244"/>
      <c r="AH508" s="244"/>
      <c r="AI508" s="244"/>
      <c r="AJ508" s="244"/>
      <c r="AK508" s="244"/>
      <c r="AL508" s="244"/>
      <c r="AM508" s="244"/>
      <c r="AN508" s="244"/>
      <c r="AO508" s="244"/>
      <c r="AP508" s="244"/>
      <c r="AQ508" s="244"/>
      <c r="AR508" s="244"/>
      <c r="AS508" s="244"/>
      <c r="AT508" s="244"/>
      <c r="AU508" s="244"/>
      <c r="AV508" s="244"/>
      <c r="AW508" s="244"/>
      <c r="AX508" s="244"/>
      <c r="AY508" s="244"/>
      <c r="AZ508" s="244"/>
      <c r="BA508" s="244"/>
      <c r="BB508" s="244"/>
      <c r="BC508" s="244"/>
      <c r="BD508" s="244"/>
      <c r="BE508" s="244"/>
      <c r="BF508" s="244"/>
      <c r="BG508" s="244"/>
      <c r="BH508" s="244"/>
      <c r="BI508" s="244"/>
      <c r="BJ508" s="244"/>
    </row>
    <row r="509" spans="1:62" ht="17.399999999999999">
      <c r="B509" s="7"/>
      <c r="C509" s="244"/>
      <c r="D509" s="244"/>
      <c r="E509" s="244"/>
      <c r="F509" s="308"/>
      <c r="G509" s="244"/>
      <c r="H509" s="244"/>
      <c r="I509" s="308"/>
      <c r="J509" s="244"/>
      <c r="K509" s="244"/>
      <c r="L509" s="244"/>
      <c r="M509" s="308"/>
      <c r="N509" s="244"/>
      <c r="O509" s="244"/>
      <c r="P509" s="244"/>
      <c r="Q509" s="308"/>
      <c r="R509" s="308"/>
      <c r="S509" s="308"/>
      <c r="T509" s="332"/>
      <c r="U509" s="332"/>
      <c r="W509" s="244"/>
      <c r="X509" s="244"/>
      <c r="Y509" s="244"/>
      <c r="Z509" s="244"/>
      <c r="AA509" s="244"/>
      <c r="AB509" s="244"/>
      <c r="AC509" s="244"/>
      <c r="AD509" s="244" t="s">
        <v>239</v>
      </c>
      <c r="AE509" s="244"/>
      <c r="AF509" s="496"/>
      <c r="AG509" s="244"/>
      <c r="AH509" s="244"/>
      <c r="AI509" s="244"/>
      <c r="AJ509" s="244"/>
      <c r="AK509" s="244"/>
      <c r="AL509" s="244"/>
      <c r="AM509" s="244"/>
      <c r="AN509" s="244"/>
      <c r="AO509" s="244"/>
      <c r="AP509" s="244"/>
      <c r="AQ509" s="244"/>
      <c r="AR509" s="244"/>
      <c r="AS509" s="244"/>
      <c r="AT509" s="244"/>
      <c r="AU509" s="244"/>
      <c r="AV509" s="244"/>
      <c r="AW509" s="244"/>
      <c r="AX509" s="244"/>
      <c r="AY509" s="244"/>
      <c r="AZ509" s="244"/>
      <c r="BA509" s="244"/>
      <c r="BB509" s="244"/>
      <c r="BC509" s="244"/>
      <c r="BD509" s="244"/>
      <c r="BE509" s="244"/>
      <c r="BF509" s="244"/>
      <c r="BG509" s="244"/>
      <c r="BH509" s="244"/>
      <c r="BI509" s="244"/>
      <c r="BJ509" s="244"/>
    </row>
    <row r="510" spans="1:62" ht="17.399999999999999">
      <c r="B510" s="7"/>
      <c r="C510" s="244"/>
      <c r="D510" s="244"/>
      <c r="E510" s="244"/>
      <c r="F510" s="308"/>
      <c r="G510" s="244"/>
      <c r="H510" s="244"/>
      <c r="I510" s="308"/>
      <c r="J510" s="244"/>
      <c r="K510" s="244"/>
      <c r="L510" s="244"/>
      <c r="M510" s="308"/>
      <c r="N510" s="244"/>
      <c r="O510" s="244"/>
      <c r="P510" s="244"/>
      <c r="Q510" s="308"/>
      <c r="R510" s="308"/>
      <c r="S510" s="308"/>
      <c r="T510" s="332"/>
      <c r="U510" s="332"/>
      <c r="W510" s="244"/>
      <c r="X510" s="244"/>
      <c r="Y510" s="244"/>
      <c r="Z510" s="244"/>
      <c r="AA510" s="244"/>
      <c r="AB510" s="244"/>
      <c r="AC510" s="244"/>
      <c r="AD510" s="244" t="s">
        <v>241</v>
      </c>
      <c r="AE510" s="244"/>
      <c r="AF510" s="496"/>
      <c r="AG510" s="244"/>
      <c r="AH510" s="244"/>
      <c r="AI510" s="244"/>
      <c r="AJ510" s="244"/>
      <c r="AK510" s="244"/>
      <c r="AL510" s="244"/>
      <c r="AM510" s="244"/>
      <c r="AN510" s="244"/>
      <c r="AO510" s="244"/>
      <c r="AP510" s="244"/>
      <c r="AQ510" s="244"/>
      <c r="AR510" s="244"/>
      <c r="AS510" s="244"/>
      <c r="AT510" s="244"/>
      <c r="AU510" s="244"/>
      <c r="AV510" s="244"/>
      <c r="AW510" s="244"/>
      <c r="AX510" s="244"/>
      <c r="AY510" s="244"/>
      <c r="AZ510" s="244"/>
      <c r="BA510" s="244"/>
      <c r="BB510" s="244"/>
      <c r="BC510" s="244"/>
      <c r="BD510" s="244"/>
      <c r="BE510" s="244"/>
      <c r="BF510" s="244"/>
      <c r="BG510" s="244"/>
      <c r="BH510" s="244"/>
      <c r="BI510" s="244"/>
      <c r="BJ510" s="244"/>
    </row>
    <row r="511" spans="1:62" ht="17.399999999999999">
      <c r="B511" s="7"/>
      <c r="C511" s="244"/>
      <c r="D511" s="244"/>
      <c r="E511" s="244"/>
      <c r="F511" s="308"/>
      <c r="G511" s="244"/>
      <c r="H511" s="244"/>
      <c r="I511" s="308"/>
      <c r="J511" s="244"/>
      <c r="K511" s="244"/>
      <c r="L511" s="244"/>
      <c r="M511" s="308"/>
      <c r="N511" s="244"/>
      <c r="O511" s="244"/>
      <c r="P511" s="244"/>
      <c r="Q511" s="308"/>
      <c r="R511" s="308"/>
      <c r="S511" s="308"/>
      <c r="T511" s="332"/>
      <c r="U511" s="332"/>
      <c r="W511" s="244"/>
      <c r="X511" s="244"/>
      <c r="Y511" s="244"/>
      <c r="Z511" s="244"/>
      <c r="AA511" s="244"/>
      <c r="AB511" s="244"/>
      <c r="AC511" s="244"/>
      <c r="AD511" s="244" t="s">
        <v>267</v>
      </c>
      <c r="AE511" s="244"/>
      <c r="AF511" s="496"/>
      <c r="AG511" s="244"/>
      <c r="AH511" s="244"/>
      <c r="AI511" s="244"/>
      <c r="AJ511" s="244"/>
      <c r="AK511" s="244"/>
      <c r="AL511" s="244"/>
      <c r="AM511" s="244"/>
      <c r="AN511" s="244"/>
      <c r="AO511" s="244"/>
      <c r="AP511" s="244"/>
      <c r="AQ511" s="244"/>
      <c r="AR511" s="244"/>
      <c r="AS511" s="244"/>
      <c r="AT511" s="244"/>
      <c r="AU511" s="244"/>
      <c r="AV511" s="244"/>
      <c r="AW511" s="244"/>
      <c r="AX511" s="244"/>
      <c r="AY511" s="244"/>
      <c r="AZ511" s="244"/>
      <c r="BA511" s="244"/>
      <c r="BB511" s="244"/>
      <c r="BC511" s="244"/>
      <c r="BD511" s="244"/>
      <c r="BE511" s="244"/>
      <c r="BF511" s="244"/>
      <c r="BG511" s="244"/>
      <c r="BH511" s="244"/>
      <c r="BI511" s="244"/>
      <c r="BJ511" s="244"/>
    </row>
    <row r="512" spans="1:62" ht="17.399999999999999">
      <c r="B512" s="7"/>
      <c r="C512" s="244"/>
      <c r="D512" s="244"/>
      <c r="E512" s="244"/>
      <c r="F512" s="308"/>
      <c r="G512" s="244"/>
      <c r="H512" s="244"/>
      <c r="I512" s="308"/>
      <c r="J512" s="244"/>
      <c r="K512" s="244"/>
      <c r="L512" s="244"/>
      <c r="M512" s="308"/>
      <c r="N512" s="244"/>
      <c r="O512" s="244"/>
      <c r="P512" s="244"/>
      <c r="Q512" s="308"/>
      <c r="R512" s="308"/>
      <c r="S512" s="308"/>
      <c r="T512" s="332"/>
      <c r="U512" s="332"/>
      <c r="W512" s="244"/>
      <c r="X512" s="244"/>
      <c r="Y512" s="244"/>
      <c r="Z512" s="244"/>
      <c r="AA512" s="244"/>
      <c r="AB512" s="244"/>
      <c r="AC512" s="244"/>
      <c r="AD512" s="244"/>
      <c r="AE512" s="244"/>
      <c r="AF512" s="497">
        <f>AF499+AF508+AF509+AF510+AF511</f>
        <v>310076.90000000002</v>
      </c>
      <c r="AG512" s="308">
        <f>AF512-AF506</f>
        <v>310076.90000000002</v>
      </c>
      <c r="AH512" s="244"/>
      <c r="AI512" s="244"/>
      <c r="AJ512" s="244"/>
      <c r="AK512" s="244"/>
      <c r="AL512" s="244"/>
      <c r="AM512" s="244"/>
      <c r="AN512" s="244"/>
      <c r="AO512" s="244"/>
      <c r="AP512" s="244"/>
      <c r="AQ512" s="244"/>
      <c r="AR512" s="244"/>
      <c r="AS512" s="244"/>
      <c r="AT512" s="244"/>
      <c r="AU512" s="244"/>
      <c r="AV512" s="244"/>
      <c r="AW512" s="244"/>
      <c r="AX512" s="244"/>
      <c r="AY512" s="244"/>
      <c r="AZ512" s="244"/>
      <c r="BA512" s="244"/>
      <c r="BB512" s="244"/>
      <c r="BC512" s="244"/>
      <c r="BD512" s="244"/>
      <c r="BE512" s="244"/>
      <c r="BF512" s="244"/>
      <c r="BG512" s="244"/>
      <c r="BH512" s="244"/>
      <c r="BI512" s="244"/>
      <c r="BJ512" s="244"/>
    </row>
    <row r="513" spans="2:62">
      <c r="B513" s="7"/>
      <c r="C513" s="244"/>
      <c r="D513" s="244"/>
      <c r="E513" s="244"/>
      <c r="F513" s="308"/>
      <c r="G513" s="244"/>
      <c r="H513" s="244"/>
      <c r="I513" s="308"/>
      <c r="J513" s="244"/>
      <c r="K513" s="244"/>
      <c r="L513" s="244"/>
      <c r="M513" s="308"/>
      <c r="N513" s="244"/>
      <c r="O513" s="244"/>
      <c r="P513" s="244"/>
      <c r="Q513" s="308"/>
      <c r="R513" s="308"/>
      <c r="S513" s="308"/>
      <c r="T513" s="332"/>
      <c r="U513" s="332"/>
      <c r="W513" s="332"/>
      <c r="X513" s="332"/>
      <c r="Y513" s="244"/>
      <c r="Z513" s="244"/>
      <c r="AA513" s="244"/>
      <c r="AB513" s="244"/>
      <c r="AC513" s="244"/>
      <c r="AD513" s="244"/>
      <c r="AE513" s="244"/>
      <c r="AF513" s="308"/>
      <c r="AG513" s="244"/>
      <c r="AH513" s="244"/>
      <c r="AI513" s="244"/>
      <c r="AJ513" s="244"/>
      <c r="AK513" s="244"/>
      <c r="AL513" s="244"/>
      <c r="AM513" s="244"/>
      <c r="AN513" s="244"/>
      <c r="AO513" s="244"/>
      <c r="AP513" s="244"/>
      <c r="AQ513" s="244"/>
      <c r="AR513" s="244"/>
      <c r="AS513" s="244"/>
      <c r="AT513" s="244"/>
      <c r="AU513" s="244"/>
      <c r="AV513" s="244"/>
      <c r="AW513" s="244"/>
      <c r="AX513" s="244"/>
      <c r="AY513" s="244"/>
      <c r="AZ513" s="244"/>
      <c r="BA513" s="244"/>
      <c r="BB513" s="244"/>
      <c r="BC513" s="244"/>
      <c r="BD513" s="244"/>
      <c r="BE513" s="244"/>
      <c r="BF513" s="244"/>
      <c r="BG513" s="244"/>
      <c r="BH513" s="244"/>
      <c r="BI513" s="244"/>
      <c r="BJ513" s="244"/>
    </row>
    <row r="514" spans="2:62">
      <c r="B514" s="7"/>
      <c r="C514" s="244"/>
      <c r="D514" s="244"/>
      <c r="E514" s="244"/>
      <c r="F514" s="308"/>
      <c r="G514" s="244"/>
      <c r="H514" s="244"/>
      <c r="I514" s="308"/>
      <c r="J514" s="244"/>
      <c r="K514" s="244"/>
      <c r="L514" s="244"/>
      <c r="M514" s="308"/>
      <c r="N514" s="244"/>
      <c r="O514" s="244"/>
      <c r="P514" s="244"/>
      <c r="Q514" s="308"/>
      <c r="R514" s="308"/>
      <c r="S514" s="308"/>
      <c r="T514" s="332"/>
      <c r="U514" s="332"/>
      <c r="W514" s="332"/>
      <c r="X514" s="332"/>
      <c r="Y514" s="244"/>
      <c r="Z514" s="244"/>
      <c r="AA514" s="244"/>
      <c r="AB514" s="244"/>
      <c r="AC514" s="244"/>
      <c r="AD514" s="244"/>
      <c r="AE514" s="244"/>
      <c r="AF514" s="308"/>
      <c r="AG514" s="244"/>
      <c r="AH514" s="244"/>
      <c r="AI514" s="244"/>
      <c r="AJ514" s="244"/>
      <c r="AK514" s="244"/>
      <c r="AL514" s="244"/>
      <c r="AM514" s="244"/>
      <c r="AN514" s="244"/>
      <c r="AO514" s="244"/>
      <c r="AP514" s="244"/>
      <c r="AQ514" s="244"/>
      <c r="AR514" s="244"/>
      <c r="AS514" s="244"/>
      <c r="AT514" s="244"/>
      <c r="AU514" s="244"/>
      <c r="AV514" s="244"/>
      <c r="AW514" s="244"/>
      <c r="AX514" s="244"/>
      <c r="AY514" s="244"/>
      <c r="AZ514" s="244"/>
      <c r="BA514" s="244"/>
      <c r="BB514" s="244"/>
      <c r="BC514" s="244"/>
      <c r="BD514" s="244"/>
      <c r="BE514" s="244"/>
      <c r="BF514" s="244"/>
      <c r="BG514" s="244"/>
      <c r="BH514" s="244"/>
      <c r="BI514" s="244"/>
      <c r="BJ514" s="244"/>
    </row>
    <row r="515" spans="2:62">
      <c r="B515" s="7"/>
      <c r="C515" s="244"/>
      <c r="D515" s="244"/>
      <c r="E515" s="244"/>
      <c r="F515" s="308"/>
      <c r="G515" s="244"/>
      <c r="H515" s="244"/>
      <c r="I515" s="308"/>
      <c r="J515" s="244"/>
      <c r="K515" s="244"/>
      <c r="L515" s="244"/>
      <c r="M515" s="308"/>
      <c r="N515" s="244"/>
      <c r="O515" s="244"/>
      <c r="P515" s="244"/>
      <c r="Q515" s="308"/>
      <c r="R515" s="308"/>
      <c r="S515" s="308"/>
      <c r="T515" s="332"/>
      <c r="U515" s="332"/>
      <c r="W515" s="332"/>
      <c r="X515" s="332"/>
      <c r="Y515" s="244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  <c r="AO515" s="244"/>
      <c r="AP515" s="244"/>
      <c r="AQ515" s="244"/>
      <c r="AR515" s="244"/>
      <c r="AS515" s="244"/>
      <c r="AT515" s="244"/>
      <c r="AU515" s="244"/>
      <c r="AV515" s="244"/>
      <c r="AW515" s="244"/>
      <c r="AX515" s="244"/>
      <c r="AY515" s="244"/>
      <c r="AZ515" s="244"/>
      <c r="BA515" s="244"/>
      <c r="BB515" s="244"/>
      <c r="BC515" s="244"/>
      <c r="BD515" s="244"/>
      <c r="BE515" s="244"/>
      <c r="BF515" s="244"/>
      <c r="BG515" s="244"/>
      <c r="BH515" s="244"/>
      <c r="BI515" s="244"/>
      <c r="BJ515" s="244"/>
    </row>
    <row r="516" spans="2:62">
      <c r="B516" s="7"/>
      <c r="C516" s="244"/>
      <c r="D516" s="244"/>
      <c r="E516" s="244"/>
      <c r="F516" s="308"/>
      <c r="G516" s="244"/>
      <c r="H516" s="244"/>
      <c r="I516" s="308"/>
      <c r="J516" s="244"/>
      <c r="K516" s="244"/>
      <c r="L516" s="244"/>
      <c r="M516" s="308"/>
      <c r="N516" s="244"/>
      <c r="O516" s="244"/>
      <c r="P516" s="244"/>
      <c r="Q516" s="308"/>
      <c r="R516" s="308"/>
      <c r="S516" s="308"/>
      <c r="T516" s="332"/>
      <c r="U516" s="332"/>
      <c r="W516" s="332"/>
      <c r="X516" s="332"/>
      <c r="Y516" s="244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  <c r="AO516" s="244"/>
      <c r="AP516" s="244"/>
      <c r="AQ516" s="244"/>
      <c r="AR516" s="244"/>
      <c r="AS516" s="244"/>
      <c r="AT516" s="244"/>
      <c r="AU516" s="244"/>
      <c r="AV516" s="244"/>
      <c r="AW516" s="244"/>
      <c r="AX516" s="244"/>
      <c r="AY516" s="244"/>
      <c r="AZ516" s="244"/>
      <c r="BA516" s="244"/>
      <c r="BB516" s="244"/>
      <c r="BC516" s="244"/>
      <c r="BD516" s="244"/>
      <c r="BE516" s="244"/>
      <c r="BF516" s="244"/>
      <c r="BG516" s="244"/>
      <c r="BH516" s="244"/>
      <c r="BI516" s="244"/>
      <c r="BJ516" s="244"/>
    </row>
    <row r="517" spans="2:62">
      <c r="B517" s="7"/>
      <c r="C517" s="244"/>
      <c r="D517" s="244"/>
      <c r="E517" s="244"/>
      <c r="F517" s="308"/>
      <c r="G517" s="244"/>
      <c r="H517" s="244"/>
      <c r="I517" s="308"/>
      <c r="J517" s="244"/>
      <c r="K517" s="244"/>
      <c r="L517" s="244"/>
      <c r="M517" s="308"/>
      <c r="N517" s="244"/>
      <c r="O517" s="244"/>
      <c r="P517" s="244"/>
      <c r="Q517" s="308"/>
      <c r="R517" s="308"/>
      <c r="S517" s="308"/>
      <c r="T517" s="332"/>
      <c r="U517" s="332"/>
      <c r="W517" s="332"/>
      <c r="X517" s="332"/>
      <c r="Y517" s="244"/>
      <c r="Z517" s="244"/>
      <c r="AA517" s="244"/>
      <c r="AB517" s="244"/>
      <c r="AC517" s="244"/>
      <c r="AD517" s="244"/>
      <c r="AE517" s="244"/>
      <c r="AF517" s="308"/>
      <c r="AG517" s="308"/>
      <c r="AH517" s="308"/>
      <c r="AI517" s="244"/>
      <c r="AJ517" s="244"/>
      <c r="AK517" s="244"/>
      <c r="AL517" s="244"/>
      <c r="AM517" s="244"/>
      <c r="AN517" s="244"/>
      <c r="AO517" s="244"/>
      <c r="AP517" s="244"/>
      <c r="AQ517" s="244"/>
      <c r="AR517" s="244"/>
      <c r="AS517" s="244"/>
      <c r="AT517" s="244"/>
      <c r="AU517" s="244"/>
      <c r="AV517" s="244"/>
      <c r="AW517" s="244"/>
      <c r="AX517" s="244"/>
      <c r="AY517" s="244"/>
      <c r="AZ517" s="244"/>
      <c r="BA517" s="244"/>
      <c r="BB517" s="244"/>
      <c r="BC517" s="244"/>
      <c r="BD517" s="244"/>
      <c r="BE517" s="244"/>
      <c r="BF517" s="244"/>
      <c r="BG517" s="244"/>
      <c r="BH517" s="244"/>
      <c r="BI517" s="244"/>
      <c r="BJ517" s="244"/>
    </row>
    <row r="518" spans="2:62">
      <c r="B518" s="7"/>
      <c r="C518" s="244"/>
      <c r="D518" s="244"/>
      <c r="E518" s="244"/>
      <c r="F518" s="308"/>
      <c r="G518" s="244"/>
      <c r="H518" s="244"/>
      <c r="I518" s="308"/>
      <c r="J518" s="244"/>
      <c r="K518" s="244"/>
      <c r="L518" s="244"/>
      <c r="M518" s="308"/>
      <c r="N518" s="244"/>
      <c r="O518" s="244"/>
      <c r="P518" s="244"/>
      <c r="Q518" s="308"/>
      <c r="R518" s="308"/>
      <c r="S518" s="308"/>
      <c r="T518" s="332"/>
      <c r="U518" s="332"/>
      <c r="W518" s="332"/>
      <c r="X518" s="332"/>
      <c r="Y518" s="244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  <c r="AO518" s="244"/>
      <c r="AP518" s="244"/>
      <c r="AQ518" s="244"/>
      <c r="AR518" s="244"/>
      <c r="AS518" s="244"/>
      <c r="AT518" s="244"/>
      <c r="AU518" s="244"/>
      <c r="AV518" s="244"/>
      <c r="AW518" s="244"/>
      <c r="AX518" s="244"/>
      <c r="AY518" s="244"/>
      <c r="AZ518" s="244"/>
      <c r="BA518" s="244"/>
      <c r="BB518" s="244"/>
      <c r="BC518" s="244"/>
      <c r="BD518" s="244"/>
      <c r="BE518" s="244"/>
      <c r="BF518" s="244"/>
      <c r="BG518" s="244"/>
      <c r="BH518" s="244"/>
      <c r="BI518" s="244"/>
      <c r="BJ518" s="244"/>
    </row>
    <row r="519" spans="2:62">
      <c r="B519" s="7"/>
      <c r="C519" s="395"/>
      <c r="D519" s="332"/>
      <c r="E519" s="332"/>
      <c r="F519" s="396"/>
      <c r="G519" s="332"/>
      <c r="H519" s="332"/>
      <c r="I519" s="396"/>
      <c r="J519" s="332"/>
      <c r="K519" s="332"/>
      <c r="L519" s="332"/>
      <c r="M519" s="396"/>
      <c r="N519" s="332"/>
      <c r="O519" s="332"/>
      <c r="P519" s="332"/>
      <c r="Q519" s="396"/>
      <c r="R519" s="396"/>
      <c r="S519" s="396"/>
      <c r="T519" s="332"/>
      <c r="U519" s="332"/>
      <c r="W519" s="332"/>
      <c r="X519" s="332"/>
      <c r="Y519" s="244"/>
      <c r="Z519" s="244"/>
      <c r="AA519" s="244"/>
      <c r="AB519" s="244"/>
      <c r="AC519" s="244"/>
      <c r="AD519" s="244"/>
      <c r="AE519" s="244"/>
      <c r="AF519" s="308"/>
      <c r="AG519" s="244"/>
      <c r="AH519" s="244"/>
      <c r="AI519" s="244"/>
      <c r="AJ519" s="244"/>
      <c r="AK519" s="244"/>
      <c r="AL519" s="244"/>
      <c r="AM519" s="244"/>
      <c r="AN519" s="244"/>
      <c r="AO519" s="244"/>
      <c r="AP519" s="244"/>
      <c r="AQ519" s="244"/>
      <c r="AR519" s="244"/>
      <c r="AS519" s="244"/>
      <c r="AT519" s="244"/>
      <c r="AU519" s="244"/>
      <c r="AV519" s="244"/>
      <c r="AW519" s="244"/>
      <c r="AX519" s="244"/>
      <c r="AY519" s="244"/>
      <c r="AZ519" s="244"/>
      <c r="BA519" s="244"/>
      <c r="BB519" s="244"/>
      <c r="BC519" s="244"/>
      <c r="BD519" s="244"/>
      <c r="BE519" s="244"/>
      <c r="BF519" s="244"/>
      <c r="BG519" s="244"/>
      <c r="BH519" s="244"/>
      <c r="BI519" s="244"/>
      <c r="BJ519" s="244"/>
    </row>
    <row r="520" spans="2:62">
      <c r="B520" s="7"/>
      <c r="C520" s="397"/>
      <c r="D520" s="332"/>
      <c r="E520" s="332"/>
      <c r="F520" s="396"/>
      <c r="G520" s="332"/>
      <c r="H520" s="332"/>
      <c r="I520" s="396"/>
      <c r="J520" s="332"/>
      <c r="K520" s="332"/>
      <c r="L520" s="332"/>
      <c r="M520" s="396"/>
      <c r="N520" s="332"/>
      <c r="O520" s="332"/>
      <c r="P520" s="332"/>
      <c r="Q520" s="396"/>
      <c r="R520" s="396"/>
      <c r="S520" s="396"/>
      <c r="T520" s="332"/>
      <c r="U520" s="332"/>
      <c r="W520" s="332"/>
      <c r="X520" s="332"/>
      <c r="Y520" s="244"/>
      <c r="Z520" s="244"/>
      <c r="AA520" s="244"/>
      <c r="AB520" s="244"/>
      <c r="AC520" s="244"/>
      <c r="AD520" s="244"/>
      <c r="AE520" s="244"/>
      <c r="AF520" s="308"/>
      <c r="AG520" s="244"/>
      <c r="AH520" s="244"/>
      <c r="AI520" s="244"/>
      <c r="AJ520" s="244"/>
      <c r="AK520" s="244"/>
      <c r="AL520" s="244"/>
      <c r="AM520" s="244"/>
      <c r="AN520" s="244"/>
      <c r="AO520" s="244"/>
      <c r="AP520" s="244"/>
      <c r="AQ520" s="244"/>
      <c r="AR520" s="244"/>
      <c r="AS520" s="244"/>
      <c r="AT520" s="244"/>
      <c r="AU520" s="244"/>
      <c r="AV520" s="244"/>
      <c r="AW520" s="244"/>
      <c r="AX520" s="244"/>
      <c r="AY520" s="244"/>
      <c r="AZ520" s="244"/>
      <c r="BA520" s="244"/>
      <c r="BB520" s="244"/>
      <c r="BC520" s="244"/>
      <c r="BD520" s="244"/>
      <c r="BE520" s="244"/>
      <c r="BF520" s="244"/>
      <c r="BG520" s="244"/>
      <c r="BH520" s="244"/>
      <c r="BI520" s="244"/>
      <c r="BJ520" s="244"/>
    </row>
    <row r="521" spans="2:62">
      <c r="B521" s="7"/>
      <c r="C521" s="332"/>
      <c r="D521" s="332"/>
      <c r="E521" s="332"/>
      <c r="F521" s="396"/>
      <c r="G521" s="332"/>
      <c r="H521" s="332"/>
      <c r="I521" s="396"/>
      <c r="J521" s="332"/>
      <c r="K521" s="332"/>
      <c r="L521" s="332"/>
      <c r="M521" s="396"/>
      <c r="N521" s="332"/>
      <c r="O521" s="332"/>
      <c r="P521" s="332"/>
      <c r="Q521" s="396"/>
      <c r="R521" s="396"/>
      <c r="S521" s="396"/>
      <c r="T521" s="332"/>
      <c r="U521" s="332"/>
      <c r="W521" s="332"/>
      <c r="X521" s="332"/>
      <c r="Y521" s="244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  <c r="AO521" s="244"/>
      <c r="AP521" s="244"/>
      <c r="AQ521" s="244"/>
      <c r="AR521" s="244"/>
      <c r="AS521" s="244"/>
      <c r="AT521" s="244"/>
      <c r="AU521" s="244"/>
      <c r="AV521" s="244"/>
      <c r="AW521" s="244"/>
      <c r="AX521" s="244"/>
      <c r="AY521" s="244"/>
      <c r="AZ521" s="244"/>
      <c r="BA521" s="244"/>
      <c r="BB521" s="244"/>
      <c r="BC521" s="244"/>
      <c r="BD521" s="244"/>
      <c r="BE521" s="244"/>
      <c r="BF521" s="244"/>
      <c r="BG521" s="244"/>
      <c r="BH521" s="244"/>
      <c r="BI521" s="244"/>
      <c r="BJ521" s="244"/>
    </row>
    <row r="522" spans="2:62">
      <c r="B522" s="7"/>
      <c r="C522" s="332"/>
      <c r="D522" s="332"/>
      <c r="E522" s="332"/>
      <c r="F522" s="332"/>
      <c r="G522" s="332"/>
      <c r="H522" s="332"/>
      <c r="I522" s="332"/>
      <c r="J522" s="395"/>
      <c r="K522" s="395"/>
      <c r="L522" s="395"/>
      <c r="M522" s="396"/>
      <c r="N522" s="332"/>
      <c r="O522" s="332"/>
      <c r="P522" s="332"/>
      <c r="Q522" s="332"/>
      <c r="R522" s="332"/>
      <c r="S522" s="396"/>
      <c r="T522" s="332"/>
      <c r="U522" s="332"/>
      <c r="W522" s="332"/>
      <c r="X522" s="332"/>
      <c r="Y522" s="244"/>
      <c r="Z522" s="244"/>
      <c r="AA522" s="244"/>
      <c r="AB522" s="244"/>
      <c r="AC522" s="244"/>
      <c r="AD522" s="244"/>
      <c r="AE522" s="244"/>
      <c r="AF522" s="308"/>
      <c r="AG522" s="244"/>
      <c r="AH522" s="244"/>
      <c r="AI522" s="244"/>
      <c r="AJ522" s="244"/>
      <c r="AK522" s="244"/>
      <c r="AL522" s="244"/>
      <c r="AM522" s="244"/>
      <c r="AN522" s="244"/>
      <c r="AO522" s="244"/>
      <c r="AP522" s="244"/>
      <c r="AQ522" s="244"/>
      <c r="AR522" s="244"/>
      <c r="AS522" s="244"/>
      <c r="AT522" s="244"/>
      <c r="AU522" s="244"/>
      <c r="AV522" s="244"/>
      <c r="AW522" s="244"/>
      <c r="AX522" s="244"/>
      <c r="AY522" s="244"/>
      <c r="AZ522" s="244"/>
      <c r="BA522" s="244"/>
      <c r="BB522" s="244"/>
      <c r="BC522" s="244"/>
      <c r="BD522" s="244"/>
      <c r="BE522" s="244"/>
      <c r="BF522" s="244"/>
      <c r="BG522" s="244"/>
      <c r="BH522" s="244"/>
      <c r="BI522" s="244"/>
      <c r="BJ522" s="244"/>
    </row>
    <row r="523" spans="2:62">
      <c r="B523" s="7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96"/>
      <c r="N523" s="332"/>
      <c r="O523" s="332"/>
      <c r="P523" s="332"/>
      <c r="Q523" s="332"/>
      <c r="R523" s="332"/>
      <c r="S523" s="396"/>
      <c r="T523" s="332"/>
      <c r="U523" s="332"/>
      <c r="W523" s="332"/>
      <c r="X523" s="332"/>
      <c r="Y523" s="244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  <c r="AO523" s="244"/>
      <c r="AP523" s="244"/>
      <c r="AQ523" s="244"/>
      <c r="AR523" s="244"/>
      <c r="AS523" s="244"/>
      <c r="AT523" s="244"/>
      <c r="AU523" s="244"/>
      <c r="AV523" s="244"/>
      <c r="AW523" s="244"/>
      <c r="AX523" s="244"/>
      <c r="AY523" s="244"/>
      <c r="AZ523" s="244"/>
      <c r="BA523" s="244"/>
      <c r="BB523" s="244"/>
      <c r="BC523" s="244"/>
      <c r="BD523" s="244"/>
      <c r="BE523" s="244"/>
      <c r="BF523" s="244"/>
      <c r="BG523" s="244"/>
      <c r="BH523" s="244"/>
      <c r="BI523" s="244"/>
      <c r="BJ523" s="244"/>
    </row>
    <row r="524" spans="2:62">
      <c r="B524" s="7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96"/>
      <c r="N524" s="332"/>
      <c r="O524" s="332"/>
      <c r="P524" s="332"/>
      <c r="Q524" s="332"/>
      <c r="R524" s="332"/>
      <c r="S524" s="396"/>
      <c r="T524" s="332"/>
      <c r="U524" s="332"/>
      <c r="W524" s="332"/>
      <c r="X524" s="332"/>
      <c r="Y524" s="244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  <c r="AO524" s="244"/>
      <c r="AP524" s="244"/>
      <c r="AQ524" s="244"/>
      <c r="AR524" s="244"/>
      <c r="AS524" s="244"/>
      <c r="AT524" s="244"/>
      <c r="AU524" s="244"/>
      <c r="AV524" s="244"/>
      <c r="AW524" s="244"/>
      <c r="AX524" s="244"/>
      <c r="AY524" s="244"/>
      <c r="AZ524" s="244"/>
      <c r="BA524" s="244"/>
      <c r="BB524" s="244"/>
      <c r="BC524" s="244"/>
      <c r="BD524" s="244"/>
      <c r="BE524" s="244"/>
      <c r="BF524" s="244"/>
      <c r="BG524" s="244"/>
      <c r="BH524" s="244"/>
      <c r="BI524" s="244"/>
      <c r="BJ524" s="244"/>
    </row>
    <row r="525" spans="2:62">
      <c r="B525" s="7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96"/>
      <c r="N525" s="332"/>
      <c r="O525" s="332"/>
      <c r="P525" s="332"/>
      <c r="Q525" s="332"/>
      <c r="R525" s="332"/>
      <c r="S525" s="396"/>
      <c r="T525" s="332"/>
      <c r="U525" s="332"/>
      <c r="W525" s="332"/>
      <c r="X525" s="332"/>
      <c r="Y525" s="244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  <c r="AO525" s="244"/>
      <c r="AP525" s="244"/>
      <c r="AQ525" s="244"/>
      <c r="AR525" s="244"/>
      <c r="AS525" s="244"/>
      <c r="AT525" s="244"/>
      <c r="AU525" s="244"/>
      <c r="AV525" s="244"/>
      <c r="AW525" s="244"/>
      <c r="AX525" s="244"/>
      <c r="AY525" s="244"/>
      <c r="AZ525" s="244"/>
      <c r="BA525" s="244"/>
      <c r="BB525" s="244"/>
      <c r="BC525" s="244"/>
      <c r="BD525" s="244"/>
      <c r="BE525" s="244"/>
      <c r="BF525" s="244"/>
      <c r="BG525" s="244"/>
      <c r="BH525" s="244"/>
      <c r="BI525" s="244"/>
      <c r="BJ525" s="244"/>
    </row>
    <row r="526" spans="2:62">
      <c r="B526" s="7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96"/>
      <c r="N526" s="332"/>
      <c r="O526" s="332"/>
      <c r="P526" s="332"/>
      <c r="Q526" s="332"/>
      <c r="R526" s="332"/>
      <c r="S526" s="332"/>
      <c r="T526" s="332"/>
      <c r="U526" s="332"/>
      <c r="W526" s="332"/>
      <c r="X526" s="332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  <c r="AO526" s="244"/>
      <c r="AP526" s="244"/>
      <c r="AQ526" s="244"/>
      <c r="AR526" s="244"/>
      <c r="AS526" s="244"/>
      <c r="AT526" s="244"/>
      <c r="AU526" s="244"/>
      <c r="AV526" s="244"/>
      <c r="AW526" s="244"/>
      <c r="AX526" s="244"/>
      <c r="AY526" s="244"/>
      <c r="AZ526" s="244"/>
      <c r="BA526" s="244"/>
      <c r="BB526" s="244"/>
      <c r="BC526" s="244"/>
      <c r="BD526" s="244"/>
      <c r="BE526" s="244"/>
      <c r="BF526" s="244"/>
      <c r="BG526" s="244"/>
      <c r="BH526" s="244"/>
      <c r="BI526" s="244"/>
      <c r="BJ526" s="244"/>
    </row>
    <row r="527" spans="2:62" ht="15.6">
      <c r="B527" s="7"/>
      <c r="C527" s="332"/>
      <c r="D527" s="332"/>
      <c r="E527" s="332"/>
      <c r="F527" s="332"/>
      <c r="G527" s="332"/>
      <c r="H527" s="332"/>
      <c r="I527" s="332"/>
      <c r="J527" s="395"/>
      <c r="K527" s="395"/>
      <c r="L527" s="395"/>
      <c r="M527" s="398"/>
      <c r="N527" s="395"/>
      <c r="O527" s="395"/>
      <c r="P527" s="395"/>
      <c r="Q527" s="332"/>
      <c r="R527" s="332"/>
      <c r="S527" s="395"/>
      <c r="T527" s="332"/>
      <c r="U527" s="332"/>
      <c r="V527" s="244"/>
      <c r="W527" s="332"/>
      <c r="X527" s="332"/>
      <c r="Y527" s="244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  <c r="AO527" s="244"/>
      <c r="AP527" s="244"/>
      <c r="AQ527" s="244"/>
      <c r="AR527" s="244"/>
      <c r="AS527" s="244"/>
      <c r="AT527" s="244"/>
      <c r="AU527" s="244"/>
      <c r="AV527" s="244"/>
      <c r="AW527" s="244"/>
      <c r="AX527" s="244"/>
      <c r="AY527" s="244"/>
      <c r="AZ527" s="244"/>
      <c r="BA527" s="244"/>
      <c r="BB527" s="244"/>
      <c r="BC527" s="244"/>
      <c r="BD527" s="244"/>
      <c r="BE527" s="244"/>
      <c r="BF527" s="244"/>
      <c r="BG527" s="244"/>
      <c r="BH527" s="244"/>
      <c r="BI527" s="244"/>
      <c r="BJ527" s="244"/>
    </row>
    <row r="528" spans="2:62">
      <c r="B528" s="7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W528" s="332"/>
      <c r="X528" s="332"/>
      <c r="Y528" s="244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  <c r="AO528" s="244"/>
      <c r="AP528" s="244"/>
      <c r="AQ528" s="244"/>
      <c r="AR528" s="244"/>
      <c r="AS528" s="244"/>
      <c r="AT528" s="244"/>
      <c r="AU528" s="244"/>
      <c r="AV528" s="244"/>
      <c r="AW528" s="244"/>
      <c r="AX528" s="244"/>
      <c r="AY528" s="244"/>
      <c r="AZ528" s="244"/>
      <c r="BA528" s="244"/>
      <c r="BB528" s="244"/>
      <c r="BC528" s="244"/>
      <c r="BD528" s="244"/>
      <c r="BE528" s="244"/>
      <c r="BF528" s="244"/>
      <c r="BG528" s="244"/>
      <c r="BH528" s="244"/>
      <c r="BI528" s="244"/>
      <c r="BJ528" s="244"/>
    </row>
    <row r="529" spans="2:62">
      <c r="B529" s="7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W529" s="332"/>
      <c r="X529" s="332"/>
      <c r="Y529" s="244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  <c r="AO529" s="244"/>
      <c r="AP529" s="244"/>
      <c r="AQ529" s="244"/>
      <c r="AR529" s="244"/>
      <c r="AS529" s="244"/>
      <c r="AT529" s="244"/>
      <c r="AU529" s="244"/>
      <c r="AV529" s="244"/>
      <c r="AW529" s="244"/>
      <c r="AX529" s="244"/>
      <c r="AY529" s="244"/>
      <c r="AZ529" s="244"/>
      <c r="BA529" s="244"/>
      <c r="BB529" s="244"/>
      <c r="BC529" s="244"/>
      <c r="BD529" s="244"/>
      <c r="BE529" s="244"/>
      <c r="BF529" s="244"/>
      <c r="BG529" s="244"/>
      <c r="BH529" s="244"/>
      <c r="BI529" s="244"/>
      <c r="BJ529" s="244"/>
    </row>
    <row r="530" spans="2:62">
      <c r="B530" s="7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W530" s="332"/>
      <c r="X530" s="332"/>
      <c r="Y530" s="244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  <c r="AO530" s="244"/>
      <c r="AP530" s="244"/>
      <c r="AQ530" s="244"/>
      <c r="AR530" s="244"/>
      <c r="AS530" s="244"/>
      <c r="AT530" s="244"/>
      <c r="AU530" s="244"/>
      <c r="AV530" s="244"/>
      <c r="AW530" s="244"/>
      <c r="AX530" s="244"/>
      <c r="AY530" s="244"/>
      <c r="AZ530" s="244"/>
      <c r="BA530" s="244"/>
      <c r="BB530" s="244"/>
      <c r="BC530" s="244"/>
      <c r="BD530" s="244"/>
      <c r="BE530" s="244"/>
      <c r="BF530" s="244"/>
      <c r="BG530" s="244"/>
      <c r="BH530" s="244"/>
      <c r="BI530" s="244"/>
      <c r="BJ530" s="244"/>
    </row>
    <row r="531" spans="2:62" ht="17.399999999999999">
      <c r="B531" s="7"/>
      <c r="C531" s="399"/>
      <c r="D531" s="400"/>
      <c r="E531" s="400"/>
      <c r="F531" s="400"/>
      <c r="G531" s="400"/>
      <c r="H531" s="400"/>
      <c r="I531" s="400"/>
      <c r="J531" s="400"/>
      <c r="K531" s="400"/>
      <c r="L531" s="400"/>
      <c r="M531" s="400"/>
      <c r="N531" s="400"/>
      <c r="O531" s="400"/>
      <c r="P531" s="400"/>
      <c r="Q531" s="400"/>
      <c r="R531" s="400"/>
      <c r="S531" s="400"/>
      <c r="T531" s="332"/>
      <c r="U531" s="332"/>
      <c r="W531" s="332"/>
      <c r="X531" s="332"/>
      <c r="Y531" s="244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  <c r="AO531" s="244"/>
      <c r="AP531" s="244"/>
      <c r="AQ531" s="244"/>
      <c r="AR531" s="244"/>
      <c r="AS531" s="244"/>
      <c r="AT531" s="244"/>
      <c r="AU531" s="244"/>
      <c r="AV531" s="244"/>
      <c r="AW531" s="244"/>
      <c r="AX531" s="244"/>
      <c r="AY531" s="244"/>
      <c r="AZ531" s="244"/>
      <c r="BA531" s="244"/>
      <c r="BB531" s="244"/>
      <c r="BC531" s="244"/>
      <c r="BD531" s="244"/>
      <c r="BE531" s="244"/>
      <c r="BF531" s="244"/>
      <c r="BG531" s="244"/>
      <c r="BH531" s="244"/>
      <c r="BI531" s="244"/>
      <c r="BJ531" s="244"/>
    </row>
    <row r="532" spans="2:62">
      <c r="B532" s="7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401"/>
      <c r="R532" s="332"/>
      <c r="S532" s="332"/>
      <c r="T532" s="332"/>
      <c r="U532" s="332"/>
      <c r="W532" s="332"/>
      <c r="X532" s="332"/>
      <c r="Y532" s="244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  <c r="AO532" s="244"/>
      <c r="AP532" s="244"/>
      <c r="AQ532" s="244"/>
      <c r="AR532" s="244"/>
      <c r="AS532" s="244"/>
      <c r="AT532" s="244"/>
      <c r="AU532" s="244"/>
      <c r="AV532" s="244"/>
      <c r="AW532" s="244"/>
      <c r="AX532" s="244"/>
      <c r="AY532" s="244"/>
      <c r="AZ532" s="244"/>
      <c r="BA532" s="244"/>
      <c r="BB532" s="244"/>
      <c r="BC532" s="244"/>
      <c r="BD532" s="244"/>
      <c r="BE532" s="244"/>
      <c r="BF532" s="244"/>
      <c r="BG532" s="244"/>
      <c r="BH532" s="244"/>
      <c r="BI532" s="244"/>
      <c r="BJ532" s="244"/>
    </row>
    <row r="533" spans="2:62">
      <c r="B533" s="7"/>
      <c r="C533" s="332"/>
      <c r="D533" s="332"/>
      <c r="E533" s="332"/>
      <c r="F533" s="332"/>
      <c r="G533" s="332"/>
      <c r="H533" s="332"/>
      <c r="I533" s="332"/>
      <c r="J533" s="332"/>
      <c r="K533" s="332"/>
      <c r="L533" s="402"/>
      <c r="M533" s="403"/>
      <c r="N533" s="403"/>
      <c r="O533" s="332"/>
      <c r="P533" s="402"/>
      <c r="Q533" s="403"/>
      <c r="R533" s="403"/>
      <c r="S533" s="402"/>
      <c r="T533" s="332"/>
      <c r="U533" s="332"/>
      <c r="W533" s="332"/>
      <c r="X533" s="332"/>
      <c r="Y533" s="244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  <c r="AO533" s="244"/>
      <c r="AP533" s="244"/>
      <c r="AQ533" s="244"/>
      <c r="AR533" s="244"/>
      <c r="AS533" s="244"/>
      <c r="AT533" s="244"/>
      <c r="AU533" s="244"/>
      <c r="AV533" s="244"/>
      <c r="AW533" s="244"/>
      <c r="AX533" s="244"/>
      <c r="AY533" s="244"/>
      <c r="AZ533" s="244"/>
      <c r="BA533" s="244"/>
      <c r="BB533" s="244"/>
      <c r="BC533" s="244"/>
      <c r="BD533" s="244"/>
      <c r="BE533" s="244"/>
      <c r="BF533" s="244"/>
      <c r="BG533" s="244"/>
      <c r="BH533" s="244"/>
      <c r="BI533" s="244"/>
      <c r="BJ533" s="244"/>
    </row>
    <row r="534" spans="2:62">
      <c r="B534" s="7"/>
      <c r="C534" s="332"/>
      <c r="D534" s="332"/>
      <c r="E534" s="402"/>
      <c r="F534" s="404"/>
      <c r="G534" s="332"/>
      <c r="H534" s="402"/>
      <c r="I534" s="404"/>
      <c r="J534" s="403"/>
      <c r="K534" s="395"/>
      <c r="L534" s="402"/>
      <c r="M534" s="403"/>
      <c r="N534" s="403"/>
      <c r="O534" s="395"/>
      <c r="P534" s="402"/>
      <c r="Q534" s="403"/>
      <c r="R534" s="403"/>
      <c r="S534" s="402"/>
      <c r="T534" s="332"/>
      <c r="U534" s="332"/>
      <c r="W534" s="332"/>
      <c r="X534" s="332"/>
      <c r="Y534" s="244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  <c r="AO534" s="244"/>
      <c r="AP534" s="244"/>
      <c r="AQ534" s="244"/>
      <c r="AR534" s="244"/>
      <c r="AS534" s="244"/>
      <c r="AT534" s="244"/>
      <c r="AU534" s="244"/>
      <c r="AV534" s="244"/>
      <c r="AW534" s="244"/>
      <c r="AX534" s="244"/>
      <c r="AY534" s="244"/>
      <c r="AZ534" s="244"/>
      <c r="BA534" s="244"/>
      <c r="BB534" s="244"/>
      <c r="BC534" s="244"/>
      <c r="BD534" s="244"/>
      <c r="BE534" s="244"/>
      <c r="BF534" s="244"/>
      <c r="BG534" s="244"/>
      <c r="BH534" s="244"/>
      <c r="BI534" s="244"/>
      <c r="BJ534" s="244"/>
    </row>
    <row r="535" spans="2:62">
      <c r="B535" s="7"/>
      <c r="C535" s="332"/>
      <c r="D535" s="405"/>
      <c r="E535" s="404"/>
      <c r="F535" s="404"/>
      <c r="G535" s="405"/>
      <c r="H535" s="404"/>
      <c r="I535" s="404"/>
      <c r="J535" s="404"/>
      <c r="K535" s="404"/>
      <c r="L535" s="404"/>
      <c r="M535" s="404"/>
      <c r="N535" s="404"/>
      <c r="O535" s="404"/>
      <c r="P535" s="404"/>
      <c r="Q535" s="404"/>
      <c r="R535" s="404"/>
      <c r="S535" s="404"/>
      <c r="T535" s="332"/>
      <c r="U535" s="332"/>
      <c r="W535" s="332"/>
      <c r="X535" s="332"/>
      <c r="Y535" s="244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  <c r="AO535" s="244"/>
      <c r="AP535" s="244"/>
      <c r="AQ535" s="244"/>
      <c r="AR535" s="244"/>
      <c r="AS535" s="244"/>
      <c r="AT535" s="244"/>
      <c r="AU535" s="244"/>
      <c r="AV535" s="244"/>
      <c r="AW535" s="244"/>
      <c r="AX535" s="244"/>
      <c r="AY535" s="244"/>
      <c r="AZ535" s="244"/>
      <c r="BA535" s="244"/>
      <c r="BB535" s="244"/>
      <c r="BC535" s="244"/>
      <c r="BD535" s="244"/>
      <c r="BE535" s="244"/>
      <c r="BF535" s="244"/>
      <c r="BG535" s="244"/>
      <c r="BH535" s="244"/>
      <c r="BI535" s="244"/>
      <c r="BJ535" s="244"/>
    </row>
    <row r="536" spans="2:62">
      <c r="B536" s="7"/>
      <c r="C536" s="395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W536" s="332"/>
      <c r="X536" s="332"/>
      <c r="Y536" s="244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  <c r="AO536" s="244"/>
      <c r="AP536" s="244"/>
      <c r="AQ536" s="244"/>
      <c r="AR536" s="244"/>
      <c r="AS536" s="244"/>
      <c r="AT536" s="244"/>
      <c r="AU536" s="244"/>
      <c r="AV536" s="244"/>
      <c r="AW536" s="244"/>
      <c r="AX536" s="244"/>
      <c r="AY536" s="244"/>
      <c r="AZ536" s="244"/>
      <c r="BA536" s="244"/>
      <c r="BB536" s="244"/>
      <c r="BC536" s="244"/>
      <c r="BD536" s="244"/>
      <c r="BE536" s="244"/>
      <c r="BF536" s="244"/>
      <c r="BG536" s="244"/>
      <c r="BH536" s="244"/>
      <c r="BI536" s="244"/>
      <c r="BJ536" s="244"/>
    </row>
    <row r="537" spans="2:62">
      <c r="B537" s="7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W537" s="332"/>
      <c r="X537" s="332"/>
      <c r="Y537" s="244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  <c r="AO537" s="244"/>
      <c r="AP537" s="244"/>
      <c r="AQ537" s="244"/>
      <c r="AR537" s="244"/>
      <c r="AS537" s="244"/>
      <c r="AT537" s="244"/>
      <c r="AU537" s="244"/>
      <c r="AV537" s="244"/>
      <c r="AW537" s="244"/>
      <c r="AX537" s="244"/>
      <c r="AY537" s="244"/>
      <c r="AZ537" s="244"/>
      <c r="BA537" s="244"/>
      <c r="BB537" s="244"/>
      <c r="BC537" s="244"/>
      <c r="BD537" s="244"/>
      <c r="BE537" s="244"/>
      <c r="BF537" s="244"/>
      <c r="BG537" s="244"/>
      <c r="BH537" s="244"/>
      <c r="BI537" s="244"/>
      <c r="BJ537" s="244"/>
    </row>
    <row r="538" spans="2:62">
      <c r="B538" s="7"/>
      <c r="C538" s="332"/>
      <c r="D538" s="332"/>
      <c r="E538" s="396"/>
      <c r="F538" s="406"/>
      <c r="G538" s="332"/>
      <c r="H538" s="396"/>
      <c r="I538" s="406"/>
      <c r="J538" s="406"/>
      <c r="K538" s="396"/>
      <c r="L538" s="406"/>
      <c r="M538" s="396"/>
      <c r="N538" s="406"/>
      <c r="O538" s="396"/>
      <c r="P538" s="406"/>
      <c r="Q538" s="396"/>
      <c r="R538" s="396"/>
      <c r="S538" s="396"/>
      <c r="T538" s="332"/>
      <c r="U538" s="332"/>
      <c r="W538" s="332"/>
      <c r="X538" s="332"/>
      <c r="Y538" s="244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  <c r="AO538" s="244"/>
      <c r="AP538" s="244"/>
      <c r="AQ538" s="244"/>
      <c r="AR538" s="244"/>
      <c r="AS538" s="244"/>
      <c r="AT538" s="244"/>
      <c r="AU538" s="244"/>
      <c r="AV538" s="244"/>
      <c r="AW538" s="244"/>
      <c r="AX538" s="244"/>
      <c r="AY538" s="244"/>
      <c r="AZ538" s="244"/>
      <c r="BA538" s="244"/>
      <c r="BB538" s="244"/>
      <c r="BC538" s="244"/>
      <c r="BD538" s="244"/>
      <c r="BE538" s="244"/>
      <c r="BF538" s="244"/>
      <c r="BG538" s="244"/>
      <c r="BH538" s="244"/>
      <c r="BI538" s="244"/>
      <c r="BJ538" s="244"/>
    </row>
    <row r="539" spans="2:62">
      <c r="B539" s="7"/>
      <c r="C539" s="332"/>
      <c r="D539" s="332"/>
      <c r="E539" s="396"/>
      <c r="F539" s="406"/>
      <c r="G539" s="332"/>
      <c r="H539" s="396"/>
      <c r="I539" s="406"/>
      <c r="J539" s="406"/>
      <c r="K539" s="396"/>
      <c r="L539" s="406"/>
      <c r="M539" s="396"/>
      <c r="N539" s="406"/>
      <c r="O539" s="396"/>
      <c r="P539" s="406"/>
      <c r="Q539" s="396"/>
      <c r="R539" s="396"/>
      <c r="S539" s="396"/>
      <c r="T539" s="332"/>
      <c r="U539" s="332"/>
      <c r="W539" s="332"/>
      <c r="X539" s="332"/>
      <c r="Y539" s="244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  <c r="AO539" s="244"/>
      <c r="AP539" s="244"/>
      <c r="AQ539" s="244"/>
      <c r="AR539" s="244"/>
      <c r="AS539" s="244"/>
      <c r="AT539" s="244"/>
      <c r="AU539" s="244"/>
      <c r="AV539" s="244"/>
      <c r="AW539" s="244"/>
      <c r="AX539" s="244"/>
      <c r="AY539" s="244"/>
      <c r="AZ539" s="244"/>
      <c r="BA539" s="244"/>
      <c r="BB539" s="244"/>
      <c r="BC539" s="244"/>
      <c r="BD539" s="244"/>
      <c r="BE539" s="244"/>
      <c r="BF539" s="244"/>
      <c r="BG539" s="244"/>
      <c r="BH539" s="244"/>
      <c r="BI539" s="244"/>
      <c r="BJ539" s="244"/>
    </row>
    <row r="540" spans="2:62">
      <c r="B540" s="7"/>
      <c r="C540" s="332"/>
      <c r="D540" s="332"/>
      <c r="E540" s="396"/>
      <c r="F540" s="406"/>
      <c r="G540" s="332"/>
      <c r="H540" s="396"/>
      <c r="I540" s="406"/>
      <c r="J540" s="406"/>
      <c r="K540" s="396"/>
      <c r="L540" s="406"/>
      <c r="M540" s="396"/>
      <c r="N540" s="406"/>
      <c r="O540" s="396"/>
      <c r="P540" s="406"/>
      <c r="Q540" s="396"/>
      <c r="R540" s="396"/>
      <c r="S540" s="396"/>
      <c r="T540" s="332"/>
      <c r="U540" s="332"/>
      <c r="W540" s="332"/>
      <c r="X540" s="332"/>
      <c r="Y540" s="244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  <c r="AO540" s="244"/>
      <c r="AP540" s="244"/>
      <c r="AQ540" s="244"/>
      <c r="AR540" s="244"/>
      <c r="AS540" s="244"/>
      <c r="AT540" s="244"/>
      <c r="AU540" s="244"/>
      <c r="AV540" s="244"/>
      <c r="AW540" s="244"/>
      <c r="AX540" s="244"/>
      <c r="AY540" s="244"/>
      <c r="AZ540" s="244"/>
      <c r="BA540" s="244"/>
      <c r="BB540" s="244"/>
      <c r="BC540" s="244"/>
      <c r="BD540" s="244"/>
      <c r="BE540" s="244"/>
      <c r="BF540" s="244"/>
      <c r="BG540" s="244"/>
      <c r="BH540" s="244"/>
      <c r="BI540" s="244"/>
      <c r="BJ540" s="244"/>
    </row>
    <row r="541" spans="2:62">
      <c r="B541" s="7"/>
      <c r="C541" s="332"/>
      <c r="D541" s="332"/>
      <c r="E541" s="396"/>
      <c r="F541" s="406"/>
      <c r="G541" s="332"/>
      <c r="H541" s="396"/>
      <c r="I541" s="406"/>
      <c r="J541" s="406"/>
      <c r="K541" s="396"/>
      <c r="L541" s="406"/>
      <c r="M541" s="396"/>
      <c r="N541" s="406"/>
      <c r="O541" s="396"/>
      <c r="P541" s="406"/>
      <c r="Q541" s="396"/>
      <c r="R541" s="396"/>
      <c r="S541" s="396"/>
      <c r="T541" s="332"/>
      <c r="U541" s="332"/>
      <c r="W541" s="332"/>
      <c r="X541" s="332"/>
      <c r="Y541" s="244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  <c r="AO541" s="244"/>
      <c r="AP541" s="244"/>
      <c r="AQ541" s="244"/>
      <c r="AR541" s="244"/>
      <c r="AS541" s="244"/>
      <c r="AT541" s="244"/>
      <c r="AU541" s="244"/>
      <c r="AV541" s="244"/>
      <c r="AW541" s="244"/>
      <c r="AX541" s="244"/>
      <c r="AY541" s="244"/>
      <c r="AZ541" s="244"/>
      <c r="BA541" s="244"/>
      <c r="BB541" s="244"/>
      <c r="BC541" s="244"/>
      <c r="BD541" s="244"/>
      <c r="BE541" s="244"/>
      <c r="BF541" s="244"/>
      <c r="BG541" s="244"/>
      <c r="BH541" s="244"/>
      <c r="BI541" s="244"/>
      <c r="BJ541" s="244"/>
    </row>
    <row r="542" spans="2:62">
      <c r="B542" s="7"/>
      <c r="C542" s="332"/>
      <c r="D542" s="332"/>
      <c r="E542" s="396"/>
      <c r="F542" s="406"/>
      <c r="G542" s="332"/>
      <c r="H542" s="396"/>
      <c r="I542" s="406"/>
      <c r="J542" s="406"/>
      <c r="K542" s="396"/>
      <c r="L542" s="406"/>
      <c r="M542" s="396"/>
      <c r="N542" s="406"/>
      <c r="O542" s="396"/>
      <c r="P542" s="406"/>
      <c r="Q542" s="396"/>
      <c r="R542" s="396"/>
      <c r="S542" s="332"/>
      <c r="T542" s="332"/>
      <c r="U542" s="332"/>
      <c r="W542" s="332"/>
      <c r="X542" s="332"/>
      <c r="Y542" s="244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  <c r="AO542" s="244"/>
      <c r="AP542" s="244"/>
      <c r="AQ542" s="244"/>
      <c r="AR542" s="244"/>
      <c r="AS542" s="244"/>
      <c r="AT542" s="244"/>
      <c r="AU542" s="244"/>
      <c r="AV542" s="244"/>
      <c r="AW542" s="244"/>
      <c r="AX542" s="244"/>
      <c r="AY542" s="244"/>
      <c r="AZ542" s="244"/>
      <c r="BA542" s="244"/>
      <c r="BB542" s="244"/>
      <c r="BC542" s="244"/>
      <c r="BD542" s="244"/>
      <c r="BE542" s="244"/>
      <c r="BF542" s="244"/>
      <c r="BG542" s="244"/>
      <c r="BH542" s="244"/>
      <c r="BI542" s="244"/>
      <c r="BJ542" s="244"/>
    </row>
    <row r="543" spans="2:62">
      <c r="B543" s="7"/>
      <c r="C543" s="332"/>
      <c r="D543" s="332"/>
      <c r="E543" s="396"/>
      <c r="F543" s="406"/>
      <c r="G543" s="332"/>
      <c r="H543" s="396"/>
      <c r="I543" s="406"/>
      <c r="J543" s="406"/>
      <c r="K543" s="396"/>
      <c r="L543" s="406"/>
      <c r="M543" s="396"/>
      <c r="N543" s="406"/>
      <c r="O543" s="396"/>
      <c r="P543" s="406"/>
      <c r="Q543" s="396"/>
      <c r="R543" s="396"/>
      <c r="S543" s="396"/>
      <c r="T543" s="332"/>
      <c r="U543" s="332"/>
      <c r="W543" s="332"/>
      <c r="X543" s="332"/>
      <c r="Y543" s="244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  <c r="AO543" s="244"/>
      <c r="AP543" s="244"/>
      <c r="AQ543" s="244"/>
      <c r="AR543" s="244"/>
      <c r="AS543" s="244"/>
      <c r="AT543" s="244"/>
      <c r="AU543" s="244"/>
      <c r="AV543" s="244"/>
      <c r="AW543" s="244"/>
      <c r="AX543" s="244"/>
      <c r="AY543" s="244"/>
      <c r="AZ543" s="244"/>
      <c r="BA543" s="244"/>
      <c r="BB543" s="244"/>
      <c r="BC543" s="244"/>
      <c r="BD543" s="244"/>
      <c r="BE543" s="244"/>
      <c r="BF543" s="244"/>
      <c r="BG543" s="244"/>
      <c r="BH543" s="244"/>
      <c r="BI543" s="244"/>
      <c r="BJ543" s="244"/>
    </row>
    <row r="544" spans="2:62">
      <c r="B544" s="7"/>
      <c r="C544" s="332"/>
      <c r="D544" s="332"/>
      <c r="E544" s="396"/>
      <c r="F544" s="407"/>
      <c r="G544" s="332"/>
      <c r="H544" s="396"/>
      <c r="I544" s="407"/>
      <c r="J544" s="406"/>
      <c r="K544" s="396"/>
      <c r="L544" s="406"/>
      <c r="M544" s="396"/>
      <c r="N544" s="406"/>
      <c r="O544" s="396"/>
      <c r="P544" s="332"/>
      <c r="Q544" s="332"/>
      <c r="R544" s="396"/>
      <c r="S544" s="396"/>
      <c r="T544" s="332"/>
      <c r="U544" s="332"/>
      <c r="W544" s="332"/>
      <c r="X544" s="332"/>
      <c r="Y544" s="244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  <c r="AO544" s="244"/>
      <c r="AP544" s="244"/>
      <c r="AQ544" s="244"/>
      <c r="AR544" s="244"/>
      <c r="AS544" s="244"/>
      <c r="AT544" s="244"/>
      <c r="AU544" s="244"/>
      <c r="AV544" s="244"/>
      <c r="AW544" s="244"/>
      <c r="AX544" s="244"/>
      <c r="AY544" s="244"/>
      <c r="AZ544" s="244"/>
      <c r="BA544" s="244"/>
      <c r="BB544" s="244"/>
      <c r="BC544" s="244"/>
      <c r="BD544" s="244"/>
      <c r="BE544" s="244"/>
      <c r="BF544" s="244"/>
      <c r="BG544" s="244"/>
      <c r="BH544" s="244"/>
      <c r="BI544" s="244"/>
      <c r="BJ544" s="244"/>
    </row>
    <row r="545" spans="2:62">
      <c r="B545" s="7"/>
      <c r="C545" s="395"/>
      <c r="D545" s="395"/>
      <c r="E545" s="398"/>
      <c r="F545" s="408"/>
      <c r="G545" s="395"/>
      <c r="H545" s="398"/>
      <c r="I545" s="408"/>
      <c r="J545" s="408"/>
      <c r="K545" s="398"/>
      <c r="L545" s="408"/>
      <c r="M545" s="398"/>
      <c r="N545" s="408"/>
      <c r="O545" s="398"/>
      <c r="P545" s="408"/>
      <c r="Q545" s="398"/>
      <c r="R545" s="398"/>
      <c r="S545" s="395"/>
      <c r="T545" s="332"/>
      <c r="U545" s="332"/>
      <c r="W545" s="332"/>
      <c r="X545" s="332"/>
      <c r="Y545" s="244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  <c r="AO545" s="244"/>
      <c r="AP545" s="244"/>
      <c r="AQ545" s="244"/>
      <c r="AR545" s="244"/>
      <c r="AS545" s="244"/>
      <c r="AT545" s="244"/>
      <c r="AU545" s="244"/>
      <c r="AV545" s="244"/>
      <c r="AW545" s="244"/>
      <c r="AX545" s="244"/>
      <c r="AY545" s="244"/>
      <c r="AZ545" s="244"/>
      <c r="BA545" s="244"/>
      <c r="BB545" s="244"/>
      <c r="BC545" s="244"/>
      <c r="BD545" s="244"/>
      <c r="BE545" s="244"/>
      <c r="BF545" s="244"/>
      <c r="BG545" s="244"/>
      <c r="BH545" s="244"/>
      <c r="BI545" s="244"/>
      <c r="BJ545" s="244"/>
    </row>
    <row r="546" spans="2:62">
      <c r="B546" s="7"/>
      <c r="C546" s="332"/>
      <c r="D546" s="332"/>
      <c r="E546" s="396"/>
      <c r="F546" s="332"/>
      <c r="G546" s="332"/>
      <c r="H546" s="396"/>
      <c r="I546" s="332"/>
      <c r="J546" s="406"/>
      <c r="K546" s="396"/>
      <c r="L546" s="406"/>
      <c r="M546" s="396"/>
      <c r="N546" s="406"/>
      <c r="O546" s="396"/>
      <c r="P546" s="395"/>
      <c r="Q546" s="408"/>
      <c r="R546" s="408"/>
      <c r="S546" s="332"/>
      <c r="T546" s="332"/>
      <c r="U546" s="332"/>
      <c r="W546" s="332"/>
      <c r="X546" s="332"/>
      <c r="Y546" s="244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  <c r="AO546" s="244"/>
      <c r="AP546" s="244"/>
      <c r="AQ546" s="244"/>
      <c r="AR546" s="244"/>
      <c r="AS546" s="244"/>
      <c r="AT546" s="244"/>
      <c r="AU546" s="244"/>
      <c r="AV546" s="244"/>
      <c r="AW546" s="244"/>
      <c r="AX546" s="244"/>
      <c r="AY546" s="244"/>
      <c r="AZ546" s="244"/>
      <c r="BA546" s="244"/>
      <c r="BB546" s="244"/>
      <c r="BC546" s="244"/>
      <c r="BD546" s="244"/>
      <c r="BE546" s="244"/>
      <c r="BF546" s="244"/>
      <c r="BG546" s="244"/>
      <c r="BH546" s="244"/>
      <c r="BI546" s="244"/>
      <c r="BJ546" s="244"/>
    </row>
    <row r="547" spans="2:62">
      <c r="B547" s="7"/>
      <c r="C547" s="332"/>
      <c r="D547" s="332"/>
      <c r="E547" s="396"/>
      <c r="F547" s="332"/>
      <c r="G547" s="332"/>
      <c r="H547" s="396"/>
      <c r="I547" s="332"/>
      <c r="J547" s="406"/>
      <c r="K547" s="396"/>
      <c r="L547" s="406"/>
      <c r="M547" s="396"/>
      <c r="N547" s="406"/>
      <c r="O547" s="396"/>
      <c r="P547" s="332"/>
      <c r="Q547" s="332"/>
      <c r="R547" s="396"/>
      <c r="S547" s="332"/>
      <c r="T547" s="332"/>
      <c r="U547" s="332"/>
      <c r="W547" s="332"/>
      <c r="X547" s="332"/>
      <c r="Y547" s="244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  <c r="AO547" s="244"/>
      <c r="AP547" s="244"/>
      <c r="AQ547" s="244"/>
      <c r="AR547" s="244"/>
      <c r="AS547" s="244"/>
      <c r="AT547" s="244"/>
      <c r="AU547" s="244"/>
      <c r="AV547" s="244"/>
      <c r="AW547" s="244"/>
      <c r="AX547" s="244"/>
      <c r="AY547" s="244"/>
      <c r="AZ547" s="244"/>
      <c r="BA547" s="244"/>
      <c r="BB547" s="244"/>
      <c r="BC547" s="244"/>
      <c r="BD547" s="244"/>
      <c r="BE547" s="244"/>
      <c r="BF547" s="244"/>
      <c r="BG547" s="244"/>
      <c r="BH547" s="244"/>
      <c r="BI547" s="244"/>
      <c r="BJ547" s="244"/>
    </row>
    <row r="548" spans="2:62">
      <c r="B548" s="7"/>
      <c r="C548" s="395"/>
      <c r="D548" s="332"/>
      <c r="E548" s="396"/>
      <c r="F548" s="332"/>
      <c r="G548" s="332"/>
      <c r="H548" s="396"/>
      <c r="I548" s="332"/>
      <c r="J548" s="406"/>
      <c r="K548" s="396"/>
      <c r="L548" s="406"/>
      <c r="M548" s="396"/>
      <c r="N548" s="406"/>
      <c r="O548" s="396"/>
      <c r="P548" s="332"/>
      <c r="Q548" s="332"/>
      <c r="R548" s="396"/>
      <c r="S548" s="332"/>
      <c r="T548" s="332"/>
      <c r="U548" s="332"/>
      <c r="W548" s="332"/>
      <c r="X548" s="332"/>
      <c r="Y548" s="244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  <c r="AO548" s="244"/>
      <c r="AP548" s="244"/>
      <c r="AQ548" s="244"/>
      <c r="AR548" s="244"/>
      <c r="AS548" s="244"/>
      <c r="AT548" s="244"/>
      <c r="AU548" s="244"/>
      <c r="AV548" s="244"/>
      <c r="AW548" s="244"/>
      <c r="AX548" s="244"/>
      <c r="AY548" s="244"/>
      <c r="AZ548" s="244"/>
      <c r="BA548" s="244"/>
      <c r="BB548" s="244"/>
      <c r="BC548" s="244"/>
      <c r="BD548" s="244"/>
      <c r="BE548" s="244"/>
      <c r="BF548" s="244"/>
      <c r="BG548" s="244"/>
      <c r="BH548" s="244"/>
      <c r="BI548" s="244"/>
      <c r="BJ548" s="244"/>
    </row>
    <row r="549" spans="2:62">
      <c r="B549" s="7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W549" s="332"/>
      <c r="X549" s="332"/>
      <c r="Y549" s="244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  <c r="AO549" s="244"/>
      <c r="AP549" s="244"/>
      <c r="AQ549" s="244"/>
      <c r="AR549" s="244"/>
      <c r="AS549" s="244"/>
      <c r="AT549" s="244"/>
      <c r="AU549" s="244"/>
      <c r="AV549" s="244"/>
      <c r="AW549" s="244"/>
      <c r="AX549" s="244"/>
      <c r="AY549" s="244"/>
      <c r="AZ549" s="244"/>
      <c r="BA549" s="244"/>
      <c r="BB549" s="244"/>
      <c r="BC549" s="244"/>
      <c r="BD549" s="244"/>
      <c r="BE549" s="244"/>
      <c r="BF549" s="244"/>
      <c r="BG549" s="244"/>
      <c r="BH549" s="244"/>
      <c r="BI549" s="244"/>
      <c r="BJ549" s="244"/>
    </row>
    <row r="550" spans="2:62">
      <c r="B550" s="7"/>
      <c r="C550" s="332"/>
      <c r="D550" s="332"/>
      <c r="E550" s="396"/>
      <c r="F550" s="406"/>
      <c r="G550" s="332"/>
      <c r="H550" s="396"/>
      <c r="I550" s="406"/>
      <c r="J550" s="406"/>
      <c r="K550" s="332"/>
      <c r="L550" s="406"/>
      <c r="M550" s="332"/>
      <c r="N550" s="406"/>
      <c r="O550" s="332"/>
      <c r="P550" s="406"/>
      <c r="Q550" s="396"/>
      <c r="R550" s="396"/>
      <c r="S550" s="332"/>
      <c r="T550" s="332"/>
      <c r="U550" s="332"/>
      <c r="W550" s="332"/>
      <c r="X550" s="332"/>
      <c r="Y550" s="244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  <c r="AO550" s="244"/>
      <c r="AP550" s="244"/>
      <c r="AQ550" s="244"/>
      <c r="AR550" s="244"/>
      <c r="AS550" s="244"/>
      <c r="AT550" s="244"/>
      <c r="AU550" s="244"/>
      <c r="AV550" s="244"/>
      <c r="AW550" s="244"/>
      <c r="AX550" s="244"/>
      <c r="AY550" s="244"/>
      <c r="AZ550" s="244"/>
      <c r="BA550" s="244"/>
      <c r="BB550" s="244"/>
      <c r="BC550" s="244"/>
      <c r="BD550" s="244"/>
      <c r="BE550" s="244"/>
      <c r="BF550" s="244"/>
      <c r="BG550" s="244"/>
      <c r="BH550" s="244"/>
      <c r="BI550" s="244"/>
      <c r="BJ550" s="244"/>
    </row>
    <row r="551" spans="2:62">
      <c r="B551" s="7"/>
      <c r="C551" s="332"/>
      <c r="D551" s="332"/>
      <c r="E551" s="396"/>
      <c r="F551" s="407"/>
      <c r="G551" s="332"/>
      <c r="H551" s="396"/>
      <c r="I551" s="407"/>
      <c r="J551" s="406"/>
      <c r="K551" s="396"/>
      <c r="L551" s="406"/>
      <c r="M551" s="396"/>
      <c r="N551" s="406"/>
      <c r="O551" s="396"/>
      <c r="P551" s="332"/>
      <c r="Q551" s="406"/>
      <c r="R551" s="406"/>
      <c r="S551" s="396"/>
      <c r="T551" s="332"/>
      <c r="U551" s="332"/>
      <c r="W551" s="332"/>
      <c r="X551" s="332"/>
      <c r="Y551" s="244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  <c r="AO551" s="244"/>
      <c r="AP551" s="244"/>
      <c r="AQ551" s="244"/>
      <c r="AR551" s="244"/>
      <c r="AS551" s="244"/>
      <c r="AT551" s="244"/>
      <c r="AU551" s="244"/>
      <c r="AV551" s="244"/>
      <c r="AW551" s="244"/>
      <c r="AX551" s="244"/>
      <c r="AY551" s="244"/>
      <c r="AZ551" s="244"/>
      <c r="BA551" s="244"/>
      <c r="BB551" s="244"/>
      <c r="BC551" s="244"/>
      <c r="BD551" s="244"/>
      <c r="BE551" s="244"/>
      <c r="BF551" s="244"/>
      <c r="BG551" s="244"/>
      <c r="BH551" s="244"/>
      <c r="BI551" s="244"/>
      <c r="BJ551" s="244"/>
    </row>
    <row r="552" spans="2:62">
      <c r="B552" s="7"/>
      <c r="C552" s="332"/>
      <c r="D552" s="332"/>
      <c r="E552" s="396"/>
      <c r="F552" s="407"/>
      <c r="G552" s="332"/>
      <c r="H552" s="396"/>
      <c r="I552" s="407"/>
      <c r="J552" s="406"/>
      <c r="K552" s="396"/>
      <c r="L552" s="406"/>
      <c r="M552" s="396"/>
      <c r="N552" s="406"/>
      <c r="O552" s="396"/>
      <c r="P552" s="332"/>
      <c r="Q552" s="332"/>
      <c r="R552" s="396"/>
      <c r="S552" s="396"/>
      <c r="T552" s="332"/>
      <c r="U552" s="332"/>
      <c r="W552" s="332"/>
      <c r="X552" s="332"/>
      <c r="Y552" s="244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  <c r="AO552" s="244"/>
      <c r="AP552" s="244"/>
      <c r="AQ552" s="244"/>
      <c r="AR552" s="244"/>
      <c r="AS552" s="244"/>
      <c r="AT552" s="244"/>
      <c r="AU552" s="244"/>
      <c r="AV552" s="244"/>
      <c r="AW552" s="244"/>
      <c r="AX552" s="244"/>
      <c r="AY552" s="244"/>
      <c r="AZ552" s="244"/>
      <c r="BA552" s="244"/>
      <c r="BB552" s="244"/>
      <c r="BC552" s="244"/>
      <c r="BD552" s="244"/>
      <c r="BE552" s="244"/>
      <c r="BF552" s="244"/>
      <c r="BG552" s="244"/>
      <c r="BH552" s="244"/>
      <c r="BI552" s="244"/>
      <c r="BJ552" s="244"/>
    </row>
    <row r="553" spans="2:62">
      <c r="B553" s="7"/>
      <c r="C553" s="332"/>
      <c r="D553" s="332"/>
      <c r="E553" s="396"/>
      <c r="F553" s="406"/>
      <c r="G553" s="332"/>
      <c r="H553" s="396"/>
      <c r="I553" s="406"/>
      <c r="J553" s="406"/>
      <c r="K553" s="396"/>
      <c r="L553" s="406"/>
      <c r="M553" s="396"/>
      <c r="N553" s="406"/>
      <c r="O553" s="396"/>
      <c r="P553" s="332"/>
      <c r="Q553" s="332"/>
      <c r="R553" s="396"/>
      <c r="S553" s="332"/>
      <c r="T553" s="332"/>
      <c r="U553" s="332"/>
      <c r="W553" s="332"/>
      <c r="X553" s="332"/>
      <c r="Y553" s="244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  <c r="AO553" s="244"/>
      <c r="AP553" s="244"/>
      <c r="AQ553" s="244"/>
      <c r="AR553" s="244"/>
      <c r="AS553" s="244"/>
      <c r="AT553" s="244"/>
      <c r="AU553" s="244"/>
      <c r="AV553" s="244"/>
      <c r="AW553" s="244"/>
      <c r="AX553" s="244"/>
      <c r="AY553" s="244"/>
      <c r="AZ553" s="244"/>
      <c r="BA553" s="244"/>
      <c r="BB553" s="244"/>
      <c r="BC553" s="244"/>
      <c r="BD553" s="244"/>
      <c r="BE553" s="244"/>
      <c r="BF553" s="244"/>
      <c r="BG553" s="244"/>
      <c r="BH553" s="244"/>
      <c r="BI553" s="244"/>
      <c r="BJ553" s="244"/>
    </row>
    <row r="554" spans="2:62">
      <c r="B554" s="7"/>
      <c r="C554" s="395"/>
      <c r="D554" s="395"/>
      <c r="E554" s="398"/>
      <c r="F554" s="408"/>
      <c r="G554" s="395"/>
      <c r="H554" s="398"/>
      <c r="I554" s="408"/>
      <c r="J554" s="408"/>
      <c r="K554" s="398"/>
      <c r="L554" s="408"/>
      <c r="M554" s="398"/>
      <c r="N554" s="408"/>
      <c r="O554" s="398"/>
      <c r="P554" s="408"/>
      <c r="Q554" s="395"/>
      <c r="R554" s="398"/>
      <c r="S554" s="395"/>
      <c r="T554" s="332"/>
      <c r="U554" s="332"/>
      <c r="W554" s="332"/>
      <c r="X554" s="332"/>
      <c r="Y554" s="244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  <c r="AO554" s="244"/>
      <c r="AP554" s="244"/>
      <c r="AQ554" s="244"/>
      <c r="AR554" s="244"/>
      <c r="AS554" s="244"/>
      <c r="AT554" s="244"/>
      <c r="AU554" s="244"/>
      <c r="AV554" s="244"/>
      <c r="AW554" s="244"/>
      <c r="AX554" s="244"/>
      <c r="AY554" s="244"/>
      <c r="AZ554" s="244"/>
      <c r="BA554" s="244"/>
      <c r="BB554" s="244"/>
      <c r="BC554" s="244"/>
      <c r="BD554" s="244"/>
      <c r="BE554" s="244"/>
      <c r="BF554" s="244"/>
      <c r="BG554" s="244"/>
      <c r="BH554" s="244"/>
      <c r="BI554" s="244"/>
      <c r="BJ554" s="244"/>
    </row>
    <row r="555" spans="2:62">
      <c r="B555" s="7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95"/>
      <c r="Q555" s="408"/>
      <c r="R555" s="408"/>
      <c r="S555" s="332"/>
      <c r="T555" s="332"/>
      <c r="U555" s="332"/>
      <c r="W555" s="332"/>
      <c r="X555" s="332"/>
      <c r="Y555" s="244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  <c r="AO555" s="244"/>
      <c r="AP555" s="244"/>
      <c r="AQ555" s="244"/>
      <c r="AR555" s="244"/>
      <c r="AS555" s="244"/>
      <c r="AT555" s="244"/>
      <c r="AU555" s="244"/>
      <c r="AV555" s="244"/>
      <c r="AW555" s="244"/>
      <c r="AX555" s="244"/>
      <c r="AY555" s="244"/>
      <c r="AZ555" s="244"/>
      <c r="BA555" s="244"/>
      <c r="BB555" s="244"/>
      <c r="BC555" s="244"/>
      <c r="BD555" s="244"/>
      <c r="BE555" s="244"/>
      <c r="BF555" s="244"/>
      <c r="BG555" s="244"/>
      <c r="BH555" s="244"/>
      <c r="BI555" s="244"/>
      <c r="BJ555" s="244"/>
    </row>
    <row r="556" spans="2:62">
      <c r="B556" s="7"/>
      <c r="C556" s="332"/>
      <c r="D556" s="332"/>
      <c r="E556" s="396"/>
      <c r="F556" s="406"/>
      <c r="G556" s="332"/>
      <c r="H556" s="396"/>
      <c r="I556" s="406"/>
      <c r="J556" s="406"/>
      <c r="K556" s="396"/>
      <c r="L556" s="406"/>
      <c r="M556" s="396"/>
      <c r="N556" s="406"/>
      <c r="O556" s="396"/>
      <c r="P556" s="332"/>
      <c r="Q556" s="332"/>
      <c r="R556" s="396"/>
      <c r="S556" s="332"/>
      <c r="T556" s="332"/>
      <c r="U556" s="332"/>
      <c r="W556" s="332"/>
      <c r="X556" s="332"/>
      <c r="Y556" s="244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  <c r="AO556" s="244"/>
      <c r="AP556" s="244"/>
      <c r="AQ556" s="244"/>
      <c r="AR556" s="244"/>
      <c r="AS556" s="244"/>
      <c r="AT556" s="244"/>
      <c r="AU556" s="244"/>
      <c r="AV556" s="244"/>
      <c r="AW556" s="244"/>
      <c r="AX556" s="244"/>
      <c r="AY556" s="244"/>
      <c r="AZ556" s="244"/>
      <c r="BA556" s="244"/>
      <c r="BB556" s="244"/>
      <c r="BC556" s="244"/>
      <c r="BD556" s="244"/>
      <c r="BE556" s="244"/>
      <c r="BF556" s="244"/>
      <c r="BG556" s="244"/>
      <c r="BH556" s="244"/>
      <c r="BI556" s="244"/>
      <c r="BJ556" s="244"/>
    </row>
    <row r="557" spans="2:62">
      <c r="B557" s="7"/>
      <c r="C557" s="395"/>
      <c r="D557" s="332"/>
      <c r="E557" s="396"/>
      <c r="F557" s="406"/>
      <c r="G557" s="332"/>
      <c r="H557" s="396"/>
      <c r="I557" s="406"/>
      <c r="J557" s="406"/>
      <c r="K557" s="396"/>
      <c r="L557" s="406"/>
      <c r="M557" s="396"/>
      <c r="N557" s="406"/>
      <c r="O557" s="396"/>
      <c r="P557" s="332"/>
      <c r="Q557" s="332"/>
      <c r="R557" s="396"/>
      <c r="S557" s="332"/>
      <c r="T557" s="332"/>
      <c r="U557" s="332"/>
      <c r="W557" s="332"/>
      <c r="X557" s="332"/>
      <c r="Y557" s="244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  <c r="AO557" s="244"/>
      <c r="AP557" s="244"/>
      <c r="AQ557" s="244"/>
      <c r="AR557" s="244"/>
      <c r="AS557" s="244"/>
      <c r="AT557" s="244"/>
      <c r="AU557" s="244"/>
      <c r="AV557" s="244"/>
      <c r="AW557" s="244"/>
      <c r="AX557" s="244"/>
      <c r="AY557" s="244"/>
      <c r="AZ557" s="244"/>
      <c r="BA557" s="244"/>
      <c r="BB557" s="244"/>
      <c r="BC557" s="244"/>
      <c r="BD557" s="244"/>
      <c r="BE557" s="244"/>
      <c r="BF557" s="244"/>
      <c r="BG557" s="244"/>
      <c r="BH557" s="244"/>
      <c r="BI557" s="244"/>
      <c r="BJ557" s="244"/>
    </row>
    <row r="558" spans="2:62">
      <c r="B558" s="7"/>
      <c r="C558" s="332"/>
      <c r="D558" s="332"/>
      <c r="E558" s="396"/>
      <c r="F558" s="406"/>
      <c r="G558" s="332"/>
      <c r="H558" s="396"/>
      <c r="I558" s="406"/>
      <c r="J558" s="406"/>
      <c r="K558" s="396"/>
      <c r="L558" s="406"/>
      <c r="M558" s="396"/>
      <c r="N558" s="406"/>
      <c r="O558" s="396"/>
      <c r="P558" s="332"/>
      <c r="Q558" s="332"/>
      <c r="R558" s="396"/>
      <c r="S558" s="332"/>
      <c r="T558" s="332"/>
      <c r="U558" s="332"/>
      <c r="W558" s="332"/>
      <c r="X558" s="332"/>
      <c r="Y558" s="244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  <c r="AO558" s="244"/>
      <c r="AP558" s="244"/>
      <c r="AQ558" s="244"/>
      <c r="AR558" s="244"/>
      <c r="AS558" s="244"/>
      <c r="AT558" s="244"/>
      <c r="AU558" s="244"/>
      <c r="AV558" s="244"/>
      <c r="AW558" s="244"/>
      <c r="AX558" s="244"/>
      <c r="AY558" s="244"/>
      <c r="AZ558" s="244"/>
      <c r="BA558" s="244"/>
      <c r="BB558" s="244"/>
      <c r="BC558" s="244"/>
      <c r="BD558" s="244"/>
      <c r="BE558" s="244"/>
      <c r="BF558" s="244"/>
      <c r="BG558" s="244"/>
      <c r="BH558" s="244"/>
      <c r="BI558" s="244"/>
      <c r="BJ558" s="244"/>
    </row>
    <row r="559" spans="2:62">
      <c r="B559" s="7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406"/>
      <c r="Q559" s="396"/>
      <c r="R559" s="332"/>
      <c r="S559" s="396"/>
      <c r="T559" s="332"/>
      <c r="U559" s="332"/>
      <c r="W559" s="332"/>
      <c r="X559" s="332"/>
      <c r="Y559" s="244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  <c r="AO559" s="244"/>
      <c r="AP559" s="244"/>
      <c r="AQ559" s="244"/>
      <c r="AR559" s="244"/>
      <c r="AS559" s="244"/>
      <c r="AT559" s="244"/>
      <c r="AU559" s="244"/>
      <c r="AV559" s="244"/>
      <c r="AW559" s="244"/>
      <c r="AX559" s="244"/>
      <c r="AY559" s="244"/>
      <c r="AZ559" s="244"/>
      <c r="BA559" s="244"/>
      <c r="BB559" s="244"/>
      <c r="BC559" s="244"/>
      <c r="BD559" s="244"/>
      <c r="BE559" s="244"/>
      <c r="BF559" s="244"/>
      <c r="BG559" s="244"/>
      <c r="BH559" s="244"/>
      <c r="BI559" s="244"/>
      <c r="BJ559" s="244"/>
    </row>
    <row r="560" spans="2:62">
      <c r="B560" s="7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406"/>
      <c r="Q560" s="396"/>
      <c r="R560" s="332"/>
      <c r="S560" s="396"/>
      <c r="T560" s="332"/>
      <c r="U560" s="332"/>
      <c r="W560" s="332"/>
      <c r="X560" s="332"/>
      <c r="Y560" s="244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  <c r="AO560" s="244"/>
      <c r="AP560" s="244"/>
      <c r="AQ560" s="244"/>
      <c r="AR560" s="244"/>
      <c r="AS560" s="244"/>
      <c r="AT560" s="244"/>
      <c r="AU560" s="244"/>
      <c r="AV560" s="244"/>
      <c r="AW560" s="244"/>
      <c r="AX560" s="244"/>
      <c r="AY560" s="244"/>
      <c r="AZ560" s="244"/>
      <c r="BA560" s="244"/>
      <c r="BB560" s="244"/>
      <c r="BC560" s="244"/>
      <c r="BD560" s="244"/>
      <c r="BE560" s="244"/>
      <c r="BF560" s="244"/>
      <c r="BG560" s="244"/>
      <c r="BH560" s="244"/>
      <c r="BI560" s="244"/>
      <c r="BJ560" s="244"/>
    </row>
    <row r="561" spans="2:62">
      <c r="B561" s="7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406"/>
      <c r="Q561" s="396"/>
      <c r="R561" s="332"/>
      <c r="S561" s="396"/>
      <c r="T561" s="332"/>
      <c r="U561" s="332"/>
      <c r="W561" s="332"/>
      <c r="X561" s="332"/>
      <c r="Y561" s="244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  <c r="AO561" s="244"/>
      <c r="AP561" s="244"/>
      <c r="AQ561" s="244"/>
      <c r="AR561" s="244"/>
      <c r="AS561" s="244"/>
      <c r="AT561" s="244"/>
      <c r="AU561" s="244"/>
      <c r="AV561" s="244"/>
      <c r="AW561" s="244"/>
      <c r="AX561" s="244"/>
      <c r="AY561" s="244"/>
      <c r="AZ561" s="244"/>
      <c r="BA561" s="244"/>
      <c r="BB561" s="244"/>
      <c r="BC561" s="244"/>
      <c r="BD561" s="244"/>
      <c r="BE561" s="244"/>
      <c r="BF561" s="244"/>
      <c r="BG561" s="244"/>
      <c r="BH561" s="244"/>
      <c r="BI561" s="244"/>
      <c r="BJ561" s="244"/>
    </row>
    <row r="562" spans="2:62">
      <c r="B562" s="7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406"/>
      <c r="Q562" s="396"/>
      <c r="R562" s="332"/>
      <c r="S562" s="396"/>
      <c r="T562" s="332"/>
      <c r="U562" s="332"/>
      <c r="W562" s="332"/>
      <c r="X562" s="332"/>
      <c r="Y562" s="244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  <c r="AO562" s="244"/>
      <c r="AP562" s="244"/>
      <c r="AQ562" s="244"/>
      <c r="AR562" s="244"/>
      <c r="AS562" s="244"/>
      <c r="AT562" s="244"/>
      <c r="AU562" s="244"/>
      <c r="AV562" s="244"/>
      <c r="AW562" s="244"/>
      <c r="AX562" s="244"/>
      <c r="AY562" s="244"/>
      <c r="AZ562" s="244"/>
      <c r="BA562" s="244"/>
      <c r="BB562" s="244"/>
      <c r="BC562" s="244"/>
      <c r="BD562" s="244"/>
      <c r="BE562" s="244"/>
      <c r="BF562" s="244"/>
      <c r="BG562" s="244"/>
      <c r="BH562" s="244"/>
      <c r="BI562" s="244"/>
      <c r="BJ562" s="244"/>
    </row>
    <row r="563" spans="2:62">
      <c r="B563" s="7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406"/>
      <c r="Q563" s="396"/>
      <c r="R563" s="332"/>
      <c r="S563" s="396"/>
      <c r="T563" s="332"/>
      <c r="U563" s="332"/>
      <c r="W563" s="332"/>
      <c r="X563" s="332"/>
      <c r="Y563" s="244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  <c r="AO563" s="244"/>
      <c r="AP563" s="244"/>
      <c r="AQ563" s="244"/>
      <c r="AR563" s="244"/>
      <c r="AS563" s="244"/>
      <c r="AT563" s="244"/>
      <c r="AU563" s="244"/>
      <c r="AV563" s="244"/>
      <c r="AW563" s="244"/>
      <c r="AX563" s="244"/>
      <c r="AY563" s="244"/>
      <c r="AZ563" s="244"/>
      <c r="BA563" s="244"/>
      <c r="BB563" s="244"/>
      <c r="BC563" s="244"/>
      <c r="BD563" s="244"/>
      <c r="BE563" s="244"/>
      <c r="BF563" s="244"/>
      <c r="BG563" s="244"/>
      <c r="BH563" s="244"/>
      <c r="BI563" s="244"/>
      <c r="BJ563" s="244"/>
    </row>
    <row r="564" spans="2:62">
      <c r="B564" s="7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406"/>
      <c r="Q564" s="396"/>
      <c r="R564" s="332"/>
      <c r="S564" s="396"/>
      <c r="T564" s="332"/>
      <c r="U564" s="332"/>
      <c r="W564" s="332"/>
      <c r="X564" s="332"/>
      <c r="Y564" s="244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  <c r="AO564" s="244"/>
      <c r="AP564" s="244"/>
      <c r="AQ564" s="244"/>
      <c r="AR564" s="244"/>
      <c r="AS564" s="244"/>
      <c r="AT564" s="244"/>
      <c r="AU564" s="244"/>
      <c r="AV564" s="244"/>
      <c r="AW564" s="244"/>
      <c r="AX564" s="244"/>
      <c r="AY564" s="244"/>
      <c r="AZ564" s="244"/>
      <c r="BA564" s="244"/>
      <c r="BB564" s="244"/>
      <c r="BC564" s="244"/>
      <c r="BD564" s="244"/>
      <c r="BE564" s="244"/>
      <c r="BF564" s="244"/>
      <c r="BG564" s="244"/>
      <c r="BH564" s="244"/>
      <c r="BI564" s="244"/>
      <c r="BJ564" s="244"/>
    </row>
    <row r="565" spans="2:62">
      <c r="B565" s="7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406"/>
      <c r="Q565" s="396"/>
      <c r="R565" s="332"/>
      <c r="S565" s="396"/>
      <c r="T565" s="332"/>
      <c r="U565" s="332"/>
      <c r="W565" s="332"/>
      <c r="X565" s="332"/>
      <c r="Y565" s="244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  <c r="AO565" s="244"/>
      <c r="AP565" s="244"/>
      <c r="AQ565" s="244"/>
      <c r="AR565" s="244"/>
      <c r="AS565" s="244"/>
      <c r="AT565" s="244"/>
      <c r="AU565" s="244"/>
      <c r="AV565" s="244"/>
      <c r="AW565" s="244"/>
      <c r="AX565" s="244"/>
      <c r="AY565" s="244"/>
      <c r="AZ565" s="244"/>
      <c r="BA565" s="244"/>
      <c r="BB565" s="244"/>
      <c r="BC565" s="244"/>
      <c r="BD565" s="244"/>
      <c r="BE565" s="244"/>
      <c r="BF565" s="244"/>
      <c r="BG565" s="244"/>
      <c r="BH565" s="244"/>
      <c r="BI565" s="244"/>
      <c r="BJ565" s="244"/>
    </row>
    <row r="566" spans="2:62">
      <c r="B566" s="7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406"/>
      <c r="Q566" s="396"/>
      <c r="R566" s="332"/>
      <c r="S566" s="396"/>
      <c r="T566" s="332"/>
      <c r="U566" s="332"/>
      <c r="W566" s="332"/>
      <c r="X566" s="332"/>
      <c r="Y566" s="244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  <c r="AO566" s="244"/>
      <c r="AP566" s="244"/>
      <c r="AQ566" s="244"/>
      <c r="AR566" s="244"/>
      <c r="AS566" s="244"/>
      <c r="AT566" s="244"/>
      <c r="AU566" s="244"/>
      <c r="AV566" s="244"/>
      <c r="AW566" s="244"/>
      <c r="AX566" s="244"/>
      <c r="AY566" s="244"/>
      <c r="AZ566" s="244"/>
      <c r="BA566" s="244"/>
      <c r="BB566" s="244"/>
      <c r="BC566" s="244"/>
      <c r="BD566" s="244"/>
      <c r="BE566" s="244"/>
      <c r="BF566" s="244"/>
      <c r="BG566" s="244"/>
      <c r="BH566" s="244"/>
      <c r="BI566" s="244"/>
      <c r="BJ566" s="244"/>
    </row>
    <row r="567" spans="2:62">
      <c r="B567" s="7"/>
      <c r="C567" s="395"/>
      <c r="D567" s="395"/>
      <c r="E567" s="332"/>
      <c r="F567" s="332"/>
      <c r="G567" s="395"/>
      <c r="H567" s="332"/>
      <c r="I567" s="332"/>
      <c r="J567" s="332"/>
      <c r="K567" s="332"/>
      <c r="L567" s="332"/>
      <c r="M567" s="332"/>
      <c r="N567" s="332"/>
      <c r="O567" s="332"/>
      <c r="P567" s="408"/>
      <c r="Q567" s="398"/>
      <c r="R567" s="332"/>
      <c r="S567" s="398"/>
      <c r="T567" s="332"/>
      <c r="U567" s="332"/>
      <c r="W567" s="332"/>
      <c r="X567" s="332"/>
      <c r="Y567" s="244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  <c r="AO567" s="244"/>
      <c r="AP567" s="244"/>
      <c r="AQ567" s="244"/>
      <c r="AR567" s="244"/>
      <c r="AS567" s="244"/>
      <c r="AT567" s="244"/>
      <c r="AU567" s="244"/>
      <c r="AV567" s="244"/>
      <c r="AW567" s="244"/>
      <c r="AX567" s="244"/>
      <c r="AY567" s="244"/>
      <c r="AZ567" s="244"/>
      <c r="BA567" s="244"/>
      <c r="BB567" s="244"/>
      <c r="BC567" s="244"/>
      <c r="BD567" s="244"/>
      <c r="BE567" s="244"/>
      <c r="BF567" s="244"/>
      <c r="BG567" s="244"/>
      <c r="BH567" s="244"/>
      <c r="BI567" s="244"/>
      <c r="BJ567" s="244"/>
    </row>
    <row r="568" spans="2:62">
      <c r="B568" s="7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408"/>
      <c r="Q568" s="408"/>
      <c r="R568" s="332"/>
      <c r="S568" s="332"/>
      <c r="T568" s="332"/>
      <c r="U568" s="332"/>
      <c r="W568" s="332"/>
      <c r="X568" s="332"/>
      <c r="Y568" s="244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  <c r="AO568" s="244"/>
      <c r="AP568" s="244"/>
      <c r="AQ568" s="244"/>
      <c r="AR568" s="244"/>
      <c r="AS568" s="244"/>
      <c r="AT568" s="244"/>
      <c r="AU568" s="244"/>
      <c r="AV568" s="244"/>
      <c r="AW568" s="244"/>
      <c r="AX568" s="244"/>
      <c r="AY568" s="244"/>
      <c r="AZ568" s="244"/>
      <c r="BA568" s="244"/>
      <c r="BB568" s="244"/>
      <c r="BC568" s="244"/>
      <c r="BD568" s="244"/>
      <c r="BE568" s="244"/>
      <c r="BF568" s="244"/>
      <c r="BG568" s="244"/>
      <c r="BH568" s="244"/>
      <c r="BI568" s="244"/>
      <c r="BJ568" s="244"/>
    </row>
    <row r="569" spans="2:62">
      <c r="B569" s="7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406"/>
      <c r="Q569" s="396"/>
      <c r="R569" s="332"/>
      <c r="S569" s="396"/>
      <c r="T569" s="332"/>
      <c r="U569" s="332"/>
      <c r="W569" s="332"/>
      <c r="X569" s="332"/>
      <c r="Y569" s="244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  <c r="AO569" s="244"/>
      <c r="AP569" s="244"/>
      <c r="AQ569" s="244"/>
      <c r="AR569" s="244"/>
      <c r="AS569" s="244"/>
      <c r="AT569" s="244"/>
      <c r="AU569" s="244"/>
      <c r="AV569" s="244"/>
      <c r="AW569" s="244"/>
      <c r="AX569" s="244"/>
      <c r="AY569" s="244"/>
      <c r="AZ569" s="244"/>
      <c r="BA569" s="244"/>
      <c r="BB569" s="244"/>
      <c r="BC569" s="244"/>
      <c r="BD569" s="244"/>
      <c r="BE569" s="244"/>
      <c r="BF569" s="244"/>
      <c r="BG569" s="244"/>
      <c r="BH569" s="244"/>
      <c r="BI569" s="244"/>
      <c r="BJ569" s="244"/>
    </row>
    <row r="570" spans="2:62">
      <c r="B570" s="7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406"/>
      <c r="Q570" s="396"/>
      <c r="R570" s="332"/>
      <c r="S570" s="396"/>
      <c r="T570" s="332"/>
      <c r="U570" s="332"/>
      <c r="W570" s="332"/>
      <c r="X570" s="332"/>
      <c r="Y570" s="244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  <c r="AO570" s="244"/>
      <c r="AP570" s="244"/>
      <c r="AQ570" s="244"/>
      <c r="AR570" s="244"/>
      <c r="AS570" s="244"/>
      <c r="AT570" s="244"/>
      <c r="AU570" s="244"/>
      <c r="AV570" s="244"/>
      <c r="AW570" s="244"/>
      <c r="AX570" s="244"/>
      <c r="AY570" s="244"/>
      <c r="AZ570" s="244"/>
      <c r="BA570" s="244"/>
      <c r="BB570" s="244"/>
      <c r="BC570" s="244"/>
      <c r="BD570" s="244"/>
      <c r="BE570" s="244"/>
      <c r="BF570" s="244"/>
      <c r="BG570" s="244"/>
      <c r="BH570" s="244"/>
      <c r="BI570" s="244"/>
      <c r="BJ570" s="244"/>
    </row>
    <row r="571" spans="2:62">
      <c r="B571" s="7"/>
      <c r="C571" s="395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408"/>
      <c r="Q571" s="398"/>
      <c r="R571" s="332"/>
      <c r="S571" s="398"/>
      <c r="T571" s="332"/>
      <c r="U571" s="332"/>
      <c r="W571" s="332"/>
      <c r="X571" s="332"/>
      <c r="Y571" s="244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  <c r="AO571" s="244"/>
      <c r="AP571" s="244"/>
      <c r="AQ571" s="244"/>
      <c r="AR571" s="244"/>
      <c r="AS571" s="244"/>
      <c r="AT571" s="244"/>
      <c r="AU571" s="244"/>
      <c r="AV571" s="244"/>
      <c r="AW571" s="244"/>
      <c r="AX571" s="244"/>
      <c r="AY571" s="244"/>
      <c r="AZ571" s="244"/>
      <c r="BA571" s="244"/>
      <c r="BB571" s="244"/>
      <c r="BC571" s="244"/>
      <c r="BD571" s="244"/>
      <c r="BE571" s="244"/>
      <c r="BF571" s="244"/>
      <c r="BG571" s="244"/>
      <c r="BH571" s="244"/>
      <c r="BI571" s="244"/>
      <c r="BJ571" s="244"/>
    </row>
    <row r="572" spans="2:62">
      <c r="B572" s="7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408"/>
      <c r="Q572" s="408"/>
      <c r="R572" s="332"/>
      <c r="S572" s="332"/>
      <c r="T572" s="332"/>
      <c r="U572" s="332"/>
      <c r="W572" s="332"/>
      <c r="X572" s="332"/>
      <c r="Y572" s="244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  <c r="AO572" s="244"/>
      <c r="AP572" s="244"/>
      <c r="AQ572" s="244"/>
      <c r="AR572" s="244"/>
      <c r="AS572" s="244"/>
      <c r="AT572" s="244"/>
      <c r="AU572" s="244"/>
      <c r="AV572" s="244"/>
      <c r="AW572" s="244"/>
      <c r="AX572" s="244"/>
      <c r="AY572" s="244"/>
      <c r="AZ572" s="244"/>
      <c r="BA572" s="244"/>
      <c r="BB572" s="244"/>
      <c r="BC572" s="244"/>
      <c r="BD572" s="244"/>
      <c r="BE572" s="244"/>
      <c r="BF572" s="244"/>
      <c r="BG572" s="244"/>
      <c r="BH572" s="244"/>
      <c r="BI572" s="244"/>
      <c r="BJ572" s="244"/>
    </row>
    <row r="573" spans="2:62">
      <c r="B573" s="7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406"/>
      <c r="Q573" s="396"/>
      <c r="R573" s="332"/>
      <c r="S573" s="396"/>
      <c r="T573" s="332"/>
      <c r="U573" s="332"/>
      <c r="W573" s="332"/>
      <c r="X573" s="332"/>
      <c r="Y573" s="244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  <c r="AO573" s="244"/>
      <c r="AP573" s="244"/>
      <c r="AQ573" s="244"/>
      <c r="AR573" s="244"/>
      <c r="AS573" s="244"/>
      <c r="AT573" s="244"/>
      <c r="AU573" s="244"/>
      <c r="AV573" s="244"/>
      <c r="AW573" s="244"/>
      <c r="AX573" s="244"/>
      <c r="AY573" s="244"/>
      <c r="AZ573" s="244"/>
      <c r="BA573" s="244"/>
      <c r="BB573" s="244"/>
      <c r="BC573" s="244"/>
      <c r="BD573" s="244"/>
      <c r="BE573" s="244"/>
      <c r="BF573" s="244"/>
      <c r="BG573" s="244"/>
      <c r="BH573" s="244"/>
      <c r="BI573" s="244"/>
      <c r="BJ573" s="244"/>
    </row>
    <row r="574" spans="2:62">
      <c r="B574" s="7"/>
      <c r="C574" s="395"/>
      <c r="D574" s="395"/>
      <c r="E574" s="332"/>
      <c r="F574" s="332"/>
      <c r="G574" s="395"/>
      <c r="H574" s="332"/>
      <c r="I574" s="332"/>
      <c r="J574" s="332"/>
      <c r="K574" s="332"/>
      <c r="L574" s="332"/>
      <c r="M574" s="332"/>
      <c r="N574" s="332"/>
      <c r="O574" s="332"/>
      <c r="P574" s="408"/>
      <c r="Q574" s="398"/>
      <c r="R574" s="332"/>
      <c r="S574" s="398"/>
      <c r="T574" s="332"/>
      <c r="U574" s="332"/>
      <c r="W574" s="332"/>
      <c r="X574" s="332"/>
      <c r="Y574" s="244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  <c r="AO574" s="244"/>
      <c r="AP574" s="244"/>
      <c r="AQ574" s="244"/>
      <c r="AR574" s="244"/>
      <c r="AS574" s="244"/>
      <c r="AT574" s="244"/>
      <c r="AU574" s="244"/>
      <c r="AV574" s="244"/>
      <c r="AW574" s="244"/>
      <c r="AX574" s="244"/>
      <c r="AY574" s="244"/>
      <c r="AZ574" s="244"/>
      <c r="BA574" s="244"/>
      <c r="BB574" s="244"/>
      <c r="BC574" s="244"/>
      <c r="BD574" s="244"/>
      <c r="BE574" s="244"/>
      <c r="BF574" s="244"/>
      <c r="BG574" s="244"/>
      <c r="BH574" s="244"/>
      <c r="BI574" s="244"/>
      <c r="BJ574" s="244"/>
    </row>
    <row r="575" spans="2:62">
      <c r="B575" s="7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408"/>
      <c r="Q575" s="408"/>
      <c r="R575" s="332"/>
      <c r="S575" s="332"/>
      <c r="T575" s="332"/>
      <c r="U575" s="332"/>
      <c r="W575" s="332"/>
      <c r="X575" s="332"/>
      <c r="Y575" s="244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  <c r="AO575" s="244"/>
      <c r="AP575" s="244"/>
      <c r="AQ575" s="244"/>
      <c r="AR575" s="244"/>
      <c r="AS575" s="244"/>
      <c r="AT575" s="244"/>
      <c r="AU575" s="244"/>
      <c r="AV575" s="244"/>
      <c r="AW575" s="244"/>
      <c r="AX575" s="244"/>
      <c r="AY575" s="244"/>
      <c r="AZ575" s="244"/>
      <c r="BA575" s="244"/>
      <c r="BB575" s="244"/>
      <c r="BC575" s="244"/>
      <c r="BD575" s="244"/>
      <c r="BE575" s="244"/>
      <c r="BF575" s="244"/>
      <c r="BG575" s="244"/>
      <c r="BH575" s="244"/>
      <c r="BI575" s="244"/>
      <c r="BJ575" s="244"/>
    </row>
    <row r="576" spans="2:62">
      <c r="B576" s="7"/>
      <c r="C576" s="332"/>
      <c r="D576" s="332"/>
      <c r="E576" s="396"/>
      <c r="F576" s="406"/>
      <c r="G576" s="332"/>
      <c r="H576" s="396"/>
      <c r="I576" s="406"/>
      <c r="J576" s="406"/>
      <c r="K576" s="396"/>
      <c r="L576" s="406"/>
      <c r="M576" s="396"/>
      <c r="N576" s="406"/>
      <c r="O576" s="396"/>
      <c r="P576" s="406"/>
      <c r="Q576" s="396"/>
      <c r="R576" s="396"/>
      <c r="S576" s="332"/>
      <c r="T576" s="332"/>
      <c r="U576" s="332"/>
      <c r="W576" s="332"/>
      <c r="X576" s="332"/>
      <c r="Y576" s="244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  <c r="AO576" s="244"/>
      <c r="AP576" s="244"/>
      <c r="AQ576" s="244"/>
      <c r="AR576" s="244"/>
      <c r="AS576" s="244"/>
      <c r="AT576" s="244"/>
      <c r="AU576" s="244"/>
      <c r="AV576" s="244"/>
      <c r="AW576" s="244"/>
      <c r="AX576" s="244"/>
      <c r="AY576" s="244"/>
      <c r="AZ576" s="244"/>
      <c r="BA576" s="244"/>
      <c r="BB576" s="244"/>
      <c r="BC576" s="244"/>
      <c r="BD576" s="244"/>
      <c r="BE576" s="244"/>
      <c r="BF576" s="244"/>
      <c r="BG576" s="244"/>
      <c r="BH576" s="244"/>
      <c r="BI576" s="244"/>
      <c r="BJ576" s="244"/>
    </row>
    <row r="577" spans="2:62">
      <c r="B577" s="7"/>
      <c r="C577" s="395"/>
      <c r="D577" s="395"/>
      <c r="E577" s="398"/>
      <c r="F577" s="408"/>
      <c r="G577" s="395"/>
      <c r="H577" s="398"/>
      <c r="I577" s="408"/>
      <c r="J577" s="408"/>
      <c r="K577" s="398"/>
      <c r="L577" s="408"/>
      <c r="M577" s="398"/>
      <c r="N577" s="408"/>
      <c r="O577" s="398"/>
      <c r="P577" s="408"/>
      <c r="Q577" s="398"/>
      <c r="R577" s="398"/>
      <c r="S577" s="398"/>
      <c r="T577" s="332"/>
      <c r="U577" s="332"/>
      <c r="W577" s="332"/>
      <c r="X577" s="332"/>
      <c r="Y577" s="244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  <c r="AO577" s="244"/>
      <c r="AP577" s="244"/>
      <c r="AQ577" s="244"/>
      <c r="AR577" s="244"/>
      <c r="AS577" s="244"/>
      <c r="AT577" s="244"/>
      <c r="AU577" s="244"/>
      <c r="AV577" s="244"/>
      <c r="AW577" s="244"/>
      <c r="AX577" s="244"/>
      <c r="AY577" s="244"/>
      <c r="AZ577" s="244"/>
      <c r="BA577" s="244"/>
      <c r="BB577" s="244"/>
      <c r="BC577" s="244"/>
      <c r="BD577" s="244"/>
      <c r="BE577" s="244"/>
      <c r="BF577" s="244"/>
      <c r="BG577" s="244"/>
      <c r="BH577" s="244"/>
      <c r="BI577" s="244"/>
      <c r="BJ577" s="244"/>
    </row>
    <row r="578" spans="2:62">
      <c r="B578" s="7"/>
      <c r="C578" s="332"/>
      <c r="D578" s="332"/>
      <c r="E578" s="396"/>
      <c r="F578" s="406"/>
      <c r="G578" s="332"/>
      <c r="H578" s="396"/>
      <c r="I578" s="406"/>
      <c r="J578" s="396"/>
      <c r="K578" s="406"/>
      <c r="L578" s="396"/>
      <c r="M578" s="332"/>
      <c r="N578" s="396"/>
      <c r="O578" s="406"/>
      <c r="P578" s="398"/>
      <c r="Q578" s="408"/>
      <c r="R578" s="408"/>
      <c r="S578" s="396"/>
      <c r="T578" s="332"/>
      <c r="U578" s="332"/>
      <c r="W578" s="332"/>
      <c r="X578" s="332"/>
      <c r="Y578" s="244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  <c r="AO578" s="244"/>
      <c r="AP578" s="244"/>
      <c r="AQ578" s="244"/>
      <c r="AR578" s="244"/>
      <c r="AS578" s="244"/>
      <c r="AT578" s="244"/>
      <c r="AU578" s="244"/>
      <c r="AV578" s="244"/>
      <c r="AW578" s="244"/>
      <c r="AX578" s="244"/>
      <c r="AY578" s="244"/>
      <c r="AZ578" s="244"/>
      <c r="BA578" s="244"/>
      <c r="BB578" s="244"/>
      <c r="BC578" s="244"/>
      <c r="BD578" s="244"/>
      <c r="BE578" s="244"/>
      <c r="BF578" s="244"/>
      <c r="BG578" s="244"/>
      <c r="BH578" s="244"/>
      <c r="BI578" s="244"/>
      <c r="BJ578" s="244"/>
    </row>
    <row r="579" spans="2:62">
      <c r="B579" s="7"/>
      <c r="C579" s="332"/>
      <c r="D579" s="332"/>
      <c r="E579" s="396"/>
      <c r="F579" s="406"/>
      <c r="G579" s="332"/>
      <c r="H579" s="396"/>
      <c r="I579" s="406"/>
      <c r="J579" s="396"/>
      <c r="K579" s="406"/>
      <c r="L579" s="396"/>
      <c r="M579" s="332"/>
      <c r="N579" s="396"/>
      <c r="O579" s="406"/>
      <c r="P579" s="396"/>
      <c r="Q579" s="332"/>
      <c r="R579" s="406"/>
      <c r="S579" s="396"/>
      <c r="T579" s="332"/>
      <c r="U579" s="332"/>
      <c r="W579" s="332"/>
      <c r="X579" s="332"/>
      <c r="Y579" s="244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  <c r="AO579" s="244"/>
      <c r="AP579" s="244"/>
      <c r="AQ579" s="244"/>
      <c r="AR579" s="244"/>
      <c r="AS579" s="244"/>
      <c r="AT579" s="244"/>
      <c r="AU579" s="244"/>
      <c r="AV579" s="244"/>
      <c r="AW579" s="244"/>
      <c r="AX579" s="244"/>
      <c r="AY579" s="244"/>
      <c r="AZ579" s="244"/>
      <c r="BA579" s="244"/>
      <c r="BB579" s="244"/>
      <c r="BC579" s="244"/>
      <c r="BD579" s="244"/>
      <c r="BE579" s="244"/>
      <c r="BF579" s="244"/>
      <c r="BG579" s="244"/>
      <c r="BH579" s="244"/>
      <c r="BI579" s="244"/>
      <c r="BJ579" s="244"/>
    </row>
    <row r="580" spans="2:62">
      <c r="B580" s="7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406"/>
      <c r="S580" s="396"/>
      <c r="T580" s="332"/>
      <c r="U580" s="332"/>
      <c r="W580" s="332"/>
      <c r="X580" s="332"/>
      <c r="Y580" s="244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  <c r="AO580" s="244"/>
      <c r="AP580" s="244"/>
      <c r="AQ580" s="244"/>
      <c r="AR580" s="244"/>
      <c r="AS580" s="244"/>
      <c r="AT580" s="244"/>
      <c r="AU580" s="244"/>
      <c r="AV580" s="244"/>
      <c r="AW580" s="244"/>
      <c r="AX580" s="244"/>
      <c r="AY580" s="244"/>
      <c r="AZ580" s="244"/>
      <c r="BA580" s="244"/>
      <c r="BB580" s="244"/>
      <c r="BC580" s="244"/>
      <c r="BD580" s="244"/>
      <c r="BE580" s="244"/>
      <c r="BF580" s="244"/>
      <c r="BG580" s="244"/>
      <c r="BH580" s="244"/>
      <c r="BI580" s="244"/>
      <c r="BJ580" s="244"/>
    </row>
    <row r="581" spans="2:62">
      <c r="B581" s="7"/>
      <c r="C581" s="332"/>
      <c r="D581" s="332"/>
      <c r="E581" s="396"/>
      <c r="F581" s="406"/>
      <c r="G581" s="332"/>
      <c r="H581" s="396"/>
      <c r="I581" s="406"/>
      <c r="J581" s="396"/>
      <c r="K581" s="406"/>
      <c r="L581" s="396"/>
      <c r="M581" s="332"/>
      <c r="N581" s="396"/>
      <c r="O581" s="406"/>
      <c r="P581" s="396"/>
      <c r="Q581" s="332"/>
      <c r="R581" s="406"/>
      <c r="S581" s="396"/>
      <c r="T581" s="332"/>
      <c r="U581" s="332"/>
      <c r="W581" s="332"/>
      <c r="X581" s="332"/>
      <c r="Y581" s="244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  <c r="AO581" s="244"/>
      <c r="AP581" s="244"/>
      <c r="AQ581" s="244"/>
      <c r="AR581" s="244"/>
      <c r="AS581" s="244"/>
      <c r="AT581" s="244"/>
      <c r="AU581" s="244"/>
      <c r="AV581" s="244"/>
      <c r="AW581" s="244"/>
      <c r="AX581" s="244"/>
      <c r="AY581" s="244"/>
      <c r="AZ581" s="244"/>
      <c r="BA581" s="244"/>
      <c r="BB581" s="244"/>
      <c r="BC581" s="244"/>
      <c r="BD581" s="244"/>
      <c r="BE581" s="244"/>
      <c r="BF581" s="244"/>
      <c r="BG581" s="244"/>
      <c r="BH581" s="244"/>
      <c r="BI581" s="244"/>
      <c r="BJ581" s="244"/>
    </row>
    <row r="582" spans="2:62">
      <c r="B582" s="7"/>
      <c r="C582" s="332"/>
      <c r="D582" s="332"/>
      <c r="E582" s="396"/>
      <c r="F582" s="406"/>
      <c r="G582" s="332"/>
      <c r="H582" s="396"/>
      <c r="I582" s="406"/>
      <c r="J582" s="396"/>
      <c r="K582" s="406"/>
      <c r="L582" s="396"/>
      <c r="M582" s="332"/>
      <c r="N582" s="396"/>
      <c r="O582" s="406"/>
      <c r="P582" s="396"/>
      <c r="Q582" s="332"/>
      <c r="R582" s="406"/>
      <c r="S582" s="396"/>
      <c r="T582" s="332"/>
      <c r="U582" s="332"/>
      <c r="W582" s="332"/>
      <c r="X582" s="332"/>
      <c r="Y582" s="244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  <c r="AO582" s="244"/>
      <c r="AP582" s="244"/>
      <c r="AQ582" s="244"/>
      <c r="AR582" s="244"/>
      <c r="AS582" s="244"/>
      <c r="AT582" s="244"/>
      <c r="AU582" s="244"/>
      <c r="AV582" s="244"/>
      <c r="AW582" s="244"/>
      <c r="AX582" s="244"/>
      <c r="AY582" s="244"/>
      <c r="AZ582" s="244"/>
      <c r="BA582" s="244"/>
      <c r="BB582" s="244"/>
      <c r="BC582" s="244"/>
      <c r="BD582" s="244"/>
      <c r="BE582" s="244"/>
      <c r="BF582" s="244"/>
      <c r="BG582" s="244"/>
      <c r="BH582" s="244"/>
      <c r="BI582" s="244"/>
      <c r="BJ582" s="244"/>
    </row>
    <row r="583" spans="2:62">
      <c r="B583" s="7"/>
      <c r="C583" s="332"/>
      <c r="D583" s="332"/>
      <c r="E583" s="396"/>
      <c r="F583" s="406"/>
      <c r="G583" s="332"/>
      <c r="H583" s="396"/>
      <c r="I583" s="406"/>
      <c r="J583" s="396"/>
      <c r="K583" s="406"/>
      <c r="L583" s="396"/>
      <c r="M583" s="332"/>
      <c r="N583" s="396"/>
      <c r="O583" s="406"/>
      <c r="P583" s="396"/>
      <c r="Q583" s="332"/>
      <c r="R583" s="406"/>
      <c r="S583" s="396"/>
      <c r="T583" s="332"/>
      <c r="U583" s="332"/>
      <c r="W583" s="332"/>
      <c r="X583" s="332"/>
      <c r="Y583" s="244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  <c r="AO583" s="244"/>
      <c r="AP583" s="244"/>
      <c r="AQ583" s="244"/>
      <c r="AR583" s="244"/>
      <c r="AS583" s="244"/>
      <c r="AT583" s="244"/>
      <c r="AU583" s="244"/>
      <c r="AV583" s="244"/>
      <c r="AW583" s="244"/>
      <c r="AX583" s="244"/>
      <c r="AY583" s="244"/>
      <c r="AZ583" s="244"/>
      <c r="BA583" s="244"/>
      <c r="BB583" s="244"/>
      <c r="BC583" s="244"/>
      <c r="BD583" s="244"/>
      <c r="BE583" s="244"/>
      <c r="BF583" s="244"/>
      <c r="BG583" s="244"/>
      <c r="BH583" s="244"/>
      <c r="BI583" s="244"/>
      <c r="BJ583" s="244"/>
    </row>
    <row r="584" spans="2:62">
      <c r="B584" s="7"/>
      <c r="C584" s="332"/>
      <c r="D584" s="332"/>
      <c r="E584" s="396"/>
      <c r="F584" s="406"/>
      <c r="G584" s="332"/>
      <c r="H584" s="396"/>
      <c r="I584" s="406"/>
      <c r="J584" s="396"/>
      <c r="K584" s="406"/>
      <c r="L584" s="396"/>
      <c r="M584" s="332"/>
      <c r="N584" s="396"/>
      <c r="O584" s="406"/>
      <c r="P584" s="396"/>
      <c r="Q584" s="332"/>
      <c r="R584" s="406"/>
      <c r="S584" s="396"/>
      <c r="T584" s="332"/>
      <c r="U584" s="332"/>
      <c r="W584" s="332"/>
      <c r="X584" s="332"/>
      <c r="Y584" s="244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  <c r="AO584" s="244"/>
      <c r="AP584" s="244"/>
      <c r="AQ584" s="244"/>
      <c r="AR584" s="244"/>
      <c r="AS584" s="244"/>
      <c r="AT584" s="244"/>
      <c r="AU584" s="244"/>
      <c r="AV584" s="244"/>
      <c r="AW584" s="244"/>
      <c r="AX584" s="244"/>
      <c r="AY584" s="244"/>
      <c r="AZ584" s="244"/>
      <c r="BA584" s="244"/>
      <c r="BB584" s="244"/>
      <c r="BC584" s="244"/>
      <c r="BD584" s="244"/>
      <c r="BE584" s="244"/>
      <c r="BF584" s="244"/>
      <c r="BG584" s="244"/>
      <c r="BH584" s="244"/>
      <c r="BI584" s="244"/>
      <c r="BJ584" s="244"/>
    </row>
    <row r="585" spans="2:62">
      <c r="B585" s="7"/>
      <c r="C585" s="332"/>
      <c r="D585" s="332"/>
      <c r="E585" s="396"/>
      <c r="F585" s="406"/>
      <c r="G585" s="332"/>
      <c r="H585" s="396"/>
      <c r="I585" s="406"/>
      <c r="J585" s="396"/>
      <c r="K585" s="406"/>
      <c r="L585" s="396"/>
      <c r="M585" s="332"/>
      <c r="N585" s="396"/>
      <c r="O585" s="406"/>
      <c r="P585" s="396"/>
      <c r="Q585" s="332"/>
      <c r="R585" s="406"/>
      <c r="S585" s="396"/>
      <c r="T585" s="332"/>
      <c r="U585" s="332"/>
      <c r="W585" s="332"/>
      <c r="X585" s="332"/>
      <c r="Y585" s="244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  <c r="AO585" s="244"/>
      <c r="AP585" s="244"/>
      <c r="AQ585" s="244"/>
      <c r="AR585" s="244"/>
      <c r="AS585" s="244"/>
      <c r="AT585" s="244"/>
      <c r="AU585" s="244"/>
      <c r="AV585" s="244"/>
      <c r="AW585" s="244"/>
      <c r="AX585" s="244"/>
      <c r="AY585" s="244"/>
      <c r="AZ585" s="244"/>
      <c r="BA585" s="244"/>
      <c r="BB585" s="244"/>
      <c r="BC585" s="244"/>
      <c r="BD585" s="244"/>
      <c r="BE585" s="244"/>
      <c r="BF585" s="244"/>
      <c r="BG585" s="244"/>
      <c r="BH585" s="244"/>
      <c r="BI585" s="244"/>
      <c r="BJ585" s="244"/>
    </row>
    <row r="586" spans="2:62">
      <c r="B586" s="7"/>
      <c r="C586" s="332"/>
      <c r="D586" s="332"/>
      <c r="E586" s="396"/>
      <c r="F586" s="406"/>
      <c r="G586" s="332"/>
      <c r="H586" s="396"/>
      <c r="I586" s="406"/>
      <c r="J586" s="396"/>
      <c r="K586" s="406"/>
      <c r="L586" s="396"/>
      <c r="M586" s="332"/>
      <c r="N586" s="396"/>
      <c r="O586" s="406"/>
      <c r="P586" s="396"/>
      <c r="Q586" s="332"/>
      <c r="R586" s="406"/>
      <c r="S586" s="396"/>
      <c r="T586" s="332"/>
      <c r="U586" s="332"/>
      <c r="W586" s="332"/>
      <c r="X586" s="332"/>
      <c r="Y586" s="244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  <c r="AO586" s="244"/>
      <c r="AP586" s="244"/>
      <c r="AQ586" s="244"/>
      <c r="AR586" s="244"/>
      <c r="AS586" s="244"/>
      <c r="AT586" s="244"/>
      <c r="AU586" s="244"/>
      <c r="AV586" s="244"/>
      <c r="AW586" s="244"/>
      <c r="AX586" s="244"/>
      <c r="AY586" s="244"/>
      <c r="AZ586" s="244"/>
      <c r="BA586" s="244"/>
      <c r="BB586" s="244"/>
      <c r="BC586" s="244"/>
      <c r="BD586" s="244"/>
      <c r="BE586" s="244"/>
      <c r="BF586" s="244"/>
      <c r="BG586" s="244"/>
      <c r="BH586" s="244"/>
      <c r="BI586" s="244"/>
      <c r="BJ586" s="244"/>
    </row>
    <row r="587" spans="2:62">
      <c r="B587" s="7"/>
      <c r="C587" s="332"/>
      <c r="D587" s="332"/>
      <c r="E587" s="396"/>
      <c r="F587" s="406"/>
      <c r="G587" s="332"/>
      <c r="H587" s="396"/>
      <c r="I587" s="406"/>
      <c r="J587" s="396"/>
      <c r="K587" s="406"/>
      <c r="L587" s="396"/>
      <c r="M587" s="332"/>
      <c r="N587" s="396"/>
      <c r="O587" s="406"/>
      <c r="P587" s="396"/>
      <c r="Q587" s="332"/>
      <c r="R587" s="406"/>
      <c r="S587" s="396"/>
      <c r="T587" s="332"/>
      <c r="U587" s="332"/>
      <c r="W587" s="332"/>
      <c r="X587" s="332"/>
      <c r="Y587" s="244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  <c r="AO587" s="244"/>
      <c r="AP587" s="244"/>
      <c r="AQ587" s="244"/>
      <c r="AR587" s="244"/>
      <c r="AS587" s="244"/>
      <c r="AT587" s="244"/>
      <c r="AU587" s="244"/>
      <c r="AV587" s="244"/>
      <c r="AW587" s="244"/>
      <c r="AX587" s="244"/>
      <c r="AY587" s="244"/>
      <c r="AZ587" s="244"/>
      <c r="BA587" s="244"/>
      <c r="BB587" s="244"/>
      <c r="BC587" s="244"/>
      <c r="BD587" s="244"/>
      <c r="BE587" s="244"/>
      <c r="BF587" s="244"/>
      <c r="BG587" s="244"/>
      <c r="BH587" s="244"/>
      <c r="BI587" s="244"/>
      <c r="BJ587" s="244"/>
    </row>
    <row r="588" spans="2:62">
      <c r="B588" s="7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W588" s="332"/>
      <c r="X588" s="332"/>
      <c r="Y588" s="244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  <c r="AO588" s="244"/>
      <c r="AP588" s="244"/>
      <c r="AQ588" s="244"/>
      <c r="AR588" s="244"/>
      <c r="AS588" s="244"/>
      <c r="AT588" s="244"/>
      <c r="AU588" s="244"/>
      <c r="AV588" s="244"/>
      <c r="AW588" s="244"/>
      <c r="AX588" s="244"/>
      <c r="AY588" s="244"/>
      <c r="AZ588" s="244"/>
      <c r="BA588" s="244"/>
      <c r="BB588" s="244"/>
      <c r="BC588" s="244"/>
      <c r="BD588" s="244"/>
      <c r="BE588" s="244"/>
      <c r="BF588" s="244"/>
      <c r="BG588" s="244"/>
      <c r="BH588" s="244"/>
      <c r="BI588" s="244"/>
      <c r="BJ588" s="244"/>
    </row>
    <row r="589" spans="2:62">
      <c r="B589" s="7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W589" s="332"/>
      <c r="X589" s="332"/>
      <c r="Y589" s="244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  <c r="AO589" s="244"/>
      <c r="AP589" s="244"/>
      <c r="AQ589" s="244"/>
      <c r="AR589" s="244"/>
      <c r="AS589" s="244"/>
      <c r="AT589" s="244"/>
      <c r="AU589" s="244"/>
      <c r="AV589" s="244"/>
      <c r="AW589" s="244"/>
      <c r="AX589" s="244"/>
      <c r="AY589" s="244"/>
      <c r="AZ589" s="244"/>
      <c r="BA589" s="244"/>
      <c r="BB589" s="244"/>
      <c r="BC589" s="244"/>
      <c r="BD589" s="244"/>
      <c r="BE589" s="244"/>
      <c r="BF589" s="244"/>
      <c r="BG589" s="244"/>
      <c r="BH589" s="244"/>
      <c r="BI589" s="244"/>
      <c r="BJ589" s="244"/>
    </row>
    <row r="590" spans="2:62">
      <c r="B590" s="7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W590" s="332"/>
      <c r="X590" s="332"/>
      <c r="Y590" s="244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  <c r="AO590" s="244"/>
      <c r="AP590" s="244"/>
      <c r="AQ590" s="244"/>
      <c r="AR590" s="244"/>
      <c r="AS590" s="244"/>
      <c r="AT590" s="244"/>
      <c r="AU590" s="244"/>
      <c r="AV590" s="244"/>
      <c r="AW590" s="244"/>
      <c r="AX590" s="244"/>
      <c r="AY590" s="244"/>
      <c r="AZ590" s="244"/>
      <c r="BA590" s="244"/>
      <c r="BB590" s="244"/>
      <c r="BC590" s="244"/>
      <c r="BD590" s="244"/>
      <c r="BE590" s="244"/>
      <c r="BF590" s="244"/>
      <c r="BG590" s="244"/>
      <c r="BH590" s="244"/>
      <c r="BI590" s="244"/>
      <c r="BJ590" s="244"/>
    </row>
    <row r="591" spans="2:62">
      <c r="B591" s="7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W591" s="332"/>
      <c r="X591" s="332"/>
      <c r="Y591" s="244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  <c r="AO591" s="244"/>
      <c r="AP591" s="244"/>
      <c r="AQ591" s="244"/>
      <c r="AR591" s="244"/>
      <c r="AS591" s="244"/>
      <c r="AT591" s="244"/>
      <c r="AU591" s="244"/>
      <c r="AV591" s="244"/>
      <c r="AW591" s="244"/>
      <c r="AX591" s="244"/>
      <c r="AY591" s="244"/>
      <c r="AZ591" s="244"/>
      <c r="BA591" s="244"/>
      <c r="BB591" s="244"/>
      <c r="BC591" s="244"/>
      <c r="BD591" s="244"/>
      <c r="BE591" s="244"/>
      <c r="BF591" s="244"/>
      <c r="BG591" s="244"/>
      <c r="BH591" s="244"/>
      <c r="BI591" s="244"/>
      <c r="BJ591" s="244"/>
    </row>
    <row r="592" spans="2:62">
      <c r="B592" s="7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W592" s="332"/>
      <c r="X592" s="332"/>
      <c r="Y592" s="244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  <c r="AO592" s="244"/>
      <c r="AP592" s="244"/>
      <c r="AQ592" s="244"/>
      <c r="AR592" s="244"/>
      <c r="AS592" s="244"/>
      <c r="AT592" s="244"/>
      <c r="AU592" s="244"/>
      <c r="AV592" s="244"/>
      <c r="AW592" s="244"/>
      <c r="AX592" s="244"/>
      <c r="AY592" s="244"/>
      <c r="AZ592" s="244"/>
      <c r="BA592" s="244"/>
      <c r="BB592" s="244"/>
      <c r="BC592" s="244"/>
      <c r="BD592" s="244"/>
      <c r="BE592" s="244"/>
      <c r="BF592" s="244"/>
      <c r="BG592" s="244"/>
      <c r="BH592" s="244"/>
      <c r="BI592" s="244"/>
      <c r="BJ592" s="244"/>
    </row>
    <row r="593" spans="2:62">
      <c r="B593" s="7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W593" s="332"/>
      <c r="X593" s="332"/>
      <c r="Y593" s="244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  <c r="AO593" s="244"/>
      <c r="AP593" s="244"/>
      <c r="AQ593" s="244"/>
      <c r="AR593" s="244"/>
      <c r="AS593" s="244"/>
      <c r="AT593" s="244"/>
      <c r="AU593" s="244"/>
      <c r="AV593" s="244"/>
      <c r="AW593" s="244"/>
      <c r="AX593" s="244"/>
      <c r="AY593" s="244"/>
      <c r="AZ593" s="244"/>
      <c r="BA593" s="244"/>
      <c r="BB593" s="244"/>
      <c r="BC593" s="244"/>
      <c r="BD593" s="244"/>
      <c r="BE593" s="244"/>
      <c r="BF593" s="244"/>
      <c r="BG593" s="244"/>
      <c r="BH593" s="244"/>
      <c r="BI593" s="244"/>
      <c r="BJ593" s="244"/>
    </row>
    <row r="594" spans="2:62">
      <c r="B594" s="7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W594" s="332"/>
      <c r="X594" s="332"/>
      <c r="Y594" s="244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  <c r="AO594" s="244"/>
      <c r="AP594" s="244"/>
      <c r="AQ594" s="244"/>
      <c r="AR594" s="244"/>
      <c r="AS594" s="244"/>
      <c r="AT594" s="244"/>
      <c r="AU594" s="244"/>
      <c r="AV594" s="244"/>
      <c r="AW594" s="244"/>
      <c r="AX594" s="244"/>
      <c r="AY594" s="244"/>
      <c r="AZ594" s="244"/>
      <c r="BA594" s="244"/>
      <c r="BB594" s="244"/>
      <c r="BC594" s="244"/>
      <c r="BD594" s="244"/>
      <c r="BE594" s="244"/>
      <c r="BF594" s="244"/>
      <c r="BG594" s="244"/>
      <c r="BH594" s="244"/>
      <c r="BI594" s="244"/>
      <c r="BJ594" s="244"/>
    </row>
    <row r="595" spans="2:62">
      <c r="B595" s="7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W595" s="332"/>
      <c r="X595" s="332"/>
      <c r="Y595" s="244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  <c r="AO595" s="244"/>
      <c r="AP595" s="244"/>
      <c r="AQ595" s="244"/>
      <c r="AR595" s="244"/>
      <c r="AS595" s="244"/>
      <c r="AT595" s="244"/>
      <c r="AU595" s="244"/>
      <c r="AV595" s="244"/>
      <c r="AW595" s="244"/>
      <c r="AX595" s="244"/>
      <c r="AY595" s="244"/>
      <c r="AZ595" s="244"/>
      <c r="BA595" s="244"/>
      <c r="BB595" s="244"/>
      <c r="BC595" s="244"/>
      <c r="BD595" s="244"/>
      <c r="BE595" s="244"/>
      <c r="BF595" s="244"/>
      <c r="BG595" s="244"/>
      <c r="BH595" s="244"/>
      <c r="BI595" s="244"/>
      <c r="BJ595" s="244"/>
    </row>
    <row r="596" spans="2:62">
      <c r="B596" s="7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W596" s="332"/>
      <c r="X596" s="332"/>
      <c r="Y596" s="244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  <c r="AO596" s="244"/>
      <c r="AP596" s="244"/>
      <c r="AQ596" s="244"/>
      <c r="AR596" s="244"/>
      <c r="AS596" s="244"/>
      <c r="AT596" s="244"/>
      <c r="AU596" s="244"/>
      <c r="AV596" s="244"/>
      <c r="AW596" s="244"/>
      <c r="AX596" s="244"/>
      <c r="AY596" s="244"/>
      <c r="AZ596" s="244"/>
      <c r="BA596" s="244"/>
      <c r="BB596" s="244"/>
      <c r="BC596" s="244"/>
      <c r="BD596" s="244"/>
      <c r="BE596" s="244"/>
      <c r="BF596" s="244"/>
      <c r="BG596" s="244"/>
      <c r="BH596" s="244"/>
      <c r="BI596" s="244"/>
      <c r="BJ596" s="244"/>
    </row>
    <row r="597" spans="2:62">
      <c r="B597" s="7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W597" s="332"/>
      <c r="X597" s="332"/>
      <c r="Y597" s="244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  <c r="AO597" s="244"/>
      <c r="AP597" s="244"/>
      <c r="AQ597" s="244"/>
      <c r="AR597" s="244"/>
      <c r="AS597" s="244"/>
      <c r="AT597" s="244"/>
      <c r="AU597" s="244"/>
      <c r="AV597" s="244"/>
      <c r="AW597" s="244"/>
      <c r="AX597" s="244"/>
      <c r="AY597" s="244"/>
      <c r="AZ597" s="244"/>
      <c r="BA597" s="244"/>
      <c r="BB597" s="244"/>
      <c r="BC597" s="244"/>
      <c r="BD597" s="244"/>
      <c r="BE597" s="244"/>
      <c r="BF597" s="244"/>
      <c r="BG597" s="244"/>
      <c r="BH597" s="244"/>
      <c r="BI597" s="244"/>
      <c r="BJ597" s="244"/>
    </row>
    <row r="598" spans="2:62">
      <c r="B598" s="7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W598" s="332"/>
      <c r="X598" s="332"/>
      <c r="Y598" s="244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  <c r="AO598" s="244"/>
      <c r="AP598" s="244"/>
      <c r="AQ598" s="244"/>
      <c r="AR598" s="244"/>
      <c r="AS598" s="244"/>
      <c r="AT598" s="244"/>
      <c r="AU598" s="244"/>
      <c r="AV598" s="244"/>
      <c r="AW598" s="244"/>
      <c r="AX598" s="244"/>
      <c r="AY598" s="244"/>
      <c r="AZ598" s="244"/>
      <c r="BA598" s="244"/>
      <c r="BB598" s="244"/>
      <c r="BC598" s="244"/>
      <c r="BD598" s="244"/>
      <c r="BE598" s="244"/>
      <c r="BF598" s="244"/>
      <c r="BG598" s="244"/>
      <c r="BH598" s="244"/>
      <c r="BI598" s="244"/>
      <c r="BJ598" s="244"/>
    </row>
    <row r="599" spans="2:62">
      <c r="B599" s="7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W599" s="332"/>
      <c r="X599" s="332"/>
      <c r="Y599" s="244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  <c r="AO599" s="244"/>
      <c r="AP599" s="244"/>
      <c r="AQ599" s="244"/>
      <c r="AR599" s="244"/>
      <c r="AS599" s="244"/>
      <c r="AT599" s="244"/>
      <c r="AU599" s="244"/>
      <c r="AV599" s="244"/>
      <c r="AW599" s="244"/>
      <c r="AX599" s="244"/>
      <c r="AY599" s="244"/>
      <c r="AZ599" s="244"/>
      <c r="BA599" s="244"/>
      <c r="BB599" s="244"/>
      <c r="BC599" s="244"/>
      <c r="BD599" s="244"/>
      <c r="BE599" s="244"/>
      <c r="BF599" s="244"/>
      <c r="BG599" s="244"/>
      <c r="BH599" s="244"/>
      <c r="BI599" s="244"/>
      <c r="BJ599" s="244"/>
    </row>
    <row r="600" spans="2:62">
      <c r="B600" s="7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W600" s="332"/>
      <c r="X600" s="332"/>
      <c r="Y600" s="244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  <c r="AO600" s="244"/>
      <c r="AP600" s="244"/>
      <c r="AQ600" s="244"/>
      <c r="AR600" s="244"/>
      <c r="AS600" s="244"/>
      <c r="AT600" s="244"/>
      <c r="AU600" s="244"/>
      <c r="AV600" s="244"/>
      <c r="AW600" s="244"/>
      <c r="AX600" s="244"/>
      <c r="AY600" s="244"/>
      <c r="AZ600" s="244"/>
      <c r="BA600" s="244"/>
      <c r="BB600" s="244"/>
      <c r="BC600" s="244"/>
      <c r="BD600" s="244"/>
      <c r="BE600" s="244"/>
      <c r="BF600" s="244"/>
      <c r="BG600" s="244"/>
      <c r="BH600" s="244"/>
      <c r="BI600" s="244"/>
      <c r="BJ600" s="244"/>
    </row>
    <row r="601" spans="2:62">
      <c r="B601" s="7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W601" s="332"/>
      <c r="X601" s="332"/>
      <c r="Y601" s="244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  <c r="AO601" s="244"/>
      <c r="AP601" s="244"/>
      <c r="AQ601" s="244"/>
      <c r="AR601" s="244"/>
      <c r="AS601" s="244"/>
      <c r="AT601" s="244"/>
      <c r="AU601" s="244"/>
      <c r="AV601" s="244"/>
      <c r="AW601" s="244"/>
      <c r="AX601" s="244"/>
      <c r="AY601" s="244"/>
      <c r="AZ601" s="244"/>
      <c r="BA601" s="244"/>
      <c r="BB601" s="244"/>
      <c r="BC601" s="244"/>
      <c r="BD601" s="244"/>
      <c r="BE601" s="244"/>
      <c r="BF601" s="244"/>
      <c r="BG601" s="244"/>
      <c r="BH601" s="244"/>
      <c r="BI601" s="244"/>
      <c r="BJ601" s="244"/>
    </row>
    <row r="602" spans="2:62">
      <c r="B602" s="7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W602" s="332"/>
      <c r="X602" s="332"/>
      <c r="Y602" s="244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  <c r="AO602" s="244"/>
      <c r="AP602" s="244"/>
      <c r="AQ602" s="244"/>
      <c r="AR602" s="244"/>
      <c r="AS602" s="244"/>
      <c r="AT602" s="244"/>
      <c r="AU602" s="244"/>
      <c r="AV602" s="244"/>
      <c r="AW602" s="244"/>
      <c r="AX602" s="244"/>
      <c r="AY602" s="244"/>
      <c r="AZ602" s="244"/>
      <c r="BA602" s="244"/>
      <c r="BB602" s="244"/>
      <c r="BC602" s="244"/>
      <c r="BD602" s="244"/>
      <c r="BE602" s="244"/>
      <c r="BF602" s="244"/>
      <c r="BG602" s="244"/>
      <c r="BH602" s="244"/>
      <c r="BI602" s="244"/>
      <c r="BJ602" s="244"/>
    </row>
    <row r="603" spans="2:62">
      <c r="B603" s="7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W603" s="332"/>
      <c r="X603" s="332"/>
      <c r="Y603" s="244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  <c r="AO603" s="244"/>
      <c r="AP603" s="244"/>
      <c r="AQ603" s="244"/>
      <c r="AR603" s="244"/>
      <c r="AS603" s="244"/>
      <c r="AT603" s="244"/>
      <c r="AU603" s="244"/>
      <c r="AV603" s="244"/>
      <c r="AW603" s="244"/>
      <c r="AX603" s="244"/>
      <c r="AY603" s="244"/>
      <c r="AZ603" s="244"/>
      <c r="BA603" s="244"/>
      <c r="BB603" s="244"/>
      <c r="BC603" s="244"/>
      <c r="BD603" s="244"/>
      <c r="BE603" s="244"/>
      <c r="BF603" s="244"/>
      <c r="BG603" s="244"/>
      <c r="BH603" s="244"/>
      <c r="BI603" s="244"/>
      <c r="BJ603" s="244"/>
    </row>
    <row r="604" spans="2:62">
      <c r="B604" s="7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W604" s="332"/>
      <c r="X604" s="332"/>
      <c r="Y604" s="244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  <c r="AO604" s="244"/>
      <c r="AP604" s="244"/>
      <c r="AQ604" s="244"/>
      <c r="AR604" s="244"/>
      <c r="AS604" s="244"/>
      <c r="AT604" s="244"/>
      <c r="AU604" s="244"/>
      <c r="AV604" s="244"/>
      <c r="AW604" s="244"/>
      <c r="AX604" s="244"/>
      <c r="AY604" s="244"/>
      <c r="AZ604" s="244"/>
      <c r="BA604" s="244"/>
      <c r="BB604" s="244"/>
      <c r="BC604" s="244"/>
      <c r="BD604" s="244"/>
      <c r="BE604" s="244"/>
      <c r="BF604" s="244"/>
      <c r="BG604" s="244"/>
      <c r="BH604" s="244"/>
      <c r="BI604" s="244"/>
      <c r="BJ604" s="244"/>
    </row>
    <row r="605" spans="2:62">
      <c r="B605" s="7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W605" s="332"/>
      <c r="X605" s="332"/>
      <c r="Y605" s="244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  <c r="AO605" s="244"/>
      <c r="AP605" s="244"/>
      <c r="AQ605" s="244"/>
      <c r="AR605" s="244"/>
      <c r="AS605" s="244"/>
      <c r="AT605" s="244"/>
      <c r="AU605" s="244"/>
      <c r="AV605" s="244"/>
      <c r="AW605" s="244"/>
      <c r="AX605" s="244"/>
      <c r="AY605" s="244"/>
      <c r="AZ605" s="244"/>
      <c r="BA605" s="244"/>
      <c r="BB605" s="244"/>
      <c r="BC605" s="244"/>
      <c r="BD605" s="244"/>
      <c r="BE605" s="244"/>
      <c r="BF605" s="244"/>
      <c r="BG605" s="244"/>
      <c r="BH605" s="244"/>
      <c r="BI605" s="244"/>
      <c r="BJ605" s="244"/>
    </row>
    <row r="606" spans="2:62">
      <c r="B606" s="7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W606" s="332"/>
      <c r="X606" s="332"/>
      <c r="Y606" s="244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  <c r="AO606" s="244"/>
      <c r="AP606" s="244"/>
      <c r="AQ606" s="244"/>
      <c r="AR606" s="244"/>
      <c r="AS606" s="244"/>
      <c r="AT606" s="244"/>
      <c r="AU606" s="244"/>
      <c r="AV606" s="244"/>
      <c r="AW606" s="244"/>
      <c r="AX606" s="244"/>
      <c r="AY606" s="244"/>
      <c r="AZ606" s="244"/>
      <c r="BA606" s="244"/>
      <c r="BB606" s="244"/>
      <c r="BC606" s="244"/>
      <c r="BD606" s="244"/>
      <c r="BE606" s="244"/>
      <c r="BF606" s="244"/>
      <c r="BG606" s="244"/>
      <c r="BH606" s="244"/>
      <c r="BI606" s="244"/>
      <c r="BJ606" s="244"/>
    </row>
    <row r="607" spans="2:62">
      <c r="B607" s="7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W607" s="332"/>
      <c r="X607" s="332"/>
      <c r="Y607" s="244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  <c r="AO607" s="244"/>
      <c r="AP607" s="244"/>
      <c r="AQ607" s="244"/>
      <c r="AR607" s="244"/>
      <c r="AS607" s="244"/>
      <c r="AT607" s="244"/>
      <c r="AU607" s="244"/>
      <c r="AV607" s="244"/>
      <c r="AW607" s="244"/>
      <c r="AX607" s="244"/>
      <c r="AY607" s="244"/>
      <c r="AZ607" s="244"/>
      <c r="BA607" s="244"/>
      <c r="BB607" s="244"/>
      <c r="BC607" s="244"/>
      <c r="BD607" s="244"/>
      <c r="BE607" s="244"/>
      <c r="BF607" s="244"/>
      <c r="BG607" s="244"/>
      <c r="BH607" s="244"/>
      <c r="BI607" s="244"/>
      <c r="BJ607" s="244"/>
    </row>
    <row r="608" spans="2:62">
      <c r="B608" s="7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W608" s="332"/>
      <c r="X608" s="332"/>
      <c r="Y608" s="244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  <c r="AO608" s="244"/>
      <c r="AP608" s="244"/>
      <c r="AQ608" s="244"/>
      <c r="AR608" s="244"/>
      <c r="AS608" s="244"/>
      <c r="AT608" s="244"/>
      <c r="AU608" s="244"/>
      <c r="AV608" s="244"/>
      <c r="AW608" s="244"/>
      <c r="AX608" s="244"/>
      <c r="AY608" s="244"/>
      <c r="AZ608" s="244"/>
      <c r="BA608" s="244"/>
      <c r="BB608" s="244"/>
      <c r="BC608" s="244"/>
      <c r="BD608" s="244"/>
      <c r="BE608" s="244"/>
      <c r="BF608" s="244"/>
      <c r="BG608" s="244"/>
      <c r="BH608" s="244"/>
      <c r="BI608" s="244"/>
      <c r="BJ608" s="244"/>
    </row>
    <row r="609" spans="2:62">
      <c r="B609" s="7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W609" s="332"/>
      <c r="X609" s="332"/>
      <c r="Y609" s="244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  <c r="AO609" s="244"/>
      <c r="AP609" s="244"/>
      <c r="AQ609" s="244"/>
      <c r="AR609" s="244"/>
      <c r="AS609" s="244"/>
      <c r="AT609" s="244"/>
      <c r="AU609" s="244"/>
      <c r="AV609" s="244"/>
      <c r="AW609" s="244"/>
      <c r="AX609" s="244"/>
      <c r="AY609" s="244"/>
      <c r="AZ609" s="244"/>
      <c r="BA609" s="244"/>
      <c r="BB609" s="244"/>
      <c r="BC609" s="244"/>
      <c r="BD609" s="244"/>
      <c r="BE609" s="244"/>
      <c r="BF609" s="244"/>
      <c r="BG609" s="244"/>
      <c r="BH609" s="244"/>
      <c r="BI609" s="244"/>
      <c r="BJ609" s="244"/>
    </row>
    <row r="610" spans="2:62">
      <c r="B610" s="7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W610" s="332"/>
      <c r="X610" s="332"/>
      <c r="Y610" s="244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  <c r="AO610" s="244"/>
      <c r="AP610" s="244"/>
      <c r="AQ610" s="244"/>
      <c r="AR610" s="244"/>
      <c r="AS610" s="244"/>
      <c r="AT610" s="244"/>
      <c r="AU610" s="244"/>
      <c r="AV610" s="244"/>
      <c r="AW610" s="244"/>
      <c r="AX610" s="244"/>
      <c r="AY610" s="244"/>
      <c r="AZ610" s="244"/>
      <c r="BA610" s="244"/>
      <c r="BB610" s="244"/>
      <c r="BC610" s="244"/>
      <c r="BD610" s="244"/>
      <c r="BE610" s="244"/>
      <c r="BF610" s="244"/>
      <c r="BG610" s="244"/>
      <c r="BH610" s="244"/>
      <c r="BI610" s="244"/>
      <c r="BJ610" s="244"/>
    </row>
    <row r="611" spans="2:62">
      <c r="B611" s="7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W611" s="332"/>
      <c r="X611" s="332"/>
      <c r="Y611" s="244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  <c r="AO611" s="244"/>
      <c r="AP611" s="244"/>
      <c r="AQ611" s="244"/>
      <c r="AR611" s="244"/>
      <c r="AS611" s="244"/>
      <c r="AT611" s="244"/>
      <c r="AU611" s="244"/>
      <c r="AV611" s="244"/>
      <c r="AW611" s="244"/>
      <c r="AX611" s="244"/>
      <c r="AY611" s="244"/>
      <c r="AZ611" s="244"/>
      <c r="BA611" s="244"/>
      <c r="BB611" s="244"/>
      <c r="BC611" s="244"/>
      <c r="BD611" s="244"/>
      <c r="BE611" s="244"/>
      <c r="BF611" s="244"/>
      <c r="BG611" s="244"/>
      <c r="BH611" s="244"/>
      <c r="BI611" s="244"/>
      <c r="BJ611" s="244"/>
    </row>
    <row r="612" spans="2:62">
      <c r="B612" s="7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W612" s="332"/>
      <c r="X612" s="332"/>
      <c r="Y612" s="244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  <c r="AO612" s="244"/>
      <c r="AP612" s="244"/>
      <c r="AQ612" s="244"/>
      <c r="AR612" s="244"/>
      <c r="AS612" s="244"/>
      <c r="AT612" s="244"/>
      <c r="AU612" s="244"/>
      <c r="AV612" s="244"/>
      <c r="AW612" s="244"/>
      <c r="AX612" s="244"/>
      <c r="AY612" s="244"/>
      <c r="AZ612" s="244"/>
      <c r="BA612" s="244"/>
      <c r="BB612" s="244"/>
      <c r="BC612" s="244"/>
      <c r="BD612" s="244"/>
      <c r="BE612" s="244"/>
      <c r="BF612" s="244"/>
      <c r="BG612" s="244"/>
      <c r="BH612" s="244"/>
      <c r="BI612" s="244"/>
      <c r="BJ612" s="244"/>
    </row>
    <row r="613" spans="2:62">
      <c r="B613" s="7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W613" s="332"/>
      <c r="X613" s="332"/>
      <c r="Y613" s="244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  <c r="AO613" s="244"/>
      <c r="AP613" s="244"/>
      <c r="AQ613" s="244"/>
      <c r="AR613" s="244"/>
      <c r="AS613" s="244"/>
      <c r="AT613" s="244"/>
      <c r="AU613" s="244"/>
      <c r="AV613" s="244"/>
      <c r="AW613" s="244"/>
      <c r="AX613" s="244"/>
      <c r="AY613" s="244"/>
      <c r="AZ613" s="244"/>
      <c r="BA613" s="244"/>
      <c r="BB613" s="244"/>
      <c r="BC613" s="244"/>
      <c r="BD613" s="244"/>
      <c r="BE613" s="244"/>
      <c r="BF613" s="244"/>
      <c r="BG613" s="244"/>
      <c r="BH613" s="244"/>
      <c r="BI613" s="244"/>
      <c r="BJ613" s="244"/>
    </row>
    <row r="614" spans="2:62">
      <c r="B614" s="7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W614" s="332"/>
      <c r="X614" s="332"/>
      <c r="Y614" s="244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  <c r="AO614" s="244"/>
      <c r="AP614" s="244"/>
      <c r="AQ614" s="244"/>
      <c r="AR614" s="244"/>
      <c r="AS614" s="244"/>
      <c r="AT614" s="244"/>
      <c r="AU614" s="244"/>
      <c r="AV614" s="244"/>
      <c r="AW614" s="244"/>
      <c r="AX614" s="244"/>
      <c r="AY614" s="244"/>
      <c r="AZ614" s="244"/>
      <c r="BA614" s="244"/>
      <c r="BB614" s="244"/>
      <c r="BC614" s="244"/>
      <c r="BD614" s="244"/>
      <c r="BE614" s="244"/>
      <c r="BF614" s="244"/>
      <c r="BG614" s="244"/>
      <c r="BH614" s="244"/>
      <c r="BI614" s="244"/>
      <c r="BJ614" s="244"/>
    </row>
    <row r="615" spans="2:62">
      <c r="B615" s="7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W615" s="332"/>
      <c r="X615" s="332"/>
      <c r="Y615" s="244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  <c r="AO615" s="244"/>
      <c r="AP615" s="244"/>
      <c r="AQ615" s="244"/>
      <c r="AR615" s="244"/>
      <c r="AS615" s="244"/>
      <c r="AT615" s="244"/>
      <c r="AU615" s="244"/>
      <c r="AV615" s="244"/>
      <c r="AW615" s="244"/>
      <c r="AX615" s="244"/>
      <c r="AY615" s="244"/>
      <c r="AZ615" s="244"/>
      <c r="BA615" s="244"/>
      <c r="BB615" s="244"/>
      <c r="BC615" s="244"/>
      <c r="BD615" s="244"/>
      <c r="BE615" s="244"/>
      <c r="BF615" s="244"/>
      <c r="BG615" s="244"/>
      <c r="BH615" s="244"/>
      <c r="BI615" s="244"/>
      <c r="BJ615" s="244"/>
    </row>
    <row r="616" spans="2:62">
      <c r="B616" s="7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W616" s="332"/>
      <c r="X616" s="332"/>
      <c r="Y616" s="244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  <c r="AO616" s="244"/>
      <c r="AP616" s="244"/>
      <c r="AQ616" s="244"/>
      <c r="AR616" s="244"/>
      <c r="AS616" s="244"/>
      <c r="AT616" s="244"/>
      <c r="AU616" s="244"/>
      <c r="AV616" s="244"/>
      <c r="AW616" s="244"/>
      <c r="AX616" s="244"/>
      <c r="AY616" s="244"/>
      <c r="AZ616" s="244"/>
      <c r="BA616" s="244"/>
      <c r="BB616" s="244"/>
      <c r="BC616" s="244"/>
      <c r="BD616" s="244"/>
      <c r="BE616" s="244"/>
      <c r="BF616" s="244"/>
      <c r="BG616" s="244"/>
      <c r="BH616" s="244"/>
      <c r="BI616" s="244"/>
      <c r="BJ616" s="244"/>
    </row>
    <row r="617" spans="2:62">
      <c r="B617" s="7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W617" s="332"/>
      <c r="X617" s="332"/>
      <c r="Y617" s="244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  <c r="AO617" s="244"/>
      <c r="AP617" s="244"/>
      <c r="AQ617" s="244"/>
      <c r="AR617" s="244"/>
      <c r="AS617" s="244"/>
      <c r="AT617" s="244"/>
      <c r="AU617" s="244"/>
      <c r="AV617" s="244"/>
      <c r="AW617" s="244"/>
      <c r="AX617" s="244"/>
      <c r="AY617" s="244"/>
      <c r="AZ617" s="244"/>
      <c r="BA617" s="244"/>
      <c r="BB617" s="244"/>
      <c r="BC617" s="244"/>
      <c r="BD617" s="244"/>
      <c r="BE617" s="244"/>
      <c r="BF617" s="244"/>
      <c r="BG617" s="244"/>
      <c r="BH617" s="244"/>
      <c r="BI617" s="244"/>
      <c r="BJ617" s="244"/>
    </row>
    <row r="618" spans="2:62">
      <c r="B618" s="7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W618" s="332"/>
      <c r="X618" s="332"/>
      <c r="Y618" s="244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  <c r="AO618" s="244"/>
      <c r="AP618" s="244"/>
      <c r="AQ618" s="244"/>
      <c r="AR618" s="244"/>
      <c r="AS618" s="244"/>
      <c r="AT618" s="244"/>
      <c r="AU618" s="244"/>
      <c r="AV618" s="244"/>
      <c r="AW618" s="244"/>
      <c r="AX618" s="244"/>
      <c r="AY618" s="244"/>
      <c r="AZ618" s="244"/>
      <c r="BA618" s="244"/>
      <c r="BB618" s="244"/>
      <c r="BC618" s="244"/>
      <c r="BD618" s="244"/>
      <c r="BE618" s="244"/>
      <c r="BF618" s="244"/>
      <c r="BG618" s="244"/>
      <c r="BH618" s="244"/>
      <c r="BI618" s="244"/>
      <c r="BJ618" s="244"/>
    </row>
    <row r="619" spans="2:62">
      <c r="B619" s="7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W619" s="332"/>
      <c r="X619" s="332"/>
      <c r="Y619" s="244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  <c r="AO619" s="244"/>
      <c r="AP619" s="244"/>
      <c r="AQ619" s="244"/>
      <c r="AR619" s="244"/>
      <c r="AS619" s="244"/>
      <c r="AT619" s="244"/>
      <c r="AU619" s="244"/>
      <c r="AV619" s="244"/>
      <c r="AW619" s="244"/>
      <c r="AX619" s="244"/>
      <c r="AY619" s="244"/>
      <c r="AZ619" s="244"/>
      <c r="BA619" s="244"/>
      <c r="BB619" s="244"/>
      <c r="BC619" s="244"/>
      <c r="BD619" s="244"/>
      <c r="BE619" s="244"/>
      <c r="BF619" s="244"/>
      <c r="BG619" s="244"/>
      <c r="BH619" s="244"/>
      <c r="BI619" s="244"/>
      <c r="BJ619" s="244"/>
    </row>
    <row r="620" spans="2:62">
      <c r="B620" s="7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W620" s="332"/>
      <c r="X620" s="332"/>
      <c r="Y620" s="244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  <c r="AO620" s="244"/>
      <c r="AP620" s="244"/>
      <c r="AQ620" s="244"/>
      <c r="AR620" s="244"/>
      <c r="AS620" s="244"/>
      <c r="AT620" s="244"/>
      <c r="AU620" s="244"/>
      <c r="AV620" s="244"/>
      <c r="AW620" s="244"/>
      <c r="AX620" s="244"/>
      <c r="AY620" s="244"/>
      <c r="AZ620" s="244"/>
      <c r="BA620" s="244"/>
      <c r="BB620" s="244"/>
      <c r="BC620" s="244"/>
      <c r="BD620" s="244"/>
      <c r="BE620" s="244"/>
      <c r="BF620" s="244"/>
      <c r="BG620" s="244"/>
      <c r="BH620" s="244"/>
      <c r="BI620" s="244"/>
      <c r="BJ620" s="244"/>
    </row>
    <row r="621" spans="2:62">
      <c r="B621" s="7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W621" s="332"/>
      <c r="X621" s="332"/>
      <c r="Y621" s="244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  <c r="AO621" s="244"/>
      <c r="AP621" s="244"/>
      <c r="AQ621" s="244"/>
      <c r="AR621" s="244"/>
      <c r="AS621" s="244"/>
      <c r="AT621" s="244"/>
      <c r="AU621" s="244"/>
      <c r="AV621" s="244"/>
      <c r="AW621" s="244"/>
      <c r="AX621" s="244"/>
      <c r="AY621" s="244"/>
      <c r="AZ621" s="244"/>
      <c r="BA621" s="244"/>
      <c r="BB621" s="244"/>
      <c r="BC621" s="244"/>
      <c r="BD621" s="244"/>
      <c r="BE621" s="244"/>
      <c r="BF621" s="244"/>
      <c r="BG621" s="244"/>
      <c r="BH621" s="244"/>
      <c r="BI621" s="244"/>
      <c r="BJ621" s="244"/>
    </row>
    <row r="622" spans="2:62">
      <c r="B622" s="7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W622" s="332"/>
      <c r="X622" s="332"/>
      <c r="Y622" s="244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  <c r="AO622" s="244"/>
      <c r="AP622" s="244"/>
      <c r="AQ622" s="244"/>
      <c r="AR622" s="244"/>
      <c r="AS622" s="244"/>
      <c r="AT622" s="244"/>
      <c r="AU622" s="244"/>
      <c r="AV622" s="244"/>
      <c r="AW622" s="244"/>
      <c r="AX622" s="244"/>
      <c r="AY622" s="244"/>
      <c r="AZ622" s="244"/>
      <c r="BA622" s="244"/>
      <c r="BB622" s="244"/>
      <c r="BC622" s="244"/>
      <c r="BD622" s="244"/>
      <c r="BE622" s="244"/>
      <c r="BF622" s="244"/>
      <c r="BG622" s="244"/>
      <c r="BH622" s="244"/>
      <c r="BI622" s="244"/>
      <c r="BJ622" s="244"/>
    </row>
    <row r="623" spans="2:62">
      <c r="B623" s="7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W623" s="332"/>
      <c r="X623" s="332"/>
      <c r="Y623" s="244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  <c r="AO623" s="244"/>
      <c r="AP623" s="244"/>
      <c r="AQ623" s="244"/>
      <c r="AR623" s="244"/>
      <c r="AS623" s="244"/>
      <c r="AT623" s="244"/>
      <c r="AU623" s="244"/>
      <c r="AV623" s="244"/>
      <c r="AW623" s="244"/>
      <c r="AX623" s="244"/>
      <c r="AY623" s="244"/>
      <c r="AZ623" s="244"/>
      <c r="BA623" s="244"/>
      <c r="BB623" s="244"/>
      <c r="BC623" s="244"/>
      <c r="BD623" s="244"/>
      <c r="BE623" s="244"/>
      <c r="BF623" s="244"/>
      <c r="BG623" s="244"/>
      <c r="BH623" s="244"/>
      <c r="BI623" s="244"/>
      <c r="BJ623" s="244"/>
    </row>
    <row r="624" spans="2:62">
      <c r="B624" s="7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W624" s="332"/>
      <c r="X624" s="332"/>
      <c r="Y624" s="244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  <c r="AO624" s="244"/>
      <c r="AP624" s="244"/>
      <c r="AQ624" s="244"/>
      <c r="AR624" s="244"/>
      <c r="AS624" s="244"/>
      <c r="AT624" s="244"/>
      <c r="AU624" s="244"/>
      <c r="AV624" s="244"/>
      <c r="AW624" s="244"/>
      <c r="AX624" s="244"/>
      <c r="AY624" s="244"/>
      <c r="AZ624" s="244"/>
      <c r="BA624" s="244"/>
      <c r="BB624" s="244"/>
      <c r="BC624" s="244"/>
      <c r="BD624" s="244"/>
      <c r="BE624" s="244"/>
      <c r="BF624" s="244"/>
      <c r="BG624" s="244"/>
      <c r="BH624" s="244"/>
      <c r="BI624" s="244"/>
      <c r="BJ624" s="244"/>
    </row>
    <row r="625" spans="2:62">
      <c r="B625" s="7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W625" s="332"/>
      <c r="X625" s="332"/>
      <c r="Y625" s="244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  <c r="AO625" s="244"/>
      <c r="AP625" s="244"/>
      <c r="AQ625" s="244"/>
      <c r="AR625" s="244"/>
      <c r="AS625" s="244"/>
      <c r="AT625" s="244"/>
      <c r="AU625" s="244"/>
      <c r="AV625" s="244"/>
      <c r="AW625" s="244"/>
      <c r="AX625" s="244"/>
      <c r="AY625" s="244"/>
      <c r="AZ625" s="244"/>
      <c r="BA625" s="244"/>
      <c r="BB625" s="244"/>
      <c r="BC625" s="244"/>
      <c r="BD625" s="244"/>
      <c r="BE625" s="244"/>
      <c r="BF625" s="244"/>
      <c r="BG625" s="244"/>
      <c r="BH625" s="244"/>
      <c r="BI625" s="244"/>
      <c r="BJ625" s="244"/>
    </row>
    <row r="626" spans="2:62">
      <c r="B626" s="7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W626" s="332"/>
      <c r="X626" s="332"/>
      <c r="Y626" s="244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  <c r="AO626" s="244"/>
      <c r="AP626" s="244"/>
      <c r="AQ626" s="244"/>
      <c r="AR626" s="244"/>
      <c r="AS626" s="244"/>
      <c r="AT626" s="244"/>
      <c r="AU626" s="244"/>
      <c r="AV626" s="244"/>
      <c r="AW626" s="244"/>
      <c r="AX626" s="244"/>
      <c r="AY626" s="244"/>
      <c r="AZ626" s="244"/>
      <c r="BA626" s="244"/>
      <c r="BB626" s="244"/>
      <c r="BC626" s="244"/>
      <c r="BD626" s="244"/>
      <c r="BE626" s="244"/>
      <c r="BF626" s="244"/>
      <c r="BG626" s="244"/>
      <c r="BH626" s="244"/>
      <c r="BI626" s="244"/>
      <c r="BJ626" s="244"/>
    </row>
    <row r="627" spans="2:62">
      <c r="B627" s="7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W627" s="332"/>
      <c r="X627" s="332"/>
      <c r="Y627" s="244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  <c r="AO627" s="244"/>
      <c r="AP627" s="244"/>
      <c r="AQ627" s="244"/>
      <c r="AR627" s="244"/>
      <c r="AS627" s="244"/>
      <c r="AT627" s="244"/>
      <c r="AU627" s="244"/>
      <c r="AV627" s="244"/>
      <c r="AW627" s="244"/>
      <c r="AX627" s="244"/>
      <c r="AY627" s="244"/>
      <c r="AZ627" s="244"/>
      <c r="BA627" s="244"/>
      <c r="BB627" s="244"/>
      <c r="BC627" s="244"/>
      <c r="BD627" s="244"/>
      <c r="BE627" s="244"/>
      <c r="BF627" s="244"/>
      <c r="BG627" s="244"/>
      <c r="BH627" s="244"/>
      <c r="BI627" s="244"/>
      <c r="BJ627" s="244"/>
    </row>
    <row r="628" spans="2:62">
      <c r="B628" s="7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W628" s="332"/>
      <c r="X628" s="332"/>
      <c r="Y628" s="244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  <c r="AO628" s="244"/>
      <c r="AP628" s="244"/>
      <c r="AQ628" s="244"/>
      <c r="AR628" s="244"/>
      <c r="AS628" s="244"/>
      <c r="AT628" s="244"/>
      <c r="AU628" s="244"/>
      <c r="AV628" s="244"/>
      <c r="AW628" s="244"/>
      <c r="AX628" s="244"/>
      <c r="AY628" s="244"/>
      <c r="AZ628" s="244"/>
      <c r="BA628" s="244"/>
      <c r="BB628" s="244"/>
      <c r="BC628" s="244"/>
      <c r="BD628" s="244"/>
      <c r="BE628" s="244"/>
      <c r="BF628" s="244"/>
      <c r="BG628" s="244"/>
      <c r="BH628" s="244"/>
      <c r="BI628" s="244"/>
      <c r="BJ628" s="244"/>
    </row>
    <row r="629" spans="2:62">
      <c r="B629" s="7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W629" s="332"/>
      <c r="X629" s="332"/>
      <c r="Y629" s="244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  <c r="AO629" s="244"/>
      <c r="AP629" s="244"/>
      <c r="AQ629" s="244"/>
      <c r="AR629" s="244"/>
      <c r="AS629" s="244"/>
      <c r="AT629" s="244"/>
      <c r="AU629" s="244"/>
      <c r="AV629" s="244"/>
      <c r="AW629" s="244"/>
      <c r="AX629" s="244"/>
      <c r="AY629" s="244"/>
      <c r="AZ629" s="244"/>
      <c r="BA629" s="244"/>
      <c r="BB629" s="244"/>
      <c r="BC629" s="244"/>
      <c r="BD629" s="244"/>
      <c r="BE629" s="244"/>
      <c r="BF629" s="244"/>
      <c r="BG629" s="244"/>
      <c r="BH629" s="244"/>
      <c r="BI629" s="244"/>
      <c r="BJ629" s="244"/>
    </row>
    <row r="630" spans="2:62">
      <c r="B630" s="7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W630" s="332"/>
      <c r="X630" s="332"/>
      <c r="Y630" s="244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  <c r="AO630" s="244"/>
      <c r="AP630" s="244"/>
      <c r="AQ630" s="244"/>
      <c r="AR630" s="244"/>
      <c r="AS630" s="244"/>
      <c r="AT630" s="244"/>
      <c r="AU630" s="244"/>
      <c r="AV630" s="244"/>
      <c r="AW630" s="244"/>
      <c r="AX630" s="244"/>
      <c r="AY630" s="244"/>
      <c r="AZ630" s="244"/>
      <c r="BA630" s="244"/>
      <c r="BB630" s="244"/>
      <c r="BC630" s="244"/>
      <c r="BD630" s="244"/>
      <c r="BE630" s="244"/>
      <c r="BF630" s="244"/>
      <c r="BG630" s="244"/>
      <c r="BH630" s="244"/>
      <c r="BI630" s="244"/>
      <c r="BJ630" s="244"/>
    </row>
    <row r="631" spans="2:62">
      <c r="B631" s="7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W631" s="332"/>
      <c r="X631" s="332"/>
      <c r="Y631" s="244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  <c r="AO631" s="244"/>
      <c r="AP631" s="244"/>
      <c r="AQ631" s="244"/>
      <c r="AR631" s="244"/>
      <c r="AS631" s="244"/>
      <c r="AT631" s="244"/>
      <c r="AU631" s="244"/>
      <c r="AV631" s="244"/>
      <c r="AW631" s="244"/>
      <c r="AX631" s="244"/>
      <c r="AY631" s="244"/>
      <c r="AZ631" s="244"/>
      <c r="BA631" s="244"/>
      <c r="BB631" s="244"/>
      <c r="BC631" s="244"/>
      <c r="BD631" s="244"/>
      <c r="BE631" s="244"/>
      <c r="BF631" s="244"/>
      <c r="BG631" s="244"/>
      <c r="BH631" s="244"/>
      <c r="BI631" s="244"/>
      <c r="BJ631" s="244"/>
    </row>
    <row r="632" spans="2:62">
      <c r="B632" s="7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W632" s="332"/>
      <c r="X632" s="332"/>
      <c r="Y632" s="244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  <c r="AO632" s="244"/>
      <c r="AP632" s="244"/>
      <c r="AQ632" s="244"/>
      <c r="AR632" s="244"/>
      <c r="AS632" s="244"/>
      <c r="AT632" s="244"/>
      <c r="AU632" s="244"/>
      <c r="AV632" s="244"/>
      <c r="AW632" s="244"/>
      <c r="AX632" s="244"/>
      <c r="AY632" s="244"/>
      <c r="AZ632" s="244"/>
      <c r="BA632" s="244"/>
      <c r="BB632" s="244"/>
      <c r="BC632" s="244"/>
      <c r="BD632" s="244"/>
      <c r="BE632" s="244"/>
      <c r="BF632" s="244"/>
      <c r="BG632" s="244"/>
      <c r="BH632" s="244"/>
      <c r="BI632" s="244"/>
      <c r="BJ632" s="244"/>
    </row>
    <row r="633" spans="2:62">
      <c r="B633" s="7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W633" s="332"/>
      <c r="X633" s="332"/>
      <c r="Y633" s="244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  <c r="AO633" s="244"/>
      <c r="AP633" s="244"/>
      <c r="AQ633" s="244"/>
      <c r="AR633" s="244"/>
      <c r="AS633" s="244"/>
      <c r="AT633" s="244"/>
      <c r="AU633" s="244"/>
      <c r="AV633" s="244"/>
      <c r="AW633" s="244"/>
      <c r="AX633" s="244"/>
      <c r="AY633" s="244"/>
      <c r="AZ633" s="244"/>
      <c r="BA633" s="244"/>
      <c r="BB633" s="244"/>
      <c r="BC633" s="244"/>
      <c r="BD633" s="244"/>
      <c r="BE633" s="244"/>
      <c r="BF633" s="244"/>
      <c r="BG633" s="244"/>
      <c r="BH633" s="244"/>
      <c r="BI633" s="244"/>
      <c r="BJ633" s="244"/>
    </row>
    <row r="634" spans="2:62">
      <c r="B634" s="7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W634" s="332"/>
      <c r="X634" s="332"/>
      <c r="Y634" s="244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  <c r="AO634" s="244"/>
      <c r="AP634" s="244"/>
      <c r="AQ634" s="244"/>
      <c r="AR634" s="244"/>
      <c r="AS634" s="244"/>
      <c r="AT634" s="244"/>
      <c r="AU634" s="244"/>
      <c r="AV634" s="244"/>
      <c r="AW634" s="244"/>
      <c r="AX634" s="244"/>
      <c r="AY634" s="244"/>
      <c r="AZ634" s="244"/>
      <c r="BA634" s="244"/>
      <c r="BB634" s="244"/>
      <c r="BC634" s="244"/>
      <c r="BD634" s="244"/>
      <c r="BE634" s="244"/>
      <c r="BF634" s="244"/>
      <c r="BG634" s="244"/>
      <c r="BH634" s="244"/>
      <c r="BI634" s="244"/>
      <c r="BJ634" s="244"/>
    </row>
    <row r="635" spans="2:62">
      <c r="B635" s="7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W635" s="332"/>
      <c r="X635" s="332"/>
      <c r="Y635" s="244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  <c r="AO635" s="244"/>
      <c r="AP635" s="244"/>
      <c r="AQ635" s="244"/>
      <c r="AR635" s="244"/>
      <c r="AS635" s="244"/>
      <c r="AT635" s="244"/>
      <c r="AU635" s="244"/>
      <c r="AV635" s="244"/>
      <c r="AW635" s="244"/>
      <c r="AX635" s="244"/>
      <c r="AY635" s="244"/>
      <c r="AZ635" s="244"/>
      <c r="BA635" s="244"/>
      <c r="BB635" s="244"/>
      <c r="BC635" s="244"/>
      <c r="BD635" s="244"/>
      <c r="BE635" s="244"/>
      <c r="BF635" s="244"/>
      <c r="BG635" s="244"/>
      <c r="BH635" s="244"/>
      <c r="BI635" s="244"/>
      <c r="BJ635" s="244"/>
    </row>
    <row r="636" spans="2:62">
      <c r="B636" s="7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W636" s="332"/>
      <c r="X636" s="332"/>
      <c r="Y636" s="244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  <c r="AO636" s="244"/>
      <c r="AP636" s="244"/>
      <c r="AQ636" s="244"/>
      <c r="AR636" s="244"/>
      <c r="AS636" s="244"/>
      <c r="AT636" s="244"/>
      <c r="AU636" s="244"/>
      <c r="AV636" s="244"/>
      <c r="AW636" s="244"/>
      <c r="AX636" s="244"/>
      <c r="AY636" s="244"/>
      <c r="AZ636" s="244"/>
      <c r="BA636" s="244"/>
      <c r="BB636" s="244"/>
      <c r="BC636" s="244"/>
      <c r="BD636" s="244"/>
      <c r="BE636" s="244"/>
      <c r="BF636" s="244"/>
      <c r="BG636" s="244"/>
      <c r="BH636" s="244"/>
      <c r="BI636" s="244"/>
      <c r="BJ636" s="244"/>
    </row>
    <row r="637" spans="2:62">
      <c r="B637" s="7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W637" s="332"/>
      <c r="X637" s="332"/>
      <c r="Y637" s="244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  <c r="AO637" s="244"/>
      <c r="AP637" s="244"/>
      <c r="AQ637" s="244"/>
      <c r="AR637" s="244"/>
      <c r="AS637" s="244"/>
      <c r="AT637" s="244"/>
      <c r="AU637" s="244"/>
      <c r="AV637" s="244"/>
      <c r="AW637" s="244"/>
      <c r="AX637" s="244"/>
      <c r="AY637" s="244"/>
      <c r="AZ637" s="244"/>
      <c r="BA637" s="244"/>
      <c r="BB637" s="244"/>
      <c r="BC637" s="244"/>
      <c r="BD637" s="244"/>
      <c r="BE637" s="244"/>
      <c r="BF637" s="244"/>
      <c r="BG637" s="244"/>
      <c r="BH637" s="244"/>
      <c r="BI637" s="244"/>
      <c r="BJ637" s="244"/>
    </row>
    <row r="638" spans="2:62">
      <c r="B638" s="7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W638" s="332"/>
      <c r="X638" s="332"/>
      <c r="Y638" s="244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  <c r="AO638" s="244"/>
      <c r="AP638" s="244"/>
      <c r="AQ638" s="244"/>
      <c r="AR638" s="244"/>
      <c r="AS638" s="244"/>
      <c r="AT638" s="244"/>
      <c r="AU638" s="244"/>
      <c r="AV638" s="244"/>
      <c r="AW638" s="244"/>
      <c r="AX638" s="244"/>
      <c r="AY638" s="244"/>
      <c r="AZ638" s="244"/>
      <c r="BA638" s="244"/>
      <c r="BB638" s="244"/>
      <c r="BC638" s="244"/>
      <c r="BD638" s="244"/>
      <c r="BE638" s="244"/>
      <c r="BF638" s="244"/>
      <c r="BG638" s="244"/>
      <c r="BH638" s="244"/>
      <c r="BI638" s="244"/>
      <c r="BJ638" s="244"/>
    </row>
    <row r="639" spans="2:62">
      <c r="B639" s="7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W639" s="332"/>
      <c r="X639" s="332"/>
      <c r="Y639" s="244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  <c r="AO639" s="244"/>
      <c r="AP639" s="244"/>
      <c r="AQ639" s="244"/>
      <c r="AR639" s="244"/>
      <c r="AS639" s="244"/>
      <c r="AT639" s="244"/>
      <c r="AU639" s="244"/>
      <c r="AV639" s="244"/>
      <c r="AW639" s="244"/>
      <c r="AX639" s="244"/>
      <c r="AY639" s="244"/>
      <c r="AZ639" s="244"/>
      <c r="BA639" s="244"/>
      <c r="BB639" s="244"/>
      <c r="BC639" s="244"/>
      <c r="BD639" s="244"/>
      <c r="BE639" s="244"/>
      <c r="BF639" s="244"/>
      <c r="BG639" s="244"/>
      <c r="BH639" s="244"/>
      <c r="BI639" s="244"/>
      <c r="BJ639" s="244"/>
    </row>
    <row r="640" spans="2:62">
      <c r="B640" s="7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W640" s="332"/>
      <c r="X640" s="332"/>
      <c r="Y640" s="244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  <c r="AO640" s="244"/>
      <c r="AP640" s="244"/>
      <c r="AQ640" s="244"/>
      <c r="AR640" s="244"/>
      <c r="AS640" s="244"/>
      <c r="AT640" s="244"/>
      <c r="AU640" s="244"/>
      <c r="AV640" s="244"/>
      <c r="AW640" s="244"/>
      <c r="AX640" s="244"/>
      <c r="AY640" s="244"/>
      <c r="AZ640" s="244"/>
      <c r="BA640" s="244"/>
      <c r="BB640" s="244"/>
      <c r="BC640" s="244"/>
      <c r="BD640" s="244"/>
      <c r="BE640" s="244"/>
      <c r="BF640" s="244"/>
      <c r="BG640" s="244"/>
      <c r="BH640" s="244"/>
      <c r="BI640" s="244"/>
      <c r="BJ640" s="244"/>
    </row>
    <row r="641" spans="2:62">
      <c r="B641" s="7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W641" s="332"/>
      <c r="X641" s="332"/>
      <c r="Y641" s="244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  <c r="AO641" s="244"/>
      <c r="AP641" s="244"/>
      <c r="AQ641" s="244"/>
      <c r="AR641" s="244"/>
      <c r="AS641" s="244"/>
      <c r="AT641" s="244"/>
      <c r="AU641" s="244"/>
      <c r="AV641" s="244"/>
      <c r="AW641" s="244"/>
      <c r="AX641" s="244"/>
      <c r="AY641" s="244"/>
      <c r="AZ641" s="244"/>
      <c r="BA641" s="244"/>
      <c r="BB641" s="244"/>
      <c r="BC641" s="244"/>
      <c r="BD641" s="244"/>
      <c r="BE641" s="244"/>
      <c r="BF641" s="244"/>
      <c r="BG641" s="244"/>
      <c r="BH641" s="244"/>
      <c r="BI641" s="244"/>
      <c r="BJ641" s="244"/>
    </row>
    <row r="642" spans="2:62">
      <c r="B642" s="7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W642" s="332"/>
      <c r="X642" s="332"/>
      <c r="Y642" s="244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  <c r="AO642" s="244"/>
      <c r="AP642" s="244"/>
      <c r="AQ642" s="244"/>
      <c r="AR642" s="244"/>
      <c r="AS642" s="244"/>
      <c r="AT642" s="244"/>
      <c r="AU642" s="244"/>
      <c r="AV642" s="244"/>
      <c r="AW642" s="244"/>
      <c r="AX642" s="244"/>
      <c r="AY642" s="244"/>
      <c r="AZ642" s="244"/>
      <c r="BA642" s="244"/>
      <c r="BB642" s="244"/>
      <c r="BC642" s="244"/>
      <c r="BD642" s="244"/>
      <c r="BE642" s="244"/>
      <c r="BF642" s="244"/>
      <c r="BG642" s="244"/>
      <c r="BH642" s="244"/>
      <c r="BI642" s="244"/>
      <c r="BJ642" s="244"/>
    </row>
    <row r="643" spans="2:62">
      <c r="B643" s="7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W643" s="332"/>
      <c r="X643" s="332"/>
      <c r="Y643" s="244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  <c r="AO643" s="244"/>
      <c r="AP643" s="244"/>
      <c r="AQ643" s="244"/>
      <c r="AR643" s="244"/>
      <c r="AS643" s="244"/>
      <c r="AT643" s="244"/>
      <c r="AU643" s="244"/>
      <c r="AV643" s="244"/>
      <c r="AW643" s="244"/>
      <c r="AX643" s="244"/>
      <c r="AY643" s="244"/>
      <c r="AZ643" s="244"/>
      <c r="BA643" s="244"/>
      <c r="BB643" s="244"/>
      <c r="BC643" s="244"/>
      <c r="BD643" s="244"/>
      <c r="BE643" s="244"/>
      <c r="BF643" s="244"/>
      <c r="BG643" s="244"/>
      <c r="BH643" s="244"/>
      <c r="BI643" s="244"/>
      <c r="BJ643" s="244"/>
    </row>
    <row r="644" spans="2:62">
      <c r="B644" s="7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W644" s="332"/>
      <c r="X644" s="332"/>
      <c r="Y644" s="244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  <c r="AO644" s="244"/>
      <c r="AP644" s="244"/>
      <c r="AQ644" s="244"/>
      <c r="AR644" s="244"/>
      <c r="AS644" s="244"/>
      <c r="AT644" s="244"/>
      <c r="AU644" s="244"/>
      <c r="AV644" s="244"/>
      <c r="AW644" s="244"/>
      <c r="AX644" s="244"/>
      <c r="AY644" s="244"/>
      <c r="AZ644" s="244"/>
      <c r="BA644" s="244"/>
      <c r="BB644" s="244"/>
      <c r="BC644" s="244"/>
      <c r="BD644" s="244"/>
      <c r="BE644" s="244"/>
      <c r="BF644" s="244"/>
      <c r="BG644" s="244"/>
      <c r="BH644" s="244"/>
      <c r="BI644" s="244"/>
      <c r="BJ644" s="244"/>
    </row>
    <row r="645" spans="2:62">
      <c r="B645" s="7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W645" s="332"/>
      <c r="X645" s="332"/>
      <c r="Y645" s="244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  <c r="AO645" s="244"/>
      <c r="AP645" s="244"/>
      <c r="AQ645" s="244"/>
      <c r="AR645" s="244"/>
      <c r="AS645" s="244"/>
      <c r="AT645" s="244"/>
      <c r="AU645" s="244"/>
      <c r="AV645" s="244"/>
      <c r="AW645" s="244"/>
      <c r="AX645" s="244"/>
      <c r="AY645" s="244"/>
      <c r="AZ645" s="244"/>
      <c r="BA645" s="244"/>
      <c r="BB645" s="244"/>
      <c r="BC645" s="244"/>
      <c r="BD645" s="244"/>
      <c r="BE645" s="244"/>
      <c r="BF645" s="244"/>
      <c r="BG645" s="244"/>
      <c r="BH645" s="244"/>
      <c r="BI645" s="244"/>
      <c r="BJ645" s="244"/>
    </row>
    <row r="646" spans="2:62">
      <c r="B646" s="7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W646" s="332"/>
      <c r="X646" s="332"/>
      <c r="Y646" s="244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  <c r="AO646" s="244"/>
      <c r="AP646" s="244"/>
      <c r="AQ646" s="244"/>
      <c r="AR646" s="244"/>
      <c r="AS646" s="244"/>
      <c r="AT646" s="244"/>
      <c r="AU646" s="244"/>
      <c r="AV646" s="244"/>
      <c r="AW646" s="244"/>
      <c r="AX646" s="244"/>
      <c r="AY646" s="244"/>
      <c r="AZ646" s="244"/>
      <c r="BA646" s="244"/>
      <c r="BB646" s="244"/>
      <c r="BC646" s="244"/>
      <c r="BD646" s="244"/>
      <c r="BE646" s="244"/>
      <c r="BF646" s="244"/>
      <c r="BG646" s="244"/>
      <c r="BH646" s="244"/>
      <c r="BI646" s="244"/>
      <c r="BJ646" s="244"/>
    </row>
    <row r="647" spans="2:62">
      <c r="B647" s="7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W647" s="332"/>
      <c r="X647" s="332"/>
      <c r="Y647" s="244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  <c r="AO647" s="244"/>
      <c r="AP647" s="244"/>
      <c r="AQ647" s="244"/>
      <c r="AR647" s="244"/>
      <c r="AS647" s="244"/>
      <c r="AT647" s="244"/>
      <c r="AU647" s="244"/>
      <c r="AV647" s="244"/>
      <c r="AW647" s="244"/>
      <c r="AX647" s="244"/>
      <c r="AY647" s="244"/>
      <c r="AZ647" s="244"/>
      <c r="BA647" s="244"/>
      <c r="BB647" s="244"/>
      <c r="BC647" s="244"/>
      <c r="BD647" s="244"/>
      <c r="BE647" s="244"/>
      <c r="BF647" s="244"/>
      <c r="BG647" s="244"/>
      <c r="BH647" s="244"/>
      <c r="BI647" s="244"/>
      <c r="BJ647" s="244"/>
    </row>
    <row r="648" spans="2:62">
      <c r="B648" s="7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W648" s="332"/>
      <c r="X648" s="332"/>
      <c r="Y648" s="244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  <c r="AO648" s="244"/>
      <c r="AP648" s="244"/>
      <c r="AQ648" s="244"/>
      <c r="AR648" s="244"/>
      <c r="AS648" s="244"/>
      <c r="AT648" s="244"/>
      <c r="AU648" s="244"/>
      <c r="AV648" s="244"/>
      <c r="AW648" s="244"/>
      <c r="AX648" s="244"/>
      <c r="AY648" s="244"/>
      <c r="AZ648" s="244"/>
      <c r="BA648" s="244"/>
      <c r="BB648" s="244"/>
      <c r="BC648" s="244"/>
      <c r="BD648" s="244"/>
      <c r="BE648" s="244"/>
      <c r="BF648" s="244"/>
      <c r="BG648" s="244"/>
      <c r="BH648" s="244"/>
      <c r="BI648" s="244"/>
      <c r="BJ648" s="244"/>
    </row>
    <row r="649" spans="2:62">
      <c r="B649" s="7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W649" s="332"/>
      <c r="X649" s="332"/>
      <c r="Y649" s="244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  <c r="AO649" s="244"/>
      <c r="AP649" s="244"/>
      <c r="AQ649" s="244"/>
      <c r="AR649" s="244"/>
      <c r="AS649" s="244"/>
      <c r="AT649" s="244"/>
      <c r="AU649" s="244"/>
      <c r="AV649" s="244"/>
      <c r="AW649" s="244"/>
      <c r="AX649" s="244"/>
      <c r="AY649" s="244"/>
      <c r="AZ649" s="244"/>
      <c r="BA649" s="244"/>
      <c r="BB649" s="244"/>
      <c r="BC649" s="244"/>
      <c r="BD649" s="244"/>
      <c r="BE649" s="244"/>
      <c r="BF649" s="244"/>
      <c r="BG649" s="244"/>
      <c r="BH649" s="244"/>
      <c r="BI649" s="244"/>
      <c r="BJ649" s="244"/>
    </row>
    <row r="650" spans="2:62">
      <c r="B650" s="7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W650" s="332"/>
      <c r="X650" s="332"/>
      <c r="Y650" s="244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  <c r="AO650" s="244"/>
      <c r="AP650" s="244"/>
      <c r="AQ650" s="244"/>
      <c r="AR650" s="244"/>
      <c r="AS650" s="244"/>
      <c r="AT650" s="244"/>
      <c r="AU650" s="244"/>
      <c r="AV650" s="244"/>
      <c r="AW650" s="244"/>
      <c r="AX650" s="244"/>
      <c r="AY650" s="244"/>
      <c r="AZ650" s="244"/>
      <c r="BA650" s="244"/>
      <c r="BB650" s="244"/>
      <c r="BC650" s="244"/>
      <c r="BD650" s="244"/>
      <c r="BE650" s="244"/>
      <c r="BF650" s="244"/>
      <c r="BG650" s="244"/>
      <c r="BH650" s="244"/>
      <c r="BI650" s="244"/>
      <c r="BJ650" s="244"/>
    </row>
    <row r="651" spans="2:62" ht="30">
      <c r="B651" s="7"/>
      <c r="C651" s="409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410"/>
      <c r="P651" s="332"/>
      <c r="Q651" s="332"/>
      <c r="R651" s="332"/>
      <c r="S651" s="332"/>
      <c r="T651" s="332"/>
      <c r="U651" s="332"/>
      <c r="W651" s="332"/>
      <c r="X651" s="332"/>
      <c r="Y651" s="244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  <c r="AO651" s="244"/>
      <c r="AP651" s="244"/>
      <c r="AQ651" s="244"/>
      <c r="AR651" s="244"/>
      <c r="AS651" s="244"/>
      <c r="AT651" s="244"/>
      <c r="AU651" s="244"/>
      <c r="AV651" s="244"/>
      <c r="AW651" s="244"/>
      <c r="AX651" s="244"/>
      <c r="AY651" s="244"/>
      <c r="AZ651" s="244"/>
      <c r="BA651" s="244"/>
      <c r="BB651" s="244"/>
      <c r="BC651" s="244"/>
      <c r="BD651" s="244"/>
      <c r="BE651" s="244"/>
      <c r="BF651" s="244"/>
      <c r="BG651" s="244"/>
      <c r="BH651" s="244"/>
      <c r="BI651" s="244"/>
      <c r="BJ651" s="244"/>
    </row>
    <row r="652" spans="2:62" ht="17.399999999999999">
      <c r="B652" s="7"/>
      <c r="C652" s="399"/>
      <c r="D652" s="403"/>
      <c r="E652" s="403"/>
      <c r="F652" s="403"/>
      <c r="G652" s="403"/>
      <c r="H652" s="403"/>
      <c r="I652" s="403"/>
      <c r="J652" s="403"/>
      <c r="K652" s="403"/>
      <c r="L652" s="403"/>
      <c r="M652" s="403"/>
      <c r="N652" s="403"/>
      <c r="O652" s="403"/>
      <c r="P652" s="403"/>
      <c r="Q652" s="411"/>
      <c r="R652" s="403"/>
      <c r="S652" s="403"/>
      <c r="T652" s="332"/>
      <c r="U652" s="332"/>
      <c r="W652" s="332"/>
      <c r="X652" s="332"/>
      <c r="Y652" s="244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  <c r="AO652" s="244"/>
      <c r="AP652" s="244"/>
      <c r="AQ652" s="244"/>
      <c r="AR652" s="244"/>
      <c r="AS652" s="244"/>
      <c r="AT652" s="244"/>
      <c r="AU652" s="244"/>
      <c r="AV652" s="244"/>
      <c r="AW652" s="244"/>
      <c r="AX652" s="244"/>
      <c r="AY652" s="244"/>
      <c r="AZ652" s="244"/>
      <c r="BA652" s="244"/>
      <c r="BB652" s="244"/>
      <c r="BC652" s="244"/>
      <c r="BD652" s="244"/>
      <c r="BE652" s="244"/>
      <c r="BF652" s="244"/>
      <c r="BG652" s="244"/>
      <c r="BH652" s="244"/>
      <c r="BI652" s="244"/>
      <c r="BJ652" s="244"/>
    </row>
    <row r="653" spans="2:62">
      <c r="B653" s="7"/>
      <c r="C653" s="332"/>
      <c r="D653" s="400"/>
      <c r="E653" s="400"/>
      <c r="F653" s="412"/>
      <c r="G653" s="400"/>
      <c r="H653" s="400"/>
      <c r="I653" s="412"/>
      <c r="J653" s="404"/>
      <c r="K653" s="404"/>
      <c r="L653" s="413"/>
      <c r="M653" s="404"/>
      <c r="N653" s="404"/>
      <c r="O653" s="404"/>
      <c r="P653" s="404"/>
      <c r="Q653" s="401"/>
      <c r="R653" s="400"/>
      <c r="S653" s="412"/>
      <c r="T653" s="332"/>
      <c r="U653" s="332"/>
      <c r="W653" s="332"/>
      <c r="X653" s="332"/>
      <c r="Y653" s="244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  <c r="AO653" s="244"/>
      <c r="AP653" s="244"/>
      <c r="AQ653" s="244"/>
      <c r="AR653" s="244"/>
      <c r="AS653" s="244"/>
      <c r="AT653" s="244"/>
      <c r="AU653" s="244"/>
      <c r="AV653" s="244"/>
      <c r="AW653" s="244"/>
      <c r="AX653" s="244"/>
      <c r="AY653" s="244"/>
      <c r="AZ653" s="244"/>
      <c r="BA653" s="244"/>
      <c r="BB653" s="244"/>
      <c r="BC653" s="244"/>
      <c r="BD653" s="244"/>
      <c r="BE653" s="244"/>
      <c r="BF653" s="244"/>
      <c r="BG653" s="244"/>
      <c r="BH653" s="244"/>
      <c r="BI653" s="244"/>
      <c r="BJ653" s="244"/>
    </row>
    <row r="654" spans="2:62">
      <c r="B654" s="7"/>
      <c r="C654" s="414"/>
      <c r="D654" s="332"/>
      <c r="E654" s="332"/>
      <c r="F654" s="403"/>
      <c r="G654" s="332"/>
      <c r="H654" s="332"/>
      <c r="I654" s="403"/>
      <c r="J654" s="403"/>
      <c r="K654" s="403"/>
      <c r="L654" s="332"/>
      <c r="M654" s="403"/>
      <c r="N654" s="403"/>
      <c r="O654" s="332"/>
      <c r="P654" s="403"/>
      <c r="Q654" s="403"/>
      <c r="R654" s="332"/>
      <c r="S654" s="403"/>
      <c r="T654" s="332"/>
      <c r="U654" s="332"/>
      <c r="W654" s="332"/>
      <c r="X654" s="332"/>
      <c r="Y654" s="244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  <c r="AO654" s="244"/>
      <c r="AP654" s="244"/>
      <c r="AQ654" s="244"/>
      <c r="AR654" s="244"/>
      <c r="AS654" s="244"/>
      <c r="AT654" s="244"/>
      <c r="AU654" s="244"/>
      <c r="AV654" s="244"/>
      <c r="AW654" s="244"/>
      <c r="AX654" s="244"/>
      <c r="AY654" s="244"/>
      <c r="AZ654" s="244"/>
      <c r="BA654" s="244"/>
      <c r="BB654" s="244"/>
      <c r="BC654" s="244"/>
      <c r="BD654" s="244"/>
      <c r="BE654" s="244"/>
      <c r="BF654" s="244"/>
      <c r="BG654" s="244"/>
      <c r="BH654" s="244"/>
      <c r="BI654" s="244"/>
      <c r="BJ654" s="244"/>
    </row>
    <row r="655" spans="2:62">
      <c r="B655" s="7"/>
      <c r="C655" s="332"/>
      <c r="D655" s="332"/>
      <c r="E655" s="332"/>
      <c r="F655" s="396"/>
      <c r="G655" s="332"/>
      <c r="H655" s="332"/>
      <c r="I655" s="396"/>
      <c r="J655" s="396"/>
      <c r="K655" s="396"/>
      <c r="L655" s="396"/>
      <c r="M655" s="396"/>
      <c r="N655" s="396"/>
      <c r="O655" s="396"/>
      <c r="P655" s="396"/>
      <c r="Q655" s="396"/>
      <c r="R655" s="396"/>
      <c r="S655" s="396"/>
      <c r="T655" s="332"/>
      <c r="U655" s="332"/>
      <c r="W655" s="332"/>
      <c r="X655" s="332"/>
      <c r="Y655" s="244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  <c r="AO655" s="244"/>
      <c r="AP655" s="244"/>
      <c r="AQ655" s="244"/>
      <c r="AR655" s="244"/>
      <c r="AS655" s="244"/>
      <c r="AT655" s="244"/>
      <c r="AU655" s="244"/>
      <c r="AV655" s="244"/>
      <c r="AW655" s="244"/>
      <c r="AX655" s="244"/>
      <c r="AY655" s="244"/>
      <c r="AZ655" s="244"/>
      <c r="BA655" s="244"/>
      <c r="BB655" s="244"/>
      <c r="BC655" s="244"/>
      <c r="BD655" s="244"/>
      <c r="BE655" s="244"/>
      <c r="BF655" s="244"/>
      <c r="BG655" s="244"/>
      <c r="BH655" s="244"/>
      <c r="BI655" s="244"/>
      <c r="BJ655" s="244"/>
    </row>
    <row r="656" spans="2:62">
      <c r="B656" s="7"/>
      <c r="C656" s="395"/>
      <c r="D656" s="395"/>
      <c r="E656" s="395"/>
      <c r="F656" s="398"/>
      <c r="G656" s="395"/>
      <c r="H656" s="395"/>
      <c r="I656" s="398"/>
      <c r="J656" s="398"/>
      <c r="K656" s="398"/>
      <c r="L656" s="398"/>
      <c r="M656" s="398"/>
      <c r="N656" s="398"/>
      <c r="O656" s="398"/>
      <c r="P656" s="398"/>
      <c r="Q656" s="398"/>
      <c r="R656" s="398"/>
      <c r="S656" s="398"/>
      <c r="T656" s="332"/>
      <c r="U656" s="332"/>
      <c r="W656" s="332"/>
      <c r="X656" s="332"/>
      <c r="Y656" s="244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  <c r="AO656" s="244"/>
      <c r="AP656" s="244"/>
      <c r="AQ656" s="244"/>
      <c r="AR656" s="244"/>
      <c r="AS656" s="244"/>
      <c r="AT656" s="244"/>
      <c r="AU656" s="244"/>
      <c r="AV656" s="244"/>
      <c r="AW656" s="244"/>
      <c r="AX656" s="244"/>
      <c r="AY656" s="244"/>
      <c r="AZ656" s="244"/>
      <c r="BA656" s="244"/>
      <c r="BB656" s="244"/>
      <c r="BC656" s="244"/>
      <c r="BD656" s="244"/>
      <c r="BE656" s="244"/>
      <c r="BF656" s="244"/>
      <c r="BG656" s="244"/>
      <c r="BH656" s="244"/>
      <c r="BI656" s="244"/>
      <c r="BJ656" s="244"/>
    </row>
    <row r="657" spans="2:62">
      <c r="B657" s="7"/>
      <c r="C657" s="332"/>
      <c r="D657" s="332"/>
      <c r="E657" s="332"/>
      <c r="F657" s="332"/>
      <c r="G657" s="332"/>
      <c r="H657" s="332"/>
      <c r="I657" s="332"/>
      <c r="J657" s="396"/>
      <c r="K657" s="396"/>
      <c r="L657" s="396"/>
      <c r="M657" s="396"/>
      <c r="N657" s="396"/>
      <c r="O657" s="396"/>
      <c r="P657" s="396"/>
      <c r="Q657" s="396"/>
      <c r="R657" s="396"/>
      <c r="S657" s="396"/>
      <c r="T657" s="332"/>
      <c r="U657" s="332"/>
      <c r="W657" s="332"/>
      <c r="X657" s="332"/>
      <c r="Y657" s="244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  <c r="AO657" s="244"/>
      <c r="AP657" s="244"/>
      <c r="AQ657" s="244"/>
      <c r="AR657" s="244"/>
      <c r="AS657" s="244"/>
      <c r="AT657" s="244"/>
      <c r="AU657" s="244"/>
      <c r="AV657" s="244"/>
      <c r="AW657" s="244"/>
      <c r="AX657" s="244"/>
      <c r="AY657" s="244"/>
      <c r="AZ657" s="244"/>
      <c r="BA657" s="244"/>
      <c r="BB657" s="244"/>
      <c r="BC657" s="244"/>
      <c r="BD657" s="244"/>
      <c r="BE657" s="244"/>
      <c r="BF657" s="244"/>
      <c r="BG657" s="244"/>
      <c r="BH657" s="244"/>
      <c r="BI657" s="244"/>
      <c r="BJ657" s="244"/>
    </row>
    <row r="658" spans="2:62">
      <c r="B658" s="7"/>
      <c r="C658" s="332"/>
      <c r="D658" s="332"/>
      <c r="E658" s="332"/>
      <c r="F658" s="332"/>
      <c r="G658" s="332"/>
      <c r="H658" s="332"/>
      <c r="I658" s="332"/>
      <c r="J658" s="332"/>
      <c r="K658" s="396"/>
      <c r="L658" s="396"/>
      <c r="M658" s="332"/>
      <c r="N658" s="396"/>
      <c r="O658" s="396"/>
      <c r="P658" s="332"/>
      <c r="Q658" s="396"/>
      <c r="R658" s="396"/>
      <c r="S658" s="332"/>
      <c r="T658" s="332"/>
      <c r="U658" s="332"/>
      <c r="W658" s="332"/>
      <c r="X658" s="332"/>
      <c r="Y658" s="244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  <c r="AO658" s="244"/>
      <c r="AP658" s="244"/>
      <c r="AQ658" s="244"/>
      <c r="AR658" s="244"/>
      <c r="AS658" s="244"/>
      <c r="AT658" s="244"/>
      <c r="AU658" s="244"/>
      <c r="AV658" s="244"/>
      <c r="AW658" s="244"/>
      <c r="AX658" s="244"/>
      <c r="AY658" s="244"/>
      <c r="AZ658" s="244"/>
      <c r="BA658" s="244"/>
      <c r="BB658" s="244"/>
      <c r="BC658" s="244"/>
      <c r="BD658" s="244"/>
      <c r="BE658" s="244"/>
      <c r="BF658" s="244"/>
      <c r="BG658" s="244"/>
      <c r="BH658" s="244"/>
      <c r="BI658" s="244"/>
      <c r="BJ658" s="244"/>
    </row>
    <row r="659" spans="2:62">
      <c r="B659" s="7"/>
      <c r="C659" s="332"/>
      <c r="D659" s="332"/>
      <c r="E659" s="332"/>
      <c r="F659" s="332"/>
      <c r="G659" s="332"/>
      <c r="H659" s="332"/>
      <c r="I659" s="332"/>
      <c r="J659" s="332"/>
      <c r="K659" s="396"/>
      <c r="L659" s="396"/>
      <c r="M659" s="332"/>
      <c r="N659" s="396"/>
      <c r="O659" s="396"/>
      <c r="P659" s="332"/>
      <c r="Q659" s="396"/>
      <c r="R659" s="396"/>
      <c r="S659" s="332"/>
      <c r="T659" s="332"/>
      <c r="U659" s="332"/>
      <c r="W659" s="332"/>
      <c r="X659" s="332"/>
      <c r="Y659" s="244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  <c r="AO659" s="244"/>
      <c r="AP659" s="244"/>
      <c r="AQ659" s="244"/>
      <c r="AR659" s="244"/>
      <c r="AS659" s="244"/>
      <c r="AT659" s="244"/>
      <c r="AU659" s="244"/>
      <c r="AV659" s="244"/>
      <c r="AW659" s="244"/>
      <c r="AX659" s="244"/>
      <c r="AY659" s="244"/>
      <c r="AZ659" s="244"/>
      <c r="BA659" s="244"/>
      <c r="BB659" s="244"/>
      <c r="BC659" s="244"/>
      <c r="BD659" s="244"/>
      <c r="BE659" s="244"/>
      <c r="BF659" s="244"/>
      <c r="BG659" s="244"/>
      <c r="BH659" s="244"/>
      <c r="BI659" s="244"/>
      <c r="BJ659" s="244"/>
    </row>
    <row r="660" spans="2:62">
      <c r="B660" s="7"/>
      <c r="C660" s="332"/>
      <c r="D660" s="332"/>
      <c r="E660" s="332"/>
      <c r="F660" s="332"/>
      <c r="G660" s="332"/>
      <c r="H660" s="332"/>
      <c r="I660" s="332"/>
      <c r="J660" s="332"/>
      <c r="K660" s="396"/>
      <c r="L660" s="396"/>
      <c r="M660" s="332"/>
      <c r="N660" s="396"/>
      <c r="O660" s="396"/>
      <c r="P660" s="332"/>
      <c r="Q660" s="396"/>
      <c r="R660" s="396"/>
      <c r="S660" s="332"/>
      <c r="T660" s="332"/>
      <c r="U660" s="332"/>
      <c r="W660" s="332"/>
      <c r="X660" s="332"/>
      <c r="Y660" s="244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  <c r="AO660" s="244"/>
      <c r="AP660" s="244"/>
      <c r="AQ660" s="244"/>
      <c r="AR660" s="244"/>
      <c r="AS660" s="244"/>
      <c r="AT660" s="244"/>
      <c r="AU660" s="244"/>
      <c r="AV660" s="244"/>
      <c r="AW660" s="244"/>
      <c r="AX660" s="244"/>
      <c r="AY660" s="244"/>
      <c r="AZ660" s="244"/>
      <c r="BA660" s="244"/>
      <c r="BB660" s="244"/>
      <c r="BC660" s="244"/>
      <c r="BD660" s="244"/>
      <c r="BE660" s="244"/>
      <c r="BF660" s="244"/>
      <c r="BG660" s="244"/>
      <c r="BH660" s="244"/>
      <c r="BI660" s="244"/>
      <c r="BJ660" s="244"/>
    </row>
    <row r="661" spans="2:62">
      <c r="B661" s="7"/>
      <c r="C661" s="332"/>
      <c r="D661" s="332"/>
      <c r="E661" s="332"/>
      <c r="F661" s="332"/>
      <c r="G661" s="332"/>
      <c r="H661" s="332"/>
      <c r="I661" s="332"/>
      <c r="J661" s="332"/>
      <c r="K661" s="396"/>
      <c r="L661" s="396"/>
      <c r="M661" s="332"/>
      <c r="N661" s="396"/>
      <c r="O661" s="396"/>
      <c r="P661" s="332"/>
      <c r="Q661" s="396"/>
      <c r="R661" s="396"/>
      <c r="S661" s="332"/>
      <c r="T661" s="332"/>
      <c r="U661" s="332"/>
      <c r="W661" s="332"/>
      <c r="X661" s="332"/>
      <c r="Y661" s="244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  <c r="AO661" s="244"/>
      <c r="AP661" s="244"/>
      <c r="AQ661" s="244"/>
      <c r="AR661" s="244"/>
      <c r="AS661" s="244"/>
      <c r="AT661" s="244"/>
      <c r="AU661" s="244"/>
      <c r="AV661" s="244"/>
      <c r="AW661" s="244"/>
      <c r="AX661" s="244"/>
      <c r="AY661" s="244"/>
      <c r="AZ661" s="244"/>
      <c r="BA661" s="244"/>
      <c r="BB661" s="244"/>
      <c r="BC661" s="244"/>
      <c r="BD661" s="244"/>
      <c r="BE661" s="244"/>
      <c r="BF661" s="244"/>
      <c r="BG661" s="244"/>
      <c r="BH661" s="244"/>
      <c r="BI661" s="244"/>
      <c r="BJ661" s="244"/>
    </row>
    <row r="662" spans="2:62">
      <c r="B662" s="7"/>
      <c r="C662" s="332"/>
      <c r="D662" s="332"/>
      <c r="E662" s="332"/>
      <c r="F662" s="332"/>
      <c r="G662" s="332"/>
      <c r="H662" s="332"/>
      <c r="I662" s="332"/>
      <c r="J662" s="332"/>
      <c r="K662" s="396"/>
      <c r="L662" s="396"/>
      <c r="M662" s="332"/>
      <c r="N662" s="396"/>
      <c r="O662" s="396"/>
      <c r="P662" s="332"/>
      <c r="Q662" s="396"/>
      <c r="R662" s="396"/>
      <c r="S662" s="332"/>
      <c r="T662" s="332"/>
      <c r="U662" s="332"/>
      <c r="W662" s="332"/>
      <c r="X662" s="332"/>
      <c r="Y662" s="244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  <c r="AO662" s="244"/>
      <c r="AP662" s="244"/>
      <c r="AQ662" s="244"/>
      <c r="AR662" s="244"/>
      <c r="AS662" s="244"/>
      <c r="AT662" s="244"/>
      <c r="AU662" s="244"/>
      <c r="AV662" s="244"/>
      <c r="AW662" s="244"/>
      <c r="AX662" s="244"/>
      <c r="AY662" s="244"/>
      <c r="AZ662" s="244"/>
      <c r="BA662" s="244"/>
      <c r="BB662" s="244"/>
      <c r="BC662" s="244"/>
      <c r="BD662" s="244"/>
      <c r="BE662" s="244"/>
      <c r="BF662" s="244"/>
      <c r="BG662" s="244"/>
      <c r="BH662" s="244"/>
      <c r="BI662" s="244"/>
      <c r="BJ662" s="244"/>
    </row>
    <row r="663" spans="2:62">
      <c r="B663" s="7"/>
      <c r="C663" s="332"/>
      <c r="D663" s="332"/>
      <c r="E663" s="332"/>
      <c r="F663" s="332"/>
      <c r="G663" s="332"/>
      <c r="H663" s="332"/>
      <c r="I663" s="332"/>
      <c r="J663" s="332"/>
      <c r="K663" s="396"/>
      <c r="L663" s="398"/>
      <c r="M663" s="332"/>
      <c r="N663" s="396"/>
      <c r="O663" s="396"/>
      <c r="P663" s="332"/>
      <c r="Q663" s="396"/>
      <c r="R663" s="398"/>
      <c r="S663" s="332"/>
      <c r="T663" s="332"/>
      <c r="U663" s="332"/>
      <c r="W663" s="332"/>
      <c r="X663" s="332"/>
      <c r="Y663" s="244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  <c r="AO663" s="244"/>
      <c r="AP663" s="244"/>
      <c r="AQ663" s="244"/>
      <c r="AR663" s="244"/>
      <c r="AS663" s="244"/>
      <c r="AT663" s="244"/>
      <c r="AU663" s="244"/>
      <c r="AV663" s="244"/>
      <c r="AW663" s="244"/>
      <c r="AX663" s="244"/>
      <c r="AY663" s="244"/>
      <c r="AZ663" s="244"/>
      <c r="BA663" s="244"/>
      <c r="BB663" s="244"/>
      <c r="BC663" s="244"/>
      <c r="BD663" s="244"/>
      <c r="BE663" s="244"/>
      <c r="BF663" s="244"/>
      <c r="BG663" s="244"/>
      <c r="BH663" s="244"/>
      <c r="BI663" s="244"/>
      <c r="BJ663" s="244"/>
    </row>
    <row r="664" spans="2:62">
      <c r="B664" s="7"/>
      <c r="C664" s="332"/>
      <c r="D664" s="332"/>
      <c r="E664" s="332"/>
      <c r="F664" s="332"/>
      <c r="G664" s="332"/>
      <c r="H664" s="332"/>
      <c r="I664" s="332"/>
      <c r="J664" s="332"/>
      <c r="K664" s="396"/>
      <c r="L664" s="396"/>
      <c r="M664" s="332"/>
      <c r="N664" s="396"/>
      <c r="O664" s="396"/>
      <c r="P664" s="332"/>
      <c r="Q664" s="396"/>
      <c r="R664" s="396"/>
      <c r="S664" s="332"/>
      <c r="T664" s="332"/>
      <c r="U664" s="332"/>
      <c r="W664" s="332"/>
      <c r="X664" s="332"/>
      <c r="Y664" s="244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  <c r="AO664" s="244"/>
      <c r="AP664" s="244"/>
      <c r="AQ664" s="244"/>
      <c r="AR664" s="244"/>
      <c r="AS664" s="244"/>
      <c r="AT664" s="244"/>
      <c r="AU664" s="244"/>
      <c r="AV664" s="244"/>
      <c r="AW664" s="244"/>
      <c r="AX664" s="244"/>
      <c r="AY664" s="244"/>
      <c r="AZ664" s="244"/>
      <c r="BA664" s="244"/>
      <c r="BB664" s="244"/>
      <c r="BC664" s="244"/>
      <c r="BD664" s="244"/>
      <c r="BE664" s="244"/>
      <c r="BF664" s="244"/>
      <c r="BG664" s="244"/>
      <c r="BH664" s="244"/>
      <c r="BI664" s="244"/>
      <c r="BJ664" s="244"/>
    </row>
    <row r="665" spans="2:62">
      <c r="B665" s="7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98"/>
      <c r="O665" s="398"/>
      <c r="P665" s="332"/>
      <c r="Q665" s="398"/>
      <c r="R665" s="332"/>
      <c r="S665" s="332"/>
      <c r="T665" s="332"/>
      <c r="U665" s="332"/>
      <c r="W665" s="332"/>
      <c r="X665" s="332"/>
      <c r="Y665" s="244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  <c r="AO665" s="244"/>
      <c r="AP665" s="244"/>
      <c r="AQ665" s="244"/>
      <c r="AR665" s="244"/>
      <c r="AS665" s="244"/>
      <c r="AT665" s="244"/>
      <c r="AU665" s="244"/>
      <c r="AV665" s="244"/>
      <c r="AW665" s="244"/>
      <c r="AX665" s="244"/>
      <c r="AY665" s="244"/>
      <c r="AZ665" s="244"/>
      <c r="BA665" s="244"/>
      <c r="BB665" s="244"/>
      <c r="BC665" s="244"/>
      <c r="BD665" s="244"/>
      <c r="BE665" s="244"/>
      <c r="BF665" s="244"/>
      <c r="BG665" s="244"/>
      <c r="BH665" s="244"/>
      <c r="BI665" s="244"/>
      <c r="BJ665" s="244"/>
    </row>
    <row r="666" spans="2:62">
      <c r="B666" s="7"/>
      <c r="C666" s="332"/>
      <c r="D666" s="332"/>
      <c r="E666" s="332"/>
      <c r="F666" s="332"/>
      <c r="G666" s="332"/>
      <c r="H666" s="332"/>
      <c r="I666" s="332"/>
      <c r="J666" s="332"/>
      <c r="K666" s="398"/>
      <c r="L666" s="398"/>
      <c r="M666" s="332"/>
      <c r="N666" s="396"/>
      <c r="O666" s="396"/>
      <c r="P666" s="332"/>
      <c r="Q666" s="396"/>
      <c r="R666" s="398"/>
      <c r="S666" s="332"/>
      <c r="T666" s="332"/>
      <c r="U666" s="332"/>
      <c r="W666" s="332"/>
      <c r="X666" s="332"/>
      <c r="Y666" s="244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  <c r="AO666" s="244"/>
      <c r="AP666" s="244"/>
      <c r="AQ666" s="244"/>
      <c r="AR666" s="244"/>
      <c r="AS666" s="244"/>
      <c r="AT666" s="244"/>
      <c r="AU666" s="244"/>
      <c r="AV666" s="244"/>
      <c r="AW666" s="244"/>
      <c r="AX666" s="244"/>
      <c r="AY666" s="244"/>
      <c r="AZ666" s="244"/>
      <c r="BA666" s="244"/>
      <c r="BB666" s="244"/>
      <c r="BC666" s="244"/>
      <c r="BD666" s="244"/>
      <c r="BE666" s="244"/>
      <c r="BF666" s="244"/>
      <c r="BG666" s="244"/>
      <c r="BH666" s="244"/>
      <c r="BI666" s="244"/>
      <c r="BJ666" s="244"/>
    </row>
    <row r="667" spans="2:62">
      <c r="B667" s="7"/>
      <c r="C667" s="332"/>
      <c r="D667" s="332"/>
      <c r="E667" s="332"/>
      <c r="F667" s="332"/>
      <c r="G667" s="332"/>
      <c r="H667" s="332"/>
      <c r="I667" s="332"/>
      <c r="J667" s="332"/>
      <c r="K667" s="396"/>
      <c r="L667" s="396"/>
      <c r="M667" s="332"/>
      <c r="N667" s="396"/>
      <c r="O667" s="396"/>
      <c r="P667" s="332"/>
      <c r="Q667" s="396"/>
      <c r="R667" s="396"/>
      <c r="S667" s="332"/>
      <c r="T667" s="332"/>
      <c r="U667" s="332"/>
      <c r="W667" s="332"/>
      <c r="X667" s="332"/>
      <c r="Y667" s="244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  <c r="AO667" s="244"/>
      <c r="AP667" s="244"/>
      <c r="AQ667" s="244"/>
      <c r="AR667" s="244"/>
      <c r="AS667" s="244"/>
      <c r="AT667" s="244"/>
      <c r="AU667" s="244"/>
      <c r="AV667" s="244"/>
      <c r="AW667" s="244"/>
      <c r="AX667" s="244"/>
      <c r="AY667" s="244"/>
      <c r="AZ667" s="244"/>
      <c r="BA667" s="244"/>
      <c r="BB667" s="244"/>
      <c r="BC667" s="244"/>
      <c r="BD667" s="244"/>
      <c r="BE667" s="244"/>
      <c r="BF667" s="244"/>
      <c r="BG667" s="244"/>
      <c r="BH667" s="244"/>
      <c r="BI667" s="244"/>
      <c r="BJ667" s="244"/>
    </row>
    <row r="668" spans="2:62">
      <c r="B668" s="7"/>
      <c r="C668" s="332"/>
      <c r="D668" s="332"/>
      <c r="E668" s="332"/>
      <c r="F668" s="332"/>
      <c r="G668" s="332"/>
      <c r="H668" s="332"/>
      <c r="I668" s="332"/>
      <c r="J668" s="332"/>
      <c r="K668" s="396"/>
      <c r="L668" s="396"/>
      <c r="M668" s="332"/>
      <c r="N668" s="396"/>
      <c r="O668" s="396"/>
      <c r="P668" s="332"/>
      <c r="Q668" s="396"/>
      <c r="R668" s="396"/>
      <c r="S668" s="332"/>
      <c r="T668" s="332"/>
      <c r="U668" s="332"/>
      <c r="W668" s="332"/>
      <c r="X668" s="332"/>
      <c r="Y668" s="244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  <c r="AO668" s="244"/>
      <c r="AP668" s="244"/>
      <c r="AQ668" s="244"/>
      <c r="AR668" s="244"/>
      <c r="AS668" s="244"/>
      <c r="AT668" s="244"/>
      <c r="AU668" s="244"/>
      <c r="AV668" s="244"/>
      <c r="AW668" s="244"/>
      <c r="AX668" s="244"/>
      <c r="AY668" s="244"/>
      <c r="AZ668" s="244"/>
      <c r="BA668" s="244"/>
      <c r="BB668" s="244"/>
      <c r="BC668" s="244"/>
      <c r="BD668" s="244"/>
      <c r="BE668" s="244"/>
      <c r="BF668" s="244"/>
      <c r="BG668" s="244"/>
      <c r="BH668" s="244"/>
      <c r="BI668" s="244"/>
      <c r="BJ668" s="244"/>
    </row>
    <row r="669" spans="2:62">
      <c r="B669" s="7"/>
      <c r="C669" s="332"/>
      <c r="D669" s="332"/>
      <c r="E669" s="332"/>
      <c r="F669" s="332"/>
      <c r="G669" s="332"/>
      <c r="H669" s="332"/>
      <c r="I669" s="332"/>
      <c r="J669" s="332"/>
      <c r="K669" s="396"/>
      <c r="L669" s="396"/>
      <c r="M669" s="332"/>
      <c r="N669" s="396"/>
      <c r="O669" s="396"/>
      <c r="P669" s="332"/>
      <c r="Q669" s="396"/>
      <c r="R669" s="396"/>
      <c r="S669" s="332"/>
      <c r="T669" s="332"/>
      <c r="U669" s="332"/>
      <c r="W669" s="332"/>
      <c r="X669" s="332"/>
      <c r="Y669" s="244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  <c r="AO669" s="244"/>
      <c r="AP669" s="244"/>
      <c r="AQ669" s="244"/>
      <c r="AR669" s="244"/>
      <c r="AS669" s="244"/>
      <c r="AT669" s="244"/>
      <c r="AU669" s="244"/>
      <c r="AV669" s="244"/>
      <c r="AW669" s="244"/>
      <c r="AX669" s="244"/>
      <c r="AY669" s="244"/>
      <c r="AZ669" s="244"/>
      <c r="BA669" s="244"/>
      <c r="BB669" s="244"/>
      <c r="BC669" s="244"/>
      <c r="BD669" s="244"/>
      <c r="BE669" s="244"/>
      <c r="BF669" s="244"/>
      <c r="BG669" s="244"/>
      <c r="BH669" s="244"/>
      <c r="BI669" s="244"/>
      <c r="BJ669" s="244"/>
    </row>
    <row r="670" spans="2:62">
      <c r="B670" s="7"/>
      <c r="C670" s="332"/>
      <c r="D670" s="332"/>
      <c r="E670" s="332"/>
      <c r="F670" s="332"/>
      <c r="G670" s="332"/>
      <c r="H670" s="332"/>
      <c r="I670" s="332"/>
      <c r="J670" s="332"/>
      <c r="K670" s="396"/>
      <c r="L670" s="396"/>
      <c r="M670" s="332"/>
      <c r="N670" s="396"/>
      <c r="O670" s="396"/>
      <c r="P670" s="332"/>
      <c r="Q670" s="396"/>
      <c r="R670" s="396"/>
      <c r="S670" s="332"/>
      <c r="T670" s="332"/>
      <c r="U670" s="332"/>
      <c r="W670" s="332"/>
      <c r="X670" s="332"/>
      <c r="Y670" s="244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  <c r="AO670" s="244"/>
      <c r="AP670" s="244"/>
      <c r="AQ670" s="244"/>
      <c r="AR670" s="244"/>
      <c r="AS670" s="244"/>
      <c r="AT670" s="244"/>
      <c r="AU670" s="244"/>
      <c r="AV670" s="244"/>
      <c r="AW670" s="244"/>
      <c r="AX670" s="244"/>
      <c r="AY670" s="244"/>
      <c r="AZ670" s="244"/>
      <c r="BA670" s="244"/>
      <c r="BB670" s="244"/>
      <c r="BC670" s="244"/>
      <c r="BD670" s="244"/>
      <c r="BE670" s="244"/>
      <c r="BF670" s="244"/>
      <c r="BG670" s="244"/>
      <c r="BH670" s="244"/>
      <c r="BI670" s="244"/>
      <c r="BJ670" s="244"/>
    </row>
    <row r="671" spans="2:62">
      <c r="B671" s="7"/>
      <c r="C671" s="332"/>
      <c r="D671" s="332"/>
      <c r="E671" s="332"/>
      <c r="F671" s="332"/>
      <c r="G671" s="332"/>
      <c r="H671" s="332"/>
      <c r="I671" s="332"/>
      <c r="J671" s="332"/>
      <c r="K671" s="396"/>
      <c r="L671" s="396"/>
      <c r="M671" s="332"/>
      <c r="N671" s="396"/>
      <c r="O671" s="396"/>
      <c r="P671" s="332"/>
      <c r="Q671" s="396"/>
      <c r="R671" s="396"/>
      <c r="S671" s="332"/>
      <c r="T671" s="332"/>
      <c r="U671" s="332"/>
      <c r="W671" s="332"/>
      <c r="X671" s="332"/>
      <c r="Y671" s="244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  <c r="AO671" s="244"/>
      <c r="AP671" s="244"/>
      <c r="AQ671" s="244"/>
      <c r="AR671" s="244"/>
      <c r="AS671" s="244"/>
      <c r="AT671" s="244"/>
      <c r="AU671" s="244"/>
      <c r="AV671" s="244"/>
      <c r="AW671" s="244"/>
      <c r="AX671" s="244"/>
      <c r="AY671" s="244"/>
      <c r="AZ671" s="244"/>
      <c r="BA671" s="244"/>
      <c r="BB671" s="244"/>
      <c r="BC671" s="244"/>
      <c r="BD671" s="244"/>
      <c r="BE671" s="244"/>
      <c r="BF671" s="244"/>
      <c r="BG671" s="244"/>
      <c r="BH671" s="244"/>
      <c r="BI671" s="244"/>
      <c r="BJ671" s="244"/>
    </row>
    <row r="672" spans="2:62">
      <c r="B672" s="7"/>
      <c r="C672" s="332"/>
      <c r="D672" s="332"/>
      <c r="E672" s="332"/>
      <c r="F672" s="332"/>
      <c r="G672" s="332"/>
      <c r="H672" s="332"/>
      <c r="I672" s="332"/>
      <c r="J672" s="332"/>
      <c r="K672" s="396"/>
      <c r="L672" s="396"/>
      <c r="M672" s="332"/>
      <c r="N672" s="396"/>
      <c r="O672" s="396"/>
      <c r="P672" s="332"/>
      <c r="Q672" s="396"/>
      <c r="R672" s="396"/>
      <c r="S672" s="332"/>
      <c r="T672" s="332"/>
      <c r="U672" s="332"/>
      <c r="W672" s="332"/>
      <c r="X672" s="332"/>
      <c r="Y672" s="244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  <c r="AO672" s="244"/>
      <c r="AP672" s="244"/>
      <c r="AQ672" s="244"/>
      <c r="AR672" s="244"/>
      <c r="AS672" s="244"/>
      <c r="AT672" s="244"/>
      <c r="AU672" s="244"/>
      <c r="AV672" s="244"/>
      <c r="AW672" s="244"/>
      <c r="AX672" s="244"/>
      <c r="AY672" s="244"/>
      <c r="AZ672" s="244"/>
      <c r="BA672" s="244"/>
      <c r="BB672" s="244"/>
      <c r="BC672" s="244"/>
      <c r="BD672" s="244"/>
      <c r="BE672" s="244"/>
      <c r="BF672" s="244"/>
      <c r="BG672" s="244"/>
      <c r="BH672" s="244"/>
      <c r="BI672" s="244"/>
      <c r="BJ672" s="244"/>
    </row>
    <row r="673" spans="2:62">
      <c r="B673" s="7"/>
      <c r="C673" s="332"/>
      <c r="D673" s="332"/>
      <c r="E673" s="332"/>
      <c r="F673" s="332"/>
      <c r="G673" s="332"/>
      <c r="H673" s="332"/>
      <c r="I673" s="332"/>
      <c r="J673" s="332"/>
      <c r="K673" s="396"/>
      <c r="L673" s="396"/>
      <c r="M673" s="332"/>
      <c r="N673" s="396"/>
      <c r="O673" s="396"/>
      <c r="P673" s="332"/>
      <c r="Q673" s="396"/>
      <c r="R673" s="396"/>
      <c r="S673" s="332"/>
      <c r="T673" s="332"/>
      <c r="U673" s="332"/>
      <c r="W673" s="332"/>
      <c r="X673" s="332"/>
      <c r="Y673" s="244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  <c r="AO673" s="244"/>
      <c r="AP673" s="244"/>
      <c r="AQ673" s="244"/>
      <c r="AR673" s="244"/>
      <c r="AS673" s="244"/>
      <c r="AT673" s="244"/>
      <c r="AU673" s="244"/>
      <c r="AV673" s="244"/>
      <c r="AW673" s="244"/>
      <c r="AX673" s="244"/>
      <c r="AY673" s="244"/>
      <c r="AZ673" s="244"/>
      <c r="BA673" s="244"/>
      <c r="BB673" s="244"/>
      <c r="BC673" s="244"/>
      <c r="BD673" s="244"/>
      <c r="BE673" s="244"/>
      <c r="BF673" s="244"/>
      <c r="BG673" s="244"/>
      <c r="BH673" s="244"/>
      <c r="BI673" s="244"/>
      <c r="BJ673" s="244"/>
    </row>
    <row r="674" spans="2:62">
      <c r="B674" s="7"/>
      <c r="C674" s="332"/>
      <c r="D674" s="332"/>
      <c r="E674" s="332"/>
      <c r="F674" s="332"/>
      <c r="G674" s="332"/>
      <c r="H674" s="332"/>
      <c r="I674" s="332"/>
      <c r="J674" s="332"/>
      <c r="K674" s="396"/>
      <c r="L674" s="396"/>
      <c r="M674" s="332"/>
      <c r="N674" s="396"/>
      <c r="O674" s="396"/>
      <c r="P674" s="332"/>
      <c r="Q674" s="396"/>
      <c r="R674" s="396"/>
      <c r="S674" s="332"/>
      <c r="T674" s="332"/>
      <c r="U674" s="332"/>
      <c r="W674" s="332"/>
      <c r="X674" s="332"/>
      <c r="Y674" s="244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  <c r="AO674" s="244"/>
      <c r="AP674" s="244"/>
      <c r="AQ674" s="244"/>
      <c r="AR674" s="244"/>
      <c r="AS674" s="244"/>
      <c r="AT674" s="244"/>
      <c r="AU674" s="244"/>
      <c r="AV674" s="244"/>
      <c r="AW674" s="244"/>
      <c r="AX674" s="244"/>
      <c r="AY674" s="244"/>
      <c r="AZ674" s="244"/>
      <c r="BA674" s="244"/>
      <c r="BB674" s="244"/>
      <c r="BC674" s="244"/>
      <c r="BD674" s="244"/>
      <c r="BE674" s="244"/>
      <c r="BF674" s="244"/>
      <c r="BG674" s="244"/>
      <c r="BH674" s="244"/>
      <c r="BI674" s="244"/>
      <c r="BJ674" s="244"/>
    </row>
    <row r="675" spans="2:62">
      <c r="B675" s="7"/>
      <c r="C675" s="332"/>
      <c r="D675" s="332"/>
      <c r="E675" s="332"/>
      <c r="F675" s="332"/>
      <c r="G675" s="332"/>
      <c r="H675" s="332"/>
      <c r="I675" s="332"/>
      <c r="J675" s="332"/>
      <c r="K675" s="396"/>
      <c r="L675" s="396"/>
      <c r="M675" s="332"/>
      <c r="N675" s="398"/>
      <c r="O675" s="398"/>
      <c r="P675" s="332"/>
      <c r="Q675" s="398"/>
      <c r="R675" s="396"/>
      <c r="S675" s="332"/>
      <c r="T675" s="332"/>
      <c r="U675" s="332"/>
      <c r="W675" s="332"/>
      <c r="X675" s="332"/>
      <c r="Y675" s="244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  <c r="AO675" s="244"/>
      <c r="AP675" s="244"/>
      <c r="AQ675" s="244"/>
      <c r="AR675" s="244"/>
      <c r="AS675" s="244"/>
      <c r="AT675" s="244"/>
      <c r="AU675" s="244"/>
      <c r="AV675" s="244"/>
      <c r="AW675" s="244"/>
      <c r="AX675" s="244"/>
      <c r="AY675" s="244"/>
      <c r="AZ675" s="244"/>
      <c r="BA675" s="244"/>
      <c r="BB675" s="244"/>
      <c r="BC675" s="244"/>
      <c r="BD675" s="244"/>
      <c r="BE675" s="244"/>
      <c r="BF675" s="244"/>
      <c r="BG675" s="244"/>
      <c r="BH675" s="244"/>
      <c r="BI675" s="244"/>
      <c r="BJ675" s="244"/>
    </row>
    <row r="676" spans="2:62">
      <c r="B676" s="7"/>
      <c r="C676" s="332"/>
      <c r="D676" s="332"/>
      <c r="E676" s="332"/>
      <c r="F676" s="332"/>
      <c r="G676" s="332"/>
      <c r="H676" s="332"/>
      <c r="I676" s="332"/>
      <c r="J676" s="332"/>
      <c r="K676" s="398"/>
      <c r="L676" s="398"/>
      <c r="M676" s="332"/>
      <c r="N676" s="396"/>
      <c r="O676" s="396"/>
      <c r="P676" s="332"/>
      <c r="Q676" s="396"/>
      <c r="R676" s="398"/>
      <c r="S676" s="332"/>
      <c r="T676" s="332"/>
      <c r="U676" s="332"/>
      <c r="W676" s="332"/>
      <c r="X676" s="332"/>
      <c r="Y676" s="244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  <c r="AO676" s="244"/>
      <c r="AP676" s="244"/>
      <c r="AQ676" s="244"/>
      <c r="AR676" s="244"/>
      <c r="AS676" s="244"/>
      <c r="AT676" s="244"/>
      <c r="AU676" s="244"/>
      <c r="AV676" s="244"/>
      <c r="AW676" s="244"/>
      <c r="AX676" s="244"/>
      <c r="AY676" s="244"/>
      <c r="AZ676" s="244"/>
      <c r="BA676" s="244"/>
      <c r="BB676" s="244"/>
      <c r="BC676" s="244"/>
      <c r="BD676" s="244"/>
      <c r="BE676" s="244"/>
      <c r="BF676" s="244"/>
      <c r="BG676" s="244"/>
      <c r="BH676" s="244"/>
      <c r="BI676" s="244"/>
      <c r="BJ676" s="244"/>
    </row>
    <row r="677" spans="2:62">
      <c r="B677" s="7"/>
      <c r="C677" s="332"/>
      <c r="D677" s="332"/>
      <c r="E677" s="332"/>
      <c r="F677" s="332"/>
      <c r="G677" s="332"/>
      <c r="H677" s="332"/>
      <c r="I677" s="332"/>
      <c r="J677" s="332"/>
      <c r="K677" s="396"/>
      <c r="L677" s="396"/>
      <c r="M677" s="332"/>
      <c r="N677" s="396"/>
      <c r="O677" s="396"/>
      <c r="P677" s="332"/>
      <c r="Q677" s="396"/>
      <c r="R677" s="396"/>
      <c r="S677" s="332"/>
      <c r="T677" s="332"/>
      <c r="U677" s="332"/>
      <c r="W677" s="332"/>
      <c r="X677" s="332"/>
      <c r="Y677" s="244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  <c r="AO677" s="244"/>
      <c r="AP677" s="244"/>
      <c r="AQ677" s="244"/>
      <c r="AR677" s="244"/>
      <c r="AS677" s="244"/>
      <c r="AT677" s="244"/>
      <c r="AU677" s="244"/>
      <c r="AV677" s="244"/>
      <c r="AW677" s="244"/>
      <c r="AX677" s="244"/>
      <c r="AY677" s="244"/>
      <c r="AZ677" s="244"/>
      <c r="BA677" s="244"/>
      <c r="BB677" s="244"/>
      <c r="BC677" s="244"/>
      <c r="BD677" s="244"/>
      <c r="BE677" s="244"/>
      <c r="BF677" s="244"/>
      <c r="BG677" s="244"/>
      <c r="BH677" s="244"/>
      <c r="BI677" s="244"/>
      <c r="BJ677" s="244"/>
    </row>
    <row r="678" spans="2:62">
      <c r="B678" s="7"/>
      <c r="C678" s="332"/>
      <c r="D678" s="332"/>
      <c r="E678" s="332"/>
      <c r="F678" s="332"/>
      <c r="G678" s="332"/>
      <c r="H678" s="332"/>
      <c r="I678" s="332"/>
      <c r="J678" s="332"/>
      <c r="K678" s="396"/>
      <c r="L678" s="396"/>
      <c r="M678" s="332"/>
      <c r="N678" s="396"/>
      <c r="O678" s="396"/>
      <c r="P678" s="332"/>
      <c r="Q678" s="396"/>
      <c r="R678" s="396"/>
      <c r="S678" s="332"/>
      <c r="T678" s="332"/>
      <c r="U678" s="332"/>
      <c r="W678" s="332"/>
      <c r="X678" s="332"/>
      <c r="Y678" s="244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  <c r="AO678" s="244"/>
      <c r="AP678" s="244"/>
      <c r="AQ678" s="244"/>
      <c r="AR678" s="244"/>
      <c r="AS678" s="244"/>
      <c r="AT678" s="244"/>
      <c r="AU678" s="244"/>
      <c r="AV678" s="244"/>
      <c r="AW678" s="244"/>
      <c r="AX678" s="244"/>
      <c r="AY678" s="244"/>
      <c r="AZ678" s="244"/>
      <c r="BA678" s="244"/>
      <c r="BB678" s="244"/>
      <c r="BC678" s="244"/>
      <c r="BD678" s="244"/>
      <c r="BE678" s="244"/>
      <c r="BF678" s="244"/>
      <c r="BG678" s="244"/>
      <c r="BH678" s="244"/>
      <c r="BI678" s="244"/>
      <c r="BJ678" s="244"/>
    </row>
    <row r="679" spans="2:62">
      <c r="B679" s="7"/>
      <c r="C679" s="332"/>
      <c r="D679" s="332"/>
      <c r="E679" s="332"/>
      <c r="F679" s="332"/>
      <c r="G679" s="332"/>
      <c r="H679" s="332"/>
      <c r="I679" s="332"/>
      <c r="J679" s="332"/>
      <c r="K679" s="396"/>
      <c r="L679" s="396"/>
      <c r="M679" s="332"/>
      <c r="N679" s="396"/>
      <c r="O679" s="396"/>
      <c r="P679" s="332"/>
      <c r="Q679" s="396"/>
      <c r="R679" s="396"/>
      <c r="S679" s="332"/>
      <c r="T679" s="332"/>
      <c r="U679" s="332"/>
      <c r="W679" s="332"/>
      <c r="X679" s="332"/>
      <c r="Y679" s="244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  <c r="AO679" s="244"/>
      <c r="AP679" s="244"/>
      <c r="AQ679" s="244"/>
      <c r="AR679" s="244"/>
      <c r="AS679" s="244"/>
      <c r="AT679" s="244"/>
      <c r="AU679" s="244"/>
      <c r="AV679" s="244"/>
      <c r="AW679" s="244"/>
      <c r="AX679" s="244"/>
      <c r="AY679" s="244"/>
      <c r="AZ679" s="244"/>
      <c r="BA679" s="244"/>
      <c r="BB679" s="244"/>
      <c r="BC679" s="244"/>
      <c r="BD679" s="244"/>
      <c r="BE679" s="244"/>
      <c r="BF679" s="244"/>
      <c r="BG679" s="244"/>
      <c r="BH679" s="244"/>
      <c r="BI679" s="244"/>
      <c r="BJ679" s="244"/>
    </row>
    <row r="680" spans="2:62">
      <c r="B680" s="7"/>
      <c r="C680" s="332"/>
      <c r="D680" s="332"/>
      <c r="E680" s="332"/>
      <c r="F680" s="332"/>
      <c r="G680" s="332"/>
      <c r="H680" s="332"/>
      <c r="I680" s="332"/>
      <c r="J680" s="332"/>
      <c r="K680" s="396"/>
      <c r="L680" s="396"/>
      <c r="M680" s="332"/>
      <c r="N680" s="396"/>
      <c r="O680" s="396"/>
      <c r="P680" s="332"/>
      <c r="Q680" s="396"/>
      <c r="R680" s="396"/>
      <c r="S680" s="332"/>
      <c r="T680" s="332"/>
      <c r="U680" s="332"/>
      <c r="W680" s="332"/>
      <c r="X680" s="332"/>
      <c r="Y680" s="244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  <c r="AO680" s="244"/>
      <c r="AP680" s="244"/>
      <c r="AQ680" s="244"/>
      <c r="AR680" s="244"/>
      <c r="AS680" s="244"/>
      <c r="AT680" s="244"/>
      <c r="AU680" s="244"/>
      <c r="AV680" s="244"/>
      <c r="AW680" s="244"/>
      <c r="AX680" s="244"/>
      <c r="AY680" s="244"/>
      <c r="AZ680" s="244"/>
      <c r="BA680" s="244"/>
      <c r="BB680" s="244"/>
      <c r="BC680" s="244"/>
      <c r="BD680" s="244"/>
      <c r="BE680" s="244"/>
      <c r="BF680" s="244"/>
      <c r="BG680" s="244"/>
      <c r="BH680" s="244"/>
      <c r="BI680" s="244"/>
      <c r="BJ680" s="244"/>
    </row>
    <row r="681" spans="2:62">
      <c r="B681" s="7"/>
      <c r="C681" s="332"/>
      <c r="D681" s="332"/>
      <c r="E681" s="332"/>
      <c r="F681" s="332"/>
      <c r="G681" s="332"/>
      <c r="H681" s="332"/>
      <c r="I681" s="332"/>
      <c r="J681" s="332"/>
      <c r="K681" s="396"/>
      <c r="L681" s="396"/>
      <c r="M681" s="332"/>
      <c r="N681" s="396"/>
      <c r="O681" s="396"/>
      <c r="P681" s="332"/>
      <c r="Q681" s="396"/>
      <c r="R681" s="396"/>
      <c r="S681" s="332"/>
      <c r="T681" s="332"/>
      <c r="U681" s="332"/>
      <c r="W681" s="332"/>
      <c r="X681" s="332"/>
      <c r="Y681" s="244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  <c r="AO681" s="244"/>
      <c r="AP681" s="244"/>
      <c r="AQ681" s="244"/>
      <c r="AR681" s="244"/>
      <c r="AS681" s="244"/>
      <c r="AT681" s="244"/>
      <c r="AU681" s="244"/>
      <c r="AV681" s="244"/>
      <c r="AW681" s="244"/>
      <c r="AX681" s="244"/>
      <c r="AY681" s="244"/>
      <c r="AZ681" s="244"/>
      <c r="BA681" s="244"/>
      <c r="BB681" s="244"/>
      <c r="BC681" s="244"/>
      <c r="BD681" s="244"/>
      <c r="BE681" s="244"/>
      <c r="BF681" s="244"/>
      <c r="BG681" s="244"/>
      <c r="BH681" s="244"/>
      <c r="BI681" s="244"/>
      <c r="BJ681" s="244"/>
    </row>
    <row r="682" spans="2:62">
      <c r="B682" s="7"/>
      <c r="C682" s="332"/>
      <c r="D682" s="332"/>
      <c r="E682" s="332"/>
      <c r="F682" s="332"/>
      <c r="G682" s="332"/>
      <c r="H682" s="332"/>
      <c r="I682" s="332"/>
      <c r="J682" s="332"/>
      <c r="K682" s="396"/>
      <c r="L682" s="396"/>
      <c r="M682" s="332"/>
      <c r="N682" s="396"/>
      <c r="O682" s="396"/>
      <c r="P682" s="332"/>
      <c r="Q682" s="396"/>
      <c r="R682" s="396"/>
      <c r="S682" s="332"/>
      <c r="T682" s="332"/>
      <c r="U682" s="332"/>
      <c r="W682" s="332"/>
      <c r="X682" s="332"/>
      <c r="Y682" s="244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  <c r="AO682" s="244"/>
      <c r="AP682" s="244"/>
      <c r="AQ682" s="244"/>
      <c r="AR682" s="244"/>
      <c r="AS682" s="244"/>
      <c r="AT682" s="244"/>
      <c r="AU682" s="244"/>
      <c r="AV682" s="244"/>
      <c r="AW682" s="244"/>
      <c r="AX682" s="244"/>
      <c r="AY682" s="244"/>
      <c r="AZ682" s="244"/>
      <c r="BA682" s="244"/>
      <c r="BB682" s="244"/>
      <c r="BC682" s="244"/>
      <c r="BD682" s="244"/>
      <c r="BE682" s="244"/>
      <c r="BF682" s="244"/>
      <c r="BG682" s="244"/>
      <c r="BH682" s="244"/>
      <c r="BI682" s="244"/>
      <c r="BJ682" s="244"/>
    </row>
    <row r="683" spans="2:62">
      <c r="B683" s="7"/>
      <c r="C683" s="332"/>
      <c r="D683" s="332"/>
      <c r="E683" s="332"/>
      <c r="F683" s="332"/>
      <c r="G683" s="332"/>
      <c r="H683" s="332"/>
      <c r="I683" s="332"/>
      <c r="J683" s="332"/>
      <c r="K683" s="396"/>
      <c r="L683" s="396"/>
      <c r="M683" s="332"/>
      <c r="N683" s="396"/>
      <c r="O683" s="396"/>
      <c r="P683" s="332"/>
      <c r="Q683" s="396"/>
      <c r="R683" s="396"/>
      <c r="S683" s="332"/>
      <c r="T683" s="332"/>
      <c r="U683" s="332"/>
      <c r="W683" s="332"/>
      <c r="X683" s="332"/>
      <c r="Y683" s="244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  <c r="AO683" s="244"/>
      <c r="AP683" s="244"/>
      <c r="AQ683" s="244"/>
      <c r="AR683" s="244"/>
      <c r="AS683" s="244"/>
      <c r="AT683" s="244"/>
      <c r="AU683" s="244"/>
      <c r="AV683" s="244"/>
      <c r="AW683" s="244"/>
      <c r="AX683" s="244"/>
      <c r="AY683" s="244"/>
      <c r="AZ683" s="244"/>
      <c r="BA683" s="244"/>
      <c r="BB683" s="244"/>
      <c r="BC683" s="244"/>
      <c r="BD683" s="244"/>
      <c r="BE683" s="244"/>
      <c r="BF683" s="244"/>
      <c r="BG683" s="244"/>
      <c r="BH683" s="244"/>
      <c r="BI683" s="244"/>
      <c r="BJ683" s="244"/>
    </row>
    <row r="684" spans="2:62">
      <c r="B684" s="7"/>
      <c r="C684" s="332"/>
      <c r="D684" s="332"/>
      <c r="E684" s="332"/>
      <c r="F684" s="332"/>
      <c r="G684" s="332"/>
      <c r="H684" s="332"/>
      <c r="I684" s="332"/>
      <c r="J684" s="332"/>
      <c r="K684" s="396"/>
      <c r="L684" s="396"/>
      <c r="M684" s="332"/>
      <c r="N684" s="396"/>
      <c r="O684" s="396"/>
      <c r="P684" s="332"/>
      <c r="Q684" s="396"/>
      <c r="R684" s="396"/>
      <c r="S684" s="332"/>
      <c r="T684" s="332"/>
      <c r="U684" s="332"/>
      <c r="W684" s="332"/>
      <c r="X684" s="332"/>
      <c r="Y684" s="244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  <c r="AO684" s="244"/>
      <c r="AP684" s="244"/>
      <c r="AQ684" s="244"/>
      <c r="AR684" s="244"/>
      <c r="AS684" s="244"/>
      <c r="AT684" s="244"/>
      <c r="AU684" s="244"/>
      <c r="AV684" s="244"/>
      <c r="AW684" s="244"/>
      <c r="AX684" s="244"/>
      <c r="AY684" s="244"/>
      <c r="AZ684" s="244"/>
      <c r="BA684" s="244"/>
      <c r="BB684" s="244"/>
      <c r="BC684" s="244"/>
      <c r="BD684" s="244"/>
      <c r="BE684" s="244"/>
      <c r="BF684" s="244"/>
      <c r="BG684" s="244"/>
      <c r="BH684" s="244"/>
      <c r="BI684" s="244"/>
      <c r="BJ684" s="244"/>
    </row>
    <row r="685" spans="2:62">
      <c r="B685" s="7"/>
      <c r="C685" s="332"/>
      <c r="D685" s="332"/>
      <c r="E685" s="332"/>
      <c r="F685" s="332"/>
      <c r="G685" s="332"/>
      <c r="H685" s="332"/>
      <c r="I685" s="332"/>
      <c r="J685" s="332"/>
      <c r="K685" s="396"/>
      <c r="L685" s="396"/>
      <c r="M685" s="332"/>
      <c r="N685" s="396"/>
      <c r="O685" s="396"/>
      <c r="P685" s="332"/>
      <c r="Q685" s="396"/>
      <c r="R685" s="396"/>
      <c r="S685" s="332"/>
      <c r="T685" s="332"/>
      <c r="U685" s="332"/>
      <c r="W685" s="332"/>
      <c r="X685" s="332"/>
      <c r="Y685" s="244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  <c r="AO685" s="244"/>
      <c r="AP685" s="244"/>
      <c r="AQ685" s="244"/>
      <c r="AR685" s="244"/>
      <c r="AS685" s="244"/>
      <c r="AT685" s="244"/>
      <c r="AU685" s="244"/>
      <c r="AV685" s="244"/>
      <c r="AW685" s="244"/>
      <c r="AX685" s="244"/>
      <c r="AY685" s="244"/>
      <c r="AZ685" s="244"/>
      <c r="BA685" s="244"/>
      <c r="BB685" s="244"/>
      <c r="BC685" s="244"/>
      <c r="BD685" s="244"/>
      <c r="BE685" s="244"/>
      <c r="BF685" s="244"/>
      <c r="BG685" s="244"/>
      <c r="BH685" s="244"/>
      <c r="BI685" s="244"/>
      <c r="BJ685" s="244"/>
    </row>
    <row r="686" spans="2:62">
      <c r="B686" s="7"/>
      <c r="C686" s="332"/>
      <c r="D686" s="332"/>
      <c r="E686" s="332"/>
      <c r="F686" s="332"/>
      <c r="G686" s="332"/>
      <c r="H686" s="332"/>
      <c r="I686" s="332"/>
      <c r="J686" s="332"/>
      <c r="K686" s="396"/>
      <c r="L686" s="396"/>
      <c r="M686" s="332"/>
      <c r="N686" s="396"/>
      <c r="O686" s="396"/>
      <c r="P686" s="332"/>
      <c r="Q686" s="396"/>
      <c r="R686" s="396"/>
      <c r="S686" s="332"/>
      <c r="T686" s="332"/>
      <c r="U686" s="332"/>
      <c r="W686" s="332"/>
      <c r="X686" s="332"/>
      <c r="Y686" s="244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  <c r="AO686" s="244"/>
      <c r="AP686" s="244"/>
      <c r="AQ686" s="244"/>
      <c r="AR686" s="244"/>
      <c r="AS686" s="244"/>
      <c r="AT686" s="244"/>
      <c r="AU686" s="244"/>
      <c r="AV686" s="244"/>
      <c r="AW686" s="244"/>
      <c r="AX686" s="244"/>
      <c r="AY686" s="244"/>
      <c r="AZ686" s="244"/>
      <c r="BA686" s="244"/>
      <c r="BB686" s="244"/>
      <c r="BC686" s="244"/>
      <c r="BD686" s="244"/>
      <c r="BE686" s="244"/>
      <c r="BF686" s="244"/>
      <c r="BG686" s="244"/>
      <c r="BH686" s="244"/>
      <c r="BI686" s="244"/>
      <c r="BJ686" s="244"/>
    </row>
    <row r="687" spans="2:62">
      <c r="B687" s="7"/>
      <c r="C687" s="332"/>
      <c r="D687" s="332"/>
      <c r="E687" s="332"/>
      <c r="F687" s="332"/>
      <c r="G687" s="332"/>
      <c r="H687" s="332"/>
      <c r="I687" s="332"/>
      <c r="J687" s="332"/>
      <c r="K687" s="396"/>
      <c r="L687" s="396"/>
      <c r="M687" s="332"/>
      <c r="N687" s="396"/>
      <c r="O687" s="396"/>
      <c r="P687" s="332"/>
      <c r="Q687" s="396"/>
      <c r="R687" s="396"/>
      <c r="S687" s="332"/>
      <c r="T687" s="332"/>
      <c r="U687" s="332"/>
      <c r="W687" s="332"/>
      <c r="X687" s="332"/>
      <c r="Y687" s="244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  <c r="AO687" s="244"/>
      <c r="AP687" s="244"/>
      <c r="AQ687" s="244"/>
      <c r="AR687" s="244"/>
      <c r="AS687" s="244"/>
      <c r="AT687" s="244"/>
      <c r="AU687" s="244"/>
      <c r="AV687" s="244"/>
      <c r="AW687" s="244"/>
      <c r="AX687" s="244"/>
      <c r="AY687" s="244"/>
      <c r="AZ687" s="244"/>
      <c r="BA687" s="244"/>
      <c r="BB687" s="244"/>
      <c r="BC687" s="244"/>
      <c r="BD687" s="244"/>
      <c r="BE687" s="244"/>
      <c r="BF687" s="244"/>
      <c r="BG687" s="244"/>
      <c r="BH687" s="244"/>
      <c r="BI687" s="244"/>
      <c r="BJ687" s="244"/>
    </row>
    <row r="688" spans="2:62">
      <c r="B688" s="7"/>
      <c r="C688" s="332"/>
      <c r="D688" s="332"/>
      <c r="E688" s="332"/>
      <c r="F688" s="332"/>
      <c r="G688" s="332"/>
      <c r="H688" s="332"/>
      <c r="I688" s="332"/>
      <c r="J688" s="332"/>
      <c r="K688" s="396"/>
      <c r="L688" s="396"/>
      <c r="M688" s="332"/>
      <c r="N688" s="396"/>
      <c r="O688" s="396"/>
      <c r="P688" s="332"/>
      <c r="Q688" s="396"/>
      <c r="R688" s="396"/>
      <c r="S688" s="332"/>
      <c r="T688" s="332"/>
      <c r="U688" s="332"/>
      <c r="W688" s="332"/>
      <c r="X688" s="332"/>
      <c r="Y688" s="244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  <c r="AO688" s="244"/>
      <c r="AP688" s="244"/>
      <c r="AQ688" s="244"/>
      <c r="AR688" s="244"/>
      <c r="AS688" s="244"/>
      <c r="AT688" s="244"/>
      <c r="AU688" s="244"/>
      <c r="AV688" s="244"/>
      <c r="AW688" s="244"/>
      <c r="AX688" s="244"/>
      <c r="AY688" s="244"/>
      <c r="AZ688" s="244"/>
      <c r="BA688" s="244"/>
      <c r="BB688" s="244"/>
      <c r="BC688" s="244"/>
      <c r="BD688" s="244"/>
      <c r="BE688" s="244"/>
      <c r="BF688" s="244"/>
      <c r="BG688" s="244"/>
      <c r="BH688" s="244"/>
      <c r="BI688" s="244"/>
      <c r="BJ688" s="244"/>
    </row>
    <row r="689" spans="2:62">
      <c r="B689" s="7"/>
      <c r="C689" s="332"/>
      <c r="D689" s="332"/>
      <c r="E689" s="332"/>
      <c r="F689" s="332"/>
      <c r="G689" s="332"/>
      <c r="H689" s="332"/>
      <c r="I689" s="332"/>
      <c r="J689" s="332"/>
      <c r="K689" s="396"/>
      <c r="L689" s="396"/>
      <c r="M689" s="332"/>
      <c r="N689" s="396"/>
      <c r="O689" s="396"/>
      <c r="P689" s="332"/>
      <c r="Q689" s="396"/>
      <c r="R689" s="396"/>
      <c r="S689" s="332"/>
      <c r="T689" s="332"/>
      <c r="U689" s="332"/>
      <c r="W689" s="332"/>
      <c r="X689" s="332"/>
      <c r="Y689" s="244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  <c r="AO689" s="244"/>
      <c r="AP689" s="244"/>
      <c r="AQ689" s="244"/>
      <c r="AR689" s="244"/>
      <c r="AS689" s="244"/>
      <c r="AT689" s="244"/>
      <c r="AU689" s="244"/>
      <c r="AV689" s="244"/>
      <c r="AW689" s="244"/>
      <c r="AX689" s="244"/>
      <c r="AY689" s="244"/>
      <c r="AZ689" s="244"/>
      <c r="BA689" s="244"/>
      <c r="BB689" s="244"/>
      <c r="BC689" s="244"/>
      <c r="BD689" s="244"/>
      <c r="BE689" s="244"/>
      <c r="BF689" s="244"/>
      <c r="BG689" s="244"/>
      <c r="BH689" s="244"/>
      <c r="BI689" s="244"/>
      <c r="BJ689" s="244"/>
    </row>
    <row r="690" spans="2:62">
      <c r="B690" s="7"/>
      <c r="C690" s="332"/>
      <c r="D690" s="332"/>
      <c r="E690" s="332"/>
      <c r="F690" s="332"/>
      <c r="G690" s="332"/>
      <c r="H690" s="332"/>
      <c r="I690" s="332"/>
      <c r="J690" s="332"/>
      <c r="K690" s="396"/>
      <c r="L690" s="396"/>
      <c r="M690" s="332"/>
      <c r="N690" s="332"/>
      <c r="O690" s="332"/>
      <c r="P690" s="332"/>
      <c r="Q690" s="332"/>
      <c r="R690" s="396"/>
      <c r="S690" s="332"/>
      <c r="T690" s="332"/>
      <c r="U690" s="332"/>
      <c r="W690" s="332"/>
      <c r="X690" s="332"/>
      <c r="Y690" s="244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  <c r="AO690" s="244"/>
      <c r="AP690" s="244"/>
      <c r="AQ690" s="244"/>
      <c r="AR690" s="244"/>
      <c r="AS690" s="244"/>
      <c r="AT690" s="244"/>
      <c r="AU690" s="244"/>
      <c r="AV690" s="244"/>
      <c r="AW690" s="244"/>
      <c r="AX690" s="244"/>
      <c r="AY690" s="244"/>
      <c r="AZ690" s="244"/>
      <c r="BA690" s="244"/>
      <c r="BB690" s="244"/>
      <c r="BC690" s="244"/>
      <c r="BD690" s="244"/>
      <c r="BE690" s="244"/>
      <c r="BF690" s="244"/>
      <c r="BG690" s="244"/>
      <c r="BH690" s="244"/>
      <c r="BI690" s="244"/>
      <c r="BJ690" s="244"/>
    </row>
    <row r="691" spans="2:62">
      <c r="B691" s="7"/>
      <c r="C691" s="332"/>
      <c r="D691" s="332"/>
      <c r="E691" s="332"/>
      <c r="F691" s="332"/>
      <c r="G691" s="332"/>
      <c r="H691" s="332"/>
      <c r="I691" s="332"/>
      <c r="J691" s="332"/>
      <c r="K691" s="396"/>
      <c r="L691" s="396"/>
      <c r="M691" s="332"/>
      <c r="N691" s="398"/>
      <c r="O691" s="398"/>
      <c r="P691" s="332"/>
      <c r="Q691" s="398"/>
      <c r="R691" s="396"/>
      <c r="S691" s="332"/>
      <c r="T691" s="332"/>
      <c r="U691" s="332"/>
      <c r="W691" s="332"/>
      <c r="X691" s="332"/>
      <c r="Y691" s="244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  <c r="AO691" s="244"/>
      <c r="AP691" s="244"/>
      <c r="AQ691" s="244"/>
      <c r="AR691" s="244"/>
      <c r="AS691" s="244"/>
      <c r="AT691" s="244"/>
      <c r="AU691" s="244"/>
      <c r="AV691" s="244"/>
      <c r="AW691" s="244"/>
      <c r="AX691" s="244"/>
      <c r="AY691" s="244"/>
      <c r="AZ691" s="244"/>
      <c r="BA691" s="244"/>
      <c r="BB691" s="244"/>
      <c r="BC691" s="244"/>
      <c r="BD691" s="244"/>
      <c r="BE691" s="244"/>
      <c r="BF691" s="244"/>
      <c r="BG691" s="244"/>
      <c r="BH691" s="244"/>
      <c r="BI691" s="244"/>
      <c r="BJ691" s="244"/>
    </row>
    <row r="692" spans="2:62">
      <c r="B692" s="7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96"/>
      <c r="O692" s="396"/>
      <c r="P692" s="332"/>
      <c r="Q692" s="396"/>
      <c r="R692" s="332"/>
      <c r="S692" s="332"/>
      <c r="T692" s="332"/>
      <c r="U692" s="332"/>
      <c r="W692" s="332"/>
      <c r="X692" s="332"/>
      <c r="Y692" s="244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  <c r="AO692" s="244"/>
      <c r="AP692" s="244"/>
      <c r="AQ692" s="244"/>
      <c r="AR692" s="244"/>
      <c r="AS692" s="244"/>
      <c r="AT692" s="244"/>
      <c r="AU692" s="244"/>
      <c r="AV692" s="244"/>
      <c r="AW692" s="244"/>
      <c r="AX692" s="244"/>
      <c r="AY692" s="244"/>
      <c r="AZ692" s="244"/>
      <c r="BA692" s="244"/>
      <c r="BB692" s="244"/>
      <c r="BC692" s="244"/>
      <c r="BD692" s="244"/>
      <c r="BE692" s="244"/>
      <c r="BF692" s="244"/>
      <c r="BG692" s="244"/>
      <c r="BH692" s="244"/>
      <c r="BI692" s="244"/>
      <c r="BJ692" s="244"/>
    </row>
    <row r="693" spans="2:62">
      <c r="B693" s="7"/>
      <c r="C693" s="332"/>
      <c r="D693" s="332"/>
      <c r="E693" s="332"/>
      <c r="F693" s="332"/>
      <c r="G693" s="332"/>
      <c r="H693" s="332"/>
      <c r="I693" s="332"/>
      <c r="J693" s="332"/>
      <c r="K693" s="398"/>
      <c r="L693" s="398"/>
      <c r="M693" s="332"/>
      <c r="N693" s="396"/>
      <c r="O693" s="396"/>
      <c r="P693" s="332"/>
      <c r="Q693" s="396"/>
      <c r="R693" s="398"/>
      <c r="S693" s="332"/>
      <c r="T693" s="332"/>
      <c r="U693" s="332"/>
      <c r="W693" s="332"/>
      <c r="X693" s="332"/>
      <c r="Y693" s="244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  <c r="AO693" s="244"/>
      <c r="AP693" s="244"/>
      <c r="AQ693" s="244"/>
      <c r="AR693" s="244"/>
      <c r="AS693" s="244"/>
      <c r="AT693" s="244"/>
      <c r="AU693" s="244"/>
      <c r="AV693" s="244"/>
      <c r="AW693" s="244"/>
      <c r="AX693" s="244"/>
      <c r="AY693" s="244"/>
      <c r="AZ693" s="244"/>
      <c r="BA693" s="244"/>
      <c r="BB693" s="244"/>
      <c r="BC693" s="244"/>
      <c r="BD693" s="244"/>
      <c r="BE693" s="244"/>
      <c r="BF693" s="244"/>
      <c r="BG693" s="244"/>
      <c r="BH693" s="244"/>
      <c r="BI693" s="244"/>
      <c r="BJ693" s="244"/>
    </row>
    <row r="694" spans="2:62">
      <c r="B694" s="7"/>
      <c r="C694" s="332"/>
      <c r="D694" s="332"/>
      <c r="E694" s="332"/>
      <c r="F694" s="332"/>
      <c r="G694" s="332"/>
      <c r="H694" s="332"/>
      <c r="I694" s="332"/>
      <c r="J694" s="332"/>
      <c r="K694" s="396"/>
      <c r="L694" s="396"/>
      <c r="M694" s="332"/>
      <c r="N694" s="396"/>
      <c r="O694" s="396"/>
      <c r="P694" s="332"/>
      <c r="Q694" s="396"/>
      <c r="R694" s="396"/>
      <c r="S694" s="332"/>
      <c r="T694" s="332"/>
      <c r="U694" s="332"/>
      <c r="W694" s="332"/>
      <c r="X694" s="332"/>
      <c r="Y694" s="244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  <c r="AO694" s="244"/>
      <c r="AP694" s="244"/>
      <c r="AQ694" s="244"/>
      <c r="AR694" s="244"/>
      <c r="AS694" s="244"/>
      <c r="AT694" s="244"/>
      <c r="AU694" s="244"/>
      <c r="AV694" s="244"/>
      <c r="AW694" s="244"/>
      <c r="AX694" s="244"/>
      <c r="AY694" s="244"/>
      <c r="AZ694" s="244"/>
      <c r="BA694" s="244"/>
      <c r="BB694" s="244"/>
      <c r="BC694" s="244"/>
      <c r="BD694" s="244"/>
      <c r="BE694" s="244"/>
      <c r="BF694" s="244"/>
      <c r="BG694" s="244"/>
      <c r="BH694" s="244"/>
      <c r="BI694" s="244"/>
      <c r="BJ694" s="244"/>
    </row>
    <row r="695" spans="2:62">
      <c r="B695" s="7"/>
      <c r="C695" s="332"/>
      <c r="D695" s="332"/>
      <c r="E695" s="332"/>
      <c r="F695" s="332"/>
      <c r="G695" s="332"/>
      <c r="H695" s="332"/>
      <c r="I695" s="332"/>
      <c r="J695" s="332"/>
      <c r="K695" s="396"/>
      <c r="L695" s="396"/>
      <c r="M695" s="332"/>
      <c r="N695" s="396"/>
      <c r="O695" s="396"/>
      <c r="P695" s="332"/>
      <c r="Q695" s="396"/>
      <c r="R695" s="396"/>
      <c r="S695" s="332"/>
      <c r="T695" s="332"/>
      <c r="U695" s="332"/>
      <c r="W695" s="332"/>
      <c r="X695" s="332"/>
      <c r="Y695" s="244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  <c r="AO695" s="244"/>
      <c r="AP695" s="244"/>
      <c r="AQ695" s="244"/>
      <c r="AR695" s="244"/>
      <c r="AS695" s="244"/>
      <c r="AT695" s="244"/>
      <c r="AU695" s="244"/>
      <c r="AV695" s="244"/>
      <c r="AW695" s="244"/>
      <c r="AX695" s="244"/>
      <c r="AY695" s="244"/>
      <c r="AZ695" s="244"/>
      <c r="BA695" s="244"/>
      <c r="BB695" s="244"/>
      <c r="BC695" s="244"/>
      <c r="BD695" s="244"/>
      <c r="BE695" s="244"/>
      <c r="BF695" s="244"/>
      <c r="BG695" s="244"/>
      <c r="BH695" s="244"/>
      <c r="BI695" s="244"/>
      <c r="BJ695" s="244"/>
    </row>
    <row r="696" spans="2:62">
      <c r="B696" s="7"/>
      <c r="C696" s="332"/>
      <c r="D696" s="332"/>
      <c r="E696" s="332"/>
      <c r="F696" s="332"/>
      <c r="G696" s="332"/>
      <c r="H696" s="332"/>
      <c r="I696" s="332"/>
      <c r="J696" s="332"/>
      <c r="K696" s="396"/>
      <c r="L696" s="396"/>
      <c r="M696" s="332"/>
      <c r="N696" s="396"/>
      <c r="O696" s="396"/>
      <c r="P696" s="332"/>
      <c r="Q696" s="396"/>
      <c r="R696" s="396"/>
      <c r="S696" s="332"/>
      <c r="T696" s="332"/>
      <c r="U696" s="332"/>
      <c r="W696" s="332"/>
      <c r="X696" s="332"/>
      <c r="Y696" s="244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  <c r="AO696" s="244"/>
      <c r="AP696" s="244"/>
      <c r="AQ696" s="244"/>
      <c r="AR696" s="244"/>
      <c r="AS696" s="244"/>
      <c r="AT696" s="244"/>
      <c r="AU696" s="244"/>
      <c r="AV696" s="244"/>
      <c r="AW696" s="244"/>
      <c r="AX696" s="244"/>
      <c r="AY696" s="244"/>
      <c r="AZ696" s="244"/>
      <c r="BA696" s="244"/>
      <c r="BB696" s="244"/>
      <c r="BC696" s="244"/>
      <c r="BD696" s="244"/>
      <c r="BE696" s="244"/>
      <c r="BF696" s="244"/>
      <c r="BG696" s="244"/>
      <c r="BH696" s="244"/>
      <c r="BI696" s="244"/>
      <c r="BJ696" s="244"/>
    </row>
    <row r="697" spans="2:62">
      <c r="B697" s="7"/>
      <c r="C697" s="332"/>
      <c r="D697" s="332"/>
      <c r="E697" s="332"/>
      <c r="F697" s="332"/>
      <c r="G697" s="332"/>
      <c r="H697" s="332"/>
      <c r="I697" s="332"/>
      <c r="J697" s="332"/>
      <c r="K697" s="396"/>
      <c r="L697" s="396"/>
      <c r="M697" s="332"/>
      <c r="N697" s="396"/>
      <c r="O697" s="396"/>
      <c r="P697" s="332"/>
      <c r="Q697" s="396"/>
      <c r="R697" s="396"/>
      <c r="S697" s="332"/>
      <c r="T697" s="332"/>
      <c r="U697" s="332"/>
      <c r="W697" s="332"/>
      <c r="X697" s="332"/>
      <c r="Y697" s="244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  <c r="AO697" s="244"/>
      <c r="AP697" s="244"/>
      <c r="AQ697" s="244"/>
      <c r="AR697" s="244"/>
      <c r="AS697" s="244"/>
      <c r="AT697" s="244"/>
      <c r="AU697" s="244"/>
      <c r="AV697" s="244"/>
      <c r="AW697" s="244"/>
      <c r="AX697" s="244"/>
      <c r="AY697" s="244"/>
      <c r="AZ697" s="244"/>
      <c r="BA697" s="244"/>
      <c r="BB697" s="244"/>
      <c r="BC697" s="244"/>
      <c r="BD697" s="244"/>
      <c r="BE697" s="244"/>
      <c r="BF697" s="244"/>
      <c r="BG697" s="244"/>
      <c r="BH697" s="244"/>
      <c r="BI697" s="244"/>
      <c r="BJ697" s="244"/>
    </row>
    <row r="698" spans="2:62">
      <c r="B698" s="7"/>
      <c r="C698" s="332"/>
      <c r="D698" s="332"/>
      <c r="E698" s="332"/>
      <c r="F698" s="332"/>
      <c r="G698" s="332"/>
      <c r="H698" s="332"/>
      <c r="I698" s="332"/>
      <c r="J698" s="332"/>
      <c r="K698" s="396"/>
      <c r="L698" s="396"/>
      <c r="M698" s="332"/>
      <c r="N698" s="396"/>
      <c r="O698" s="396"/>
      <c r="P698" s="332"/>
      <c r="Q698" s="396"/>
      <c r="R698" s="396"/>
      <c r="S698" s="332"/>
      <c r="T698" s="332"/>
      <c r="U698" s="332"/>
      <c r="W698" s="332"/>
      <c r="X698" s="332"/>
      <c r="Y698" s="244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  <c r="AO698" s="244"/>
      <c r="AP698" s="244"/>
      <c r="AQ698" s="244"/>
      <c r="AR698" s="244"/>
      <c r="AS698" s="244"/>
      <c r="AT698" s="244"/>
      <c r="AU698" s="244"/>
      <c r="AV698" s="244"/>
      <c r="AW698" s="244"/>
      <c r="AX698" s="244"/>
      <c r="AY698" s="244"/>
      <c r="AZ698" s="244"/>
      <c r="BA698" s="244"/>
      <c r="BB698" s="244"/>
      <c r="BC698" s="244"/>
      <c r="BD698" s="244"/>
      <c r="BE698" s="244"/>
      <c r="BF698" s="244"/>
      <c r="BG698" s="244"/>
      <c r="BH698" s="244"/>
      <c r="BI698" s="244"/>
      <c r="BJ698" s="244"/>
    </row>
    <row r="699" spans="2:62">
      <c r="B699" s="7"/>
      <c r="C699" s="332"/>
      <c r="D699" s="332"/>
      <c r="E699" s="332"/>
      <c r="F699" s="332"/>
      <c r="G699" s="332"/>
      <c r="H699" s="332"/>
      <c r="I699" s="332"/>
      <c r="J699" s="332"/>
      <c r="K699" s="396"/>
      <c r="L699" s="396"/>
      <c r="M699" s="332"/>
      <c r="N699" s="396"/>
      <c r="O699" s="396"/>
      <c r="P699" s="332"/>
      <c r="Q699" s="396"/>
      <c r="R699" s="396"/>
      <c r="S699" s="332"/>
      <c r="T699" s="332"/>
      <c r="U699" s="332"/>
      <c r="W699" s="332"/>
      <c r="X699" s="332"/>
      <c r="Y699" s="244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  <c r="AO699" s="244"/>
      <c r="AP699" s="244"/>
      <c r="AQ699" s="244"/>
      <c r="AR699" s="244"/>
      <c r="AS699" s="244"/>
      <c r="AT699" s="244"/>
      <c r="AU699" s="244"/>
      <c r="AV699" s="244"/>
      <c r="AW699" s="244"/>
      <c r="AX699" s="244"/>
      <c r="AY699" s="244"/>
      <c r="AZ699" s="244"/>
      <c r="BA699" s="244"/>
      <c r="BB699" s="244"/>
      <c r="BC699" s="244"/>
      <c r="BD699" s="244"/>
      <c r="BE699" s="244"/>
      <c r="BF699" s="244"/>
      <c r="BG699" s="244"/>
      <c r="BH699" s="244"/>
      <c r="BI699" s="244"/>
      <c r="BJ699" s="244"/>
    </row>
    <row r="700" spans="2:62">
      <c r="B700" s="7"/>
      <c r="C700" s="332"/>
      <c r="D700" s="332"/>
      <c r="E700" s="332"/>
      <c r="F700" s="332"/>
      <c r="G700" s="332"/>
      <c r="H700" s="332"/>
      <c r="I700" s="332"/>
      <c r="J700" s="332"/>
      <c r="K700" s="396"/>
      <c r="L700" s="398"/>
      <c r="M700" s="332"/>
      <c r="N700" s="396"/>
      <c r="O700" s="396"/>
      <c r="P700" s="332"/>
      <c r="Q700" s="396"/>
      <c r="R700" s="398"/>
      <c r="S700" s="332"/>
      <c r="T700" s="332"/>
      <c r="U700" s="332"/>
      <c r="W700" s="332"/>
      <c r="X700" s="332"/>
      <c r="Y700" s="244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  <c r="AO700" s="244"/>
      <c r="AP700" s="244"/>
      <c r="AQ700" s="244"/>
      <c r="AR700" s="244"/>
      <c r="AS700" s="244"/>
      <c r="AT700" s="244"/>
      <c r="AU700" s="244"/>
      <c r="AV700" s="244"/>
      <c r="AW700" s="244"/>
      <c r="AX700" s="244"/>
      <c r="AY700" s="244"/>
      <c r="AZ700" s="244"/>
      <c r="BA700" s="244"/>
      <c r="BB700" s="244"/>
      <c r="BC700" s="244"/>
      <c r="BD700" s="244"/>
      <c r="BE700" s="244"/>
      <c r="BF700" s="244"/>
      <c r="BG700" s="244"/>
      <c r="BH700" s="244"/>
      <c r="BI700" s="244"/>
      <c r="BJ700" s="244"/>
    </row>
    <row r="701" spans="2:62">
      <c r="B701" s="7"/>
      <c r="C701" s="332"/>
      <c r="D701" s="332"/>
      <c r="E701" s="332"/>
      <c r="F701" s="332"/>
      <c r="G701" s="332"/>
      <c r="H701" s="332"/>
      <c r="I701" s="332"/>
      <c r="J701" s="332"/>
      <c r="K701" s="396"/>
      <c r="L701" s="396"/>
      <c r="M701" s="332"/>
      <c r="N701" s="396"/>
      <c r="O701" s="396"/>
      <c r="P701" s="332"/>
      <c r="Q701" s="396"/>
      <c r="R701" s="396"/>
      <c r="S701" s="332"/>
      <c r="T701" s="332"/>
      <c r="U701" s="332"/>
      <c r="W701" s="332"/>
      <c r="X701" s="332"/>
      <c r="Y701" s="244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  <c r="AO701" s="244"/>
      <c r="AP701" s="244"/>
      <c r="AQ701" s="244"/>
      <c r="AR701" s="244"/>
      <c r="AS701" s="244"/>
      <c r="AT701" s="244"/>
      <c r="AU701" s="244"/>
      <c r="AV701" s="244"/>
      <c r="AW701" s="244"/>
      <c r="AX701" s="244"/>
      <c r="AY701" s="244"/>
      <c r="AZ701" s="244"/>
      <c r="BA701" s="244"/>
      <c r="BB701" s="244"/>
      <c r="BC701" s="244"/>
      <c r="BD701" s="244"/>
      <c r="BE701" s="244"/>
      <c r="BF701" s="244"/>
      <c r="BG701" s="244"/>
      <c r="BH701" s="244"/>
      <c r="BI701" s="244"/>
      <c r="BJ701" s="244"/>
    </row>
    <row r="702" spans="2:62">
      <c r="B702" s="7"/>
      <c r="C702" s="332"/>
      <c r="D702" s="332"/>
      <c r="E702" s="332"/>
      <c r="F702" s="332"/>
      <c r="G702" s="332"/>
      <c r="H702" s="332"/>
      <c r="I702" s="332"/>
      <c r="J702" s="332"/>
      <c r="K702" s="396"/>
      <c r="L702" s="396"/>
      <c r="M702" s="332"/>
      <c r="N702" s="396"/>
      <c r="O702" s="396"/>
      <c r="P702" s="332"/>
      <c r="Q702" s="396"/>
      <c r="R702" s="396"/>
      <c r="S702" s="332"/>
      <c r="T702" s="332"/>
      <c r="U702" s="332"/>
      <c r="W702" s="332"/>
      <c r="X702" s="332"/>
      <c r="Y702" s="244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  <c r="AO702" s="244"/>
      <c r="AP702" s="244"/>
      <c r="AQ702" s="244"/>
      <c r="AR702" s="244"/>
      <c r="AS702" s="244"/>
      <c r="AT702" s="244"/>
      <c r="AU702" s="244"/>
      <c r="AV702" s="244"/>
      <c r="AW702" s="244"/>
      <c r="AX702" s="244"/>
      <c r="AY702" s="244"/>
      <c r="AZ702" s="244"/>
      <c r="BA702" s="244"/>
      <c r="BB702" s="244"/>
      <c r="BC702" s="244"/>
      <c r="BD702" s="244"/>
      <c r="BE702" s="244"/>
      <c r="BF702" s="244"/>
      <c r="BG702" s="244"/>
      <c r="BH702" s="244"/>
      <c r="BI702" s="244"/>
      <c r="BJ702" s="244"/>
    </row>
    <row r="703" spans="2:62">
      <c r="B703" s="7"/>
      <c r="C703" s="332"/>
      <c r="D703" s="332"/>
      <c r="E703" s="332"/>
      <c r="F703" s="332"/>
      <c r="G703" s="332"/>
      <c r="H703" s="332"/>
      <c r="I703" s="332"/>
      <c r="J703" s="332"/>
      <c r="K703" s="396"/>
      <c r="L703" s="396"/>
      <c r="M703" s="332"/>
      <c r="N703" s="398"/>
      <c r="O703" s="398"/>
      <c r="P703" s="332"/>
      <c r="Q703" s="398"/>
      <c r="R703" s="396"/>
      <c r="S703" s="332"/>
      <c r="T703" s="332"/>
      <c r="U703" s="332"/>
      <c r="W703" s="332"/>
      <c r="X703" s="332"/>
      <c r="Y703" s="244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  <c r="AO703" s="244"/>
      <c r="AP703" s="244"/>
      <c r="AQ703" s="244"/>
      <c r="AR703" s="244"/>
      <c r="AS703" s="244"/>
      <c r="AT703" s="244"/>
      <c r="AU703" s="244"/>
      <c r="AV703" s="244"/>
      <c r="AW703" s="244"/>
      <c r="AX703" s="244"/>
      <c r="AY703" s="244"/>
      <c r="AZ703" s="244"/>
      <c r="BA703" s="244"/>
      <c r="BB703" s="244"/>
      <c r="BC703" s="244"/>
      <c r="BD703" s="244"/>
      <c r="BE703" s="244"/>
      <c r="BF703" s="244"/>
      <c r="BG703" s="244"/>
      <c r="BH703" s="244"/>
      <c r="BI703" s="244"/>
      <c r="BJ703" s="244"/>
    </row>
  </sheetData>
  <mergeCells count="42">
    <mergeCell ref="R3:S3"/>
    <mergeCell ref="D3:F3"/>
    <mergeCell ref="G3:I3"/>
    <mergeCell ref="J3:L3"/>
    <mergeCell ref="M3:N3"/>
    <mergeCell ref="O3:Q3"/>
    <mergeCell ref="R91:S91"/>
    <mergeCell ref="D91:F91"/>
    <mergeCell ref="G91:I91"/>
    <mergeCell ref="J91:L91"/>
    <mergeCell ref="M91:N91"/>
    <mergeCell ref="O91:Q91"/>
    <mergeCell ref="M171:N171"/>
    <mergeCell ref="O171:Q171"/>
    <mergeCell ref="R171:S171"/>
    <mergeCell ref="D239:F239"/>
    <mergeCell ref="G239:I239"/>
    <mergeCell ref="J239:L239"/>
    <mergeCell ref="M239:N239"/>
    <mergeCell ref="O239:Q239"/>
    <mergeCell ref="R239:S239"/>
    <mergeCell ref="D171:F171"/>
    <mergeCell ref="G171:I171"/>
    <mergeCell ref="J171:L171"/>
    <mergeCell ref="R294:S294"/>
    <mergeCell ref="D359:F359"/>
    <mergeCell ref="G359:I359"/>
    <mergeCell ref="J359:L359"/>
    <mergeCell ref="M359:N359"/>
    <mergeCell ref="O359:Q359"/>
    <mergeCell ref="R359:S359"/>
    <mergeCell ref="D294:F294"/>
    <mergeCell ref="G294:I294"/>
    <mergeCell ref="J294:L294"/>
    <mergeCell ref="M294:N294"/>
    <mergeCell ref="O294:Q294"/>
    <mergeCell ref="AM405:AO405"/>
    <mergeCell ref="X405:Z405"/>
    <mergeCell ref="AA405:AC405"/>
    <mergeCell ref="AD405:AF405"/>
    <mergeCell ref="AG405:AI405"/>
    <mergeCell ref="AJ405:AL405"/>
  </mergeCells>
  <conditionalFormatting sqref="D113:D114">
    <cfRule type="expression" dxfId="109" priority="26" stopIfTrue="1">
      <formula>"esterreur(reference)"</formula>
    </cfRule>
  </conditionalFormatting>
  <conditionalFormatting sqref="E103:E105">
    <cfRule type="expression" dxfId="108" priority="2" stopIfTrue="1">
      <formula>"esterreur(reference)"</formula>
    </cfRule>
  </conditionalFormatting>
  <conditionalFormatting sqref="F5">
    <cfRule type="expression" dxfId="107" priority="69" stopIfTrue="1">
      <formula>"esterreur(reference)"</formula>
    </cfRule>
  </conditionalFormatting>
  <conditionalFormatting sqref="F185">
    <cfRule type="expression" dxfId="106" priority="78" stopIfTrue="1">
      <formula>"esterreur(reference)"</formula>
    </cfRule>
  </conditionalFormatting>
  <conditionalFormatting sqref="G31:G32">
    <cfRule type="expression" dxfId="105" priority="30" stopIfTrue="1">
      <formula>"esterreur(reference)"</formula>
    </cfRule>
  </conditionalFormatting>
  <conditionalFormatting sqref="G113:G114">
    <cfRule type="expression" dxfId="104" priority="27" stopIfTrue="1">
      <formula>"esterreur(reference)"</formula>
    </cfRule>
  </conditionalFormatting>
  <conditionalFormatting sqref="H137:H153">
    <cfRule type="expression" dxfId="103" priority="35" stopIfTrue="1">
      <formula>"esterreur(reference)"</formula>
    </cfRule>
  </conditionalFormatting>
  <conditionalFormatting sqref="H361">
    <cfRule type="expression" dxfId="102" priority="108" stopIfTrue="1">
      <formula>"esterreur(reference)"</formula>
    </cfRule>
  </conditionalFormatting>
  <conditionalFormatting sqref="H198:L198">
    <cfRule type="expression" dxfId="101" priority="110" stopIfTrue="1">
      <formula>"esterreur(reference)"</formula>
    </cfRule>
  </conditionalFormatting>
  <conditionalFormatting sqref="H397:L400">
    <cfRule type="expression" dxfId="100" priority="106" stopIfTrue="1">
      <formula>"esterreur(reference)"</formula>
    </cfRule>
  </conditionalFormatting>
  <conditionalFormatting sqref="I378:L378 H379:H396">
    <cfRule type="expression" dxfId="99" priority="107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98" priority="102" stopIfTrue="1">
      <formula>"esterreur(reference)"</formula>
    </cfRule>
  </conditionalFormatting>
  <conditionalFormatting sqref="J49:L72">
    <cfRule type="expression" dxfId="97" priority="36" stopIfTrue="1">
      <formula>"esterreur(reference)"</formula>
    </cfRule>
  </conditionalFormatting>
  <conditionalFormatting sqref="J103:L105">
    <cfRule type="expression" dxfId="96" priority="99" stopIfTrue="1">
      <formula>"esterreur(reference)"</formula>
    </cfRule>
  </conditionalFormatting>
  <conditionalFormatting sqref="J150:L153">
    <cfRule type="expression" dxfId="95" priority="34" stopIfTrue="1">
      <formula>"esterreur(reference)"</formula>
    </cfRule>
  </conditionalFormatting>
  <conditionalFormatting sqref="J296:L304">
    <cfRule type="expression" dxfId="94" priority="95" stopIfTrue="1">
      <formula>"esterreur(reference)"</formula>
    </cfRule>
  </conditionalFormatting>
  <conditionalFormatting sqref="J308:L309">
    <cfRule type="expression" dxfId="93" priority="85" stopIfTrue="1">
      <formula>"esterreur(reference)"</formula>
    </cfRule>
  </conditionalFormatting>
  <conditionalFormatting sqref="J361:L361">
    <cfRule type="expression" dxfId="92" priority="77" stopIfTrue="1">
      <formula>"esterreur(reference)"</formula>
    </cfRule>
  </conditionalFormatting>
  <conditionalFormatting sqref="J366:L377">
    <cfRule type="expression" dxfId="91" priority="82" stopIfTrue="1">
      <formula>"esterreur(reference)"</formula>
    </cfRule>
  </conditionalFormatting>
  <conditionalFormatting sqref="J379:L395">
    <cfRule type="expression" dxfId="90" priority="81" stopIfTrue="1">
      <formula>"esterreur(reference)"</formula>
    </cfRule>
  </conditionalFormatting>
  <conditionalFormatting sqref="J313:M313">
    <cfRule type="expression" dxfId="89" priority="83" stopIfTrue="1">
      <formula>"esterreur(reference)"</formula>
    </cfRule>
  </conditionalFormatting>
  <conditionalFormatting sqref="J113:Q122">
    <cfRule type="expression" dxfId="88" priority="28" stopIfTrue="1">
      <formula>"esterreur(reference)"</formula>
    </cfRule>
  </conditionalFormatting>
  <conditionalFormatting sqref="J124:Q135">
    <cfRule type="expression" dxfId="87" priority="61" stopIfTrue="1">
      <formula>"esterreur(reference)"</formula>
    </cfRule>
  </conditionalFormatting>
  <conditionalFormatting sqref="K5">
    <cfRule type="expression" dxfId="86" priority="92" stopIfTrue="1">
      <formula>"esterreur(reference)"</formula>
    </cfRule>
  </conditionalFormatting>
  <conditionalFormatting sqref="K176">
    <cfRule type="expression" dxfId="85" priority="89" stopIfTrue="1">
      <formula>"esterreur(reference)"</formula>
    </cfRule>
  </conditionalFormatting>
  <conditionalFormatting sqref="K184:K185">
    <cfRule type="expression" dxfId="84" priority="91" stopIfTrue="1">
      <formula>"esterreur(reference)"</formula>
    </cfRule>
  </conditionalFormatting>
  <conditionalFormatting sqref="K288">
    <cfRule type="expression" dxfId="83" priority="75" stopIfTrue="1">
      <formula>"esterreur(reference)"</formula>
    </cfRule>
  </conditionalFormatting>
  <conditionalFormatting sqref="K396">
    <cfRule type="expression" dxfId="82" priority="109" stopIfTrue="1">
      <formula>"esterreur(reference)"</formula>
    </cfRule>
  </conditionalFormatting>
  <conditionalFormatting sqref="K93:L96">
    <cfRule type="expression" dxfId="81" priority="80" stopIfTrue="1">
      <formula>"esterreur(reference)"</formula>
    </cfRule>
  </conditionalFormatting>
  <conditionalFormatting sqref="K100:L101">
    <cfRule type="expression" dxfId="80" priority="100" stopIfTrue="1">
      <formula>"esterreur(reference)"</formula>
    </cfRule>
  </conditionalFormatting>
  <conditionalFormatting sqref="K172:L174">
    <cfRule type="expression" dxfId="79" priority="90" stopIfTrue="1">
      <formula>"esterreur(reference)"</formula>
    </cfRule>
  </conditionalFormatting>
  <conditionalFormatting sqref="K177:L183">
    <cfRule type="expression" dxfId="78" priority="88" stopIfTrue="1">
      <formula>"esterreur(reference)"</formula>
    </cfRule>
  </conditionalFormatting>
  <conditionalFormatting sqref="K186:L197">
    <cfRule type="expression" dxfId="77" priority="84" stopIfTrue="1">
      <formula>"esterreur(reference)"</formula>
    </cfRule>
  </conditionalFormatting>
  <conditionalFormatting sqref="K240:L242">
    <cfRule type="expression" dxfId="76" priority="79" stopIfTrue="1">
      <formula>"esterreur(reference)"</formula>
    </cfRule>
  </conditionalFormatting>
  <conditionalFormatting sqref="K245:L245">
    <cfRule type="expression" dxfId="75" priority="87" stopIfTrue="1">
      <formula>"esterreur(reference)"</formula>
    </cfRule>
  </conditionalFormatting>
  <conditionalFormatting sqref="K248:L248">
    <cfRule type="expression" dxfId="74" priority="86" stopIfTrue="1">
      <formula>"esterreur(reference)"</formula>
    </cfRule>
  </conditionalFormatting>
  <conditionalFormatting sqref="L16:L24 Q16:Q24 O18:O24 D31:D32 L99 O99 Q99">
    <cfRule type="expression" dxfId="73" priority="31" stopIfTrue="1">
      <formula>"esterreur(reference)"</formula>
    </cfRule>
  </conditionalFormatting>
  <conditionalFormatting sqref="L42:L48">
    <cfRule type="expression" dxfId="72" priority="101" stopIfTrue="1">
      <formula>"esterreur(reference)"</formula>
    </cfRule>
  </conditionalFormatting>
  <conditionalFormatting sqref="L75:L82">
    <cfRule type="expression" dxfId="71" priority="70" stopIfTrue="1">
      <formula>"esterreur(reference)"</formula>
    </cfRule>
  </conditionalFormatting>
  <conditionalFormatting sqref="L137:L148">
    <cfRule type="expression" dxfId="70" priority="74" stopIfTrue="1">
      <formula>"esterreur(reference)"</formula>
    </cfRule>
  </conditionalFormatting>
  <conditionalFormatting sqref="L175:L176">
    <cfRule type="expression" dxfId="69" priority="98" stopIfTrue="1">
      <formula>"esterreur(reference)"</formula>
    </cfRule>
  </conditionalFormatting>
  <conditionalFormatting sqref="L199:L210">
    <cfRule type="expression" dxfId="68" priority="97" stopIfTrue="1">
      <formula>"esterreur(reference)"</formula>
    </cfRule>
  </conditionalFormatting>
  <conditionalFormatting sqref="L212:L229">
    <cfRule type="expression" dxfId="67" priority="73" stopIfTrue="1">
      <formula>"esterreur(reference)"</formula>
    </cfRule>
  </conditionalFormatting>
  <conditionalFormatting sqref="L255:L266">
    <cfRule type="expression" dxfId="66" priority="96" stopIfTrue="1">
      <formula>"esterreur(reference)"</formula>
    </cfRule>
  </conditionalFormatting>
  <conditionalFormatting sqref="L268:L285">
    <cfRule type="expression" dxfId="65" priority="72" stopIfTrue="1">
      <formula>"esterreur(reference)"</formula>
    </cfRule>
  </conditionalFormatting>
  <conditionalFormatting sqref="L319:L330">
    <cfRule type="expression" dxfId="64" priority="94" stopIfTrue="1">
      <formula>"esterreur(reference)"</formula>
    </cfRule>
  </conditionalFormatting>
  <conditionalFormatting sqref="L332">
    <cfRule type="expression" dxfId="63" priority="71" stopIfTrue="1">
      <formula>"esterreur(reference)"</formula>
    </cfRule>
  </conditionalFormatting>
  <conditionalFormatting sqref="L335:L344 L346:L349">
    <cfRule type="expression" dxfId="62" priority="93" stopIfTrue="1">
      <formula>"esterreur(reference)"</formula>
    </cfRule>
  </conditionalFormatting>
  <conditionalFormatting sqref="L357:L358 H358:I358 K358 J358:J359 H360:L360">
    <cfRule type="expression" dxfId="61" priority="105" stopIfTrue="1">
      <formula>"esterreur(reference)"</formula>
    </cfRule>
  </conditionalFormatting>
  <conditionalFormatting sqref="L5:Q14">
    <cfRule type="expression" dxfId="60" priority="65" stopIfTrue="1">
      <formula>"esterreur(reference)"</formula>
    </cfRule>
  </conditionalFormatting>
  <conditionalFormatting sqref="L157:Q163">
    <cfRule type="expression" dxfId="59" priority="32" stopIfTrue="1">
      <formula>"esterreur(reference)"</formula>
    </cfRule>
  </conditionalFormatting>
  <conditionalFormatting sqref="M95:M97">
    <cfRule type="expression" dxfId="58" priority="103" stopIfTrue="1">
      <formula>"esterreur(reference)"</formula>
    </cfRule>
  </conditionalFormatting>
  <conditionalFormatting sqref="O13:O14 O16 O83:Q85">
    <cfRule type="expression" dxfId="57" priority="68" stopIfTrue="1">
      <formula>"esterreur(reference)"</formula>
    </cfRule>
  </conditionalFormatting>
  <conditionalFormatting sqref="O173:O197 Q184 O199:P230 O233:Q233 O234:P234">
    <cfRule type="expression" dxfId="56" priority="59" stopIfTrue="1">
      <formula>"esterreur(reference)"</formula>
    </cfRule>
  </conditionalFormatting>
  <conditionalFormatting sqref="O319:P349 O350:Q350 O353:Q353 O354:P354">
    <cfRule type="expression" dxfId="55" priority="43" stopIfTrue="1">
      <formula>"esterreur(reference)"</formula>
    </cfRule>
  </conditionalFormatting>
  <conditionalFormatting sqref="O25:Q72">
    <cfRule type="expression" dxfId="54" priority="29" stopIfTrue="1">
      <formula>"esterreur(reference)"</formula>
    </cfRule>
  </conditionalFormatting>
  <conditionalFormatting sqref="O97:Q99 O123:Q123 O157:P158 O165:Q165 O166:P166">
    <cfRule type="expression" dxfId="53" priority="64" stopIfTrue="1">
      <formula>"esterreur(reference)"</formula>
    </cfRule>
  </conditionalFormatting>
  <conditionalFormatting sqref="O102:Q112">
    <cfRule type="expression" dxfId="52" priority="1" stopIfTrue="1">
      <formula>"esterreur(reference)"</formula>
    </cfRule>
  </conditionalFormatting>
  <conditionalFormatting sqref="O136:Q154">
    <cfRule type="expression" dxfId="51" priority="33" stopIfTrue="1">
      <formula>"esterreur(reference)"</formula>
    </cfRule>
  </conditionalFormatting>
  <conditionalFormatting sqref="O198:Q198">
    <cfRule type="expression" dxfId="50" priority="60" stopIfTrue="1">
      <formula>"esterreur(reference)"</formula>
    </cfRule>
  </conditionalFormatting>
  <conditionalFormatting sqref="O244:Q244 O253:Q254 O255:P285 O286:Q286 O289:Q289 O290:P290">
    <cfRule type="expression" dxfId="49" priority="50" stopIfTrue="1">
      <formula>"esterreur(reference)"</formula>
    </cfRule>
  </conditionalFormatting>
  <conditionalFormatting sqref="O296:Q318">
    <cfRule type="expression" dxfId="48" priority="41" stopIfTrue="1">
      <formula>"esterreur(reference)"</formula>
    </cfRule>
  </conditionalFormatting>
  <conditionalFormatting sqref="O360:Q395">
    <cfRule type="expression" dxfId="47" priority="37" stopIfTrue="1">
      <formula>"esterreur(reference)"</formula>
    </cfRule>
  </conditionalFormatting>
  <conditionalFormatting sqref="O397:Q400">
    <cfRule type="expression" dxfId="46" priority="38" stopIfTrue="1">
      <formula>"esterreur(reference)"</formula>
    </cfRule>
  </conditionalFormatting>
  <conditionalFormatting sqref="P5">
    <cfRule type="expression" dxfId="45" priority="66" stopIfTrue="1">
      <formula>"esterreur(reference)"</formula>
    </cfRule>
  </conditionalFormatting>
  <conditionalFormatting sqref="P176">
    <cfRule type="expression" dxfId="44" priority="54" stopIfTrue="1">
      <formula>"esterreur(reference)"</formula>
    </cfRule>
  </conditionalFormatting>
  <conditionalFormatting sqref="P184:P185">
    <cfRule type="expression" dxfId="43" priority="56" stopIfTrue="1">
      <formula>"esterreur(reference)"</formula>
    </cfRule>
  </conditionalFormatting>
  <conditionalFormatting sqref="P288">
    <cfRule type="expression" dxfId="42" priority="45" stopIfTrue="1">
      <formula>"esterreur(reference)"</formula>
    </cfRule>
  </conditionalFormatting>
  <conditionalFormatting sqref="P396">
    <cfRule type="expression" dxfId="41" priority="39" stopIfTrue="1">
      <formula>"esterreur(reference)"</formula>
    </cfRule>
  </conditionalFormatting>
  <conditionalFormatting sqref="P93:Q96">
    <cfRule type="expression" dxfId="40" priority="62" stopIfTrue="1">
      <formula>"esterreur(reference)"</formula>
    </cfRule>
  </conditionalFormatting>
  <conditionalFormatting sqref="P100:Q101">
    <cfRule type="expression" dxfId="39" priority="63" stopIfTrue="1">
      <formula>"esterreur(reference)"</formula>
    </cfRule>
  </conditionalFormatting>
  <conditionalFormatting sqref="P173:Q174">
    <cfRule type="expression" dxfId="38" priority="55" stopIfTrue="1">
      <formula>"esterreur(reference)"</formula>
    </cfRule>
  </conditionalFormatting>
  <conditionalFormatting sqref="P177:Q183">
    <cfRule type="expression" dxfId="37" priority="53" stopIfTrue="1">
      <formula>"esterreur(reference)"</formula>
    </cfRule>
  </conditionalFormatting>
  <conditionalFormatting sqref="P186:Q197">
    <cfRule type="expression" dxfId="36" priority="52" stopIfTrue="1">
      <formula>"esterreur(reference)"</formula>
    </cfRule>
  </conditionalFormatting>
  <conditionalFormatting sqref="P242:Q242">
    <cfRule type="expression" dxfId="35" priority="46" stopIfTrue="1">
      <formula>"esterreur(reference)"</formula>
    </cfRule>
  </conditionalFormatting>
  <conditionalFormatting sqref="P245:Q245">
    <cfRule type="expression" dxfId="34" priority="48" stopIfTrue="1">
      <formula>"esterreur(reference)"</formula>
    </cfRule>
  </conditionalFormatting>
  <conditionalFormatting sqref="P248:Q248">
    <cfRule type="expression" dxfId="33" priority="47" stopIfTrue="1">
      <formula>"esterreur(reference)"</formula>
    </cfRule>
  </conditionalFormatting>
  <conditionalFormatting sqref="Q75:Q82">
    <cfRule type="expression" dxfId="32" priority="67" stopIfTrue="1">
      <formula>"esterreur(reference)"</formula>
    </cfRule>
  </conditionalFormatting>
  <conditionalFormatting sqref="Q175:Q176">
    <cfRule type="expression" dxfId="31" priority="58" stopIfTrue="1">
      <formula>"esterreur(reference)"</formula>
    </cfRule>
  </conditionalFormatting>
  <conditionalFormatting sqref="Q199:Q210">
    <cfRule type="expression" dxfId="30" priority="57" stopIfTrue="1">
      <formula>"esterreur(reference)"</formula>
    </cfRule>
  </conditionalFormatting>
  <conditionalFormatting sqref="Q212:Q229">
    <cfRule type="expression" dxfId="29" priority="51" stopIfTrue="1">
      <formula>"esterreur(reference)"</formula>
    </cfRule>
  </conditionalFormatting>
  <conditionalFormatting sqref="Q255:Q266">
    <cfRule type="expression" dxfId="28" priority="49" stopIfTrue="1">
      <formula>"esterreur(reference)"</formula>
    </cfRule>
  </conditionalFormatting>
  <conditionalFormatting sqref="Q268:Q285">
    <cfRule type="expression" dxfId="27" priority="44" stopIfTrue="1">
      <formula>"esterreur(reference)"</formula>
    </cfRule>
  </conditionalFormatting>
  <conditionalFormatting sqref="Q319:Q330">
    <cfRule type="expression" dxfId="26" priority="42" stopIfTrue="1">
      <formula>"esterreur(reference)"</formula>
    </cfRule>
  </conditionalFormatting>
  <conditionalFormatting sqref="Q332:Q349">
    <cfRule type="expression" dxfId="25" priority="40" stopIfTrue="1">
      <formula>"esterreur(reference)"</formula>
    </cfRule>
  </conditionalFormatting>
  <conditionalFormatting sqref="R313">
    <cfRule type="expression" dxfId="24" priority="104" stopIfTrue="1">
      <formula>"esterreur(reference)"</formula>
    </cfRule>
  </conditionalFormatting>
  <conditionalFormatting sqref="S187">
    <cfRule type="expression" dxfId="23" priority="76" stopIfTrue="1">
      <formula>"esterreur(reference)"</formula>
    </cfRule>
  </conditionalFormatting>
  <conditionalFormatting sqref="Z426:Z428">
    <cfRule type="cellIs" dxfId="22" priority="20" operator="greaterThan">
      <formula>0</formula>
    </cfRule>
  </conditionalFormatting>
  <conditionalFormatting sqref="Z433">
    <cfRule type="cellIs" dxfId="21" priority="17" operator="greaterThan">
      <formula>0</formula>
    </cfRule>
  </conditionalFormatting>
  <conditionalFormatting sqref="Z450:Z452">
    <cfRule type="cellIs" dxfId="20" priority="13" operator="greaterThan">
      <formula>0</formula>
    </cfRule>
  </conditionalFormatting>
  <conditionalFormatting sqref="Z464:Z466">
    <cfRule type="cellIs" dxfId="19" priority="9" operator="greaterThan">
      <formula>0</formula>
    </cfRule>
  </conditionalFormatting>
  <conditionalFormatting sqref="Z479:Z480">
    <cfRule type="cellIs" dxfId="18" priority="6" operator="greaterThan">
      <formula>0</formula>
    </cfRule>
  </conditionalFormatting>
  <conditionalFormatting sqref="Z496:Z498">
    <cfRule type="cellIs" dxfId="17" priority="3" operator="greaterThan">
      <formula>0</formula>
    </cfRule>
  </conditionalFormatting>
  <conditionalFormatting sqref="AC426:AC428">
    <cfRule type="cellIs" dxfId="16" priority="21" operator="greaterThan">
      <formula>0</formula>
    </cfRule>
  </conditionalFormatting>
  <conditionalFormatting sqref="AC433">
    <cfRule type="cellIs" dxfId="15" priority="18" operator="greaterThan">
      <formula>0</formula>
    </cfRule>
  </conditionalFormatting>
  <conditionalFormatting sqref="AC450:AC452">
    <cfRule type="cellIs" dxfId="14" priority="14" operator="greaterThan">
      <formula>0</formula>
    </cfRule>
  </conditionalFormatting>
  <conditionalFormatting sqref="AC464:AC466">
    <cfRule type="cellIs" dxfId="13" priority="10" operator="greaterThan">
      <formula>0</formula>
    </cfRule>
  </conditionalFormatting>
  <conditionalFormatting sqref="AC479:AC480">
    <cfRule type="cellIs" dxfId="12" priority="7" operator="greaterThan">
      <formula>0</formula>
    </cfRule>
  </conditionalFormatting>
  <conditionalFormatting sqref="AC496:AC498">
    <cfRule type="cellIs" dxfId="11" priority="4" operator="greaterThan">
      <formula>0</formula>
    </cfRule>
  </conditionalFormatting>
  <conditionalFormatting sqref="AG410:AI419">
    <cfRule type="cellIs" dxfId="10" priority="23" operator="greaterThan">
      <formula>0</formula>
    </cfRule>
  </conditionalFormatting>
  <conditionalFormatting sqref="AH450:AH453">
    <cfRule type="cellIs" dxfId="9" priority="15" operator="greaterThan">
      <formula>0</formula>
    </cfRule>
  </conditionalFormatting>
  <conditionalFormatting sqref="AH462:AH467">
    <cfRule type="cellIs" dxfId="8" priority="11" operator="greaterThan">
      <formula>0</formula>
    </cfRule>
  </conditionalFormatting>
  <conditionalFormatting sqref="AH421:AI449">
    <cfRule type="cellIs" dxfId="7" priority="19" operator="greaterThan">
      <formula>0</formula>
    </cfRule>
  </conditionalFormatting>
  <conditionalFormatting sqref="AH454:AI461 AH468:AI469">
    <cfRule type="cellIs" dxfId="6" priority="24" operator="greaterThan">
      <formula>0</formula>
    </cfRule>
  </conditionalFormatting>
  <conditionalFormatting sqref="AH470:AI478 AH481:AI481">
    <cfRule type="cellIs" dxfId="5" priority="25" operator="lessThan">
      <formula>0</formula>
    </cfRule>
  </conditionalFormatting>
  <conditionalFormatting sqref="AH479:AI480">
    <cfRule type="cellIs" dxfId="4" priority="8" operator="greaterThan">
      <formula>0</formula>
    </cfRule>
  </conditionalFormatting>
  <conditionalFormatting sqref="AH492:AI498">
    <cfRule type="cellIs" dxfId="3" priority="5" operator="greaterThan">
      <formula>0</formula>
    </cfRule>
  </conditionalFormatting>
  <conditionalFormatting sqref="AI450:AI452">
    <cfRule type="cellIs" dxfId="2" priority="16" operator="greaterThan">
      <formula>0</formula>
    </cfRule>
  </conditionalFormatting>
  <conditionalFormatting sqref="AI464:AI466">
    <cfRule type="cellIs" dxfId="1" priority="12" operator="greaterThan">
      <formula>0</formula>
    </cfRule>
  </conditionalFormatting>
  <conditionalFormatting sqref="AO410:AO419">
    <cfRule type="cellIs" dxfId="0" priority="22" operator="greaterThan">
      <formula>0</formula>
    </cfRule>
  </conditionalFormatting>
  <printOptions horizontalCentered="1"/>
  <pageMargins left="0.25" right="0.25" top="0.75" bottom="0.75" header="0.3" footer="0.3"/>
  <pageSetup scale="41" fitToHeight="0" orientation="landscape" r:id="rId1"/>
  <rowBreaks count="6" manualBreakCount="6">
    <brk id="86" min="2" max="19" man="1"/>
    <brk id="166" max="16383" man="1"/>
    <brk id="234" max="16383" man="1"/>
    <brk id="290" min="2" max="19" man="1"/>
    <brk id="354" max="16383" man="1"/>
    <brk id="499" max="16383" man="1"/>
  </rowBreaks>
  <colBreaks count="2" manualBreakCount="2">
    <brk id="2" max="1048575" man="1"/>
    <brk id="21" max="696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Feuil28"/>
  <dimension ref="A1"/>
  <sheetViews>
    <sheetView workbookViewId="0">
      <selection sqref="A1:XFD1048576"/>
    </sheetView>
  </sheetViews>
  <sheetFormatPr baseColWidth="10"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2</vt:i4>
      </vt:variant>
    </vt:vector>
  </HeadingPairs>
  <TitlesOfParts>
    <vt:vector size="9" baseType="lpstr">
      <vt:lpstr>Paramètre</vt:lpstr>
      <vt:lpstr>Conso</vt:lpstr>
      <vt:lpstr>START</vt:lpstr>
      <vt:lpstr>Mois 1</vt:lpstr>
      <vt:lpstr>Mois 2</vt:lpstr>
      <vt:lpstr>Mois 3</vt:lpstr>
      <vt:lpstr>END</vt:lpstr>
      <vt:lpstr>Conso!Zone_d_impression</vt:lpstr>
      <vt:lpstr>'Mois 3'!Zone_d_impression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2026-10-15T02:38:58Z</cp:lastPrinted>
  <dcterms:created xsi:type="dcterms:W3CDTF">2021-02-12T03:12:48Z</dcterms:created>
  <dcterms:modified xsi:type="dcterms:W3CDTF">2026-10-15T02:39:03Z</dcterms:modified>
</cp:coreProperties>
</file>