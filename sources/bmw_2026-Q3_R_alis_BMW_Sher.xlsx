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D049CE98-48B3-492F-96EB-2F0BD816C8C6}" xr6:coauthVersionLast="47" xr6:coauthVersionMax="47" xr10:uidLastSave="{00000000-0000-0000-0000-000000000000}"/>
  <bookViews>
    <workbookView xWindow="-23148" yWindow="3132" windowWidth="23256" windowHeight="13896" activeTab="1" xr2:uid="{508BF4A0-C9FC-49F5-A5A9-A2907877ABE5}"/>
  </bookViews>
  <sheets>
    <sheet name="Paramètre" sheetId="2" r:id="rId1"/>
    <sheet name="Conso" sheetId="1" r:id="rId2"/>
    <sheet name="START" sheetId="3" r:id="rId3"/>
    <sheet name="Mois 1" sheetId="15" r:id="rId4"/>
    <sheet name="Mois 2" sheetId="5" r:id="rId5"/>
    <sheet name="Mois 3" sheetId="6" r:id="rId6"/>
    <sheet name="END" sheetId="4" r:id="rId7"/>
  </sheets>
  <definedNames>
    <definedName name="_Dates_Conc">#REF!</definedName>
    <definedName name="_Order1" hidden="1">0</definedName>
    <definedName name="_scen">#REF!</definedName>
    <definedName name="_scen1">#REF!</definedName>
    <definedName name="_scen2">#REF!</definedName>
    <definedName name="_SCenarios">#REF!</definedName>
    <definedName name="_Sens1">#REF!</definedName>
    <definedName name="_Sens2">#REF!</definedName>
    <definedName name="_sensRes1">#REF!</definedName>
    <definedName name="_sensRes2">#REF!</definedName>
    <definedName name="_sensRes3">#REF!</definedName>
    <definedName name="_sensRes4">#REF!</definedName>
    <definedName name="_sensRes5">#REF!</definedName>
    <definedName name="_sensRes6">#REF!</definedName>
    <definedName name="_sensRes7">#REF!</definedName>
    <definedName name="a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3" hidden="1">{"Page1",#N/A,FALSE,"CompCo";"Page2",#N/A,FALSE,"CompCo"}</definedName>
    <definedName name="Compco1" localSheetId="4" hidden="1">{"Page1",#N/A,FALSE,"CompCo";"Page2",#N/A,FALSE,"CompCo"}</definedName>
    <definedName name="Compco1" localSheetId="5" hidden="1">{"Page1",#N/A,FALSE,"CompCo";"Page2",#N/A,FALSE,"CompCo"}</definedName>
    <definedName name="Compco1" hidden="1">{"Page1",#N/A,FALSE,"CompCo";"Page2",#N/A,FALSE,"CompCo"}</definedName>
    <definedName name="Compco2" localSheetId="3" hidden="1">{"Page1",#N/A,FALSE,"CompCo";"Page2",#N/A,FALSE,"CompCo"}</definedName>
    <definedName name="Compco2" localSheetId="4" hidden="1">{"Page1",#N/A,FALSE,"CompCo";"Page2",#N/A,FALSE,"CompCo"}</definedName>
    <definedName name="Compco2" localSheetId="5" hidden="1">{"Page1",#N/A,FALSE,"CompCo";"Page2",#N/A,FALSE,"CompCo"}</definedName>
    <definedName name="Compco2" hidden="1">{"Page1",#N/A,FALSE,"CompCo";"Page2",#N/A,FALSE,"CompCo"}</definedName>
    <definedName name="DateRange">#REF!</definedName>
    <definedName name="DateRangePr" localSheetId="3" hidden="1">OFFSET(#REF!,5,0,COUNTA(#REF!)-COUNTA(#REF!),1)</definedName>
    <definedName name="DateRangePr" hidden="1">OFFSET(#REF!,5,0,COUNTA(#REF!)-COUNTA(#REF!),1)</definedName>
    <definedName name="DateRangePrice" localSheetId="3" hidden="1">OFFSET(#REF!,5,0,COUNTA(#REF!)-COUNTA(#REF!),1)</definedName>
    <definedName name="DateRangePrice" hidden="1">OFFSET(#REF!,5,0,COUNTA(#REF!)-COUNTA(#REF!),1)</definedName>
    <definedName name="DateRangePrice1" localSheetId="3" hidden="1">OFFSET(#REF!,5,0,COUNTA(#REF!)-COUNTA(#REF!),1)</definedName>
    <definedName name="DateRangePrice1" hidden="1">OFFSET(#REF!,5,0,COUNTA(#REF!)-COUNTA(#REF!),1)</definedName>
    <definedName name="DateRangePrice2" localSheetId="3" hidden="1">OFFSET(#REF!,5,0,COUNTA(#REF!)-COUNTA(#REF!),1)</definedName>
    <definedName name="DateRangePrice2" hidden="1">OFFSET(#REF!,5,0,COUNTA(#REF!)-COUNTA(#REF!),1)</definedName>
    <definedName name="ERT" localSheetId="3" hidden="1">{"execsum",#N/A,FALSE,"ExecSum";"finstatement",#N/A,FALSE,"Fin_St"}</definedName>
    <definedName name="ERT" localSheetId="4" hidden="1">{"execsum",#N/A,FALSE,"ExecSum";"finstatement",#N/A,FALSE,"Fin_St"}</definedName>
    <definedName name="ERT" localSheetId="5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hidden="1">#REF!,#REF!,#REF!,#REF!,#REF!</definedName>
    <definedName name="hn.ModelVersion" hidden="1">1</definedName>
    <definedName name="hn.NoUpload" hidden="1">0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3" hidden="1">{"finana",#N/A,FALSE,"Fin"}</definedName>
    <definedName name="kjjkghkhj" localSheetId="4" hidden="1">{"finana",#N/A,FALSE,"Fin"}</definedName>
    <definedName name="kjjkghkhj" localSheetId="5" hidden="1">{"finana",#N/A,FALSE,"Fin"}</definedName>
    <definedName name="kjjkghkhj" hidden="1">{"finana",#N/A,FALSE,"Fin"}</definedName>
    <definedName name="limcount" hidden="1">1</definedName>
    <definedName name="lkhkhj" localSheetId="3" hidden="1">{"sub1",#N/A,FALSE,"Subs";"pac1",#N/A,FALSE,"Packages";"rev1",#N/A,FALSE,"2. Revenues"}</definedName>
    <definedName name="lkhkhj" localSheetId="4" hidden="1">{"sub1",#N/A,FALSE,"Subs";"pac1",#N/A,FALSE,"Packages";"rev1",#N/A,FALSE,"2. Revenues"}</definedName>
    <definedName name="lkhkhj" localSheetId="5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>#REF!</definedName>
    <definedName name="Months">#REF!</definedName>
    <definedName name="Outpu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3" hidden="1">OFFSET(#REF!,5,0,COUNTA(#REF!)-COUNTA(#REF!),1)</definedName>
    <definedName name="PriceRange" hidden="1">OFFSET(#REF!,5,0,COUNTA(#REF!)-COUNTA(#REF!),1)</definedName>
    <definedName name="PriceRange2" localSheetId="3" hidden="1">OFFSET(#REF!,5,0,COUNTA(#REF!)-COUNTA(#REF!),1)</definedName>
    <definedName name="PriceRange2" hidden="1">OFFSET(#REF!,5,0,COUNTA(#REF!)-COUNTA(#REF!),1)</definedName>
    <definedName name="Rng_Dealers_Names">#REF!</definedName>
    <definedName name="Rng_Dlr_Dates">#REF!</definedName>
    <definedName name="sencount" hidden="1">1</definedName>
    <definedName name="SLEVI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3" hidden="1">{"execsum",#N/A,FALSE,"ExecSum";"finstatement",#N/A,FALSE,"Fin_St"}</definedName>
    <definedName name="test" localSheetId="4" hidden="1">{"execsum",#N/A,FALSE,"ExecSum";"finstatement",#N/A,FALSE,"Fin_St"}</definedName>
    <definedName name="test" localSheetId="5" hidden="1">{"execsum",#N/A,FALSE,"ExecSum";"finstatement",#N/A,FALSE,"Fin_St"}</definedName>
    <definedName name="test" hidden="1">{"execsum",#N/A,FALSE,"ExecSum";"finstatement",#N/A,FALSE,"Fin_St"}</definedName>
    <definedName name="test21" localSheetId="3" hidden="1">OFFSET(#REF!,5,0,COUNTA(#REF!)-COUNTA(#REF!),1)</definedName>
    <definedName name="test21" hidden="1">OFFSET(#REF!,5,0,COUNTA(#REF!)-COUNTA(#REF!),1)</definedName>
    <definedName name="Ticker" hidden="1">#N/A</definedName>
    <definedName name="Titre">#REF!</definedName>
    <definedName name="value" localSheetId="3" hidden="1">OFFSET(#REF!,5,0,COUNTA(#REF!)-COUNTA(#REF!),1)</definedName>
    <definedName name="value" hidden="1">OFFSET(#REF!,5,0,COUNTA(#REF!)-COUNTA(#REF!),1)</definedName>
    <definedName name="value2" localSheetId="3" hidden="1">OFFSET(#REF!,5,0,COUNTA(#REF!)-COUNTA(#REF!),1)</definedName>
    <definedName name="value2" hidden="1">OFFSET(#REF!,5,0,COUNTA(#REF!)-COUNTA(#REF!),1)</definedName>
    <definedName name="wrn.amendement." localSheetId="3" hidden="1">{#N/A,#N/A,FALSE,"amendement"}</definedName>
    <definedName name="wrn.amendement." localSheetId="4" hidden="1">{#N/A,#N/A,FALSE,"amendement"}</definedName>
    <definedName name="wrn.amendement." localSheetId="5" hidden="1">{#N/A,#N/A,FALSE,"amendement"}</definedName>
    <definedName name="wrn.amendement." hidden="1">{#N/A,#N/A,FALSE,"amendement"}</definedName>
    <definedName name="wrn.amendement.." localSheetId="3" hidden="1">{#N/A,#N/A,FALSE,"amendement"}</definedName>
    <definedName name="wrn.amendement.." localSheetId="4" hidden="1">{#N/A,#N/A,FALSE,"amendement"}</definedName>
    <definedName name="wrn.amendement.." localSheetId="5" hidden="1">{#N/A,#N/A,FALSE,"amendement"}</definedName>
    <definedName name="wrn.amendement.." hidden="1">{#N/A,#N/A,FALSE,"amendement"}</definedName>
    <definedName name="wrn.COMPCO." localSheetId="3" hidden="1">{"Page1",#N/A,FALSE,"CompCo";"Page2",#N/A,FALSE,"CompCo"}</definedName>
    <definedName name="wrn.COMPCO." localSheetId="4" hidden="1">{"Page1",#N/A,FALSE,"CompCo";"Page2",#N/A,FALSE,"CompCo"}</definedName>
    <definedName name="wrn.COMPCO." localSheetId="5" hidden="1">{"Page1",#N/A,FALSE,"CompCo";"Page2",#N/A,FALSE,"CompCo"}</definedName>
    <definedName name="wrn.COMPCO." hidden="1">{"Page1",#N/A,FALSE,"CompCo";"Page2",#N/A,FALSE,"CompCo"}</definedName>
    <definedName name="wrn.Delchamps.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5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3" hidden="1">{"Build1",#N/A,FALSE,"Buildup";"Build2",#N/A,FALSE,"Buildup";"Build3",#N/A,FALSE,"Buildup"}</definedName>
    <definedName name="wrn.detail." localSheetId="4" hidden="1">{"Build1",#N/A,FALSE,"Buildup";"Build2",#N/A,FALSE,"Buildup";"Build3",#N/A,FALSE,"Buildup"}</definedName>
    <definedName name="wrn.detail." localSheetId="5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3" hidden="1">{"execsum",#N/A,FALSE,"ExecSum";"finstatement",#N/A,FALSE,"Fin_St"}</definedName>
    <definedName name="wrn.execsum." localSheetId="4" hidden="1">{"execsum",#N/A,FALSE,"ExecSum";"finstatement",#N/A,FALSE,"Fin_St"}</definedName>
    <definedName name="wrn.execsum." localSheetId="5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3" hidden="1">{"finana",#N/A,FALSE,"Fin"}</definedName>
    <definedName name="wrn.Finanalysis." localSheetId="4" hidden="1">{"finana",#N/A,FALSE,"Fin"}</definedName>
    <definedName name="wrn.Finanalysis." localSheetId="5" hidden="1">{"finana",#N/A,FALSE,"Fin"}</definedName>
    <definedName name="wrn.Finanalysis." hidden="1">{"finana",#N/A,FALSE,"Fin"}</definedName>
    <definedName name="wrn.full._.report.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3" hidden="1">{"sub1",#N/A,FALSE,"Subs";"pac1",#N/A,FALSE,"Packages";"rev1",#N/A,FALSE,"2. Revenues"}</definedName>
    <definedName name="wrn.magicrep." localSheetId="4" hidden="1">{"sub1",#N/A,FALSE,"Subs";"pac1",#N/A,FALSE,"Packages";"rev1",#N/A,FALSE,"2. Revenues"}</definedName>
    <definedName name="wrn.magicrep." localSheetId="5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3" hidden="1">{"volu1",#N/A,FALSE,"Volumes";"headcount",#N/A,FALSE,"Headcount";"emprpt",#N/A,FALSE,"Output"}</definedName>
    <definedName name="wrn.persrep." localSheetId="4" hidden="1">{"volu1",#N/A,FALSE,"Volumes";"headcount",#N/A,FALSE,"Headcount";"emprpt",#N/A,FALSE,"Output"}</definedName>
    <definedName name="wrn.persrep." localSheetId="5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3" hidden="1">{"PA1",#N/A,FALSE,"BORDMW";"pa2",#N/A,FALSE,"BORDMW";"PA3",#N/A,FALSE,"BORDMW";"PA4",#N/A,FALSE,"BORDMW"}</definedName>
    <definedName name="wrn.PrintAll." localSheetId="4" hidden="1">{"PA1",#N/A,FALSE,"BORDMW";"pa2",#N/A,FALSE,"BORDMW";"PA3",#N/A,FALSE,"BORDMW";"PA4",#N/A,FALSE,"BORDMW"}</definedName>
    <definedName name="wrn.PrintAll." localSheetId="5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3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5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">Conso!$C$1:$S$234,Conso!$C$292:$S$354,Conso!$V$403:$AO$499</definedName>
    <definedName name="_xlnm.Print_Area" localSheetId="3">'Mois 1'!#REF!,'Mois 1'!#REF!,'Mois 1'!#REF!,'Mois 1'!#REF!,'Mois 1'!#REF!,'Mois 1'!#REF!</definedName>
    <definedName name="_xlnm.Print_Area" localSheetId="4">'Mois 2'!#REF!,'Mois 2'!#REF!,'Mois 2'!#REF!,'Mois 2'!#REF!,'Mois 2'!#REF!,'Mois 2'!#REF!</definedName>
    <definedName name="_xlnm.Print_Area" localSheetId="5">'Mois 3'!$C$1:$T$698,'Mois 3'!$U$402:$AO$498</definedName>
    <definedName name="_xlnm.Print_Area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00" i="6" l="1"/>
  <c r="A499" i="6"/>
  <c r="AO498" i="6"/>
  <c r="A498" i="6"/>
  <c r="AR497" i="6"/>
  <c r="A497" i="6"/>
  <c r="AR496" i="6"/>
  <c r="AO496" i="6"/>
  <c r="A496" i="6"/>
  <c r="AO495" i="6"/>
  <c r="AR495" i="6"/>
  <c r="A495" i="6"/>
  <c r="AI495" i="6" s="1"/>
  <c r="AR494" i="6"/>
  <c r="A494" i="6"/>
  <c r="AR493" i="6"/>
  <c r="AO493" i="6"/>
  <c r="AN493" i="6"/>
  <c r="AI493" i="6"/>
  <c r="A493" i="6"/>
  <c r="AH492" i="6"/>
  <c r="A492" i="6"/>
  <c r="A491" i="6"/>
  <c r="A490" i="6"/>
  <c r="A489" i="6"/>
  <c r="A488" i="6"/>
  <c r="A487" i="6"/>
  <c r="A485" i="6"/>
  <c r="A484" i="6"/>
  <c r="AO483" i="6"/>
  <c r="AN483" i="6"/>
  <c r="A483" i="6"/>
  <c r="AR482" i="6"/>
  <c r="AQ482" i="6"/>
  <c r="A482" i="6"/>
  <c r="AS481" i="6"/>
  <c r="A481" i="6"/>
  <c r="AS480" i="6"/>
  <c r="A480" i="6"/>
  <c r="AS479" i="6"/>
  <c r="A479" i="6"/>
  <c r="AS478" i="6"/>
  <c r="A478" i="6"/>
  <c r="AS477" i="6"/>
  <c r="A477" i="6"/>
  <c r="AS476" i="6"/>
  <c r="A476" i="6"/>
  <c r="AS475" i="6"/>
  <c r="A475" i="6"/>
  <c r="AO475" i="6" s="1"/>
  <c r="AS474" i="6"/>
  <c r="A474" i="6"/>
  <c r="AS473" i="6"/>
  <c r="A473" i="6"/>
  <c r="AS472" i="6"/>
  <c r="A472" i="6"/>
  <c r="AS471" i="6"/>
  <c r="A471" i="6"/>
  <c r="AS470" i="6"/>
  <c r="AN470" i="6"/>
  <c r="AO470" i="6" s="1"/>
  <c r="A470" i="6"/>
  <c r="A469" i="6"/>
  <c r="AO468" i="6"/>
  <c r="AN468" i="6"/>
  <c r="AH468" i="6"/>
  <c r="A468" i="6"/>
  <c r="A467" i="6"/>
  <c r="A466" i="6"/>
  <c r="A465" i="6"/>
  <c r="A464" i="6"/>
  <c r="A463" i="6"/>
  <c r="AN462" i="6"/>
  <c r="A462" i="6"/>
  <c r="AO461" i="6"/>
  <c r="AN461" i="6"/>
  <c r="A461" i="6"/>
  <c r="AQ460" i="6"/>
  <c r="AH460" i="6"/>
  <c r="A460" i="6"/>
  <c r="A459" i="6"/>
  <c r="A458" i="6"/>
  <c r="AN457" i="6"/>
  <c r="AO457" i="6"/>
  <c r="AI457" i="6"/>
  <c r="AH457" i="6"/>
  <c r="A457" i="6"/>
  <c r="A456" i="6"/>
  <c r="AH455" i="6"/>
  <c r="A455" i="6"/>
  <c r="AH454" i="6"/>
  <c r="AN454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S395" i="6"/>
  <c r="A395" i="6"/>
  <c r="A394" i="6"/>
  <c r="S393" i="6"/>
  <c r="A393" i="6"/>
  <c r="A392" i="6"/>
  <c r="S391" i="6"/>
  <c r="A391" i="6"/>
  <c r="A390" i="6"/>
  <c r="A389" i="6"/>
  <c r="A388" i="6"/>
  <c r="S387" i="6"/>
  <c r="A387" i="6"/>
  <c r="A386" i="6"/>
  <c r="S385" i="6"/>
  <c r="A385" i="6"/>
  <c r="A384" i="6"/>
  <c r="S383" i="6"/>
  <c r="A383" i="6"/>
  <c r="A382" i="6"/>
  <c r="S381" i="6"/>
  <c r="A381" i="6"/>
  <c r="A380" i="6"/>
  <c r="S379" i="6"/>
  <c r="A379" i="6"/>
  <c r="A378" i="6"/>
  <c r="S377" i="6"/>
  <c r="A377" i="6"/>
  <c r="A376" i="6"/>
  <c r="A375" i="6"/>
  <c r="A374" i="6"/>
  <c r="A373" i="6"/>
  <c r="A372" i="6"/>
  <c r="A371" i="6"/>
  <c r="A370" i="6"/>
  <c r="S369" i="6"/>
  <c r="A369" i="6"/>
  <c r="A368" i="6"/>
  <c r="A367" i="6"/>
  <c r="A366" i="6"/>
  <c r="A365" i="6"/>
  <c r="A364" i="6"/>
  <c r="Q363" i="6"/>
  <c r="F363" i="6"/>
  <c r="A363" i="6"/>
  <c r="A362" i="6"/>
  <c r="K361" i="6"/>
  <c r="E361" i="6"/>
  <c r="A361" i="6"/>
  <c r="D363" i="6" s="1"/>
  <c r="E363" i="6" s="1"/>
  <c r="A360" i="6"/>
  <c r="S349" i="6"/>
  <c r="A349" i="6"/>
  <c r="N348" i="6"/>
  <c r="A348" i="6"/>
  <c r="A347" i="6"/>
  <c r="A346" i="6"/>
  <c r="S345" i="6"/>
  <c r="N345" i="6"/>
  <c r="A345" i="6"/>
  <c r="A344" i="6"/>
  <c r="S343" i="6"/>
  <c r="N343" i="6"/>
  <c r="A343" i="6"/>
  <c r="A342" i="6"/>
  <c r="S341" i="6"/>
  <c r="N341" i="6"/>
  <c r="A341" i="6"/>
  <c r="N340" i="6"/>
  <c r="A340" i="6"/>
  <c r="S339" i="6"/>
  <c r="A339" i="6"/>
  <c r="S338" i="6"/>
  <c r="A338" i="6"/>
  <c r="S337" i="6"/>
  <c r="A337" i="6"/>
  <c r="S336" i="6"/>
  <c r="N336" i="6"/>
  <c r="A336" i="6"/>
  <c r="A335" i="6"/>
  <c r="S334" i="6"/>
  <c r="A334" i="6"/>
  <c r="A333" i="6"/>
  <c r="A332" i="6"/>
  <c r="A331" i="6"/>
  <c r="A330" i="6"/>
  <c r="S330" i="6" s="1"/>
  <c r="A329" i="6"/>
  <c r="S328" i="6"/>
  <c r="A328" i="6"/>
  <c r="A327" i="6"/>
  <c r="S326" i="6"/>
  <c r="N326" i="6"/>
  <c r="A326" i="6"/>
  <c r="A325" i="6"/>
  <c r="A324" i="6"/>
  <c r="S324" i="6" s="1"/>
  <c r="A323" i="6"/>
  <c r="N322" i="6"/>
  <c r="A322" i="6"/>
  <c r="N321" i="6"/>
  <c r="A321" i="6"/>
  <c r="S320" i="6"/>
  <c r="N320" i="6"/>
  <c r="A320" i="6"/>
  <c r="A319" i="6"/>
  <c r="A318" i="6"/>
  <c r="A317" i="6"/>
  <c r="A316" i="6"/>
  <c r="A315" i="6"/>
  <c r="A314" i="6"/>
  <c r="K313" i="6"/>
  <c r="A313" i="6"/>
  <c r="A312" i="6"/>
  <c r="A311" i="6"/>
  <c r="A310" i="6"/>
  <c r="N309" i="6"/>
  <c r="A309" i="6"/>
  <c r="E309" i="6" s="1"/>
  <c r="R308" i="6"/>
  <c r="N308" i="6"/>
  <c r="K308" i="6"/>
  <c r="A308" i="6"/>
  <c r="A307" i="6"/>
  <c r="A306" i="6"/>
  <c r="A305" i="6"/>
  <c r="K304" i="6"/>
  <c r="N304" i="6"/>
  <c r="E304" i="6"/>
  <c r="A304" i="6"/>
  <c r="S303" i="6"/>
  <c r="K303" i="6"/>
  <c r="A303" i="6"/>
  <c r="K302" i="6"/>
  <c r="A302" i="6"/>
  <c r="S301" i="6"/>
  <c r="N301" i="6"/>
  <c r="E301" i="6"/>
  <c r="A301" i="6"/>
  <c r="K300" i="6"/>
  <c r="A300" i="6"/>
  <c r="K299" i="6"/>
  <c r="A299" i="6"/>
  <c r="S298" i="6"/>
  <c r="N298" i="6"/>
  <c r="E298" i="6"/>
  <c r="A298" i="6"/>
  <c r="K297" i="6"/>
  <c r="A297" i="6"/>
  <c r="S296" i="6"/>
  <c r="A296" i="6"/>
  <c r="A295" i="6"/>
  <c r="K288" i="6"/>
  <c r="S285" i="6"/>
  <c r="N285" i="6"/>
  <c r="A285" i="6"/>
  <c r="A284" i="6"/>
  <c r="N283" i="6"/>
  <c r="A283" i="6"/>
  <c r="S282" i="6"/>
  <c r="A282" i="6"/>
  <c r="S281" i="6"/>
  <c r="N281" i="6"/>
  <c r="A281" i="6"/>
  <c r="A280" i="6"/>
  <c r="S279" i="6"/>
  <c r="N279" i="6"/>
  <c r="A279" i="6"/>
  <c r="S278" i="6"/>
  <c r="A278" i="6"/>
  <c r="S277" i="6"/>
  <c r="A277" i="6"/>
  <c r="S276" i="6"/>
  <c r="N276" i="6"/>
  <c r="A276" i="6"/>
  <c r="S275" i="6"/>
  <c r="N275" i="6"/>
  <c r="A275" i="6"/>
  <c r="N274" i="6"/>
  <c r="A274" i="6"/>
  <c r="A273" i="6"/>
  <c r="S272" i="6"/>
  <c r="N272" i="6"/>
  <c r="A272" i="6"/>
  <c r="N271" i="6"/>
  <c r="A271" i="6"/>
  <c r="S270" i="6"/>
  <c r="A270" i="6"/>
  <c r="A269" i="6"/>
  <c r="L286" i="6"/>
  <c r="A268" i="6"/>
  <c r="A267" i="6"/>
  <c r="A266" i="6"/>
  <c r="A265" i="6"/>
  <c r="N265" i="6" s="1"/>
  <c r="N264" i="6"/>
  <c r="A264" i="6"/>
  <c r="S264" i="6" s="1"/>
  <c r="K286" i="6"/>
  <c r="A263" i="6"/>
  <c r="S263" i="6" s="1"/>
  <c r="N262" i="6"/>
  <c r="A262" i="6"/>
  <c r="S262" i="6" s="1"/>
  <c r="N261" i="6"/>
  <c r="A261" i="6"/>
  <c r="S261" i="6" s="1"/>
  <c r="N260" i="6"/>
  <c r="A260" i="6"/>
  <c r="A259" i="6"/>
  <c r="A258" i="6"/>
  <c r="S258" i="6" s="1"/>
  <c r="A257" i="6"/>
  <c r="A256" i="6"/>
  <c r="A255" i="6"/>
  <c r="A254" i="6"/>
  <c r="A253" i="6"/>
  <c r="A252" i="6"/>
  <c r="E251" i="6"/>
  <c r="A251" i="6"/>
  <c r="A250" i="6"/>
  <c r="S249" i="6"/>
  <c r="Q249" i="6"/>
  <c r="N249" i="6"/>
  <c r="L249" i="6"/>
  <c r="F249" i="6"/>
  <c r="A249" i="6"/>
  <c r="S248" i="6"/>
  <c r="R248" i="6"/>
  <c r="N248" i="6"/>
  <c r="M248" i="6"/>
  <c r="K251" i="6"/>
  <c r="L252" i="6" s="1"/>
  <c r="A248" i="6"/>
  <c r="A247" i="6"/>
  <c r="A246" i="6"/>
  <c r="K267" i="6"/>
  <c r="M245" i="6"/>
  <c r="A245" i="6"/>
  <c r="R245" i="6" s="1"/>
  <c r="A244" i="6"/>
  <c r="A243" i="6"/>
  <c r="M242" i="6"/>
  <c r="A242" i="6"/>
  <c r="A241" i="6"/>
  <c r="A240" i="6"/>
  <c r="S229" i="6"/>
  <c r="A229" i="6"/>
  <c r="A228" i="6"/>
  <c r="N228" i="6" s="1"/>
  <c r="A227" i="6"/>
  <c r="S226" i="6"/>
  <c r="N226" i="6"/>
  <c r="A226" i="6"/>
  <c r="A225" i="6"/>
  <c r="S224" i="6"/>
  <c r="N224" i="6"/>
  <c r="A224" i="6"/>
  <c r="A223" i="6"/>
  <c r="S222" i="6"/>
  <c r="N222" i="6"/>
  <c r="A222" i="6"/>
  <c r="S221" i="6"/>
  <c r="A221" i="6"/>
  <c r="N221" i="6" s="1"/>
  <c r="N220" i="6"/>
  <c r="A220" i="6"/>
  <c r="S220" i="6" s="1"/>
  <c r="A219" i="6"/>
  <c r="N218" i="6"/>
  <c r="A218" i="6"/>
  <c r="S217" i="6"/>
  <c r="N217" i="6"/>
  <c r="A217" i="6"/>
  <c r="S216" i="6"/>
  <c r="A216" i="6"/>
  <c r="S215" i="6"/>
  <c r="N215" i="6"/>
  <c r="A215" i="6"/>
  <c r="S214" i="6"/>
  <c r="A214" i="6"/>
  <c r="N214" i="6" s="1"/>
  <c r="N213" i="6"/>
  <c r="A213" i="6"/>
  <c r="S213" i="6" s="1"/>
  <c r="S212" i="6"/>
  <c r="A212" i="6"/>
  <c r="A211" i="6"/>
  <c r="A210" i="6"/>
  <c r="N209" i="6"/>
  <c r="A209" i="6"/>
  <c r="S209" i="6" s="1"/>
  <c r="A208" i="6"/>
  <c r="N207" i="6"/>
  <c r="A207" i="6"/>
  <c r="S206" i="6"/>
  <c r="A206" i="6"/>
  <c r="S205" i="6"/>
  <c r="N205" i="6"/>
  <c r="A205" i="6"/>
  <c r="A204" i="6"/>
  <c r="S204" i="6" s="1"/>
  <c r="N203" i="6"/>
  <c r="A203" i="6"/>
  <c r="S203" i="6" s="1"/>
  <c r="A202" i="6"/>
  <c r="N201" i="6"/>
  <c r="A201" i="6"/>
  <c r="A200" i="6"/>
  <c r="A199" i="6"/>
  <c r="A198" i="6"/>
  <c r="A197" i="6"/>
  <c r="A196" i="6"/>
  <c r="A195" i="6"/>
  <c r="A194" i="6"/>
  <c r="L193" i="6"/>
  <c r="A193" i="6"/>
  <c r="Q193" i="6"/>
  <c r="A192" i="6"/>
  <c r="A191" i="6"/>
  <c r="A190" i="6"/>
  <c r="R189" i="6"/>
  <c r="L190" i="6"/>
  <c r="M189" i="6"/>
  <c r="A189" i="6"/>
  <c r="F190" i="6" s="1"/>
  <c r="A188" i="6"/>
  <c r="A187" i="6"/>
  <c r="J186" i="6"/>
  <c r="A186" i="6"/>
  <c r="S185" i="6"/>
  <c r="N185" i="6"/>
  <c r="A185" i="6"/>
  <c r="A184" i="6"/>
  <c r="M183" i="6"/>
  <c r="A183" i="6"/>
  <c r="P184" i="6"/>
  <c r="L183" i="6"/>
  <c r="A182" i="6"/>
  <c r="R182" i="6" s="1"/>
  <c r="A181" i="6"/>
  <c r="R180" i="6"/>
  <c r="A180" i="6"/>
  <c r="M179" i="6"/>
  <c r="A179" i="6"/>
  <c r="A178" i="6"/>
  <c r="A177" i="6"/>
  <c r="Q177" i="6"/>
  <c r="L177" i="6"/>
  <c r="A176" i="6"/>
  <c r="R176" i="6" s="1"/>
  <c r="A175" i="6"/>
  <c r="A174" i="6"/>
  <c r="K186" i="6"/>
  <c r="K175" i="6"/>
  <c r="A173" i="6"/>
  <c r="A172" i="6"/>
  <c r="V163" i="6"/>
  <c r="A163" i="6"/>
  <c r="A162" i="6"/>
  <c r="S162" i="6" s="1"/>
  <c r="A161" i="6"/>
  <c r="N160" i="6"/>
  <c r="V160" i="6"/>
  <c r="A160" i="6"/>
  <c r="A159" i="6"/>
  <c r="S158" i="6"/>
  <c r="N158" i="6"/>
  <c r="A158" i="6"/>
  <c r="A157" i="6"/>
  <c r="A156" i="6"/>
  <c r="A155" i="6"/>
  <c r="A154" i="6"/>
  <c r="A153" i="6"/>
  <c r="N152" i="6"/>
  <c r="S152" i="6"/>
  <c r="A152" i="6"/>
  <c r="A151" i="6"/>
  <c r="N150" i="6"/>
  <c r="A150" i="6"/>
  <c r="S149" i="6"/>
  <c r="N149" i="6"/>
  <c r="A149" i="6"/>
  <c r="N148" i="6"/>
  <c r="S148" i="6"/>
  <c r="A148" i="6"/>
  <c r="S147" i="6"/>
  <c r="N147" i="6"/>
  <c r="A147" i="6"/>
  <c r="N146" i="6"/>
  <c r="A146" i="6"/>
  <c r="S145" i="6"/>
  <c r="A145" i="6"/>
  <c r="N145" i="6" s="1"/>
  <c r="S144" i="6"/>
  <c r="N144" i="6"/>
  <c r="A144" i="6"/>
  <c r="A143" i="6"/>
  <c r="N142" i="6"/>
  <c r="A142" i="6"/>
  <c r="S142" i="6" s="1"/>
  <c r="A141" i="6"/>
  <c r="N140" i="6"/>
  <c r="S140" i="6"/>
  <c r="A140" i="6"/>
  <c r="A139" i="6"/>
  <c r="A138" i="6"/>
  <c r="A137" i="6"/>
  <c r="A136" i="6"/>
  <c r="S135" i="6"/>
  <c r="A135" i="6"/>
  <c r="N135" i="6" s="1"/>
  <c r="S134" i="6"/>
  <c r="N134" i="6"/>
  <c r="A134" i="6"/>
  <c r="A133" i="6"/>
  <c r="A132" i="6"/>
  <c r="A131" i="6"/>
  <c r="A130" i="6"/>
  <c r="S129" i="6"/>
  <c r="A129" i="6"/>
  <c r="N128" i="6"/>
  <c r="A128" i="6"/>
  <c r="A127" i="6"/>
  <c r="A126" i="6"/>
  <c r="S126" i="6" s="1"/>
  <c r="A125" i="6"/>
  <c r="A124" i="6"/>
  <c r="A123" i="6"/>
  <c r="A122" i="6"/>
  <c r="N121" i="6"/>
  <c r="A121" i="6"/>
  <c r="A120" i="6"/>
  <c r="N119" i="6"/>
  <c r="A119" i="6"/>
  <c r="N118" i="6"/>
  <c r="S118" i="6"/>
  <c r="A118" i="6"/>
  <c r="A117" i="6"/>
  <c r="S116" i="6"/>
  <c r="A116" i="6"/>
  <c r="A115" i="6"/>
  <c r="S114" i="6"/>
  <c r="N114" i="6"/>
  <c r="A114" i="6"/>
  <c r="A113" i="6"/>
  <c r="A112" i="6"/>
  <c r="A111" i="6"/>
  <c r="A110" i="6"/>
  <c r="X109" i="6"/>
  <c r="W109" i="6"/>
  <c r="A109" i="6"/>
  <c r="A108" i="6"/>
  <c r="A107" i="6"/>
  <c r="A106" i="6"/>
  <c r="A105" i="6"/>
  <c r="S104" i="6"/>
  <c r="A104" i="6"/>
  <c r="A103" i="6"/>
  <c r="A102" i="6"/>
  <c r="R101" i="6"/>
  <c r="P101" i="6"/>
  <c r="M101" i="6"/>
  <c r="Y101" i="6"/>
  <c r="E101" i="6"/>
  <c r="A101" i="6"/>
  <c r="A100" i="6"/>
  <c r="R99" i="6"/>
  <c r="B99" i="6"/>
  <c r="A99" i="6"/>
  <c r="E99" i="6" s="1"/>
  <c r="A98" i="6"/>
  <c r="A97" i="6"/>
  <c r="P96" i="6"/>
  <c r="L97" i="6"/>
  <c r="E96" i="6"/>
  <c r="A96" i="6"/>
  <c r="K95" i="6"/>
  <c r="A95" i="6"/>
  <c r="S94" i="6"/>
  <c r="K94" i="6"/>
  <c r="E94" i="6"/>
  <c r="A94" i="6"/>
  <c r="A93" i="6"/>
  <c r="C89" i="6"/>
  <c r="B85" i="6"/>
  <c r="A85" i="6" s="1"/>
  <c r="B84" i="6"/>
  <c r="A84" i="6" s="1"/>
  <c r="B83" i="6"/>
  <c r="A83" i="6" s="1"/>
  <c r="B82" i="6"/>
  <c r="S82" i="6" s="1"/>
  <c r="A82" i="6"/>
  <c r="S81" i="6"/>
  <c r="B81" i="6"/>
  <c r="A81" i="6" s="1"/>
  <c r="B80" i="6"/>
  <c r="B79" i="6"/>
  <c r="S78" i="6"/>
  <c r="B78" i="6"/>
  <c r="A78" i="6" s="1"/>
  <c r="B77" i="6"/>
  <c r="B76" i="6"/>
  <c r="A76" i="6"/>
  <c r="S76" i="6" s="1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 s="1"/>
  <c r="B68" i="6"/>
  <c r="B67" i="6"/>
  <c r="A67" i="6" s="1"/>
  <c r="B66" i="6"/>
  <c r="B65" i="6"/>
  <c r="A65" i="6"/>
  <c r="B64" i="6"/>
  <c r="A64" i="6" s="1"/>
  <c r="B63" i="6"/>
  <c r="A63" i="6"/>
  <c r="S62" i="6"/>
  <c r="B62" i="6"/>
  <c r="N62" i="6" s="1"/>
  <c r="A62" i="6"/>
  <c r="B61" i="6"/>
  <c r="A61" i="6" s="1"/>
  <c r="B60" i="6"/>
  <c r="A60" i="6"/>
  <c r="B59" i="6"/>
  <c r="N58" i="6"/>
  <c r="S58" i="6"/>
  <c r="B58" i="6"/>
  <c r="A58" i="6" s="1"/>
  <c r="B57" i="6"/>
  <c r="S56" i="6"/>
  <c r="B56" i="6"/>
  <c r="A56" i="6"/>
  <c r="B55" i="6"/>
  <c r="B54" i="6"/>
  <c r="A54" i="6" s="1"/>
  <c r="B53" i="6"/>
  <c r="B52" i="6"/>
  <c r="B51" i="6"/>
  <c r="S51" i="6" s="1"/>
  <c r="A51" i="6"/>
  <c r="B50" i="6"/>
  <c r="B49" i="6"/>
  <c r="A49" i="6"/>
  <c r="B48" i="6"/>
  <c r="S47" i="6"/>
  <c r="B47" i="6"/>
  <c r="A47" i="6"/>
  <c r="S46" i="6"/>
  <c r="B46" i="6"/>
  <c r="N46" i="6" s="1"/>
  <c r="A46" i="6"/>
  <c r="S45" i="6"/>
  <c r="B45" i="6"/>
  <c r="A45" i="6"/>
  <c r="B44" i="6"/>
  <c r="B43" i="6"/>
  <c r="N42" i="6"/>
  <c r="B42" i="6"/>
  <c r="A42" i="6"/>
  <c r="B41" i="6"/>
  <c r="A41" i="6" s="1"/>
  <c r="B40" i="6"/>
  <c r="A40" i="6"/>
  <c r="B39" i="6"/>
  <c r="A39" i="6"/>
  <c r="B38" i="6"/>
  <c r="B37" i="6"/>
  <c r="B36" i="6"/>
  <c r="A36" i="6"/>
  <c r="B35" i="6"/>
  <c r="B34" i="6"/>
  <c r="A34" i="6"/>
  <c r="N33" i="6"/>
  <c r="B33" i="6"/>
  <c r="A33" i="6"/>
  <c r="B32" i="6"/>
  <c r="A32" i="6"/>
  <c r="B31" i="6"/>
  <c r="B30" i="6"/>
  <c r="A30" i="6" s="1"/>
  <c r="B29" i="6"/>
  <c r="A29" i="6"/>
  <c r="B28" i="6"/>
  <c r="A28" i="6"/>
  <c r="X27" i="6"/>
  <c r="W27" i="6"/>
  <c r="B27" i="6"/>
  <c r="A27" i="6" s="1"/>
  <c r="B26" i="6"/>
  <c r="A26" i="6"/>
  <c r="B25" i="6"/>
  <c r="A25" i="6" s="1"/>
  <c r="B24" i="6"/>
  <c r="A24" i="6"/>
  <c r="N23" i="6"/>
  <c r="B23" i="6"/>
  <c r="A23" i="6" s="1"/>
  <c r="B22" i="6"/>
  <c r="B21" i="6"/>
  <c r="A21" i="6"/>
  <c r="B20" i="6"/>
  <c r="A20" i="6" s="1"/>
  <c r="B19" i="6"/>
  <c r="B18" i="6"/>
  <c r="A18" i="6"/>
  <c r="P17" i="6"/>
  <c r="Y17" i="6"/>
  <c r="B17" i="6"/>
  <c r="A17" i="6"/>
  <c r="E17" i="6" s="1"/>
  <c r="B16" i="6"/>
  <c r="A16" i="6" s="1"/>
  <c r="S15" i="6"/>
  <c r="B15" i="6"/>
  <c r="A15" i="6"/>
  <c r="B14" i="6"/>
  <c r="A14" i="6"/>
  <c r="B13" i="6"/>
  <c r="A13" i="6" s="1"/>
  <c r="B12" i="6"/>
  <c r="A12" i="6" s="1"/>
  <c r="P12" i="6" s="1"/>
  <c r="B11" i="6"/>
  <c r="B10" i="6"/>
  <c r="A10" i="6" s="1"/>
  <c r="B9" i="6"/>
  <c r="A9" i="6"/>
  <c r="S9" i="6" s="1"/>
  <c r="K8" i="6"/>
  <c r="B8" i="6"/>
  <c r="B7" i="6"/>
  <c r="B6" i="6"/>
  <c r="B5" i="6"/>
  <c r="A500" i="5"/>
  <c r="A499" i="5"/>
  <c r="AO498" i="5"/>
  <c r="AN498" i="5"/>
  <c r="A498" i="5"/>
  <c r="AR497" i="5"/>
  <c r="A497" i="5"/>
  <c r="AR496" i="5"/>
  <c r="AO496" i="5"/>
  <c r="A496" i="5"/>
  <c r="AO495" i="5"/>
  <c r="AR495" i="5"/>
  <c r="A495" i="5"/>
  <c r="AI495" i="5" s="1"/>
  <c r="AR494" i="5"/>
  <c r="A494" i="5"/>
  <c r="AR493" i="5"/>
  <c r="AO493" i="5"/>
  <c r="AN493" i="5"/>
  <c r="AI493" i="5"/>
  <c r="A493" i="5"/>
  <c r="A492" i="5"/>
  <c r="A491" i="5"/>
  <c r="A490" i="5"/>
  <c r="A489" i="5"/>
  <c r="A488" i="5"/>
  <c r="A487" i="5"/>
  <c r="A485" i="5"/>
  <c r="A484" i="5"/>
  <c r="AO483" i="5"/>
  <c r="AN483" i="5"/>
  <c r="A483" i="5"/>
  <c r="AQ482" i="5"/>
  <c r="A482" i="5"/>
  <c r="AS481" i="5"/>
  <c r="A481" i="5"/>
  <c r="AS480" i="5"/>
  <c r="A480" i="5"/>
  <c r="AS479" i="5"/>
  <c r="A479" i="5"/>
  <c r="AR478" i="5"/>
  <c r="AS478" i="5" s="1"/>
  <c r="AT478" i="5" s="1"/>
  <c r="AH478" i="5"/>
  <c r="AI478" i="5" s="1"/>
  <c r="A478" i="5"/>
  <c r="AN478" i="5" s="1"/>
  <c r="AS477" i="5"/>
  <c r="A477" i="5"/>
  <c r="AS476" i="5"/>
  <c r="A476" i="5"/>
  <c r="AS475" i="5"/>
  <c r="AO475" i="5"/>
  <c r="A475" i="5"/>
  <c r="AS474" i="5"/>
  <c r="A474" i="5"/>
  <c r="AS473" i="5"/>
  <c r="A473" i="5"/>
  <c r="AR472" i="5"/>
  <c r="A472" i="5"/>
  <c r="AS471" i="5"/>
  <c r="A471" i="5"/>
  <c r="AS470" i="5"/>
  <c r="AT470" i="5" s="1"/>
  <c r="A470" i="5"/>
  <c r="A469" i="5"/>
  <c r="AO468" i="5"/>
  <c r="AN468" i="5"/>
  <c r="AH468" i="5"/>
  <c r="A468" i="5"/>
  <c r="A467" i="5"/>
  <c r="A466" i="5"/>
  <c r="A465" i="5"/>
  <c r="A464" i="5"/>
  <c r="A463" i="5"/>
  <c r="AQ462" i="5"/>
  <c r="A462" i="5"/>
  <c r="A461" i="5"/>
  <c r="AQ460" i="5"/>
  <c r="A460" i="5"/>
  <c r="AQ459" i="5"/>
  <c r="AH459" i="5"/>
  <c r="A459" i="5"/>
  <c r="A458" i="5"/>
  <c r="A457" i="5"/>
  <c r="AH456" i="5"/>
  <c r="AI456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Q444" i="5"/>
  <c r="A444" i="5"/>
  <c r="AQ443" i="5"/>
  <c r="A443" i="5"/>
  <c r="A442" i="5"/>
  <c r="A440" i="5"/>
  <c r="AQ439" i="5"/>
  <c r="A439" i="5"/>
  <c r="AQ438" i="5"/>
  <c r="A438" i="5"/>
  <c r="A437" i="5"/>
  <c r="A436" i="5"/>
  <c r="AQ435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395" i="5"/>
  <c r="S394" i="5"/>
  <c r="A394" i="5"/>
  <c r="A393" i="5"/>
  <c r="A392" i="5"/>
  <c r="A391" i="5"/>
  <c r="A390" i="5"/>
  <c r="S389" i="5"/>
  <c r="A389" i="5"/>
  <c r="A388" i="5"/>
  <c r="S387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S349" i="5"/>
  <c r="N349" i="5"/>
  <c r="A349" i="5"/>
  <c r="A348" i="5"/>
  <c r="N347" i="5"/>
  <c r="A347" i="5"/>
  <c r="A346" i="5"/>
  <c r="S345" i="5"/>
  <c r="N345" i="5"/>
  <c r="A345" i="5"/>
  <c r="A344" i="5"/>
  <c r="A343" i="5"/>
  <c r="S343" i="5" s="1"/>
  <c r="A342" i="5"/>
  <c r="N341" i="5"/>
  <c r="A341" i="5"/>
  <c r="S340" i="5"/>
  <c r="N340" i="5"/>
  <c r="A340" i="5"/>
  <c r="N339" i="5"/>
  <c r="A339" i="5"/>
  <c r="S339" i="5" s="1"/>
  <c r="S338" i="5"/>
  <c r="N338" i="5"/>
  <c r="A338" i="5"/>
  <c r="N337" i="5"/>
  <c r="A337" i="5"/>
  <c r="S337" i="5" s="1"/>
  <c r="S336" i="5"/>
  <c r="A336" i="5"/>
  <c r="S335" i="5"/>
  <c r="A335" i="5"/>
  <c r="S334" i="5"/>
  <c r="N334" i="5"/>
  <c r="A334" i="5"/>
  <c r="A333" i="5"/>
  <c r="A332" i="5"/>
  <c r="A331" i="5"/>
  <c r="A330" i="5"/>
  <c r="N329" i="5"/>
  <c r="S329" i="5"/>
  <c r="A329" i="5"/>
  <c r="A328" i="5"/>
  <c r="A327" i="5"/>
  <c r="S327" i="5" s="1"/>
  <c r="S326" i="5"/>
  <c r="A326" i="5"/>
  <c r="A325" i="5"/>
  <c r="S324" i="5"/>
  <c r="N324" i="5"/>
  <c r="A324" i="5"/>
  <c r="A323" i="5"/>
  <c r="S322" i="5"/>
  <c r="A322" i="5"/>
  <c r="N322" i="5" s="1"/>
  <c r="S321" i="5"/>
  <c r="N321" i="5"/>
  <c r="A321" i="5"/>
  <c r="A320" i="5"/>
  <c r="S320" i="5" s="1"/>
  <c r="A319" i="5"/>
  <c r="A318" i="5"/>
  <c r="A317" i="5"/>
  <c r="A316" i="5"/>
  <c r="A315" i="5"/>
  <c r="A314" i="5"/>
  <c r="P313" i="5"/>
  <c r="K313" i="5"/>
  <c r="M313" i="5"/>
  <c r="E313" i="5"/>
  <c r="A313" i="5"/>
  <c r="A312" i="5"/>
  <c r="A311" i="5"/>
  <c r="A310" i="5"/>
  <c r="N309" i="5"/>
  <c r="E309" i="5"/>
  <c r="A309" i="5"/>
  <c r="M308" i="5"/>
  <c r="K308" i="5"/>
  <c r="E308" i="5"/>
  <c r="A308" i="5"/>
  <c r="S308" i="5" s="1"/>
  <c r="A307" i="5"/>
  <c r="A306" i="5"/>
  <c r="A305" i="5"/>
  <c r="K304" i="5"/>
  <c r="A304" i="5"/>
  <c r="K303" i="5"/>
  <c r="N303" i="5"/>
  <c r="E303" i="5"/>
  <c r="A303" i="5"/>
  <c r="S302" i="5"/>
  <c r="K302" i="5"/>
  <c r="A302" i="5"/>
  <c r="N301" i="5"/>
  <c r="A301" i="5"/>
  <c r="M300" i="5"/>
  <c r="K300" i="5"/>
  <c r="E300" i="5"/>
  <c r="A300" i="5"/>
  <c r="S300" i="5" s="1"/>
  <c r="S299" i="5"/>
  <c r="K299" i="5"/>
  <c r="A299" i="5"/>
  <c r="A298" i="5"/>
  <c r="R298" i="5" s="1"/>
  <c r="N297" i="5"/>
  <c r="J305" i="5"/>
  <c r="A297" i="5"/>
  <c r="E297" i="5" s="1"/>
  <c r="N296" i="5"/>
  <c r="M296" i="5"/>
  <c r="K296" i="5"/>
  <c r="E296" i="5"/>
  <c r="A296" i="5"/>
  <c r="A295" i="5"/>
  <c r="S285" i="5"/>
  <c r="A285" i="5"/>
  <c r="S284" i="5"/>
  <c r="A284" i="5"/>
  <c r="S283" i="5"/>
  <c r="N283" i="5"/>
  <c r="A283" i="5"/>
  <c r="S282" i="5"/>
  <c r="A282" i="5"/>
  <c r="S281" i="5"/>
  <c r="A281" i="5"/>
  <c r="N280" i="5"/>
  <c r="A280" i="5"/>
  <c r="S280" i="5" s="1"/>
  <c r="A279" i="5"/>
  <c r="N278" i="5"/>
  <c r="A278" i="5"/>
  <c r="A277" i="5"/>
  <c r="S276" i="5"/>
  <c r="A276" i="5"/>
  <c r="S275" i="5"/>
  <c r="A275" i="5"/>
  <c r="A274" i="5"/>
  <c r="S273" i="5"/>
  <c r="A273" i="5"/>
  <c r="A272" i="5"/>
  <c r="N271" i="5"/>
  <c r="A271" i="5"/>
  <c r="S270" i="5"/>
  <c r="A270" i="5"/>
  <c r="A269" i="5"/>
  <c r="S269" i="5" s="1"/>
  <c r="A268" i="5"/>
  <c r="A267" i="5"/>
  <c r="A266" i="5"/>
  <c r="S265" i="5"/>
  <c r="K288" i="5"/>
  <c r="N265" i="5"/>
  <c r="A265" i="5"/>
  <c r="A264" i="5"/>
  <c r="A263" i="5"/>
  <c r="A262" i="5"/>
  <c r="N261" i="5"/>
  <c r="A261" i="5"/>
  <c r="S260" i="5"/>
  <c r="N260" i="5"/>
  <c r="A260" i="5"/>
  <c r="S259" i="5"/>
  <c r="N259" i="5"/>
  <c r="A259" i="5"/>
  <c r="A258" i="5"/>
  <c r="S257" i="5"/>
  <c r="A257" i="5"/>
  <c r="A256" i="5"/>
  <c r="A255" i="5"/>
  <c r="A254" i="5"/>
  <c r="A253" i="5"/>
  <c r="A252" i="5"/>
  <c r="A251" i="5"/>
  <c r="A250" i="5"/>
  <c r="S249" i="5"/>
  <c r="Q249" i="5"/>
  <c r="N249" i="5"/>
  <c r="F249" i="5"/>
  <c r="A249" i="5"/>
  <c r="R248" i="5"/>
  <c r="N248" i="5"/>
  <c r="M248" i="5"/>
  <c r="A248" i="5"/>
  <c r="A247" i="5"/>
  <c r="A246" i="5"/>
  <c r="L251" i="5"/>
  <c r="A245" i="5"/>
  <c r="R245" i="5" s="1"/>
  <c r="A244" i="5"/>
  <c r="A243" i="5"/>
  <c r="A242" i="5"/>
  <c r="A241" i="5"/>
  <c r="A240" i="5"/>
  <c r="A229" i="5"/>
  <c r="S228" i="5"/>
  <c r="A228" i="5"/>
  <c r="S227" i="5"/>
  <c r="A227" i="5"/>
  <c r="S226" i="5"/>
  <c r="N226" i="5"/>
  <c r="A226" i="5"/>
  <c r="A225" i="5"/>
  <c r="N225" i="5" s="1"/>
  <c r="S224" i="5"/>
  <c r="A224" i="5"/>
  <c r="A223" i="5"/>
  <c r="A222" i="5"/>
  <c r="N221" i="5"/>
  <c r="A221" i="5"/>
  <c r="S220" i="5"/>
  <c r="N220" i="5"/>
  <c r="A220" i="5"/>
  <c r="A219" i="5"/>
  <c r="A218" i="5"/>
  <c r="S217" i="5"/>
  <c r="A217" i="5"/>
  <c r="A216" i="5"/>
  <c r="N216" i="5" s="1"/>
  <c r="A215" i="5"/>
  <c r="A214" i="5"/>
  <c r="N213" i="5"/>
  <c r="A213" i="5"/>
  <c r="S213" i="5" s="1"/>
  <c r="A212" i="5"/>
  <c r="L211" i="5"/>
  <c r="A211" i="5"/>
  <c r="A210" i="5"/>
  <c r="N209" i="5"/>
  <c r="A209" i="5"/>
  <c r="S208" i="5"/>
  <c r="N208" i="5"/>
  <c r="A208" i="5"/>
  <c r="S207" i="5"/>
  <c r="N207" i="5"/>
  <c r="A207" i="5"/>
  <c r="N206" i="5"/>
  <c r="A206" i="5"/>
  <c r="S206" i="5" s="1"/>
  <c r="A205" i="5"/>
  <c r="N204" i="5"/>
  <c r="S204" i="5"/>
  <c r="A204" i="5"/>
  <c r="A203" i="5"/>
  <c r="A202" i="5"/>
  <c r="N202" i="5" s="1"/>
  <c r="A201" i="5"/>
  <c r="N200" i="5"/>
  <c r="A200" i="5"/>
  <c r="A199" i="5"/>
  <c r="A198" i="5"/>
  <c r="A197" i="5"/>
  <c r="A196" i="5"/>
  <c r="A195" i="5"/>
  <c r="A194" i="5"/>
  <c r="L193" i="5"/>
  <c r="A193" i="5"/>
  <c r="F193" i="5"/>
  <c r="A192" i="5"/>
  <c r="Q193" i="5" s="1"/>
  <c r="A191" i="5"/>
  <c r="F190" i="5"/>
  <c r="A190" i="5"/>
  <c r="R189" i="5"/>
  <c r="Q190" i="5"/>
  <c r="M189" i="5"/>
  <c r="A189" i="5"/>
  <c r="A188" i="5"/>
  <c r="A187" i="5"/>
  <c r="A186" i="5"/>
  <c r="A185" i="5"/>
  <c r="A184" i="5"/>
  <c r="M183" i="5"/>
  <c r="A183" i="5"/>
  <c r="N182" i="5"/>
  <c r="L183" i="5"/>
  <c r="M182" i="5"/>
  <c r="A182" i="5"/>
  <c r="A181" i="5"/>
  <c r="R180" i="5"/>
  <c r="A180" i="5"/>
  <c r="S179" i="5"/>
  <c r="R179" i="5"/>
  <c r="L180" i="5"/>
  <c r="M179" i="5"/>
  <c r="A179" i="5"/>
  <c r="A178" i="5"/>
  <c r="A177" i="5"/>
  <c r="N176" i="5"/>
  <c r="F177" i="5"/>
  <c r="A176" i="5"/>
  <c r="A175" i="5"/>
  <c r="A174" i="5"/>
  <c r="J186" i="5"/>
  <c r="A173" i="5"/>
  <c r="A172" i="5"/>
  <c r="V163" i="5"/>
  <c r="N163" i="5"/>
  <c r="A163" i="5"/>
  <c r="A162" i="5"/>
  <c r="S161" i="5"/>
  <c r="N161" i="5"/>
  <c r="A161" i="5"/>
  <c r="N160" i="5"/>
  <c r="V160" i="5"/>
  <c r="A160" i="5"/>
  <c r="N159" i="5"/>
  <c r="A159" i="5"/>
  <c r="A158" i="5"/>
  <c r="A157" i="5"/>
  <c r="A156" i="5"/>
  <c r="A155" i="5"/>
  <c r="A154" i="5"/>
  <c r="A153" i="5"/>
  <c r="N152" i="5"/>
  <c r="A152" i="5"/>
  <c r="S151" i="5"/>
  <c r="A151" i="5"/>
  <c r="S150" i="5"/>
  <c r="N150" i="5"/>
  <c r="A150" i="5"/>
  <c r="S149" i="5"/>
  <c r="N149" i="5"/>
  <c r="A149" i="5"/>
  <c r="A148" i="5"/>
  <c r="N148" i="5" s="1"/>
  <c r="S147" i="5"/>
  <c r="N147" i="5"/>
  <c r="A147" i="5"/>
  <c r="S146" i="5"/>
  <c r="A146" i="5"/>
  <c r="N145" i="5"/>
  <c r="A145" i="5"/>
  <c r="S144" i="5"/>
  <c r="A144" i="5"/>
  <c r="A143" i="5"/>
  <c r="N143" i="5" s="1"/>
  <c r="A142" i="5"/>
  <c r="S141" i="5"/>
  <c r="N141" i="5"/>
  <c r="A141" i="5"/>
  <c r="A140" i="5"/>
  <c r="N139" i="5"/>
  <c r="A139" i="5"/>
  <c r="S138" i="5"/>
  <c r="A138" i="5"/>
  <c r="N137" i="5"/>
  <c r="A137" i="5"/>
  <c r="A136" i="5"/>
  <c r="S135" i="5"/>
  <c r="A135" i="5"/>
  <c r="N134" i="5"/>
  <c r="A134" i="5"/>
  <c r="A133" i="5"/>
  <c r="A132" i="5"/>
  <c r="S131" i="5"/>
  <c r="A131" i="5"/>
  <c r="A130" i="5"/>
  <c r="N129" i="5"/>
  <c r="A129" i="5"/>
  <c r="A128" i="5"/>
  <c r="A127" i="5"/>
  <c r="A126" i="5"/>
  <c r="N126" i="5" s="1"/>
  <c r="S125" i="5"/>
  <c r="N125" i="5"/>
  <c r="A125" i="5"/>
  <c r="S124" i="5"/>
  <c r="N124" i="5"/>
  <c r="L136" i="5"/>
  <c r="A124" i="5"/>
  <c r="A123" i="5"/>
  <c r="N122" i="5"/>
  <c r="A122" i="5"/>
  <c r="S121" i="5"/>
  <c r="A121" i="5"/>
  <c r="N120" i="5"/>
  <c r="A120" i="5"/>
  <c r="A119" i="5"/>
  <c r="S118" i="5"/>
  <c r="N118" i="5"/>
  <c r="A118" i="5"/>
  <c r="S117" i="5"/>
  <c r="N117" i="5"/>
  <c r="A117" i="5"/>
  <c r="K116" i="5"/>
  <c r="A116" i="5"/>
  <c r="N115" i="5"/>
  <c r="A115" i="5"/>
  <c r="A114" i="5"/>
  <c r="L123" i="5"/>
  <c r="A113" i="5"/>
  <c r="A112" i="5"/>
  <c r="A111" i="5"/>
  <c r="A110" i="5"/>
  <c r="X109" i="5"/>
  <c r="W109" i="5"/>
  <c r="A109" i="5"/>
  <c r="A108" i="5"/>
  <c r="A107" i="5"/>
  <c r="A106" i="5"/>
  <c r="A105" i="5"/>
  <c r="S104" i="5"/>
  <c r="N104" i="5"/>
  <c r="A104" i="5"/>
  <c r="Q106" i="5"/>
  <c r="K103" i="5"/>
  <c r="R103" i="5" s="1"/>
  <c r="A103" i="5"/>
  <c r="A102" i="5"/>
  <c r="P101" i="5"/>
  <c r="Y101" i="5"/>
  <c r="A101" i="5"/>
  <c r="A100" i="5"/>
  <c r="R99" i="5"/>
  <c r="B99" i="5"/>
  <c r="A99" i="5" s="1"/>
  <c r="A98" i="5"/>
  <c r="A97" i="5"/>
  <c r="K96" i="5"/>
  <c r="A96" i="5"/>
  <c r="K95" i="5"/>
  <c r="A95" i="5"/>
  <c r="J97" i="5"/>
  <c r="K121" i="5" s="1"/>
  <c r="A94" i="5"/>
  <c r="P94" i="5" s="1"/>
  <c r="A93" i="5"/>
  <c r="S89" i="5"/>
  <c r="B85" i="5"/>
  <c r="A85" i="5" s="1"/>
  <c r="B84" i="5"/>
  <c r="A84" i="5"/>
  <c r="B83" i="5"/>
  <c r="A83" i="5" s="1"/>
  <c r="V82" i="5"/>
  <c r="B82" i="5"/>
  <c r="A82" i="5"/>
  <c r="B81" i="5"/>
  <c r="A81" i="5" s="1"/>
  <c r="B80" i="5"/>
  <c r="A80" i="5" s="1"/>
  <c r="B79" i="5"/>
  <c r="A79" i="5"/>
  <c r="B78" i="5"/>
  <c r="A78" i="5"/>
  <c r="B77" i="5"/>
  <c r="A77" i="5"/>
  <c r="B76" i="5"/>
  <c r="A76" i="5"/>
  <c r="S75" i="5"/>
  <c r="N75" i="5"/>
  <c r="B75" i="5"/>
  <c r="A75" i="5"/>
  <c r="B74" i="5"/>
  <c r="A74" i="5"/>
  <c r="B73" i="5"/>
  <c r="A73" i="5"/>
  <c r="B72" i="5"/>
  <c r="A72" i="5"/>
  <c r="B71" i="5"/>
  <c r="A71" i="5"/>
  <c r="B70" i="5"/>
  <c r="B69" i="5"/>
  <c r="A69" i="5"/>
  <c r="B68" i="5"/>
  <c r="A68" i="5"/>
  <c r="B67" i="5"/>
  <c r="A67" i="5"/>
  <c r="N66" i="5"/>
  <c r="B66" i="5"/>
  <c r="A66" i="5"/>
  <c r="B65" i="5"/>
  <c r="B64" i="5"/>
  <c r="A64" i="5"/>
  <c r="B63" i="5"/>
  <c r="B62" i="5"/>
  <c r="A62" i="5"/>
  <c r="S61" i="5"/>
  <c r="N61" i="5"/>
  <c r="B61" i="5"/>
  <c r="A61" i="5"/>
  <c r="B60" i="5"/>
  <c r="A60" i="5"/>
  <c r="B59" i="5"/>
  <c r="B58" i="5"/>
  <c r="B57" i="5"/>
  <c r="A57" i="5"/>
  <c r="N56" i="5"/>
  <c r="B56" i="5"/>
  <c r="A56" i="5"/>
  <c r="N55" i="5"/>
  <c r="B55" i="5"/>
  <c r="A55" i="5"/>
  <c r="B54" i="5"/>
  <c r="A54" i="5" s="1"/>
  <c r="B53" i="5"/>
  <c r="A53" i="5"/>
  <c r="B52" i="5"/>
  <c r="A52" i="5"/>
  <c r="B51" i="5"/>
  <c r="A51" i="5"/>
  <c r="N50" i="5"/>
  <c r="B50" i="5"/>
  <c r="A50" i="5"/>
  <c r="N49" i="5"/>
  <c r="B49" i="5"/>
  <c r="A49" i="5"/>
  <c r="S48" i="5"/>
  <c r="B48" i="5"/>
  <c r="A48" i="5"/>
  <c r="N47" i="5"/>
  <c r="B47" i="5"/>
  <c r="A47" i="5"/>
  <c r="B46" i="5"/>
  <c r="N45" i="5"/>
  <c r="B45" i="5"/>
  <c r="A45" i="5"/>
  <c r="B44" i="5"/>
  <c r="B43" i="5"/>
  <c r="A43" i="5"/>
  <c r="B42" i="5"/>
  <c r="A42" i="5"/>
  <c r="B41" i="5"/>
  <c r="A41" i="5"/>
  <c r="B40" i="5"/>
  <c r="B39" i="5"/>
  <c r="A39" i="5"/>
  <c r="B38" i="5"/>
  <c r="A38" i="5"/>
  <c r="N37" i="5"/>
  <c r="B37" i="5"/>
  <c r="A37" i="5"/>
  <c r="B36" i="5"/>
  <c r="A36" i="5"/>
  <c r="B35" i="5"/>
  <c r="A35" i="5"/>
  <c r="B34" i="5"/>
  <c r="A34" i="5"/>
  <c r="B33" i="5"/>
  <c r="A33" i="5"/>
  <c r="B32" i="5"/>
  <c r="S32" i="5" s="1"/>
  <c r="A32" i="5"/>
  <c r="B31" i="5"/>
  <c r="B30" i="5"/>
  <c r="A30" i="5"/>
  <c r="B29" i="5"/>
  <c r="A29" i="5"/>
  <c r="B28" i="5"/>
  <c r="A28" i="5" s="1"/>
  <c r="X27" i="5"/>
  <c r="W27" i="5"/>
  <c r="B27" i="5"/>
  <c r="A27" i="5"/>
  <c r="B26" i="5"/>
  <c r="A26" i="5"/>
  <c r="B25" i="5"/>
  <c r="A25" i="5" s="1"/>
  <c r="B24" i="5"/>
  <c r="A24" i="5"/>
  <c r="B23" i="5"/>
  <c r="A23" i="5" s="1"/>
  <c r="B22" i="5"/>
  <c r="B21" i="5"/>
  <c r="A21" i="5"/>
  <c r="B20" i="5"/>
  <c r="A20" i="5" s="1"/>
  <c r="B19" i="5"/>
  <c r="B18" i="5"/>
  <c r="A18" i="5"/>
  <c r="B17" i="5"/>
  <c r="B16" i="5"/>
  <c r="A16" i="5"/>
  <c r="Y15" i="5"/>
  <c r="B15" i="5"/>
  <c r="A15" i="5"/>
  <c r="B14" i="5"/>
  <c r="A14" i="5" s="1"/>
  <c r="B13" i="5"/>
  <c r="A13" i="5"/>
  <c r="B12" i="5"/>
  <c r="A12" i="5"/>
  <c r="B11" i="5"/>
  <c r="S11" i="5" s="1"/>
  <c r="A11" i="5"/>
  <c r="K10" i="5"/>
  <c r="B10" i="5"/>
  <c r="A10" i="5"/>
  <c r="B9" i="5"/>
  <c r="A9" i="5"/>
  <c r="M8" i="5"/>
  <c r="E8" i="5"/>
  <c r="B8" i="5"/>
  <c r="A8" i="5"/>
  <c r="M7" i="5"/>
  <c r="K7" i="5"/>
  <c r="B7" i="5"/>
  <c r="A7" i="5"/>
  <c r="N7" i="5" s="1"/>
  <c r="S6" i="5"/>
  <c r="K6" i="5"/>
  <c r="B6" i="5"/>
  <c r="A6" i="5"/>
  <c r="B5" i="5"/>
  <c r="A5" i="5"/>
  <c r="A500" i="15"/>
  <c r="A499" i="15"/>
  <c r="AO498" i="15"/>
  <c r="AN498" i="15"/>
  <c r="A498" i="15"/>
  <c r="AR497" i="15"/>
  <c r="AI497" i="15"/>
  <c r="A497" i="15"/>
  <c r="AO496" i="15"/>
  <c r="A496" i="15"/>
  <c r="AR495" i="15"/>
  <c r="A495" i="15"/>
  <c r="AI495" i="15" s="1"/>
  <c r="AR494" i="15"/>
  <c r="AH494" i="15"/>
  <c r="AI494" i="15"/>
  <c r="A494" i="15"/>
  <c r="AR493" i="15"/>
  <c r="A493" i="15"/>
  <c r="A492" i="15"/>
  <c r="A491" i="15"/>
  <c r="A490" i="15"/>
  <c r="A489" i="15"/>
  <c r="A488" i="15"/>
  <c r="A487" i="15"/>
  <c r="A485" i="15"/>
  <c r="A484" i="15"/>
  <c r="AO483" i="15"/>
  <c r="AN483" i="15"/>
  <c r="A483" i="15"/>
  <c r="AQ482" i="15"/>
  <c r="A482" i="15"/>
  <c r="AS481" i="15"/>
  <c r="A481" i="15"/>
  <c r="AS480" i="15"/>
  <c r="A480" i="15"/>
  <c r="AS479" i="15"/>
  <c r="A479" i="15"/>
  <c r="AR478" i="15"/>
  <c r="AS478" i="15" s="1"/>
  <c r="AT478" i="15" s="1"/>
  <c r="A478" i="15"/>
  <c r="AS477" i="15"/>
  <c r="A477" i="15"/>
  <c r="AS476" i="15"/>
  <c r="A476" i="15"/>
  <c r="AS475" i="15"/>
  <c r="A475" i="15"/>
  <c r="AS474" i="15"/>
  <c r="A474" i="15"/>
  <c r="AS473" i="15"/>
  <c r="A473" i="15"/>
  <c r="AS472" i="15"/>
  <c r="AR472" i="15"/>
  <c r="AR482" i="15" s="1"/>
  <c r="A472" i="15"/>
  <c r="AS471" i="15"/>
  <c r="A471" i="15"/>
  <c r="AS470" i="15"/>
  <c r="AT470" i="15" s="1"/>
  <c r="A470" i="15"/>
  <c r="A469" i="15"/>
  <c r="AO468" i="15"/>
  <c r="AN468" i="15"/>
  <c r="AH468" i="15"/>
  <c r="A468" i="15"/>
  <c r="A467" i="15"/>
  <c r="A466" i="15"/>
  <c r="A465" i="15"/>
  <c r="A464" i="15"/>
  <c r="A463" i="15"/>
  <c r="AQ462" i="15"/>
  <c r="AO462" i="15"/>
  <c r="AH462" i="15"/>
  <c r="AN462" i="15"/>
  <c r="AI462" i="15"/>
  <c r="A462" i="15"/>
  <c r="A461" i="15"/>
  <c r="AQ460" i="15"/>
  <c r="A460" i="15"/>
  <c r="AQ459" i="15"/>
  <c r="A459" i="15"/>
  <c r="A458" i="15"/>
  <c r="A457" i="15"/>
  <c r="AI457" i="15" s="1"/>
  <c r="A456" i="15"/>
  <c r="A455" i="15"/>
  <c r="A454" i="15"/>
  <c r="A453" i="15"/>
  <c r="A452" i="15"/>
  <c r="A451" i="15"/>
  <c r="A450" i="15"/>
  <c r="A449" i="15"/>
  <c r="AQ448" i="15"/>
  <c r="A448" i="15"/>
  <c r="A447" i="15"/>
  <c r="A446" i="15"/>
  <c r="A445" i="15"/>
  <c r="AQ444" i="15"/>
  <c r="A444" i="15"/>
  <c r="AQ443" i="15"/>
  <c r="A443" i="15"/>
  <c r="A442" i="15"/>
  <c r="A440" i="15"/>
  <c r="A439" i="15"/>
  <c r="AQ438" i="15"/>
  <c r="A438" i="15"/>
  <c r="A437" i="15"/>
  <c r="AQ436" i="15"/>
  <c r="A436" i="15"/>
  <c r="AQ435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S395" i="15"/>
  <c r="A395" i="15"/>
  <c r="S394" i="15"/>
  <c r="A394" i="15"/>
  <c r="S393" i="15"/>
  <c r="A393" i="15"/>
  <c r="S392" i="15"/>
  <c r="A392" i="15"/>
  <c r="S391" i="15"/>
  <c r="A391" i="15"/>
  <c r="S390" i="15"/>
  <c r="A390" i="15"/>
  <c r="S389" i="15"/>
  <c r="A389" i="15"/>
  <c r="S388" i="15"/>
  <c r="A388" i="15"/>
  <c r="S387" i="15"/>
  <c r="A387" i="15"/>
  <c r="S386" i="15"/>
  <c r="A386" i="15"/>
  <c r="S385" i="15"/>
  <c r="A385" i="15"/>
  <c r="S384" i="15"/>
  <c r="A384" i="15"/>
  <c r="S383" i="15"/>
  <c r="A383" i="15"/>
  <c r="S382" i="15"/>
  <c r="A382" i="15"/>
  <c r="S381" i="15"/>
  <c r="A381" i="15"/>
  <c r="S380" i="15"/>
  <c r="A380" i="15"/>
  <c r="Q396" i="15"/>
  <c r="A379" i="15"/>
  <c r="F396" i="15" s="1"/>
  <c r="E396" i="15" s="1"/>
  <c r="A378" i="15"/>
  <c r="S377" i="15"/>
  <c r="A377" i="15"/>
  <c r="A376" i="15"/>
  <c r="S375" i="15"/>
  <c r="A375" i="15"/>
  <c r="A374" i="15"/>
  <c r="S373" i="15"/>
  <c r="A373" i="15"/>
  <c r="S372" i="15"/>
  <c r="A372" i="15"/>
  <c r="S371" i="15"/>
  <c r="A371" i="15"/>
  <c r="A370" i="15"/>
  <c r="S369" i="15"/>
  <c r="A369" i="15"/>
  <c r="A368" i="15"/>
  <c r="S367" i="15"/>
  <c r="A367" i="15"/>
  <c r="F378" i="15"/>
  <c r="A366" i="15"/>
  <c r="A365" i="15"/>
  <c r="A364" i="15"/>
  <c r="L363" i="15"/>
  <c r="J363" i="15"/>
  <c r="K363" i="15" s="1"/>
  <c r="D363" i="15"/>
  <c r="E363" i="15" s="1"/>
  <c r="A363" i="15"/>
  <c r="A362" i="15"/>
  <c r="Q363" i="15"/>
  <c r="S363" i="15" s="1"/>
  <c r="P361" i="15"/>
  <c r="K361" i="15"/>
  <c r="F363" i="15"/>
  <c r="A361" i="15"/>
  <c r="A360" i="15"/>
  <c r="A349" i="15"/>
  <c r="A348" i="15"/>
  <c r="A347" i="15"/>
  <c r="N346" i="15"/>
  <c r="A346" i="15"/>
  <c r="A345" i="15"/>
  <c r="N344" i="15"/>
  <c r="S344" i="15"/>
  <c r="A344" i="15"/>
  <c r="S343" i="15"/>
  <c r="N343" i="15"/>
  <c r="A343" i="15"/>
  <c r="S342" i="15"/>
  <c r="A342" i="15"/>
  <c r="N342" i="15" s="1"/>
  <c r="S341" i="15"/>
  <c r="A341" i="15"/>
  <c r="S340" i="15"/>
  <c r="A340" i="15"/>
  <c r="N339" i="15"/>
  <c r="A339" i="15"/>
  <c r="S339" i="15" s="1"/>
  <c r="A338" i="15"/>
  <c r="A337" i="15"/>
  <c r="S336" i="15"/>
  <c r="A336" i="15"/>
  <c r="A335" i="15"/>
  <c r="A334" i="15"/>
  <c r="N333" i="15"/>
  <c r="S333" i="15"/>
  <c r="A333" i="15"/>
  <c r="A332" i="15"/>
  <c r="A331" i="15"/>
  <c r="A330" i="15"/>
  <c r="S329" i="15"/>
  <c r="N329" i="15"/>
  <c r="A329" i="15"/>
  <c r="A328" i="15"/>
  <c r="A327" i="15"/>
  <c r="N327" i="15" s="1"/>
  <c r="A326" i="15"/>
  <c r="N325" i="15"/>
  <c r="A325" i="15"/>
  <c r="A324" i="15"/>
  <c r="N323" i="15"/>
  <c r="S323" i="15"/>
  <c r="A323" i="15"/>
  <c r="S322" i="15"/>
  <c r="A322" i="15"/>
  <c r="A321" i="15"/>
  <c r="S321" i="15" s="1"/>
  <c r="A320" i="15"/>
  <c r="S320" i="15" s="1"/>
  <c r="S319" i="15"/>
  <c r="A319" i="15"/>
  <c r="A318" i="15"/>
  <c r="A317" i="15"/>
  <c r="A316" i="15"/>
  <c r="A315" i="15"/>
  <c r="A314" i="15"/>
  <c r="P313" i="15"/>
  <c r="M313" i="15"/>
  <c r="N313" i="15"/>
  <c r="K313" i="15"/>
  <c r="E313" i="15"/>
  <c r="A313" i="15"/>
  <c r="A312" i="15"/>
  <c r="A311" i="15"/>
  <c r="A310" i="15"/>
  <c r="R309" i="15"/>
  <c r="N309" i="15"/>
  <c r="K309" i="15"/>
  <c r="A309" i="15"/>
  <c r="M308" i="15"/>
  <c r="N308" i="15"/>
  <c r="A308" i="15"/>
  <c r="S308" i="15" s="1"/>
  <c r="A307" i="15"/>
  <c r="A306" i="15"/>
  <c r="A305" i="15"/>
  <c r="K304" i="15"/>
  <c r="A304" i="15"/>
  <c r="N303" i="15"/>
  <c r="K303" i="15"/>
  <c r="E303" i="15"/>
  <c r="A303" i="15"/>
  <c r="K302" i="15"/>
  <c r="A302" i="15"/>
  <c r="N302" i="15" s="1"/>
  <c r="K301" i="15"/>
  <c r="A301" i="15"/>
  <c r="S300" i="15"/>
  <c r="N300" i="15"/>
  <c r="A300" i="15"/>
  <c r="M299" i="15"/>
  <c r="K299" i="15"/>
  <c r="A299" i="15"/>
  <c r="A298" i="15"/>
  <c r="S297" i="15"/>
  <c r="N297" i="15"/>
  <c r="E297" i="15"/>
  <c r="A297" i="15"/>
  <c r="K296" i="15"/>
  <c r="A296" i="15"/>
  <c r="A295" i="15"/>
  <c r="A285" i="15"/>
  <c r="A284" i="15"/>
  <c r="A283" i="15"/>
  <c r="N282" i="15"/>
  <c r="A282" i="15"/>
  <c r="S281" i="15"/>
  <c r="N281" i="15"/>
  <c r="A281" i="15"/>
  <c r="S280" i="15"/>
  <c r="N280" i="15"/>
  <c r="A280" i="15"/>
  <c r="S279" i="15"/>
  <c r="A279" i="15"/>
  <c r="S278" i="15"/>
  <c r="N278" i="15"/>
  <c r="A278" i="15"/>
  <c r="N277" i="15"/>
  <c r="A277" i="15"/>
  <c r="A276" i="15"/>
  <c r="A275" i="15"/>
  <c r="S275" i="15" s="1"/>
  <c r="A274" i="15"/>
  <c r="S273" i="15"/>
  <c r="N273" i="15"/>
  <c r="A273" i="15"/>
  <c r="S272" i="15"/>
  <c r="A272" i="15"/>
  <c r="S271" i="15"/>
  <c r="N271" i="15"/>
  <c r="A271" i="15"/>
  <c r="N270" i="15"/>
  <c r="A270" i="15"/>
  <c r="A269" i="15"/>
  <c r="N268" i="15"/>
  <c r="A268" i="15"/>
  <c r="K267" i="15"/>
  <c r="A267" i="15"/>
  <c r="A266" i="15"/>
  <c r="N265" i="15"/>
  <c r="K288" i="15"/>
  <c r="A265" i="15"/>
  <c r="A264" i="15"/>
  <c r="S264" i="15" s="1"/>
  <c r="A263" i="15"/>
  <c r="A262" i="15"/>
  <c r="A261" i="15"/>
  <c r="S261" i="15" s="1"/>
  <c r="S260" i="15"/>
  <c r="A260" i="15"/>
  <c r="N259" i="15"/>
  <c r="A259" i="15"/>
  <c r="S258" i="15"/>
  <c r="N258" i="15"/>
  <c r="A258" i="15"/>
  <c r="A257" i="15"/>
  <c r="S256" i="15"/>
  <c r="A256" i="15"/>
  <c r="N255" i="15"/>
  <c r="S255" i="15"/>
  <c r="A255" i="15"/>
  <c r="A254" i="15"/>
  <c r="A253" i="15"/>
  <c r="A252" i="15"/>
  <c r="K251" i="15"/>
  <c r="L252" i="15" s="1"/>
  <c r="A251" i="15"/>
  <c r="A250" i="15"/>
  <c r="S249" i="15"/>
  <c r="Q249" i="15"/>
  <c r="N249" i="15"/>
  <c r="L249" i="15"/>
  <c r="F249" i="15"/>
  <c r="A249" i="15"/>
  <c r="S248" i="15"/>
  <c r="R248" i="15"/>
  <c r="N248" i="15"/>
  <c r="M248" i="15"/>
  <c r="A248" i="15"/>
  <c r="A247" i="15"/>
  <c r="A246" i="15"/>
  <c r="L246" i="15"/>
  <c r="A245" i="15"/>
  <c r="P251" i="15" s="1"/>
  <c r="A244" i="15"/>
  <c r="A243" i="15"/>
  <c r="L243" i="15"/>
  <c r="M242" i="15"/>
  <c r="A242" i="15"/>
  <c r="A241" i="15"/>
  <c r="A240" i="15"/>
  <c r="S229" i="15"/>
  <c r="A229" i="15"/>
  <c r="N229" i="15" s="1"/>
  <c r="A228" i="15"/>
  <c r="N227" i="15"/>
  <c r="A227" i="15"/>
  <c r="N226" i="15"/>
  <c r="A226" i="15"/>
  <c r="S226" i="15" s="1"/>
  <c r="A225" i="15"/>
  <c r="S225" i="15" s="1"/>
  <c r="N224" i="15"/>
  <c r="A224" i="15"/>
  <c r="S224" i="15" s="1"/>
  <c r="A223" i="15"/>
  <c r="S223" i="15" s="1"/>
  <c r="A222" i="15"/>
  <c r="N221" i="15"/>
  <c r="A221" i="15"/>
  <c r="A220" i="15"/>
  <c r="S220" i="15" s="1"/>
  <c r="A219" i="15"/>
  <c r="N218" i="15"/>
  <c r="S218" i="15"/>
  <c r="A218" i="15"/>
  <c r="S217" i="15"/>
  <c r="A217" i="15"/>
  <c r="N216" i="15"/>
  <c r="S216" i="15"/>
  <c r="A216" i="15"/>
  <c r="N215" i="15"/>
  <c r="A215" i="15"/>
  <c r="A214" i="15"/>
  <c r="S213" i="15"/>
  <c r="A213" i="15"/>
  <c r="A212" i="15"/>
  <c r="A211" i="15"/>
  <c r="A210" i="15"/>
  <c r="S210" i="15" s="1"/>
  <c r="S209" i="15"/>
  <c r="N209" i="15"/>
  <c r="A209" i="15"/>
  <c r="S208" i="15"/>
  <c r="A208" i="15"/>
  <c r="A207" i="15"/>
  <c r="S206" i="15"/>
  <c r="A206" i="15"/>
  <c r="N206" i="15" s="1"/>
  <c r="N205" i="15"/>
  <c r="A205" i="15"/>
  <c r="S204" i="15"/>
  <c r="N204" i="15"/>
  <c r="A204" i="15"/>
  <c r="S203" i="15"/>
  <c r="A203" i="15"/>
  <c r="N203" i="15" s="1"/>
  <c r="A202" i="15"/>
  <c r="N201" i="15"/>
  <c r="A201" i="15"/>
  <c r="S201" i="15" s="1"/>
  <c r="N200" i="15"/>
  <c r="A200" i="15"/>
  <c r="S199" i="15"/>
  <c r="N199" i="15"/>
  <c r="A199" i="15"/>
  <c r="A198" i="15"/>
  <c r="A197" i="15"/>
  <c r="A196" i="15"/>
  <c r="A195" i="15"/>
  <c r="A194" i="15"/>
  <c r="L193" i="15"/>
  <c r="F193" i="15"/>
  <c r="A193" i="15"/>
  <c r="A192" i="15"/>
  <c r="Q193" i="15" s="1"/>
  <c r="A191" i="15"/>
  <c r="A190" i="15"/>
  <c r="R189" i="15"/>
  <c r="Q190" i="15"/>
  <c r="N189" i="15"/>
  <c r="L190" i="15"/>
  <c r="F190" i="15"/>
  <c r="M189" i="15"/>
  <c r="A189" i="15"/>
  <c r="A188" i="15"/>
  <c r="A187" i="15"/>
  <c r="L186" i="15"/>
  <c r="E186" i="15"/>
  <c r="E195" i="15" s="1"/>
  <c r="A186" i="15"/>
  <c r="N185" i="15"/>
  <c r="S185" i="15"/>
  <c r="A185" i="15"/>
  <c r="A184" i="15"/>
  <c r="Q183" i="15"/>
  <c r="M183" i="15"/>
  <c r="L183" i="15"/>
  <c r="A183" i="15"/>
  <c r="S182" i="15"/>
  <c r="R182" i="15"/>
  <c r="M182" i="15"/>
  <c r="A182" i="15"/>
  <c r="A181" i="15"/>
  <c r="R180" i="15"/>
  <c r="A180" i="15"/>
  <c r="Q180" i="15"/>
  <c r="N179" i="15"/>
  <c r="M179" i="15"/>
  <c r="R179" i="15"/>
  <c r="F180" i="15"/>
  <c r="A179" i="15"/>
  <c r="A178" i="15"/>
  <c r="A177" i="15"/>
  <c r="R176" i="15"/>
  <c r="L177" i="15"/>
  <c r="A176" i="15"/>
  <c r="E175" i="15"/>
  <c r="A175" i="15"/>
  <c r="A174" i="15"/>
  <c r="S173" i="15"/>
  <c r="R173" i="15"/>
  <c r="N173" i="15"/>
  <c r="A173" i="15"/>
  <c r="A172" i="15"/>
  <c r="A163" i="15"/>
  <c r="N162" i="15"/>
  <c r="A162" i="15"/>
  <c r="S161" i="15"/>
  <c r="A161" i="15"/>
  <c r="V160" i="15"/>
  <c r="N160" i="15"/>
  <c r="S160" i="15"/>
  <c r="A160" i="15"/>
  <c r="A159" i="15"/>
  <c r="Q164" i="15"/>
  <c r="N158" i="15"/>
  <c r="A158" i="15"/>
  <c r="A157" i="15"/>
  <c r="A156" i="15"/>
  <c r="A155" i="15"/>
  <c r="A154" i="15"/>
  <c r="A153" i="15"/>
  <c r="S152" i="15"/>
  <c r="N152" i="15"/>
  <c r="A152" i="15"/>
  <c r="A151" i="15"/>
  <c r="S150" i="15"/>
  <c r="N150" i="15"/>
  <c r="A150" i="15"/>
  <c r="S149" i="15"/>
  <c r="A149" i="15"/>
  <c r="S148" i="15"/>
  <c r="N148" i="15"/>
  <c r="A148" i="15"/>
  <c r="A147" i="15"/>
  <c r="S146" i="15"/>
  <c r="A146" i="15"/>
  <c r="S145" i="15"/>
  <c r="A145" i="15"/>
  <c r="N144" i="15"/>
  <c r="A144" i="15"/>
  <c r="A143" i="15"/>
  <c r="N142" i="15"/>
  <c r="A142" i="15"/>
  <c r="A141" i="15"/>
  <c r="S140" i="15"/>
  <c r="A140" i="15"/>
  <c r="A139" i="15"/>
  <c r="A138" i="15"/>
  <c r="A137" i="15"/>
  <c r="A136" i="15"/>
  <c r="S135" i="15"/>
  <c r="A135" i="15"/>
  <c r="A134" i="15"/>
  <c r="A133" i="15"/>
  <c r="S132" i="15"/>
  <c r="A132" i="15"/>
  <c r="N132" i="15" s="1"/>
  <c r="A131" i="15"/>
  <c r="A130" i="15"/>
  <c r="A129" i="15"/>
  <c r="S129" i="15" s="1"/>
  <c r="A128" i="15"/>
  <c r="S127" i="15"/>
  <c r="N127" i="15"/>
  <c r="A127" i="15"/>
  <c r="S126" i="15"/>
  <c r="N126" i="15"/>
  <c r="A126" i="15"/>
  <c r="A125" i="15"/>
  <c r="S125" i="15" s="1"/>
  <c r="N124" i="15"/>
  <c r="A124" i="15"/>
  <c r="A123" i="15"/>
  <c r="A122" i="15"/>
  <c r="A121" i="15"/>
  <c r="S120" i="15"/>
  <c r="N120" i="15"/>
  <c r="A120" i="15"/>
  <c r="A119" i="15"/>
  <c r="N118" i="15"/>
  <c r="A118" i="15"/>
  <c r="A117" i="15"/>
  <c r="S116" i="15"/>
  <c r="N116" i="15"/>
  <c r="A116" i="15"/>
  <c r="N115" i="15"/>
  <c r="A115" i="15"/>
  <c r="J114" i="15"/>
  <c r="A114" i="15"/>
  <c r="N113" i="15"/>
  <c r="A113" i="15"/>
  <c r="A112" i="15"/>
  <c r="A111" i="15"/>
  <c r="A110" i="15"/>
  <c r="X109" i="15"/>
  <c r="W109" i="15"/>
  <c r="A109" i="15"/>
  <c r="A108" i="15"/>
  <c r="A107" i="15"/>
  <c r="Y106" i="15"/>
  <c r="L106" i="15"/>
  <c r="A106" i="15"/>
  <c r="N105" i="15"/>
  <c r="A105" i="15"/>
  <c r="S104" i="15"/>
  <c r="A104" i="15"/>
  <c r="S103" i="15"/>
  <c r="A103" i="15"/>
  <c r="A102" i="15"/>
  <c r="Y101" i="15"/>
  <c r="N101" i="15"/>
  <c r="A101" i="15"/>
  <c r="E101" i="15" s="1"/>
  <c r="A100" i="15"/>
  <c r="R99" i="15"/>
  <c r="E99" i="15"/>
  <c r="B99" i="15"/>
  <c r="A99" i="15"/>
  <c r="S99" i="15" s="1"/>
  <c r="A98" i="15"/>
  <c r="L97" i="15"/>
  <c r="A97" i="15"/>
  <c r="M96" i="15"/>
  <c r="K96" i="15"/>
  <c r="A96" i="15"/>
  <c r="K95" i="15"/>
  <c r="A95" i="15"/>
  <c r="N94" i="15"/>
  <c r="J97" i="15"/>
  <c r="A94" i="15"/>
  <c r="A93" i="15"/>
  <c r="B85" i="15"/>
  <c r="A85" i="15"/>
  <c r="B84" i="15"/>
  <c r="A84" i="15"/>
  <c r="B83" i="15"/>
  <c r="A83" i="15"/>
  <c r="B82" i="15"/>
  <c r="A82" i="15"/>
  <c r="B81" i="15"/>
  <c r="B80" i="15"/>
  <c r="A80" i="15"/>
  <c r="N79" i="15"/>
  <c r="B79" i="15"/>
  <c r="A79" i="15"/>
  <c r="B78" i="15"/>
  <c r="B77" i="15"/>
  <c r="A77" i="15"/>
  <c r="B76" i="15"/>
  <c r="B75" i="15"/>
  <c r="A75" i="15"/>
  <c r="B74" i="15"/>
  <c r="A74" i="15" s="1"/>
  <c r="B73" i="15"/>
  <c r="A73" i="15"/>
  <c r="B72" i="15"/>
  <c r="A72" i="15"/>
  <c r="B71" i="15"/>
  <c r="B70" i="15"/>
  <c r="A70" i="15"/>
  <c r="S69" i="15"/>
  <c r="N69" i="15"/>
  <c r="B69" i="15"/>
  <c r="A69" i="15"/>
  <c r="B68" i="15"/>
  <c r="B67" i="15"/>
  <c r="A67" i="15"/>
  <c r="B66" i="15"/>
  <c r="B65" i="15"/>
  <c r="A65" i="15"/>
  <c r="B64" i="15"/>
  <c r="A64" i="15"/>
  <c r="B63" i="15"/>
  <c r="B62" i="15"/>
  <c r="A62" i="15"/>
  <c r="B61" i="15"/>
  <c r="A61" i="15"/>
  <c r="B60" i="15"/>
  <c r="B59" i="15"/>
  <c r="A59" i="15"/>
  <c r="B58" i="15"/>
  <c r="A58" i="15"/>
  <c r="B57" i="15"/>
  <c r="B56" i="15"/>
  <c r="A56" i="15"/>
  <c r="B55" i="15"/>
  <c r="A55" i="15"/>
  <c r="B54" i="15"/>
  <c r="A54" i="15"/>
  <c r="B53" i="15"/>
  <c r="A53" i="15"/>
  <c r="B52" i="15"/>
  <c r="A52" i="15"/>
  <c r="B51" i="15"/>
  <c r="S51" i="15" s="1"/>
  <c r="A51" i="15"/>
  <c r="N51" i="15" s="1"/>
  <c r="B50" i="15"/>
  <c r="B49" i="15"/>
  <c r="A49" i="15"/>
  <c r="S48" i="15"/>
  <c r="N48" i="15"/>
  <c r="B48" i="15"/>
  <c r="A48" i="15"/>
  <c r="B47" i="15"/>
  <c r="A47" i="15"/>
  <c r="B46" i="15"/>
  <c r="A46" i="15"/>
  <c r="B45" i="15"/>
  <c r="S45" i="15" s="1"/>
  <c r="A45" i="15"/>
  <c r="B44" i="15"/>
  <c r="A44" i="15"/>
  <c r="B43" i="15"/>
  <c r="A43" i="15"/>
  <c r="S42" i="15"/>
  <c r="N42" i="15"/>
  <c r="B42" i="15"/>
  <c r="A42" i="15"/>
  <c r="B41" i="15"/>
  <c r="A41" i="15"/>
  <c r="B40" i="15"/>
  <c r="A40" i="15" s="1"/>
  <c r="B39" i="15"/>
  <c r="A39" i="15"/>
  <c r="B38" i="15"/>
  <c r="A38" i="15"/>
  <c r="B37" i="15"/>
  <c r="A37" i="15" s="1"/>
  <c r="B36" i="15"/>
  <c r="A36" i="15"/>
  <c r="B35" i="15"/>
  <c r="A35" i="15"/>
  <c r="B34" i="15"/>
  <c r="B33" i="15"/>
  <c r="A33" i="15"/>
  <c r="B32" i="15"/>
  <c r="A32" i="15"/>
  <c r="B31" i="15"/>
  <c r="B30" i="15"/>
  <c r="A30" i="15" s="1"/>
  <c r="B29" i="15"/>
  <c r="A29" i="15"/>
  <c r="B28" i="15"/>
  <c r="A28" i="15" s="1"/>
  <c r="X27" i="15"/>
  <c r="W27" i="15"/>
  <c r="B27" i="15"/>
  <c r="A27" i="15"/>
  <c r="B26" i="15"/>
  <c r="A26" i="15"/>
  <c r="B25" i="15"/>
  <c r="A25" i="15"/>
  <c r="B24" i="15"/>
  <c r="A24" i="15"/>
  <c r="S23" i="15"/>
  <c r="B23" i="15"/>
  <c r="A23" i="15"/>
  <c r="S22" i="15"/>
  <c r="B22" i="15"/>
  <c r="A22" i="15"/>
  <c r="B21" i="15"/>
  <c r="A21" i="15"/>
  <c r="Q24" i="15" s="1"/>
  <c r="B20" i="15"/>
  <c r="A20" i="15" s="1"/>
  <c r="B19" i="15"/>
  <c r="B18" i="15"/>
  <c r="A18" i="15"/>
  <c r="B17" i="15"/>
  <c r="B16" i="15"/>
  <c r="A16" i="15"/>
  <c r="X15" i="15"/>
  <c r="E15" i="15"/>
  <c r="B15" i="15"/>
  <c r="A15" i="15"/>
  <c r="B14" i="15"/>
  <c r="A14" i="15" s="1"/>
  <c r="B13" i="15"/>
  <c r="A13" i="15"/>
  <c r="B12" i="15"/>
  <c r="R11" i="15"/>
  <c r="P11" i="15"/>
  <c r="K11" i="15"/>
  <c r="N11" i="15"/>
  <c r="E11" i="15"/>
  <c r="B11" i="15"/>
  <c r="A11" i="15"/>
  <c r="M11" i="15" s="1"/>
  <c r="B10" i="15"/>
  <c r="A10" i="15"/>
  <c r="E10" i="15" s="1"/>
  <c r="R9" i="15"/>
  <c r="E9" i="15"/>
  <c r="B9" i="15"/>
  <c r="A9" i="15" s="1"/>
  <c r="P9" i="15" s="1"/>
  <c r="B8" i="15"/>
  <c r="N7" i="15"/>
  <c r="M7" i="15"/>
  <c r="E7" i="15"/>
  <c r="B7" i="15"/>
  <c r="A7" i="15"/>
  <c r="R6" i="15"/>
  <c r="E6" i="15"/>
  <c r="B6" i="15"/>
  <c r="A6" i="15"/>
  <c r="B5" i="15"/>
  <c r="A5" i="15"/>
  <c r="S364" i="15" l="1"/>
  <c r="P15" i="6"/>
  <c r="S39" i="6"/>
  <c r="N65" i="6"/>
  <c r="Y15" i="6"/>
  <c r="A22" i="6"/>
  <c r="A6" i="6"/>
  <c r="AF465" i="6"/>
  <c r="K15" i="6"/>
  <c r="A44" i="6"/>
  <c r="S49" i="6"/>
  <c r="N49" i="6"/>
  <c r="A53" i="6"/>
  <c r="R96" i="6"/>
  <c r="Q106" i="6"/>
  <c r="F106" i="6"/>
  <c r="D114" i="6" s="1"/>
  <c r="K9" i="6"/>
  <c r="S70" i="6"/>
  <c r="S17" i="6"/>
  <c r="S23" i="6"/>
  <c r="N32" i="6"/>
  <c r="N36" i="6"/>
  <c r="A50" i="6"/>
  <c r="L54" i="6"/>
  <c r="A66" i="6"/>
  <c r="J113" i="6"/>
  <c r="N82" i="6"/>
  <c r="V82" i="6"/>
  <c r="Y97" i="6"/>
  <c r="S97" i="6"/>
  <c r="P9" i="6"/>
  <c r="A11" i="6"/>
  <c r="R17" i="6"/>
  <c r="N34" i="6"/>
  <c r="S36" i="6"/>
  <c r="A80" i="6"/>
  <c r="S121" i="6"/>
  <c r="N133" i="6"/>
  <c r="S133" i="6"/>
  <c r="A31" i="6"/>
  <c r="A35" i="6"/>
  <c r="S42" i="6"/>
  <c r="N45" i="6"/>
  <c r="N47" i="6"/>
  <c r="F97" i="6"/>
  <c r="F109" i="6" s="1"/>
  <c r="N104" i="6"/>
  <c r="N126" i="6"/>
  <c r="N115" i="6"/>
  <c r="S115" i="6"/>
  <c r="S63" i="6"/>
  <c r="N63" i="6"/>
  <c r="AO403" i="6"/>
  <c r="AO486" i="6"/>
  <c r="S169" i="6"/>
  <c r="S237" i="6"/>
  <c r="S292" i="6"/>
  <c r="S357" i="6"/>
  <c r="S89" i="6"/>
  <c r="A55" i="6"/>
  <c r="S61" i="6"/>
  <c r="R94" i="6"/>
  <c r="Q97" i="6"/>
  <c r="N21" i="6"/>
  <c r="S21" i="6"/>
  <c r="A37" i="6"/>
  <c r="S71" i="6"/>
  <c r="N12" i="6"/>
  <c r="E12" i="6"/>
  <c r="S12" i="6"/>
  <c r="K12" i="6"/>
  <c r="R12" i="6"/>
  <c r="N15" i="6"/>
  <c r="S60" i="6"/>
  <c r="N60" i="6"/>
  <c r="S65" i="6"/>
  <c r="D53" i="6"/>
  <c r="A5" i="6"/>
  <c r="E10" i="6"/>
  <c r="M17" i="6"/>
  <c r="A38" i="6"/>
  <c r="AF419" i="6"/>
  <c r="A68" i="6"/>
  <c r="N71" i="6"/>
  <c r="N81" i="6"/>
  <c r="N94" i="6"/>
  <c r="S143" i="6"/>
  <c r="Z442" i="6"/>
  <c r="N40" i="6"/>
  <c r="K40" i="6"/>
  <c r="A52" i="6"/>
  <c r="L83" i="6"/>
  <c r="N78" i="6"/>
  <c r="S120" i="6"/>
  <c r="N39" i="6"/>
  <c r="K39" i="6"/>
  <c r="A8" i="6"/>
  <c r="N9" i="6"/>
  <c r="E9" i="6"/>
  <c r="A7" i="6"/>
  <c r="K10" i="6"/>
  <c r="R15" i="6"/>
  <c r="N69" i="6"/>
  <c r="S69" i="6"/>
  <c r="P94" i="6"/>
  <c r="Y99" i="6"/>
  <c r="S99" i="6"/>
  <c r="N99" i="6"/>
  <c r="S124" i="6"/>
  <c r="Z429" i="6"/>
  <c r="S139" i="6"/>
  <c r="N61" i="6"/>
  <c r="N96" i="6"/>
  <c r="S119" i="6"/>
  <c r="Z481" i="6"/>
  <c r="S163" i="6"/>
  <c r="P186" i="6"/>
  <c r="P195" i="6" s="1"/>
  <c r="A57" i="6"/>
  <c r="A77" i="6"/>
  <c r="M94" i="6"/>
  <c r="S96" i="6"/>
  <c r="K101" i="6"/>
  <c r="F136" i="6"/>
  <c r="E136" i="6" s="1"/>
  <c r="S325" i="6"/>
  <c r="K17" i="6"/>
  <c r="S131" i="6"/>
  <c r="N143" i="6"/>
  <c r="S146" i="6"/>
  <c r="S103" i="6"/>
  <c r="N124" i="6"/>
  <c r="N129" i="6"/>
  <c r="N131" i="6"/>
  <c r="L136" i="6"/>
  <c r="S225" i="6"/>
  <c r="L230" i="6"/>
  <c r="M15" i="6"/>
  <c r="A43" i="6"/>
  <c r="A48" i="6"/>
  <c r="Z431" i="6"/>
  <c r="A59" i="6"/>
  <c r="N70" i="6"/>
  <c r="A79" i="6"/>
  <c r="N101" i="6"/>
  <c r="N103" i="6"/>
  <c r="S132" i="6"/>
  <c r="N132" i="6"/>
  <c r="N141" i="6"/>
  <c r="K195" i="6"/>
  <c r="AL445" i="6"/>
  <c r="Z444" i="6"/>
  <c r="Z411" i="6"/>
  <c r="Z471" i="6"/>
  <c r="AF430" i="6"/>
  <c r="AF427" i="6"/>
  <c r="AL413" i="6"/>
  <c r="AL443" i="6"/>
  <c r="AL412" i="6"/>
  <c r="AL411" i="6"/>
  <c r="V486" i="6"/>
  <c r="A486" i="6" s="1"/>
  <c r="AF481" i="6"/>
  <c r="AT481" i="6" s="1"/>
  <c r="AF475" i="6"/>
  <c r="AL444" i="6"/>
  <c r="V403" i="6"/>
  <c r="AF428" i="6"/>
  <c r="AF439" i="6"/>
  <c r="AF412" i="6"/>
  <c r="AL441" i="6"/>
  <c r="AO441" i="6" s="1"/>
  <c r="Z415" i="6"/>
  <c r="AF450" i="6"/>
  <c r="AL438" i="6"/>
  <c r="AF423" i="6"/>
  <c r="AF436" i="6"/>
  <c r="AL429" i="6"/>
  <c r="AF410" i="6"/>
  <c r="C292" i="6"/>
  <c r="C357" i="6" s="1"/>
  <c r="Z438" i="6"/>
  <c r="AF422" i="6"/>
  <c r="AF440" i="6"/>
  <c r="C169" i="6"/>
  <c r="Z441" i="6" s="1"/>
  <c r="AI441" i="6" s="1"/>
  <c r="C237" i="6"/>
  <c r="AF438" i="6"/>
  <c r="N17" i="6"/>
  <c r="S95" i="6"/>
  <c r="Z425" i="6"/>
  <c r="S127" i="6"/>
  <c r="N139" i="6"/>
  <c r="S141" i="6"/>
  <c r="L174" i="6"/>
  <c r="S173" i="6"/>
  <c r="L123" i="6"/>
  <c r="N113" i="6"/>
  <c r="S161" i="6"/>
  <c r="J97" i="6"/>
  <c r="N95" i="6"/>
  <c r="K96" i="6"/>
  <c r="L106" i="6"/>
  <c r="L154" i="6"/>
  <c r="N137" i="6"/>
  <c r="S105" i="6"/>
  <c r="N116" i="6"/>
  <c r="S130" i="6"/>
  <c r="Q154" i="6"/>
  <c r="N56" i="6"/>
  <c r="N76" i="6"/>
  <c r="M96" i="6"/>
  <c r="S101" i="6"/>
  <c r="N105" i="6"/>
  <c r="S113" i="6"/>
  <c r="N125" i="6"/>
  <c r="S125" i="6"/>
  <c r="N130" i="6"/>
  <c r="S151" i="6"/>
  <c r="N162" i="6"/>
  <c r="L186" i="6"/>
  <c r="S207" i="6"/>
  <c r="N242" i="6"/>
  <c r="N243" i="6" s="1"/>
  <c r="S256" i="6"/>
  <c r="N256" i="6"/>
  <c r="S269" i="6"/>
  <c r="P178" i="6"/>
  <c r="Q183" i="6"/>
  <c r="S201" i="6"/>
  <c r="S219" i="6"/>
  <c r="F164" i="6"/>
  <c r="W160" i="6"/>
  <c r="S208" i="6"/>
  <c r="L164" i="6"/>
  <c r="S157" i="6"/>
  <c r="N122" i="6"/>
  <c r="N138" i="6"/>
  <c r="N199" i="6"/>
  <c r="S202" i="6"/>
  <c r="P297" i="6"/>
  <c r="R297" i="6"/>
  <c r="S199" i="6"/>
  <c r="S223" i="6"/>
  <c r="S153" i="6"/>
  <c r="N153" i="6"/>
  <c r="P181" i="6"/>
  <c r="S210" i="6"/>
  <c r="N210" i="6"/>
  <c r="S227" i="6"/>
  <c r="N227" i="6"/>
  <c r="P304" i="6"/>
  <c r="R304" i="6"/>
  <c r="Q331" i="6"/>
  <c r="F286" i="6"/>
  <c r="N268" i="6"/>
  <c r="S327" i="6"/>
  <c r="N327" i="6"/>
  <c r="N151" i="6"/>
  <c r="S271" i="6"/>
  <c r="S159" i="6"/>
  <c r="N159" i="6"/>
  <c r="E175" i="6"/>
  <c r="M173" i="6"/>
  <c r="S200" i="6"/>
  <c r="S228" i="6"/>
  <c r="L267" i="6"/>
  <c r="S268" i="6"/>
  <c r="Q286" i="6"/>
  <c r="S286" i="6" s="1"/>
  <c r="L180" i="6"/>
  <c r="K187" i="6"/>
  <c r="Q230" i="6"/>
  <c r="S218" i="6"/>
  <c r="P300" i="6"/>
  <c r="R300" i="6"/>
  <c r="S128" i="6"/>
  <c r="S138" i="6"/>
  <c r="S150" i="6"/>
  <c r="N161" i="6"/>
  <c r="Q180" i="6"/>
  <c r="N189" i="6"/>
  <c r="N206" i="6"/>
  <c r="N208" i="6"/>
  <c r="L211" i="6"/>
  <c r="N216" i="6"/>
  <c r="N223" i="6"/>
  <c r="N225" i="6"/>
  <c r="Q243" i="6"/>
  <c r="N258" i="6"/>
  <c r="N269" i="6"/>
  <c r="N273" i="6"/>
  <c r="N277" i="6"/>
  <c r="S299" i="6"/>
  <c r="M302" i="6"/>
  <c r="Q305" i="6"/>
  <c r="S309" i="6"/>
  <c r="N329" i="6"/>
  <c r="N334" i="6"/>
  <c r="N344" i="6"/>
  <c r="AI460" i="6"/>
  <c r="M176" i="6"/>
  <c r="M182" i="6"/>
  <c r="F193" i="6"/>
  <c r="F243" i="6"/>
  <c r="S245" i="6"/>
  <c r="S260" i="6"/>
  <c r="N325" i="6"/>
  <c r="S329" i="6"/>
  <c r="J363" i="6"/>
  <c r="K363" i="6" s="1"/>
  <c r="F177" i="6"/>
  <c r="N182" i="6"/>
  <c r="S242" i="6"/>
  <c r="S266" i="6"/>
  <c r="S273" i="6"/>
  <c r="P313" i="6"/>
  <c r="M313" i="6"/>
  <c r="L350" i="6"/>
  <c r="S332" i="6"/>
  <c r="S364" i="6"/>
  <c r="S368" i="6"/>
  <c r="S389" i="6"/>
  <c r="N163" i="6"/>
  <c r="S176" i="6"/>
  <c r="S182" i="6"/>
  <c r="L251" i="6"/>
  <c r="N266" i="6"/>
  <c r="S297" i="6"/>
  <c r="S300" i="6"/>
  <c r="E308" i="6"/>
  <c r="E313" i="6"/>
  <c r="N323" i="6"/>
  <c r="N332" i="6"/>
  <c r="L246" i="6"/>
  <c r="N280" i="6"/>
  <c r="N284" i="6"/>
  <c r="N330" i="6"/>
  <c r="S342" i="6"/>
  <c r="N342" i="6"/>
  <c r="S373" i="6"/>
  <c r="AI461" i="6"/>
  <c r="N200" i="6"/>
  <c r="F211" i="6"/>
  <c r="F230" i="6"/>
  <c r="N229" i="6"/>
  <c r="L243" i="6"/>
  <c r="N278" i="6"/>
  <c r="N282" i="6"/>
  <c r="E303" i="6"/>
  <c r="L305" i="6"/>
  <c r="M309" i="6"/>
  <c r="K309" i="6"/>
  <c r="N319" i="6"/>
  <c r="S323" i="6"/>
  <c r="N335" i="6"/>
  <c r="N337" i="6"/>
  <c r="S340" i="6"/>
  <c r="N245" i="6"/>
  <c r="N246" i="6" s="1"/>
  <c r="N257" i="6"/>
  <c r="N270" i="6"/>
  <c r="S284" i="6"/>
  <c r="S335" i="6"/>
  <c r="N346" i="6"/>
  <c r="AH458" i="6"/>
  <c r="AN458" i="6"/>
  <c r="AO458" i="6" s="1"/>
  <c r="AO494" i="6"/>
  <c r="AI494" i="6"/>
  <c r="S160" i="6"/>
  <c r="R179" i="6"/>
  <c r="N204" i="6"/>
  <c r="N212" i="6"/>
  <c r="N219" i="6"/>
  <c r="R242" i="6"/>
  <c r="N255" i="6"/>
  <c r="N259" i="6"/>
  <c r="N263" i="6"/>
  <c r="S274" i="6"/>
  <c r="S280" i="6"/>
  <c r="N296" i="6"/>
  <c r="N299" i="6"/>
  <c r="N302" i="6"/>
  <c r="E302" i="6"/>
  <c r="N303" i="6"/>
  <c r="S321" i="6"/>
  <c r="N324" i="6"/>
  <c r="N328" i="6"/>
  <c r="F350" i="6"/>
  <c r="S346" i="6"/>
  <c r="P251" i="6"/>
  <c r="Q267" i="6"/>
  <c r="Q288" i="6" s="1"/>
  <c r="S304" i="6"/>
  <c r="M308" i="6"/>
  <c r="S319" i="6"/>
  <c r="N333" i="6"/>
  <c r="R361" i="6"/>
  <c r="O363" i="6"/>
  <c r="S255" i="6"/>
  <c r="S257" i="6"/>
  <c r="S265" i="6"/>
  <c r="J305" i="6"/>
  <c r="N297" i="6"/>
  <c r="N300" i="6"/>
  <c r="L331" i="6"/>
  <c r="S333" i="6"/>
  <c r="F378" i="6"/>
  <c r="S367" i="6"/>
  <c r="S283" i="6"/>
  <c r="K296" i="6"/>
  <c r="M298" i="6"/>
  <c r="K298" i="6"/>
  <c r="M301" i="6"/>
  <c r="K301" i="6"/>
  <c r="S302" i="6"/>
  <c r="P308" i="6"/>
  <c r="S313" i="6"/>
  <c r="R313" i="6" s="1"/>
  <c r="S322" i="6"/>
  <c r="N338" i="6"/>
  <c r="S347" i="6"/>
  <c r="N347" i="6"/>
  <c r="L378" i="6"/>
  <c r="S361" i="6"/>
  <c r="L363" i="6"/>
  <c r="S375" i="6"/>
  <c r="AN455" i="6"/>
  <c r="AO455" i="6" s="1"/>
  <c r="AI458" i="6"/>
  <c r="AI462" i="6"/>
  <c r="AH478" i="6"/>
  <c r="AI478" i="6" s="1"/>
  <c r="S370" i="6"/>
  <c r="S394" i="6"/>
  <c r="AN460" i="6"/>
  <c r="AO460" i="6" s="1"/>
  <c r="AO462" i="6"/>
  <c r="P361" i="6"/>
  <c r="S386" i="6"/>
  <c r="AH456" i="6"/>
  <c r="AT470" i="6"/>
  <c r="AT478" i="6"/>
  <c r="AI492" i="6"/>
  <c r="S376" i="6"/>
  <c r="S384" i="6"/>
  <c r="Z440" i="6"/>
  <c r="S392" i="6"/>
  <c r="AN459" i="6"/>
  <c r="AN498" i="6"/>
  <c r="S348" i="6"/>
  <c r="S371" i="6"/>
  <c r="AI454" i="6"/>
  <c r="AH459" i="6"/>
  <c r="AH461" i="6"/>
  <c r="AH495" i="6"/>
  <c r="L396" i="6"/>
  <c r="K396" i="6" s="1"/>
  <c r="AO454" i="6"/>
  <c r="N339" i="6"/>
  <c r="S344" i="6"/>
  <c r="N349" i="6"/>
  <c r="S366" i="6"/>
  <c r="S374" i="6"/>
  <c r="AN421" i="6"/>
  <c r="AO421" i="6" s="1"/>
  <c r="S382" i="6"/>
  <c r="S390" i="6"/>
  <c r="AI455" i="6"/>
  <c r="S372" i="6"/>
  <c r="S380" i="6"/>
  <c r="S388" i="6"/>
  <c r="Z445" i="6"/>
  <c r="AH470" i="6"/>
  <c r="AI470" i="6" s="1"/>
  <c r="AN496" i="6"/>
  <c r="AR492" i="6"/>
  <c r="AH494" i="6"/>
  <c r="AN495" i="6"/>
  <c r="AI497" i="6"/>
  <c r="AH497" i="6"/>
  <c r="AH462" i="6"/>
  <c r="AH493" i="6"/>
  <c r="AN494" i="6"/>
  <c r="AN497" i="6"/>
  <c r="AO497" i="6" s="1"/>
  <c r="K40" i="5"/>
  <c r="E11" i="5"/>
  <c r="P11" i="5"/>
  <c r="N15" i="5"/>
  <c r="S15" i="5"/>
  <c r="A22" i="5"/>
  <c r="A31" i="5"/>
  <c r="AF480" i="5"/>
  <c r="A46" i="5"/>
  <c r="N48" i="5"/>
  <c r="K15" i="5"/>
  <c r="S35" i="5"/>
  <c r="S39" i="5"/>
  <c r="K39" i="5"/>
  <c r="A44" i="5"/>
  <c r="S60" i="5"/>
  <c r="N60" i="5"/>
  <c r="M6" i="5"/>
  <c r="E7" i="5"/>
  <c r="S57" i="5"/>
  <c r="N57" i="5"/>
  <c r="S66" i="5"/>
  <c r="S76" i="5"/>
  <c r="S83" i="5" s="1"/>
  <c r="N76" i="5"/>
  <c r="S80" i="5"/>
  <c r="Q83" i="5"/>
  <c r="L41" i="5"/>
  <c r="N51" i="5"/>
  <c r="A63" i="5"/>
  <c r="K11" i="5"/>
  <c r="E6" i="5"/>
  <c r="P10" i="5"/>
  <c r="M11" i="5"/>
  <c r="S51" i="5"/>
  <c r="F83" i="5"/>
  <c r="N94" i="5"/>
  <c r="S56" i="5"/>
  <c r="N8" i="5"/>
  <c r="S9" i="5"/>
  <c r="S10" i="5"/>
  <c r="N11" i="5"/>
  <c r="S23" i="5"/>
  <c r="S33" i="5"/>
  <c r="S37" i="5"/>
  <c r="N39" i="5"/>
  <c r="N52" i="5"/>
  <c r="N64" i="5"/>
  <c r="S64" i="5"/>
  <c r="A58" i="5"/>
  <c r="N67" i="5"/>
  <c r="S67" i="5"/>
  <c r="S77" i="5"/>
  <c r="N81" i="5"/>
  <c r="N95" i="5"/>
  <c r="Q97" i="5"/>
  <c r="N36" i="5"/>
  <c r="A40" i="5"/>
  <c r="S49" i="5"/>
  <c r="S52" i="5"/>
  <c r="A65" i="5"/>
  <c r="N68" i="5"/>
  <c r="S81" i="5"/>
  <c r="O114" i="5"/>
  <c r="E99" i="5"/>
  <c r="P9" i="5"/>
  <c r="E9" i="5"/>
  <c r="P12" i="5"/>
  <c r="E12" i="5"/>
  <c r="S71" i="5"/>
  <c r="N71" i="5"/>
  <c r="S78" i="5"/>
  <c r="N78" i="5"/>
  <c r="S95" i="5"/>
  <c r="L24" i="5"/>
  <c r="S21" i="5"/>
  <c r="N21" i="5"/>
  <c r="N42" i="5"/>
  <c r="N53" i="5"/>
  <c r="S53" i="5"/>
  <c r="L72" i="5"/>
  <c r="A59" i="5"/>
  <c r="S68" i="5"/>
  <c r="S103" i="5"/>
  <c r="L156" i="5"/>
  <c r="S12" i="5"/>
  <c r="S47" i="5"/>
  <c r="N10" i="5"/>
  <c r="N12" i="5"/>
  <c r="A17" i="5"/>
  <c r="D53" i="5"/>
  <c r="P6" i="5"/>
  <c r="N9" i="5"/>
  <c r="N32" i="5"/>
  <c r="S55" i="5"/>
  <c r="AL443" i="5"/>
  <c r="N62" i="5"/>
  <c r="N23" i="5"/>
  <c r="L13" i="5"/>
  <c r="K38" i="5"/>
  <c r="R6" i="5"/>
  <c r="M9" i="5"/>
  <c r="S43" i="5"/>
  <c r="N43" i="5"/>
  <c r="N69" i="5"/>
  <c r="S69" i="5"/>
  <c r="S79" i="5"/>
  <c r="N79" i="5"/>
  <c r="N82" i="5"/>
  <c r="S82" i="5"/>
  <c r="L97" i="5"/>
  <c r="J113" i="5" s="1"/>
  <c r="K101" i="5"/>
  <c r="R101" i="5"/>
  <c r="F136" i="5"/>
  <c r="N136" i="5" s="1"/>
  <c r="S129" i="5"/>
  <c r="S45" i="5"/>
  <c r="S50" i="5"/>
  <c r="M96" i="5"/>
  <c r="N101" i="5"/>
  <c r="J310" i="5"/>
  <c r="S96" i="5"/>
  <c r="S137" i="5"/>
  <c r="S153" i="5"/>
  <c r="E186" i="5"/>
  <c r="E175" i="5"/>
  <c r="S176" i="5"/>
  <c r="Q177" i="5"/>
  <c r="S218" i="5"/>
  <c r="N218" i="5"/>
  <c r="K114" i="5"/>
  <c r="O13" i="5"/>
  <c r="K8" i="5"/>
  <c r="N35" i="5"/>
  <c r="A70" i="5"/>
  <c r="E94" i="5"/>
  <c r="R94" i="5"/>
  <c r="N103" i="5"/>
  <c r="N114" i="5"/>
  <c r="S127" i="5"/>
  <c r="N127" i="5"/>
  <c r="N130" i="5"/>
  <c r="S215" i="5"/>
  <c r="N215" i="5"/>
  <c r="S94" i="5"/>
  <c r="S130" i="5"/>
  <c r="S133" i="5"/>
  <c r="N119" i="5"/>
  <c r="S119" i="5"/>
  <c r="N142" i="5"/>
  <c r="S142" i="5"/>
  <c r="V403" i="5"/>
  <c r="V486" i="5"/>
  <c r="A486" i="5" s="1"/>
  <c r="AF410" i="5"/>
  <c r="AF451" i="5"/>
  <c r="C237" i="5"/>
  <c r="C292" i="5"/>
  <c r="C357" i="5" s="1"/>
  <c r="AL413" i="5"/>
  <c r="C169" i="5"/>
  <c r="S7" i="5"/>
  <c r="L83" i="5"/>
  <c r="K118" i="5"/>
  <c r="K117" i="5"/>
  <c r="J106" i="5"/>
  <c r="K105" i="5"/>
  <c r="R105" i="5" s="1"/>
  <c r="K122" i="5"/>
  <c r="K119" i="5"/>
  <c r="K113" i="5"/>
  <c r="L106" i="5"/>
  <c r="N113" i="5"/>
  <c r="S114" i="5"/>
  <c r="S116" i="5"/>
  <c r="S122" i="5"/>
  <c r="P181" i="5"/>
  <c r="Q180" i="5"/>
  <c r="Q286" i="5"/>
  <c r="N272" i="5"/>
  <c r="AO486" i="5"/>
  <c r="S357" i="5"/>
  <c r="AO403" i="5"/>
  <c r="S292" i="5"/>
  <c r="S169" i="5"/>
  <c r="S237" i="5"/>
  <c r="P8" i="5"/>
  <c r="K9" i="5"/>
  <c r="R10" i="5"/>
  <c r="N33" i="5"/>
  <c r="N80" i="5"/>
  <c r="C89" i="5"/>
  <c r="AF427" i="5" s="1"/>
  <c r="K94" i="5"/>
  <c r="F106" i="5"/>
  <c r="D114" i="5" s="1"/>
  <c r="N116" i="5"/>
  <c r="N121" i="5"/>
  <c r="W160" i="5"/>
  <c r="S101" i="5"/>
  <c r="S105" i="5"/>
  <c r="J109" i="5"/>
  <c r="S128" i="5"/>
  <c r="N128" i="5"/>
  <c r="M94" i="5"/>
  <c r="N105" i="5"/>
  <c r="S113" i="5"/>
  <c r="S205" i="5"/>
  <c r="N205" i="5"/>
  <c r="S8" i="5"/>
  <c r="AL448" i="5"/>
  <c r="N96" i="5"/>
  <c r="E101" i="5"/>
  <c r="K115" i="5"/>
  <c r="K120" i="5"/>
  <c r="Q123" i="5"/>
  <c r="Q154" i="5"/>
  <c r="F154" i="5"/>
  <c r="N6" i="5"/>
  <c r="M95" i="5"/>
  <c r="K97" i="5"/>
  <c r="K104" i="5"/>
  <c r="R104" i="5" s="1"/>
  <c r="S120" i="5"/>
  <c r="S126" i="5"/>
  <c r="N132" i="5"/>
  <c r="S132" i="5"/>
  <c r="F174" i="5"/>
  <c r="S134" i="5"/>
  <c r="S139" i="5"/>
  <c r="N144" i="5"/>
  <c r="S148" i="5"/>
  <c r="N153" i="5"/>
  <c r="S115" i="5"/>
  <c r="S163" i="5"/>
  <c r="S222" i="5"/>
  <c r="N222" i="5"/>
  <c r="S268" i="5"/>
  <c r="N140" i="5"/>
  <c r="S159" i="5"/>
  <c r="K175" i="5"/>
  <c r="S229" i="5"/>
  <c r="N229" i="5"/>
  <c r="R303" i="5"/>
  <c r="P303" i="5"/>
  <c r="N138" i="5"/>
  <c r="K187" i="5"/>
  <c r="S189" i="5"/>
  <c r="N189" i="5"/>
  <c r="L190" i="5"/>
  <c r="S219" i="5"/>
  <c r="S258" i="5"/>
  <c r="N258" i="5"/>
  <c r="N135" i="5"/>
  <c r="S145" i="5"/>
  <c r="N151" i="5"/>
  <c r="L154" i="5"/>
  <c r="L164" i="5"/>
  <c r="W163" i="5"/>
  <c r="M173" i="5"/>
  <c r="K186" i="5"/>
  <c r="S182" i="5"/>
  <c r="L230" i="5"/>
  <c r="L232" i="5" s="1"/>
  <c r="N223" i="5"/>
  <c r="S277" i="5"/>
  <c r="S143" i="5"/>
  <c r="L174" i="5"/>
  <c r="L186" i="5"/>
  <c r="N173" i="5"/>
  <c r="S203" i="5"/>
  <c r="S212" i="5"/>
  <c r="N131" i="5"/>
  <c r="N133" i="5"/>
  <c r="Q267" i="5"/>
  <c r="Q288" i="5" s="1"/>
  <c r="N262" i="5"/>
  <c r="N266" i="5"/>
  <c r="S266" i="5"/>
  <c r="S298" i="5"/>
  <c r="P175" i="5"/>
  <c r="L177" i="5"/>
  <c r="M176" i="5"/>
  <c r="F180" i="5"/>
  <c r="N180" i="5" s="1"/>
  <c r="F243" i="5"/>
  <c r="S274" i="5"/>
  <c r="N274" i="5"/>
  <c r="S368" i="5"/>
  <c r="Q186" i="5"/>
  <c r="Q174" i="5"/>
  <c r="N227" i="5"/>
  <c r="N146" i="5"/>
  <c r="S152" i="5"/>
  <c r="N158" i="5"/>
  <c r="S162" i="5"/>
  <c r="N162" i="5"/>
  <c r="R173" i="5"/>
  <c r="S256" i="5"/>
  <c r="N256" i="5"/>
  <c r="S313" i="5"/>
  <c r="R313" i="5" s="1"/>
  <c r="N313" i="5"/>
  <c r="S158" i="5"/>
  <c r="S160" i="5"/>
  <c r="S173" i="5"/>
  <c r="F183" i="5"/>
  <c r="S185" i="5"/>
  <c r="S201" i="5"/>
  <c r="N210" i="5"/>
  <c r="N214" i="5"/>
  <c r="P286" i="5"/>
  <c r="P267" i="5"/>
  <c r="S246" i="5"/>
  <c r="Q246" i="5"/>
  <c r="Q251" i="5"/>
  <c r="S251" i="5" s="1"/>
  <c r="P288" i="5"/>
  <c r="M297" i="5"/>
  <c r="K297" i="5"/>
  <c r="N179" i="5"/>
  <c r="Q230" i="5"/>
  <c r="S221" i="5"/>
  <c r="R242" i="5"/>
  <c r="S261" i="5"/>
  <c r="S263" i="5"/>
  <c r="N276" i="5"/>
  <c r="M298" i="5"/>
  <c r="K298" i="5"/>
  <c r="S309" i="5"/>
  <c r="S323" i="5"/>
  <c r="S330" i="5"/>
  <c r="N330" i="5"/>
  <c r="D363" i="5"/>
  <c r="E363" i="5" s="1"/>
  <c r="R176" i="5"/>
  <c r="R182" i="5"/>
  <c r="S200" i="5"/>
  <c r="S202" i="5"/>
  <c r="S209" i="5"/>
  <c r="S216" i="5"/>
  <c r="S223" i="5"/>
  <c r="S225" i="5"/>
  <c r="P251" i="5"/>
  <c r="P298" i="5"/>
  <c r="E301" i="5"/>
  <c r="N308" i="5"/>
  <c r="S374" i="5"/>
  <c r="K251" i="5"/>
  <c r="L252" i="5" s="1"/>
  <c r="S262" i="5"/>
  <c r="N264" i="5"/>
  <c r="L305" i="5"/>
  <c r="K305" i="5" s="1"/>
  <c r="S328" i="5"/>
  <c r="N328" i="5"/>
  <c r="N348" i="5"/>
  <c r="S348" i="5"/>
  <c r="S157" i="5"/>
  <c r="P178" i="5"/>
  <c r="Q183" i="5"/>
  <c r="E251" i="5"/>
  <c r="L286" i="5"/>
  <c r="K286" i="5" s="1"/>
  <c r="N268" i="5"/>
  <c r="N270" i="5"/>
  <c r="N281" i="5"/>
  <c r="N285" i="5"/>
  <c r="M301" i="5"/>
  <c r="K301" i="5"/>
  <c r="E304" i="5"/>
  <c r="S304" i="5"/>
  <c r="N304" i="5"/>
  <c r="R308" i="5"/>
  <c r="P308" i="5"/>
  <c r="M242" i="5"/>
  <c r="F251" i="5"/>
  <c r="S264" i="5"/>
  <c r="S279" i="5"/>
  <c r="N319" i="5"/>
  <c r="S342" i="5"/>
  <c r="N342" i="5"/>
  <c r="F186" i="5"/>
  <c r="N201" i="5"/>
  <c r="N203" i="5"/>
  <c r="N219" i="5"/>
  <c r="N224" i="5"/>
  <c r="N228" i="5"/>
  <c r="S248" i="5"/>
  <c r="N275" i="5"/>
  <c r="N277" i="5"/>
  <c r="N279" i="5"/>
  <c r="N299" i="5"/>
  <c r="L331" i="5"/>
  <c r="S332" i="5"/>
  <c r="Q350" i="5"/>
  <c r="F246" i="5"/>
  <c r="S255" i="5"/>
  <c r="R297" i="5"/>
  <c r="P297" i="5"/>
  <c r="S301" i="5"/>
  <c r="S346" i="5"/>
  <c r="N346" i="5"/>
  <c r="AH460" i="5"/>
  <c r="AI460" i="5" s="1"/>
  <c r="N217" i="5"/>
  <c r="S245" i="5"/>
  <c r="L246" i="5"/>
  <c r="N282" i="5"/>
  <c r="N302" i="5"/>
  <c r="S319" i="5"/>
  <c r="S325" i="5"/>
  <c r="S242" i="5"/>
  <c r="L243" i="5"/>
  <c r="M245" i="5"/>
  <c r="L249" i="5"/>
  <c r="N257" i="5"/>
  <c r="N263" i="5"/>
  <c r="S271" i="5"/>
  <c r="N273" i="5"/>
  <c r="N300" i="5"/>
  <c r="M309" i="5"/>
  <c r="K309" i="5"/>
  <c r="S333" i="5"/>
  <c r="S210" i="5"/>
  <c r="N245" i="5"/>
  <c r="N246" i="5" s="1"/>
  <c r="K267" i="5"/>
  <c r="N269" i="5"/>
  <c r="N344" i="5"/>
  <c r="S344" i="5"/>
  <c r="S367" i="5"/>
  <c r="N242" i="5"/>
  <c r="L267" i="5"/>
  <c r="S278" i="5"/>
  <c r="N284" i="5"/>
  <c r="F305" i="5"/>
  <c r="F310" i="5" s="1"/>
  <c r="F315" i="5" s="1"/>
  <c r="R300" i="5"/>
  <c r="P300" i="5"/>
  <c r="S303" i="5"/>
  <c r="N320" i="5"/>
  <c r="L396" i="5"/>
  <c r="K396" i="5" s="1"/>
  <c r="N326" i="5"/>
  <c r="N336" i="5"/>
  <c r="S377" i="5"/>
  <c r="S380" i="5"/>
  <c r="S390" i="5"/>
  <c r="AI457" i="5"/>
  <c r="AO457" i="5"/>
  <c r="S384" i="5"/>
  <c r="AH454" i="5"/>
  <c r="AO494" i="5"/>
  <c r="AI494" i="5"/>
  <c r="N323" i="5"/>
  <c r="F331" i="5"/>
  <c r="N333" i="5"/>
  <c r="N335" i="5"/>
  <c r="J363" i="5"/>
  <c r="K363" i="5" s="1"/>
  <c r="K361" i="5"/>
  <c r="S391" i="5"/>
  <c r="AN454" i="5"/>
  <c r="AO458" i="5"/>
  <c r="AN460" i="5"/>
  <c r="AO460" i="5" s="1"/>
  <c r="AN494" i="5"/>
  <c r="L363" i="5"/>
  <c r="S361" i="5"/>
  <c r="S371" i="5"/>
  <c r="S381" i="5"/>
  <c r="S388" i="5"/>
  <c r="AO455" i="5"/>
  <c r="S296" i="5"/>
  <c r="N325" i="5"/>
  <c r="N327" i="5"/>
  <c r="L378" i="5"/>
  <c r="S395" i="5"/>
  <c r="AH455" i="5"/>
  <c r="S297" i="5"/>
  <c r="N343" i="5"/>
  <c r="S372" i="5"/>
  <c r="S375" i="5"/>
  <c r="S385" i="5"/>
  <c r="AN458" i="5"/>
  <c r="AO478" i="5"/>
  <c r="L350" i="5"/>
  <c r="S341" i="5"/>
  <c r="S347" i="5"/>
  <c r="S382" i="5"/>
  <c r="S392" i="5"/>
  <c r="AN455" i="5"/>
  <c r="AR482" i="5"/>
  <c r="AS472" i="5"/>
  <c r="AH492" i="5"/>
  <c r="AI492" i="5" s="1"/>
  <c r="AH495" i="5"/>
  <c r="N332" i="5"/>
  <c r="S369" i="5"/>
  <c r="S376" i="5"/>
  <c r="Q396" i="5"/>
  <c r="P396" i="5" s="1"/>
  <c r="AI459" i="5"/>
  <c r="S386" i="5"/>
  <c r="S393" i="5"/>
  <c r="AN459" i="5"/>
  <c r="AO459" i="5" s="1"/>
  <c r="S370" i="5"/>
  <c r="S373" i="5"/>
  <c r="S383" i="5"/>
  <c r="AN456" i="5"/>
  <c r="AO456" i="5" s="1"/>
  <c r="AN496" i="5"/>
  <c r="AR492" i="5"/>
  <c r="AN495" i="5"/>
  <c r="AI497" i="5"/>
  <c r="AH493" i="5"/>
  <c r="AH461" i="5"/>
  <c r="AN497" i="5"/>
  <c r="AO497" i="5" s="1"/>
  <c r="O32" i="15"/>
  <c r="K121" i="15"/>
  <c r="K115" i="15"/>
  <c r="K113" i="15"/>
  <c r="K118" i="15"/>
  <c r="K103" i="15"/>
  <c r="R103" i="15" s="1"/>
  <c r="K104" i="15"/>
  <c r="R104" i="15" s="1"/>
  <c r="J109" i="15"/>
  <c r="K117" i="15"/>
  <c r="K120" i="15"/>
  <c r="K97" i="15"/>
  <c r="K122" i="15"/>
  <c r="K119" i="15"/>
  <c r="J106" i="15"/>
  <c r="K116" i="15"/>
  <c r="K114" i="15"/>
  <c r="K105" i="15"/>
  <c r="R105" i="15" s="1"/>
  <c r="K12" i="15"/>
  <c r="K7" i="15"/>
  <c r="D53" i="15"/>
  <c r="M6" i="15"/>
  <c r="Y15" i="15"/>
  <c r="S15" i="15"/>
  <c r="N15" i="15"/>
  <c r="N23" i="15"/>
  <c r="AF413" i="15"/>
  <c r="A34" i="15"/>
  <c r="A76" i="15"/>
  <c r="L83" i="15"/>
  <c r="S138" i="15"/>
  <c r="N138" i="15"/>
  <c r="S32" i="15"/>
  <c r="S47" i="15"/>
  <c r="S59" i="15"/>
  <c r="N59" i="15"/>
  <c r="P7" i="15"/>
  <c r="M9" i="15"/>
  <c r="M15" i="15"/>
  <c r="N22" i="15"/>
  <c r="L54" i="15"/>
  <c r="S62" i="15"/>
  <c r="N62" i="15"/>
  <c r="S70" i="15"/>
  <c r="N99" i="15"/>
  <c r="F106" i="15"/>
  <c r="AL448" i="15"/>
  <c r="V403" i="15"/>
  <c r="AF445" i="15"/>
  <c r="Z445" i="15"/>
  <c r="AF436" i="15"/>
  <c r="AF440" i="15"/>
  <c r="AF474" i="15"/>
  <c r="C292" i="15"/>
  <c r="C357" i="15" s="1"/>
  <c r="V486" i="15"/>
  <c r="A486" i="15" s="1"/>
  <c r="AF430" i="15"/>
  <c r="C237" i="15"/>
  <c r="C169" i="15"/>
  <c r="AF443" i="15" s="1"/>
  <c r="C89" i="15"/>
  <c r="AF415" i="15" s="1"/>
  <c r="AF480" i="15"/>
  <c r="AO403" i="15"/>
  <c r="AO486" i="15"/>
  <c r="S237" i="15"/>
  <c r="S357" i="15"/>
  <c r="S292" i="15"/>
  <c r="S89" i="15"/>
  <c r="K6" i="15"/>
  <c r="K17" i="15"/>
  <c r="N32" i="15"/>
  <c r="S49" i="15"/>
  <c r="N49" i="15"/>
  <c r="S65" i="15"/>
  <c r="S67" i="15"/>
  <c r="N70" i="15"/>
  <c r="S169" i="15"/>
  <c r="K9" i="15"/>
  <c r="S38" i="15"/>
  <c r="K38" i="15"/>
  <c r="AF410" i="15"/>
  <c r="A31" i="15"/>
  <c r="N38" i="15"/>
  <c r="N47" i="15"/>
  <c r="A50" i="15"/>
  <c r="A57" i="15"/>
  <c r="A68" i="15"/>
  <c r="S77" i="15"/>
  <c r="N77" i="15"/>
  <c r="L109" i="15"/>
  <c r="J113" i="15"/>
  <c r="Y97" i="15"/>
  <c r="S97" i="15"/>
  <c r="N103" i="15"/>
  <c r="S139" i="15"/>
  <c r="S153" i="15"/>
  <c r="N67" i="15"/>
  <c r="N6" i="15"/>
  <c r="A60" i="15"/>
  <c r="L72" i="15"/>
  <c r="A71" i="15"/>
  <c r="P94" i="15"/>
  <c r="E94" i="15"/>
  <c r="Q97" i="15"/>
  <c r="O113" i="15" s="1"/>
  <c r="Q106" i="15"/>
  <c r="N64" i="15"/>
  <c r="S64" i="15"/>
  <c r="P10" i="15"/>
  <c r="R7" i="15"/>
  <c r="S36" i="15"/>
  <c r="S7" i="15"/>
  <c r="F24" i="15"/>
  <c r="D32" i="15" s="1"/>
  <c r="S37" i="15"/>
  <c r="S39" i="15"/>
  <c r="N45" i="15"/>
  <c r="S52" i="15"/>
  <c r="N52" i="15"/>
  <c r="A63" i="15"/>
  <c r="AF444" i="15"/>
  <c r="N65" i="15"/>
  <c r="S147" i="15"/>
  <c r="N147" i="15"/>
  <c r="A8" i="15"/>
  <c r="N35" i="15"/>
  <c r="S35" i="15"/>
  <c r="A66" i="15"/>
  <c r="AF447" i="15"/>
  <c r="S80" i="15"/>
  <c r="N80" i="15"/>
  <c r="K94" i="15"/>
  <c r="R94" i="15"/>
  <c r="N106" i="15"/>
  <c r="N107" i="15" s="1"/>
  <c r="S106" i="15"/>
  <c r="S114" i="15"/>
  <c r="L24" i="15"/>
  <c r="J32" i="15" s="1"/>
  <c r="K39" i="15"/>
  <c r="A78" i="15"/>
  <c r="A81" i="15"/>
  <c r="R101" i="15"/>
  <c r="M101" i="15"/>
  <c r="K101" i="15"/>
  <c r="N104" i="15"/>
  <c r="N122" i="15"/>
  <c r="L154" i="15"/>
  <c r="N37" i="15"/>
  <c r="S43" i="15"/>
  <c r="N43" i="15"/>
  <c r="N55" i="15"/>
  <c r="S55" i="15"/>
  <c r="N119" i="15"/>
  <c r="S119" i="15"/>
  <c r="S122" i="15"/>
  <c r="K8" i="15"/>
  <c r="A12" i="15"/>
  <c r="S21" i="15"/>
  <c r="N44" i="15"/>
  <c r="S53" i="15"/>
  <c r="N53" i="15"/>
  <c r="N58" i="15"/>
  <c r="S58" i="15"/>
  <c r="Q123" i="15"/>
  <c r="N129" i="15"/>
  <c r="S134" i="15"/>
  <c r="N134" i="15"/>
  <c r="S268" i="15"/>
  <c r="J13" i="15"/>
  <c r="J24" i="15" s="1"/>
  <c r="K15" i="15"/>
  <c r="A17" i="15"/>
  <c r="N61" i="15"/>
  <c r="S61" i="15"/>
  <c r="Z481" i="15"/>
  <c r="S82" i="15"/>
  <c r="N95" i="15"/>
  <c r="S95" i="15"/>
  <c r="Q136" i="15"/>
  <c r="S151" i="15"/>
  <c r="L187" i="15"/>
  <c r="L195" i="15"/>
  <c r="N186" i="15"/>
  <c r="N187" i="15" s="1"/>
  <c r="P267" i="15"/>
  <c r="Q246" i="15"/>
  <c r="P288" i="15"/>
  <c r="P286" i="15"/>
  <c r="Q251" i="15"/>
  <c r="S246" i="15"/>
  <c r="S46" i="15"/>
  <c r="N46" i="15"/>
  <c r="AL436" i="15"/>
  <c r="N56" i="15"/>
  <c r="S75" i="15"/>
  <c r="N75" i="15"/>
  <c r="V82" i="15"/>
  <c r="M95" i="15"/>
  <c r="N130" i="15"/>
  <c r="S130" i="15"/>
  <c r="W160" i="15"/>
  <c r="P101" i="15"/>
  <c r="S137" i="15"/>
  <c r="S144" i="15"/>
  <c r="N146" i="15"/>
  <c r="P175" i="15"/>
  <c r="P186" i="15"/>
  <c r="P195" i="15" s="1"/>
  <c r="N212" i="15"/>
  <c r="L230" i="15"/>
  <c r="S212" i="15"/>
  <c r="Q243" i="15"/>
  <c r="S242" i="15"/>
  <c r="Q305" i="15"/>
  <c r="P300" i="15"/>
  <c r="R300" i="15"/>
  <c r="S79" i="15"/>
  <c r="S96" i="15"/>
  <c r="Y99" i="15"/>
  <c r="S113" i="15"/>
  <c r="L136" i="15"/>
  <c r="N140" i="15"/>
  <c r="S142" i="15"/>
  <c r="S158" i="15"/>
  <c r="Q174" i="15"/>
  <c r="Q186" i="15"/>
  <c r="S186" i="15" s="1"/>
  <c r="P184" i="15"/>
  <c r="S121" i="15"/>
  <c r="S128" i="15"/>
  <c r="V163" i="15"/>
  <c r="W163" i="15" s="1"/>
  <c r="S163" i="15"/>
  <c r="S200" i="15"/>
  <c r="S94" i="15"/>
  <c r="S101" i="15"/>
  <c r="S115" i="15"/>
  <c r="S118" i="15"/>
  <c r="N121" i="15"/>
  <c r="S124" i="15"/>
  <c r="N128" i="15"/>
  <c r="N151" i="15"/>
  <c r="N153" i="15"/>
  <c r="N161" i="15"/>
  <c r="N163" i="15"/>
  <c r="Q177" i="15"/>
  <c r="S176" i="15"/>
  <c r="N182" i="15"/>
  <c r="F183" i="15"/>
  <c r="F186" i="15"/>
  <c r="F174" i="15"/>
  <c r="P181" i="15"/>
  <c r="N210" i="15"/>
  <c r="N125" i="15"/>
  <c r="S133" i="15"/>
  <c r="N139" i="15"/>
  <c r="N141" i="15"/>
  <c r="N143" i="15"/>
  <c r="N145" i="15"/>
  <c r="N149" i="15"/>
  <c r="J186" i="15"/>
  <c r="K187" i="15" s="1"/>
  <c r="S207" i="15"/>
  <c r="N207" i="15"/>
  <c r="S214" i="15"/>
  <c r="S262" i="15"/>
  <c r="N131" i="15"/>
  <c r="N133" i="15"/>
  <c r="N135" i="15"/>
  <c r="S143" i="15"/>
  <c r="S159" i="15"/>
  <c r="K186" i="15"/>
  <c r="K175" i="15"/>
  <c r="M173" i="15"/>
  <c r="P178" i="15"/>
  <c r="E302" i="15"/>
  <c r="M302" i="15"/>
  <c r="N114" i="15"/>
  <c r="L123" i="15"/>
  <c r="N137" i="15"/>
  <c r="D186" i="15"/>
  <c r="N298" i="15"/>
  <c r="E298" i="15"/>
  <c r="S298" i="15"/>
  <c r="S141" i="15"/>
  <c r="L164" i="15"/>
  <c r="S179" i="15"/>
  <c r="N263" i="15"/>
  <c r="S263" i="15"/>
  <c r="K286" i="15"/>
  <c r="S105" i="15"/>
  <c r="S11" i="15"/>
  <c r="N96" i="15"/>
  <c r="S131" i="15"/>
  <c r="S162" i="15"/>
  <c r="O186" i="15"/>
  <c r="N176" i="15"/>
  <c r="F177" i="15"/>
  <c r="F211" i="15"/>
  <c r="Q211" i="15"/>
  <c r="N214" i="15"/>
  <c r="N220" i="15"/>
  <c r="N257" i="15"/>
  <c r="N261" i="15"/>
  <c r="M300" i="15"/>
  <c r="K300" i="15"/>
  <c r="S330" i="15"/>
  <c r="S334" i="15"/>
  <c r="S338" i="15"/>
  <c r="S222" i="15"/>
  <c r="Q267" i="15"/>
  <c r="S265" i="15"/>
  <c r="L267" i="15"/>
  <c r="S283" i="15"/>
  <c r="N283" i="15"/>
  <c r="S299" i="15"/>
  <c r="R303" i="15"/>
  <c r="P303" i="15"/>
  <c r="E308" i="15"/>
  <c r="AI454" i="15"/>
  <c r="AN493" i="15"/>
  <c r="N202" i="15"/>
  <c r="N222" i="15"/>
  <c r="S228" i="15"/>
  <c r="S257" i="15"/>
  <c r="N274" i="15"/>
  <c r="S274" i="15"/>
  <c r="N320" i="15"/>
  <c r="L174" i="15"/>
  <c r="L180" i="15"/>
  <c r="N180" i="15" s="1"/>
  <c r="S189" i="15"/>
  <c r="L211" i="15"/>
  <c r="N228" i="15"/>
  <c r="K298" i="15"/>
  <c r="N304" i="15"/>
  <c r="E304" i="15"/>
  <c r="S304" i="15"/>
  <c r="S328" i="15"/>
  <c r="S332" i="15"/>
  <c r="S345" i="15"/>
  <c r="M176" i="15"/>
  <c r="S324" i="15"/>
  <c r="Q350" i="15"/>
  <c r="S374" i="15"/>
  <c r="N157" i="15"/>
  <c r="N159" i="15"/>
  <c r="S202" i="15"/>
  <c r="N208" i="15"/>
  <c r="N213" i="15"/>
  <c r="S215" i="15"/>
  <c r="F230" i="15"/>
  <c r="R245" i="15"/>
  <c r="N262" i="15"/>
  <c r="N264" i="15"/>
  <c r="L286" i="15"/>
  <c r="S270" i="15"/>
  <c r="N275" i="15"/>
  <c r="S277" i="15"/>
  <c r="E296" i="15"/>
  <c r="N301" i="15"/>
  <c r="E301" i="15"/>
  <c r="P308" i="15"/>
  <c r="R308" i="15"/>
  <c r="N219" i="15"/>
  <c r="N223" i="15"/>
  <c r="N225" i="15"/>
  <c r="S245" i="15"/>
  <c r="N256" i="15"/>
  <c r="S266" i="15"/>
  <c r="N266" i="15"/>
  <c r="N272" i="15"/>
  <c r="N279" i="15"/>
  <c r="N284" i="15"/>
  <c r="J305" i="15"/>
  <c r="M297" i="15"/>
  <c r="K297" i="15"/>
  <c r="M301" i="15"/>
  <c r="N217" i="15"/>
  <c r="N260" i="15"/>
  <c r="S284" i="15"/>
  <c r="AI460" i="15"/>
  <c r="S157" i="15"/>
  <c r="S221" i="15"/>
  <c r="L251" i="15"/>
  <c r="S282" i="15"/>
  <c r="N285" i="15"/>
  <c r="L305" i="15"/>
  <c r="M309" i="15"/>
  <c r="S326" i="15"/>
  <c r="N326" i="15"/>
  <c r="S205" i="15"/>
  <c r="S219" i="15"/>
  <c r="S227" i="15"/>
  <c r="R242" i="15"/>
  <c r="S285" i="15"/>
  <c r="M296" i="15"/>
  <c r="E300" i="15"/>
  <c r="S347" i="15"/>
  <c r="N269" i="15"/>
  <c r="N286" i="15" s="1"/>
  <c r="S269" i="15"/>
  <c r="N276" i="15"/>
  <c r="S276" i="15"/>
  <c r="P297" i="15"/>
  <c r="R297" i="15"/>
  <c r="S348" i="15"/>
  <c r="R361" i="15"/>
  <c r="O363" i="15"/>
  <c r="L396" i="15"/>
  <c r="K396" i="15" s="1"/>
  <c r="S379" i="15"/>
  <c r="S396" i="15" s="1"/>
  <c r="AN457" i="15"/>
  <c r="AH457" i="15"/>
  <c r="S303" i="15"/>
  <c r="N322" i="15"/>
  <c r="N324" i="15"/>
  <c r="S325" i="15"/>
  <c r="S327" i="15"/>
  <c r="N332" i="15"/>
  <c r="N334" i="15"/>
  <c r="S337" i="15"/>
  <c r="N345" i="15"/>
  <c r="L350" i="15"/>
  <c r="S376" i="15"/>
  <c r="AO460" i="15"/>
  <c r="AO493" i="15"/>
  <c r="P309" i="15"/>
  <c r="N348" i="15"/>
  <c r="P396" i="15"/>
  <c r="AH421" i="15"/>
  <c r="AI421" i="15" s="1"/>
  <c r="AN421" i="15"/>
  <c r="AO421" i="15" s="1"/>
  <c r="AH460" i="15"/>
  <c r="K308" i="15"/>
  <c r="E309" i="15"/>
  <c r="S313" i="15"/>
  <c r="R313" i="15" s="1"/>
  <c r="N319" i="15"/>
  <c r="N321" i="15"/>
  <c r="N336" i="15"/>
  <c r="N338" i="15"/>
  <c r="N340" i="15"/>
  <c r="S370" i="15"/>
  <c r="AH454" i="15"/>
  <c r="AO494" i="15"/>
  <c r="AN494" i="15"/>
  <c r="L331" i="15"/>
  <c r="E378" i="15"/>
  <c r="S368" i="15"/>
  <c r="AO461" i="15"/>
  <c r="AH470" i="15"/>
  <c r="AI470" i="15" s="1"/>
  <c r="S301" i="15"/>
  <c r="S366" i="15"/>
  <c r="F398" i="15"/>
  <c r="E398" i="15" s="1"/>
  <c r="AI455" i="15"/>
  <c r="AH458" i="15"/>
  <c r="AI458" i="15" s="1"/>
  <c r="AN461" i="15"/>
  <c r="AN478" i="15"/>
  <c r="AO478" i="15" s="1"/>
  <c r="S302" i="15"/>
  <c r="N328" i="15"/>
  <c r="N330" i="15"/>
  <c r="S346" i="15"/>
  <c r="E361" i="15"/>
  <c r="AH455" i="15"/>
  <c r="AN458" i="15"/>
  <c r="AO458" i="15" s="1"/>
  <c r="S349" i="15"/>
  <c r="Q378" i="15"/>
  <c r="AN455" i="15"/>
  <c r="AO455" i="15" s="1"/>
  <c r="S335" i="15"/>
  <c r="N337" i="15"/>
  <c r="N341" i="15"/>
  <c r="N349" i="15"/>
  <c r="AH459" i="15"/>
  <c r="AI459" i="15" s="1"/>
  <c r="S296" i="15"/>
  <c r="N335" i="15"/>
  <c r="N347" i="15"/>
  <c r="AI456" i="15"/>
  <c r="AH456" i="15"/>
  <c r="S361" i="15"/>
  <c r="AN459" i="15"/>
  <c r="AO459" i="15" s="1"/>
  <c r="AI492" i="15"/>
  <c r="L378" i="15"/>
  <c r="AN456" i="15"/>
  <c r="AO456" i="15" s="1"/>
  <c r="AH492" i="15"/>
  <c r="AO457" i="15"/>
  <c r="AN496" i="15"/>
  <c r="AN492" i="15"/>
  <c r="AH495" i="15"/>
  <c r="AN460" i="15"/>
  <c r="AR496" i="15"/>
  <c r="AR492" i="15"/>
  <c r="AH461" i="15"/>
  <c r="AH497" i="15"/>
  <c r="AH478" i="15"/>
  <c r="AI478" i="15" s="1"/>
  <c r="AN497" i="15"/>
  <c r="AO497" i="15" s="1"/>
  <c r="S13" i="5" l="1"/>
  <c r="S243" i="15"/>
  <c r="S396" i="6"/>
  <c r="S164" i="15"/>
  <c r="S243" i="6"/>
  <c r="AE419" i="6"/>
  <c r="E378" i="6"/>
  <c r="F232" i="6"/>
  <c r="Q310" i="6"/>
  <c r="AN478" i="6"/>
  <c r="AO478" i="6" s="1"/>
  <c r="F331" i="6"/>
  <c r="AI421" i="6"/>
  <c r="AH421" i="6"/>
  <c r="E299" i="6"/>
  <c r="M299" i="6"/>
  <c r="S350" i="6"/>
  <c r="S154" i="6"/>
  <c r="N127" i="6"/>
  <c r="S67" i="6"/>
  <c r="N67" i="6"/>
  <c r="AL436" i="6"/>
  <c r="AN436" i="6" s="1"/>
  <c r="AL471" i="6"/>
  <c r="AF426" i="6"/>
  <c r="AF411" i="6"/>
  <c r="Z476" i="6"/>
  <c r="Z473" i="6"/>
  <c r="AF424" i="6"/>
  <c r="AL442" i="6"/>
  <c r="AL432" i="6"/>
  <c r="Z432" i="6"/>
  <c r="N120" i="6"/>
  <c r="N117" i="6"/>
  <c r="F396" i="6"/>
  <c r="E396" i="6" s="1"/>
  <c r="AN475" i="6"/>
  <c r="AH475" i="6"/>
  <c r="AI475" i="6" s="1"/>
  <c r="N136" i="6"/>
  <c r="N52" i="6"/>
  <c r="S53" i="6"/>
  <c r="F180" i="6"/>
  <c r="N179" i="6"/>
  <c r="L72" i="6"/>
  <c r="N53" i="6"/>
  <c r="AN412" i="6"/>
  <c r="AO412" i="6" s="1"/>
  <c r="N79" i="6"/>
  <c r="S79" i="6"/>
  <c r="Q396" i="6"/>
  <c r="P396" i="6" s="1"/>
  <c r="AI456" i="6"/>
  <c r="L352" i="6"/>
  <c r="S331" i="6"/>
  <c r="N331" i="6"/>
  <c r="P309" i="6"/>
  <c r="R309" i="6"/>
  <c r="O305" i="6"/>
  <c r="R296" i="6"/>
  <c r="P296" i="6"/>
  <c r="N202" i="6"/>
  <c r="L310" i="6"/>
  <c r="S305" i="6"/>
  <c r="S306" i="6" s="1"/>
  <c r="AT475" i="6"/>
  <c r="S308" i="6"/>
  <c r="N286" i="6"/>
  <c r="Q164" i="6"/>
  <c r="L156" i="6"/>
  <c r="AF449" i="6"/>
  <c r="AF441" i="6"/>
  <c r="AF452" i="6"/>
  <c r="AF451" i="6"/>
  <c r="AF464" i="6"/>
  <c r="AL446" i="6"/>
  <c r="AF433" i="6"/>
  <c r="N8" i="6"/>
  <c r="S8" i="6"/>
  <c r="S40" i="6"/>
  <c r="N51" i="6"/>
  <c r="S55" i="6"/>
  <c r="N55" i="6"/>
  <c r="P11" i="6"/>
  <c r="E11" i="6"/>
  <c r="Q24" i="6"/>
  <c r="O32" i="6" s="1"/>
  <c r="F24" i="6"/>
  <c r="D32" i="6" s="1"/>
  <c r="AN481" i="6"/>
  <c r="AO481" i="6" s="1"/>
  <c r="AH481" i="6"/>
  <c r="AI481" i="6" s="1"/>
  <c r="AO456" i="6"/>
  <c r="AN456" i="6"/>
  <c r="E296" i="6"/>
  <c r="D305" i="6"/>
  <c r="M296" i="6"/>
  <c r="R301" i="6"/>
  <c r="P301" i="6"/>
  <c r="F186" i="6"/>
  <c r="F174" i="6"/>
  <c r="E186" i="6"/>
  <c r="E286" i="6"/>
  <c r="N173" i="6"/>
  <c r="AF443" i="6"/>
  <c r="AF472" i="6"/>
  <c r="AF466" i="6"/>
  <c r="AL422" i="6"/>
  <c r="AN422" i="6" s="1"/>
  <c r="Z448" i="6"/>
  <c r="Z436" i="6"/>
  <c r="AL448" i="6"/>
  <c r="Q211" i="6"/>
  <c r="S211" i="6" s="1"/>
  <c r="R10" i="6"/>
  <c r="P10" i="6"/>
  <c r="S137" i="6"/>
  <c r="S32" i="6"/>
  <c r="K11" i="6"/>
  <c r="R11" i="6"/>
  <c r="M11" i="6"/>
  <c r="M9" i="6"/>
  <c r="O186" i="6"/>
  <c r="R173" i="6"/>
  <c r="S259" i="6"/>
  <c r="S122" i="6"/>
  <c r="S186" i="6"/>
  <c r="N186" i="6"/>
  <c r="N187" i="6" s="1"/>
  <c r="L187" i="6"/>
  <c r="L195" i="6"/>
  <c r="S64" i="6"/>
  <c r="N64" i="6"/>
  <c r="Z412" i="6"/>
  <c r="AH412" i="6" s="1"/>
  <c r="Z422" i="6"/>
  <c r="AF471" i="6"/>
  <c r="S37" i="6"/>
  <c r="N37" i="6"/>
  <c r="S11" i="6"/>
  <c r="R9" i="6"/>
  <c r="N313" i="6"/>
  <c r="S363" i="6"/>
  <c r="K305" i="6"/>
  <c r="M305" i="6"/>
  <c r="J310" i="6"/>
  <c r="N350" i="6"/>
  <c r="AE410" i="6"/>
  <c r="AF435" i="6"/>
  <c r="AL476" i="6"/>
  <c r="AL425" i="6"/>
  <c r="AL415" i="6"/>
  <c r="AF477" i="6"/>
  <c r="AL449" i="6"/>
  <c r="Z449" i="6"/>
  <c r="S80" i="6"/>
  <c r="N80" i="6"/>
  <c r="S66" i="6"/>
  <c r="K6" i="6"/>
  <c r="J13" i="6"/>
  <c r="Q136" i="6"/>
  <c r="S136" i="6" s="1"/>
  <c r="R298" i="6"/>
  <c r="P298" i="6"/>
  <c r="AH440" i="6"/>
  <c r="AI440" i="6" s="1"/>
  <c r="R302" i="6"/>
  <c r="P302" i="6"/>
  <c r="AN467" i="6"/>
  <c r="Q186" i="6"/>
  <c r="Q174" i="6"/>
  <c r="S179" i="6"/>
  <c r="S117" i="6"/>
  <c r="AL417" i="6"/>
  <c r="Z413" i="6"/>
  <c r="AF476" i="6"/>
  <c r="AF418" i="6"/>
  <c r="AF444" i="6"/>
  <c r="AF437" i="6"/>
  <c r="AF473" i="6"/>
  <c r="AL440" i="6"/>
  <c r="AN440" i="6" s="1"/>
  <c r="S48" i="6"/>
  <c r="N48" i="6"/>
  <c r="S33" i="6"/>
  <c r="M10" i="6"/>
  <c r="L24" i="6"/>
  <c r="O97" i="6"/>
  <c r="R97" i="6" s="1"/>
  <c r="R98" i="6" s="1"/>
  <c r="R95" i="6"/>
  <c r="P95" i="6"/>
  <c r="Z447" i="6"/>
  <c r="AL447" i="6"/>
  <c r="K211" i="6"/>
  <c r="L232" i="6"/>
  <c r="N211" i="6"/>
  <c r="Y106" i="6"/>
  <c r="S106" i="6"/>
  <c r="N106" i="6"/>
  <c r="N107" i="6" s="1"/>
  <c r="J114" i="6"/>
  <c r="F305" i="6"/>
  <c r="F310" i="6" s="1"/>
  <c r="F315" i="6" s="1"/>
  <c r="K120" i="6"/>
  <c r="K121" i="6"/>
  <c r="K115" i="6"/>
  <c r="J109" i="6"/>
  <c r="M97" i="6"/>
  <c r="M98" i="6" s="1"/>
  <c r="K116" i="6"/>
  <c r="K105" i="6"/>
  <c r="R105" i="6" s="1"/>
  <c r="K97" i="6"/>
  <c r="K119" i="6"/>
  <c r="K113" i="6"/>
  <c r="J106" i="6"/>
  <c r="K117" i="6"/>
  <c r="K114" i="6"/>
  <c r="K122" i="6"/>
  <c r="K103" i="6"/>
  <c r="R103" i="6" s="1"/>
  <c r="K118" i="6"/>
  <c r="K104" i="6"/>
  <c r="R104" i="6" s="1"/>
  <c r="AN492" i="6"/>
  <c r="AO492" i="6" s="1"/>
  <c r="AI459" i="6"/>
  <c r="K378" i="6"/>
  <c r="L398" i="6"/>
  <c r="L400" i="6" s="1"/>
  <c r="F267" i="6"/>
  <c r="Q190" i="6"/>
  <c r="S189" i="6"/>
  <c r="D186" i="6"/>
  <c r="N180" i="6"/>
  <c r="N157" i="6"/>
  <c r="N164" i="6" s="1"/>
  <c r="AF414" i="6"/>
  <c r="AF413" i="6"/>
  <c r="AF446" i="6"/>
  <c r="AF447" i="6"/>
  <c r="AF479" i="6"/>
  <c r="AF442" i="6"/>
  <c r="S34" i="6"/>
  <c r="F123" i="6"/>
  <c r="D113" i="6"/>
  <c r="L41" i="6"/>
  <c r="AN438" i="6"/>
  <c r="AO438" i="6" s="1"/>
  <c r="AH438" i="6"/>
  <c r="AI438" i="6" s="1"/>
  <c r="AO459" i="6"/>
  <c r="F183" i="6"/>
  <c r="AH422" i="6"/>
  <c r="K38" i="6"/>
  <c r="L109" i="6"/>
  <c r="K154" i="6" s="1"/>
  <c r="S50" i="6"/>
  <c r="Q123" i="6"/>
  <c r="S123" i="6" s="1"/>
  <c r="P113" i="6"/>
  <c r="O113" i="6"/>
  <c r="O114" i="6"/>
  <c r="S107" i="6"/>
  <c r="N10" i="6"/>
  <c r="S10" i="6"/>
  <c r="E297" i="6"/>
  <c r="M297" i="6"/>
  <c r="AL477" i="6"/>
  <c r="AO477" i="6" s="1"/>
  <c r="E15" i="6"/>
  <c r="Q83" i="6"/>
  <c r="P288" i="6"/>
  <c r="Q246" i="6"/>
  <c r="Q251" i="6"/>
  <c r="S246" i="6"/>
  <c r="P286" i="6"/>
  <c r="P267" i="6"/>
  <c r="Q378" i="6"/>
  <c r="S378" i="6" s="1"/>
  <c r="W163" i="6"/>
  <c r="F154" i="6"/>
  <c r="E154" i="6" s="1"/>
  <c r="AF429" i="6"/>
  <c r="AF425" i="6"/>
  <c r="AF434" i="6" s="1"/>
  <c r="Z446" i="6"/>
  <c r="AF474" i="6"/>
  <c r="AF480" i="6"/>
  <c r="AL451" i="6"/>
  <c r="AO451" i="6" s="1"/>
  <c r="AF416" i="6"/>
  <c r="AL431" i="6"/>
  <c r="AF417" i="6"/>
  <c r="AF448" i="6"/>
  <c r="AL473" i="6"/>
  <c r="AO473" i="6" s="1"/>
  <c r="AL433" i="6"/>
  <c r="S230" i="6"/>
  <c r="N230" i="6"/>
  <c r="K230" i="6"/>
  <c r="K7" i="6"/>
  <c r="N75" i="6"/>
  <c r="N38" i="6"/>
  <c r="S98" i="6"/>
  <c r="Q109" i="6"/>
  <c r="Z430" i="6"/>
  <c r="AH430" i="6" s="1"/>
  <c r="AL430" i="6"/>
  <c r="AN430" i="6" s="1"/>
  <c r="D97" i="6"/>
  <c r="E113" i="6" s="1"/>
  <c r="E95" i="6"/>
  <c r="M95" i="6"/>
  <c r="M12" i="6"/>
  <c r="S164" i="6"/>
  <c r="AF445" i="6"/>
  <c r="E300" i="6"/>
  <c r="M300" i="6"/>
  <c r="F246" i="6"/>
  <c r="F251" i="6"/>
  <c r="Z443" i="6"/>
  <c r="R363" i="6"/>
  <c r="P363" i="6"/>
  <c r="R299" i="6"/>
  <c r="P299" i="6"/>
  <c r="P303" i="6"/>
  <c r="R303" i="6"/>
  <c r="N267" i="6"/>
  <c r="L288" i="6"/>
  <c r="L290" i="6" s="1"/>
  <c r="S267" i="6"/>
  <c r="P175" i="6"/>
  <c r="Q350" i="6"/>
  <c r="AF431" i="6"/>
  <c r="AF432" i="6"/>
  <c r="AF415" i="6"/>
  <c r="Z477" i="6"/>
  <c r="M7" i="6"/>
  <c r="N7" i="6"/>
  <c r="S7" i="6"/>
  <c r="R7" i="6"/>
  <c r="S75" i="6"/>
  <c r="N176" i="6"/>
  <c r="N97" i="6"/>
  <c r="N98" i="6" s="1"/>
  <c r="L13" i="6"/>
  <c r="P23" i="5"/>
  <c r="P21" i="5"/>
  <c r="Q109" i="5"/>
  <c r="P123" i="5" s="1"/>
  <c r="O113" i="5"/>
  <c r="E331" i="5"/>
  <c r="F195" i="5"/>
  <c r="F187" i="5"/>
  <c r="AT480" i="5"/>
  <c r="P154" i="5"/>
  <c r="AL429" i="5"/>
  <c r="AH494" i="5"/>
  <c r="N350" i="5"/>
  <c r="R309" i="5"/>
  <c r="P309" i="5"/>
  <c r="L352" i="5"/>
  <c r="N331" i="5"/>
  <c r="F211" i="5"/>
  <c r="AF450" i="5"/>
  <c r="AL442" i="5"/>
  <c r="AF413" i="5"/>
  <c r="Z423" i="5"/>
  <c r="AF466" i="5"/>
  <c r="Z448" i="5"/>
  <c r="AL449" i="5"/>
  <c r="AL423" i="5"/>
  <c r="AF472" i="5"/>
  <c r="AL431" i="5"/>
  <c r="AF430" i="5"/>
  <c r="E96" i="5"/>
  <c r="Z444" i="5"/>
  <c r="AL444" i="5"/>
  <c r="M299" i="5"/>
  <c r="E299" i="5"/>
  <c r="Q305" i="5"/>
  <c r="N298" i="5"/>
  <c r="Q211" i="5"/>
  <c r="S199" i="5"/>
  <c r="S106" i="5"/>
  <c r="S107" i="5" s="1"/>
  <c r="N106" i="5"/>
  <c r="N107" i="5" s="1"/>
  <c r="Y106" i="5"/>
  <c r="AL477" i="5"/>
  <c r="AO477" i="5" s="1"/>
  <c r="AF428" i="5"/>
  <c r="AF415" i="5"/>
  <c r="AF475" i="5"/>
  <c r="Z474" i="5"/>
  <c r="Z425" i="5"/>
  <c r="AL474" i="5"/>
  <c r="AO474" i="5" s="1"/>
  <c r="AF433" i="5"/>
  <c r="O97" i="5"/>
  <c r="P95" i="5"/>
  <c r="N63" i="5"/>
  <c r="N22" i="5"/>
  <c r="F286" i="5"/>
  <c r="E286" i="5" s="1"/>
  <c r="Q378" i="5"/>
  <c r="R301" i="5"/>
  <c r="P301" i="5"/>
  <c r="AI455" i="5"/>
  <c r="E298" i="5"/>
  <c r="E302" i="5"/>
  <c r="M302" i="5"/>
  <c r="AO454" i="5"/>
  <c r="L195" i="5"/>
  <c r="L187" i="5"/>
  <c r="S186" i="5"/>
  <c r="N186" i="5"/>
  <c r="N187" i="5" s="1"/>
  <c r="AL441" i="5"/>
  <c r="AO441" i="5" s="1"/>
  <c r="AL437" i="5"/>
  <c r="AF419" i="5"/>
  <c r="Z481" i="5"/>
  <c r="AL476" i="5"/>
  <c r="AO476" i="5" s="1"/>
  <c r="AF479" i="5"/>
  <c r="Z477" i="5"/>
  <c r="Z440" i="5"/>
  <c r="AF440" i="5"/>
  <c r="F123" i="5"/>
  <c r="S38" i="5"/>
  <c r="F13" i="5"/>
  <c r="Q13" i="5"/>
  <c r="R296" i="5"/>
  <c r="P296" i="5"/>
  <c r="O305" i="5"/>
  <c r="AO462" i="5"/>
  <c r="AN462" i="5"/>
  <c r="F252" i="5"/>
  <c r="M251" i="5" s="1"/>
  <c r="S164" i="5"/>
  <c r="AN492" i="5"/>
  <c r="AO492" i="5" s="1"/>
  <c r="AT472" i="5"/>
  <c r="AI461" i="5"/>
  <c r="AH458" i="5"/>
  <c r="AI458" i="5" s="1"/>
  <c r="Q331" i="5"/>
  <c r="S331" i="5" s="1"/>
  <c r="R299" i="5"/>
  <c r="P299" i="5"/>
  <c r="F350" i="5"/>
  <c r="E350" i="5" s="1"/>
  <c r="AI454" i="5"/>
  <c r="P361" i="5"/>
  <c r="Q363" i="5"/>
  <c r="S363" i="5" s="1"/>
  <c r="S154" i="5"/>
  <c r="N154" i="5"/>
  <c r="J114" i="5"/>
  <c r="Q136" i="5"/>
  <c r="Q156" i="5" s="1"/>
  <c r="R95" i="5"/>
  <c r="AF444" i="5"/>
  <c r="AF471" i="5"/>
  <c r="AF449" i="5"/>
  <c r="AF425" i="5"/>
  <c r="Z411" i="5"/>
  <c r="AF481" i="5"/>
  <c r="AF474" i="5"/>
  <c r="AF414" i="5"/>
  <c r="AL411" i="5"/>
  <c r="AF443" i="5"/>
  <c r="N185" i="5"/>
  <c r="Z439" i="5"/>
  <c r="AL439" i="5"/>
  <c r="N77" i="5"/>
  <c r="N83" i="5" s="1"/>
  <c r="AL416" i="5"/>
  <c r="K17" i="5"/>
  <c r="N59" i="5"/>
  <c r="S59" i="5"/>
  <c r="Y24" i="5"/>
  <c r="AL452" i="5"/>
  <c r="AO452" i="5" s="1"/>
  <c r="S62" i="5"/>
  <c r="AF446" i="5"/>
  <c r="Z416" i="5"/>
  <c r="AH470" i="5"/>
  <c r="AI470" i="5" s="1"/>
  <c r="AF422" i="5"/>
  <c r="Z473" i="5"/>
  <c r="Z449" i="5"/>
  <c r="AL430" i="5"/>
  <c r="AF423" i="5"/>
  <c r="Z412" i="5"/>
  <c r="Z431" i="5"/>
  <c r="Z437" i="5"/>
  <c r="AF477" i="5"/>
  <c r="K12" i="5"/>
  <c r="M12" i="5"/>
  <c r="R12" i="5"/>
  <c r="M10" i="5"/>
  <c r="E10" i="5"/>
  <c r="D13" i="5"/>
  <c r="AL424" i="5"/>
  <c r="Z424" i="5"/>
  <c r="AF416" i="5"/>
  <c r="S42" i="5"/>
  <c r="AH421" i="5"/>
  <c r="AI421" i="5" s="1"/>
  <c r="N286" i="5"/>
  <c r="E361" i="5"/>
  <c r="F363" i="5"/>
  <c r="N251" i="5"/>
  <c r="N252" i="5" s="1"/>
  <c r="AH462" i="5"/>
  <c r="AI462" i="5" s="1"/>
  <c r="F396" i="5"/>
  <c r="E396" i="5" s="1"/>
  <c r="D186" i="5"/>
  <c r="S286" i="5"/>
  <c r="R361" i="5"/>
  <c r="O363" i="5"/>
  <c r="O186" i="5"/>
  <c r="S140" i="5"/>
  <c r="Q164" i="5"/>
  <c r="Z447" i="5"/>
  <c r="Z436" i="5"/>
  <c r="AF431" i="5"/>
  <c r="AF411" i="5"/>
  <c r="AF420" i="5" s="1"/>
  <c r="AL450" i="5"/>
  <c r="AO450" i="5" s="1"/>
  <c r="Z432" i="5"/>
  <c r="AF426" i="5"/>
  <c r="AL432" i="5"/>
  <c r="AL422" i="5"/>
  <c r="AL479" i="5"/>
  <c r="AO479" i="5" s="1"/>
  <c r="Z476" i="5"/>
  <c r="Z438" i="5"/>
  <c r="AL438" i="5"/>
  <c r="M13" i="5"/>
  <c r="AO421" i="5"/>
  <c r="AN421" i="5"/>
  <c r="AN461" i="5"/>
  <c r="AO461" i="5" s="1"/>
  <c r="Q290" i="5"/>
  <c r="Q252" i="5"/>
  <c r="R251" i="5" s="1"/>
  <c r="S252" i="5" s="1"/>
  <c r="K378" i="5"/>
  <c r="S378" i="5"/>
  <c r="L398" i="5"/>
  <c r="AN457" i="5"/>
  <c r="AN467" i="5" s="1"/>
  <c r="R304" i="5"/>
  <c r="P304" i="5"/>
  <c r="S230" i="5"/>
  <c r="K230" i="5"/>
  <c r="F164" i="5"/>
  <c r="N157" i="5"/>
  <c r="N164" i="5" s="1"/>
  <c r="K109" i="5"/>
  <c r="Z442" i="5"/>
  <c r="AL445" i="5"/>
  <c r="Z413" i="5"/>
  <c r="AF429" i="5"/>
  <c r="AF435" i="5"/>
  <c r="AF441" i="5"/>
  <c r="AF447" i="5"/>
  <c r="AL412" i="5"/>
  <c r="S70" i="5"/>
  <c r="N70" i="5"/>
  <c r="E195" i="5"/>
  <c r="J315" i="5"/>
  <c r="Y13" i="5"/>
  <c r="L27" i="5"/>
  <c r="K72" i="5" s="1"/>
  <c r="AL417" i="5"/>
  <c r="Z417" i="5"/>
  <c r="R96" i="5"/>
  <c r="P96" i="5"/>
  <c r="AH457" i="5"/>
  <c r="L288" i="5"/>
  <c r="N267" i="5"/>
  <c r="S267" i="5"/>
  <c r="S366" i="5"/>
  <c r="F267" i="5"/>
  <c r="N255" i="5"/>
  <c r="L310" i="5"/>
  <c r="K310" i="5" s="1"/>
  <c r="N305" i="5"/>
  <c r="N306" i="5" s="1"/>
  <c r="S305" i="5"/>
  <c r="N199" i="5"/>
  <c r="D305" i="5"/>
  <c r="K106" i="5"/>
  <c r="AF452" i="5"/>
  <c r="Z415" i="5"/>
  <c r="AL471" i="5"/>
  <c r="AF439" i="5"/>
  <c r="AF432" i="5"/>
  <c r="AL436" i="5"/>
  <c r="AF412" i="5"/>
  <c r="AL425" i="5"/>
  <c r="AF417" i="5"/>
  <c r="K156" i="5"/>
  <c r="N38" i="5"/>
  <c r="J31" i="5"/>
  <c r="R8" i="5"/>
  <c r="S46" i="5"/>
  <c r="N46" i="5"/>
  <c r="N34" i="5"/>
  <c r="N99" i="5"/>
  <c r="Y99" i="5"/>
  <c r="S99" i="5"/>
  <c r="AH497" i="5"/>
  <c r="N243" i="5"/>
  <c r="S243" i="5"/>
  <c r="Q243" i="5"/>
  <c r="S272" i="5"/>
  <c r="S214" i="5"/>
  <c r="P186" i="5"/>
  <c r="P195" i="5" s="1"/>
  <c r="N13" i="5"/>
  <c r="AL435" i="5"/>
  <c r="AF418" i="5"/>
  <c r="AL414" i="5"/>
  <c r="AF476" i="5"/>
  <c r="AL440" i="5"/>
  <c r="Z435" i="5"/>
  <c r="Z414" i="5"/>
  <c r="AF473" i="5"/>
  <c r="AL451" i="5"/>
  <c r="AO451" i="5" s="1"/>
  <c r="Z427" i="5"/>
  <c r="AI427" i="5" s="1"/>
  <c r="R9" i="5"/>
  <c r="M101" i="5"/>
  <c r="E15" i="5"/>
  <c r="D24" i="5"/>
  <c r="E36" i="5" s="1"/>
  <c r="E32" i="5"/>
  <c r="J32" i="5"/>
  <c r="M15" i="5"/>
  <c r="S34" i="5"/>
  <c r="AK413" i="5"/>
  <c r="Z429" i="5"/>
  <c r="AL447" i="5"/>
  <c r="S379" i="5"/>
  <c r="S396" i="5" s="1"/>
  <c r="F378" i="5"/>
  <c r="N212" i="5"/>
  <c r="F230" i="5"/>
  <c r="E230" i="5" s="1"/>
  <c r="Q195" i="5"/>
  <c r="J13" i="5"/>
  <c r="AF438" i="5"/>
  <c r="AF436" i="5"/>
  <c r="AF437" i="5"/>
  <c r="AF442" i="5"/>
  <c r="Z445" i="5"/>
  <c r="AF445" i="5"/>
  <c r="AL419" i="5"/>
  <c r="Z479" i="5"/>
  <c r="AF465" i="5"/>
  <c r="AF424" i="5"/>
  <c r="Y97" i="5"/>
  <c r="L109" i="5"/>
  <c r="K154" i="5" s="1"/>
  <c r="S97" i="5"/>
  <c r="S98" i="5" s="1"/>
  <c r="O24" i="5"/>
  <c r="P36" i="5" s="1"/>
  <c r="P15" i="5"/>
  <c r="N17" i="5"/>
  <c r="M17" i="5"/>
  <c r="S17" i="5"/>
  <c r="P17" i="5"/>
  <c r="F24" i="5"/>
  <c r="N24" i="5" s="1"/>
  <c r="N25" i="5" s="1"/>
  <c r="L54" i="5"/>
  <c r="L74" i="5" s="1"/>
  <c r="AN470" i="5"/>
  <c r="AO470" i="5" s="1"/>
  <c r="R302" i="5"/>
  <c r="P302" i="5"/>
  <c r="L400" i="5"/>
  <c r="S350" i="5"/>
  <c r="P184" i="5"/>
  <c r="K195" i="5"/>
  <c r="AF407" i="5" s="1"/>
  <c r="M186" i="5"/>
  <c r="Z441" i="5"/>
  <c r="AI441" i="5" s="1"/>
  <c r="Z443" i="5"/>
  <c r="AL473" i="5"/>
  <c r="AO473" i="5" s="1"/>
  <c r="AL415" i="5"/>
  <c r="AF464" i="5"/>
  <c r="AF448" i="5"/>
  <c r="Z422" i="5"/>
  <c r="Z465" i="5"/>
  <c r="AI465" i="5" s="1"/>
  <c r="Z471" i="5"/>
  <c r="Z430" i="5"/>
  <c r="P7" i="5"/>
  <c r="R7" i="5"/>
  <c r="R13" i="5" s="1"/>
  <c r="R14" i="5" s="1"/>
  <c r="Y17" i="5"/>
  <c r="S123" i="5"/>
  <c r="Z446" i="5"/>
  <c r="AL446" i="5"/>
  <c r="D97" i="5"/>
  <c r="E95" i="5"/>
  <c r="R11" i="5"/>
  <c r="F97" i="5"/>
  <c r="F109" i="5" s="1"/>
  <c r="R15" i="5"/>
  <c r="S36" i="5"/>
  <c r="AT480" i="15"/>
  <c r="AE415" i="15"/>
  <c r="AE410" i="15"/>
  <c r="AE413" i="15"/>
  <c r="K24" i="15"/>
  <c r="K35" i="15"/>
  <c r="K37" i="15"/>
  <c r="K33" i="15"/>
  <c r="K36" i="15"/>
  <c r="K32" i="15"/>
  <c r="AN470" i="15"/>
  <c r="AO470" i="15" s="1"/>
  <c r="P378" i="15"/>
  <c r="Q398" i="15"/>
  <c r="S251" i="15"/>
  <c r="L232" i="15"/>
  <c r="S211" i="15"/>
  <c r="N211" i="15"/>
  <c r="K211" i="15"/>
  <c r="Q13" i="15"/>
  <c r="P6" i="15"/>
  <c r="F154" i="15"/>
  <c r="N82" i="15"/>
  <c r="AL442" i="15"/>
  <c r="AF411" i="15"/>
  <c r="Z426" i="15"/>
  <c r="AI426" i="15" s="1"/>
  <c r="AL446" i="15"/>
  <c r="AF448" i="15"/>
  <c r="AF473" i="15"/>
  <c r="Z477" i="15"/>
  <c r="R96" i="15"/>
  <c r="P96" i="15"/>
  <c r="S81" i="15"/>
  <c r="N81" i="15"/>
  <c r="E96" i="15"/>
  <c r="S33" i="15"/>
  <c r="D114" i="15"/>
  <c r="AL437" i="15"/>
  <c r="Z437" i="15"/>
  <c r="K10" i="15"/>
  <c r="R10" i="15"/>
  <c r="M10" i="15"/>
  <c r="Z446" i="15"/>
  <c r="AF416" i="15"/>
  <c r="AF424" i="15"/>
  <c r="Z442" i="15"/>
  <c r="AL477" i="15"/>
  <c r="AO477" i="15" s="1"/>
  <c r="Z448" i="15"/>
  <c r="Z474" i="15"/>
  <c r="AL429" i="15"/>
  <c r="AL438" i="15"/>
  <c r="AF477" i="15"/>
  <c r="J310" i="15"/>
  <c r="K305" i="15"/>
  <c r="N164" i="15"/>
  <c r="Q331" i="15"/>
  <c r="L234" i="15"/>
  <c r="AL426" i="15"/>
  <c r="AO426" i="15" s="1"/>
  <c r="Z433" i="15"/>
  <c r="AI433" i="15" s="1"/>
  <c r="Z471" i="15"/>
  <c r="AL471" i="15"/>
  <c r="N33" i="15"/>
  <c r="N60" i="15"/>
  <c r="S10" i="15"/>
  <c r="N10" i="15"/>
  <c r="AF427" i="15"/>
  <c r="AF433" i="15"/>
  <c r="AL443" i="15"/>
  <c r="AN443" i="15" s="1"/>
  <c r="Z429" i="15"/>
  <c r="Z498" i="15"/>
  <c r="AF464" i="15"/>
  <c r="AL476" i="15"/>
  <c r="AO476" i="15" s="1"/>
  <c r="Z431" i="15"/>
  <c r="Z415" i="15"/>
  <c r="AF414" i="15"/>
  <c r="AL441" i="15"/>
  <c r="AO441" i="15" s="1"/>
  <c r="N12" i="15"/>
  <c r="S12" i="15"/>
  <c r="S78" i="15"/>
  <c r="F13" i="15"/>
  <c r="S8" i="15"/>
  <c r="AL440" i="15"/>
  <c r="AN440" i="15" s="1"/>
  <c r="Z440" i="15"/>
  <c r="AH440" i="15" s="1"/>
  <c r="AF437" i="15"/>
  <c r="Z411" i="15"/>
  <c r="AF466" i="15"/>
  <c r="AF481" i="15"/>
  <c r="AL432" i="15"/>
  <c r="AF422" i="15"/>
  <c r="Z416" i="15"/>
  <c r="Z443" i="15"/>
  <c r="AH443" i="15" s="1"/>
  <c r="S44" i="15"/>
  <c r="S71" i="15"/>
  <c r="N71" i="15"/>
  <c r="AL424" i="15"/>
  <c r="L352" i="15"/>
  <c r="S331" i="15"/>
  <c r="R298" i="15"/>
  <c r="P298" i="15"/>
  <c r="F267" i="15"/>
  <c r="F350" i="15"/>
  <c r="S259" i="15"/>
  <c r="F136" i="15"/>
  <c r="N117" i="15"/>
  <c r="M94" i="15"/>
  <c r="P15" i="15"/>
  <c r="AL412" i="15"/>
  <c r="Z441" i="15"/>
  <c r="AI441" i="15" s="1"/>
  <c r="AL450" i="15"/>
  <c r="AO450" i="15" s="1"/>
  <c r="Z432" i="15"/>
  <c r="AL416" i="15"/>
  <c r="AF475" i="15"/>
  <c r="AF438" i="15"/>
  <c r="AF425" i="15"/>
  <c r="Z450" i="15"/>
  <c r="AI450" i="15" s="1"/>
  <c r="AF418" i="15"/>
  <c r="AH445" i="15"/>
  <c r="AI445" i="15" s="1"/>
  <c r="P363" i="15"/>
  <c r="R363" i="15"/>
  <c r="F400" i="15"/>
  <c r="AO492" i="15"/>
  <c r="S309" i="15"/>
  <c r="F331" i="15"/>
  <c r="N230" i="15"/>
  <c r="S230" i="15"/>
  <c r="K230" i="15"/>
  <c r="N17" i="15"/>
  <c r="S117" i="15"/>
  <c r="N154" i="15"/>
  <c r="K154" i="15"/>
  <c r="S9" i="15"/>
  <c r="N9" i="15"/>
  <c r="AL418" i="15"/>
  <c r="AL428" i="15"/>
  <c r="AO428" i="15" s="1"/>
  <c r="AL411" i="15"/>
  <c r="Z452" i="15"/>
  <c r="AI452" i="15" s="1"/>
  <c r="AL433" i="15"/>
  <c r="AF423" i="15"/>
  <c r="AF412" i="15"/>
  <c r="AL439" i="15"/>
  <c r="AF428" i="15"/>
  <c r="Z465" i="15"/>
  <c r="AI465" i="15" s="1"/>
  <c r="AL451" i="15"/>
  <c r="AO451" i="15" s="1"/>
  <c r="Z436" i="15"/>
  <c r="S76" i="15"/>
  <c r="S83" i="15" s="1"/>
  <c r="L13" i="15"/>
  <c r="N267" i="15"/>
  <c r="L288" i="15"/>
  <c r="S267" i="15"/>
  <c r="R186" i="15"/>
  <c r="S187" i="15" s="1"/>
  <c r="P187" i="15"/>
  <c r="Q286" i="15"/>
  <c r="Q288" i="15" s="1"/>
  <c r="Q290" i="15" s="1"/>
  <c r="L398" i="15"/>
  <c r="S378" i="15"/>
  <c r="K378" i="15"/>
  <c r="S350" i="15"/>
  <c r="Q310" i="15"/>
  <c r="N350" i="15"/>
  <c r="P299" i="15"/>
  <c r="R299" i="15"/>
  <c r="F246" i="15"/>
  <c r="F251" i="15"/>
  <c r="N245" i="15"/>
  <c r="N246" i="15" s="1"/>
  <c r="P304" i="15"/>
  <c r="R304" i="15"/>
  <c r="M298" i="15"/>
  <c r="F164" i="15"/>
  <c r="K195" i="15"/>
  <c r="L196" i="15" s="1"/>
  <c r="M186" i="15"/>
  <c r="S136" i="15"/>
  <c r="N136" i="15"/>
  <c r="K136" i="15"/>
  <c r="Y17" i="15"/>
  <c r="S17" i="15"/>
  <c r="S107" i="15"/>
  <c r="O114" i="15"/>
  <c r="Z438" i="15"/>
  <c r="AL422" i="15"/>
  <c r="AF417" i="15"/>
  <c r="Z439" i="15"/>
  <c r="AF426" i="15"/>
  <c r="Z414" i="15"/>
  <c r="AF441" i="15"/>
  <c r="AF431" i="15"/>
  <c r="AF472" i="15"/>
  <c r="AF465" i="15"/>
  <c r="AH465" i="15" s="1"/>
  <c r="AF446" i="15"/>
  <c r="K109" i="15"/>
  <c r="AN474" i="15"/>
  <c r="AH474" i="15"/>
  <c r="AI474" i="15" s="1"/>
  <c r="AT474" i="15"/>
  <c r="E299" i="15"/>
  <c r="N299" i="15"/>
  <c r="E251" i="15"/>
  <c r="M245" i="15"/>
  <c r="F187" i="15"/>
  <c r="F195" i="15"/>
  <c r="E230" i="15" s="1"/>
  <c r="F123" i="15"/>
  <c r="R15" i="15"/>
  <c r="N24" i="15"/>
  <c r="N25" i="15" s="1"/>
  <c r="S24" i="15"/>
  <c r="S25" i="15" s="1"/>
  <c r="Y24" i="15"/>
  <c r="F97" i="15"/>
  <c r="Q109" i="15"/>
  <c r="S98" i="15"/>
  <c r="Y109" i="15"/>
  <c r="S109" i="15"/>
  <c r="N31" i="15"/>
  <c r="AL431" i="15"/>
  <c r="AF476" i="15"/>
  <c r="AF429" i="15"/>
  <c r="Z412" i="15"/>
  <c r="AL419" i="15"/>
  <c r="AL435" i="15"/>
  <c r="AL474" i="15"/>
  <c r="AO474" i="15" s="1"/>
  <c r="AL465" i="15"/>
  <c r="R301" i="15"/>
  <c r="P301" i="15"/>
  <c r="Q252" i="15"/>
  <c r="R251" i="15" s="1"/>
  <c r="S252" i="15" s="1"/>
  <c r="AL447" i="15"/>
  <c r="AN447" i="15" s="1"/>
  <c r="Z447" i="15"/>
  <c r="K31" i="15"/>
  <c r="L41" i="15"/>
  <c r="J31" i="15"/>
  <c r="AF450" i="15"/>
  <c r="AL452" i="15"/>
  <c r="AO452" i="15" s="1"/>
  <c r="Z480" i="15"/>
  <c r="AH480" i="15" s="1"/>
  <c r="AI480" i="15" s="1"/>
  <c r="AF442" i="15"/>
  <c r="AF432" i="15"/>
  <c r="AL417" i="15"/>
  <c r="Z422" i="15"/>
  <c r="AF451" i="15"/>
  <c r="AF479" i="15"/>
  <c r="AL480" i="15"/>
  <c r="AO480" i="15" s="1"/>
  <c r="Z476" i="15"/>
  <c r="N34" i="15"/>
  <c r="K34" i="15"/>
  <c r="S34" i="15"/>
  <c r="N21" i="15"/>
  <c r="Q230" i="15"/>
  <c r="Q195" i="15"/>
  <c r="Q187" i="15"/>
  <c r="R302" i="15"/>
  <c r="P302" i="15"/>
  <c r="S305" i="15"/>
  <c r="S306" i="15" s="1"/>
  <c r="L310" i="15"/>
  <c r="AO495" i="15"/>
  <c r="AN495" i="15"/>
  <c r="S63" i="15"/>
  <c r="N63" i="15"/>
  <c r="AL425" i="15"/>
  <c r="Z451" i="15"/>
  <c r="AI451" i="15" s="1"/>
  <c r="Z424" i="15"/>
  <c r="AL414" i="15"/>
  <c r="AL415" i="15"/>
  <c r="AN415" i="15" s="1"/>
  <c r="AF449" i="15"/>
  <c r="Z435" i="15"/>
  <c r="AF435" i="15"/>
  <c r="AL423" i="15"/>
  <c r="AL464" i="15"/>
  <c r="AL445" i="15"/>
  <c r="AN445" i="15" s="1"/>
  <c r="Z496" i="15"/>
  <c r="S40" i="15"/>
  <c r="N40" i="15"/>
  <c r="K40" i="15"/>
  <c r="S56" i="15"/>
  <c r="AH436" i="15"/>
  <c r="AN436" i="15"/>
  <c r="AO436" i="15" s="1"/>
  <c r="AI461" i="15"/>
  <c r="P296" i="15"/>
  <c r="O305" i="15"/>
  <c r="R296" i="15"/>
  <c r="F286" i="15"/>
  <c r="E286" i="15" s="1"/>
  <c r="F232" i="15"/>
  <c r="E232" i="15" s="1"/>
  <c r="E211" i="15"/>
  <c r="AI493" i="15"/>
  <c r="AH493" i="15"/>
  <c r="D305" i="15"/>
  <c r="M305" i="15" s="1"/>
  <c r="F305" i="15"/>
  <c r="F310" i="15" s="1"/>
  <c r="F315" i="15" s="1"/>
  <c r="N296" i="15"/>
  <c r="E95" i="15"/>
  <c r="P95" i="15"/>
  <c r="R95" i="15"/>
  <c r="O97" i="15"/>
  <c r="J27" i="15"/>
  <c r="W82" i="15" s="1"/>
  <c r="K23" i="15"/>
  <c r="R23" i="15" s="1"/>
  <c r="K21" i="15"/>
  <c r="R21" i="15" s="1"/>
  <c r="K13" i="15"/>
  <c r="K22" i="15"/>
  <c r="R22" i="15" s="1"/>
  <c r="N39" i="15"/>
  <c r="AN454" i="15"/>
  <c r="AN467" i="15" s="1"/>
  <c r="N242" i="15"/>
  <c r="N243" i="15" s="1"/>
  <c r="F243" i="15"/>
  <c r="L156" i="15"/>
  <c r="L166" i="15" s="1"/>
  <c r="S123" i="15"/>
  <c r="N123" i="15"/>
  <c r="K123" i="15"/>
  <c r="D97" i="15"/>
  <c r="E114" i="15" s="1"/>
  <c r="AL444" i="15"/>
  <c r="AN444" i="15" s="1"/>
  <c r="Z444" i="15"/>
  <c r="AH444" i="15" s="1"/>
  <c r="AL449" i="15"/>
  <c r="Z449" i="15"/>
  <c r="S6" i="15"/>
  <c r="Z418" i="15"/>
  <c r="Z427" i="15"/>
  <c r="AI427" i="15" s="1"/>
  <c r="AF419" i="15"/>
  <c r="Z423" i="15"/>
  <c r="AF452" i="15"/>
  <c r="AF439" i="15"/>
  <c r="Z425" i="15"/>
  <c r="AF471" i="15"/>
  <c r="N36" i="15"/>
  <c r="Q154" i="15"/>
  <c r="P154" i="15" s="1"/>
  <c r="K106" i="15"/>
  <c r="P230" i="15" l="1"/>
  <c r="AN446" i="6"/>
  <c r="AH446" i="6"/>
  <c r="K106" i="6"/>
  <c r="E122" i="6"/>
  <c r="AN473" i="6"/>
  <c r="AH473" i="6"/>
  <c r="AI473" i="6" s="1"/>
  <c r="AT473" i="6"/>
  <c r="J27" i="6"/>
  <c r="K21" i="6"/>
  <c r="R21" i="6" s="1"/>
  <c r="K13" i="6"/>
  <c r="K23" i="6"/>
  <c r="R23" i="6" s="1"/>
  <c r="J24" i="6"/>
  <c r="K22" i="6"/>
  <c r="R22" i="6" s="1"/>
  <c r="AF453" i="6"/>
  <c r="J315" i="6"/>
  <c r="K310" i="6"/>
  <c r="F41" i="6"/>
  <c r="N31" i="6"/>
  <c r="Z410" i="6"/>
  <c r="D310" i="6"/>
  <c r="E305" i="6"/>
  <c r="O310" i="6"/>
  <c r="R305" i="6"/>
  <c r="P305" i="6"/>
  <c r="E8" i="6"/>
  <c r="M8" i="6"/>
  <c r="E120" i="6"/>
  <c r="AN432" i="6"/>
  <c r="AO432" i="6" s="1"/>
  <c r="AH432" i="6"/>
  <c r="AL419" i="6"/>
  <c r="AH472" i="6"/>
  <c r="AI472" i="6" s="1"/>
  <c r="AN472" i="6"/>
  <c r="AO472" i="6" s="1"/>
  <c r="AT472" i="6"/>
  <c r="K156" i="6"/>
  <c r="N156" i="6"/>
  <c r="K136" i="6"/>
  <c r="AI432" i="6"/>
  <c r="F352" i="6"/>
  <c r="E352" i="6" s="1"/>
  <c r="E331" i="6"/>
  <c r="AN431" i="6"/>
  <c r="AH431" i="6"/>
  <c r="AI431" i="6" s="1"/>
  <c r="D13" i="6"/>
  <c r="E6" i="6"/>
  <c r="AN448" i="6"/>
  <c r="AH448" i="6"/>
  <c r="P378" i="6"/>
  <c r="Q398" i="6"/>
  <c r="S398" i="6" s="1"/>
  <c r="F156" i="6"/>
  <c r="E123" i="6"/>
  <c r="AN413" i="6"/>
  <c r="AO413" i="6" s="1"/>
  <c r="AH413" i="6"/>
  <c r="AE413" i="6"/>
  <c r="O109" i="6"/>
  <c r="P97" i="6"/>
  <c r="P116" i="6"/>
  <c r="P119" i="6"/>
  <c r="P103" i="6"/>
  <c r="P104" i="6"/>
  <c r="O106" i="6"/>
  <c r="P106" i="6" s="1"/>
  <c r="P105" i="6"/>
  <c r="P120" i="6"/>
  <c r="P118" i="6"/>
  <c r="P115" i="6"/>
  <c r="P114" i="6"/>
  <c r="P121" i="6"/>
  <c r="AN444" i="6"/>
  <c r="AO444" i="6" s="1"/>
  <c r="AH444" i="6"/>
  <c r="AI444" i="6" s="1"/>
  <c r="N66" i="6"/>
  <c r="Z416" i="6"/>
  <c r="AN443" i="6"/>
  <c r="AO443" i="6" s="1"/>
  <c r="AH443" i="6"/>
  <c r="AL450" i="6"/>
  <c r="AL427" i="6"/>
  <c r="AL466" i="6"/>
  <c r="AL426" i="6"/>
  <c r="AO426" i="6" s="1"/>
  <c r="AL464" i="6"/>
  <c r="AL418" i="6"/>
  <c r="AL452" i="6"/>
  <c r="AO452" i="6" s="1"/>
  <c r="AL480" i="6"/>
  <c r="AO480" i="6" s="1"/>
  <c r="AH415" i="6"/>
  <c r="AI415" i="6" s="1"/>
  <c r="AN415" i="6"/>
  <c r="AE415" i="6"/>
  <c r="AE418" i="6"/>
  <c r="P122" i="6"/>
  <c r="AL416" i="6"/>
  <c r="AN416" i="6" s="1"/>
  <c r="Z419" i="6"/>
  <c r="Z433" i="6"/>
  <c r="AI433" i="6" s="1"/>
  <c r="Z417" i="6"/>
  <c r="Z464" i="6"/>
  <c r="Z465" i="6"/>
  <c r="Z427" i="6"/>
  <c r="Z480" i="6"/>
  <c r="Z452" i="6"/>
  <c r="AI452" i="6" s="1"/>
  <c r="Z479" i="6"/>
  <c r="Z426" i="6"/>
  <c r="AI426" i="6" s="1"/>
  <c r="Z450" i="6"/>
  <c r="Z496" i="6"/>
  <c r="Z428" i="6"/>
  <c r="Z498" i="6"/>
  <c r="Z466" i="6"/>
  <c r="AI466" i="6" s="1"/>
  <c r="Z418" i="6"/>
  <c r="Z451" i="6"/>
  <c r="AI451" i="6" s="1"/>
  <c r="F398" i="6"/>
  <c r="AH417" i="6"/>
  <c r="AE417" i="6"/>
  <c r="AN417" i="6"/>
  <c r="AE414" i="6"/>
  <c r="Y24" i="6"/>
  <c r="S24" i="6"/>
  <c r="S25" i="6" s="1"/>
  <c r="N24" i="6"/>
  <c r="N25" i="6" s="1"/>
  <c r="J32" i="6"/>
  <c r="Q13" i="6"/>
  <c r="S6" i="6"/>
  <c r="S13" i="6" s="1"/>
  <c r="AO431" i="6"/>
  <c r="Q156" i="6"/>
  <c r="P156" i="6" s="1"/>
  <c r="P123" i="6"/>
  <c r="S68" i="6"/>
  <c r="AN476" i="6"/>
  <c r="AO476" i="6" s="1"/>
  <c r="AH476" i="6"/>
  <c r="AI476" i="6" s="1"/>
  <c r="AT476" i="6"/>
  <c r="Z439" i="6"/>
  <c r="N59" i="6"/>
  <c r="AO446" i="6"/>
  <c r="AL479" i="6"/>
  <c r="AO479" i="6" s="1"/>
  <c r="N154" i="6"/>
  <c r="AI443" i="6"/>
  <c r="Y13" i="6"/>
  <c r="L27" i="6"/>
  <c r="J31" i="6"/>
  <c r="P350" i="6"/>
  <c r="F252" i="6"/>
  <c r="M251" i="6" s="1"/>
  <c r="O13" i="6"/>
  <c r="AK415" i="6" s="1"/>
  <c r="P6" i="6"/>
  <c r="F13" i="6"/>
  <c r="D31" i="6" s="1"/>
  <c r="N6" i="6"/>
  <c r="AH416" i="6"/>
  <c r="AR416" i="6"/>
  <c r="AE416" i="6"/>
  <c r="N50" i="6"/>
  <c r="N68" i="6"/>
  <c r="AI413" i="6"/>
  <c r="Y413" i="6"/>
  <c r="S59" i="6"/>
  <c r="AL439" i="6"/>
  <c r="E195" i="6"/>
  <c r="M186" i="6"/>
  <c r="AL414" i="6"/>
  <c r="AN414" i="6" s="1"/>
  <c r="S35" i="6"/>
  <c r="AH464" i="6"/>
  <c r="AF467" i="6"/>
  <c r="Q315" i="6"/>
  <c r="Q290" i="6"/>
  <c r="S290" i="6" s="1"/>
  <c r="Q252" i="6"/>
  <c r="R251" i="6" s="1"/>
  <c r="S252" i="6" s="1"/>
  <c r="F54" i="6"/>
  <c r="N43" i="6"/>
  <c r="Z423" i="6"/>
  <c r="AO417" i="6"/>
  <c r="AK417" i="6"/>
  <c r="AI449" i="6"/>
  <c r="N44" i="6"/>
  <c r="Z424" i="6"/>
  <c r="AH471" i="6"/>
  <c r="AI471" i="6" s="1"/>
  <c r="AN471" i="6"/>
  <c r="AO471" i="6" s="1"/>
  <c r="AT471" i="6"/>
  <c r="AF482" i="6"/>
  <c r="Z414" i="6"/>
  <c r="AH414" i="6" s="1"/>
  <c r="N35" i="6"/>
  <c r="AH451" i="6"/>
  <c r="AN451" i="6"/>
  <c r="S352" i="6"/>
  <c r="K352" i="6"/>
  <c r="N352" i="6"/>
  <c r="AE412" i="6"/>
  <c r="S288" i="6"/>
  <c r="P7" i="6"/>
  <c r="S57" i="6"/>
  <c r="S72" i="6" s="1"/>
  <c r="AL437" i="6"/>
  <c r="AN480" i="6"/>
  <c r="AH480" i="6"/>
  <c r="AI480" i="6" s="1"/>
  <c r="AT480" i="6"/>
  <c r="L166" i="6"/>
  <c r="N109" i="6"/>
  <c r="N110" i="6" s="1"/>
  <c r="Y109" i="6"/>
  <c r="S109" i="6"/>
  <c r="Q54" i="6"/>
  <c r="S43" i="6"/>
  <c r="AL423" i="6"/>
  <c r="R109" i="6"/>
  <c r="K109" i="6"/>
  <c r="S251" i="6"/>
  <c r="S44" i="6"/>
  <c r="AL424" i="6"/>
  <c r="AN424" i="6" s="1"/>
  <c r="AI422" i="6"/>
  <c r="R186" i="6"/>
  <c r="S187" i="6" s="1"/>
  <c r="P187" i="6"/>
  <c r="Q232" i="6"/>
  <c r="S232" i="6" s="1"/>
  <c r="F72" i="6"/>
  <c r="Z435" i="6"/>
  <c r="AH452" i="6"/>
  <c r="S310" i="6"/>
  <c r="S311" i="6" s="1"/>
  <c r="N310" i="6"/>
  <c r="N311" i="6" s="1"/>
  <c r="L315" i="6"/>
  <c r="P117" i="6"/>
  <c r="E350" i="6"/>
  <c r="AN445" i="6"/>
  <c r="AO445" i="6" s="1"/>
  <c r="AH445" i="6"/>
  <c r="AI445" i="6" s="1"/>
  <c r="D106" i="6"/>
  <c r="E106" i="6" s="1"/>
  <c r="E118" i="6"/>
  <c r="E104" i="6"/>
  <c r="D109" i="6"/>
  <c r="E109" i="6" s="1"/>
  <c r="E121" i="6"/>
  <c r="E105" i="6"/>
  <c r="E97" i="6"/>
  <c r="E103" i="6"/>
  <c r="E114" i="6"/>
  <c r="E119" i="6"/>
  <c r="E115" i="6"/>
  <c r="E116" i="6"/>
  <c r="N57" i="6"/>
  <c r="N72" i="6" s="1"/>
  <c r="Z437" i="6"/>
  <c r="AH474" i="6"/>
  <c r="AI474" i="6" s="1"/>
  <c r="AT474" i="6"/>
  <c r="AN442" i="6"/>
  <c r="AO442" i="6" s="1"/>
  <c r="AH442" i="6"/>
  <c r="AI442" i="6" s="1"/>
  <c r="N232" i="6"/>
  <c r="K232" i="6"/>
  <c r="N251" i="6"/>
  <c r="N252" i="6" s="1"/>
  <c r="AN477" i="6"/>
  <c r="AH477" i="6"/>
  <c r="AI477" i="6" s="1"/>
  <c r="AT477" i="6"/>
  <c r="AF420" i="6"/>
  <c r="Y412" i="6"/>
  <c r="AI412" i="6"/>
  <c r="AO448" i="6"/>
  <c r="F187" i="6"/>
  <c r="F195" i="6"/>
  <c r="E232" i="6" s="1"/>
  <c r="Q72" i="6"/>
  <c r="AL435" i="6"/>
  <c r="AN441" i="6"/>
  <c r="AH441" i="6"/>
  <c r="N305" i="6"/>
  <c r="N306" i="6" s="1"/>
  <c r="E117" i="6"/>
  <c r="AN411" i="6"/>
  <c r="AO411" i="6" s="1"/>
  <c r="AE411" i="6"/>
  <c r="AH411" i="6"/>
  <c r="AI411" i="6" s="1"/>
  <c r="AL465" i="6"/>
  <c r="AI446" i="6"/>
  <c r="AL474" i="6"/>
  <c r="AO474" i="6" s="1"/>
  <c r="S77" i="6"/>
  <c r="S83" i="6" s="1"/>
  <c r="AH479" i="6"/>
  <c r="AI479" i="6" s="1"/>
  <c r="AT479" i="6"/>
  <c r="F288" i="6"/>
  <c r="E288" i="6" s="1"/>
  <c r="E267" i="6"/>
  <c r="P136" i="6"/>
  <c r="AO415" i="6"/>
  <c r="Q352" i="6"/>
  <c r="AH449" i="6"/>
  <c r="AN449" i="6"/>
  <c r="AO449" i="6" s="1"/>
  <c r="P8" i="6"/>
  <c r="R8" i="6"/>
  <c r="AH436" i="6"/>
  <c r="AI436" i="6" s="1"/>
  <c r="AH426" i="6"/>
  <c r="AO430" i="6"/>
  <c r="E7" i="6"/>
  <c r="AI430" i="6"/>
  <c r="AN425" i="6"/>
  <c r="AH425" i="6"/>
  <c r="AI425" i="6" s="1"/>
  <c r="Z474" i="6"/>
  <c r="N77" i="6"/>
  <c r="N83" i="6" s="1"/>
  <c r="S38" i="6"/>
  <c r="AL428" i="6"/>
  <c r="K398" i="6"/>
  <c r="Q195" i="6"/>
  <c r="Q187" i="6"/>
  <c r="M6" i="6"/>
  <c r="M13" i="6" s="1"/>
  <c r="AO425" i="6"/>
  <c r="N11" i="6"/>
  <c r="AI448" i="6"/>
  <c r="F83" i="6"/>
  <c r="N123" i="6"/>
  <c r="S22" i="6"/>
  <c r="S52" i="6"/>
  <c r="Z434" i="6"/>
  <c r="Q166" i="6"/>
  <c r="S110" i="6"/>
  <c r="AN429" i="6"/>
  <c r="AO429" i="6" s="1"/>
  <c r="AH429" i="6"/>
  <c r="AI429" i="6" s="1"/>
  <c r="L74" i="6"/>
  <c r="N41" i="6"/>
  <c r="K41" i="6"/>
  <c r="AN447" i="6"/>
  <c r="AO447" i="6" s="1"/>
  <c r="AH447" i="6"/>
  <c r="P154" i="6"/>
  <c r="AI447" i="6"/>
  <c r="AO440" i="6"/>
  <c r="R6" i="6"/>
  <c r="Q41" i="6"/>
  <c r="O31" i="6"/>
  <c r="AL410" i="6"/>
  <c r="S31" i="6"/>
  <c r="L234" i="6"/>
  <c r="L196" i="6"/>
  <c r="AO422" i="6"/>
  <c r="K123" i="6"/>
  <c r="N22" i="6"/>
  <c r="AO436" i="6"/>
  <c r="K74" i="5"/>
  <c r="P156" i="5"/>
  <c r="S156" i="5"/>
  <c r="Y417" i="5"/>
  <c r="AI417" i="5"/>
  <c r="AK417" i="5"/>
  <c r="AO417" i="5"/>
  <c r="AE418" i="5"/>
  <c r="AO425" i="5"/>
  <c r="K315" i="5"/>
  <c r="AI442" i="5"/>
  <c r="K398" i="5"/>
  <c r="Y412" i="5"/>
  <c r="S44" i="5"/>
  <c r="S54" i="5" s="1"/>
  <c r="E34" i="5"/>
  <c r="AH414" i="5"/>
  <c r="AN414" i="5"/>
  <c r="AO414" i="5" s="1"/>
  <c r="AE414" i="5"/>
  <c r="AI440" i="5"/>
  <c r="P378" i="5"/>
  <c r="Q398" i="5"/>
  <c r="P398" i="5" s="1"/>
  <c r="AN448" i="5"/>
  <c r="AO448" i="5" s="1"/>
  <c r="AH448" i="5"/>
  <c r="P39" i="5"/>
  <c r="P33" i="5"/>
  <c r="P24" i="5"/>
  <c r="P35" i="5"/>
  <c r="P37" i="5"/>
  <c r="P32" i="5"/>
  <c r="AH437" i="5"/>
  <c r="AN437" i="5"/>
  <c r="AL453" i="5"/>
  <c r="Z450" i="5"/>
  <c r="AI450" i="5" s="1"/>
  <c r="AN451" i="5"/>
  <c r="F54" i="5"/>
  <c r="E54" i="5" s="1"/>
  <c r="AI447" i="5"/>
  <c r="M14" i="5"/>
  <c r="E21" i="5"/>
  <c r="E13" i="5"/>
  <c r="E22" i="5"/>
  <c r="D27" i="5"/>
  <c r="E23" i="5"/>
  <c r="AH423" i="5"/>
  <c r="AI423" i="5" s="1"/>
  <c r="AN423" i="5"/>
  <c r="Z428" i="5"/>
  <c r="AI428" i="5" s="1"/>
  <c r="AT475" i="5"/>
  <c r="AN475" i="5"/>
  <c r="AH475" i="5"/>
  <c r="AI475" i="5" s="1"/>
  <c r="S306" i="5"/>
  <c r="Q310" i="5"/>
  <c r="S310" i="5" s="1"/>
  <c r="AE413" i="5"/>
  <c r="AN413" i="5"/>
  <c r="AO413" i="5" s="1"/>
  <c r="AH413" i="5"/>
  <c r="E154" i="5"/>
  <c r="F234" i="5"/>
  <c r="F196" i="5"/>
  <c r="E103" i="5"/>
  <c r="E105" i="5"/>
  <c r="E97" i="5"/>
  <c r="E104" i="5"/>
  <c r="E120" i="5"/>
  <c r="E115" i="5"/>
  <c r="E118" i="5"/>
  <c r="E121" i="5"/>
  <c r="D106" i="5"/>
  <c r="M97" i="5"/>
  <c r="M98" i="5" s="1"/>
  <c r="E122" i="5"/>
  <c r="D109" i="5"/>
  <c r="E119" i="5"/>
  <c r="E116" i="5"/>
  <c r="E114" i="5"/>
  <c r="E117" i="5"/>
  <c r="AF467" i="5"/>
  <c r="N97" i="5"/>
  <c r="N98" i="5" s="1"/>
  <c r="AH436" i="5"/>
  <c r="AI436" i="5" s="1"/>
  <c r="AN436" i="5"/>
  <c r="Z419" i="5"/>
  <c r="AH412" i="5"/>
  <c r="AI412" i="5" s="1"/>
  <c r="AN412" i="5"/>
  <c r="AO412" i="5" s="1"/>
  <c r="AE412" i="5"/>
  <c r="K41" i="5"/>
  <c r="AN474" i="5"/>
  <c r="AH474" i="5"/>
  <c r="AI474" i="5" s="1"/>
  <c r="AT474" i="5"/>
  <c r="S14" i="5"/>
  <c r="AN479" i="5"/>
  <c r="AH479" i="5"/>
  <c r="AI479" i="5" s="1"/>
  <c r="AT479" i="5"/>
  <c r="L234" i="5"/>
  <c r="S195" i="5"/>
  <c r="S196" i="5" s="1"/>
  <c r="N195" i="5"/>
  <c r="N196" i="5" s="1"/>
  <c r="L196" i="5"/>
  <c r="K211" i="5"/>
  <c r="AH415" i="5"/>
  <c r="AE415" i="5"/>
  <c r="AN415" i="5"/>
  <c r="AO415" i="5" s="1"/>
  <c r="N65" i="5"/>
  <c r="AO442" i="5"/>
  <c r="K232" i="5"/>
  <c r="R17" i="5"/>
  <c r="AN481" i="5"/>
  <c r="AO481" i="5" s="1"/>
  <c r="AH481" i="5"/>
  <c r="AI481" i="5" s="1"/>
  <c r="AT481" i="5"/>
  <c r="N14" i="5"/>
  <c r="F27" i="5"/>
  <c r="AL426" i="5"/>
  <c r="AO426" i="5" s="1"/>
  <c r="Q24" i="5"/>
  <c r="S22" i="5"/>
  <c r="S65" i="5"/>
  <c r="AN450" i="5"/>
  <c r="F352" i="5"/>
  <c r="AN442" i="5"/>
  <c r="AH442" i="5"/>
  <c r="AK415" i="5"/>
  <c r="AO436" i="5"/>
  <c r="N310" i="5"/>
  <c r="N311" i="5" s="1"/>
  <c r="L315" i="5"/>
  <c r="AH432" i="5"/>
  <c r="AN432" i="5"/>
  <c r="R186" i="5"/>
  <c r="S187" i="5" s="1"/>
  <c r="P187" i="5"/>
  <c r="P34" i="5"/>
  <c r="AK416" i="5"/>
  <c r="Y411" i="5"/>
  <c r="S364" i="5"/>
  <c r="Q400" i="5"/>
  <c r="S400" i="5" s="1"/>
  <c r="E211" i="5"/>
  <c r="F232" i="5"/>
  <c r="N211" i="5"/>
  <c r="AH438" i="5"/>
  <c r="AN438" i="5"/>
  <c r="L166" i="5"/>
  <c r="N109" i="5"/>
  <c r="N110" i="5" s="1"/>
  <c r="S109" i="5"/>
  <c r="S110" i="5" s="1"/>
  <c r="Y109" i="5"/>
  <c r="K123" i="5"/>
  <c r="K136" i="5"/>
  <c r="K21" i="5"/>
  <c r="R21" i="5" s="1"/>
  <c r="K13" i="5"/>
  <c r="K23" i="5"/>
  <c r="R23" i="5" s="1"/>
  <c r="J27" i="5"/>
  <c r="K22" i="5"/>
  <c r="R22" i="5" s="1"/>
  <c r="J24" i="5"/>
  <c r="AI443" i="5"/>
  <c r="Q187" i="5"/>
  <c r="AN473" i="5"/>
  <c r="AH473" i="5"/>
  <c r="AI473" i="5" s="1"/>
  <c r="AT473" i="5"/>
  <c r="AN439" i="5"/>
  <c r="AO439" i="5" s="1"/>
  <c r="AH439" i="5"/>
  <c r="E267" i="5"/>
  <c r="F288" i="5"/>
  <c r="N58" i="5"/>
  <c r="AK412" i="5"/>
  <c r="AO432" i="5"/>
  <c r="R363" i="5"/>
  <c r="P363" i="5"/>
  <c r="AN422" i="5"/>
  <c r="AO422" i="5" s="1"/>
  <c r="AH422" i="5"/>
  <c r="AF434" i="5"/>
  <c r="AF469" i="5" s="1"/>
  <c r="P40" i="5"/>
  <c r="S40" i="5"/>
  <c r="AL464" i="5"/>
  <c r="AL433" i="5"/>
  <c r="AL466" i="5"/>
  <c r="AL465" i="5"/>
  <c r="AL418" i="5"/>
  <c r="AN418" i="5" s="1"/>
  <c r="AL480" i="5"/>
  <c r="AL482" i="5" s="1"/>
  <c r="AL427" i="5"/>
  <c r="P38" i="5"/>
  <c r="S63" i="5"/>
  <c r="AN430" i="5"/>
  <c r="AO430" i="5" s="1"/>
  <c r="AH430" i="5"/>
  <c r="Q166" i="5"/>
  <c r="K54" i="5"/>
  <c r="AN424" i="5"/>
  <c r="AO424" i="5" s="1"/>
  <c r="AH424" i="5"/>
  <c r="AI424" i="5" s="1"/>
  <c r="Q196" i="5"/>
  <c r="AI414" i="5"/>
  <c r="Y414" i="5"/>
  <c r="S58" i="5"/>
  <c r="AN447" i="5"/>
  <c r="AH447" i="5"/>
  <c r="E40" i="5"/>
  <c r="N40" i="5"/>
  <c r="Z452" i="5"/>
  <c r="AI452" i="5" s="1"/>
  <c r="Z480" i="5"/>
  <c r="AH480" i="5" s="1"/>
  <c r="AI480" i="5" s="1"/>
  <c r="Z464" i="5"/>
  <c r="Z433" i="5"/>
  <c r="AI433" i="5" s="1"/>
  <c r="Z496" i="5"/>
  <c r="Z451" i="5"/>
  <c r="Z498" i="5"/>
  <c r="Z466" i="5"/>
  <c r="AI466" i="5" s="1"/>
  <c r="AN425" i="5"/>
  <c r="AH425" i="5"/>
  <c r="E38" i="5"/>
  <c r="AE410" i="5"/>
  <c r="AO447" i="5"/>
  <c r="AH465" i="5"/>
  <c r="Y415" i="5"/>
  <c r="AI415" i="5"/>
  <c r="AN441" i="5"/>
  <c r="AH441" i="5"/>
  <c r="N230" i="5"/>
  <c r="AI439" i="5"/>
  <c r="AH449" i="5"/>
  <c r="AI449" i="5" s="1"/>
  <c r="AN449" i="5"/>
  <c r="AO449" i="5" s="1"/>
  <c r="Z426" i="5"/>
  <c r="AI426" i="5" s="1"/>
  <c r="AN472" i="5"/>
  <c r="AO472" i="5" s="1"/>
  <c r="AH472" i="5"/>
  <c r="AI472" i="5" s="1"/>
  <c r="P230" i="5"/>
  <c r="O27" i="5"/>
  <c r="AI422" i="5"/>
  <c r="D32" i="5"/>
  <c r="AN452" i="5"/>
  <c r="AF453" i="5"/>
  <c r="AN435" i="5"/>
  <c r="AH435" i="5"/>
  <c r="AI435" i="5" s="1"/>
  <c r="AI432" i="5"/>
  <c r="Q54" i="5"/>
  <c r="AH477" i="5"/>
  <c r="AI477" i="5" s="1"/>
  <c r="AT477" i="5"/>
  <c r="AN477" i="5"/>
  <c r="Y416" i="5"/>
  <c r="AH471" i="5"/>
  <c r="AI471" i="5" s="1"/>
  <c r="AF482" i="5"/>
  <c r="AN471" i="5"/>
  <c r="AO471" i="5" s="1"/>
  <c r="AT471" i="5"/>
  <c r="D113" i="5"/>
  <c r="AN419" i="5"/>
  <c r="AE419" i="5"/>
  <c r="O109" i="5"/>
  <c r="P105" i="5"/>
  <c r="O106" i="5"/>
  <c r="P106" i="5" s="1"/>
  <c r="P121" i="5"/>
  <c r="P103" i="5"/>
  <c r="P97" i="5"/>
  <c r="P104" i="5"/>
  <c r="R97" i="5"/>
  <c r="R98" i="5" s="1"/>
  <c r="P114" i="5"/>
  <c r="P119" i="5"/>
  <c r="P117" i="5"/>
  <c r="P113" i="5"/>
  <c r="P122" i="5"/>
  <c r="P116" i="5"/>
  <c r="P118" i="5"/>
  <c r="P115" i="5"/>
  <c r="P120" i="5"/>
  <c r="AO423" i="5"/>
  <c r="AI430" i="5"/>
  <c r="AT476" i="5"/>
  <c r="AN476" i="5"/>
  <c r="AH476" i="5"/>
  <c r="AI476" i="5" s="1"/>
  <c r="S288" i="5"/>
  <c r="N288" i="5"/>
  <c r="L290" i="5"/>
  <c r="N27" i="5"/>
  <c r="L85" i="5"/>
  <c r="Y27" i="5"/>
  <c r="AH429" i="5"/>
  <c r="AI429" i="5" s="1"/>
  <c r="AN429" i="5"/>
  <c r="AO429" i="5" s="1"/>
  <c r="Z418" i="5"/>
  <c r="AH418" i="5" s="1"/>
  <c r="AN446" i="5"/>
  <c r="AO446" i="5" s="1"/>
  <c r="AH446" i="5"/>
  <c r="AI446" i="5" s="1"/>
  <c r="AN444" i="5"/>
  <c r="AO444" i="5" s="1"/>
  <c r="AH444" i="5"/>
  <c r="AI444" i="5" s="1"/>
  <c r="E113" i="5"/>
  <c r="AO437" i="5"/>
  <c r="F72" i="5"/>
  <c r="E72" i="5" s="1"/>
  <c r="S352" i="5"/>
  <c r="N352" i="5"/>
  <c r="K352" i="5"/>
  <c r="AH427" i="5"/>
  <c r="P13" i="5"/>
  <c r="AO419" i="5"/>
  <c r="AK419" i="5"/>
  <c r="E17" i="5"/>
  <c r="AN445" i="5"/>
  <c r="AH445" i="5"/>
  <c r="AI445" i="5" s="1"/>
  <c r="E378" i="5"/>
  <c r="F398" i="5"/>
  <c r="E398" i="5" s="1"/>
  <c r="E24" i="5"/>
  <c r="E39" i="5"/>
  <c r="E37" i="5"/>
  <c r="E35" i="5"/>
  <c r="E33" i="5"/>
  <c r="E136" i="5"/>
  <c r="AI413" i="5"/>
  <c r="Y413" i="5"/>
  <c r="AO438" i="5"/>
  <c r="AE411" i="5"/>
  <c r="AH411" i="5"/>
  <c r="AI411" i="5" s="1"/>
  <c r="AN411" i="5"/>
  <c r="AO411" i="5" s="1"/>
  <c r="AN416" i="5"/>
  <c r="AO416" i="5" s="1"/>
  <c r="AH416" i="5"/>
  <c r="AI416" i="5" s="1"/>
  <c r="AE416" i="5"/>
  <c r="AI437" i="5"/>
  <c r="AH443" i="5"/>
  <c r="AN443" i="5"/>
  <c r="AO443" i="5" s="1"/>
  <c r="E123" i="5"/>
  <c r="F156" i="5"/>
  <c r="N123" i="5"/>
  <c r="E31" i="5"/>
  <c r="D31" i="5"/>
  <c r="F41" i="5"/>
  <c r="Z410" i="5"/>
  <c r="N31" i="5"/>
  <c r="AI448" i="5"/>
  <c r="AK414" i="5"/>
  <c r="AE417" i="5"/>
  <c r="AN417" i="5"/>
  <c r="AH417" i="5"/>
  <c r="D310" i="5"/>
  <c r="E305" i="5"/>
  <c r="M305" i="5"/>
  <c r="AO445" i="5"/>
  <c r="AI438" i="5"/>
  <c r="AN431" i="5"/>
  <c r="AO431" i="5" s="1"/>
  <c r="AH431" i="5"/>
  <c r="AI431" i="5" s="1"/>
  <c r="N44" i="5"/>
  <c r="N54" i="5" s="1"/>
  <c r="AK411" i="5"/>
  <c r="P136" i="5"/>
  <c r="S136" i="5"/>
  <c r="Q352" i="5"/>
  <c r="O310" i="5"/>
  <c r="P305" i="5"/>
  <c r="R305" i="5"/>
  <c r="AN440" i="5"/>
  <c r="AO440" i="5" s="1"/>
  <c r="AH440" i="5"/>
  <c r="AI425" i="5"/>
  <c r="Q232" i="5"/>
  <c r="Q234" i="5" s="1"/>
  <c r="P211" i="5"/>
  <c r="S211" i="5"/>
  <c r="P31" i="5"/>
  <c r="Q41" i="5"/>
  <c r="O31" i="5"/>
  <c r="S31" i="5"/>
  <c r="AL410" i="5"/>
  <c r="AH466" i="5"/>
  <c r="AL428" i="5"/>
  <c r="AO428" i="5" s="1"/>
  <c r="Q72" i="5"/>
  <c r="P22" i="5"/>
  <c r="S54" i="15"/>
  <c r="AI447" i="15"/>
  <c r="F354" i="15"/>
  <c r="AI424" i="15"/>
  <c r="AN452" i="15"/>
  <c r="AH452" i="15"/>
  <c r="Q196" i="15"/>
  <c r="R195" i="15" s="1"/>
  <c r="AH451" i="15"/>
  <c r="AN451" i="15"/>
  <c r="AI436" i="15"/>
  <c r="P8" i="15"/>
  <c r="O13" i="15"/>
  <c r="AK417" i="15" s="1"/>
  <c r="R8" i="15"/>
  <c r="R13" i="15" s="1"/>
  <c r="AI415" i="15"/>
  <c r="Y415" i="15"/>
  <c r="AM415" i="15" s="1"/>
  <c r="S50" i="15"/>
  <c r="AL430" i="15"/>
  <c r="Z466" i="15"/>
  <c r="AI466" i="15" s="1"/>
  <c r="AH447" i="15"/>
  <c r="AI496" i="15"/>
  <c r="AH496" i="15"/>
  <c r="AH424" i="15"/>
  <c r="AN424" i="15"/>
  <c r="AO424" i="15" s="1"/>
  <c r="Q27" i="15"/>
  <c r="AO447" i="15"/>
  <c r="AO419" i="15"/>
  <c r="S110" i="15"/>
  <c r="K398" i="15"/>
  <c r="S398" i="15"/>
  <c r="L400" i="15"/>
  <c r="AN418" i="15"/>
  <c r="AH418" i="15"/>
  <c r="AE418" i="15"/>
  <c r="AI416" i="15"/>
  <c r="S60" i="15"/>
  <c r="AH416" i="15"/>
  <c r="AE416" i="15"/>
  <c r="AN416" i="15"/>
  <c r="AN411" i="15"/>
  <c r="AH411" i="15"/>
  <c r="AE411" i="15"/>
  <c r="AN446" i="15"/>
  <c r="AO446" i="15" s="1"/>
  <c r="AH446" i="15"/>
  <c r="K156" i="15"/>
  <c r="N156" i="15"/>
  <c r="AN432" i="15"/>
  <c r="AH432" i="15"/>
  <c r="F109" i="15"/>
  <c r="D113" i="15"/>
  <c r="N97" i="15"/>
  <c r="N98" i="15" s="1"/>
  <c r="AN472" i="15"/>
  <c r="AO472" i="15" s="1"/>
  <c r="AH472" i="15"/>
  <c r="AI472" i="15" s="1"/>
  <c r="AT472" i="15"/>
  <c r="AN428" i="15"/>
  <c r="F352" i="15"/>
  <c r="E352" i="15" s="1"/>
  <c r="E331" i="15"/>
  <c r="N331" i="15"/>
  <c r="AH422" i="15"/>
  <c r="AN422" i="15"/>
  <c r="AO422" i="15" s="1"/>
  <c r="AF434" i="15"/>
  <c r="F27" i="15"/>
  <c r="N14" i="15"/>
  <c r="AF467" i="15"/>
  <c r="N195" i="15"/>
  <c r="N196" i="15" s="1"/>
  <c r="AI446" i="15"/>
  <c r="E8" i="15"/>
  <c r="M8" i="15"/>
  <c r="D13" i="15"/>
  <c r="AN442" i="15"/>
  <c r="AO442" i="15" s="1"/>
  <c r="AH442" i="15"/>
  <c r="AI442" i="15" s="1"/>
  <c r="AN429" i="15"/>
  <c r="AO429" i="15" s="1"/>
  <c r="AH429" i="15"/>
  <c r="N66" i="15"/>
  <c r="AH431" i="15"/>
  <c r="AN431" i="15"/>
  <c r="AO431" i="15" s="1"/>
  <c r="F252" i="15"/>
  <c r="M251" i="15" s="1"/>
  <c r="AH425" i="15"/>
  <c r="AN425" i="15"/>
  <c r="AO425" i="15" s="1"/>
  <c r="F72" i="15"/>
  <c r="AO432" i="15"/>
  <c r="N78" i="15"/>
  <c r="AI498" i="15"/>
  <c r="AH498" i="15"/>
  <c r="S195" i="15"/>
  <c r="S196" i="15" s="1"/>
  <c r="AH477" i="15"/>
  <c r="AI477" i="15" s="1"/>
  <c r="AN477" i="15"/>
  <c r="AT477" i="15"/>
  <c r="N57" i="15"/>
  <c r="N68" i="15"/>
  <c r="AI422" i="15"/>
  <c r="AO417" i="15"/>
  <c r="AI418" i="15"/>
  <c r="R305" i="15"/>
  <c r="O310" i="15"/>
  <c r="P305" i="15"/>
  <c r="S13" i="15"/>
  <c r="S14" i="15" s="1"/>
  <c r="AF453" i="15"/>
  <c r="AN435" i="15"/>
  <c r="AH435" i="15"/>
  <c r="N305" i="15"/>
  <c r="N306" i="15" s="1"/>
  <c r="AH476" i="15"/>
  <c r="AI476" i="15" s="1"/>
  <c r="AN476" i="15"/>
  <c r="AT476" i="15"/>
  <c r="S66" i="15"/>
  <c r="AO454" i="15"/>
  <c r="AH441" i="15"/>
  <c r="AN441" i="15"/>
  <c r="AH412" i="15"/>
  <c r="AI412" i="15" s="1"/>
  <c r="AN412" i="15"/>
  <c r="AE412" i="15"/>
  <c r="S154" i="15"/>
  <c r="AH438" i="15"/>
  <c r="AN438" i="15"/>
  <c r="AO438" i="15" s="1"/>
  <c r="N352" i="15"/>
  <c r="K352" i="15"/>
  <c r="AN481" i="15"/>
  <c r="AO481" i="15" s="1"/>
  <c r="AH481" i="15"/>
  <c r="AI481" i="15" s="1"/>
  <c r="AT481" i="15"/>
  <c r="AI429" i="15"/>
  <c r="S57" i="15"/>
  <c r="K232" i="15"/>
  <c r="N232" i="15"/>
  <c r="S68" i="15"/>
  <c r="P136" i="15"/>
  <c r="AH415" i="15"/>
  <c r="Q156" i="15"/>
  <c r="P156" i="15" s="1"/>
  <c r="AE419" i="15"/>
  <c r="AN419" i="15"/>
  <c r="O106" i="15"/>
  <c r="P106" i="15" s="1"/>
  <c r="P105" i="15"/>
  <c r="O109" i="15"/>
  <c r="P103" i="15"/>
  <c r="P104" i="15"/>
  <c r="P118" i="15"/>
  <c r="P97" i="15"/>
  <c r="P115" i="15"/>
  <c r="P120" i="15"/>
  <c r="P114" i="15"/>
  <c r="P121" i="15"/>
  <c r="P122" i="15"/>
  <c r="R97" i="15"/>
  <c r="R98" i="15" s="1"/>
  <c r="P119" i="15"/>
  <c r="P116" i="15"/>
  <c r="P113" i="15"/>
  <c r="Z453" i="15"/>
  <c r="L315" i="15"/>
  <c r="S310" i="15"/>
  <c r="S311" i="15" s="1"/>
  <c r="N310" i="15"/>
  <c r="N311" i="15" s="1"/>
  <c r="Y414" i="15"/>
  <c r="AN423" i="15"/>
  <c r="AO423" i="15" s="1"/>
  <c r="AH423" i="15"/>
  <c r="AT475" i="15"/>
  <c r="AN475" i="15"/>
  <c r="AO475" i="15" s="1"/>
  <c r="AH475" i="15"/>
  <c r="AI475" i="15" s="1"/>
  <c r="E117" i="15"/>
  <c r="AO443" i="15"/>
  <c r="Q352" i="15"/>
  <c r="Z479" i="15"/>
  <c r="AH479" i="15" s="1"/>
  <c r="AI479" i="15" s="1"/>
  <c r="P123" i="15"/>
  <c r="AI431" i="15"/>
  <c r="AN426" i="15"/>
  <c r="AH426" i="15"/>
  <c r="S288" i="15"/>
  <c r="P117" i="15"/>
  <c r="AO416" i="15"/>
  <c r="AI411" i="15"/>
  <c r="Y411" i="15"/>
  <c r="AH433" i="15"/>
  <c r="AI471" i="15"/>
  <c r="L290" i="15"/>
  <c r="Q54" i="15"/>
  <c r="AG415" i="15"/>
  <c r="AL466" i="15"/>
  <c r="AL467" i="15" s="1"/>
  <c r="AO467" i="15" s="1"/>
  <c r="AI444" i="15"/>
  <c r="D310" i="15"/>
  <c r="M310" i="15" s="1"/>
  <c r="E305" i="15"/>
  <c r="AO415" i="15"/>
  <c r="F41" i="15"/>
  <c r="N41" i="15" s="1"/>
  <c r="D31" i="15"/>
  <c r="Z410" i="15"/>
  <c r="AI432" i="15"/>
  <c r="AN437" i="15"/>
  <c r="AO437" i="15" s="1"/>
  <c r="AH437" i="15"/>
  <c r="AI437" i="15" s="1"/>
  <c r="Q72" i="15"/>
  <c r="AH427" i="15"/>
  <c r="P12" i="15"/>
  <c r="R12" i="15"/>
  <c r="AT473" i="15"/>
  <c r="N251" i="15"/>
  <c r="N252" i="15" s="1"/>
  <c r="AI423" i="15"/>
  <c r="K27" i="15"/>
  <c r="AN450" i="15"/>
  <c r="AH450" i="15"/>
  <c r="AH471" i="15"/>
  <c r="AF482" i="15"/>
  <c r="AN471" i="15"/>
  <c r="AO471" i="15" s="1"/>
  <c r="AT471" i="15"/>
  <c r="AO444" i="15"/>
  <c r="L74" i="15"/>
  <c r="K41" i="15"/>
  <c r="AL413" i="15"/>
  <c r="AN417" i="15"/>
  <c r="AE417" i="15"/>
  <c r="Q315" i="15"/>
  <c r="Y13" i="15"/>
  <c r="L27" i="15"/>
  <c r="AO411" i="15"/>
  <c r="E17" i="15"/>
  <c r="M17" i="15"/>
  <c r="E350" i="15"/>
  <c r="AI440" i="15"/>
  <c r="AL479" i="15"/>
  <c r="AO479" i="15" s="1"/>
  <c r="Z464" i="15"/>
  <c r="Z419" i="15"/>
  <c r="AH419" i="15" s="1"/>
  <c r="Z417" i="15"/>
  <c r="S286" i="15"/>
  <c r="Z428" i="15"/>
  <c r="AI428" i="15" s="1"/>
  <c r="P398" i="15"/>
  <c r="Q400" i="15"/>
  <c r="AI443" i="15"/>
  <c r="AN449" i="15"/>
  <c r="AO449" i="15" s="1"/>
  <c r="AH449" i="15"/>
  <c r="AI449" i="15" s="1"/>
  <c r="O31" i="15"/>
  <c r="Q41" i="15"/>
  <c r="AL410" i="15"/>
  <c r="S31" i="15"/>
  <c r="Z413" i="15"/>
  <c r="F156" i="15"/>
  <c r="E156" i="15" s="1"/>
  <c r="F83" i="15"/>
  <c r="Z473" i="15"/>
  <c r="AH473" i="15" s="1"/>
  <c r="AI473" i="15" s="1"/>
  <c r="P17" i="15"/>
  <c r="R17" i="15"/>
  <c r="AO440" i="15"/>
  <c r="AN448" i="15"/>
  <c r="AO448" i="15" s="1"/>
  <c r="AH448" i="15"/>
  <c r="AI448" i="15" s="1"/>
  <c r="AN480" i="15"/>
  <c r="Q232" i="15"/>
  <c r="P232" i="15" s="1"/>
  <c r="AL453" i="15"/>
  <c r="AO445" i="15"/>
  <c r="AI425" i="15"/>
  <c r="AN439" i="15"/>
  <c r="AO439" i="15" s="1"/>
  <c r="AH439" i="15"/>
  <c r="AI439" i="15" s="1"/>
  <c r="E97" i="15"/>
  <c r="E103" i="15"/>
  <c r="E105" i="15"/>
  <c r="E115" i="15"/>
  <c r="E104" i="15"/>
  <c r="D106" i="15"/>
  <c r="E121" i="15"/>
  <c r="E118" i="15"/>
  <c r="D109" i="15"/>
  <c r="E122" i="15"/>
  <c r="E119" i="15"/>
  <c r="E120" i="15"/>
  <c r="M97" i="15"/>
  <c r="M98" i="15" s="1"/>
  <c r="E113" i="15"/>
  <c r="E116" i="15"/>
  <c r="AT479" i="15"/>
  <c r="F234" i="15"/>
  <c r="N234" i="15" s="1"/>
  <c r="F196" i="15"/>
  <c r="M195" i="15" s="1"/>
  <c r="AI438" i="15"/>
  <c r="Q83" i="15"/>
  <c r="AL473" i="15"/>
  <c r="AN473" i="15" s="1"/>
  <c r="AO418" i="15"/>
  <c r="N76" i="15"/>
  <c r="N83" i="15" s="1"/>
  <c r="AO412" i="15"/>
  <c r="F288" i="15"/>
  <c r="E288" i="15" s="1"/>
  <c r="E267" i="15"/>
  <c r="N8" i="15"/>
  <c r="N13" i="15" s="1"/>
  <c r="AE414" i="15"/>
  <c r="AN414" i="15"/>
  <c r="AO414" i="15" s="1"/>
  <c r="AH414" i="15"/>
  <c r="AI414" i="15" s="1"/>
  <c r="N50" i="15"/>
  <c r="N54" i="15" s="1"/>
  <c r="Z430" i="15"/>
  <c r="F54" i="15"/>
  <c r="E54" i="15" s="1"/>
  <c r="E12" i="15"/>
  <c r="M12" i="15"/>
  <c r="K310" i="15"/>
  <c r="J315" i="15"/>
  <c r="AL427" i="15"/>
  <c r="AO427" i="15" s="1"/>
  <c r="E154" i="15"/>
  <c r="AF420" i="15"/>
  <c r="P211" i="15"/>
  <c r="AN452" i="6" l="1"/>
  <c r="AK411" i="15"/>
  <c r="P54" i="15"/>
  <c r="S232" i="15"/>
  <c r="AN453" i="5"/>
  <c r="AK419" i="15"/>
  <c r="AK418" i="15"/>
  <c r="P72" i="15"/>
  <c r="S72" i="5"/>
  <c r="AK412" i="15"/>
  <c r="AK415" i="15"/>
  <c r="AK414" i="15"/>
  <c r="AN428" i="5"/>
  <c r="AN426" i="6"/>
  <c r="AL482" i="6"/>
  <c r="S400" i="15"/>
  <c r="R13" i="6"/>
  <c r="R14" i="6" s="1"/>
  <c r="AN439" i="6"/>
  <c r="AO439" i="6" s="1"/>
  <c r="P352" i="6"/>
  <c r="N315" i="6"/>
  <c r="N316" i="6" s="1"/>
  <c r="L354" i="6"/>
  <c r="S315" i="6"/>
  <c r="S316" i="6" s="1"/>
  <c r="K350" i="6"/>
  <c r="K331" i="6"/>
  <c r="AO424" i="6"/>
  <c r="AM412" i="6"/>
  <c r="AG412" i="6"/>
  <c r="AH433" i="6"/>
  <c r="AI427" i="6"/>
  <c r="AH427" i="6"/>
  <c r="E156" i="6"/>
  <c r="F166" i="6"/>
  <c r="E310" i="6"/>
  <c r="D315" i="6"/>
  <c r="AQ453" i="6"/>
  <c r="AD453" i="6"/>
  <c r="M106" i="6"/>
  <c r="Q354" i="6"/>
  <c r="P331" i="6"/>
  <c r="P13" i="6"/>
  <c r="O27" i="6"/>
  <c r="R27" i="6" s="1"/>
  <c r="R28" i="6" s="1"/>
  <c r="P23" i="6"/>
  <c r="P22" i="6"/>
  <c r="P21" i="6"/>
  <c r="O24" i="6"/>
  <c r="AK413" i="6"/>
  <c r="AK412" i="6"/>
  <c r="AK411" i="6"/>
  <c r="AI465" i="6"/>
  <c r="AH465" i="6"/>
  <c r="P398" i="6"/>
  <c r="Q400" i="6"/>
  <c r="S400" i="6" s="1"/>
  <c r="AH466" i="6"/>
  <c r="AH467" i="6" s="1"/>
  <c r="AO428" i="6"/>
  <c r="AN428" i="6"/>
  <c r="Q234" i="6"/>
  <c r="S234" i="6" s="1"/>
  <c r="Q196" i="6"/>
  <c r="R195" i="6" s="1"/>
  <c r="P230" i="6"/>
  <c r="F290" i="6"/>
  <c r="N290" i="6" s="1"/>
  <c r="Y418" i="6"/>
  <c r="AG418" i="6" s="1"/>
  <c r="AI418" i="6"/>
  <c r="AI464" i="6"/>
  <c r="Z467" i="6"/>
  <c r="AI416" i="6"/>
  <c r="Y416" i="6"/>
  <c r="AG416" i="6" s="1"/>
  <c r="Z420" i="6"/>
  <c r="Y410" i="6"/>
  <c r="AH410" i="6"/>
  <c r="AI410" i="6" s="1"/>
  <c r="K24" i="6"/>
  <c r="M24" i="6"/>
  <c r="K33" i="6"/>
  <c r="K31" i="6"/>
  <c r="K34" i="6"/>
  <c r="K32" i="6"/>
  <c r="K36" i="6"/>
  <c r="K35" i="6"/>
  <c r="K37" i="6"/>
  <c r="AH439" i="6"/>
  <c r="AI439" i="6" s="1"/>
  <c r="N195" i="6"/>
  <c r="N196" i="6" s="1"/>
  <c r="AM411" i="6"/>
  <c r="AN474" i="6"/>
  <c r="S166" i="6"/>
  <c r="N166" i="6"/>
  <c r="AH424" i="6"/>
  <c r="AI424" i="6" s="1"/>
  <c r="AI417" i="6"/>
  <c r="Y417" i="6"/>
  <c r="AG417" i="6" s="1"/>
  <c r="S156" i="6"/>
  <c r="S195" i="6"/>
  <c r="S196" i="6" s="1"/>
  <c r="AF469" i="6"/>
  <c r="AN420" i="6"/>
  <c r="AQ467" i="6"/>
  <c r="AM414" i="6"/>
  <c r="AG414" i="6"/>
  <c r="AI498" i="6"/>
  <c r="AH498" i="6"/>
  <c r="Z453" i="6"/>
  <c r="AI428" i="6"/>
  <c r="AH428" i="6"/>
  <c r="Y419" i="6"/>
  <c r="AI419" i="6"/>
  <c r="AH419" i="6"/>
  <c r="F74" i="6"/>
  <c r="AO410" i="6"/>
  <c r="AK410" i="6"/>
  <c r="AL420" i="6"/>
  <c r="AN410" i="6"/>
  <c r="AF408" i="6"/>
  <c r="Y27" i="6"/>
  <c r="L85" i="6"/>
  <c r="S27" i="6"/>
  <c r="K54" i="6"/>
  <c r="AI496" i="6"/>
  <c r="AH496" i="6"/>
  <c r="AK416" i="6"/>
  <c r="AO416" i="6"/>
  <c r="AK418" i="6"/>
  <c r="AO418" i="6"/>
  <c r="K27" i="6"/>
  <c r="M27" i="6"/>
  <c r="M28" i="6" s="1"/>
  <c r="W82" i="6"/>
  <c r="AO437" i="6"/>
  <c r="AI423" i="6"/>
  <c r="AH423" i="6"/>
  <c r="AK414" i="6"/>
  <c r="AO414" i="6"/>
  <c r="AI450" i="6"/>
  <c r="AH450" i="6"/>
  <c r="AL467" i="6"/>
  <c r="AO467" i="6" s="1"/>
  <c r="R110" i="6"/>
  <c r="P109" i="6"/>
  <c r="E22" i="6"/>
  <c r="M14" i="6"/>
  <c r="E13" i="6"/>
  <c r="E23" i="6"/>
  <c r="E21" i="6"/>
  <c r="D27" i="6"/>
  <c r="Y411" i="6"/>
  <c r="AG411" i="6" s="1"/>
  <c r="Y415" i="6"/>
  <c r="AM415" i="6" s="1"/>
  <c r="D24" i="6"/>
  <c r="AI414" i="6"/>
  <c r="Y414" i="6"/>
  <c r="Q74" i="6"/>
  <c r="S41" i="6"/>
  <c r="Z482" i="6"/>
  <c r="AN479" i="6"/>
  <c r="P211" i="6"/>
  <c r="M109" i="6"/>
  <c r="M110" i="6" s="1"/>
  <c r="N54" i="6"/>
  <c r="AM413" i="6"/>
  <c r="AG413" i="6"/>
  <c r="AN437" i="6"/>
  <c r="M310" i="6"/>
  <c r="AL453" i="6"/>
  <c r="AO423" i="6"/>
  <c r="AN423" i="6"/>
  <c r="AS482" i="6"/>
  <c r="AN482" i="6"/>
  <c r="AO482" i="6" s="1"/>
  <c r="N13" i="6"/>
  <c r="AN418" i="6"/>
  <c r="AH437" i="6"/>
  <c r="AI437" i="6" s="1"/>
  <c r="R310" i="6"/>
  <c r="O315" i="6"/>
  <c r="P310" i="6"/>
  <c r="M315" i="6"/>
  <c r="K315" i="6"/>
  <c r="AF407" i="6"/>
  <c r="K74" i="6"/>
  <c r="P232" i="6"/>
  <c r="AL434" i="6"/>
  <c r="P72" i="6"/>
  <c r="S54" i="6"/>
  <c r="N288" i="6"/>
  <c r="F27" i="6"/>
  <c r="N14" i="6"/>
  <c r="E398" i="6"/>
  <c r="F400" i="6"/>
  <c r="AM418" i="6"/>
  <c r="AO427" i="6"/>
  <c r="AN427" i="6"/>
  <c r="F354" i="6"/>
  <c r="AN435" i="6"/>
  <c r="AN453" i="6" s="1"/>
  <c r="AH434" i="6"/>
  <c r="AI434" i="6" s="1"/>
  <c r="F234" i="6"/>
  <c r="N234" i="6" s="1"/>
  <c r="F196" i="6"/>
  <c r="M195" i="6" s="1"/>
  <c r="E230" i="6"/>
  <c r="E211" i="6"/>
  <c r="K72" i="6"/>
  <c r="Q27" i="6"/>
  <c r="P41" i="6" s="1"/>
  <c r="S14" i="6"/>
  <c r="AH418" i="6"/>
  <c r="AO450" i="6"/>
  <c r="AN450" i="6"/>
  <c r="AO419" i="6"/>
  <c r="AK419" i="6"/>
  <c r="AN419" i="6"/>
  <c r="AH435" i="6"/>
  <c r="AK410" i="5"/>
  <c r="AL420" i="5"/>
  <c r="AN410" i="5"/>
  <c r="AO410" i="5" s="1"/>
  <c r="O315" i="5"/>
  <c r="P310" i="5"/>
  <c r="R310" i="5"/>
  <c r="AI410" i="5"/>
  <c r="Z420" i="5"/>
  <c r="Y410" i="5"/>
  <c r="AH410" i="5"/>
  <c r="AL434" i="5"/>
  <c r="AN434" i="5" s="1"/>
  <c r="Z453" i="5"/>
  <c r="AI451" i="5"/>
  <c r="AH451" i="5"/>
  <c r="AH428" i="5"/>
  <c r="N234" i="5"/>
  <c r="S234" i="5"/>
  <c r="AM412" i="5"/>
  <c r="AG412" i="5"/>
  <c r="F400" i="5"/>
  <c r="AO480" i="5"/>
  <c r="AN480" i="5"/>
  <c r="E109" i="5"/>
  <c r="M109" i="5"/>
  <c r="M110" i="5" s="1"/>
  <c r="Y419" i="5"/>
  <c r="AM419" i="5" s="1"/>
  <c r="AI419" i="5"/>
  <c r="AI496" i="5"/>
  <c r="AH496" i="5"/>
  <c r="AI464" i="5"/>
  <c r="Z467" i="5"/>
  <c r="AO482" i="5"/>
  <c r="O32" i="5"/>
  <c r="S24" i="5"/>
  <c r="S25" i="5" s="1"/>
  <c r="AH433" i="5"/>
  <c r="E156" i="5"/>
  <c r="N156" i="5"/>
  <c r="N28" i="5"/>
  <c r="AH452" i="5"/>
  <c r="AH453" i="5" s="1"/>
  <c r="AI453" i="5" s="1"/>
  <c r="AN426" i="5"/>
  <c r="AM410" i="5"/>
  <c r="AG410" i="5"/>
  <c r="M24" i="5"/>
  <c r="K37" i="5"/>
  <c r="K33" i="5"/>
  <c r="K24" i="5"/>
  <c r="K34" i="5"/>
  <c r="K32" i="5"/>
  <c r="K31" i="5"/>
  <c r="K35" i="5"/>
  <c r="K36" i="5"/>
  <c r="Z408" i="5"/>
  <c r="F85" i="5"/>
  <c r="AG415" i="5"/>
  <c r="AM415" i="5"/>
  <c r="Q27" i="5"/>
  <c r="P72" i="5" s="1"/>
  <c r="E106" i="5"/>
  <c r="M106" i="5"/>
  <c r="AO435" i="5"/>
  <c r="Q74" i="5"/>
  <c r="P41" i="5"/>
  <c r="S41" i="5"/>
  <c r="AS482" i="5"/>
  <c r="AN482" i="5"/>
  <c r="AH482" i="5"/>
  <c r="AI482" i="5" s="1"/>
  <c r="AD482" i="5"/>
  <c r="N72" i="5"/>
  <c r="AO453" i="5"/>
  <c r="S166" i="5"/>
  <c r="AL467" i="5"/>
  <c r="AO467" i="5" s="1"/>
  <c r="E288" i="5"/>
  <c r="F290" i="5"/>
  <c r="N290" i="5" s="1"/>
  <c r="R27" i="5"/>
  <c r="R28" i="5" s="1"/>
  <c r="M27" i="5"/>
  <c r="M28" i="5" s="1"/>
  <c r="K27" i="5"/>
  <c r="W82" i="5"/>
  <c r="AQ467" i="5"/>
  <c r="E27" i="5"/>
  <c r="F166" i="5"/>
  <c r="N166" i="5" s="1"/>
  <c r="Z482" i="5"/>
  <c r="AO427" i="5"/>
  <c r="AN427" i="5"/>
  <c r="L354" i="5"/>
  <c r="N315" i="5"/>
  <c r="N316" i="5" s="1"/>
  <c r="K331" i="5"/>
  <c r="K350" i="5"/>
  <c r="AM414" i="5"/>
  <c r="AG414" i="5"/>
  <c r="AM411" i="5"/>
  <c r="AG411" i="5"/>
  <c r="AD453" i="5"/>
  <c r="AQ453" i="5"/>
  <c r="P232" i="5"/>
  <c r="S232" i="5"/>
  <c r="AH426" i="5"/>
  <c r="AG417" i="5"/>
  <c r="AM417" i="5"/>
  <c r="AF408" i="5"/>
  <c r="AD469" i="5" s="1"/>
  <c r="S290" i="5"/>
  <c r="P109" i="5"/>
  <c r="R109" i="5"/>
  <c r="R110" i="5" s="1"/>
  <c r="E352" i="5"/>
  <c r="F354" i="5"/>
  <c r="F402" i="5" s="1"/>
  <c r="M195" i="5"/>
  <c r="R195" i="5"/>
  <c r="AH464" i="5"/>
  <c r="AH467" i="5" s="1"/>
  <c r="AG413" i="5"/>
  <c r="AM413" i="5"/>
  <c r="Z434" i="5"/>
  <c r="F74" i="5"/>
  <c r="E41" i="5"/>
  <c r="N41" i="5"/>
  <c r="N85" i="5" s="1"/>
  <c r="AO418" i="5"/>
  <c r="AK418" i="5"/>
  <c r="D315" i="5"/>
  <c r="E310" i="5"/>
  <c r="M310" i="5"/>
  <c r="AG419" i="5"/>
  <c r="P27" i="5"/>
  <c r="AG416" i="5"/>
  <c r="AM416" i="5"/>
  <c r="AH419" i="5"/>
  <c r="AH434" i="5"/>
  <c r="AI434" i="5" s="1"/>
  <c r="AD434" i="5"/>
  <c r="E232" i="5"/>
  <c r="N232" i="5"/>
  <c r="AH450" i="5"/>
  <c r="S311" i="5"/>
  <c r="Q315" i="5"/>
  <c r="P352" i="5" s="1"/>
  <c r="AI418" i="5"/>
  <c r="Y418" i="5"/>
  <c r="AM418" i="5" s="1"/>
  <c r="AI498" i="5"/>
  <c r="AH498" i="5"/>
  <c r="S398" i="5"/>
  <c r="Q354" i="15"/>
  <c r="P350" i="15"/>
  <c r="Z420" i="15"/>
  <c r="Y410" i="15"/>
  <c r="AH410" i="15"/>
  <c r="AI410" i="15" s="1"/>
  <c r="R310" i="15"/>
  <c r="P310" i="15"/>
  <c r="O315" i="15"/>
  <c r="E109" i="15"/>
  <c r="M109" i="15"/>
  <c r="M110" i="15" s="1"/>
  <c r="AL434" i="15"/>
  <c r="AG414" i="15"/>
  <c r="AM414" i="15"/>
  <c r="N288" i="15"/>
  <c r="E106" i="15"/>
  <c r="M106" i="15"/>
  <c r="Z482" i="15"/>
  <c r="X482" i="15" s="1"/>
  <c r="AM418" i="15"/>
  <c r="AG418" i="15"/>
  <c r="AL408" i="15"/>
  <c r="AN427" i="15"/>
  <c r="Z408" i="15"/>
  <c r="AG411" i="15"/>
  <c r="AM411" i="15"/>
  <c r="AN479" i="15"/>
  <c r="AF408" i="15"/>
  <c r="AD453" i="15" s="1"/>
  <c r="L85" i="15"/>
  <c r="Y27" i="15"/>
  <c r="S27" i="15"/>
  <c r="S85" i="15" s="1"/>
  <c r="N27" i="15"/>
  <c r="K54" i="15"/>
  <c r="K72" i="15"/>
  <c r="K74" i="15"/>
  <c r="Z434" i="15"/>
  <c r="X434" i="15" s="1"/>
  <c r="E72" i="15"/>
  <c r="AN434" i="15"/>
  <c r="AH434" i="15"/>
  <c r="AI434" i="15" s="1"/>
  <c r="AD434" i="15"/>
  <c r="R14" i="15"/>
  <c r="F402" i="15"/>
  <c r="K315" i="15"/>
  <c r="AF407" i="15"/>
  <c r="Y413" i="15"/>
  <c r="AH413" i="15"/>
  <c r="AI413" i="15" s="1"/>
  <c r="E310" i="15"/>
  <c r="D315" i="15"/>
  <c r="P109" i="15"/>
  <c r="R109" i="15"/>
  <c r="R110" i="15" s="1"/>
  <c r="AH453" i="15"/>
  <c r="AI453" i="15" s="1"/>
  <c r="F166" i="15"/>
  <c r="N166" i="15" s="1"/>
  <c r="N109" i="15"/>
  <c r="N110" i="15" s="1"/>
  <c r="O27" i="15"/>
  <c r="P23" i="15"/>
  <c r="P22" i="15"/>
  <c r="P21" i="15"/>
  <c r="P13" i="15"/>
  <c r="O24" i="15"/>
  <c r="S72" i="15"/>
  <c r="AM412" i="15"/>
  <c r="AG412" i="15"/>
  <c r="AN453" i="15"/>
  <c r="AO453" i="15" s="1"/>
  <c r="E13" i="15"/>
  <c r="E21" i="15"/>
  <c r="E23" i="15"/>
  <c r="D27" i="15"/>
  <c r="E22" i="15"/>
  <c r="D24" i="15"/>
  <c r="Y412" i="15"/>
  <c r="AK410" i="15"/>
  <c r="AL420" i="15"/>
  <c r="AN410" i="15"/>
  <c r="AO410" i="15" s="1"/>
  <c r="P331" i="15"/>
  <c r="AQ453" i="15"/>
  <c r="N72" i="15"/>
  <c r="M13" i="15"/>
  <c r="M14" i="15" s="1"/>
  <c r="AG416" i="15"/>
  <c r="Y417" i="15"/>
  <c r="AM417" i="15" s="1"/>
  <c r="AI417" i="15"/>
  <c r="AI464" i="15"/>
  <c r="Z467" i="15"/>
  <c r="AG417" i="15"/>
  <c r="E136" i="15"/>
  <c r="P352" i="15"/>
  <c r="AH430" i="15"/>
  <c r="AI430" i="15" s="1"/>
  <c r="AH417" i="15"/>
  <c r="AK416" i="15"/>
  <c r="F290" i="15"/>
  <c r="N290" i="15" s="1"/>
  <c r="Q166" i="15"/>
  <c r="S166" i="15" s="1"/>
  <c r="AS482" i="15"/>
  <c r="AN482" i="15"/>
  <c r="AD482" i="15"/>
  <c r="AK413" i="15"/>
  <c r="AN413" i="15"/>
  <c r="AO413" i="15" s="1"/>
  <c r="S290" i="15"/>
  <c r="AH466" i="15"/>
  <c r="L354" i="15"/>
  <c r="S315" i="15"/>
  <c r="S316" i="15" s="1"/>
  <c r="N315" i="15"/>
  <c r="N316" i="15" s="1"/>
  <c r="K331" i="15"/>
  <c r="K350" i="15"/>
  <c r="AH428" i="15"/>
  <c r="S156" i="15"/>
  <c r="Q234" i="15"/>
  <c r="S234" i="15" s="1"/>
  <c r="AO473" i="15"/>
  <c r="AL482" i="15"/>
  <c r="AF469" i="15"/>
  <c r="AH420" i="15"/>
  <c r="AI420" i="15" s="1"/>
  <c r="AD420" i="15"/>
  <c r="AM419" i="15"/>
  <c r="AG419" i="15"/>
  <c r="F74" i="15"/>
  <c r="E74" i="15" s="1"/>
  <c r="E41" i="15"/>
  <c r="AQ467" i="15"/>
  <c r="AN430" i="15"/>
  <c r="AO430" i="15" s="1"/>
  <c r="AI419" i="15"/>
  <c r="Y419" i="15"/>
  <c r="P41" i="15"/>
  <c r="Q74" i="15"/>
  <c r="P74" i="15" s="1"/>
  <c r="AO435" i="15"/>
  <c r="E123" i="15"/>
  <c r="S41" i="15"/>
  <c r="AI435" i="15"/>
  <c r="S352" i="15"/>
  <c r="Y418" i="15"/>
  <c r="AH464" i="15"/>
  <c r="Y416" i="15"/>
  <c r="AM416" i="15" s="1"/>
  <c r="S315" i="5" l="1"/>
  <c r="P54" i="5"/>
  <c r="AO435" i="6"/>
  <c r="AO453" i="6"/>
  <c r="P74" i="6"/>
  <c r="S28" i="15"/>
  <c r="Z408" i="6"/>
  <c r="F85" i="6"/>
  <c r="E41" i="6"/>
  <c r="S85" i="6"/>
  <c r="E74" i="6"/>
  <c r="P24" i="6"/>
  <c r="P36" i="6"/>
  <c r="P39" i="6"/>
  <c r="P40" i="6"/>
  <c r="P33" i="6"/>
  <c r="P32" i="6"/>
  <c r="P34" i="6"/>
  <c r="P31" i="6"/>
  <c r="P35" i="6"/>
  <c r="P37" i="6"/>
  <c r="P38" i="6"/>
  <c r="P315" i="6"/>
  <c r="R315" i="6"/>
  <c r="AL407" i="6"/>
  <c r="AM410" i="6"/>
  <c r="AG410" i="6"/>
  <c r="E315" i="6"/>
  <c r="Z407" i="6"/>
  <c r="Y449" i="6" s="1"/>
  <c r="F402" i="6"/>
  <c r="AN434" i="6"/>
  <c r="AO434" i="6" s="1"/>
  <c r="N27" i="6"/>
  <c r="AG419" i="6"/>
  <c r="AM419" i="6"/>
  <c r="AF484" i="6"/>
  <c r="AH408" i="6"/>
  <c r="AI408" i="6" s="1"/>
  <c r="AD434" i="6"/>
  <c r="AD467" i="6"/>
  <c r="X420" i="6"/>
  <c r="Z469" i="6"/>
  <c r="X469" i="6" s="1"/>
  <c r="X482" i="6"/>
  <c r="E72" i="6"/>
  <c r="P27" i="6"/>
  <c r="L402" i="6"/>
  <c r="S354" i="6"/>
  <c r="N354" i="6"/>
  <c r="N74" i="6"/>
  <c r="AM417" i="6"/>
  <c r="E36" i="6"/>
  <c r="E24" i="6"/>
  <c r="E39" i="6"/>
  <c r="E32" i="6"/>
  <c r="E33" i="6"/>
  <c r="E34" i="6"/>
  <c r="E40" i="6"/>
  <c r="E35" i="6"/>
  <c r="E31" i="6"/>
  <c r="E38" i="6"/>
  <c r="E37" i="6"/>
  <c r="AM416" i="6"/>
  <c r="AH420" i="6"/>
  <c r="AI420" i="6" s="1"/>
  <c r="AG415" i="6"/>
  <c r="E54" i="6"/>
  <c r="S74" i="6"/>
  <c r="AH482" i="6"/>
  <c r="AI482" i="6" s="1"/>
  <c r="AD469" i="6"/>
  <c r="AI467" i="6"/>
  <c r="X467" i="6"/>
  <c r="AL408" i="6"/>
  <c r="AN408" i="6" s="1"/>
  <c r="S28" i="6"/>
  <c r="Q85" i="6"/>
  <c r="AD482" i="6"/>
  <c r="P54" i="6"/>
  <c r="AL469" i="6"/>
  <c r="AO420" i="6"/>
  <c r="AD420" i="6"/>
  <c r="E27" i="6"/>
  <c r="X453" i="6"/>
  <c r="AH453" i="6"/>
  <c r="AI453" i="6" s="1"/>
  <c r="AI435" i="6"/>
  <c r="X420" i="5"/>
  <c r="Z469" i="5"/>
  <c r="AH420" i="5"/>
  <c r="AI420" i="5" s="1"/>
  <c r="X467" i="5"/>
  <c r="AI467" i="5"/>
  <c r="P315" i="5"/>
  <c r="R315" i="5"/>
  <c r="AL407" i="5"/>
  <c r="Z484" i="5"/>
  <c r="L402" i="5"/>
  <c r="L403" i="5" s="1"/>
  <c r="N354" i="5"/>
  <c r="X482" i="5"/>
  <c r="P74" i="5"/>
  <c r="S74" i="5"/>
  <c r="AL469" i="5"/>
  <c r="AN420" i="5"/>
  <c r="AO420" i="5" s="1"/>
  <c r="X453" i="5"/>
  <c r="X434" i="5"/>
  <c r="AG418" i="5"/>
  <c r="AO434" i="5"/>
  <c r="E315" i="5"/>
  <c r="Z407" i="5"/>
  <c r="Y449" i="5" s="1"/>
  <c r="M315" i="5"/>
  <c r="Q354" i="5"/>
  <c r="S354" i="5" s="1"/>
  <c r="S316" i="5"/>
  <c r="P350" i="5"/>
  <c r="P331" i="5"/>
  <c r="E74" i="5"/>
  <c r="N74" i="5"/>
  <c r="AF484" i="5"/>
  <c r="AH408" i="5"/>
  <c r="AI408" i="5" s="1"/>
  <c r="AD420" i="5"/>
  <c r="AD467" i="5"/>
  <c r="AL408" i="5"/>
  <c r="AN408" i="5" s="1"/>
  <c r="Q85" i="5"/>
  <c r="S27" i="5"/>
  <c r="S85" i="5" s="1"/>
  <c r="X467" i="15"/>
  <c r="N85" i="15"/>
  <c r="N28" i="15"/>
  <c r="AL469" i="15"/>
  <c r="AL484" i="15" s="1"/>
  <c r="N354" i="15"/>
  <c r="L402" i="15"/>
  <c r="L403" i="15" s="1"/>
  <c r="S354" i="15"/>
  <c r="E24" i="15"/>
  <c r="E40" i="15"/>
  <c r="E32" i="15"/>
  <c r="E35" i="15"/>
  <c r="E37" i="15"/>
  <c r="E38" i="15"/>
  <c r="E39" i="15"/>
  <c r="E33" i="15"/>
  <c r="M24" i="15"/>
  <c r="E36" i="15"/>
  <c r="E31" i="15"/>
  <c r="E34" i="15"/>
  <c r="AM410" i="15"/>
  <c r="AG410" i="15"/>
  <c r="E315" i="15"/>
  <c r="Z407" i="15"/>
  <c r="Y449" i="15" s="1"/>
  <c r="AD469" i="15"/>
  <c r="N74" i="15"/>
  <c r="R315" i="15"/>
  <c r="P315" i="15"/>
  <c r="AL407" i="15"/>
  <c r="AJ408" i="15" s="1"/>
  <c r="AN420" i="15"/>
  <c r="AO420" i="15" s="1"/>
  <c r="AO482" i="15"/>
  <c r="AG413" i="15"/>
  <c r="AM413" i="15"/>
  <c r="S74" i="15"/>
  <c r="F85" i="15"/>
  <c r="Z469" i="15"/>
  <c r="X469" i="15" s="1"/>
  <c r="X420" i="15"/>
  <c r="AJ469" i="15"/>
  <c r="AJ453" i="15"/>
  <c r="AJ467" i="15"/>
  <c r="AJ420" i="15"/>
  <c r="AJ434" i="15"/>
  <c r="P39" i="15"/>
  <c r="P24" i="15"/>
  <c r="P32" i="15"/>
  <c r="P35" i="15"/>
  <c r="P38" i="15"/>
  <c r="P36" i="15"/>
  <c r="P37" i="15"/>
  <c r="P33" i="15"/>
  <c r="P40" i="15"/>
  <c r="P31" i="15"/>
  <c r="P34" i="15"/>
  <c r="P27" i="15"/>
  <c r="R27" i="15"/>
  <c r="R28" i="15" s="1"/>
  <c r="AN408" i="15"/>
  <c r="AO408" i="15" s="1"/>
  <c r="AF484" i="15"/>
  <c r="AH408" i="15"/>
  <c r="AI408" i="15" s="1"/>
  <c r="M315" i="15"/>
  <c r="AH467" i="15"/>
  <c r="AI467" i="15" s="1"/>
  <c r="E27" i="15"/>
  <c r="M27" i="15"/>
  <c r="M28" i="15" s="1"/>
  <c r="AD467" i="15"/>
  <c r="Z484" i="15"/>
  <c r="X453" i="15"/>
  <c r="AH482" i="15"/>
  <c r="AI482" i="15" s="1"/>
  <c r="Q85" i="15"/>
  <c r="AO434" i="15"/>
  <c r="L403" i="6" l="1"/>
  <c r="AF490" i="6"/>
  <c r="AE484" i="6"/>
  <c r="AH469" i="6"/>
  <c r="AI469" i="6" s="1"/>
  <c r="N28" i="6"/>
  <c r="N85" i="6"/>
  <c r="AN469" i="6"/>
  <c r="AO469" i="6" s="1"/>
  <c r="AL484" i="6"/>
  <c r="AN484" i="6" s="1"/>
  <c r="AJ469" i="6"/>
  <c r="AJ434" i="6"/>
  <c r="AJ453" i="6"/>
  <c r="AO408" i="6"/>
  <c r="AJ467" i="6"/>
  <c r="AJ408" i="6"/>
  <c r="AJ420" i="6"/>
  <c r="Z484" i="6"/>
  <c r="X434" i="6"/>
  <c r="Z490" i="5"/>
  <c r="Y484" i="5"/>
  <c r="AN469" i="5"/>
  <c r="AO469" i="5" s="1"/>
  <c r="AF490" i="5"/>
  <c r="AH484" i="5"/>
  <c r="AI484" i="5" s="1"/>
  <c r="AE484" i="5"/>
  <c r="S28" i="5"/>
  <c r="X469" i="5"/>
  <c r="AH469" i="5"/>
  <c r="AI469" i="5" s="1"/>
  <c r="AL484" i="5"/>
  <c r="AN484" i="5" s="1"/>
  <c r="AJ434" i="5"/>
  <c r="AO408" i="5"/>
  <c r="AJ453" i="5"/>
  <c r="AJ469" i="5"/>
  <c r="AJ420" i="5"/>
  <c r="AJ467" i="5"/>
  <c r="AJ408" i="5"/>
  <c r="AL490" i="15"/>
  <c r="Z490" i="15"/>
  <c r="Y484" i="15"/>
  <c r="AF490" i="15"/>
  <c r="AH484" i="15"/>
  <c r="AI484" i="15" s="1"/>
  <c r="AE484" i="15"/>
  <c r="AN484" i="15"/>
  <c r="AO484" i="15" s="1"/>
  <c r="AH469" i="15"/>
  <c r="AI469" i="15" s="1"/>
  <c r="AN469" i="15"/>
  <c r="AO469" i="15" s="1"/>
  <c r="AK484" i="15"/>
  <c r="AK490" i="15"/>
  <c r="AK484" i="5" l="1"/>
  <c r="Z490" i="6"/>
  <c r="Y484" i="6"/>
  <c r="AH484" i="6"/>
  <c r="AI484" i="6" s="1"/>
  <c r="AL490" i="6"/>
  <c r="AO484" i="6"/>
  <c r="AK484" i="6"/>
  <c r="AF499" i="6"/>
  <c r="AE490" i="6"/>
  <c r="AN490" i="6"/>
  <c r="AH490" i="6"/>
  <c r="AI490" i="6" s="1"/>
  <c r="AF489" i="6"/>
  <c r="AF499" i="5"/>
  <c r="AE490" i="5"/>
  <c r="AH490" i="5"/>
  <c r="AI490" i="5" s="1"/>
  <c r="AF489" i="5"/>
  <c r="AL490" i="5"/>
  <c r="AO484" i="5"/>
  <c r="Z489" i="5"/>
  <c r="Y489" i="5" s="1"/>
  <c r="Z499" i="5"/>
  <c r="Y499" i="5" s="1"/>
  <c r="Y490" i="5"/>
  <c r="AF499" i="15"/>
  <c r="AE490" i="15"/>
  <c r="AH490" i="15"/>
  <c r="AI490" i="15" s="1"/>
  <c r="AF489" i="15"/>
  <c r="AN490" i="15"/>
  <c r="Z489" i="15"/>
  <c r="Y489" i="15" s="1"/>
  <c r="Z499" i="15"/>
  <c r="Y499" i="15" s="1"/>
  <c r="Y490" i="15"/>
  <c r="AO490" i="15"/>
  <c r="AL499" i="15"/>
  <c r="AL489" i="15"/>
  <c r="AE489" i="6" l="1"/>
  <c r="AH489" i="6"/>
  <c r="AI489" i="6" s="1"/>
  <c r="AF512" i="6"/>
  <c r="AG512" i="6" s="1"/>
  <c r="AE499" i="6"/>
  <c r="AF503" i="6"/>
  <c r="AH499" i="6"/>
  <c r="AI499" i="6" s="1"/>
  <c r="AF505" i="6"/>
  <c r="AL489" i="6"/>
  <c r="AL499" i="6"/>
  <c r="AO490" i="6"/>
  <c r="AK490" i="6"/>
  <c r="Z489" i="6"/>
  <c r="Y489" i="6" s="1"/>
  <c r="Z499" i="6"/>
  <c r="Y499" i="6" s="1"/>
  <c r="Y490" i="6"/>
  <c r="AL489" i="5"/>
  <c r="AL499" i="5"/>
  <c r="AN499" i="5" s="1"/>
  <c r="AK490" i="5"/>
  <c r="AE489" i="5"/>
  <c r="AN489" i="5"/>
  <c r="AH489" i="5"/>
  <c r="AI489" i="5" s="1"/>
  <c r="AN490" i="5"/>
  <c r="AO490" i="5" s="1"/>
  <c r="AF512" i="5"/>
  <c r="AG512" i="5" s="1"/>
  <c r="AE499" i="5"/>
  <c r="AF503" i="5"/>
  <c r="AH499" i="5"/>
  <c r="AI499" i="5" s="1"/>
  <c r="AF505" i="5"/>
  <c r="AK489" i="15"/>
  <c r="AK499" i="15"/>
  <c r="AE489" i="15"/>
  <c r="AN489" i="15"/>
  <c r="AO489" i="15" s="1"/>
  <c r="AH489" i="15"/>
  <c r="AI489" i="15" s="1"/>
  <c r="AF512" i="15"/>
  <c r="AG512" i="15" s="1"/>
  <c r="AE499" i="15"/>
  <c r="AF503" i="15"/>
  <c r="AN499" i="15"/>
  <c r="AO499" i="15" s="1"/>
  <c r="AH499" i="15"/>
  <c r="AI499" i="15" s="1"/>
  <c r="AF505" i="15"/>
  <c r="AK499" i="6" l="1"/>
  <c r="AK489" i="6"/>
  <c r="AN499" i="6"/>
  <c r="AO499" i="6" s="1"/>
  <c r="AN489" i="6"/>
  <c r="AO489" i="6" s="1"/>
  <c r="AO499" i="5"/>
  <c r="AK499" i="5"/>
  <c r="AO489" i="5"/>
  <c r="AK489" i="5"/>
  <c r="V486" i="1" l="1"/>
  <c r="V403" i="1" l="1"/>
  <c r="C169" i="1"/>
  <c r="C292" i="1"/>
  <c r="A499" i="1"/>
  <c r="A408" i="1" l="1"/>
  <c r="A407" i="1"/>
  <c r="A110" i="1"/>
  <c r="A109" i="1"/>
  <c r="R99" i="1" l="1"/>
  <c r="Q99" i="1"/>
  <c r="I99" i="1"/>
  <c r="F99" i="1"/>
  <c r="A99" i="1"/>
  <c r="A100" i="1"/>
  <c r="A101" i="1"/>
  <c r="D101" i="1"/>
  <c r="F101" i="1"/>
  <c r="G101" i="1"/>
  <c r="I101" i="1"/>
  <c r="O101" i="1"/>
  <c r="Q101" i="1"/>
  <c r="A102" i="1"/>
  <c r="A103" i="1"/>
  <c r="D103" i="1"/>
  <c r="E103" i="1" s="1"/>
  <c r="F103" i="1"/>
  <c r="G103" i="1"/>
  <c r="H103" i="1" s="1"/>
  <c r="I103" i="1"/>
  <c r="J103" i="1"/>
  <c r="K103" i="1" s="1"/>
  <c r="O103" i="1"/>
  <c r="P103" i="1" s="1"/>
  <c r="Q103" i="1"/>
  <c r="A104" i="1"/>
  <c r="D104" i="1"/>
  <c r="E104" i="1" s="1"/>
  <c r="F104" i="1"/>
  <c r="G104" i="1"/>
  <c r="H104" i="1" s="1"/>
  <c r="I104" i="1"/>
  <c r="J104" i="1"/>
  <c r="K104" i="1" s="1"/>
  <c r="O104" i="1"/>
  <c r="P104" i="1" s="1"/>
  <c r="Q104" i="1"/>
  <c r="A105" i="1"/>
  <c r="D105" i="1"/>
  <c r="F105" i="1"/>
  <c r="G105" i="1"/>
  <c r="H105" i="1" s="1"/>
  <c r="I105" i="1"/>
  <c r="J105" i="1"/>
  <c r="O105" i="1"/>
  <c r="Q105" i="1"/>
  <c r="A106" i="1"/>
  <c r="D106" i="1"/>
  <c r="E106" i="1" s="1"/>
  <c r="G106" i="1"/>
  <c r="H106" i="1"/>
  <c r="J106" i="1"/>
  <c r="K106" i="1"/>
  <c r="M106" i="1"/>
  <c r="O106" i="1"/>
  <c r="P106" i="1" s="1"/>
  <c r="A107" i="1"/>
  <c r="A108" i="1"/>
  <c r="A111" i="1"/>
  <c r="A112" i="1"/>
  <c r="A113" i="1"/>
  <c r="F113" i="1"/>
  <c r="I113" i="1"/>
  <c r="G113" i="1" s="1"/>
  <c r="Q113" i="1"/>
  <c r="O113" i="1" s="1"/>
  <c r="A114" i="1"/>
  <c r="F114" i="1"/>
  <c r="I114" i="1"/>
  <c r="Q114" i="1"/>
  <c r="A115" i="1"/>
  <c r="F115" i="1"/>
  <c r="I115" i="1"/>
  <c r="Q115" i="1"/>
  <c r="A116" i="1"/>
  <c r="F116" i="1"/>
  <c r="I116" i="1"/>
  <c r="Q116" i="1"/>
  <c r="A117" i="1"/>
  <c r="F117" i="1"/>
  <c r="I117" i="1"/>
  <c r="Q117" i="1"/>
  <c r="A118" i="1"/>
  <c r="F118" i="1"/>
  <c r="I118" i="1"/>
  <c r="Q118" i="1"/>
  <c r="A119" i="1"/>
  <c r="F119" i="1"/>
  <c r="I119" i="1"/>
  <c r="Q119" i="1"/>
  <c r="A120" i="1"/>
  <c r="F120" i="1"/>
  <c r="I120" i="1"/>
  <c r="Q120" i="1"/>
  <c r="A121" i="1"/>
  <c r="F121" i="1"/>
  <c r="I121" i="1"/>
  <c r="Q121" i="1"/>
  <c r="A122" i="1"/>
  <c r="F122" i="1"/>
  <c r="I122" i="1"/>
  <c r="Q122" i="1"/>
  <c r="A123" i="1"/>
  <c r="A124" i="1"/>
  <c r="F124" i="1"/>
  <c r="I124" i="1"/>
  <c r="Q124" i="1"/>
  <c r="A125" i="1"/>
  <c r="F125" i="1"/>
  <c r="I125" i="1"/>
  <c r="Q125" i="1"/>
  <c r="A126" i="1"/>
  <c r="F126" i="1"/>
  <c r="I126" i="1"/>
  <c r="Q126" i="1"/>
  <c r="A127" i="1"/>
  <c r="F127" i="1"/>
  <c r="I127" i="1"/>
  <c r="Q127" i="1"/>
  <c r="A128" i="1"/>
  <c r="F128" i="1"/>
  <c r="I128" i="1"/>
  <c r="Q128" i="1"/>
  <c r="A129" i="1"/>
  <c r="F129" i="1"/>
  <c r="I129" i="1"/>
  <c r="Q129" i="1"/>
  <c r="A130" i="1"/>
  <c r="F130" i="1"/>
  <c r="I130" i="1"/>
  <c r="Q130" i="1"/>
  <c r="A131" i="1"/>
  <c r="F131" i="1"/>
  <c r="I131" i="1"/>
  <c r="Q131" i="1"/>
  <c r="A132" i="1"/>
  <c r="F132" i="1"/>
  <c r="I132" i="1"/>
  <c r="Q132" i="1"/>
  <c r="A133" i="1"/>
  <c r="F133" i="1"/>
  <c r="I133" i="1"/>
  <c r="Q133" i="1"/>
  <c r="A134" i="1"/>
  <c r="F134" i="1"/>
  <c r="I134" i="1"/>
  <c r="Q134" i="1"/>
  <c r="A135" i="1"/>
  <c r="F135" i="1"/>
  <c r="I135" i="1"/>
  <c r="Q135" i="1"/>
  <c r="A136" i="1"/>
  <c r="A137" i="1"/>
  <c r="F137" i="1"/>
  <c r="I137" i="1"/>
  <c r="Q137" i="1"/>
  <c r="A138" i="1"/>
  <c r="F138" i="1"/>
  <c r="I138" i="1"/>
  <c r="Q138" i="1"/>
  <c r="A139" i="1"/>
  <c r="F139" i="1"/>
  <c r="I139" i="1"/>
  <c r="Q139" i="1"/>
  <c r="A140" i="1"/>
  <c r="F140" i="1"/>
  <c r="I140" i="1"/>
  <c r="Q140" i="1"/>
  <c r="A141" i="1"/>
  <c r="F141" i="1"/>
  <c r="I141" i="1"/>
  <c r="Q141" i="1"/>
  <c r="A142" i="1"/>
  <c r="F142" i="1"/>
  <c r="I142" i="1"/>
  <c r="Q142" i="1"/>
  <c r="A143" i="1"/>
  <c r="F143" i="1"/>
  <c r="I143" i="1"/>
  <c r="Q143" i="1"/>
  <c r="A144" i="1"/>
  <c r="F144" i="1"/>
  <c r="I144" i="1"/>
  <c r="Q144" i="1"/>
  <c r="A145" i="1"/>
  <c r="F145" i="1"/>
  <c r="I145" i="1"/>
  <c r="Q145" i="1"/>
  <c r="A146" i="1"/>
  <c r="F146" i="1"/>
  <c r="I146" i="1"/>
  <c r="Q146" i="1"/>
  <c r="A147" i="1"/>
  <c r="F147" i="1"/>
  <c r="I147" i="1"/>
  <c r="Q147" i="1"/>
  <c r="A148" i="1"/>
  <c r="F148" i="1"/>
  <c r="I148" i="1"/>
  <c r="Q148" i="1"/>
  <c r="A149" i="1"/>
  <c r="F149" i="1"/>
  <c r="I149" i="1"/>
  <c r="Q149" i="1"/>
  <c r="A150" i="1"/>
  <c r="F150" i="1"/>
  <c r="I150" i="1"/>
  <c r="Q150" i="1"/>
  <c r="A151" i="1"/>
  <c r="F151" i="1"/>
  <c r="I151" i="1"/>
  <c r="Q151" i="1"/>
  <c r="A152" i="1"/>
  <c r="F152" i="1"/>
  <c r="I152" i="1"/>
  <c r="Q152" i="1"/>
  <c r="A153" i="1"/>
  <c r="F153" i="1"/>
  <c r="I153" i="1"/>
  <c r="Q153" i="1"/>
  <c r="A154" i="1"/>
  <c r="A155" i="1"/>
  <c r="A156" i="1"/>
  <c r="A157" i="1"/>
  <c r="F157" i="1"/>
  <c r="I157" i="1"/>
  <c r="Q157" i="1"/>
  <c r="A158" i="1"/>
  <c r="F158" i="1"/>
  <c r="I158" i="1"/>
  <c r="Q158" i="1"/>
  <c r="A159" i="1"/>
  <c r="F159" i="1"/>
  <c r="I159" i="1"/>
  <c r="Q159" i="1"/>
  <c r="A160" i="1"/>
  <c r="F160" i="1"/>
  <c r="I160" i="1"/>
  <c r="Q160" i="1"/>
  <c r="A161" i="1"/>
  <c r="F161" i="1"/>
  <c r="I161" i="1"/>
  <c r="Q161" i="1"/>
  <c r="A162" i="1"/>
  <c r="F162" i="1"/>
  <c r="I162" i="1"/>
  <c r="Q162" i="1"/>
  <c r="A163" i="1"/>
  <c r="F163" i="1"/>
  <c r="I163" i="1"/>
  <c r="Q163" i="1"/>
  <c r="A172" i="1"/>
  <c r="A173" i="1"/>
  <c r="D173" i="1"/>
  <c r="E173" i="1"/>
  <c r="F173" i="1"/>
  <c r="G173" i="1"/>
  <c r="H173" i="1"/>
  <c r="H175" i="1" s="1"/>
  <c r="I173" i="1"/>
  <c r="O173" i="1"/>
  <c r="P173" i="1"/>
  <c r="Q173" i="1"/>
  <c r="A174" i="1"/>
  <c r="A175" i="1"/>
  <c r="A176" i="1"/>
  <c r="D176" i="1"/>
  <c r="E176" i="1"/>
  <c r="F176" i="1"/>
  <c r="G176" i="1"/>
  <c r="H176" i="1"/>
  <c r="I176" i="1"/>
  <c r="O176" i="1"/>
  <c r="P176" i="1"/>
  <c r="Q176" i="1"/>
  <c r="A177" i="1"/>
  <c r="A178" i="1"/>
  <c r="A179" i="1"/>
  <c r="D179" i="1"/>
  <c r="E179" i="1"/>
  <c r="F179" i="1"/>
  <c r="G179" i="1"/>
  <c r="H179" i="1"/>
  <c r="I179" i="1"/>
  <c r="O179" i="1"/>
  <c r="P179" i="1"/>
  <c r="Q179" i="1"/>
  <c r="A180" i="1"/>
  <c r="R180" i="1"/>
  <c r="A181" i="1"/>
  <c r="A182" i="1"/>
  <c r="D182" i="1"/>
  <c r="E182" i="1"/>
  <c r="F182" i="1"/>
  <c r="G182" i="1"/>
  <c r="H182" i="1"/>
  <c r="I182" i="1"/>
  <c r="O182" i="1"/>
  <c r="P182" i="1"/>
  <c r="Q182" i="1"/>
  <c r="A183" i="1"/>
  <c r="M183" i="1"/>
  <c r="A184" i="1"/>
  <c r="A185" i="1"/>
  <c r="F185" i="1"/>
  <c r="I185" i="1"/>
  <c r="Q185" i="1"/>
  <c r="A186" i="1"/>
  <c r="R186" i="1"/>
  <c r="S187" i="1" s="1"/>
  <c r="A187" i="1"/>
  <c r="A188" i="1"/>
  <c r="A189" i="1"/>
  <c r="E189" i="1"/>
  <c r="F189" i="1"/>
  <c r="H189" i="1"/>
  <c r="I189" i="1"/>
  <c r="P189" i="1"/>
  <c r="Q189" i="1"/>
  <c r="R189" i="1"/>
  <c r="A190" i="1"/>
  <c r="A191" i="1"/>
  <c r="A192" i="1"/>
  <c r="E192" i="1"/>
  <c r="F192" i="1"/>
  <c r="F193" i="1" s="1"/>
  <c r="H192" i="1"/>
  <c r="I192" i="1"/>
  <c r="I193" i="1" s="1"/>
  <c r="L192" i="1"/>
  <c r="L193" i="1" s="1"/>
  <c r="P192" i="1"/>
  <c r="Q192" i="1"/>
  <c r="Q193" i="1" s="1"/>
  <c r="A193" i="1"/>
  <c r="A194" i="1"/>
  <c r="A195" i="1"/>
  <c r="A196" i="1"/>
  <c r="A197" i="1"/>
  <c r="A198" i="1"/>
  <c r="A199" i="1"/>
  <c r="F199" i="1"/>
  <c r="I199" i="1"/>
  <c r="Q199" i="1"/>
  <c r="A200" i="1"/>
  <c r="F200" i="1"/>
  <c r="I200" i="1"/>
  <c r="Q200" i="1"/>
  <c r="A201" i="1"/>
  <c r="F201" i="1"/>
  <c r="I201" i="1"/>
  <c r="Q201" i="1"/>
  <c r="A202" i="1"/>
  <c r="F202" i="1"/>
  <c r="I202" i="1"/>
  <c r="Q202" i="1"/>
  <c r="A203" i="1"/>
  <c r="F203" i="1"/>
  <c r="I203" i="1"/>
  <c r="Q203" i="1"/>
  <c r="A204" i="1"/>
  <c r="F204" i="1"/>
  <c r="I204" i="1"/>
  <c r="Q204" i="1"/>
  <c r="A205" i="1"/>
  <c r="F205" i="1"/>
  <c r="I205" i="1"/>
  <c r="Q205" i="1"/>
  <c r="A206" i="1"/>
  <c r="F206" i="1"/>
  <c r="I206" i="1"/>
  <c r="Q206" i="1"/>
  <c r="A207" i="1"/>
  <c r="F207" i="1"/>
  <c r="I207" i="1"/>
  <c r="Q207" i="1"/>
  <c r="A208" i="1"/>
  <c r="F208" i="1"/>
  <c r="I208" i="1"/>
  <c r="Q208" i="1"/>
  <c r="A209" i="1"/>
  <c r="F209" i="1"/>
  <c r="I209" i="1"/>
  <c r="Q209" i="1"/>
  <c r="A210" i="1"/>
  <c r="F210" i="1"/>
  <c r="I210" i="1"/>
  <c r="Q210" i="1"/>
  <c r="A211" i="1"/>
  <c r="A212" i="1"/>
  <c r="F212" i="1"/>
  <c r="I212" i="1"/>
  <c r="Q212" i="1"/>
  <c r="A213" i="1"/>
  <c r="F213" i="1"/>
  <c r="I213" i="1"/>
  <c r="Q213" i="1"/>
  <c r="A214" i="1"/>
  <c r="F214" i="1"/>
  <c r="I214" i="1"/>
  <c r="Q214" i="1"/>
  <c r="A215" i="1"/>
  <c r="F215" i="1"/>
  <c r="I215" i="1"/>
  <c r="Q215" i="1"/>
  <c r="A216" i="1"/>
  <c r="F216" i="1"/>
  <c r="I216" i="1"/>
  <c r="Q216" i="1"/>
  <c r="A217" i="1"/>
  <c r="F217" i="1"/>
  <c r="I217" i="1"/>
  <c r="Q217" i="1"/>
  <c r="A218" i="1"/>
  <c r="F218" i="1"/>
  <c r="I218" i="1"/>
  <c r="Q218" i="1"/>
  <c r="A219" i="1"/>
  <c r="F219" i="1"/>
  <c r="I219" i="1"/>
  <c r="Q219" i="1"/>
  <c r="A220" i="1"/>
  <c r="F220" i="1"/>
  <c r="I220" i="1"/>
  <c r="Q220" i="1"/>
  <c r="A221" i="1"/>
  <c r="F221" i="1"/>
  <c r="I221" i="1"/>
  <c r="Q221" i="1"/>
  <c r="A222" i="1"/>
  <c r="F222" i="1"/>
  <c r="I222" i="1"/>
  <c r="Q222" i="1"/>
  <c r="A223" i="1"/>
  <c r="F223" i="1"/>
  <c r="I223" i="1"/>
  <c r="Q223" i="1"/>
  <c r="A224" i="1"/>
  <c r="F224" i="1"/>
  <c r="I224" i="1"/>
  <c r="Q224" i="1"/>
  <c r="A225" i="1"/>
  <c r="F225" i="1"/>
  <c r="I225" i="1"/>
  <c r="Q225" i="1"/>
  <c r="A226" i="1"/>
  <c r="F226" i="1"/>
  <c r="I226" i="1"/>
  <c r="Q226" i="1"/>
  <c r="A227" i="1"/>
  <c r="F227" i="1"/>
  <c r="I227" i="1"/>
  <c r="Q227" i="1"/>
  <c r="F228" i="1"/>
  <c r="I228" i="1"/>
  <c r="Q228" i="1"/>
  <c r="A229" i="1"/>
  <c r="F229" i="1"/>
  <c r="I229" i="1"/>
  <c r="Q229" i="1"/>
  <c r="N233" i="1"/>
  <c r="C237" i="1"/>
  <c r="A240" i="1"/>
  <c r="A241" i="1"/>
  <c r="A242" i="1"/>
  <c r="D242" i="1"/>
  <c r="E242" i="1"/>
  <c r="F242" i="1"/>
  <c r="G242" i="1"/>
  <c r="H242" i="1"/>
  <c r="I242" i="1"/>
  <c r="O242" i="1"/>
  <c r="P242" i="1"/>
  <c r="Q242" i="1"/>
  <c r="A243" i="1"/>
  <c r="A244" i="1"/>
  <c r="A245" i="1"/>
  <c r="D245" i="1"/>
  <c r="E245" i="1"/>
  <c r="F245" i="1"/>
  <c r="G245" i="1"/>
  <c r="H245" i="1"/>
  <c r="I245" i="1"/>
  <c r="O245" i="1"/>
  <c r="R245" i="1" s="1"/>
  <c r="P245" i="1"/>
  <c r="Q245" i="1"/>
  <c r="S246" i="1" s="1"/>
  <c r="A246" i="1"/>
  <c r="A247" i="1"/>
  <c r="A248" i="1"/>
  <c r="D248" i="1"/>
  <c r="E248" i="1"/>
  <c r="F248" i="1"/>
  <c r="G248" i="1"/>
  <c r="H248" i="1"/>
  <c r="I248" i="1"/>
  <c r="O248" i="1"/>
  <c r="R248" i="1" s="1"/>
  <c r="P248" i="1"/>
  <c r="Q248" i="1"/>
  <c r="A249" i="1"/>
  <c r="A250" i="1"/>
  <c r="A251" i="1"/>
  <c r="A252" i="1"/>
  <c r="A253" i="1"/>
  <c r="A254" i="1"/>
  <c r="A255" i="1"/>
  <c r="F255" i="1"/>
  <c r="I255" i="1"/>
  <c r="Q255" i="1"/>
  <c r="A256" i="1"/>
  <c r="F256" i="1"/>
  <c r="I256" i="1"/>
  <c r="Q256" i="1"/>
  <c r="A257" i="1"/>
  <c r="F257" i="1"/>
  <c r="I257" i="1"/>
  <c r="Q257" i="1"/>
  <c r="A258" i="1"/>
  <c r="F258" i="1"/>
  <c r="I258" i="1"/>
  <c r="Q258" i="1"/>
  <c r="A259" i="1"/>
  <c r="F259" i="1"/>
  <c r="I259" i="1"/>
  <c r="Q259" i="1"/>
  <c r="A260" i="1"/>
  <c r="F260" i="1"/>
  <c r="I260" i="1"/>
  <c r="Q260" i="1"/>
  <c r="A261" i="1"/>
  <c r="F261" i="1"/>
  <c r="I261" i="1"/>
  <c r="Q261" i="1"/>
  <c r="A262" i="1"/>
  <c r="F262" i="1"/>
  <c r="I262" i="1"/>
  <c r="Q262" i="1"/>
  <c r="A263" i="1"/>
  <c r="F263" i="1"/>
  <c r="I263" i="1"/>
  <c r="Q263" i="1"/>
  <c r="A264" i="1"/>
  <c r="F264" i="1"/>
  <c r="I264" i="1"/>
  <c r="Q264" i="1"/>
  <c r="A265" i="1"/>
  <c r="F265" i="1"/>
  <c r="I265" i="1"/>
  <c r="Q265" i="1"/>
  <c r="A266" i="1"/>
  <c r="F266" i="1"/>
  <c r="I266" i="1"/>
  <c r="Q266" i="1"/>
  <c r="A267" i="1"/>
  <c r="A268" i="1"/>
  <c r="F268" i="1"/>
  <c r="I268" i="1"/>
  <c r="Q268" i="1"/>
  <c r="A269" i="1"/>
  <c r="F269" i="1"/>
  <c r="I269" i="1"/>
  <c r="Q269" i="1"/>
  <c r="A270" i="1"/>
  <c r="F270" i="1"/>
  <c r="I270" i="1"/>
  <c r="Q270" i="1"/>
  <c r="A271" i="1"/>
  <c r="F271" i="1"/>
  <c r="I271" i="1"/>
  <c r="Q271" i="1"/>
  <c r="A272" i="1"/>
  <c r="F272" i="1"/>
  <c r="I272" i="1"/>
  <c r="Q272" i="1"/>
  <c r="A273" i="1"/>
  <c r="F273" i="1"/>
  <c r="I273" i="1"/>
  <c r="Q273" i="1"/>
  <c r="A274" i="1"/>
  <c r="F274" i="1"/>
  <c r="I274" i="1"/>
  <c r="Q274" i="1"/>
  <c r="A275" i="1"/>
  <c r="F275" i="1"/>
  <c r="I275" i="1"/>
  <c r="Q275" i="1"/>
  <c r="A276" i="1"/>
  <c r="F276" i="1"/>
  <c r="I276" i="1"/>
  <c r="Q276" i="1"/>
  <c r="A277" i="1"/>
  <c r="F277" i="1"/>
  <c r="I277" i="1"/>
  <c r="Q277" i="1"/>
  <c r="A278" i="1"/>
  <c r="F278" i="1"/>
  <c r="I278" i="1"/>
  <c r="Q278" i="1"/>
  <c r="A279" i="1"/>
  <c r="F279" i="1"/>
  <c r="I279" i="1"/>
  <c r="Q279" i="1"/>
  <c r="A280" i="1"/>
  <c r="F280" i="1"/>
  <c r="I280" i="1"/>
  <c r="Q280" i="1"/>
  <c r="A281" i="1"/>
  <c r="F281" i="1"/>
  <c r="I281" i="1"/>
  <c r="Q281" i="1"/>
  <c r="A282" i="1"/>
  <c r="F282" i="1"/>
  <c r="I282" i="1"/>
  <c r="Q282" i="1"/>
  <c r="A283" i="1"/>
  <c r="F283" i="1"/>
  <c r="I283" i="1"/>
  <c r="Q283" i="1"/>
  <c r="A284" i="1"/>
  <c r="F284" i="1"/>
  <c r="I284" i="1"/>
  <c r="Q284" i="1"/>
  <c r="A285" i="1"/>
  <c r="F285" i="1"/>
  <c r="I285" i="1"/>
  <c r="Q285" i="1"/>
  <c r="N289" i="1"/>
  <c r="C357" i="1"/>
  <c r="A295" i="1"/>
  <c r="A296" i="1"/>
  <c r="D296" i="1"/>
  <c r="F296" i="1"/>
  <c r="G296" i="1"/>
  <c r="H296" i="1" s="1"/>
  <c r="I296" i="1"/>
  <c r="O296" i="1"/>
  <c r="Q296" i="1"/>
  <c r="A297" i="1"/>
  <c r="D297" i="1"/>
  <c r="F297" i="1"/>
  <c r="G297" i="1"/>
  <c r="H297" i="1" s="1"/>
  <c r="I297" i="1"/>
  <c r="O297" i="1"/>
  <c r="Q297" i="1"/>
  <c r="A298" i="1"/>
  <c r="D298" i="1"/>
  <c r="F298" i="1"/>
  <c r="G298" i="1"/>
  <c r="H298" i="1" s="1"/>
  <c r="I298" i="1"/>
  <c r="O298" i="1"/>
  <c r="Q298" i="1"/>
  <c r="A299" i="1"/>
  <c r="D299" i="1"/>
  <c r="F299" i="1"/>
  <c r="G299" i="1"/>
  <c r="H299" i="1" s="1"/>
  <c r="I299" i="1"/>
  <c r="O299" i="1"/>
  <c r="Q299" i="1"/>
  <c r="A300" i="1"/>
  <c r="D300" i="1"/>
  <c r="F300" i="1"/>
  <c r="G300" i="1"/>
  <c r="H300" i="1" s="1"/>
  <c r="I300" i="1"/>
  <c r="O300" i="1"/>
  <c r="Q300" i="1"/>
  <c r="A301" i="1"/>
  <c r="D301" i="1"/>
  <c r="F301" i="1"/>
  <c r="G301" i="1"/>
  <c r="H301" i="1" s="1"/>
  <c r="I301" i="1"/>
  <c r="O301" i="1"/>
  <c r="Q301" i="1"/>
  <c r="A302" i="1"/>
  <c r="D302" i="1"/>
  <c r="E302" i="1" s="1"/>
  <c r="F302" i="1"/>
  <c r="G302" i="1"/>
  <c r="H302" i="1" s="1"/>
  <c r="I302" i="1"/>
  <c r="O302" i="1"/>
  <c r="P302" i="1" s="1"/>
  <c r="Q302" i="1"/>
  <c r="A303" i="1"/>
  <c r="D303" i="1"/>
  <c r="E303" i="1" s="1"/>
  <c r="F303" i="1"/>
  <c r="G303" i="1"/>
  <c r="H303" i="1" s="1"/>
  <c r="I303" i="1"/>
  <c r="O303" i="1"/>
  <c r="P303" i="1" s="1"/>
  <c r="Q303" i="1"/>
  <c r="A304" i="1"/>
  <c r="D304" i="1"/>
  <c r="F304" i="1"/>
  <c r="G304" i="1"/>
  <c r="H304" i="1" s="1"/>
  <c r="I304" i="1"/>
  <c r="O304" i="1"/>
  <c r="P304" i="1" s="1"/>
  <c r="Q304" i="1"/>
  <c r="A305" i="1"/>
  <c r="A306" i="1"/>
  <c r="A307" i="1"/>
  <c r="A308" i="1"/>
  <c r="D308" i="1"/>
  <c r="F308" i="1"/>
  <c r="G308" i="1"/>
  <c r="H308" i="1" s="1"/>
  <c r="I308" i="1"/>
  <c r="O308" i="1"/>
  <c r="Q308" i="1"/>
  <c r="A309" i="1"/>
  <c r="D309" i="1"/>
  <c r="F309" i="1"/>
  <c r="G309" i="1"/>
  <c r="H309" i="1" s="1"/>
  <c r="I309" i="1"/>
  <c r="O309" i="1"/>
  <c r="Q309" i="1"/>
  <c r="A310" i="1"/>
  <c r="A311" i="1"/>
  <c r="A312" i="1"/>
  <c r="D312" i="1"/>
  <c r="E312" i="1" s="1"/>
  <c r="F312" i="1"/>
  <c r="G312" i="1"/>
  <c r="H312" i="1" s="1"/>
  <c r="I312" i="1"/>
  <c r="J312" i="1"/>
  <c r="K312" i="1" s="1"/>
  <c r="L312" i="1"/>
  <c r="O312" i="1"/>
  <c r="P312" i="1" s="1"/>
  <c r="Q312" i="1"/>
  <c r="A313" i="1"/>
  <c r="D313" i="1"/>
  <c r="E313" i="1" s="1"/>
  <c r="F313" i="1"/>
  <c r="M313" i="1" s="1"/>
  <c r="G313" i="1"/>
  <c r="H313" i="1" s="1"/>
  <c r="I313" i="1"/>
  <c r="O313" i="1"/>
  <c r="P313" i="1" s="1"/>
  <c r="Q313" i="1"/>
  <c r="A314" i="1"/>
  <c r="A315" i="1"/>
  <c r="A316" i="1"/>
  <c r="A317" i="1"/>
  <c r="A318" i="1"/>
  <c r="A319" i="1"/>
  <c r="F319" i="1"/>
  <c r="I319" i="1"/>
  <c r="Q319" i="1"/>
  <c r="A320" i="1"/>
  <c r="F320" i="1"/>
  <c r="I320" i="1"/>
  <c r="Q320" i="1"/>
  <c r="A321" i="1"/>
  <c r="F321" i="1"/>
  <c r="I321" i="1"/>
  <c r="Q321" i="1"/>
  <c r="A322" i="1"/>
  <c r="F322" i="1"/>
  <c r="I322" i="1"/>
  <c r="Q322" i="1"/>
  <c r="A323" i="1"/>
  <c r="F323" i="1"/>
  <c r="I323" i="1"/>
  <c r="Q323" i="1"/>
  <c r="A324" i="1"/>
  <c r="F324" i="1"/>
  <c r="I324" i="1"/>
  <c r="Q324" i="1"/>
  <c r="A325" i="1"/>
  <c r="F325" i="1"/>
  <c r="I325" i="1"/>
  <c r="Q325" i="1"/>
  <c r="A326" i="1"/>
  <c r="F326" i="1"/>
  <c r="I326" i="1"/>
  <c r="Q326" i="1"/>
  <c r="A327" i="1"/>
  <c r="F327" i="1"/>
  <c r="I327" i="1"/>
  <c r="Q327" i="1"/>
  <c r="A328" i="1"/>
  <c r="F328" i="1"/>
  <c r="I328" i="1"/>
  <c r="Q328" i="1"/>
  <c r="A329" i="1"/>
  <c r="F329" i="1"/>
  <c r="I329" i="1"/>
  <c r="Q329" i="1"/>
  <c r="A330" i="1"/>
  <c r="F330" i="1"/>
  <c r="I330" i="1"/>
  <c r="Q330" i="1"/>
  <c r="A331" i="1"/>
  <c r="A332" i="1"/>
  <c r="F332" i="1"/>
  <c r="I332" i="1"/>
  <c r="Q332" i="1"/>
  <c r="A333" i="1"/>
  <c r="F333" i="1"/>
  <c r="I333" i="1"/>
  <c r="Q333" i="1"/>
  <c r="A334" i="1"/>
  <c r="F334" i="1"/>
  <c r="I334" i="1"/>
  <c r="Q334" i="1"/>
  <c r="A335" i="1"/>
  <c r="F335" i="1"/>
  <c r="I335" i="1"/>
  <c r="Q335" i="1"/>
  <c r="A336" i="1"/>
  <c r="F336" i="1"/>
  <c r="I336" i="1"/>
  <c r="Q336" i="1"/>
  <c r="A337" i="1"/>
  <c r="F337" i="1"/>
  <c r="I337" i="1"/>
  <c r="Q337" i="1"/>
  <c r="A338" i="1"/>
  <c r="F338" i="1"/>
  <c r="I338" i="1"/>
  <c r="Q338" i="1"/>
  <c r="A339" i="1"/>
  <c r="F339" i="1"/>
  <c r="I339" i="1"/>
  <c r="Q339" i="1"/>
  <c r="A340" i="1"/>
  <c r="F340" i="1"/>
  <c r="I340" i="1"/>
  <c r="Q340" i="1"/>
  <c r="A341" i="1"/>
  <c r="F341" i="1"/>
  <c r="I341" i="1"/>
  <c r="Q341" i="1"/>
  <c r="A342" i="1"/>
  <c r="F342" i="1"/>
  <c r="I342" i="1"/>
  <c r="Q342" i="1"/>
  <c r="A343" i="1"/>
  <c r="F343" i="1"/>
  <c r="I343" i="1"/>
  <c r="Q343" i="1"/>
  <c r="A344" i="1"/>
  <c r="F344" i="1"/>
  <c r="I344" i="1"/>
  <c r="Q344" i="1"/>
  <c r="A345" i="1"/>
  <c r="F345" i="1"/>
  <c r="I345" i="1"/>
  <c r="Q345" i="1"/>
  <c r="A346" i="1"/>
  <c r="F346" i="1"/>
  <c r="I346" i="1"/>
  <c r="Q346" i="1"/>
  <c r="A347" i="1"/>
  <c r="F347" i="1"/>
  <c r="I347" i="1"/>
  <c r="Q347" i="1"/>
  <c r="A348" i="1"/>
  <c r="F348" i="1"/>
  <c r="I348" i="1"/>
  <c r="Q348" i="1"/>
  <c r="A349" i="1"/>
  <c r="F349" i="1"/>
  <c r="I349" i="1"/>
  <c r="Q349" i="1"/>
  <c r="N353" i="1"/>
  <c r="A360" i="1"/>
  <c r="A361" i="1"/>
  <c r="D361" i="1"/>
  <c r="D363" i="1" s="1"/>
  <c r="E363" i="1" s="1"/>
  <c r="F361" i="1"/>
  <c r="F363" i="1" s="1"/>
  <c r="G361" i="1"/>
  <c r="G363" i="1" s="1"/>
  <c r="H363" i="1" s="1"/>
  <c r="I361" i="1"/>
  <c r="I363" i="1" s="1"/>
  <c r="O361" i="1"/>
  <c r="Q361" i="1"/>
  <c r="Q363" i="1" s="1"/>
  <c r="S364" i="1" s="1"/>
  <c r="A362" i="1"/>
  <c r="A363" i="1"/>
  <c r="A364" i="1"/>
  <c r="A365" i="1"/>
  <c r="A366" i="1"/>
  <c r="F366" i="1"/>
  <c r="I366" i="1"/>
  <c r="L366" i="1"/>
  <c r="Q366" i="1"/>
  <c r="A367" i="1"/>
  <c r="F367" i="1"/>
  <c r="I367" i="1"/>
  <c r="Q367" i="1"/>
  <c r="A368" i="1"/>
  <c r="F368" i="1"/>
  <c r="I368" i="1"/>
  <c r="Q368" i="1"/>
  <c r="A369" i="1"/>
  <c r="F369" i="1"/>
  <c r="I369" i="1"/>
  <c r="Q369" i="1"/>
  <c r="A370" i="1"/>
  <c r="F370" i="1"/>
  <c r="I370" i="1"/>
  <c r="Q370" i="1"/>
  <c r="A371" i="1"/>
  <c r="F371" i="1"/>
  <c r="I371" i="1"/>
  <c r="Q371" i="1"/>
  <c r="A372" i="1"/>
  <c r="F372" i="1"/>
  <c r="I372" i="1"/>
  <c r="Q372" i="1"/>
  <c r="A373" i="1"/>
  <c r="F373" i="1"/>
  <c r="I373" i="1"/>
  <c r="Q373" i="1"/>
  <c r="A374" i="1"/>
  <c r="F374" i="1"/>
  <c r="I374" i="1"/>
  <c r="Q374" i="1"/>
  <c r="A375" i="1"/>
  <c r="F375" i="1"/>
  <c r="I375" i="1"/>
  <c r="Q375" i="1"/>
  <c r="A376" i="1"/>
  <c r="F376" i="1"/>
  <c r="I376" i="1"/>
  <c r="Q376" i="1"/>
  <c r="A377" i="1"/>
  <c r="F377" i="1"/>
  <c r="I377" i="1"/>
  <c r="Q377" i="1"/>
  <c r="A378" i="1"/>
  <c r="A379" i="1"/>
  <c r="F379" i="1"/>
  <c r="I379" i="1"/>
  <c r="Q379" i="1"/>
  <c r="A380" i="1"/>
  <c r="F380" i="1"/>
  <c r="I380" i="1"/>
  <c r="Q380" i="1"/>
  <c r="A381" i="1"/>
  <c r="F381" i="1"/>
  <c r="I381" i="1"/>
  <c r="Q381" i="1"/>
  <c r="A382" i="1"/>
  <c r="F382" i="1"/>
  <c r="I382" i="1"/>
  <c r="Q382" i="1"/>
  <c r="A383" i="1"/>
  <c r="F383" i="1"/>
  <c r="I383" i="1"/>
  <c r="Q383" i="1"/>
  <c r="A384" i="1"/>
  <c r="F384" i="1"/>
  <c r="I384" i="1"/>
  <c r="Q384" i="1"/>
  <c r="A385" i="1"/>
  <c r="F385" i="1"/>
  <c r="I385" i="1"/>
  <c r="Q385" i="1"/>
  <c r="A386" i="1"/>
  <c r="F386" i="1"/>
  <c r="I386" i="1"/>
  <c r="Q386" i="1"/>
  <c r="A387" i="1"/>
  <c r="F387" i="1"/>
  <c r="I387" i="1"/>
  <c r="Q387" i="1"/>
  <c r="A388" i="1"/>
  <c r="F388" i="1"/>
  <c r="I388" i="1"/>
  <c r="Q388" i="1"/>
  <c r="A389" i="1"/>
  <c r="F389" i="1"/>
  <c r="I389" i="1"/>
  <c r="Q389" i="1"/>
  <c r="A390" i="1"/>
  <c r="F390" i="1"/>
  <c r="I390" i="1"/>
  <c r="Q390" i="1"/>
  <c r="A391" i="1"/>
  <c r="F391" i="1"/>
  <c r="I391" i="1"/>
  <c r="Q391" i="1"/>
  <c r="A392" i="1"/>
  <c r="F392" i="1"/>
  <c r="I392" i="1"/>
  <c r="Q392" i="1"/>
  <c r="A393" i="1"/>
  <c r="F393" i="1"/>
  <c r="I393" i="1"/>
  <c r="Q393" i="1"/>
  <c r="A394" i="1"/>
  <c r="F394" i="1"/>
  <c r="I394" i="1"/>
  <c r="Q394" i="1"/>
  <c r="A395" i="1"/>
  <c r="F395" i="1"/>
  <c r="I395" i="1"/>
  <c r="Q395" i="1"/>
  <c r="A405" i="1"/>
  <c r="A406" i="1"/>
  <c r="A409" i="1"/>
  <c r="A410" i="1"/>
  <c r="Z410" i="1"/>
  <c r="AC410" i="1"/>
  <c r="AB410" i="1" s="1"/>
  <c r="A411" i="1"/>
  <c r="Z411" i="1"/>
  <c r="AC411" i="1"/>
  <c r="AB411" i="1" s="1"/>
  <c r="A412" i="1"/>
  <c r="Z412" i="1"/>
  <c r="AC412" i="1"/>
  <c r="AB412" i="1" s="1"/>
  <c r="A413" i="1"/>
  <c r="Z413" i="1"/>
  <c r="AC413" i="1"/>
  <c r="AB413" i="1" s="1"/>
  <c r="A414" i="1"/>
  <c r="Z414" i="1"/>
  <c r="AC414" i="1"/>
  <c r="AB414" i="1" s="1"/>
  <c r="A415" i="1"/>
  <c r="Z415" i="1"/>
  <c r="AC415" i="1"/>
  <c r="AB415" i="1" s="1"/>
  <c r="A416" i="1"/>
  <c r="Z416" i="1"/>
  <c r="AC416" i="1"/>
  <c r="AB416" i="1" s="1"/>
  <c r="A417" i="1"/>
  <c r="Z417" i="1"/>
  <c r="AC417" i="1"/>
  <c r="AB417" i="1" s="1"/>
  <c r="AO417" i="1"/>
  <c r="A418" i="1"/>
  <c r="Z418" i="1"/>
  <c r="AC418" i="1"/>
  <c r="AB418" i="1" s="1"/>
  <c r="AO418" i="1"/>
  <c r="A419" i="1"/>
  <c r="Z419" i="1"/>
  <c r="AC419" i="1"/>
  <c r="AB419" i="1" s="1"/>
  <c r="AO419" i="1"/>
  <c r="A420" i="1"/>
  <c r="A421" i="1"/>
  <c r="Z421" i="1"/>
  <c r="AC421" i="1"/>
  <c r="AB421" i="1" s="1"/>
  <c r="AL421" i="1"/>
  <c r="A422" i="1"/>
  <c r="Z422" i="1"/>
  <c r="AC422" i="1"/>
  <c r="A423" i="1"/>
  <c r="Z423" i="1"/>
  <c r="AC423" i="1"/>
  <c r="AB423" i="1" s="1"/>
  <c r="A424" i="1"/>
  <c r="Z424" i="1"/>
  <c r="AC424" i="1"/>
  <c r="AB424" i="1" s="1"/>
  <c r="A425" i="1"/>
  <c r="Z425" i="1"/>
  <c r="AC425" i="1"/>
  <c r="AB425" i="1" s="1"/>
  <c r="A426" i="1"/>
  <c r="Z426" i="1"/>
  <c r="AI426" i="1" s="1"/>
  <c r="AC426" i="1"/>
  <c r="AB426" i="1" s="1"/>
  <c r="AO426" i="1"/>
  <c r="A427" i="1"/>
  <c r="Z427" i="1"/>
  <c r="AI427" i="1" s="1"/>
  <c r="AC427" i="1"/>
  <c r="AB427" i="1" s="1"/>
  <c r="AO427" i="1"/>
  <c r="A428" i="1"/>
  <c r="Z428" i="1"/>
  <c r="AC428" i="1"/>
  <c r="AB428" i="1" s="1"/>
  <c r="AO428" i="1"/>
  <c r="A429" i="1"/>
  <c r="Z429" i="1"/>
  <c r="AC429" i="1"/>
  <c r="AB429" i="1" s="1"/>
  <c r="A430" i="1"/>
  <c r="Z430" i="1"/>
  <c r="AC430" i="1"/>
  <c r="AB430" i="1" s="1"/>
  <c r="A431" i="1"/>
  <c r="Z431" i="1"/>
  <c r="AC431" i="1"/>
  <c r="AB431" i="1" s="1"/>
  <c r="A432" i="1"/>
  <c r="Z432" i="1"/>
  <c r="AC432" i="1"/>
  <c r="AB432" i="1" s="1"/>
  <c r="A433" i="1"/>
  <c r="Z433" i="1"/>
  <c r="AI433" i="1" s="1"/>
  <c r="AC433" i="1"/>
  <c r="AB433" i="1" s="1"/>
  <c r="A434" i="1"/>
  <c r="A435" i="1"/>
  <c r="Z435" i="1"/>
  <c r="AC435" i="1"/>
  <c r="AB435" i="1" s="1"/>
  <c r="A436" i="1"/>
  <c r="Z436" i="1"/>
  <c r="AC436" i="1"/>
  <c r="AB436" i="1" s="1"/>
  <c r="A437" i="1"/>
  <c r="Z437" i="1"/>
  <c r="AC437" i="1"/>
  <c r="AB437" i="1" s="1"/>
  <c r="A438" i="1"/>
  <c r="Z438" i="1"/>
  <c r="AC438" i="1"/>
  <c r="AB438" i="1" s="1"/>
  <c r="A439" i="1"/>
  <c r="Z439" i="1"/>
  <c r="AC439" i="1"/>
  <c r="AB439" i="1" s="1"/>
  <c r="A440" i="1"/>
  <c r="Z440" i="1"/>
  <c r="AC440" i="1"/>
  <c r="AB440" i="1" s="1"/>
  <c r="Z441" i="1"/>
  <c r="AC441" i="1"/>
  <c r="AB441" i="1" s="1"/>
  <c r="A442" i="1"/>
  <c r="Z442" i="1"/>
  <c r="AC442" i="1"/>
  <c r="AB442" i="1" s="1"/>
  <c r="A443" i="1"/>
  <c r="Z443" i="1"/>
  <c r="AC443" i="1"/>
  <c r="AB443" i="1" s="1"/>
  <c r="A444" i="1"/>
  <c r="Z444" i="1"/>
  <c r="AC444" i="1"/>
  <c r="AB444" i="1" s="1"/>
  <c r="A445" i="1"/>
  <c r="Z445" i="1"/>
  <c r="AC445" i="1"/>
  <c r="AB445" i="1" s="1"/>
  <c r="A446" i="1"/>
  <c r="Z446" i="1"/>
  <c r="AC446" i="1"/>
  <c r="AB446" i="1" s="1"/>
  <c r="A447" i="1"/>
  <c r="Z447" i="1"/>
  <c r="AC447" i="1"/>
  <c r="AB447" i="1" s="1"/>
  <c r="A448" i="1"/>
  <c r="Z448" i="1"/>
  <c r="AC448" i="1"/>
  <c r="AB448" i="1" s="1"/>
  <c r="A449" i="1"/>
  <c r="Z449" i="1"/>
  <c r="AC449" i="1"/>
  <c r="AB449" i="1" s="1"/>
  <c r="AL449" i="1"/>
  <c r="A450" i="1"/>
  <c r="Z450" i="1"/>
  <c r="AI450" i="1" s="1"/>
  <c r="AC450" i="1"/>
  <c r="AB450" i="1" s="1"/>
  <c r="A451" i="1"/>
  <c r="Z451" i="1"/>
  <c r="AC451" i="1"/>
  <c r="AB451" i="1" s="1"/>
  <c r="AO451" i="1"/>
  <c r="A452" i="1"/>
  <c r="Z452" i="1"/>
  <c r="AC452" i="1"/>
  <c r="AB452" i="1" s="1"/>
  <c r="AO452" i="1"/>
  <c r="A453" i="1"/>
  <c r="AC453" i="1"/>
  <c r="A454" i="1"/>
  <c r="Z454" i="1"/>
  <c r="AC454" i="1"/>
  <c r="AB454" i="1" s="1"/>
  <c r="AL454" i="1"/>
  <c r="A455" i="1"/>
  <c r="Z455" i="1"/>
  <c r="AC455" i="1"/>
  <c r="AB455" i="1" s="1"/>
  <c r="AL455" i="1"/>
  <c r="A456" i="1"/>
  <c r="Z456" i="1"/>
  <c r="AC456" i="1"/>
  <c r="AL456" i="1"/>
  <c r="A457" i="1"/>
  <c r="Z457" i="1"/>
  <c r="AI457" i="1" s="1"/>
  <c r="AC457" i="1"/>
  <c r="AB457" i="1" s="1"/>
  <c r="AL457" i="1"/>
  <c r="A458" i="1"/>
  <c r="Z458" i="1"/>
  <c r="AC458" i="1"/>
  <c r="AB458" i="1" s="1"/>
  <c r="AL458" i="1"/>
  <c r="A459" i="1"/>
  <c r="Z459" i="1"/>
  <c r="AC459" i="1"/>
  <c r="AB459" i="1" s="1"/>
  <c r="AL459" i="1"/>
  <c r="A460" i="1"/>
  <c r="Z460" i="1"/>
  <c r="AC460" i="1"/>
  <c r="AB460" i="1" s="1"/>
  <c r="AL460" i="1"/>
  <c r="A461" i="1"/>
  <c r="Z461" i="1"/>
  <c r="AC461" i="1"/>
  <c r="AB461" i="1" s="1"/>
  <c r="AL461" i="1"/>
  <c r="A462" i="1"/>
  <c r="Z462" i="1"/>
  <c r="AC462" i="1"/>
  <c r="AB462" i="1" s="1"/>
  <c r="AL462" i="1"/>
  <c r="A463" i="1"/>
  <c r="Z463" i="1"/>
  <c r="AC463" i="1"/>
  <c r="AB463" i="1" s="1"/>
  <c r="AF463" i="1"/>
  <c r="AL463" i="1"/>
  <c r="A464" i="1"/>
  <c r="Z464" i="1"/>
  <c r="AI464" i="1" s="1"/>
  <c r="AC464" i="1"/>
  <c r="AF464" i="1"/>
  <c r="AL464" i="1"/>
  <c r="A465" i="1"/>
  <c r="Z465" i="1"/>
  <c r="AI465" i="1" s="1"/>
  <c r="AC465" i="1"/>
  <c r="AL465" i="1"/>
  <c r="A466" i="1"/>
  <c r="Z466" i="1"/>
  <c r="AI466" i="1" s="1"/>
  <c r="AC466" i="1"/>
  <c r="AL466" i="1"/>
  <c r="A467" i="1"/>
  <c r="A468" i="1"/>
  <c r="AH468" i="1"/>
  <c r="AN468" i="1"/>
  <c r="AO468" i="1"/>
  <c r="A469" i="1"/>
  <c r="A470" i="1"/>
  <c r="Z470" i="1"/>
  <c r="AC470" i="1"/>
  <c r="AB470" i="1" s="1"/>
  <c r="AL470" i="1"/>
  <c r="A471" i="1"/>
  <c r="Z471" i="1"/>
  <c r="AC471" i="1"/>
  <c r="AB471" i="1" s="1"/>
  <c r="AL471" i="1"/>
  <c r="A472" i="1"/>
  <c r="Z472" i="1"/>
  <c r="AC472" i="1"/>
  <c r="AB472" i="1" s="1"/>
  <c r="AL472" i="1"/>
  <c r="A473" i="1"/>
  <c r="Z473" i="1"/>
  <c r="AC473" i="1"/>
  <c r="AB473" i="1" s="1"/>
  <c r="AL473" i="1"/>
  <c r="AO473" i="1" s="1"/>
  <c r="A474" i="1"/>
  <c r="Z474" i="1"/>
  <c r="AC474" i="1"/>
  <c r="AB474" i="1" s="1"/>
  <c r="AL474" i="1"/>
  <c r="A475" i="1"/>
  <c r="Z475" i="1"/>
  <c r="AC475" i="1"/>
  <c r="AB475" i="1" s="1"/>
  <c r="AL475" i="1"/>
  <c r="A476" i="1"/>
  <c r="Z476" i="1"/>
  <c r="AC476" i="1"/>
  <c r="AB476" i="1" s="1"/>
  <c r="AL476" i="1"/>
  <c r="A477" i="1"/>
  <c r="Z477" i="1"/>
  <c r="AC477" i="1"/>
  <c r="AB477" i="1" s="1"/>
  <c r="AL477" i="1"/>
  <c r="AO477" i="1" s="1"/>
  <c r="A478" i="1"/>
  <c r="Z478" i="1"/>
  <c r="AC478" i="1"/>
  <c r="AB478" i="1" s="1"/>
  <c r="AL478" i="1"/>
  <c r="A479" i="1"/>
  <c r="Z479" i="1"/>
  <c r="AC479" i="1"/>
  <c r="AB479" i="1" s="1"/>
  <c r="AL479" i="1"/>
  <c r="AO479" i="1" s="1"/>
  <c r="A480" i="1"/>
  <c r="Z480" i="1"/>
  <c r="AC480" i="1"/>
  <c r="AB480" i="1" s="1"/>
  <c r="AL480" i="1"/>
  <c r="A481" i="1"/>
  <c r="Z481" i="1"/>
  <c r="AC481" i="1"/>
  <c r="AB481" i="1" s="1"/>
  <c r="AL481" i="1"/>
  <c r="A482" i="1"/>
  <c r="A483" i="1"/>
  <c r="AN483" i="1"/>
  <c r="AO483" i="1"/>
  <c r="A484" i="1"/>
  <c r="A485" i="1"/>
  <c r="A486" i="1"/>
  <c r="A487" i="1"/>
  <c r="A488" i="1"/>
  <c r="A489" i="1"/>
  <c r="A490" i="1"/>
  <c r="A491" i="1"/>
  <c r="A492" i="1"/>
  <c r="Z492" i="1"/>
  <c r="AC492" i="1"/>
  <c r="AB492" i="1" s="1"/>
  <c r="AL492" i="1"/>
  <c r="A493" i="1"/>
  <c r="Z493" i="1"/>
  <c r="AI493" i="1" s="1"/>
  <c r="AC493" i="1"/>
  <c r="AB493" i="1" s="1"/>
  <c r="AL493" i="1"/>
  <c r="AO493" i="1" s="1"/>
  <c r="A494" i="1"/>
  <c r="Z494" i="1"/>
  <c r="AI494" i="1" s="1"/>
  <c r="AC494" i="1"/>
  <c r="AB494" i="1" s="1"/>
  <c r="AL494" i="1"/>
  <c r="AO494" i="1" s="1"/>
  <c r="A495" i="1"/>
  <c r="Z495" i="1"/>
  <c r="AI495" i="1" s="1"/>
  <c r="AC495" i="1"/>
  <c r="AB495" i="1" s="1"/>
  <c r="AL495" i="1"/>
  <c r="AO495" i="1" s="1"/>
  <c r="A496" i="1"/>
  <c r="Z496" i="1"/>
  <c r="AC496" i="1"/>
  <c r="AB496" i="1" s="1"/>
  <c r="AL496" i="1"/>
  <c r="AO496" i="1" s="1"/>
  <c r="A497" i="1"/>
  <c r="Z497" i="1"/>
  <c r="AI497" i="1" s="1"/>
  <c r="AC497" i="1"/>
  <c r="AB497" i="1" s="1"/>
  <c r="AL497" i="1"/>
  <c r="A498" i="1"/>
  <c r="Z498" i="1"/>
  <c r="AC498" i="1"/>
  <c r="AB498" i="1" s="1"/>
  <c r="AL498" i="1"/>
  <c r="AO498" i="1" s="1"/>
  <c r="A500" i="1"/>
  <c r="B19" i="1"/>
  <c r="A19" i="1" s="1"/>
  <c r="F19" i="1"/>
  <c r="I19" i="1"/>
  <c r="L19" i="1"/>
  <c r="Q19" i="1"/>
  <c r="R19" i="1"/>
  <c r="N19" i="1" l="1"/>
  <c r="Q180" i="1"/>
  <c r="F177" i="1"/>
  <c r="I174" i="1"/>
  <c r="I183" i="1"/>
  <c r="E101" i="1"/>
  <c r="P267" i="1"/>
  <c r="R302" i="1"/>
  <c r="I246" i="1"/>
  <c r="Q183" i="1"/>
  <c r="I106" i="1"/>
  <c r="Q190" i="1"/>
  <c r="P308" i="1"/>
  <c r="Q243" i="1"/>
  <c r="I190" i="1"/>
  <c r="F180" i="1"/>
  <c r="R104" i="1"/>
  <c r="F190" i="1"/>
  <c r="I180" i="1"/>
  <c r="F183" i="1"/>
  <c r="Q106" i="1"/>
  <c r="O114" i="1" s="1"/>
  <c r="P101" i="1"/>
  <c r="E301" i="1"/>
  <c r="E296" i="1"/>
  <c r="F249" i="1"/>
  <c r="Q251" i="1"/>
  <c r="I136" i="1"/>
  <c r="H136" i="1" s="1"/>
  <c r="F251" i="1"/>
  <c r="AI452" i="1"/>
  <c r="S19" i="1"/>
  <c r="P298" i="1"/>
  <c r="Q246" i="1"/>
  <c r="P105" i="1"/>
  <c r="I396" i="1"/>
  <c r="H396" i="1" s="1"/>
  <c r="Z467" i="1"/>
  <c r="E299" i="1"/>
  <c r="I305" i="1"/>
  <c r="I310" i="1" s="1"/>
  <c r="I315" i="1" s="1"/>
  <c r="I177" i="1"/>
  <c r="P251" i="1"/>
  <c r="Q177" i="1"/>
  <c r="Q211" i="1"/>
  <c r="P211" i="1" s="1"/>
  <c r="P361" i="1"/>
  <c r="P296" i="1"/>
  <c r="E308" i="1"/>
  <c r="F123" i="1"/>
  <c r="F106" i="1"/>
  <c r="D113" i="1" s="1"/>
  <c r="Q230" i="1"/>
  <c r="P230" i="1" s="1"/>
  <c r="AL482" i="1"/>
  <c r="AC434" i="1"/>
  <c r="Z420" i="1"/>
  <c r="I350" i="1"/>
  <c r="H350" i="1" s="1"/>
  <c r="F136" i="1"/>
  <c r="E136" i="1" s="1"/>
  <c r="E300" i="1"/>
  <c r="S249" i="1"/>
  <c r="E304" i="1"/>
  <c r="Z482" i="1"/>
  <c r="S366" i="1"/>
  <c r="Q267" i="1"/>
  <c r="I251" i="1"/>
  <c r="E251" i="1"/>
  <c r="I186" i="1"/>
  <c r="I195" i="1" s="1"/>
  <c r="P186" i="1"/>
  <c r="P195" i="1" s="1"/>
  <c r="I154" i="1"/>
  <c r="H154" i="1" s="1"/>
  <c r="Q305" i="1"/>
  <c r="Q310" i="1" s="1"/>
  <c r="Q249" i="1"/>
  <c r="P297" i="1"/>
  <c r="H251" i="1"/>
  <c r="F211" i="1"/>
  <c r="E211" i="1" s="1"/>
  <c r="H186" i="1"/>
  <c r="I230" i="1"/>
  <c r="H230" i="1" s="1"/>
  <c r="AC467" i="1"/>
  <c r="E361" i="1"/>
  <c r="Q378" i="1"/>
  <c r="P378" i="1" s="1"/>
  <c r="P299" i="1"/>
  <c r="I249" i="1"/>
  <c r="F186" i="1"/>
  <c r="F195" i="1" s="1"/>
  <c r="F164" i="1"/>
  <c r="P300" i="1"/>
  <c r="G305" i="1"/>
  <c r="G310" i="1" s="1"/>
  <c r="E309" i="1"/>
  <c r="Q164" i="1"/>
  <c r="F350" i="1"/>
  <c r="E350" i="1" s="1"/>
  <c r="I331" i="1"/>
  <c r="H331" i="1" s="1"/>
  <c r="F331" i="1"/>
  <c r="E331" i="1" s="1"/>
  <c r="F243" i="1"/>
  <c r="E105" i="1"/>
  <c r="AH464" i="1"/>
  <c r="AC420" i="1"/>
  <c r="Q396" i="1"/>
  <c r="P396" i="1" s="1"/>
  <c r="Q186" i="1"/>
  <c r="Q174" i="1"/>
  <c r="E175" i="1"/>
  <c r="E186" i="1"/>
  <c r="E195" i="1" s="1"/>
  <c r="E298" i="1"/>
  <c r="F154" i="1"/>
  <c r="E154" i="1" s="1"/>
  <c r="AI498" i="1"/>
  <c r="AI441" i="1"/>
  <c r="AI417" i="1"/>
  <c r="P309" i="1"/>
  <c r="AI419" i="1"/>
  <c r="I286" i="1"/>
  <c r="H286" i="1" s="1"/>
  <c r="AB456" i="1"/>
  <c r="Z453" i="1"/>
  <c r="F230" i="1"/>
  <c r="AB422" i="1"/>
  <c r="H361" i="1"/>
  <c r="AC482" i="1"/>
  <c r="AI451" i="1"/>
  <c r="Z434" i="1"/>
  <c r="I378" i="1"/>
  <c r="R303" i="1"/>
  <c r="I164" i="1"/>
  <c r="I123" i="1"/>
  <c r="G114" i="1"/>
  <c r="AO457" i="1"/>
  <c r="F305" i="1"/>
  <c r="F310" i="1" s="1"/>
  <c r="F315" i="1" s="1"/>
  <c r="AI418" i="1"/>
  <c r="F378" i="1"/>
  <c r="P301" i="1"/>
  <c r="I267" i="1"/>
  <c r="F396" i="1"/>
  <c r="E396" i="1" s="1"/>
  <c r="Q286" i="1"/>
  <c r="P286" i="1" s="1"/>
  <c r="P175" i="1"/>
  <c r="AL467" i="1"/>
  <c r="Q350" i="1"/>
  <c r="P350" i="1" s="1"/>
  <c r="E297" i="1"/>
  <c r="I211" i="1"/>
  <c r="K105" i="1"/>
  <c r="R105" i="1" s="1"/>
  <c r="Q154" i="1"/>
  <c r="P154" i="1" s="1"/>
  <c r="Q136" i="1"/>
  <c r="P136" i="1" s="1"/>
  <c r="Q123" i="1"/>
  <c r="R361" i="1"/>
  <c r="O363" i="1"/>
  <c r="O305" i="1"/>
  <c r="H101" i="1"/>
  <c r="Q331" i="1"/>
  <c r="D305" i="1"/>
  <c r="F286" i="1"/>
  <c r="E286" i="1" s="1"/>
  <c r="F267" i="1"/>
  <c r="F174" i="1"/>
  <c r="F246" i="1"/>
  <c r="I243" i="1"/>
  <c r="R304" i="1"/>
  <c r="R103" i="1"/>
  <c r="Q252" i="1" l="1"/>
  <c r="Q232" i="1"/>
  <c r="P232" i="1" s="1"/>
  <c r="F252" i="1"/>
  <c r="F156" i="1"/>
  <c r="E156" i="1" s="1"/>
  <c r="F196" i="1"/>
  <c r="F232" i="1"/>
  <c r="F234" i="1" s="1"/>
  <c r="E123" i="1"/>
  <c r="I352" i="1"/>
  <c r="H352" i="1" s="1"/>
  <c r="D114" i="1"/>
  <c r="I187" i="1"/>
  <c r="I252" i="1"/>
  <c r="F352" i="1"/>
  <c r="E352" i="1" s="1"/>
  <c r="H195" i="1"/>
  <c r="I196" i="1" s="1"/>
  <c r="F187" i="1"/>
  <c r="H305" i="1"/>
  <c r="AC469" i="1"/>
  <c r="O310" i="1"/>
  <c r="P305" i="1"/>
  <c r="I398" i="1"/>
  <c r="H378" i="1"/>
  <c r="Q315" i="1"/>
  <c r="H211" i="1"/>
  <c r="I232" i="1"/>
  <c r="H232" i="1" s="1"/>
  <c r="Q398" i="1"/>
  <c r="AA420" i="1"/>
  <c r="H267" i="1"/>
  <c r="I288" i="1"/>
  <c r="E230" i="1"/>
  <c r="Z469" i="1"/>
  <c r="P363" i="1"/>
  <c r="R363" i="1"/>
  <c r="E267" i="1"/>
  <c r="F288" i="1"/>
  <c r="D310" i="1"/>
  <c r="E305" i="1"/>
  <c r="F398" i="1"/>
  <c r="E378" i="1"/>
  <c r="I156" i="1"/>
  <c r="H123" i="1"/>
  <c r="Q288" i="1"/>
  <c r="P331" i="1"/>
  <c r="Q352" i="1"/>
  <c r="P352" i="1" s="1"/>
  <c r="Q156" i="1"/>
  <c r="P123" i="1"/>
  <c r="H310" i="1"/>
  <c r="G315" i="1"/>
  <c r="H315" i="1" s="1"/>
  <c r="Q187" i="1"/>
  <c r="Q195" i="1"/>
  <c r="I354" i="1" l="1"/>
  <c r="E232" i="1"/>
  <c r="F354" i="1"/>
  <c r="I234" i="1"/>
  <c r="AA482" i="1"/>
  <c r="E288" i="1"/>
  <c r="F290" i="1"/>
  <c r="Q354" i="1"/>
  <c r="P288" i="1"/>
  <c r="Q290" i="1"/>
  <c r="P398" i="1"/>
  <c r="Q400" i="1"/>
  <c r="P156" i="1"/>
  <c r="Q234" i="1"/>
  <c r="Q196" i="1"/>
  <c r="H288" i="1"/>
  <c r="I290" i="1"/>
  <c r="H156" i="1"/>
  <c r="I166" i="1"/>
  <c r="P310" i="1"/>
  <c r="O315" i="1"/>
  <c r="AA469" i="1"/>
  <c r="H398" i="1"/>
  <c r="I400" i="1"/>
  <c r="E310" i="1"/>
  <c r="D315" i="1"/>
  <c r="E398" i="1"/>
  <c r="F400" i="1"/>
  <c r="AA453" i="1"/>
  <c r="AC484" i="1"/>
  <c r="AA467" i="1"/>
  <c r="AA434" i="1"/>
  <c r="AB484" i="1" l="1"/>
  <c r="AC490" i="1"/>
  <c r="E315" i="1"/>
  <c r="P315" i="1"/>
  <c r="AB490" i="1" l="1"/>
  <c r="S1" i="1" l="1"/>
  <c r="S357" i="1" l="1"/>
  <c r="S169" i="1"/>
  <c r="S237" i="1"/>
  <c r="AO486" i="1"/>
  <c r="S292" i="1"/>
  <c r="AO403" i="1"/>
  <c r="S89" i="1"/>
  <c r="D96" i="1" l="1"/>
  <c r="F96" i="1"/>
  <c r="G96" i="1"/>
  <c r="H96" i="1" s="1"/>
  <c r="I96" i="1"/>
  <c r="A96" i="1"/>
  <c r="E96" i="1" l="1"/>
  <c r="O96" i="1" l="1"/>
  <c r="Q96" i="1"/>
  <c r="P96" i="1" l="1"/>
  <c r="Q11" i="2" l="1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K12" i="2" l="1"/>
  <c r="L12" i="2" l="1"/>
  <c r="N12" i="2"/>
  <c r="O12" i="2"/>
  <c r="J12" i="2"/>
  <c r="C12" i="2" l="1"/>
  <c r="P12" i="2"/>
  <c r="F12" i="2"/>
  <c r="B12" i="2"/>
  <c r="D12" i="2"/>
  <c r="G12" i="2" l="1"/>
  <c r="H12" i="2"/>
  <c r="M12" i="2"/>
  <c r="Q12" i="2" l="1"/>
  <c r="E12" i="2" l="1"/>
  <c r="I12" i="2"/>
  <c r="F93" i="1" l="1"/>
  <c r="Q95" i="1" l="1"/>
  <c r="O95" i="1"/>
  <c r="Q94" i="1"/>
  <c r="O94" i="1"/>
  <c r="I95" i="1"/>
  <c r="G95" i="1"/>
  <c r="I94" i="1"/>
  <c r="G94" i="1"/>
  <c r="F95" i="1"/>
  <c r="F94" i="1"/>
  <c r="D95" i="1"/>
  <c r="D94" i="1"/>
  <c r="Q93" i="1"/>
  <c r="I93" i="1"/>
  <c r="Q82" i="1"/>
  <c r="Q81" i="1"/>
  <c r="Q80" i="1"/>
  <c r="Q79" i="1"/>
  <c r="Q78" i="1"/>
  <c r="Q77" i="1"/>
  <c r="Q76" i="1"/>
  <c r="Q75" i="1"/>
  <c r="I82" i="1"/>
  <c r="I81" i="1"/>
  <c r="I80" i="1"/>
  <c r="I79" i="1"/>
  <c r="I78" i="1"/>
  <c r="I77" i="1"/>
  <c r="I76" i="1"/>
  <c r="I75" i="1"/>
  <c r="F82" i="1"/>
  <c r="F81" i="1"/>
  <c r="F80" i="1"/>
  <c r="F79" i="1"/>
  <c r="F78" i="1"/>
  <c r="F77" i="1"/>
  <c r="F76" i="1"/>
  <c r="F75" i="1"/>
  <c r="I97" i="1" l="1"/>
  <c r="G97" i="1"/>
  <c r="D97" i="1"/>
  <c r="F97" i="1"/>
  <c r="F109" i="1" s="1"/>
  <c r="F166" i="1" s="1"/>
  <c r="Q97" i="1"/>
  <c r="Q109" i="1" s="1"/>
  <c r="Q166" i="1" s="1"/>
  <c r="O97" i="1"/>
  <c r="O109" i="1" s="1"/>
  <c r="H94" i="1"/>
  <c r="P94" i="1"/>
  <c r="H95" i="1"/>
  <c r="P95" i="1"/>
  <c r="Q83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L69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Q53" i="1"/>
  <c r="Q52" i="1"/>
  <c r="Q51" i="1"/>
  <c r="Q50" i="1"/>
  <c r="Q49" i="1"/>
  <c r="Q48" i="1"/>
  <c r="Q47" i="1"/>
  <c r="Q46" i="1"/>
  <c r="Q45" i="1"/>
  <c r="Q44" i="1"/>
  <c r="Q43" i="1"/>
  <c r="Q42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Q40" i="1"/>
  <c r="Q39" i="1"/>
  <c r="Q38" i="1"/>
  <c r="Q37" i="1"/>
  <c r="Q36" i="1"/>
  <c r="Q35" i="1"/>
  <c r="Q34" i="1"/>
  <c r="Q33" i="1"/>
  <c r="Q32" i="1"/>
  <c r="Q31" i="1"/>
  <c r="I40" i="1"/>
  <c r="I39" i="1"/>
  <c r="I38" i="1"/>
  <c r="I37" i="1"/>
  <c r="I36" i="1"/>
  <c r="I35" i="1"/>
  <c r="I34" i="1"/>
  <c r="I33" i="1"/>
  <c r="I32" i="1"/>
  <c r="I31" i="1"/>
  <c r="F40" i="1"/>
  <c r="F39" i="1"/>
  <c r="F38" i="1"/>
  <c r="F37" i="1"/>
  <c r="F36" i="1"/>
  <c r="F35" i="1"/>
  <c r="F34" i="1"/>
  <c r="F33" i="1"/>
  <c r="F32" i="1"/>
  <c r="F31" i="1"/>
  <c r="Q23" i="1"/>
  <c r="Q22" i="1"/>
  <c r="Q21" i="1"/>
  <c r="I23" i="1"/>
  <c r="I22" i="1"/>
  <c r="I21" i="1"/>
  <c r="F23" i="1"/>
  <c r="F22" i="1"/>
  <c r="F21" i="1"/>
  <c r="Q17" i="1"/>
  <c r="O17" i="1"/>
  <c r="I17" i="1"/>
  <c r="G17" i="1"/>
  <c r="F17" i="1"/>
  <c r="D17" i="1"/>
  <c r="Q15" i="1"/>
  <c r="O15" i="1"/>
  <c r="I15" i="1"/>
  <c r="G15" i="1"/>
  <c r="F15" i="1"/>
  <c r="D15" i="1"/>
  <c r="Q12" i="1"/>
  <c r="Q11" i="1"/>
  <c r="Q10" i="1"/>
  <c r="Q9" i="1"/>
  <c r="Q8" i="1"/>
  <c r="Q7" i="1"/>
  <c r="Q6" i="1"/>
  <c r="O12" i="1"/>
  <c r="O11" i="1"/>
  <c r="O10" i="1"/>
  <c r="O9" i="1"/>
  <c r="O8" i="1"/>
  <c r="O7" i="1"/>
  <c r="O6" i="1"/>
  <c r="I12" i="1"/>
  <c r="I11" i="1"/>
  <c r="I10" i="1"/>
  <c r="I9" i="1"/>
  <c r="I8" i="1"/>
  <c r="I7" i="1"/>
  <c r="I6" i="1"/>
  <c r="G12" i="1"/>
  <c r="G11" i="1"/>
  <c r="G10" i="1"/>
  <c r="G9" i="1"/>
  <c r="G8" i="1"/>
  <c r="G7" i="1"/>
  <c r="G6" i="1"/>
  <c r="F12" i="1"/>
  <c r="F11" i="1"/>
  <c r="F10" i="1"/>
  <c r="F9" i="1"/>
  <c r="F8" i="1"/>
  <c r="F7" i="1"/>
  <c r="F6" i="1"/>
  <c r="D12" i="1"/>
  <c r="D11" i="1"/>
  <c r="D10" i="1"/>
  <c r="D9" i="1"/>
  <c r="D8" i="1"/>
  <c r="D7" i="1"/>
  <c r="D6" i="1"/>
  <c r="Q5" i="1"/>
  <c r="AL407" i="1" s="1"/>
  <c r="I5" i="1"/>
  <c r="F5" i="1"/>
  <c r="Z407" i="1" s="1"/>
  <c r="P109" i="1" l="1"/>
  <c r="D109" i="1"/>
  <c r="E109" i="1" s="1"/>
  <c r="E117" i="1"/>
  <c r="E116" i="1"/>
  <c r="E114" i="1"/>
  <c r="E120" i="1"/>
  <c r="E113" i="1"/>
  <c r="E119" i="1"/>
  <c r="E115" i="1"/>
  <c r="E122" i="1"/>
  <c r="E118" i="1"/>
  <c r="E121" i="1"/>
  <c r="AJ467" i="1"/>
  <c r="H97" i="1"/>
  <c r="H121" i="1"/>
  <c r="H116" i="1"/>
  <c r="H113" i="1"/>
  <c r="H120" i="1"/>
  <c r="H118" i="1"/>
  <c r="H115" i="1"/>
  <c r="H119" i="1"/>
  <c r="H114" i="1"/>
  <c r="H122" i="1"/>
  <c r="H117" i="1"/>
  <c r="N69" i="1"/>
  <c r="S69" i="1"/>
  <c r="O13" i="2" l="1"/>
  <c r="O10" i="2" l="1"/>
  <c r="N13" i="2"/>
  <c r="J13" i="2"/>
  <c r="J10" i="2" l="1"/>
  <c r="N10" i="2"/>
  <c r="C13" i="2"/>
  <c r="F13" i="2"/>
  <c r="L13" i="2"/>
  <c r="G13" i="2"/>
  <c r="B13" i="2"/>
  <c r="B10" i="2" s="1"/>
  <c r="F10" i="2" l="1"/>
  <c r="G10" i="2"/>
  <c r="P13" i="2"/>
  <c r="P10" i="2" l="1"/>
  <c r="D13" i="2"/>
  <c r="H13" i="2"/>
  <c r="Q13" i="2"/>
  <c r="H10" i="2" l="1"/>
  <c r="Q10" i="2"/>
  <c r="I13" i="2"/>
  <c r="E13" i="2"/>
  <c r="H98" i="1"/>
  <c r="A98" i="1"/>
  <c r="A97" i="1"/>
  <c r="A95" i="1"/>
  <c r="A94" i="1"/>
  <c r="A93" i="1"/>
  <c r="B85" i="1"/>
  <c r="A85" i="1" s="1"/>
  <c r="B84" i="1"/>
  <c r="A84" i="1" s="1"/>
  <c r="B83" i="1"/>
  <c r="A83" i="1" s="1"/>
  <c r="B82" i="1"/>
  <c r="B81" i="1"/>
  <c r="B80" i="1"/>
  <c r="B79" i="1"/>
  <c r="B78" i="1"/>
  <c r="B77" i="1"/>
  <c r="B76" i="1"/>
  <c r="B75" i="1"/>
  <c r="A75" i="1" s="1"/>
  <c r="B74" i="1"/>
  <c r="A74" i="1" s="1"/>
  <c r="B73" i="1"/>
  <c r="A73" i="1" s="1"/>
  <c r="B72" i="1"/>
  <c r="A72" i="1" s="1"/>
  <c r="B71" i="1"/>
  <c r="A71" i="1" s="1"/>
  <c r="B70" i="1"/>
  <c r="A70" i="1" s="1"/>
  <c r="B69" i="1"/>
  <c r="A69" i="1" s="1"/>
  <c r="B68" i="1"/>
  <c r="A68" i="1" s="1"/>
  <c r="B67" i="1"/>
  <c r="A67" i="1" s="1"/>
  <c r="B66" i="1"/>
  <c r="A66" i="1" s="1"/>
  <c r="B65" i="1"/>
  <c r="A65" i="1" s="1"/>
  <c r="B64" i="1"/>
  <c r="A64" i="1" s="1"/>
  <c r="B63" i="1"/>
  <c r="A63" i="1" s="1"/>
  <c r="B62" i="1"/>
  <c r="A62" i="1" s="1"/>
  <c r="B61" i="1"/>
  <c r="A61" i="1" s="1"/>
  <c r="B60" i="1"/>
  <c r="A60" i="1" s="1"/>
  <c r="B59" i="1"/>
  <c r="A59" i="1" s="1"/>
  <c r="B58" i="1"/>
  <c r="A58" i="1" s="1"/>
  <c r="B57" i="1"/>
  <c r="A57" i="1" s="1"/>
  <c r="B56" i="1"/>
  <c r="A56" i="1" s="1"/>
  <c r="I72" i="1" s="1"/>
  <c r="Q72" i="1"/>
  <c r="B55" i="1"/>
  <c r="A55" i="1" s="1"/>
  <c r="B54" i="1"/>
  <c r="A54" i="1" s="1"/>
  <c r="B53" i="1"/>
  <c r="A53" i="1" s="1"/>
  <c r="B52" i="1"/>
  <c r="B51" i="1"/>
  <c r="A51" i="1" s="1"/>
  <c r="B50" i="1"/>
  <c r="A50" i="1" s="1"/>
  <c r="B49" i="1"/>
  <c r="A49" i="1" s="1"/>
  <c r="B48" i="1"/>
  <c r="A48" i="1" s="1"/>
  <c r="B47" i="1"/>
  <c r="A47" i="1" s="1"/>
  <c r="B46" i="1"/>
  <c r="B45" i="1"/>
  <c r="A45" i="1" s="1"/>
  <c r="B44" i="1"/>
  <c r="B43" i="1"/>
  <c r="A43" i="1" s="1"/>
  <c r="B42" i="1"/>
  <c r="B41" i="1"/>
  <c r="A41" i="1" s="1"/>
  <c r="B40" i="1"/>
  <c r="A40" i="1" s="1"/>
  <c r="B39" i="1"/>
  <c r="B38" i="1"/>
  <c r="A38" i="1" s="1"/>
  <c r="B37" i="1"/>
  <c r="A37" i="1" s="1"/>
  <c r="B36" i="1"/>
  <c r="A36" i="1" s="1"/>
  <c r="B35" i="1"/>
  <c r="B34" i="1"/>
  <c r="A34" i="1" s="1"/>
  <c r="B33" i="1"/>
  <c r="B32" i="1"/>
  <c r="B31" i="1"/>
  <c r="A31" i="1" s="1"/>
  <c r="B30" i="1"/>
  <c r="A30" i="1" s="1"/>
  <c r="B29" i="1"/>
  <c r="A29" i="1" s="1"/>
  <c r="B28" i="1"/>
  <c r="A28" i="1" s="1"/>
  <c r="B27" i="1"/>
  <c r="A27" i="1" s="1"/>
  <c r="B26" i="1"/>
  <c r="A26" i="1" s="1"/>
  <c r="B25" i="1"/>
  <c r="A25" i="1" s="1"/>
  <c r="B24" i="1"/>
  <c r="A24" i="1" s="1"/>
  <c r="B23" i="1"/>
  <c r="B22" i="1"/>
  <c r="A22" i="1" s="1"/>
  <c r="E22" i="1" s="1"/>
  <c r="H21" i="1"/>
  <c r="B21" i="1"/>
  <c r="B20" i="1"/>
  <c r="A20" i="1" s="1"/>
  <c r="B18" i="1"/>
  <c r="A18" i="1" s="1"/>
  <c r="P17" i="1"/>
  <c r="E17" i="1"/>
  <c r="B17" i="1"/>
  <c r="A17" i="1" s="1"/>
  <c r="B16" i="1"/>
  <c r="A16" i="1" s="1"/>
  <c r="B15" i="1"/>
  <c r="P15" i="1" s="1"/>
  <c r="B14" i="1"/>
  <c r="A14" i="1" s="1"/>
  <c r="O13" i="1"/>
  <c r="B13" i="1"/>
  <c r="A13" i="1" s="1"/>
  <c r="P12" i="1"/>
  <c r="B12" i="1"/>
  <c r="A12" i="1" s="1"/>
  <c r="P11" i="1"/>
  <c r="B11" i="1"/>
  <c r="P10" i="1"/>
  <c r="B10" i="1"/>
  <c r="A10" i="1" s="1"/>
  <c r="P9" i="1"/>
  <c r="B9" i="1"/>
  <c r="P8" i="1"/>
  <c r="B8" i="1"/>
  <c r="A8" i="1" s="1"/>
  <c r="B7" i="1"/>
  <c r="P7" i="1" s="1"/>
  <c r="B6" i="1"/>
  <c r="A6" i="1" s="1"/>
  <c r="B5" i="1"/>
  <c r="A5" i="1" s="1"/>
  <c r="AK418" i="1" l="1"/>
  <c r="AK433" i="1"/>
  <c r="AK419" i="1"/>
  <c r="AK417" i="1"/>
  <c r="AK498" i="1"/>
  <c r="A7" i="1"/>
  <c r="I10" i="2"/>
  <c r="A21" i="1"/>
  <c r="A23" i="1"/>
  <c r="O24" i="1"/>
  <c r="A33" i="1"/>
  <c r="A15" i="1"/>
  <c r="P6" i="1"/>
  <c r="H6" i="1"/>
  <c r="H22" i="1"/>
  <c r="A32" i="1"/>
  <c r="A44" i="1"/>
  <c r="A52" i="1"/>
  <c r="A76" i="1"/>
  <c r="E95" i="1"/>
  <c r="C89" i="1"/>
  <c r="A81" i="1"/>
  <c r="P21" i="1"/>
  <c r="A9" i="1"/>
  <c r="H17" i="1"/>
  <c r="E21" i="1"/>
  <c r="I24" i="1"/>
  <c r="E23" i="1"/>
  <c r="A39" i="1"/>
  <c r="P39" i="1"/>
  <c r="Q54" i="1"/>
  <c r="A46" i="1"/>
  <c r="F72" i="1"/>
  <c r="A78" i="1"/>
  <c r="P97" i="1"/>
  <c r="E12" i="1"/>
  <c r="A11" i="1"/>
  <c r="F24" i="1"/>
  <c r="D32" i="1" s="1"/>
  <c r="H23" i="1"/>
  <c r="A35" i="1"/>
  <c r="A80" i="1"/>
  <c r="E94" i="1"/>
  <c r="A77" i="1"/>
  <c r="Q24" i="1"/>
  <c r="O32" i="1" s="1"/>
  <c r="A42" i="1"/>
  <c r="A82" i="1"/>
  <c r="E10" i="1"/>
  <c r="O27" i="1"/>
  <c r="P23" i="1"/>
  <c r="A79" i="1"/>
  <c r="AL450" i="1" l="1"/>
  <c r="AL441" i="1"/>
  <c r="AL431" i="1"/>
  <c r="AL422" i="1"/>
  <c r="AL413" i="1"/>
  <c r="AL416" i="1"/>
  <c r="AL447" i="1"/>
  <c r="AL430" i="1"/>
  <c r="AL446" i="1"/>
  <c r="AL445" i="1"/>
  <c r="AL411" i="1"/>
  <c r="AL415" i="1"/>
  <c r="AL438" i="1"/>
  <c r="AL423" i="1"/>
  <c r="AL412" i="1"/>
  <c r="AL429" i="1"/>
  <c r="AL414" i="1"/>
  <c r="AL436" i="1"/>
  <c r="AL443" i="1"/>
  <c r="AL410" i="1"/>
  <c r="AL437" i="1"/>
  <c r="AL440" i="1"/>
  <c r="AL425" i="1"/>
  <c r="AL444" i="1"/>
  <c r="AL424" i="1"/>
  <c r="AL439" i="1"/>
  <c r="AL442" i="1"/>
  <c r="AL435" i="1"/>
  <c r="AL432" i="1"/>
  <c r="AL448" i="1"/>
  <c r="P38" i="1"/>
  <c r="P40" i="1"/>
  <c r="P32" i="1"/>
  <c r="P35" i="1"/>
  <c r="P33" i="1"/>
  <c r="P36" i="1"/>
  <c r="P34" i="1"/>
  <c r="P31" i="1"/>
  <c r="P37" i="1"/>
  <c r="H12" i="1"/>
  <c r="H15" i="1"/>
  <c r="I13" i="1"/>
  <c r="E11" i="1"/>
  <c r="H7" i="1"/>
  <c r="H8" i="1"/>
  <c r="P22" i="1"/>
  <c r="E7" i="1"/>
  <c r="E15" i="1"/>
  <c r="P24" i="1"/>
  <c r="E6" i="1"/>
  <c r="E9" i="1"/>
  <c r="G13" i="1"/>
  <c r="E8" i="1"/>
  <c r="H10" i="1"/>
  <c r="E97" i="1"/>
  <c r="F41" i="1"/>
  <c r="Q41" i="1"/>
  <c r="Q13" i="1"/>
  <c r="F13" i="1"/>
  <c r="AK411" i="1" l="1"/>
  <c r="AL420" i="1"/>
  <c r="AK410" i="1"/>
  <c r="AK416" i="1"/>
  <c r="AK413" i="1"/>
  <c r="AL453" i="1"/>
  <c r="AJ453" i="1" s="1"/>
  <c r="AL434" i="1"/>
  <c r="AK414" i="1"/>
  <c r="AK412" i="1"/>
  <c r="AK415" i="1"/>
  <c r="AO450" i="1"/>
  <c r="F27" i="1"/>
  <c r="Z408" i="1" s="1"/>
  <c r="D31" i="1"/>
  <c r="O31" i="1"/>
  <c r="N9" i="2"/>
  <c r="N8" i="2" s="1"/>
  <c r="G27" i="1"/>
  <c r="H13" i="1"/>
  <c r="G24" i="1"/>
  <c r="H39" i="1" s="1"/>
  <c r="I54" i="1"/>
  <c r="I27" i="1"/>
  <c r="F54" i="1"/>
  <c r="D13" i="1"/>
  <c r="H11" i="1"/>
  <c r="Q27" i="1"/>
  <c r="AL408" i="1" s="1"/>
  <c r="P13" i="1"/>
  <c r="Q74" i="1"/>
  <c r="H9" i="1"/>
  <c r="I83" i="1"/>
  <c r="F83" i="1"/>
  <c r="I41" i="1"/>
  <c r="E41" i="1" l="1"/>
  <c r="AJ434" i="1"/>
  <c r="AJ420" i="1"/>
  <c r="AL469" i="1"/>
  <c r="AJ408" i="1"/>
  <c r="AL484" i="1"/>
  <c r="Y416" i="1"/>
  <c r="Y412" i="1"/>
  <c r="Y417" i="1"/>
  <c r="Y411" i="1"/>
  <c r="Y413" i="1"/>
  <c r="Y414" i="1"/>
  <c r="Y415" i="1"/>
  <c r="Y410" i="1"/>
  <c r="Y418" i="1"/>
  <c r="Y419" i="1"/>
  <c r="X434" i="1"/>
  <c r="X469" i="1"/>
  <c r="X467" i="1"/>
  <c r="X482" i="1"/>
  <c r="Z484" i="1"/>
  <c r="X420" i="1"/>
  <c r="X453" i="1"/>
  <c r="P41" i="1"/>
  <c r="E54" i="1"/>
  <c r="E72" i="1"/>
  <c r="H35" i="1"/>
  <c r="H32" i="1"/>
  <c r="P74" i="1"/>
  <c r="H54" i="1"/>
  <c r="Q85" i="1"/>
  <c r="P72" i="1"/>
  <c r="P27" i="1"/>
  <c r="P54" i="1"/>
  <c r="I74" i="1"/>
  <c r="I85" i="1" s="1"/>
  <c r="H41" i="1"/>
  <c r="G9" i="2"/>
  <c r="G8" i="2" s="1"/>
  <c r="H72" i="1"/>
  <c r="H33" i="1"/>
  <c r="H40" i="1"/>
  <c r="H24" i="1"/>
  <c r="H37" i="1"/>
  <c r="H38" i="1"/>
  <c r="H34" i="1"/>
  <c r="H31" i="1"/>
  <c r="H36" i="1"/>
  <c r="F74" i="1"/>
  <c r="D27" i="1"/>
  <c r="E13" i="1"/>
  <c r="D24" i="1"/>
  <c r="H27" i="1"/>
  <c r="AJ469" i="1" l="1"/>
  <c r="Z490" i="1"/>
  <c r="Z499" i="1" s="1"/>
  <c r="Y499" i="1" s="1"/>
  <c r="Y484" i="1"/>
  <c r="AK484" i="1"/>
  <c r="AL490" i="1"/>
  <c r="AL499" i="1" s="1"/>
  <c r="J9" i="2"/>
  <c r="J8" i="2" s="1"/>
  <c r="O9" i="2"/>
  <c r="O8" i="2" s="1"/>
  <c r="E27" i="1"/>
  <c r="C10" i="2"/>
  <c r="E74" i="1"/>
  <c r="F85" i="1"/>
  <c r="E40" i="1"/>
  <c r="E24" i="1"/>
  <c r="E34" i="1"/>
  <c r="E36" i="1"/>
  <c r="E38" i="1"/>
  <c r="E37" i="1"/>
  <c r="E31" i="1"/>
  <c r="E33" i="1"/>
  <c r="E35" i="1"/>
  <c r="E32" i="1"/>
  <c r="E39" i="1"/>
  <c r="F9" i="2"/>
  <c r="F8" i="2" s="1"/>
  <c r="H74" i="1"/>
  <c r="AK499" i="1" l="1"/>
  <c r="Y490" i="1"/>
  <c r="Z489" i="1"/>
  <c r="Y489" i="1" s="1"/>
  <c r="AL489" i="1"/>
  <c r="AK489" i="1" s="1"/>
  <c r="AK490" i="1"/>
  <c r="C9" i="2"/>
  <c r="C8" i="2" s="1"/>
  <c r="P9" i="2"/>
  <c r="P8" i="2" s="1"/>
  <c r="B9" i="2"/>
  <c r="H9" i="2" l="1"/>
  <c r="H8" i="2" s="1"/>
  <c r="D9" i="2"/>
  <c r="B8" i="2"/>
  <c r="Q9" i="2" l="1"/>
  <c r="D10" i="2"/>
  <c r="D8" i="2" s="1"/>
  <c r="I9" i="2" l="1"/>
  <c r="I8" i="2" s="1"/>
  <c r="Q8" i="2"/>
  <c r="E9" i="2"/>
  <c r="E10" i="2" l="1"/>
  <c r="E8" i="2" s="1"/>
  <c r="L11" i="2" l="1"/>
  <c r="L10" i="2" l="1"/>
  <c r="M11" i="2" l="1"/>
  <c r="L9" i="2" l="1"/>
  <c r="L8" i="2" s="1"/>
  <c r="L93" i="1" l="1"/>
  <c r="K192" i="1"/>
  <c r="J245" i="1"/>
  <c r="J248" i="1"/>
  <c r="J242" i="1"/>
  <c r="R242" i="1" s="1"/>
  <c r="J8" i="1" l="1"/>
  <c r="L11" i="1"/>
  <c r="L66" i="1"/>
  <c r="L76" i="1"/>
  <c r="L48" i="1"/>
  <c r="L185" i="1"/>
  <c r="L375" i="1"/>
  <c r="S375" i="1" s="1"/>
  <c r="L105" i="1"/>
  <c r="L248" i="1"/>
  <c r="L388" i="1"/>
  <c r="S388" i="1" s="1"/>
  <c r="L134" i="1"/>
  <c r="L376" i="1"/>
  <c r="S376" i="1" s="1"/>
  <c r="L139" i="1"/>
  <c r="L329" i="1"/>
  <c r="L57" i="1"/>
  <c r="L336" i="1"/>
  <c r="L143" i="1"/>
  <c r="L384" i="1"/>
  <c r="S384" i="1" s="1"/>
  <c r="L210" i="1"/>
  <c r="L334" i="1"/>
  <c r="L147" i="1"/>
  <c r="L391" i="1"/>
  <c r="S391" i="1" s="1"/>
  <c r="AF494" i="1"/>
  <c r="J302" i="1"/>
  <c r="J361" i="1"/>
  <c r="J363" i="1" s="1"/>
  <c r="K363" i="1" s="1"/>
  <c r="L40" i="1"/>
  <c r="L6" i="1"/>
  <c r="L75" i="1"/>
  <c r="L47" i="1"/>
  <c r="L65" i="1"/>
  <c r="L256" i="1"/>
  <c r="L42" i="1"/>
  <c r="L70" i="1"/>
  <c r="L117" i="1"/>
  <c r="L257" i="1"/>
  <c r="L394" i="1"/>
  <c r="S394" i="1" s="1"/>
  <c r="L145" i="1"/>
  <c r="L302" i="1"/>
  <c r="L149" i="1"/>
  <c r="L383" i="1"/>
  <c r="S383" i="1" s="1"/>
  <c r="L68" i="1"/>
  <c r="L371" i="1"/>
  <c r="S371" i="1" s="1"/>
  <c r="L146" i="1"/>
  <c r="L390" i="1"/>
  <c r="S390" i="1" s="1"/>
  <c r="L214" i="1"/>
  <c r="L392" i="1"/>
  <c r="S392" i="1" s="1"/>
  <c r="L157" i="1"/>
  <c r="AF496" i="1"/>
  <c r="AF478" i="1"/>
  <c r="K182" i="1"/>
  <c r="M182" i="1" s="1"/>
  <c r="J304" i="1"/>
  <c r="K304" i="1" s="1"/>
  <c r="L15" i="1"/>
  <c r="L23" i="1"/>
  <c r="L22" i="1"/>
  <c r="L56" i="1"/>
  <c r="L104" i="1"/>
  <c r="L259" i="1"/>
  <c r="L266" i="1"/>
  <c r="L218" i="1"/>
  <c r="L125" i="1"/>
  <c r="L263" i="1"/>
  <c r="L82" i="1"/>
  <c r="L209" i="1"/>
  <c r="L386" i="1"/>
  <c r="S386" i="1" s="1"/>
  <c r="L159" i="1"/>
  <c r="L389" i="1"/>
  <c r="S389" i="1" s="1"/>
  <c r="J95" i="1"/>
  <c r="L377" i="1"/>
  <c r="S377" i="1" s="1"/>
  <c r="L217" i="1"/>
  <c r="L279" i="1"/>
  <c r="L280" i="1"/>
  <c r="L160" i="1"/>
  <c r="AF458" i="1"/>
  <c r="AF493" i="1"/>
  <c r="K248" i="1"/>
  <c r="M248" i="1" s="1"/>
  <c r="L64" i="1"/>
  <c r="L51" i="1"/>
  <c r="L78" i="1"/>
  <c r="L141" i="1"/>
  <c r="L119" i="1"/>
  <c r="L270" i="1"/>
  <c r="L101" i="1"/>
  <c r="L137" i="1"/>
  <c r="L129" i="1"/>
  <c r="L271" i="1"/>
  <c r="L347" i="1"/>
  <c r="L213" i="1"/>
  <c r="J96" i="1"/>
  <c r="L162" i="1"/>
  <c r="L395" i="1"/>
  <c r="S395" i="1" s="1"/>
  <c r="L103" i="1"/>
  <c r="L116" i="1"/>
  <c r="L220" i="1"/>
  <c r="L265" i="1"/>
  <c r="L301" i="1"/>
  <c r="L31" i="1"/>
  <c r="L163" i="1"/>
  <c r="AF492" i="1"/>
  <c r="J309" i="1"/>
  <c r="J301" i="1"/>
  <c r="J17" i="1"/>
  <c r="L71" i="1"/>
  <c r="L63" i="1"/>
  <c r="L380" i="1"/>
  <c r="S380" i="1" s="1"/>
  <c r="L127" i="1"/>
  <c r="L273" i="1"/>
  <c r="L113" i="1"/>
  <c r="L308" i="1"/>
  <c r="L138" i="1"/>
  <c r="L277" i="1"/>
  <c r="L148" i="1"/>
  <c r="L225" i="1"/>
  <c r="L299" i="1"/>
  <c r="L173" i="1"/>
  <c r="L144" i="1"/>
  <c r="L118" i="1"/>
  <c r="L276" i="1"/>
  <c r="L226" i="1"/>
  <c r="L212" i="1"/>
  <c r="L333" i="1"/>
  <c r="L152" i="1"/>
  <c r="L189" i="1"/>
  <c r="AF461" i="1"/>
  <c r="L361" i="1"/>
  <c r="K189" i="1"/>
  <c r="M189" i="1" s="1"/>
  <c r="L39" i="1"/>
  <c r="J11" i="1"/>
  <c r="L60" i="1"/>
  <c r="L79" i="1"/>
  <c r="L132" i="1"/>
  <c r="L283" i="1"/>
  <c r="L120" i="1"/>
  <c r="J94" i="1"/>
  <c r="L153" i="1"/>
  <c r="L281" i="1"/>
  <c r="L327" i="1"/>
  <c r="L285" i="1"/>
  <c r="L368" i="1"/>
  <c r="S368" i="1" s="1"/>
  <c r="L202" i="1"/>
  <c r="L224" i="1"/>
  <c r="L121" i="1"/>
  <c r="L338" i="1"/>
  <c r="L258" i="1"/>
  <c r="L128" i="1"/>
  <c r="L337" i="1"/>
  <c r="L208" i="1"/>
  <c r="L203" i="1"/>
  <c r="AF497" i="1"/>
  <c r="AF455" i="1"/>
  <c r="J308" i="1"/>
  <c r="K245" i="1"/>
  <c r="L50" i="1"/>
  <c r="L37" i="1"/>
  <c r="L67" i="1"/>
  <c r="L344" i="1"/>
  <c r="L151" i="1"/>
  <c r="L296" i="1"/>
  <c r="L142" i="1"/>
  <c r="L228" i="1"/>
  <c r="J173" i="1"/>
  <c r="R173" i="1" s="1"/>
  <c r="L309" i="1"/>
  <c r="L124" i="1"/>
  <c r="L297" i="1"/>
  <c r="J101" i="1"/>
  <c r="L206" i="1"/>
  <c r="L242" i="1"/>
  <c r="L126" i="1"/>
  <c r="L215" i="1"/>
  <c r="L261" i="1"/>
  <c r="L131" i="1"/>
  <c r="L346" i="1"/>
  <c r="L381" i="1"/>
  <c r="S381" i="1" s="1"/>
  <c r="L245" i="1"/>
  <c r="AF459" i="1"/>
  <c r="AF460" i="1"/>
  <c r="J297" i="1"/>
  <c r="J298" i="1"/>
  <c r="J15" i="1"/>
  <c r="J12" i="1"/>
  <c r="L21" i="1"/>
  <c r="L58" i="1"/>
  <c r="L133" i="1"/>
  <c r="L176" i="1"/>
  <c r="L323" i="1"/>
  <c r="L222" i="1"/>
  <c r="L304" i="1"/>
  <c r="L182" i="1"/>
  <c r="L328" i="1"/>
  <c r="J182" i="1"/>
  <c r="R182" i="1" s="1"/>
  <c r="L322" i="1"/>
  <c r="L161" i="1"/>
  <c r="L255" i="1"/>
  <c r="L374" i="1"/>
  <c r="S374" i="1" s="1"/>
  <c r="L223" i="1"/>
  <c r="L158" i="1"/>
  <c r="L264" i="1"/>
  <c r="L150" i="1"/>
  <c r="L349" i="1"/>
  <c r="J10" i="1"/>
  <c r="L298" i="1"/>
  <c r="AF470" i="1"/>
  <c r="AF495" i="1"/>
  <c r="K242" i="1"/>
  <c r="M242" i="1" s="1"/>
  <c r="J313" i="1"/>
  <c r="K313" i="1" s="1"/>
  <c r="L62" i="1"/>
  <c r="L9" i="1"/>
  <c r="L8" i="1"/>
  <c r="L45" i="1"/>
  <c r="L204" i="1"/>
  <c r="L179" i="1"/>
  <c r="L326" i="1"/>
  <c r="L260" i="1"/>
  <c r="L393" i="1"/>
  <c r="S393" i="1" s="1"/>
  <c r="L205" i="1"/>
  <c r="L332" i="1"/>
  <c r="L321" i="1"/>
  <c r="L339" i="1"/>
  <c r="J9" i="1"/>
  <c r="L268" i="1"/>
  <c r="L96" i="1"/>
  <c r="L272" i="1"/>
  <c r="L38" i="1"/>
  <c r="L269" i="1"/>
  <c r="J176" i="1"/>
  <c r="R176" i="1" s="1"/>
  <c r="L372" i="1"/>
  <c r="S372" i="1" s="1"/>
  <c r="L44" i="1"/>
  <c r="L313" i="1"/>
  <c r="AF498" i="1"/>
  <c r="M13" i="2"/>
  <c r="M10" i="2" s="1"/>
  <c r="AF462" i="1"/>
  <c r="L5" i="1"/>
  <c r="L10" i="1"/>
  <c r="L81" i="1"/>
  <c r="L99" i="1"/>
  <c r="L52" i="1"/>
  <c r="L53" i="1"/>
  <c r="L200" i="1"/>
  <c r="L341" i="1"/>
  <c r="L274" i="1"/>
  <c r="L59" i="1"/>
  <c r="L216" i="1"/>
  <c r="L335" i="1"/>
  <c r="L387" i="1"/>
  <c r="S387" i="1" s="1"/>
  <c r="L342" i="1"/>
  <c r="L32" i="1"/>
  <c r="L278" i="1"/>
  <c r="L201" i="1"/>
  <c r="L282" i="1"/>
  <c r="L77" i="1"/>
  <c r="L275" i="1"/>
  <c r="J179" i="1"/>
  <c r="R179" i="1" s="1"/>
  <c r="L115" i="1"/>
  <c r="L320" i="1"/>
  <c r="AF457" i="1"/>
  <c r="K173" i="1"/>
  <c r="K176" i="1"/>
  <c r="M176" i="1" s="1"/>
  <c r="L55" i="1"/>
  <c r="L61" i="1"/>
  <c r="L17" i="1"/>
  <c r="L36" i="1"/>
  <c r="J7" i="1"/>
  <c r="L221" i="1"/>
  <c r="L367" i="1"/>
  <c r="L324" i="1"/>
  <c r="L46" i="1"/>
  <c r="L219" i="1"/>
  <c r="L345" i="1"/>
  <c r="L43" i="1"/>
  <c r="L348" i="1"/>
  <c r="L114" i="1"/>
  <c r="L300" i="1"/>
  <c r="L284" i="1"/>
  <c r="L319" i="1"/>
  <c r="L95" i="1"/>
  <c r="L340" i="1"/>
  <c r="L199" i="1"/>
  <c r="L7" i="1"/>
  <c r="L135" i="1"/>
  <c r="L330" i="1"/>
  <c r="AF421" i="1"/>
  <c r="AF456" i="1"/>
  <c r="J300" i="1"/>
  <c r="K179" i="1"/>
  <c r="M179" i="1" s="1"/>
  <c r="L34" i="1"/>
  <c r="J6" i="1"/>
  <c r="L49" i="1"/>
  <c r="L12" i="1"/>
  <c r="L35" i="1"/>
  <c r="L227" i="1"/>
  <c r="L373" i="1"/>
  <c r="S373" i="1" s="1"/>
  <c r="L369" i="1"/>
  <c r="S369" i="1" s="1"/>
  <c r="L94" i="1"/>
  <c r="L229" i="1"/>
  <c r="L382" i="1"/>
  <c r="S382" i="1" s="1"/>
  <c r="L80" i="1"/>
  <c r="L370" i="1"/>
  <c r="S370" i="1" s="1"/>
  <c r="L130" i="1"/>
  <c r="L303" i="1"/>
  <c r="L33" i="1"/>
  <c r="L325" i="1"/>
  <c r="L140" i="1"/>
  <c r="L343" i="1"/>
  <c r="L207" i="1"/>
  <c r="L262" i="1"/>
  <c r="L122" i="1"/>
  <c r="L385" i="1"/>
  <c r="S385" i="1" s="1"/>
  <c r="AF454" i="1"/>
  <c r="J299" i="1"/>
  <c r="J303" i="1"/>
  <c r="K303" i="1" s="1"/>
  <c r="J296" i="1"/>
  <c r="AF415" i="1" l="1"/>
  <c r="N205" i="1"/>
  <c r="S205" i="1"/>
  <c r="S328" i="1"/>
  <c r="N328" i="1"/>
  <c r="AH460" i="1"/>
  <c r="AI460" i="1" s="1"/>
  <c r="AN460" i="1"/>
  <c r="AO460" i="1" s="1"/>
  <c r="N207" i="1"/>
  <c r="S207" i="1"/>
  <c r="S33" i="1"/>
  <c r="N33" i="1"/>
  <c r="N7" i="1"/>
  <c r="S7" i="1"/>
  <c r="S345" i="1"/>
  <c r="N345" i="1"/>
  <c r="L378" i="1"/>
  <c r="S367" i="1"/>
  <c r="AF435" i="1"/>
  <c r="N99" i="1"/>
  <c r="S99" i="1"/>
  <c r="AN462" i="1"/>
  <c r="AO462" i="1" s="1"/>
  <c r="AH462" i="1"/>
  <c r="AI462" i="1" s="1"/>
  <c r="L180" i="1"/>
  <c r="N180" i="1" s="1"/>
  <c r="S179" i="1"/>
  <c r="N179" i="1"/>
  <c r="N298" i="1"/>
  <c r="S298" i="1"/>
  <c r="S58" i="1"/>
  <c r="N58" i="1"/>
  <c r="R15" i="1"/>
  <c r="M15" i="1"/>
  <c r="K15" i="1"/>
  <c r="S215" i="1"/>
  <c r="N215" i="1"/>
  <c r="N309" i="1"/>
  <c r="S309" i="1"/>
  <c r="L305" i="1"/>
  <c r="S296" i="1"/>
  <c r="N296" i="1"/>
  <c r="S203" i="1"/>
  <c r="N203" i="1"/>
  <c r="N258" i="1"/>
  <c r="S258" i="1"/>
  <c r="N202" i="1"/>
  <c r="S202" i="1"/>
  <c r="S276" i="1"/>
  <c r="N276" i="1"/>
  <c r="S347" i="1"/>
  <c r="N347" i="1"/>
  <c r="AF445" i="1"/>
  <c r="N259" i="1"/>
  <c r="S259" i="1"/>
  <c r="S68" i="1"/>
  <c r="N68" i="1"/>
  <c r="S145" i="1"/>
  <c r="N145" i="1"/>
  <c r="AH494" i="1"/>
  <c r="AN494" i="1"/>
  <c r="S210" i="1"/>
  <c r="N210" i="1"/>
  <c r="AF437" i="1"/>
  <c r="S66" i="1"/>
  <c r="N66" i="1"/>
  <c r="AF440" i="1"/>
  <c r="M309" i="1"/>
  <c r="R309" i="1"/>
  <c r="K309" i="1"/>
  <c r="N78" i="1"/>
  <c r="S78" i="1"/>
  <c r="M296" i="1"/>
  <c r="J305" i="1"/>
  <c r="K296" i="1"/>
  <c r="R296" i="1"/>
  <c r="AF412" i="1"/>
  <c r="AH421" i="1"/>
  <c r="AI421" i="1" s="1"/>
  <c r="AN421" i="1"/>
  <c r="AO421" i="1" s="1"/>
  <c r="S319" i="1"/>
  <c r="N319" i="1"/>
  <c r="L331" i="1"/>
  <c r="L379" i="1"/>
  <c r="S17" i="1"/>
  <c r="N17" i="1"/>
  <c r="S115" i="1"/>
  <c r="N115" i="1"/>
  <c r="N282" i="1"/>
  <c r="S282" i="1"/>
  <c r="S200" i="1"/>
  <c r="N200" i="1"/>
  <c r="AF452" i="1"/>
  <c r="N9" i="1"/>
  <c r="S9" i="1"/>
  <c r="S323" i="1"/>
  <c r="N323" i="1"/>
  <c r="S37" i="1"/>
  <c r="N37" i="1"/>
  <c r="S153" i="1"/>
  <c r="N153" i="1"/>
  <c r="R11" i="1"/>
  <c r="M11" i="1"/>
  <c r="K11" i="1"/>
  <c r="K361" i="1"/>
  <c r="S361" i="1"/>
  <c r="L363" i="1"/>
  <c r="S363" i="1" s="1"/>
  <c r="N333" i="1"/>
  <c r="S333" i="1"/>
  <c r="N299" i="1"/>
  <c r="S299" i="1"/>
  <c r="S138" i="1"/>
  <c r="N138" i="1"/>
  <c r="N71" i="1"/>
  <c r="S71" i="1"/>
  <c r="N220" i="1"/>
  <c r="S220" i="1"/>
  <c r="S162" i="1"/>
  <c r="N162" i="1"/>
  <c r="AF471" i="1"/>
  <c r="M95" i="1"/>
  <c r="R95" i="1"/>
  <c r="J97" i="1"/>
  <c r="K95" i="1"/>
  <c r="N209" i="1"/>
  <c r="S209" i="1"/>
  <c r="S125" i="1"/>
  <c r="N125" i="1"/>
  <c r="N214" i="1"/>
  <c r="S214" i="1"/>
  <c r="N42" i="1"/>
  <c r="S42" i="1"/>
  <c r="L54" i="1"/>
  <c r="S47" i="1"/>
  <c r="N47" i="1"/>
  <c r="S185" i="1"/>
  <c r="N185" i="1"/>
  <c r="S40" i="1"/>
  <c r="N40" i="1"/>
  <c r="K40" i="1"/>
  <c r="N343" i="1"/>
  <c r="S343" i="1"/>
  <c r="S219" i="1"/>
  <c r="N219" i="1"/>
  <c r="N221" i="1"/>
  <c r="S221" i="1"/>
  <c r="K186" i="1"/>
  <c r="M173" i="1"/>
  <c r="K175" i="1"/>
  <c r="AF411" i="1"/>
  <c r="S81" i="1"/>
  <c r="N81" i="1"/>
  <c r="AF427" i="1"/>
  <c r="N339" i="1"/>
  <c r="S339" i="1"/>
  <c r="AH495" i="1"/>
  <c r="AN495" i="1"/>
  <c r="R10" i="1"/>
  <c r="M10" i="1"/>
  <c r="K10" i="1"/>
  <c r="N346" i="1"/>
  <c r="S346" i="1"/>
  <c r="S126" i="1"/>
  <c r="N126" i="1"/>
  <c r="S208" i="1"/>
  <c r="N208" i="1"/>
  <c r="N338" i="1"/>
  <c r="S338" i="1"/>
  <c r="N118" i="1"/>
  <c r="S118" i="1"/>
  <c r="N271" i="1"/>
  <c r="S271" i="1"/>
  <c r="N280" i="1"/>
  <c r="S280" i="1"/>
  <c r="S104" i="1"/>
  <c r="N104" i="1"/>
  <c r="AH496" i="1"/>
  <c r="AI496" i="1" s="1"/>
  <c r="AN496" i="1"/>
  <c r="S329" i="1"/>
  <c r="N329" i="1"/>
  <c r="N12" i="1"/>
  <c r="S12" i="1"/>
  <c r="S114" i="1"/>
  <c r="N114" i="1"/>
  <c r="S255" i="1"/>
  <c r="N255" i="1"/>
  <c r="L267" i="1"/>
  <c r="S49" i="1"/>
  <c r="N49" i="1"/>
  <c r="N199" i="1"/>
  <c r="L211" i="1"/>
  <c r="S199" i="1"/>
  <c r="S59" i="1"/>
  <c r="N59" i="1"/>
  <c r="AF466" i="1"/>
  <c r="AH466" i="1" s="1"/>
  <c r="AN498" i="1"/>
  <c r="AH498" i="1"/>
  <c r="AE498" i="1"/>
  <c r="M9" i="2"/>
  <c r="M8" i="2" s="1"/>
  <c r="N96" i="1"/>
  <c r="S96" i="1"/>
  <c r="S204" i="1"/>
  <c r="N204" i="1"/>
  <c r="N158" i="1"/>
  <c r="S158" i="1"/>
  <c r="S182" i="1"/>
  <c r="N182" i="1"/>
  <c r="L183" i="1"/>
  <c r="N21" i="1"/>
  <c r="S21" i="1"/>
  <c r="L24" i="1"/>
  <c r="AN459" i="1"/>
  <c r="AO459" i="1" s="1"/>
  <c r="AH459" i="1"/>
  <c r="AI459" i="1" s="1"/>
  <c r="N151" i="1"/>
  <c r="S151" i="1"/>
  <c r="AF416" i="1"/>
  <c r="S132" i="1"/>
  <c r="N132" i="1"/>
  <c r="S127" i="1"/>
  <c r="N127" i="1"/>
  <c r="AF410" i="1"/>
  <c r="S270" i="1"/>
  <c r="N270" i="1"/>
  <c r="AN493" i="1"/>
  <c r="AH493" i="1"/>
  <c r="N15" i="1"/>
  <c r="S15" i="1"/>
  <c r="N249" i="1"/>
  <c r="N248" i="1"/>
  <c r="L249" i="1"/>
  <c r="S248" i="1"/>
  <c r="N11" i="1"/>
  <c r="S11" i="1"/>
  <c r="AF449" i="1"/>
  <c r="N303" i="1"/>
  <c r="S303" i="1"/>
  <c r="N227" i="1"/>
  <c r="S227" i="1"/>
  <c r="AF413" i="1"/>
  <c r="S348" i="1"/>
  <c r="N348" i="1"/>
  <c r="N61" i="1"/>
  <c r="S61" i="1"/>
  <c r="N201" i="1"/>
  <c r="S201" i="1"/>
  <c r="N342" i="1"/>
  <c r="S342" i="1"/>
  <c r="AF439" i="1"/>
  <c r="S53" i="1"/>
  <c r="N53" i="1"/>
  <c r="AF476" i="1"/>
  <c r="S161" i="1"/>
  <c r="N161" i="1"/>
  <c r="S176" i="1"/>
  <c r="N176" i="1"/>
  <c r="L177" i="1"/>
  <c r="K298" i="1"/>
  <c r="R298" i="1"/>
  <c r="M298" i="1"/>
  <c r="N297" i="1"/>
  <c r="S297" i="1"/>
  <c r="AH455" i="1"/>
  <c r="AI455" i="1" s="1"/>
  <c r="AN455" i="1"/>
  <c r="AO455" i="1" s="1"/>
  <c r="S285" i="1"/>
  <c r="N285" i="1"/>
  <c r="K94" i="1"/>
  <c r="M94" i="1"/>
  <c r="R94" i="1"/>
  <c r="AH461" i="1"/>
  <c r="AI461" i="1" s="1"/>
  <c r="AN461" i="1"/>
  <c r="AO461" i="1" s="1"/>
  <c r="L230" i="1"/>
  <c r="N212" i="1"/>
  <c r="S212" i="1"/>
  <c r="N225" i="1"/>
  <c r="S225" i="1"/>
  <c r="N308" i="1"/>
  <c r="S308" i="1"/>
  <c r="R17" i="1"/>
  <c r="M17" i="1"/>
  <c r="K17" i="1"/>
  <c r="AN492" i="1"/>
  <c r="AO492" i="1" s="1"/>
  <c r="AH492" i="1"/>
  <c r="AI492" i="1" s="1"/>
  <c r="S116" i="1"/>
  <c r="N116" i="1"/>
  <c r="M96" i="1"/>
  <c r="K96" i="1"/>
  <c r="R96" i="1"/>
  <c r="N51" i="1"/>
  <c r="S51" i="1"/>
  <c r="S82" i="1"/>
  <c r="N82" i="1"/>
  <c r="N218" i="1"/>
  <c r="S218" i="1"/>
  <c r="N257" i="1"/>
  <c r="S257" i="1"/>
  <c r="N75" i="1"/>
  <c r="S75" i="1"/>
  <c r="L83" i="1"/>
  <c r="N143" i="1"/>
  <c r="S143" i="1"/>
  <c r="S48" i="1"/>
  <c r="N48" i="1"/>
  <c r="AF426" i="1"/>
  <c r="N122" i="1"/>
  <c r="S122" i="1"/>
  <c r="N140" i="1"/>
  <c r="S140" i="1"/>
  <c r="N229" i="1"/>
  <c r="S229" i="1"/>
  <c r="N330" i="1"/>
  <c r="S330" i="1"/>
  <c r="N284" i="1"/>
  <c r="S284" i="1"/>
  <c r="S46" i="1"/>
  <c r="N46" i="1"/>
  <c r="R7" i="1"/>
  <c r="M7" i="1"/>
  <c r="K7" i="1"/>
  <c r="S10" i="1"/>
  <c r="N10" i="1"/>
  <c r="AF417" i="1"/>
  <c r="S269" i="1"/>
  <c r="N269" i="1"/>
  <c r="S321" i="1"/>
  <c r="N321" i="1"/>
  <c r="N260" i="1"/>
  <c r="S260" i="1"/>
  <c r="S62" i="1"/>
  <c r="N62" i="1"/>
  <c r="N131" i="1"/>
  <c r="S131" i="1"/>
  <c r="S242" i="1"/>
  <c r="S243" i="1" s="1"/>
  <c r="L243" i="1"/>
  <c r="N242" i="1"/>
  <c r="N243" i="1" s="1"/>
  <c r="N228" i="1"/>
  <c r="S228" i="1"/>
  <c r="S337" i="1"/>
  <c r="N337" i="1"/>
  <c r="S121" i="1"/>
  <c r="N121" i="1"/>
  <c r="N39" i="1"/>
  <c r="S39" i="1"/>
  <c r="K39" i="1"/>
  <c r="S144" i="1"/>
  <c r="N144" i="1"/>
  <c r="S129" i="1"/>
  <c r="N129" i="1"/>
  <c r="S279" i="1"/>
  <c r="N279" i="1"/>
  <c r="AF481" i="1"/>
  <c r="AF441" i="1"/>
  <c r="S56" i="1"/>
  <c r="N56" i="1"/>
  <c r="N149" i="1"/>
  <c r="S149" i="1"/>
  <c r="AF422" i="1"/>
  <c r="S147" i="1"/>
  <c r="N147" i="1"/>
  <c r="N139" i="1"/>
  <c r="S139" i="1"/>
  <c r="AF438" i="1"/>
  <c r="R101" i="1"/>
  <c r="M101" i="1"/>
  <c r="K101" i="1"/>
  <c r="R308" i="1"/>
  <c r="K308" i="1"/>
  <c r="M308" i="1"/>
  <c r="S283" i="1"/>
  <c r="N283" i="1"/>
  <c r="S273" i="1"/>
  <c r="N273" i="1"/>
  <c r="N31" i="1"/>
  <c r="S31" i="1"/>
  <c r="L41" i="1"/>
  <c r="N101" i="1"/>
  <c r="S101" i="1"/>
  <c r="S23" i="1"/>
  <c r="N23" i="1"/>
  <c r="AF429" i="1"/>
  <c r="N275" i="1"/>
  <c r="S275" i="1"/>
  <c r="AF418" i="1"/>
  <c r="AF433" i="1"/>
  <c r="AH433" i="1" s="1"/>
  <c r="S313" i="1"/>
  <c r="R313" i="1" s="1"/>
  <c r="N313" i="1"/>
  <c r="N268" i="1"/>
  <c r="S268" i="1"/>
  <c r="L286" i="1"/>
  <c r="S45" i="1"/>
  <c r="N45" i="1"/>
  <c r="AH470" i="1"/>
  <c r="AI470" i="1" s="1"/>
  <c r="AN470" i="1"/>
  <c r="AO470" i="1" s="1"/>
  <c r="S349" i="1"/>
  <c r="N349" i="1"/>
  <c r="S245" i="1"/>
  <c r="K267" i="1"/>
  <c r="L246" i="1"/>
  <c r="N245" i="1"/>
  <c r="N246" i="1" s="1"/>
  <c r="L251" i="1"/>
  <c r="N344" i="1"/>
  <c r="S344" i="1"/>
  <c r="S50" i="1"/>
  <c r="N50" i="1"/>
  <c r="S79" i="1"/>
  <c r="N79" i="1"/>
  <c r="N301" i="1"/>
  <c r="S301" i="1"/>
  <c r="N119" i="1"/>
  <c r="S119" i="1"/>
  <c r="AF436" i="1"/>
  <c r="L164" i="1"/>
  <c r="N157" i="1"/>
  <c r="S157" i="1"/>
  <c r="N146" i="1"/>
  <c r="S146" i="1"/>
  <c r="S256" i="1"/>
  <c r="N256" i="1"/>
  <c r="AF480" i="1"/>
  <c r="AF444" i="1"/>
  <c r="S130" i="1"/>
  <c r="N130" i="1"/>
  <c r="N35" i="1"/>
  <c r="S35" i="1"/>
  <c r="R6" i="1"/>
  <c r="M6" i="1"/>
  <c r="K6" i="1"/>
  <c r="J13" i="1"/>
  <c r="M300" i="1"/>
  <c r="K300" i="1"/>
  <c r="R300" i="1"/>
  <c r="N340" i="1"/>
  <c r="S340" i="1"/>
  <c r="N43" i="1"/>
  <c r="S43" i="1"/>
  <c r="AF442" i="1"/>
  <c r="AH457" i="1"/>
  <c r="AN457" i="1"/>
  <c r="N278" i="1"/>
  <c r="S278" i="1"/>
  <c r="S274" i="1"/>
  <c r="N274" i="1"/>
  <c r="N52" i="1"/>
  <c r="S52" i="1"/>
  <c r="AF419" i="1"/>
  <c r="AF451" i="1"/>
  <c r="S223" i="1"/>
  <c r="N223" i="1"/>
  <c r="S322" i="1"/>
  <c r="N322" i="1"/>
  <c r="N304" i="1"/>
  <c r="S304" i="1"/>
  <c r="R12" i="1"/>
  <c r="M12" i="1"/>
  <c r="K12" i="1"/>
  <c r="S124" i="1"/>
  <c r="L136" i="1"/>
  <c r="N124" i="1"/>
  <c r="AF430" i="1"/>
  <c r="AN497" i="1"/>
  <c r="AO497" i="1" s="1"/>
  <c r="AH497" i="1"/>
  <c r="N327" i="1"/>
  <c r="S327" i="1"/>
  <c r="L190" i="1"/>
  <c r="S189" i="1"/>
  <c r="N189" i="1"/>
  <c r="S148" i="1"/>
  <c r="N148" i="1"/>
  <c r="N113" i="1"/>
  <c r="S113" i="1"/>
  <c r="L123" i="1"/>
  <c r="J113" i="1"/>
  <c r="L106" i="1"/>
  <c r="S103" i="1"/>
  <c r="N103" i="1"/>
  <c r="AF431" i="1"/>
  <c r="AN458" i="1"/>
  <c r="AO458" i="1" s="1"/>
  <c r="AH458" i="1"/>
  <c r="AI458" i="1" s="1"/>
  <c r="N159" i="1"/>
  <c r="S159" i="1"/>
  <c r="AF475" i="1"/>
  <c r="S117" i="1"/>
  <c r="N117" i="1"/>
  <c r="AF472" i="1"/>
  <c r="N336" i="1"/>
  <c r="S336" i="1"/>
  <c r="S76" i="1"/>
  <c r="N76" i="1"/>
  <c r="M8" i="1"/>
  <c r="R8" i="1"/>
  <c r="K8" i="1"/>
  <c r="AH454" i="1"/>
  <c r="AN454" i="1"/>
  <c r="N34" i="1"/>
  <c r="S34" i="1"/>
  <c r="S216" i="1"/>
  <c r="N216" i="1"/>
  <c r="N272" i="1"/>
  <c r="S272" i="1"/>
  <c r="R299" i="1"/>
  <c r="K299" i="1"/>
  <c r="M299" i="1"/>
  <c r="N262" i="1"/>
  <c r="S262" i="1"/>
  <c r="S325" i="1"/>
  <c r="N325" i="1"/>
  <c r="L97" i="1"/>
  <c r="S94" i="1"/>
  <c r="N94" i="1"/>
  <c r="N135" i="1"/>
  <c r="S135" i="1"/>
  <c r="N300" i="1"/>
  <c r="S300" i="1"/>
  <c r="AF423" i="1"/>
  <c r="S324" i="1"/>
  <c r="N324" i="1"/>
  <c r="S36" i="1"/>
  <c r="N36" i="1"/>
  <c r="S55" i="1"/>
  <c r="N55" i="1"/>
  <c r="L72" i="1"/>
  <c r="AF428" i="1"/>
  <c r="AF465" i="1"/>
  <c r="AH465" i="1" s="1"/>
  <c r="N38" i="1"/>
  <c r="S38" i="1"/>
  <c r="K38" i="1"/>
  <c r="N332" i="1"/>
  <c r="L350" i="1"/>
  <c r="K350" i="1" s="1"/>
  <c r="S332" i="1"/>
  <c r="S326" i="1"/>
  <c r="N326" i="1"/>
  <c r="AF443" i="1"/>
  <c r="N133" i="1"/>
  <c r="S133" i="1"/>
  <c r="K297" i="1"/>
  <c r="R297" i="1"/>
  <c r="M297" i="1"/>
  <c r="S261" i="1"/>
  <c r="N261" i="1"/>
  <c r="N142" i="1"/>
  <c r="S142" i="1"/>
  <c r="N128" i="1"/>
  <c r="S128" i="1"/>
  <c r="S224" i="1"/>
  <c r="N224" i="1"/>
  <c r="N226" i="1"/>
  <c r="S226" i="1"/>
  <c r="L174" i="1"/>
  <c r="L186" i="1"/>
  <c r="N173" i="1"/>
  <c r="S173" i="1"/>
  <c r="M301" i="1"/>
  <c r="R301" i="1"/>
  <c r="K301" i="1"/>
  <c r="N163" i="1"/>
  <c r="S163" i="1"/>
  <c r="S213" i="1"/>
  <c r="N213" i="1"/>
  <c r="L154" i="1"/>
  <c r="S137" i="1"/>
  <c r="N137" i="1"/>
  <c r="N64" i="1"/>
  <c r="S64" i="1"/>
  <c r="S217" i="1"/>
  <c r="N217" i="1"/>
  <c r="AF477" i="1"/>
  <c r="N266" i="1"/>
  <c r="S266" i="1"/>
  <c r="N302" i="1"/>
  <c r="S302" i="1"/>
  <c r="K302" i="1"/>
  <c r="M302" i="1"/>
  <c r="S334" i="1"/>
  <c r="N334" i="1"/>
  <c r="S105" i="1"/>
  <c r="N105" i="1"/>
  <c r="N80" i="1"/>
  <c r="S80" i="1"/>
  <c r="N264" i="1"/>
  <c r="S264" i="1"/>
  <c r="AF414" i="1"/>
  <c r="N77" i="1"/>
  <c r="S77" i="1"/>
  <c r="N335" i="1"/>
  <c r="S335" i="1"/>
  <c r="AF479" i="1"/>
  <c r="N44" i="1"/>
  <c r="S44" i="1"/>
  <c r="AF425" i="1"/>
  <c r="N150" i="1"/>
  <c r="S150" i="1"/>
  <c r="S206" i="1"/>
  <c r="N206" i="1"/>
  <c r="N67" i="1"/>
  <c r="S67" i="1"/>
  <c r="S120" i="1"/>
  <c r="N120" i="1"/>
  <c r="S60" i="1"/>
  <c r="N60" i="1"/>
  <c r="S63" i="1"/>
  <c r="N63" i="1"/>
  <c r="S265" i="1"/>
  <c r="N265" i="1"/>
  <c r="S141" i="1"/>
  <c r="N141" i="1"/>
  <c r="S263" i="1"/>
  <c r="N263" i="1"/>
  <c r="S22" i="1"/>
  <c r="N22" i="1"/>
  <c r="S65" i="1"/>
  <c r="N65" i="1"/>
  <c r="N6" i="1"/>
  <c r="S6" i="1"/>
  <c r="L13" i="1"/>
  <c r="AF447" i="1"/>
  <c r="AN456" i="1"/>
  <c r="AO456" i="1" s="1"/>
  <c r="AH456" i="1"/>
  <c r="AI456" i="1" s="1"/>
  <c r="N95" i="1"/>
  <c r="S95" i="1"/>
  <c r="S320" i="1"/>
  <c r="N320" i="1"/>
  <c r="AF474" i="1"/>
  <c r="S32" i="1"/>
  <c r="N32" i="1"/>
  <c r="J32" i="1"/>
  <c r="N341" i="1"/>
  <c r="S341" i="1"/>
  <c r="AF432" i="1"/>
  <c r="AF450" i="1"/>
  <c r="AF424" i="1"/>
  <c r="M9" i="1"/>
  <c r="R9" i="1"/>
  <c r="K9" i="1"/>
  <c r="N8" i="1"/>
  <c r="S8" i="1"/>
  <c r="S222" i="1"/>
  <c r="N222" i="1"/>
  <c r="AF448" i="1"/>
  <c r="M245" i="1"/>
  <c r="K251" i="1"/>
  <c r="L252" i="1" s="1"/>
  <c r="N281" i="1"/>
  <c r="S281" i="1"/>
  <c r="N152" i="1"/>
  <c r="S152" i="1"/>
  <c r="S277" i="1"/>
  <c r="N277" i="1"/>
  <c r="N160" i="1"/>
  <c r="S160" i="1"/>
  <c r="AN478" i="1"/>
  <c r="AO478" i="1" s="1"/>
  <c r="AH478" i="1"/>
  <c r="AI478" i="1" s="1"/>
  <c r="S70" i="1"/>
  <c r="N70" i="1"/>
  <c r="AF446" i="1"/>
  <c r="N57" i="1"/>
  <c r="S57" i="1"/>
  <c r="N134" i="1"/>
  <c r="S134" i="1"/>
  <c r="AF473" i="1"/>
  <c r="AF434" i="1" l="1"/>
  <c r="N83" i="1"/>
  <c r="AF482" i="1"/>
  <c r="M13" i="1"/>
  <c r="M14" i="1" s="1"/>
  <c r="S350" i="1"/>
  <c r="AF467" i="1"/>
  <c r="AH434" i="1"/>
  <c r="AI434" i="1" s="1"/>
  <c r="AN434" i="1"/>
  <c r="AO434" i="1" s="1"/>
  <c r="AN482" i="1"/>
  <c r="AO482" i="1" s="1"/>
  <c r="AH482" i="1"/>
  <c r="AI482" i="1" s="1"/>
  <c r="N154" i="1"/>
  <c r="S154" i="1"/>
  <c r="K154" i="1"/>
  <c r="AH447" i="1"/>
  <c r="AI447" i="1" s="1"/>
  <c r="AN447" i="1"/>
  <c r="AO447" i="1" s="1"/>
  <c r="AN428" i="1"/>
  <c r="AH428" i="1"/>
  <c r="AI428" i="1" s="1"/>
  <c r="AN451" i="1"/>
  <c r="AH451" i="1"/>
  <c r="AH418" i="1"/>
  <c r="AN418" i="1"/>
  <c r="AE418" i="1"/>
  <c r="AH441" i="1"/>
  <c r="AN441" i="1"/>
  <c r="AO441" i="1" s="1"/>
  <c r="AH426" i="1"/>
  <c r="AN426" i="1"/>
  <c r="K230" i="1"/>
  <c r="S230" i="1"/>
  <c r="N230" i="1"/>
  <c r="AH445" i="1"/>
  <c r="AI445" i="1" s="1"/>
  <c r="AN445" i="1"/>
  <c r="AO445" i="1" s="1"/>
  <c r="AN419" i="1"/>
  <c r="AH419" i="1"/>
  <c r="AE419" i="1"/>
  <c r="AH481" i="1"/>
  <c r="AI481" i="1" s="1"/>
  <c r="AN481" i="1"/>
  <c r="AO481" i="1" s="1"/>
  <c r="AH450" i="1"/>
  <c r="AN450" i="1"/>
  <c r="AN474" i="1"/>
  <c r="AO474" i="1" s="1"/>
  <c r="AH474" i="1"/>
  <c r="AI474" i="1" s="1"/>
  <c r="AN479" i="1"/>
  <c r="AH479" i="1"/>
  <c r="AI479" i="1" s="1"/>
  <c r="S136" i="1"/>
  <c r="N136" i="1"/>
  <c r="K136" i="1"/>
  <c r="AE416" i="1"/>
  <c r="K22" i="1"/>
  <c r="R22" i="1" s="1"/>
  <c r="K21" i="1"/>
  <c r="R21" i="1" s="1"/>
  <c r="J27" i="1"/>
  <c r="K23" i="1"/>
  <c r="R23" i="1" s="1"/>
  <c r="K13" i="1"/>
  <c r="AN480" i="1"/>
  <c r="AO480" i="1" s="1"/>
  <c r="AH480" i="1"/>
  <c r="AI480" i="1" s="1"/>
  <c r="AH436" i="1"/>
  <c r="AI436" i="1" s="1"/>
  <c r="AN436" i="1"/>
  <c r="AO436" i="1" s="1"/>
  <c r="AN417" i="1"/>
  <c r="AE417" i="1"/>
  <c r="AH417" i="1"/>
  <c r="AF453" i="1"/>
  <c r="AH435" i="1"/>
  <c r="AN435" i="1"/>
  <c r="AH473" i="1"/>
  <c r="AI473" i="1" s="1"/>
  <c r="AN473" i="1"/>
  <c r="L109" i="1"/>
  <c r="S97" i="1"/>
  <c r="S98" i="1" s="1"/>
  <c r="N97" i="1"/>
  <c r="N98" i="1" s="1"/>
  <c r="K123" i="1"/>
  <c r="N123" i="1"/>
  <c r="L156" i="1"/>
  <c r="S123" i="1"/>
  <c r="AH415" i="1"/>
  <c r="AI415" i="1" s="1"/>
  <c r="AE415" i="1"/>
  <c r="AN415" i="1"/>
  <c r="AO415" i="1" s="1"/>
  <c r="AH472" i="1"/>
  <c r="AI472" i="1" s="1"/>
  <c r="AN472" i="1"/>
  <c r="AO472" i="1" s="1"/>
  <c r="AH432" i="1"/>
  <c r="AI432" i="1" s="1"/>
  <c r="AN432" i="1"/>
  <c r="AO432" i="1" s="1"/>
  <c r="J31" i="1"/>
  <c r="L27" i="1"/>
  <c r="R13" i="1"/>
  <c r="R14" i="1" s="1"/>
  <c r="S83" i="1"/>
  <c r="N305" i="1"/>
  <c r="N306" i="1" s="1"/>
  <c r="L310" i="1"/>
  <c r="S305" i="1"/>
  <c r="S306" i="1" s="1"/>
  <c r="S13" i="1"/>
  <c r="S14" i="1" s="1"/>
  <c r="AN477" i="1"/>
  <c r="AH477" i="1"/>
  <c r="AI477" i="1" s="1"/>
  <c r="N186" i="1"/>
  <c r="N187" i="1" s="1"/>
  <c r="L187" i="1"/>
  <c r="L195" i="1"/>
  <c r="S186" i="1"/>
  <c r="N350" i="1"/>
  <c r="S251" i="1"/>
  <c r="N251" i="1"/>
  <c r="N252" i="1" s="1"/>
  <c r="K286" i="1"/>
  <c r="S286" i="1"/>
  <c r="AH422" i="1"/>
  <c r="AI422" i="1" s="1"/>
  <c r="AN422" i="1"/>
  <c r="AO422" i="1" s="1"/>
  <c r="S24" i="1"/>
  <c r="S25" i="1" s="1"/>
  <c r="N24" i="1"/>
  <c r="N25" i="1" s="1"/>
  <c r="K195" i="1"/>
  <c r="M186" i="1"/>
  <c r="K122" i="1"/>
  <c r="P121" i="1"/>
  <c r="R97" i="1"/>
  <c r="R98" i="1" s="1"/>
  <c r="K97" i="1"/>
  <c r="P115" i="1"/>
  <c r="K117" i="1"/>
  <c r="M97" i="1"/>
  <c r="M98" i="1" s="1"/>
  <c r="K120" i="1"/>
  <c r="P114" i="1"/>
  <c r="K121" i="1"/>
  <c r="P113" i="1"/>
  <c r="K114" i="1"/>
  <c r="K113" i="1"/>
  <c r="P118" i="1"/>
  <c r="P116" i="1"/>
  <c r="P120" i="1"/>
  <c r="K119" i="1"/>
  <c r="J109" i="1"/>
  <c r="P117" i="1"/>
  <c r="P122" i="1"/>
  <c r="K116" i="1"/>
  <c r="K115" i="1"/>
  <c r="P119" i="1"/>
  <c r="K118" i="1"/>
  <c r="AH412" i="1"/>
  <c r="AI412" i="1" s="1"/>
  <c r="AE412" i="1"/>
  <c r="AN412" i="1"/>
  <c r="AO412" i="1" s="1"/>
  <c r="AH442" i="1"/>
  <c r="AI442" i="1" s="1"/>
  <c r="AN442" i="1"/>
  <c r="AO442" i="1" s="1"/>
  <c r="N13" i="1"/>
  <c r="N14" i="1" s="1"/>
  <c r="AH425" i="1"/>
  <c r="AI425" i="1" s="1"/>
  <c r="AN425" i="1"/>
  <c r="AO425" i="1" s="1"/>
  <c r="AO454" i="1"/>
  <c r="AN467" i="1"/>
  <c r="AO467" i="1" s="1"/>
  <c r="AH431" i="1"/>
  <c r="AI431" i="1" s="1"/>
  <c r="AN431" i="1"/>
  <c r="AO431" i="1" s="1"/>
  <c r="N41" i="1"/>
  <c r="S41" i="1"/>
  <c r="K41" i="1"/>
  <c r="L74" i="1"/>
  <c r="AN427" i="1"/>
  <c r="AH427" i="1"/>
  <c r="AH440" i="1"/>
  <c r="AI440" i="1" s="1"/>
  <c r="AN440" i="1"/>
  <c r="AO440" i="1" s="1"/>
  <c r="S378" i="1"/>
  <c r="K378" i="1"/>
  <c r="AH467" i="1"/>
  <c r="AI467" i="1" s="1"/>
  <c r="AI454" i="1"/>
  <c r="N286" i="1"/>
  <c r="L396" i="1"/>
  <c r="K396" i="1" s="1"/>
  <c r="S379" i="1"/>
  <c r="S396" i="1" s="1"/>
  <c r="K72" i="1"/>
  <c r="L232" i="1"/>
  <c r="N211" i="1"/>
  <c r="K211" i="1"/>
  <c r="S211" i="1"/>
  <c r="R251" i="1"/>
  <c r="S252" i="1" s="1"/>
  <c r="M251" i="1"/>
  <c r="AH439" i="1"/>
  <c r="AI439" i="1" s="1"/>
  <c r="AN439" i="1"/>
  <c r="AO439" i="1" s="1"/>
  <c r="AH449" i="1"/>
  <c r="AI449" i="1" s="1"/>
  <c r="AN449" i="1"/>
  <c r="AO449" i="1" s="1"/>
  <c r="AH416" i="1"/>
  <c r="AI416" i="1" s="1"/>
  <c r="AN416" i="1"/>
  <c r="AO416" i="1" s="1"/>
  <c r="S54" i="1"/>
  <c r="AH471" i="1"/>
  <c r="AI471" i="1" s="1"/>
  <c r="AN471" i="1"/>
  <c r="AO471" i="1" s="1"/>
  <c r="AH452" i="1"/>
  <c r="AN452" i="1"/>
  <c r="N72" i="1"/>
  <c r="AN475" i="1"/>
  <c r="AO475" i="1" s="1"/>
  <c r="AH475" i="1"/>
  <c r="AI475" i="1" s="1"/>
  <c r="AH430" i="1"/>
  <c r="AI430" i="1" s="1"/>
  <c r="AN430" i="1"/>
  <c r="AO430" i="1" s="1"/>
  <c r="AH438" i="1"/>
  <c r="AI438" i="1" s="1"/>
  <c r="AN438" i="1"/>
  <c r="AO438" i="1" s="1"/>
  <c r="N54" i="1"/>
  <c r="S72" i="1"/>
  <c r="J24" i="1"/>
  <c r="AH446" i="1"/>
  <c r="AI446" i="1" s="1"/>
  <c r="AN446" i="1"/>
  <c r="AO446" i="1" s="1"/>
  <c r="AH448" i="1"/>
  <c r="AI448" i="1" s="1"/>
  <c r="AN448" i="1"/>
  <c r="AO448" i="1" s="1"/>
  <c r="AH424" i="1"/>
  <c r="AI424" i="1" s="1"/>
  <c r="AN424" i="1"/>
  <c r="AO424" i="1" s="1"/>
  <c r="AH414" i="1"/>
  <c r="AI414" i="1" s="1"/>
  <c r="AE414" i="1"/>
  <c r="AN414" i="1"/>
  <c r="AO414" i="1" s="1"/>
  <c r="AH443" i="1"/>
  <c r="AI443" i="1" s="1"/>
  <c r="AN443" i="1"/>
  <c r="AO443" i="1" s="1"/>
  <c r="AH444" i="1"/>
  <c r="AI444" i="1" s="1"/>
  <c r="AN444" i="1"/>
  <c r="AO444" i="1" s="1"/>
  <c r="S164" i="1"/>
  <c r="AH429" i="1"/>
  <c r="AI429" i="1" s="1"/>
  <c r="AN429" i="1"/>
  <c r="AO429" i="1" s="1"/>
  <c r="AN476" i="1"/>
  <c r="AO476" i="1" s="1"/>
  <c r="AH476" i="1"/>
  <c r="AI476" i="1" s="1"/>
  <c r="K13" i="2"/>
  <c r="K10" i="2" s="1"/>
  <c r="AH423" i="1"/>
  <c r="AI423" i="1" s="1"/>
  <c r="AN423" i="1"/>
  <c r="AO423" i="1" s="1"/>
  <c r="J114" i="1"/>
  <c r="N106" i="1"/>
  <c r="N107" i="1" s="1"/>
  <c r="S106" i="1"/>
  <c r="S107" i="1" s="1"/>
  <c r="N164" i="1"/>
  <c r="AH413" i="1"/>
  <c r="AI413" i="1" s="1"/>
  <c r="AE413" i="1"/>
  <c r="AN413" i="1"/>
  <c r="AO413" i="1" s="1"/>
  <c r="AF420" i="1"/>
  <c r="AH410" i="1"/>
  <c r="AI410" i="1" s="1"/>
  <c r="AE410" i="1"/>
  <c r="AN410" i="1"/>
  <c r="AO410" i="1" s="1"/>
  <c r="S267" i="1"/>
  <c r="L288" i="1"/>
  <c r="L290" i="1" s="1"/>
  <c r="N267" i="1"/>
  <c r="AH411" i="1"/>
  <c r="AI411" i="1" s="1"/>
  <c r="AE411" i="1"/>
  <c r="AN411" i="1"/>
  <c r="AO411" i="1" s="1"/>
  <c r="S331" i="1"/>
  <c r="L352" i="1"/>
  <c r="N331" i="1"/>
  <c r="K331" i="1"/>
  <c r="K305" i="1"/>
  <c r="M305" i="1"/>
  <c r="R305" i="1"/>
  <c r="J310" i="1"/>
  <c r="AH437" i="1"/>
  <c r="AI437" i="1" s="1"/>
  <c r="AN437" i="1"/>
  <c r="AO437" i="1" s="1"/>
  <c r="L398" i="1" l="1"/>
  <c r="S290" i="1"/>
  <c r="N290" i="1"/>
  <c r="N74" i="1"/>
  <c r="S74" i="1"/>
  <c r="K74" i="1"/>
  <c r="AM419" i="1"/>
  <c r="AG419" i="1"/>
  <c r="AM410" i="1"/>
  <c r="AG410" i="1"/>
  <c r="K232" i="1"/>
  <c r="S232" i="1"/>
  <c r="N232" i="1"/>
  <c r="AM415" i="1"/>
  <c r="AG415" i="1"/>
  <c r="K24" i="1"/>
  <c r="M24" i="1"/>
  <c r="K32" i="1"/>
  <c r="K37" i="1"/>
  <c r="K36" i="1"/>
  <c r="K31" i="1"/>
  <c r="K35" i="1"/>
  <c r="K33" i="1"/>
  <c r="K34" i="1"/>
  <c r="R109" i="1"/>
  <c r="R110" i="1" s="1"/>
  <c r="K109" i="1"/>
  <c r="M109" i="1"/>
  <c r="M110" i="1" s="1"/>
  <c r="AH420" i="1"/>
  <c r="AI420" i="1" s="1"/>
  <c r="AF469" i="1"/>
  <c r="AN420" i="1"/>
  <c r="AO420" i="1" s="1"/>
  <c r="L400" i="1"/>
  <c r="S400" i="1" s="1"/>
  <c r="K398" i="1"/>
  <c r="S398" i="1"/>
  <c r="AO435" i="1"/>
  <c r="AN453" i="1"/>
  <c r="AO453" i="1" s="1"/>
  <c r="R27" i="1"/>
  <c r="R28" i="1" s="1"/>
  <c r="K27" i="1"/>
  <c r="M27" i="1"/>
  <c r="M28" i="1" s="1"/>
  <c r="N156" i="1"/>
  <c r="S156" i="1"/>
  <c r="K156" i="1"/>
  <c r="AI435" i="1"/>
  <c r="AH453" i="1"/>
  <c r="AI453" i="1" s="1"/>
  <c r="AM411" i="1"/>
  <c r="AG411" i="1"/>
  <c r="AG413" i="1"/>
  <c r="AM413" i="1"/>
  <c r="AG412" i="1"/>
  <c r="AM412" i="1"/>
  <c r="N27" i="1"/>
  <c r="N28" i="1" s="1"/>
  <c r="S27" i="1"/>
  <c r="S28" i="1" s="1"/>
  <c r="L85" i="1"/>
  <c r="AM416" i="1"/>
  <c r="AG416" i="1"/>
  <c r="K54" i="1"/>
  <c r="AM417" i="1"/>
  <c r="AG417" i="1"/>
  <c r="AM414" i="1"/>
  <c r="AG414" i="1"/>
  <c r="S195" i="1"/>
  <c r="S196" i="1" s="1"/>
  <c r="L196" i="1"/>
  <c r="N195" i="1"/>
  <c r="N196" i="1" s="1"/>
  <c r="L234" i="1"/>
  <c r="N85" i="1"/>
  <c r="M310" i="1"/>
  <c r="J315" i="1"/>
  <c r="AF407" i="1" s="1"/>
  <c r="K9" i="2" s="1"/>
  <c r="K8" i="2" s="1"/>
  <c r="R310" i="1"/>
  <c r="K310" i="1"/>
  <c r="K288" i="1"/>
  <c r="S288" i="1"/>
  <c r="N288" i="1"/>
  <c r="N310" i="1"/>
  <c r="N311" i="1" s="1"/>
  <c r="L315" i="1"/>
  <c r="AF408" i="1" s="1"/>
  <c r="AD420" i="1" s="1"/>
  <c r="S310" i="1"/>
  <c r="S311" i="1" s="1"/>
  <c r="AG418" i="1"/>
  <c r="AM418" i="1"/>
  <c r="N109" i="1"/>
  <c r="N110" i="1" s="1"/>
  <c r="S109" i="1"/>
  <c r="S110" i="1" s="1"/>
  <c r="L166" i="1"/>
  <c r="S352" i="1"/>
  <c r="K352" i="1"/>
  <c r="N352" i="1"/>
  <c r="M195" i="1" l="1"/>
  <c r="R195" i="1"/>
  <c r="AH469" i="1"/>
  <c r="AI469" i="1" s="1"/>
  <c r="AD469" i="1"/>
  <c r="AN469" i="1"/>
  <c r="AO469" i="1" s="1"/>
  <c r="N234" i="1"/>
  <c r="S234" i="1"/>
  <c r="AD453" i="1"/>
  <c r="S85" i="1"/>
  <c r="M315" i="1"/>
  <c r="K315" i="1"/>
  <c r="R315" i="1"/>
  <c r="AF484" i="1"/>
  <c r="AN408" i="1"/>
  <c r="AO408" i="1" s="1"/>
  <c r="AH408" i="1"/>
  <c r="AI408" i="1" s="1"/>
  <c r="AD434" i="1"/>
  <c r="AD467" i="1"/>
  <c r="AD482" i="1"/>
  <c r="N166" i="1"/>
  <c r="S166" i="1"/>
  <c r="N315" i="1"/>
  <c r="N316" i="1" s="1"/>
  <c r="S315" i="1"/>
  <c r="S316" i="1" s="1"/>
  <c r="V315" i="1"/>
  <c r="L354" i="1"/>
  <c r="S354" i="1" l="1"/>
  <c r="N354" i="1"/>
  <c r="AH484" i="1"/>
  <c r="AI484" i="1" s="1"/>
  <c r="AN484" i="1"/>
  <c r="AO484" i="1" s="1"/>
  <c r="AE484" i="1"/>
  <c r="AF490" i="1"/>
  <c r="AF499" i="1" l="1"/>
  <c r="AE490" i="1"/>
  <c r="AF489" i="1"/>
  <c r="AH490" i="1"/>
  <c r="AI490" i="1" s="1"/>
  <c r="AN490" i="1"/>
  <c r="AO490" i="1" s="1"/>
  <c r="AH499" i="1" l="1"/>
  <c r="AI499" i="1" s="1"/>
  <c r="AN499" i="1"/>
  <c r="AO499" i="1" s="1"/>
  <c r="AE499" i="1"/>
  <c r="AH489" i="1"/>
  <c r="AI489" i="1" s="1"/>
  <c r="AE489" i="1"/>
  <c r="AN489" i="1"/>
  <c r="AO489" i="1" s="1"/>
</calcChain>
</file>

<file path=xl/sharedStrings.xml><?xml version="1.0" encoding="utf-8"?>
<sst xmlns="http://schemas.openxmlformats.org/spreadsheetml/2006/main" count="3823" uniqueCount="273">
  <si>
    <t>Véhicules neufs</t>
  </si>
  <si>
    <t xml:space="preserve"> </t>
  </si>
  <si>
    <t>X</t>
  </si>
  <si>
    <t>O</t>
  </si>
  <si>
    <t>U</t>
  </si>
  <si>
    <t>BUDGET  ORIGINAL</t>
  </si>
  <si>
    <t>BUDGET  REVISE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</si>
  <si>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</si>
  <si>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</si>
  <si>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</si>
  <si>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</si>
  <si>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</si>
  <si>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</si>
  <si>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</si>
  <si>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</si>
  <si>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</si>
  <si>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</si>
  <si>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</si>
  <si>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</si>
  <si>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[...]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</si>
  <si>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</si>
  <si>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</si>
  <si>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</si>
  <si>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</si>
  <si>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</si>
  <si>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</si>
  <si>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</si>
  <si>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</si>
  <si>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</si>
  <si>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</si>
  <si>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</si>
  <si>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</si>
  <si>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</si>
  <si>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</si>
  <si>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</si>
  <si>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</si>
  <si>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</si>
  <si>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</si>
  <si>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</si>
  <si>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#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</si>
  <si>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</si>
  <si>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</si>
  <si>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</si>
  <si>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</si>
  <si>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</si>
  <si>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</si>
  <si>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</si>
  <si>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</si>
  <si>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</si>
  <si>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</si>
  <si>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</si>
  <si>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</si>
  <si>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</si>
  <si>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</si>
  <si>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</si>
  <si>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</si>
  <si>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</si>
  <si>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</si>
  <si>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</si>
  <si>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</si>
  <si>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</si>
  <si>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</si>
  <si>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</si>
  <si>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</si>
  <si>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</si>
  <si>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</si>
  <si>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</si>
  <si>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</si>
  <si>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</si>
  <si>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</si>
  <si>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</si>
  <si>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BUDGET  RÉVISÉ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</si>
  <si>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</si>
  <si>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</si>
  <si>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</si>
  <si>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</si>
  <si>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</si>
  <si>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</si>
  <si>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</si>
  <si>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</si>
  <si>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</si>
  <si>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</si>
  <si>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</si>
  <si>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</si>
  <si>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</si>
  <si>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</si>
  <si>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</si>
  <si>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</si>
  <si>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</si>
  <si>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</si>
  <si>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</si>
  <si>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</si>
  <si>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</si>
  <si>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Fournitures d'atelier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</si>
  <si>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</si>
  <si>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</si>
  <si>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</si>
  <si>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</si>
  <si>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</si>
  <si>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</si>
  <si>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</si>
  <si>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</si>
  <si>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</si>
  <si>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</si>
  <si>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</si>
  <si>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</si>
  <si>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</si>
  <si>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</si>
  <si>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</si>
  <si>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</si>
  <si>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</si>
  <si>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</si>
  <si>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</si>
  <si>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</si>
  <si>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</si>
  <si>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</si>
  <si>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</si>
  <si>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</si>
  <si>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</si>
  <si>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</si>
  <si>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</si>
  <si>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</si>
  <si>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</si>
  <si>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</si>
  <si>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</si>
  <si>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</si>
  <si>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</si>
  <si>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</si>
  <si>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</si>
  <si>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</si>
  <si>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</si>
  <si>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</si>
  <si>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</si>
  <si>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</si>
  <si>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</si>
  <si>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</si>
  <si>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</si>
  <si>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</si>
  <si>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</si>
  <si>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</si>
  <si>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</si>
  <si>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</si>
  <si>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</si>
  <si>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</si>
  <si>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</si>
  <si>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</si>
  <si>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</si>
  <si>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</si>
  <si>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</si>
  <si>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</si>
  <si>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#28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</si>
  <si>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</si>
  <si>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</si>
  <si>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</si>
  <si>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</si>
  <si>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</si>
  <si>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</si>
  <si>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</si>
  <si>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</si>
  <si>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</si>
  <si>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</si>
  <si>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</si>
  <si>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</si>
  <si>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</si>
  <si>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</si>
  <si>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</si>
  <si>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</si>
  <si>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</si>
  <si>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</si>
  <si>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</si>
  <si>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</si>
  <si>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</si>
  <si>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</si>
  <si>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</si>
  <si>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</si>
  <si>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</si>
  <si>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</si>
  <si>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</si>
  <si>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</si>
  <si>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</si>
  <si>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</si>
  <si>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</si>
  <si>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</si>
  <si>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</si>
  <si>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</si>
  <si>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</si>
  <si>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</si>
  <si>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Programme neuf 2</t>
  </si>
  <si>
    <t>Facility Fund</t>
  </si>
  <si>
    <t>Pièces recond. MCPA</t>
  </si>
  <si>
    <t>Ventes</t>
  </si>
  <si>
    <t>Profits bruts</t>
  </si>
  <si>
    <t>BAIIA</t>
  </si>
  <si>
    <t>EBIT</t>
  </si>
  <si>
    <t>CONSO</t>
  </si>
  <si>
    <t>TOTAL</t>
  </si>
  <si>
    <t>CTRL</t>
  </si>
  <si>
    <t>BUDGET</t>
  </si>
  <si>
    <t>BUDGET RÉVISÉ</t>
  </si>
  <si>
    <t>ACTUAL</t>
  </si>
  <si>
    <t>LAST YEAR</t>
  </si>
  <si>
    <t>Mitsubishi</t>
  </si>
  <si>
    <t>Mois 1</t>
  </si>
  <si>
    <t>Mois 2</t>
  </si>
  <si>
    <t>Mois 3</t>
  </si>
  <si>
    <t>Quarter</t>
  </si>
  <si>
    <t>Autres marques</t>
  </si>
  <si>
    <t>Revenus d'intérêts Floor plan</t>
  </si>
  <si>
    <t>BAIIA Corpo</t>
  </si>
  <si>
    <t>BMW Sherbrooke</t>
  </si>
  <si>
    <t>NB</t>
  </si>
  <si>
    <t>$</t>
  </si>
  <si>
    <t>ÉCART réel / Budget</t>
  </si>
  <si>
    <t>ECART (réel/ Ann.Préc.)</t>
  </si>
  <si>
    <t>UNFTÉ</t>
  </si>
  <si>
    <t>RBSC neuf</t>
  </si>
  <si>
    <t>$PROFFTS</t>
  </si>
  <si>
    <t>RBSC used</t>
  </si>
  <si>
    <t>Programme 360</t>
  </si>
  <si>
    <t>$Ventes</t>
  </si>
  <si>
    <t>#14</t>
  </si>
  <si>
    <t>#16-17</t>
  </si>
  <si>
    <t>#18</t>
  </si>
  <si>
    <t>#26</t>
  </si>
  <si>
    <t>#27</t>
  </si>
  <si>
    <t>#29</t>
  </si>
  <si>
    <t>#16</t>
  </si>
  <si>
    <t>#52-53</t>
  </si>
  <si>
    <t>#69</t>
  </si>
  <si>
    <t>#71</t>
  </si>
  <si>
    <t>#70</t>
  </si>
  <si>
    <t>#75</t>
  </si>
  <si>
    <t>#78</t>
  </si>
  <si>
    <t>#72-77</t>
  </si>
  <si>
    <t>#76</t>
  </si>
  <si>
    <t>#73</t>
  </si>
  <si>
    <t>#90</t>
  </si>
  <si>
    <t>Impôt exigible</t>
  </si>
  <si>
    <t>Profit Net après impôt</t>
  </si>
  <si>
    <t>Pertes</t>
  </si>
  <si>
    <t>Bonis cadres</t>
  </si>
  <si>
    <t>Autres revenus</t>
  </si>
  <si>
    <t>Provision maladies</t>
  </si>
  <si>
    <t>Francis Pellerin - renouvellement Volks</t>
  </si>
  <si>
    <t>lgm</t>
  </si>
  <si>
    <t>Pas de claims à l'interne, ni réceptionniste temps partiel</t>
  </si>
  <si>
    <t>Livre des ventes + réserve</t>
  </si>
  <si>
    <t>Transport de véhicules</t>
  </si>
  <si>
    <t>Cafe client</t>
  </si>
  <si>
    <t>Ménage pour ménage BMW Canada</t>
  </si>
  <si>
    <t>Freins + link kit</t>
  </si>
  <si>
    <t>Abonnement Openlane Hawkesburry avril à juillet</t>
  </si>
  <si>
    <t>Ajust paiement Q2 2026</t>
  </si>
  <si>
    <t>Ajust claims</t>
  </si>
  <si>
    <t>Dépréciaton pneus courtoisies</t>
  </si>
  <si>
    <t>9.7k André + 3.3k Peachy + 900$ classement</t>
  </si>
  <si>
    <t>Factures service laser</t>
  </si>
  <si>
    <t>Frais retour de pièces</t>
  </si>
  <si>
    <t>2k café, crédit billets avions ?</t>
  </si>
  <si>
    <t>9.7k André + 3.3k Peachy + 900$ classement + 2k ménage supplémentaire</t>
  </si>
  <si>
    <t>Frais retour sur pièces</t>
  </si>
  <si>
    <t xml:space="preserve">Location bouteille oxigene </t>
  </si>
  <si>
    <t>BT 131146 - Batteries 48V - showroom</t>
  </si>
  <si>
    <t>Flat sur 50% des dossiers</t>
  </si>
  <si>
    <t>Claims 3.6k + André 1.5k</t>
  </si>
  <si>
    <t>Formation technicien</t>
  </si>
  <si>
    <t>Formation service</t>
  </si>
  <si>
    <t>Frais rep</t>
  </si>
  <si>
    <t xml:space="preserve">Claims 3.6k </t>
  </si>
  <si>
    <t>Réalisé, Juillet 2026</t>
  </si>
  <si>
    <t>Réalisé, Août 2026</t>
  </si>
  <si>
    <t>Réalisé, Septembre 2026</t>
  </si>
  <si>
    <t>Q3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</si>
</sst>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/mm\/yy_)"/>
    <numFmt numFmtId="165" formatCode="0.0%"/>
    <numFmt numFmtId="166" formatCode="0_)"/>
    <numFmt numFmtId="167" formatCode="_(* #,##0_);_(* \(#,##0\);_(* &quot;-&quot;??_);_(@_)"/>
    <numFmt numFmtId="168" formatCode="_-* #,##0.00\ _$_-;_-* #,##0.00\ _$\-;_-* &quot;-&quot;??\ _$_-;_-@_-"/>
    <numFmt numFmtId="169" formatCode="_-* #,##0.00\ &quot;$&quot;_-;_-* #,##0.00\ &quot;$&quot;\-;_-* &quot;-&quot;??\ &quot;$&quot;_-;_-@_-"/>
    <numFmt numFmtId="170" formatCode="0.00_)"/>
    <numFmt numFmtId="171" formatCode="#,##0\ &quot;$&quot;"/>
    <numFmt numFmtId="172" formatCode="&quot;$&quot;#,##0"/>
  </numFmts>
  <fonts count="40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Arial mt"/>
    </font>
    <font>
      <b/>
      <sz val="28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6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b/>
      <sz val="16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sz val="14"/>
      <name val="Arial"/>
      <family val="2"/>
    </font>
    <font>
      <b/>
      <sz val="12"/>
      <color theme="1"/>
      <name val="Arial mt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sz val="8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2"/>
      <name val="Arial MT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8"/>
      <name val="Arial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3"/>
      <color theme="1"/>
      <name val="Arial mt"/>
    </font>
    <font>
      <sz val="14"/>
      <color theme="1"/>
      <name val="Arial mt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13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indexed="64"/>
      </bottom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indexed="8"/>
      </left>
      <right/>
      <top/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</borders>
  <cellStyleXfs count="16">
    <xf numFmtId="0" fontId="0" fillId="0" borderId="0"/>
    <xf numFmtId="9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3" fillId="0" borderId="0"/>
    <xf numFmtId="0" fontId="31" fillId="0" borderId="0"/>
    <xf numFmtId="168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169" fontId="32" fillId="0" borderId="0" applyFont="0" applyFill="0" applyBorder="0" applyAlignment="0" applyProtection="0"/>
    <xf numFmtId="0" fontId="13" fillId="0" borderId="0"/>
    <xf numFmtId="0" fontId="2" fillId="0" borderId="0"/>
    <xf numFmtId="0" fontId="31" fillId="0" borderId="0"/>
    <xf numFmtId="43" fontId="3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</cellStyleXfs>
  <cellXfs count="516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/>
    <xf numFmtId="0" fontId="9" fillId="0" borderId="0" xfId="0" applyFont="1"/>
    <xf numFmtId="0" fontId="9" fillId="0" borderId="6" xfId="0" applyFont="1" applyBorder="1"/>
    <xf numFmtId="3" fontId="9" fillId="0" borderId="7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/>
    </xf>
    <xf numFmtId="3" fontId="9" fillId="0" borderId="8" xfId="0" applyNumberFormat="1" applyFont="1" applyBorder="1" applyAlignment="1">
      <alignment horizontal="center"/>
    </xf>
    <xf numFmtId="3" fontId="9" fillId="0" borderId="9" xfId="0" applyNumberFormat="1" applyFont="1" applyBorder="1" applyAlignment="1">
      <alignment horizontal="center"/>
    </xf>
    <xf numFmtId="3" fontId="9" fillId="0" borderId="10" xfId="0" applyNumberFormat="1" applyFont="1" applyBorder="1" applyAlignment="1">
      <alignment horizontal="center"/>
    </xf>
    <xf numFmtId="0" fontId="9" fillId="0" borderId="11" xfId="0" applyFont="1" applyBorder="1"/>
    <xf numFmtId="3" fontId="9" fillId="0" borderId="12" xfId="0" applyNumberFormat="1" applyFont="1" applyBorder="1" applyAlignment="1">
      <alignment horizontal="center"/>
    </xf>
    <xf numFmtId="3" fontId="9" fillId="0" borderId="13" xfId="0" applyNumberFormat="1" applyFont="1" applyBorder="1"/>
    <xf numFmtId="0" fontId="9" fillId="0" borderId="14" xfId="0" applyFont="1" applyBorder="1"/>
    <xf numFmtId="3" fontId="9" fillId="0" borderId="12" xfId="0" applyNumberFormat="1" applyFont="1" applyBorder="1" applyAlignment="1">
      <alignment horizontal="right"/>
    </xf>
    <xf numFmtId="3" fontId="9" fillId="0" borderId="15" xfId="0" applyNumberFormat="1" applyFont="1" applyBorder="1"/>
    <xf numFmtId="3" fontId="9" fillId="0" borderId="14" xfId="0" applyNumberFormat="1" applyFont="1" applyBorder="1" applyAlignment="1">
      <alignment horizontal="center"/>
    </xf>
    <xf numFmtId="3" fontId="9" fillId="0" borderId="16" xfId="0" applyNumberFormat="1" applyFont="1" applyBorder="1" applyAlignment="1">
      <alignment horizontal="center"/>
    </xf>
    <xf numFmtId="3" fontId="9" fillId="0" borderId="17" xfId="0" applyNumberFormat="1" applyFont="1" applyBorder="1" applyAlignment="1">
      <alignment horizontal="center"/>
    </xf>
    <xf numFmtId="0" fontId="9" fillId="0" borderId="18" xfId="0" applyFont="1" applyBorder="1"/>
    <xf numFmtId="3" fontId="9" fillId="0" borderId="0" xfId="0" applyNumberFormat="1" applyFont="1"/>
    <xf numFmtId="3" fontId="9" fillId="0" borderId="9" xfId="0" applyNumberFormat="1" applyFont="1" applyBorder="1"/>
    <xf numFmtId="3" fontId="12" fillId="0" borderId="8" xfId="0" applyNumberFormat="1" applyFont="1" applyBorder="1"/>
    <xf numFmtId="3" fontId="9" fillId="0" borderId="8" xfId="0" applyNumberFormat="1" applyFont="1" applyBorder="1"/>
    <xf numFmtId="3" fontId="9" fillId="0" borderId="10" xfId="0" applyNumberFormat="1" applyFont="1" applyBorder="1"/>
    <xf numFmtId="0" fontId="10" fillId="0" borderId="6" xfId="0" applyFont="1" applyBorder="1"/>
    <xf numFmtId="3" fontId="10" fillId="0" borderId="7" xfId="0" applyNumberFormat="1" applyFont="1" applyBorder="1"/>
    <xf numFmtId="3" fontId="10" fillId="0" borderId="19" xfId="0" applyNumberFormat="1" applyFont="1" applyBorder="1"/>
    <xf numFmtId="3" fontId="10" fillId="0" borderId="20" xfId="0" applyNumberFormat="1" applyFont="1" applyBorder="1"/>
    <xf numFmtId="3" fontId="10" fillId="0" borderId="21" xfId="0" applyNumberFormat="1" applyFont="1" applyBorder="1"/>
    <xf numFmtId="0" fontId="9" fillId="0" borderId="8" xfId="0" applyFont="1" applyBorder="1"/>
    <xf numFmtId="0" fontId="9" fillId="0" borderId="9" xfId="0" applyFont="1" applyBorder="1"/>
    <xf numFmtId="165" fontId="10" fillId="0" borderId="9" xfId="0" applyNumberFormat="1" applyFont="1" applyBorder="1"/>
    <xf numFmtId="165" fontId="10" fillId="0" borderId="8" xfId="0" applyNumberFormat="1" applyFont="1" applyBorder="1"/>
    <xf numFmtId="165" fontId="10" fillId="0" borderId="10" xfId="0" applyNumberFormat="1" applyFont="1" applyBorder="1"/>
    <xf numFmtId="0" fontId="10" fillId="0" borderId="22" xfId="0" applyFont="1" applyBorder="1"/>
    <xf numFmtId="3" fontId="9" fillId="0" borderId="23" xfId="0" applyNumberFormat="1" applyFont="1" applyBorder="1"/>
    <xf numFmtId="3" fontId="9" fillId="0" borderId="12" xfId="0" applyNumberFormat="1" applyFont="1" applyBorder="1"/>
    <xf numFmtId="3" fontId="9" fillId="0" borderId="16" xfId="0" applyNumberFormat="1" applyFont="1" applyBorder="1"/>
    <xf numFmtId="3" fontId="10" fillId="0" borderId="14" xfId="0" applyNumberFormat="1" applyFont="1" applyBorder="1"/>
    <xf numFmtId="3" fontId="10" fillId="0" borderId="12" xfId="0" applyNumberFormat="1" applyFont="1" applyBorder="1"/>
    <xf numFmtId="3" fontId="9" fillId="0" borderId="14" xfId="0" applyNumberFormat="1" applyFont="1" applyBorder="1"/>
    <xf numFmtId="3" fontId="9" fillId="0" borderId="17" xfId="0" applyNumberFormat="1" applyFont="1" applyBorder="1"/>
    <xf numFmtId="0" fontId="10" fillId="0" borderId="18" xfId="0" applyFont="1" applyBorder="1"/>
    <xf numFmtId="3" fontId="9" fillId="0" borderId="7" xfId="0" applyNumberFormat="1" applyFont="1" applyBorder="1"/>
    <xf numFmtId="3" fontId="9" fillId="0" borderId="19" xfId="0" applyNumberFormat="1" applyFont="1" applyBorder="1"/>
    <xf numFmtId="3" fontId="9" fillId="0" borderId="20" xfId="0" applyNumberFormat="1" applyFont="1" applyBorder="1"/>
    <xf numFmtId="3" fontId="9" fillId="0" borderId="21" xfId="0" applyNumberFormat="1" applyFont="1" applyBorder="1"/>
    <xf numFmtId="3" fontId="10" fillId="0" borderId="9" xfId="0" applyNumberFormat="1" applyFont="1" applyBorder="1"/>
    <xf numFmtId="37" fontId="9" fillId="0" borderId="8" xfId="0" applyNumberFormat="1" applyFont="1" applyBorder="1"/>
    <xf numFmtId="37" fontId="9" fillId="0" borderId="9" xfId="0" applyNumberFormat="1" applyFont="1" applyBorder="1"/>
    <xf numFmtId="0" fontId="9" fillId="0" borderId="10" xfId="0" applyFont="1" applyBorder="1"/>
    <xf numFmtId="0" fontId="10" fillId="2" borderId="24" xfId="0" applyFont="1" applyFill="1" applyBorder="1"/>
    <xf numFmtId="37" fontId="10" fillId="2" borderId="25" xfId="0" applyNumberFormat="1" applyFont="1" applyFill="1" applyBorder="1"/>
    <xf numFmtId="3" fontId="10" fillId="2" borderId="25" xfId="0" applyNumberFormat="1" applyFont="1" applyFill="1" applyBorder="1"/>
    <xf numFmtId="37" fontId="10" fillId="2" borderId="26" xfId="0" applyNumberFormat="1" applyFont="1" applyFill="1" applyBorder="1"/>
    <xf numFmtId="37" fontId="10" fillId="2" borderId="27" xfId="0" applyNumberFormat="1" applyFont="1" applyFill="1" applyBorder="1"/>
    <xf numFmtId="166" fontId="10" fillId="2" borderId="25" xfId="0" applyNumberFormat="1" applyFont="1" applyFill="1" applyBorder="1"/>
    <xf numFmtId="37" fontId="10" fillId="2" borderId="28" xfId="0" applyNumberFormat="1" applyFont="1" applyFill="1" applyBorder="1"/>
    <xf numFmtId="0" fontId="10" fillId="2" borderId="29" xfId="0" applyFont="1" applyFill="1" applyBorder="1"/>
    <xf numFmtId="0" fontId="10" fillId="2" borderId="30" xfId="0" applyFont="1" applyFill="1" applyBorder="1"/>
    <xf numFmtId="0" fontId="10" fillId="2" borderId="31" xfId="0" applyFont="1" applyFill="1" applyBorder="1"/>
    <xf numFmtId="0" fontId="10" fillId="2" borderId="32" xfId="0" applyFont="1" applyFill="1" applyBorder="1"/>
    <xf numFmtId="165" fontId="10" fillId="2" borderId="32" xfId="0" applyNumberFormat="1" applyFont="1" applyFill="1" applyBorder="1"/>
    <xf numFmtId="165" fontId="10" fillId="2" borderId="31" xfId="0" applyNumberFormat="1" applyFont="1" applyFill="1" applyBorder="1"/>
    <xf numFmtId="165" fontId="10" fillId="2" borderId="33" xfId="0" applyNumberFormat="1" applyFont="1" applyFill="1" applyBorder="1"/>
    <xf numFmtId="0" fontId="10" fillId="0" borderId="0" xfId="0" applyFont="1"/>
    <xf numFmtId="0" fontId="10" fillId="0" borderId="8" xfId="0" applyFont="1" applyBorder="1"/>
    <xf numFmtId="0" fontId="10" fillId="0" borderId="9" xfId="0" applyFont="1" applyBorder="1"/>
    <xf numFmtId="0" fontId="10" fillId="0" borderId="18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37" fontId="9" fillId="0" borderId="0" xfId="0" applyNumberFormat="1" applyFont="1"/>
    <xf numFmtId="0" fontId="9" fillId="0" borderId="9" xfId="0" applyFont="1" applyBorder="1" applyAlignment="1">
      <alignment horizontal="right"/>
    </xf>
    <xf numFmtId="165" fontId="9" fillId="0" borderId="9" xfId="1" applyNumberFormat="1" applyFont="1" applyFill="1" applyBorder="1"/>
    <xf numFmtId="37" fontId="9" fillId="0" borderId="10" xfId="0" applyNumberFormat="1" applyFont="1" applyBorder="1"/>
    <xf numFmtId="0" fontId="9" fillId="0" borderId="22" xfId="0" applyFont="1" applyBorder="1"/>
    <xf numFmtId="0" fontId="9" fillId="0" borderId="12" xfId="0" applyFont="1" applyBorder="1" applyAlignment="1">
      <alignment horizontal="right"/>
    </xf>
    <xf numFmtId="37" fontId="9" fillId="0" borderId="12" xfId="0" applyNumberFormat="1" applyFont="1" applyBorder="1"/>
    <xf numFmtId="0" fontId="9" fillId="0" borderId="14" xfId="0" applyFont="1" applyBorder="1" applyAlignment="1">
      <alignment horizontal="right"/>
    </xf>
    <xf numFmtId="37" fontId="9" fillId="0" borderId="15" xfId="0" applyNumberFormat="1" applyFont="1" applyBorder="1"/>
    <xf numFmtId="37" fontId="9" fillId="0" borderId="16" xfId="0" applyNumberFormat="1" applyFont="1" applyBorder="1"/>
    <xf numFmtId="37" fontId="9" fillId="0" borderId="17" xfId="0" applyNumberFormat="1" applyFont="1" applyBorder="1"/>
    <xf numFmtId="0" fontId="10" fillId="2" borderId="34" xfId="0" applyFont="1" applyFill="1" applyBorder="1"/>
    <xf numFmtId="0" fontId="10" fillId="2" borderId="35" xfId="0" applyFont="1" applyFill="1" applyBorder="1" applyAlignment="1">
      <alignment horizontal="center"/>
    </xf>
    <xf numFmtId="165" fontId="10" fillId="2" borderId="35" xfId="0" applyNumberFormat="1" applyFont="1" applyFill="1" applyBorder="1"/>
    <xf numFmtId="37" fontId="10" fillId="2" borderId="36" xfId="0" applyNumberFormat="1" applyFont="1" applyFill="1" applyBorder="1"/>
    <xf numFmtId="0" fontId="10" fillId="2" borderId="37" xfId="0" applyFont="1" applyFill="1" applyBorder="1" applyAlignment="1">
      <alignment horizontal="center"/>
    </xf>
    <xf numFmtId="0" fontId="9" fillId="2" borderId="38" xfId="0" applyFont="1" applyFill="1" applyBorder="1"/>
    <xf numFmtId="37" fontId="10" fillId="2" borderId="35" xfId="0" applyNumberFormat="1" applyFont="1" applyFill="1" applyBorder="1"/>
    <xf numFmtId="0" fontId="9" fillId="2" borderId="37" xfId="0" applyFont="1" applyFill="1" applyBorder="1"/>
    <xf numFmtId="37" fontId="10" fillId="2" borderId="39" xfId="0" applyNumberFormat="1" applyFont="1" applyFill="1" applyBorder="1"/>
    <xf numFmtId="0" fontId="14" fillId="0" borderId="18" xfId="0" applyFont="1" applyBorder="1"/>
    <xf numFmtId="0" fontId="14" fillId="0" borderId="22" xfId="0" applyFont="1" applyBorder="1"/>
    <xf numFmtId="0" fontId="9" fillId="0" borderId="7" xfId="0" applyFont="1" applyBorder="1" applyAlignment="1">
      <alignment horizontal="right"/>
    </xf>
    <xf numFmtId="0" fontId="9" fillId="0" borderId="7" xfId="0" applyFont="1" applyBorder="1"/>
    <xf numFmtId="0" fontId="9" fillId="0" borderId="20" xfId="0" applyFont="1" applyBorder="1" applyAlignment="1">
      <alignment horizontal="right"/>
    </xf>
    <xf numFmtId="0" fontId="9" fillId="0" borderId="20" xfId="0" applyFont="1" applyBorder="1"/>
    <xf numFmtId="3" fontId="9" fillId="0" borderId="40" xfId="0" applyNumberFormat="1" applyFont="1" applyBorder="1"/>
    <xf numFmtId="37" fontId="9" fillId="0" borderId="19" xfId="0" applyNumberFormat="1" applyFont="1" applyBorder="1"/>
    <xf numFmtId="37" fontId="9" fillId="0" borderId="21" xfId="0" applyNumberFormat="1" applyFont="1" applyBorder="1"/>
    <xf numFmtId="0" fontId="9" fillId="0" borderId="12" xfId="0" applyFont="1" applyBorder="1"/>
    <xf numFmtId="37" fontId="10" fillId="0" borderId="0" xfId="0" applyNumberFormat="1" applyFont="1"/>
    <xf numFmtId="37" fontId="10" fillId="2" borderId="16" xfId="0" applyNumberFormat="1" applyFont="1" applyFill="1" applyBorder="1"/>
    <xf numFmtId="37" fontId="10" fillId="2" borderId="17" xfId="0" applyNumberFormat="1" applyFont="1" applyFill="1" applyBorder="1"/>
    <xf numFmtId="0" fontId="10" fillId="3" borderId="18" xfId="0" applyFont="1" applyFill="1" applyBorder="1"/>
    <xf numFmtId="0" fontId="9" fillId="3" borderId="0" xfId="0" applyFont="1" applyFill="1"/>
    <xf numFmtId="0" fontId="10" fillId="3" borderId="0" xfId="0" applyFont="1" applyFill="1"/>
    <xf numFmtId="37" fontId="10" fillId="3" borderId="8" xfId="0" applyNumberFormat="1" applyFont="1" applyFill="1" applyBorder="1"/>
    <xf numFmtId="0" fontId="9" fillId="3" borderId="9" xfId="0" applyFont="1" applyFill="1" applyBorder="1"/>
    <xf numFmtId="0" fontId="9" fillId="3" borderId="14" xfId="0" applyFont="1" applyFill="1" applyBorder="1"/>
    <xf numFmtId="0" fontId="9" fillId="3" borderId="12" xfId="0" applyFont="1" applyFill="1" applyBorder="1"/>
    <xf numFmtId="37" fontId="10" fillId="3" borderId="16" xfId="0" applyNumberFormat="1" applyFont="1" applyFill="1" applyBorder="1"/>
    <xf numFmtId="37" fontId="10" fillId="3" borderId="17" xfId="0" applyNumberFormat="1" applyFont="1" applyFill="1" applyBorder="1"/>
    <xf numFmtId="0" fontId="10" fillId="2" borderId="41" xfId="0" applyFont="1" applyFill="1" applyBorder="1"/>
    <xf numFmtId="0" fontId="9" fillId="2" borderId="42" xfId="0" applyFont="1" applyFill="1" applyBorder="1"/>
    <xf numFmtId="0" fontId="10" fillId="2" borderId="42" xfId="0" applyFont="1" applyFill="1" applyBorder="1"/>
    <xf numFmtId="37" fontId="10" fillId="2" borderId="43" xfId="0" applyNumberFormat="1" applyFont="1" applyFill="1" applyBorder="1"/>
    <xf numFmtId="0" fontId="9" fillId="2" borderId="44" xfId="0" applyFont="1" applyFill="1" applyBorder="1"/>
    <xf numFmtId="37" fontId="10" fillId="2" borderId="45" xfId="0" applyNumberFormat="1" applyFont="1" applyFill="1" applyBorder="1"/>
    <xf numFmtId="0" fontId="15" fillId="0" borderId="0" xfId="0" applyFont="1"/>
    <xf numFmtId="0" fontId="16" fillId="0" borderId="0" xfId="0" applyFont="1"/>
    <xf numFmtId="37" fontId="16" fillId="0" borderId="0" xfId="0" applyNumberFormat="1" applyFont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39" fontId="9" fillId="0" borderId="0" xfId="0" applyNumberFormat="1" applyFont="1"/>
    <xf numFmtId="3" fontId="10" fillId="0" borderId="16" xfId="0" applyNumberFormat="1" applyFont="1" applyBorder="1"/>
    <xf numFmtId="3" fontId="10" fillId="0" borderId="17" xfId="0" applyNumberFormat="1" applyFont="1" applyBorder="1"/>
    <xf numFmtId="166" fontId="9" fillId="0" borderId="0" xfId="0" applyNumberFormat="1" applyFont="1"/>
    <xf numFmtId="165" fontId="17" fillId="4" borderId="46" xfId="0" applyNumberFormat="1" applyFont="1" applyFill="1" applyBorder="1"/>
    <xf numFmtId="37" fontId="9" fillId="0" borderId="13" xfId="0" applyNumberFormat="1" applyFont="1" applyBorder="1"/>
    <xf numFmtId="0" fontId="9" fillId="2" borderId="14" xfId="0" applyFont="1" applyFill="1" applyBorder="1"/>
    <xf numFmtId="165" fontId="9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0" fillId="0" borderId="9" xfId="0" applyFont="1" applyBorder="1" applyAlignment="1">
      <alignment horizontal="center"/>
    </xf>
    <xf numFmtId="0" fontId="9" fillId="2" borderId="42" xfId="0" applyFont="1" applyFill="1" applyBorder="1" applyAlignment="1">
      <alignment horizontal="right"/>
    </xf>
    <xf numFmtId="0" fontId="9" fillId="2" borderId="44" xfId="0" applyFont="1" applyFill="1" applyBorder="1" applyAlignment="1">
      <alignment horizontal="right"/>
    </xf>
    <xf numFmtId="0" fontId="10" fillId="2" borderId="44" xfId="0" applyFont="1" applyFill="1" applyBorder="1"/>
    <xf numFmtId="37" fontId="7" fillId="0" borderId="0" xfId="0" applyNumberFormat="1" applyFont="1"/>
    <xf numFmtId="1" fontId="9" fillId="0" borderId="9" xfId="0" applyNumberFormat="1" applyFont="1" applyBorder="1"/>
    <xf numFmtId="165" fontId="9" fillId="0" borderId="9" xfId="0" applyNumberFormat="1" applyFont="1" applyBorder="1"/>
    <xf numFmtId="165" fontId="9" fillId="0" borderId="8" xfId="0" applyNumberFormat="1" applyFont="1" applyBorder="1"/>
    <xf numFmtId="166" fontId="9" fillId="0" borderId="12" xfId="0" applyNumberFormat="1" applyFont="1" applyBorder="1"/>
    <xf numFmtId="165" fontId="9" fillId="0" borderId="16" xfId="0" applyNumberFormat="1" applyFont="1" applyBorder="1"/>
    <xf numFmtId="37" fontId="9" fillId="0" borderId="14" xfId="0" applyNumberFormat="1" applyFont="1" applyBorder="1"/>
    <xf numFmtId="165" fontId="9" fillId="0" borderId="14" xfId="0" applyNumberFormat="1" applyFont="1" applyBorder="1"/>
    <xf numFmtId="37" fontId="9" fillId="0" borderId="7" xfId="0" applyNumberFormat="1" applyFont="1" applyBorder="1"/>
    <xf numFmtId="37" fontId="9" fillId="0" borderId="20" xfId="0" applyNumberFormat="1" applyFont="1" applyBorder="1"/>
    <xf numFmtId="3" fontId="9" fillId="0" borderId="47" xfId="0" applyNumberFormat="1" applyFont="1" applyBorder="1"/>
    <xf numFmtId="2" fontId="9" fillId="0" borderId="0" xfId="0" applyNumberFormat="1" applyFont="1"/>
    <xf numFmtId="165" fontId="10" fillId="0" borderId="14" xfId="0" applyNumberFormat="1" applyFont="1" applyBorder="1"/>
    <xf numFmtId="165" fontId="10" fillId="0" borderId="16" xfId="0" applyNumberFormat="1" applyFont="1" applyBorder="1"/>
    <xf numFmtId="165" fontId="10" fillId="0" borderId="17" xfId="0" applyNumberFormat="1" applyFont="1" applyBorder="1"/>
    <xf numFmtId="166" fontId="9" fillId="0" borderId="15" xfId="0" applyNumberFormat="1" applyFont="1" applyBorder="1"/>
    <xf numFmtId="165" fontId="9" fillId="0" borderId="13" xfId="0" applyNumberFormat="1" applyFont="1" applyBorder="1"/>
    <xf numFmtId="37" fontId="9" fillId="0" borderId="23" xfId="0" applyNumberFormat="1" applyFont="1" applyBorder="1"/>
    <xf numFmtId="165" fontId="9" fillId="0" borderId="20" xfId="0" applyNumberFormat="1" applyFont="1" applyBorder="1"/>
    <xf numFmtId="166" fontId="10" fillId="0" borderId="0" xfId="0" applyNumberFormat="1" applyFont="1"/>
    <xf numFmtId="37" fontId="10" fillId="0" borderId="9" xfId="0" applyNumberFormat="1" applyFont="1" applyBorder="1"/>
    <xf numFmtId="37" fontId="10" fillId="0" borderId="8" xfId="0" applyNumberFormat="1" applyFont="1" applyBorder="1"/>
    <xf numFmtId="37" fontId="10" fillId="0" borderId="10" xfId="0" applyNumberFormat="1" applyFont="1" applyBorder="1"/>
    <xf numFmtId="0" fontId="10" fillId="0" borderId="12" xfId="0" applyFont="1" applyBorder="1"/>
    <xf numFmtId="166" fontId="10" fillId="0" borderId="12" xfId="0" applyNumberFormat="1" applyFont="1" applyBorder="1"/>
    <xf numFmtId="0" fontId="10" fillId="0" borderId="14" xfId="0" applyFont="1" applyBorder="1"/>
    <xf numFmtId="37" fontId="10" fillId="0" borderId="14" xfId="0" applyNumberFormat="1" applyFont="1" applyBorder="1"/>
    <xf numFmtId="37" fontId="10" fillId="0" borderId="16" xfId="0" applyNumberFormat="1" applyFont="1" applyBorder="1"/>
    <xf numFmtId="37" fontId="10" fillId="0" borderId="17" xfId="0" applyNumberFormat="1" applyFont="1" applyBorder="1"/>
    <xf numFmtId="37" fontId="9" fillId="0" borderId="44" xfId="0" applyNumberFormat="1" applyFont="1" applyBorder="1"/>
    <xf numFmtId="0" fontId="10" fillId="3" borderId="24" xfId="0" applyFont="1" applyFill="1" applyBorder="1"/>
    <xf numFmtId="37" fontId="10" fillId="3" borderId="25" xfId="0" applyNumberFormat="1" applyFont="1" applyFill="1" applyBorder="1"/>
    <xf numFmtId="37" fontId="10" fillId="3" borderId="26" xfId="0" applyNumberFormat="1" applyFont="1" applyFill="1" applyBorder="1"/>
    <xf numFmtId="37" fontId="10" fillId="3" borderId="27" xfId="0" applyNumberFormat="1" applyFont="1" applyFill="1" applyBorder="1"/>
    <xf numFmtId="165" fontId="10" fillId="3" borderId="27" xfId="0" applyNumberFormat="1" applyFont="1" applyFill="1" applyBorder="1"/>
    <xf numFmtId="37" fontId="10" fillId="3" borderId="28" xfId="0" applyNumberFormat="1" applyFont="1" applyFill="1" applyBorder="1"/>
    <xf numFmtId="0" fontId="10" fillId="3" borderId="22" xfId="0" applyFont="1" applyFill="1" applyBorder="1"/>
    <xf numFmtId="37" fontId="10" fillId="3" borderId="12" xfId="0" applyNumberFormat="1" applyFont="1" applyFill="1" applyBorder="1"/>
    <xf numFmtId="165" fontId="10" fillId="3" borderId="16" xfId="0" applyNumberFormat="1" applyFont="1" applyFill="1" applyBorder="1"/>
    <xf numFmtId="37" fontId="10" fillId="3" borderId="14" xfId="0" applyNumberFormat="1" applyFont="1" applyFill="1" applyBorder="1"/>
    <xf numFmtId="37" fontId="10" fillId="0" borderId="7" xfId="0" applyNumberFormat="1" applyFont="1" applyBorder="1"/>
    <xf numFmtId="166" fontId="10" fillId="0" borderId="7" xfId="0" applyNumberFormat="1" applyFont="1" applyBorder="1"/>
    <xf numFmtId="37" fontId="10" fillId="0" borderId="19" xfId="0" applyNumberFormat="1" applyFont="1" applyBorder="1"/>
    <xf numFmtId="37" fontId="10" fillId="0" borderId="20" xfId="0" applyNumberFormat="1" applyFont="1" applyBorder="1"/>
    <xf numFmtId="37" fontId="10" fillId="0" borderId="21" xfId="0" applyNumberFormat="1" applyFont="1" applyBorder="1"/>
    <xf numFmtId="0" fontId="10" fillId="3" borderId="6" xfId="0" applyFont="1" applyFill="1" applyBorder="1"/>
    <xf numFmtId="37" fontId="10" fillId="3" borderId="7" xfId="0" applyNumberFormat="1" applyFont="1" applyFill="1" applyBorder="1"/>
    <xf numFmtId="166" fontId="10" fillId="3" borderId="7" xfId="0" applyNumberFormat="1" applyFont="1" applyFill="1" applyBorder="1"/>
    <xf numFmtId="37" fontId="10" fillId="3" borderId="19" xfId="0" applyNumberFormat="1" applyFont="1" applyFill="1" applyBorder="1"/>
    <xf numFmtId="37" fontId="10" fillId="3" borderId="20" xfId="0" applyNumberFormat="1" applyFont="1" applyFill="1" applyBorder="1"/>
    <xf numFmtId="37" fontId="10" fillId="3" borderId="21" xfId="0" applyNumberFormat="1" applyFont="1" applyFill="1" applyBorder="1"/>
    <xf numFmtId="165" fontId="10" fillId="2" borderId="27" xfId="0" applyNumberFormat="1" applyFont="1" applyFill="1" applyBorder="1"/>
    <xf numFmtId="0" fontId="9" fillId="0" borderId="15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1" fontId="9" fillId="0" borderId="20" xfId="0" applyNumberFormat="1" applyFont="1" applyBorder="1"/>
    <xf numFmtId="2" fontId="9" fillId="0" borderId="12" xfId="0" applyNumberFormat="1" applyFont="1" applyBorder="1"/>
    <xf numFmtId="0" fontId="14" fillId="0" borderId="6" xfId="0" applyFont="1" applyBorder="1"/>
    <xf numFmtId="0" fontId="14" fillId="0" borderId="48" xfId="0" applyFont="1" applyBorder="1"/>
    <xf numFmtId="165" fontId="10" fillId="0" borderId="7" xfId="0" applyNumberFormat="1" applyFont="1" applyBorder="1"/>
    <xf numFmtId="165" fontId="10" fillId="0" borderId="20" xfId="0" applyNumberFormat="1" applyFont="1" applyBorder="1"/>
    <xf numFmtId="0" fontId="9" fillId="0" borderId="16" xfId="0" applyFont="1" applyBorder="1"/>
    <xf numFmtId="0" fontId="12" fillId="0" borderId="12" xfId="0" applyFont="1" applyBorder="1"/>
    <xf numFmtId="165" fontId="9" fillId="0" borderId="15" xfId="0" applyNumberFormat="1" applyFont="1" applyBorder="1"/>
    <xf numFmtId="165" fontId="9" fillId="0" borderId="12" xfId="0" applyNumberFormat="1" applyFont="1" applyBorder="1"/>
    <xf numFmtId="165" fontId="10" fillId="2" borderId="25" xfId="0" applyNumberFormat="1" applyFont="1" applyFill="1" applyBorder="1"/>
    <xf numFmtId="165" fontId="10" fillId="2" borderId="49" xfId="0" applyNumberFormat="1" applyFont="1" applyFill="1" applyBorder="1"/>
    <xf numFmtId="37" fontId="10" fillId="2" borderId="50" xfId="0" applyNumberFormat="1" applyFont="1" applyFill="1" applyBorder="1"/>
    <xf numFmtId="37" fontId="10" fillId="2" borderId="51" xfId="0" applyNumberFormat="1" applyFont="1" applyFill="1" applyBorder="1"/>
    <xf numFmtId="0" fontId="10" fillId="2" borderId="52" xfId="0" applyFont="1" applyFill="1" applyBorder="1"/>
    <xf numFmtId="37" fontId="10" fillId="2" borderId="53" xfId="0" applyNumberFormat="1" applyFont="1" applyFill="1" applyBorder="1"/>
    <xf numFmtId="166" fontId="10" fillId="2" borderId="53" xfId="0" applyNumberFormat="1" applyFont="1" applyFill="1" applyBorder="1"/>
    <xf numFmtId="37" fontId="10" fillId="2" borderId="54" xfId="0" applyNumberFormat="1" applyFont="1" applyFill="1" applyBorder="1"/>
    <xf numFmtId="37" fontId="10" fillId="2" borderId="55" xfId="0" applyNumberFormat="1" applyFont="1" applyFill="1" applyBorder="1"/>
    <xf numFmtId="0" fontId="9" fillId="2" borderId="32" xfId="0" applyFont="1" applyFill="1" applyBorder="1"/>
    <xf numFmtId="0" fontId="12" fillId="0" borderId="56" xfId="0" applyFont="1" applyBorder="1"/>
    <xf numFmtId="0" fontId="14" fillId="0" borderId="11" xfId="0" applyFont="1" applyBorder="1"/>
    <xf numFmtId="0" fontId="9" fillId="0" borderId="42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37" fontId="9" fillId="4" borderId="0" xfId="0" applyNumberFormat="1" applyFont="1" applyFill="1"/>
    <xf numFmtId="165" fontId="10" fillId="2" borderId="0" xfId="0" applyNumberFormat="1" applyFont="1" applyFill="1"/>
    <xf numFmtId="37" fontId="9" fillId="4" borderId="5" xfId="0" applyNumberFormat="1" applyFont="1" applyFill="1" applyBorder="1"/>
    <xf numFmtId="3" fontId="9" fillId="4" borderId="1" xfId="0" applyNumberFormat="1" applyFont="1" applyFill="1" applyBorder="1"/>
    <xf numFmtId="3" fontId="9" fillId="4" borderId="3" xfId="0" applyNumberFormat="1" applyFont="1" applyFill="1" applyBorder="1"/>
    <xf numFmtId="37" fontId="17" fillId="0" borderId="0" xfId="0" applyNumberFormat="1" applyFont="1"/>
    <xf numFmtId="165" fontId="9" fillId="0" borderId="0" xfId="1" applyNumberFormat="1" applyFont="1" applyFill="1" applyBorder="1"/>
    <xf numFmtId="165" fontId="10" fillId="0" borderId="26" xfId="0" applyNumberFormat="1" applyFont="1" applyBorder="1"/>
    <xf numFmtId="0" fontId="12" fillId="0" borderId="0" xfId="0" applyFont="1"/>
    <xf numFmtId="165" fontId="9" fillId="0" borderId="8" xfId="1" applyNumberFormat="1" applyFont="1" applyFill="1" applyBorder="1"/>
    <xf numFmtId="0" fontId="10" fillId="0" borderId="10" xfId="0" applyFont="1" applyBorder="1"/>
    <xf numFmtId="0" fontId="18" fillId="0" borderId="0" xfId="0" applyFont="1"/>
    <xf numFmtId="0" fontId="10" fillId="2" borderId="37" xfId="0" applyFont="1" applyFill="1" applyBorder="1"/>
    <xf numFmtId="0" fontId="10" fillId="2" borderId="57" xfId="0" applyFont="1" applyFill="1" applyBorder="1"/>
    <xf numFmtId="0" fontId="10" fillId="2" borderId="58" xfId="0" applyFont="1" applyFill="1" applyBorder="1"/>
    <xf numFmtId="37" fontId="10" fillId="2" borderId="59" xfId="0" applyNumberFormat="1" applyFont="1" applyFill="1" applyBorder="1"/>
    <xf numFmtId="0" fontId="10" fillId="2" borderId="60" xfId="0" applyFont="1" applyFill="1" applyBorder="1"/>
    <xf numFmtId="0" fontId="9" fillId="2" borderId="60" xfId="0" applyFont="1" applyFill="1" applyBorder="1"/>
    <xf numFmtId="0" fontId="9" fillId="2" borderId="58" xfId="0" applyFont="1" applyFill="1" applyBorder="1"/>
    <xf numFmtId="37" fontId="10" fillId="2" borderId="61" xfId="0" applyNumberFormat="1" applyFont="1" applyFill="1" applyBorder="1"/>
    <xf numFmtId="0" fontId="5" fillId="0" borderId="0" xfId="0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9" fillId="0" borderId="62" xfId="0" applyFont="1" applyBorder="1" applyAlignment="1">
      <alignment horizontal="left"/>
    </xf>
    <xf numFmtId="0" fontId="10" fillId="0" borderId="6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9" fillId="0" borderId="67" xfId="0" applyFont="1" applyBorder="1" applyAlignment="1">
      <alignment horizontal="center"/>
    </xf>
    <xf numFmtId="0" fontId="9" fillId="0" borderId="68" xfId="0" applyFont="1" applyBorder="1" applyAlignment="1">
      <alignment horizontal="center"/>
    </xf>
    <xf numFmtId="0" fontId="9" fillId="0" borderId="69" xfId="0" applyFont="1" applyBorder="1" applyAlignment="1">
      <alignment horizontal="center"/>
    </xf>
    <xf numFmtId="0" fontId="14" fillId="0" borderId="12" xfId="0" applyFont="1" applyBorder="1"/>
    <xf numFmtId="37" fontId="14" fillId="0" borderId="67" xfId="0" applyNumberFormat="1" applyFont="1" applyBorder="1"/>
    <xf numFmtId="37" fontId="14" fillId="0" borderId="68" xfId="0" applyNumberFormat="1" applyFont="1" applyBorder="1"/>
    <xf numFmtId="37" fontId="14" fillId="0" borderId="12" xfId="0" applyNumberFormat="1" applyFont="1" applyBorder="1"/>
    <xf numFmtId="165" fontId="14" fillId="0" borderId="12" xfId="0" applyNumberFormat="1" applyFont="1" applyBorder="1"/>
    <xf numFmtId="37" fontId="14" fillId="0" borderId="69" xfId="0" applyNumberFormat="1" applyFont="1" applyBorder="1"/>
    <xf numFmtId="165" fontId="14" fillId="0" borderId="17" xfId="0" applyNumberFormat="1" applyFont="1" applyBorder="1"/>
    <xf numFmtId="0" fontId="19" fillId="2" borderId="22" xfId="0" applyFont="1" applyFill="1" applyBorder="1"/>
    <xf numFmtId="0" fontId="19" fillId="2" borderId="12" xfId="0" applyFont="1" applyFill="1" applyBorder="1"/>
    <xf numFmtId="37" fontId="19" fillId="2" borderId="67" xfId="0" applyNumberFormat="1" applyFont="1" applyFill="1" applyBorder="1"/>
    <xf numFmtId="37" fontId="19" fillId="2" borderId="68" xfId="0" applyNumberFormat="1" applyFont="1" applyFill="1" applyBorder="1"/>
    <xf numFmtId="37" fontId="19" fillId="2" borderId="12" xfId="0" applyNumberFormat="1" applyFont="1" applyFill="1" applyBorder="1"/>
    <xf numFmtId="165" fontId="19" fillId="2" borderId="12" xfId="0" applyNumberFormat="1" applyFont="1" applyFill="1" applyBorder="1"/>
    <xf numFmtId="37" fontId="19" fillId="2" borderId="69" xfId="0" applyNumberFormat="1" applyFont="1" applyFill="1" applyBorder="1"/>
    <xf numFmtId="165" fontId="19" fillId="2" borderId="17" xfId="0" applyNumberFormat="1" applyFont="1" applyFill="1" applyBorder="1"/>
    <xf numFmtId="0" fontId="19" fillId="0" borderId="18" xfId="0" applyFont="1" applyBorder="1"/>
    <xf numFmtId="0" fontId="14" fillId="0" borderId="0" xfId="0" applyFont="1"/>
    <xf numFmtId="37" fontId="14" fillId="0" borderId="70" xfId="0" applyNumberFormat="1" applyFont="1" applyBorder="1"/>
    <xf numFmtId="37" fontId="14" fillId="0" borderId="71" xfId="0" applyNumberFormat="1" applyFont="1" applyBorder="1"/>
    <xf numFmtId="37" fontId="14" fillId="0" borderId="0" xfId="0" applyNumberFormat="1" applyFont="1"/>
    <xf numFmtId="165" fontId="14" fillId="0" borderId="0" xfId="0" applyNumberFormat="1" applyFont="1"/>
    <xf numFmtId="37" fontId="14" fillId="0" borderId="72" xfId="0" applyNumberFormat="1" applyFont="1" applyBorder="1"/>
    <xf numFmtId="165" fontId="14" fillId="0" borderId="21" xfId="0" applyNumberFormat="1" applyFont="1" applyBorder="1"/>
    <xf numFmtId="0" fontId="14" fillId="0" borderId="0" xfId="0" applyFont="1" applyAlignment="1">
      <alignment horizontal="right"/>
    </xf>
    <xf numFmtId="166" fontId="14" fillId="0" borderId="0" xfId="0" applyNumberFormat="1" applyFont="1"/>
    <xf numFmtId="0" fontId="14" fillId="0" borderId="71" xfId="0" applyFont="1" applyBorder="1"/>
    <xf numFmtId="165" fontId="14" fillId="0" borderId="10" xfId="0" applyNumberFormat="1" applyFont="1" applyBorder="1"/>
    <xf numFmtId="0" fontId="14" fillId="0" borderId="12" xfId="0" applyFont="1" applyBorder="1" applyAlignment="1">
      <alignment horizontal="right"/>
    </xf>
    <xf numFmtId="166" fontId="14" fillId="0" borderId="12" xfId="0" applyNumberFormat="1" applyFont="1" applyBorder="1"/>
    <xf numFmtId="0" fontId="14" fillId="0" borderId="68" xfId="0" applyFont="1" applyBorder="1"/>
    <xf numFmtId="165" fontId="14" fillId="0" borderId="67" xfId="0" applyNumberFormat="1" applyFont="1" applyBorder="1"/>
    <xf numFmtId="165" fontId="14" fillId="0" borderId="73" xfId="0" applyNumberFormat="1" applyFont="1" applyBorder="1"/>
    <xf numFmtId="165" fontId="20" fillId="0" borderId="10" xfId="0" applyNumberFormat="1" applyFont="1" applyBorder="1"/>
    <xf numFmtId="0" fontId="19" fillId="2" borderId="34" xfId="0" applyFont="1" applyFill="1" applyBorder="1"/>
    <xf numFmtId="0" fontId="19" fillId="2" borderId="35" xfId="0" applyFont="1" applyFill="1" applyBorder="1"/>
    <xf numFmtId="165" fontId="19" fillId="2" borderId="35" xfId="0" applyNumberFormat="1" applyFont="1" applyFill="1" applyBorder="1"/>
    <xf numFmtId="37" fontId="19" fillId="2" borderId="74" xfId="0" applyNumberFormat="1" applyFont="1" applyFill="1" applyBorder="1"/>
    <xf numFmtId="165" fontId="19" fillId="2" borderId="38" xfId="0" applyNumberFormat="1" applyFont="1" applyFill="1" applyBorder="1"/>
    <xf numFmtId="0" fontId="19" fillId="2" borderId="38" xfId="0" applyFont="1" applyFill="1" applyBorder="1"/>
    <xf numFmtId="37" fontId="19" fillId="2" borderId="35" xfId="0" applyNumberFormat="1" applyFont="1" applyFill="1" applyBorder="1"/>
    <xf numFmtId="0" fontId="19" fillId="2" borderId="75" xfId="0" applyFont="1" applyFill="1" applyBorder="1"/>
    <xf numFmtId="43" fontId="7" fillId="0" borderId="0" xfId="0" applyNumberFormat="1" applyFont="1"/>
    <xf numFmtId="43" fontId="18" fillId="0" borderId="0" xfId="0" applyNumberFormat="1" applyFont="1"/>
    <xf numFmtId="165" fontId="14" fillId="0" borderId="70" xfId="0" applyNumberFormat="1" applyFont="1" applyBorder="1"/>
    <xf numFmtId="166" fontId="19" fillId="2" borderId="35" xfId="0" applyNumberFormat="1" applyFont="1" applyFill="1" applyBorder="1"/>
    <xf numFmtId="37" fontId="19" fillId="2" borderId="38" xfId="0" applyNumberFormat="1" applyFont="1" applyFill="1" applyBorder="1"/>
    <xf numFmtId="37" fontId="19" fillId="2" borderId="75" xfId="0" applyNumberFormat="1" applyFont="1" applyFill="1" applyBorder="1"/>
    <xf numFmtId="37" fontId="18" fillId="0" borderId="0" xfId="0" applyNumberFormat="1" applyFont="1"/>
    <xf numFmtId="0" fontId="14" fillId="0" borderId="7" xfId="0" applyFont="1" applyBorder="1" applyAlignment="1">
      <alignment horizontal="right"/>
    </xf>
    <xf numFmtId="0" fontId="14" fillId="0" borderId="7" xfId="0" applyFont="1" applyBorder="1"/>
    <xf numFmtId="37" fontId="14" fillId="0" borderId="76" xfId="0" applyNumberFormat="1" applyFont="1" applyBorder="1"/>
    <xf numFmtId="0" fontId="14" fillId="0" borderId="77" xfId="0" applyFont="1" applyBorder="1"/>
    <xf numFmtId="166" fontId="14" fillId="0" borderId="7" xfId="0" applyNumberFormat="1" applyFont="1" applyBorder="1"/>
    <xf numFmtId="37" fontId="14" fillId="0" borderId="7" xfId="0" applyNumberFormat="1" applyFont="1" applyBorder="1"/>
    <xf numFmtId="165" fontId="14" fillId="0" borderId="7" xfId="0" applyNumberFormat="1" applyFont="1" applyBorder="1"/>
    <xf numFmtId="37" fontId="14" fillId="0" borderId="78" xfId="0" applyNumberFormat="1" applyFont="1" applyBorder="1"/>
    <xf numFmtId="0" fontId="14" fillId="0" borderId="47" xfId="0" applyFont="1" applyBorder="1" applyAlignment="1">
      <alignment horizontal="right"/>
    </xf>
    <xf numFmtId="0" fontId="14" fillId="0" borderId="47" xfId="0" applyFont="1" applyBorder="1"/>
    <xf numFmtId="37" fontId="14" fillId="0" borderId="79" xfId="0" applyNumberFormat="1" applyFont="1" applyBorder="1"/>
    <xf numFmtId="0" fontId="14" fillId="0" borderId="80" xfId="0" applyFont="1" applyBorder="1"/>
    <xf numFmtId="166" fontId="14" fillId="0" borderId="47" xfId="0" applyNumberFormat="1" applyFont="1" applyBorder="1"/>
    <xf numFmtId="37" fontId="14" fillId="0" borderId="80" xfId="0" applyNumberFormat="1" applyFont="1" applyBorder="1"/>
    <xf numFmtId="37" fontId="14" fillId="0" borderId="47" xfId="0" applyNumberFormat="1" applyFont="1" applyBorder="1"/>
    <xf numFmtId="165" fontId="14" fillId="0" borderId="47" xfId="0" applyNumberFormat="1" applyFont="1" applyBorder="1"/>
    <xf numFmtId="37" fontId="14" fillId="0" borderId="81" xfId="0" applyNumberFormat="1" applyFont="1" applyBorder="1"/>
    <xf numFmtId="165" fontId="14" fillId="0" borderId="82" xfId="0" applyNumberFormat="1" applyFont="1" applyBorder="1"/>
    <xf numFmtId="167" fontId="18" fillId="0" borderId="0" xfId="0" applyNumberFormat="1" applyFont="1"/>
    <xf numFmtId="0" fontId="14" fillId="2" borderId="35" xfId="0" applyFont="1" applyFill="1" applyBorder="1"/>
    <xf numFmtId="165" fontId="19" fillId="2" borderId="39" xfId="0" applyNumberFormat="1" applyFont="1" applyFill="1" applyBorder="1"/>
    <xf numFmtId="165" fontId="19" fillId="0" borderId="0" xfId="0" applyNumberFormat="1" applyFont="1"/>
    <xf numFmtId="0" fontId="19" fillId="0" borderId="0" xfId="0" applyFont="1"/>
    <xf numFmtId="0" fontId="18" fillId="3" borderId="0" xfId="0" applyFont="1" applyFill="1"/>
    <xf numFmtId="165" fontId="14" fillId="0" borderId="76" xfId="0" applyNumberFormat="1" applyFont="1" applyBorder="1"/>
    <xf numFmtId="0" fontId="14" fillId="0" borderId="70" xfId="0" applyFont="1" applyBorder="1"/>
    <xf numFmtId="0" fontId="14" fillId="0" borderId="72" xfId="0" applyFont="1" applyBorder="1"/>
    <xf numFmtId="165" fontId="14" fillId="0" borderId="83" xfId="0" applyNumberFormat="1" applyFont="1" applyBorder="1"/>
    <xf numFmtId="165" fontId="19" fillId="0" borderId="7" xfId="0" applyNumberFormat="1" applyFont="1" applyBorder="1"/>
    <xf numFmtId="0" fontId="19" fillId="0" borderId="7" xfId="0" applyFont="1" applyBorder="1"/>
    <xf numFmtId="165" fontId="19" fillId="0" borderId="77" xfId="0" applyNumberFormat="1" applyFont="1" applyBorder="1"/>
    <xf numFmtId="37" fontId="19" fillId="0" borderId="77" xfId="0" applyNumberFormat="1" applyFont="1" applyBorder="1"/>
    <xf numFmtId="37" fontId="14" fillId="0" borderId="84" xfId="0" applyNumberFormat="1" applyFont="1" applyBorder="1"/>
    <xf numFmtId="37" fontId="19" fillId="0" borderId="7" xfId="0" applyNumberFormat="1" applyFont="1" applyBorder="1"/>
    <xf numFmtId="165" fontId="19" fillId="0" borderId="71" xfId="0" applyNumberFormat="1" applyFont="1" applyBorder="1"/>
    <xf numFmtId="37" fontId="19" fillId="0" borderId="71" xfId="0" applyNumberFormat="1" applyFont="1" applyBorder="1"/>
    <xf numFmtId="37" fontId="14" fillId="0" borderId="85" xfId="0" applyNumberFormat="1" applyFont="1" applyBorder="1"/>
    <xf numFmtId="37" fontId="19" fillId="0" borderId="0" xfId="0" applyNumberFormat="1" applyFont="1"/>
    <xf numFmtId="165" fontId="14" fillId="2" borderId="38" xfId="0" applyNumberFormat="1" applyFont="1" applyFill="1" applyBorder="1"/>
    <xf numFmtId="165" fontId="14" fillId="2" borderId="35" xfId="0" applyNumberFormat="1" applyFont="1" applyFill="1" applyBorder="1"/>
    <xf numFmtId="37" fontId="14" fillId="2" borderId="75" xfId="0" applyNumberFormat="1" applyFont="1" applyFill="1" applyBorder="1"/>
    <xf numFmtId="0" fontId="19" fillId="3" borderId="6" xfId="0" applyFont="1" applyFill="1" applyBorder="1"/>
    <xf numFmtId="0" fontId="19" fillId="3" borderId="7" xfId="0" applyFont="1" applyFill="1" applyBorder="1"/>
    <xf numFmtId="37" fontId="19" fillId="3" borderId="7" xfId="0" applyNumberFormat="1" applyFont="1" applyFill="1" applyBorder="1"/>
    <xf numFmtId="37" fontId="14" fillId="3" borderId="76" xfId="0" applyNumberFormat="1" applyFont="1" applyFill="1" applyBorder="1"/>
    <xf numFmtId="0" fontId="14" fillId="3" borderId="7" xfId="0" applyFont="1" applyFill="1" applyBorder="1"/>
    <xf numFmtId="37" fontId="14" fillId="3" borderId="7" xfId="0" applyNumberFormat="1" applyFont="1" applyFill="1" applyBorder="1"/>
    <xf numFmtId="37" fontId="14" fillId="3" borderId="77" xfId="0" applyNumberFormat="1" applyFont="1" applyFill="1" applyBorder="1"/>
    <xf numFmtId="37" fontId="14" fillId="3" borderId="0" xfId="0" applyNumberFormat="1" applyFont="1" applyFill="1"/>
    <xf numFmtId="165" fontId="14" fillId="3" borderId="0" xfId="0" applyNumberFormat="1" applyFont="1" applyFill="1"/>
    <xf numFmtId="165" fontId="14" fillId="3" borderId="77" xfId="0" applyNumberFormat="1" applyFont="1" applyFill="1" applyBorder="1"/>
    <xf numFmtId="165" fontId="14" fillId="3" borderId="7" xfId="0" applyNumberFormat="1" applyFont="1" applyFill="1" applyBorder="1"/>
    <xf numFmtId="37" fontId="14" fillId="3" borderId="78" xfId="0" applyNumberFormat="1" applyFont="1" applyFill="1" applyBorder="1"/>
    <xf numFmtId="165" fontId="14" fillId="0" borderId="45" xfId="0" applyNumberFormat="1" applyFont="1" applyBorder="1"/>
    <xf numFmtId="0" fontId="19" fillId="2" borderId="57" xfId="0" applyFont="1" applyFill="1" applyBorder="1"/>
    <xf numFmtId="0" fontId="19" fillId="2" borderId="58" xfId="0" applyFont="1" applyFill="1" applyBorder="1"/>
    <xf numFmtId="0" fontId="19" fillId="2" borderId="58" xfId="0" applyFont="1" applyFill="1" applyBorder="1" applyAlignment="1">
      <alignment horizontal="center"/>
    </xf>
    <xf numFmtId="165" fontId="19" fillId="2" borderId="58" xfId="0" applyNumberFormat="1" applyFont="1" applyFill="1" applyBorder="1"/>
    <xf numFmtId="37" fontId="19" fillId="2" borderId="86" xfId="0" applyNumberFormat="1" applyFont="1" applyFill="1" applyBorder="1"/>
    <xf numFmtId="37" fontId="19" fillId="2" borderId="58" xfId="0" applyNumberFormat="1" applyFont="1" applyFill="1" applyBorder="1"/>
    <xf numFmtId="37" fontId="19" fillId="2" borderId="87" xfId="0" applyNumberFormat="1" applyFont="1" applyFill="1" applyBorder="1"/>
    <xf numFmtId="165" fontId="19" fillId="2" borderId="88" xfId="0" applyNumberFormat="1" applyFont="1" applyFill="1" applyBorder="1"/>
    <xf numFmtId="0" fontId="19" fillId="2" borderId="87" xfId="0" applyFont="1" applyFill="1" applyBorder="1" applyAlignment="1">
      <alignment horizontal="center"/>
    </xf>
    <xf numFmtId="37" fontId="19" fillId="2" borderId="89" xfId="0" applyNumberFormat="1" applyFont="1" applyFill="1" applyBorder="1"/>
    <xf numFmtId="165" fontId="19" fillId="2" borderId="46" xfId="0" applyNumberFormat="1" applyFont="1" applyFill="1" applyBorder="1"/>
    <xf numFmtId="39" fontId="14" fillId="0" borderId="0" xfId="0" applyNumberFormat="1" applyFont="1"/>
    <xf numFmtId="0" fontId="19" fillId="2" borderId="90" xfId="0" applyFont="1" applyFill="1" applyBorder="1"/>
    <xf numFmtId="0" fontId="19" fillId="2" borderId="91" xfId="0" applyFont="1" applyFill="1" applyBorder="1"/>
    <xf numFmtId="0" fontId="19" fillId="2" borderId="91" xfId="0" applyFont="1" applyFill="1" applyBorder="1" applyAlignment="1">
      <alignment horizontal="center"/>
    </xf>
    <xf numFmtId="165" fontId="19" fillId="2" borderId="91" xfId="0" applyNumberFormat="1" applyFont="1" applyFill="1" applyBorder="1"/>
    <xf numFmtId="37" fontId="19" fillId="2" borderId="92" xfId="0" applyNumberFormat="1" applyFont="1" applyFill="1" applyBorder="1"/>
    <xf numFmtId="37" fontId="19" fillId="2" borderId="91" xfId="0" applyNumberFormat="1" applyFont="1" applyFill="1" applyBorder="1"/>
    <xf numFmtId="37" fontId="19" fillId="2" borderId="93" xfId="0" applyNumberFormat="1" applyFont="1" applyFill="1" applyBorder="1"/>
    <xf numFmtId="37" fontId="19" fillId="2" borderId="94" xfId="0" applyNumberFormat="1" applyFont="1" applyFill="1" applyBorder="1"/>
    <xf numFmtId="37" fontId="19" fillId="2" borderId="63" xfId="0" applyNumberFormat="1" applyFont="1" applyFill="1" applyBorder="1"/>
    <xf numFmtId="165" fontId="19" fillId="2" borderId="66" xfId="0" applyNumberFormat="1" applyFont="1" applyFill="1" applyBorder="1"/>
    <xf numFmtId="0" fontId="18" fillId="0" borderId="18" xfId="0" applyFont="1" applyBorder="1"/>
    <xf numFmtId="37" fontId="18" fillId="0" borderId="70" xfId="0" applyNumberFormat="1" applyFont="1" applyBorder="1"/>
    <xf numFmtId="0" fontId="18" fillId="0" borderId="70" xfId="0" applyFont="1" applyBorder="1"/>
    <xf numFmtId="0" fontId="18" fillId="0" borderId="85" xfId="0" applyFont="1" applyBorder="1"/>
    <xf numFmtId="0" fontId="18" fillId="0" borderId="72" xfId="0" applyFont="1" applyBorder="1"/>
    <xf numFmtId="0" fontId="18" fillId="0" borderId="10" xfId="0" applyFont="1" applyBorder="1"/>
    <xf numFmtId="0" fontId="7" fillId="0" borderId="72" xfId="0" applyFont="1" applyBorder="1"/>
    <xf numFmtId="165" fontId="19" fillId="2" borderId="61" xfId="0" applyNumberFormat="1" applyFont="1" applyFill="1" applyBorder="1"/>
    <xf numFmtId="0" fontId="21" fillId="0" borderId="0" xfId="0" applyFont="1"/>
    <xf numFmtId="37" fontId="21" fillId="0" borderId="0" xfId="0" applyNumberFormat="1" applyFont="1"/>
    <xf numFmtId="0" fontId="21" fillId="3" borderId="0" xfId="0" applyFont="1" applyFill="1"/>
    <xf numFmtId="37" fontId="18" fillId="3" borderId="0" xfId="0" applyNumberFormat="1" applyFont="1" applyFill="1"/>
    <xf numFmtId="0" fontId="22" fillId="3" borderId="0" xfId="0" applyFont="1" applyFill="1"/>
    <xf numFmtId="37" fontId="21" fillId="3" borderId="0" xfId="0" applyNumberFormat="1" applyFont="1" applyFill="1"/>
    <xf numFmtId="0" fontId="23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64" fontId="24" fillId="3" borderId="0" xfId="0" applyNumberFormat="1" applyFont="1" applyFill="1" applyAlignment="1">
      <alignment horizontal="right"/>
    </xf>
    <xf numFmtId="0" fontId="2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24" fillId="3" borderId="0" xfId="0" applyFont="1" applyFill="1" applyAlignment="1">
      <alignment horizontal="center"/>
    </xf>
    <xf numFmtId="0" fontId="24" fillId="3" borderId="0" xfId="0" applyFont="1" applyFill="1"/>
    <xf numFmtId="165" fontId="18" fillId="3" borderId="0" xfId="0" applyNumberFormat="1" applyFont="1" applyFill="1"/>
    <xf numFmtId="9" fontId="18" fillId="3" borderId="0" xfId="0" applyNumberFormat="1" applyFont="1" applyFill="1"/>
    <xf numFmtId="165" fontId="21" fillId="3" borderId="0" xfId="0" applyNumberFormat="1" applyFont="1" applyFill="1"/>
    <xf numFmtId="0" fontId="25" fillId="3" borderId="0" xfId="0" applyFont="1" applyFill="1"/>
    <xf numFmtId="0" fontId="23" fillId="3" borderId="0" xfId="0" applyFont="1" applyFill="1" applyAlignment="1">
      <alignment horizontal="center"/>
    </xf>
    <xf numFmtId="164" fontId="18" fillId="3" borderId="0" xfId="0" applyNumberFormat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24" fillId="3" borderId="0" xfId="0" applyFont="1" applyFill="1" applyAlignment="1">
      <alignment horizontal="left"/>
    </xf>
    <xf numFmtId="0" fontId="27" fillId="3" borderId="0" xfId="0" applyFont="1" applyFill="1"/>
    <xf numFmtId="0" fontId="29" fillId="0" borderId="96" xfId="0" applyFont="1" applyBorder="1" applyAlignment="1">
      <alignment vertical="center"/>
    </xf>
    <xf numFmtId="0" fontId="0" fillId="0" borderId="0" xfId="0" applyAlignment="1">
      <alignment vertical="center"/>
    </xf>
    <xf numFmtId="0" fontId="30" fillId="0" borderId="96" xfId="0" applyFont="1" applyBorder="1" applyAlignment="1">
      <alignment vertical="center"/>
    </xf>
    <xf numFmtId="0" fontId="30" fillId="0" borderId="97" xfId="0" applyFont="1" applyBorder="1" applyAlignment="1">
      <alignment vertical="center"/>
    </xf>
    <xf numFmtId="37" fontId="30" fillId="0" borderId="98" xfId="0" applyNumberFormat="1" applyFont="1" applyBorder="1" applyAlignment="1">
      <alignment horizontal="center" vertical="center"/>
    </xf>
    <xf numFmtId="3" fontId="0" fillId="0" borderId="98" xfId="0" applyNumberFormat="1" applyBorder="1" applyAlignment="1">
      <alignment horizontal="center" vertical="center"/>
    </xf>
    <xf numFmtId="3" fontId="0" fillId="0" borderId="99" xfId="0" applyNumberFormat="1" applyBorder="1" applyAlignment="1">
      <alignment horizontal="center" vertical="center"/>
    </xf>
    <xf numFmtId="3" fontId="0" fillId="0" borderId="100" xfId="0" applyNumberFormat="1" applyBorder="1" applyAlignment="1">
      <alignment horizontal="center" vertical="center"/>
    </xf>
    <xf numFmtId="0" fontId="30" fillId="7" borderId="95" xfId="0" applyFont="1" applyFill="1" applyBorder="1" applyAlignment="1">
      <alignment horizontal="center"/>
    </xf>
    <xf numFmtId="0" fontId="30" fillId="8" borderId="95" xfId="0" applyFont="1" applyFill="1" applyBorder="1" applyAlignment="1">
      <alignment horizontal="center"/>
    </xf>
    <xf numFmtId="0" fontId="30" fillId="5" borderId="95" xfId="0" applyFont="1" applyFill="1" applyBorder="1" applyAlignment="1">
      <alignment horizontal="center"/>
    </xf>
    <xf numFmtId="3" fontId="29" fillId="0" borderId="98" xfId="0" applyNumberFormat="1" applyFont="1" applyBorder="1" applyAlignment="1">
      <alignment horizontal="center" vertical="center"/>
    </xf>
    <xf numFmtId="0" fontId="0" fillId="0" borderId="98" xfId="0" applyBorder="1" applyAlignment="1">
      <alignment vertical="center"/>
    </xf>
    <xf numFmtId="0" fontId="0" fillId="0" borderId="99" xfId="0" applyBorder="1" applyAlignment="1">
      <alignment vertical="center"/>
    </xf>
    <xf numFmtId="0" fontId="0" fillId="0" borderId="100" xfId="0" applyBorder="1" applyAlignment="1">
      <alignment vertical="center"/>
    </xf>
    <xf numFmtId="37" fontId="30" fillId="0" borderId="100" xfId="0" applyNumberFormat="1" applyFont="1" applyBorder="1" applyAlignment="1">
      <alignment horizontal="center" vertical="center"/>
    </xf>
    <xf numFmtId="3" fontId="29" fillId="6" borderId="98" xfId="0" applyNumberFormat="1" applyFont="1" applyFill="1" applyBorder="1" applyAlignment="1">
      <alignment horizontal="center" vertical="center"/>
    </xf>
    <xf numFmtId="3" fontId="0" fillId="6" borderId="98" xfId="0" applyNumberFormat="1" applyFill="1" applyBorder="1" applyAlignment="1">
      <alignment horizontal="center" vertical="center"/>
    </xf>
    <xf numFmtId="3" fontId="0" fillId="6" borderId="99" xfId="0" applyNumberFormat="1" applyFill="1" applyBorder="1" applyAlignment="1">
      <alignment horizontal="center" vertical="center"/>
    </xf>
    <xf numFmtId="3" fontId="0" fillId="6" borderId="100" xfId="0" applyNumberFormat="1" applyFill="1" applyBorder="1" applyAlignment="1">
      <alignment horizontal="center" vertical="center"/>
    </xf>
    <xf numFmtId="0" fontId="30" fillId="6" borderId="95" xfId="0" applyFont="1" applyFill="1" applyBorder="1" applyAlignment="1">
      <alignment horizontal="center"/>
    </xf>
    <xf numFmtId="3" fontId="7" fillId="0" borderId="0" xfId="0" applyNumberFormat="1" applyFont="1"/>
    <xf numFmtId="0" fontId="13" fillId="0" borderId="0" xfId="0" applyFont="1"/>
    <xf numFmtId="0" fontId="34" fillId="0" borderId="0" xfId="0" applyFont="1" applyAlignment="1">
      <alignment horizontal="center"/>
    </xf>
    <xf numFmtId="3" fontId="34" fillId="0" borderId="0" xfId="0" applyNumberFormat="1" applyFont="1" applyAlignment="1">
      <alignment horizontal="center"/>
    </xf>
    <xf numFmtId="39" fontId="10" fillId="3" borderId="12" xfId="0" applyNumberFormat="1" applyFont="1" applyFill="1" applyBorder="1"/>
    <xf numFmtId="0" fontId="19" fillId="2" borderId="101" xfId="0" applyFont="1" applyFill="1" applyBorder="1"/>
    <xf numFmtId="0" fontId="19" fillId="2" borderId="102" xfId="0" applyFont="1" applyFill="1" applyBorder="1"/>
    <xf numFmtId="0" fontId="19" fillId="2" borderId="102" xfId="0" applyFont="1" applyFill="1" applyBorder="1" applyAlignment="1">
      <alignment horizontal="center"/>
    </xf>
    <xf numFmtId="165" fontId="19" fillId="2" borderId="102" xfId="0" applyNumberFormat="1" applyFont="1" applyFill="1" applyBorder="1"/>
    <xf numFmtId="37" fontId="19" fillId="2" borderId="103" xfId="0" applyNumberFormat="1" applyFont="1" applyFill="1" applyBorder="1"/>
    <xf numFmtId="37" fontId="19" fillId="2" borderId="102" xfId="0" applyNumberFormat="1" applyFont="1" applyFill="1" applyBorder="1"/>
    <xf numFmtId="37" fontId="19" fillId="2" borderId="104" xfId="0" applyNumberFormat="1" applyFont="1" applyFill="1" applyBorder="1"/>
    <xf numFmtId="37" fontId="19" fillId="2" borderId="105" xfId="0" applyNumberFormat="1" applyFont="1" applyFill="1" applyBorder="1"/>
    <xf numFmtId="165" fontId="19" fillId="2" borderId="106" xfId="0" applyNumberFormat="1" applyFont="1" applyFill="1" applyBorder="1"/>
    <xf numFmtId="170" fontId="9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/>
    <xf numFmtId="0" fontId="8" fillId="0" borderId="0" xfId="0" quotePrefix="1" applyFont="1"/>
    <xf numFmtId="3" fontId="9" fillId="0" borderId="107" xfId="0" applyNumberFormat="1" applyFont="1" applyBorder="1"/>
    <xf numFmtId="3" fontId="9" fillId="0" borderId="108" xfId="0" applyNumberFormat="1" applyFont="1" applyBorder="1"/>
    <xf numFmtId="3" fontId="9" fillId="0" borderId="109" xfId="0" applyNumberFormat="1" applyFont="1" applyBorder="1"/>
    <xf numFmtId="0" fontId="9" fillId="0" borderId="0" xfId="0" quotePrefix="1" applyFont="1"/>
    <xf numFmtId="0" fontId="9" fillId="2" borderId="110" xfId="0" applyFont="1" applyFill="1" applyBorder="1"/>
    <xf numFmtId="37" fontId="10" fillId="2" borderId="111" xfId="0" applyNumberFormat="1" applyFont="1" applyFill="1" applyBorder="1"/>
    <xf numFmtId="39" fontId="12" fillId="0" borderId="112" xfId="0" applyNumberFormat="1" applyFont="1" applyBorder="1"/>
    <xf numFmtId="2" fontId="10" fillId="0" borderId="8" xfId="0" applyNumberFormat="1" applyFont="1" applyBorder="1"/>
    <xf numFmtId="0" fontId="9" fillId="0" borderId="23" xfId="0" applyFont="1" applyBorder="1"/>
    <xf numFmtId="0" fontId="9" fillId="0" borderId="15" xfId="0" applyFont="1" applyBorder="1"/>
    <xf numFmtId="37" fontId="9" fillId="0" borderId="73" xfId="0" applyNumberFormat="1" applyFont="1" applyBorder="1"/>
    <xf numFmtId="10" fontId="9" fillId="0" borderId="8" xfId="0" applyNumberFormat="1" applyFont="1" applyBorder="1"/>
    <xf numFmtId="0" fontId="9" fillId="0" borderId="13" xfId="0" applyFont="1" applyBorder="1" applyAlignment="1">
      <alignment horizontal="center"/>
    </xf>
    <xf numFmtId="1" fontId="0" fillId="0" borderId="0" xfId="0" applyNumberFormat="1"/>
    <xf numFmtId="171" fontId="0" fillId="0" borderId="0" xfId="0" applyNumberFormat="1"/>
    <xf numFmtId="10" fontId="18" fillId="0" borderId="0" xfId="0" applyNumberFormat="1" applyFont="1"/>
    <xf numFmtId="1" fontId="18" fillId="0" borderId="0" xfId="0" applyNumberFormat="1" applyFont="1"/>
    <xf numFmtId="10" fontId="18" fillId="0" borderId="0" xfId="0" applyNumberFormat="1" applyFont="1" applyAlignment="1">
      <alignment horizontal="center"/>
    </xf>
    <xf numFmtId="171" fontId="18" fillId="0" borderId="0" xfId="0" applyNumberFormat="1" applyFont="1"/>
    <xf numFmtId="1" fontId="21" fillId="0" borderId="0" xfId="0" applyNumberFormat="1" applyFont="1"/>
    <xf numFmtId="10" fontId="21" fillId="0" borderId="0" xfId="0" applyNumberFormat="1" applyFont="1"/>
    <xf numFmtId="171" fontId="21" fillId="0" borderId="0" xfId="0" applyNumberFormat="1" applyFont="1"/>
    <xf numFmtId="3" fontId="37" fillId="0" borderId="0" xfId="0" applyNumberFormat="1" applyFont="1"/>
    <xf numFmtId="3" fontId="18" fillId="0" borderId="0" xfId="0" applyNumberFormat="1" applyFont="1"/>
    <xf numFmtId="10" fontId="18" fillId="0" borderId="0" xfId="0" quotePrefix="1" applyNumberFormat="1" applyFont="1"/>
    <xf numFmtId="1" fontId="18" fillId="0" borderId="0" xfId="0" quotePrefix="1" applyNumberFormat="1" applyFont="1"/>
    <xf numFmtId="0" fontId="18" fillId="0" borderId="0" xfId="0" quotePrefix="1" applyFont="1"/>
    <xf numFmtId="165" fontId="19" fillId="2" borderId="86" xfId="0" applyNumberFormat="1" applyFont="1" applyFill="1" applyBorder="1"/>
    <xf numFmtId="10" fontId="19" fillId="0" borderId="0" xfId="0" applyNumberFormat="1" applyFont="1"/>
    <xf numFmtId="10" fontId="8" fillId="0" borderId="0" xfId="0" applyNumberFormat="1" applyFont="1"/>
    <xf numFmtId="37" fontId="8" fillId="0" borderId="0" xfId="0" applyNumberFormat="1" applyFont="1"/>
    <xf numFmtId="1" fontId="9" fillId="0" borderId="0" xfId="0" applyNumberFormat="1" applyFont="1"/>
    <xf numFmtId="1" fontId="9" fillId="0" borderId="12" xfId="0" applyNumberFormat="1" applyFont="1" applyBorder="1"/>
    <xf numFmtId="1" fontId="9" fillId="0" borderId="7" xfId="0" applyNumberFormat="1" applyFont="1" applyBorder="1"/>
    <xf numFmtId="165" fontId="19" fillId="2" borderId="103" xfId="0" applyNumberFormat="1" applyFont="1" applyFill="1" applyBorder="1"/>
    <xf numFmtId="0" fontId="38" fillId="0" borderId="0" xfId="0" applyFont="1"/>
    <xf numFmtId="0" fontId="10" fillId="0" borderId="11" xfId="0" applyFont="1" applyBorder="1"/>
    <xf numFmtId="3" fontId="9" fillId="0" borderId="73" xfId="0" applyNumberFormat="1" applyFont="1" applyBorder="1"/>
    <xf numFmtId="172" fontId="38" fillId="0" borderId="0" xfId="0" quotePrefix="1" applyNumberFormat="1" applyFont="1"/>
    <xf numFmtId="10" fontId="7" fillId="0" borderId="0" xfId="0" applyNumberFormat="1" applyFont="1"/>
    <xf numFmtId="0" fontId="18" fillId="9" borderId="0" xfId="0" applyFont="1" applyFill="1"/>
    <xf numFmtId="0" fontId="38" fillId="0" borderId="0" xfId="0" quotePrefix="1" applyFont="1"/>
    <xf numFmtId="0" fontId="39" fillId="0" borderId="0" xfId="0" applyFont="1"/>
    <xf numFmtId="37" fontId="39" fillId="0" borderId="0" xfId="0" applyNumberFormat="1" applyFont="1"/>
    <xf numFmtId="37" fontId="14" fillId="10" borderId="79" xfId="0" applyNumberFormat="1" applyFont="1" applyFill="1" applyBorder="1"/>
    <xf numFmtId="0" fontId="30" fillId="7" borderId="95" xfId="0" applyFont="1" applyFill="1" applyBorder="1" applyAlignment="1">
      <alignment horizontal="center" vertical="center"/>
    </xf>
    <xf numFmtId="0" fontId="30" fillId="8" borderId="95" xfId="0" applyFont="1" applyFill="1" applyBorder="1" applyAlignment="1">
      <alignment horizontal="center" vertical="center"/>
    </xf>
    <xf numFmtId="0" fontId="30" fillId="6" borderId="95" xfId="0" applyFont="1" applyFill="1" applyBorder="1" applyAlignment="1">
      <alignment horizontal="center" vertical="center"/>
    </xf>
    <xf numFmtId="0" fontId="30" fillId="5" borderId="95" xfId="0" applyFont="1" applyFill="1" applyBorder="1" applyAlignment="1">
      <alignment horizontal="center" vertical="center"/>
    </xf>
    <xf numFmtId="0" fontId="10" fillId="0" borderId="49" xfId="0" applyFont="1" applyBorder="1" applyAlignment="1">
      <alignment horizontal="center"/>
    </xf>
    <xf numFmtId="0" fontId="11" fillId="0" borderId="50" xfId="0" applyFont="1" applyBorder="1"/>
    <xf numFmtId="0" fontId="10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4" xfId="0" applyFont="1" applyBorder="1" applyAlignment="1">
      <alignment horizontal="center"/>
    </xf>
    <xf numFmtId="0" fontId="11" fillId="0" borderId="5" xfId="0" applyFont="1" applyBorder="1"/>
    <xf numFmtId="0" fontId="10" fillId="0" borderId="65" xfId="0" applyFont="1" applyBorder="1" applyAlignment="1">
      <alignment horizontal="center" vertical="center"/>
    </xf>
    <xf numFmtId="0" fontId="11" fillId="0" borderId="63" xfId="0" applyFont="1" applyBorder="1"/>
    <xf numFmtId="0" fontId="11" fillId="0" borderId="66" xfId="0" applyFont="1" applyBorder="1"/>
    <xf numFmtId="0" fontId="10" fillId="0" borderId="63" xfId="0" applyFont="1" applyBorder="1" applyAlignment="1">
      <alignment horizontal="center" vertical="center"/>
    </xf>
    <xf numFmtId="0" fontId="11" fillId="0" borderId="64" xfId="0" applyFont="1" applyBorder="1"/>
    <xf numFmtId="3" fontId="8" fillId="0" borderId="0" xfId="0" applyNumberFormat="1" applyFont="1"/>
  </cellXfs>
  <cellStyles count="16">
    <cellStyle name="Milliers 2" xfId="6" xr:uid="{00000000-0005-0000-0000-000001000000}"/>
    <cellStyle name="Milliers 3" xfId="12" xr:uid="{2971D271-07C3-42EA-AF54-CA19A237EB8E}"/>
    <cellStyle name="Monétaire 2" xfId="3" xr:uid="{00000000-0005-0000-0000-000002000000}"/>
    <cellStyle name="Monétaire 3" xfId="8" xr:uid="{00000000-0005-0000-0000-000003000000}"/>
    <cellStyle name="Normal" xfId="0" builtinId="0"/>
    <cellStyle name="Normal 12" xfId="15" xr:uid="{38AAD80B-D2B1-4EDC-AF3A-6BEE5BDF1226}"/>
    <cellStyle name="Normal 2" xfId="2" xr:uid="{00000000-0005-0000-0000-000005000000}"/>
    <cellStyle name="Normal 3" xfId="4" xr:uid="{00000000-0005-0000-0000-000006000000}"/>
    <cellStyle name="Normal 4" xfId="5" xr:uid="{00000000-0005-0000-0000-000007000000}"/>
    <cellStyle name="Normal 5" xfId="10" xr:uid="{51C4BCB6-FF3C-47B5-9E50-8775982480A2}"/>
    <cellStyle name="Normal 6" xfId="11" xr:uid="{C658EC4B-DAA5-46C8-9908-7D394852AE7F}"/>
    <cellStyle name="Normal 7" xfId="9" xr:uid="{22EAD058-5ED6-4E84-8564-A06058AFEAAD}"/>
    <cellStyle name="Normal 8" xfId="13" xr:uid="{E59814D8-4C8E-4B6D-8DEB-9295B6A31C96}"/>
    <cellStyle name="Pourcentage" xfId="1" builtinId="5"/>
    <cellStyle name="Pourcentage 2" xfId="7" xr:uid="{00000000-0005-0000-0000-000009000000}"/>
    <cellStyle name="Pourcentage 3" xfId="14" xr:uid="{B09CCB1C-0232-46FA-AAFA-AA26EA7AA4F5}"/>
  </cellStyles>
  <dxfs count="770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3:Q13"/>
  <sheetViews>
    <sheetView workbookViewId="0">
      <selection activeCell="C4" sqref="C4"/>
    </sheetView>
  </sheetViews>
  <sheetFormatPr baseColWidth="10" defaultRowHeight="14.25"/>
  <cols>
    <col min="1" max="1" width="14.875" customWidth="1"/>
    <col min="2" max="2" width="15.5" bestFit="1" customWidth="1"/>
    <col min="3" max="3" width="12.125" customWidth="1"/>
    <col min="4" max="5" width="11.125" customWidth="1"/>
    <col min="6" max="6" width="11.5" hidden="1" customWidth="1"/>
    <col min="7" max="7" width="12.625" hidden="1" customWidth="1"/>
    <col min="8" max="9" width="11" hidden="1" customWidth="1"/>
    <col min="10" max="10" width="11.5" bestFit="1" customWidth="1"/>
    <col min="11" max="11" width="11.75" customWidth="1"/>
    <col min="12" max="12" width="11" customWidth="1"/>
    <col min="14" max="14" width="11.5" bestFit="1" customWidth="1"/>
  </cols>
  <sheetData>
    <row r="3" spans="1:17" ht="15">
      <c r="B3" t="s">
        <v>205</v>
      </c>
      <c r="C3" s="437" t="s">
        <v>272</v>
      </c>
      <c r="P3" s="438"/>
      <c r="Q3" s="439"/>
    </row>
    <row r="5" spans="1:17" s="416" customFormat="1" ht="16.5" customHeight="1"/>
    <row r="6" spans="1:17" s="416" customFormat="1" ht="16.5" customHeight="1">
      <c r="B6" s="499" t="s">
        <v>197</v>
      </c>
      <c r="C6" s="499"/>
      <c r="D6" s="499"/>
      <c r="E6" s="499"/>
      <c r="F6" s="500" t="s">
        <v>198</v>
      </c>
      <c r="G6" s="500"/>
      <c r="H6" s="500"/>
      <c r="I6" s="500"/>
      <c r="J6" s="501" t="s">
        <v>199</v>
      </c>
      <c r="K6" s="501"/>
      <c r="L6" s="501"/>
      <c r="M6" s="501"/>
      <c r="N6" s="502" t="s">
        <v>200</v>
      </c>
      <c r="O6" s="502"/>
      <c r="P6" s="502"/>
      <c r="Q6" s="502"/>
    </row>
    <row r="7" spans="1:17" s="416" customFormat="1" ht="16.5" customHeight="1">
      <c r="A7"/>
      <c r="B7" s="423" t="s">
        <v>190</v>
      </c>
      <c r="C7" s="423" t="s">
        <v>191</v>
      </c>
      <c r="D7" s="423" t="s">
        <v>192</v>
      </c>
      <c r="E7" s="423" t="s">
        <v>193</v>
      </c>
      <c r="F7" s="424" t="s">
        <v>190</v>
      </c>
      <c r="G7" s="424" t="s">
        <v>191</v>
      </c>
      <c r="H7" s="424" t="s">
        <v>192</v>
      </c>
      <c r="I7" s="424" t="s">
        <v>193</v>
      </c>
      <c r="J7" s="435" t="s">
        <v>190</v>
      </c>
      <c r="K7" s="435" t="s">
        <v>191</v>
      </c>
      <c r="L7" s="435" t="s">
        <v>192</v>
      </c>
      <c r="M7" s="435" t="s">
        <v>193</v>
      </c>
      <c r="N7" s="425" t="s">
        <v>190</v>
      </c>
      <c r="O7" s="425" t="s">
        <v>191</v>
      </c>
      <c r="P7" s="425" t="s">
        <v>192</v>
      </c>
      <c r="Q7" s="425" t="s">
        <v>193</v>
      </c>
    </row>
    <row r="8" spans="1:17" s="416" customFormat="1" ht="16.5" customHeight="1">
      <c r="A8" s="415" t="s">
        <v>196</v>
      </c>
      <c r="B8" s="426" t="e">
        <f t="shared" ref="B8:Q8" si="0">+B9-B10</f>
        <v>#VALUE!</v>
      </c>
      <c r="C8" s="426">
        <f t="shared" si="0"/>
        <v>0</v>
      </c>
      <c r="D8" s="426">
        <f t="shared" si="0"/>
        <v>0</v>
      </c>
      <c r="E8" s="426">
        <f t="shared" si="0"/>
        <v>0</v>
      </c>
      <c r="F8" s="426" t="e">
        <f t="shared" si="0"/>
        <v>#VALUE!</v>
      </c>
      <c r="G8" s="426">
        <f t="shared" si="0"/>
        <v>0</v>
      </c>
      <c r="H8" s="426">
        <f t="shared" si="0"/>
        <v>0</v>
      </c>
      <c r="I8" s="426">
        <f t="shared" si="0"/>
        <v>0</v>
      </c>
      <c r="J8" s="431" t="e">
        <f t="shared" si="0"/>
        <v>#VALUE!</v>
      </c>
      <c r="K8" s="431">
        <f t="shared" si="0"/>
        <v>0</v>
      </c>
      <c r="L8" s="431">
        <f t="shared" si="0"/>
        <v>0</v>
      </c>
      <c r="M8" s="431">
        <f t="shared" si="0"/>
        <v>0</v>
      </c>
      <c r="N8" s="426" t="e">
        <f t="shared" si="0"/>
        <v>#VALUE!</v>
      </c>
      <c r="O8" s="426">
        <f t="shared" si="0"/>
        <v>0</v>
      </c>
      <c r="P8" s="426">
        <f t="shared" si="0"/>
        <v>0</v>
      </c>
      <c r="Q8" s="426">
        <f t="shared" si="0"/>
        <v>0</v>
      </c>
    </row>
    <row r="9" spans="1:17" s="416" customFormat="1" ht="16.5" customHeight="1">
      <c r="A9" s="417" t="s">
        <v>194</v>
      </c>
      <c r="B9" s="419" t="str">
        <f>+Conso!$Z$406</f>
        <v>$TOTAL</v>
      </c>
      <c r="C9" s="419">
        <f>+Conso!$Z$407</f>
        <v>14165095.583268691</v>
      </c>
      <c r="D9" s="419">
        <f>+Conso!$Z$483</f>
        <v>0</v>
      </c>
      <c r="E9" s="419">
        <f>+Conso!$Z$498</f>
        <v>0</v>
      </c>
      <c r="F9" s="419" t="str">
        <f>+Conso!$AC$406</f>
        <v>$TOTAL</v>
      </c>
      <c r="G9" s="419">
        <f>+Conso!$AC$407</f>
        <v>0</v>
      </c>
      <c r="H9" s="419">
        <f>+Conso!$AC$483</f>
        <v>0</v>
      </c>
      <c r="I9" s="419">
        <f>+Conso!$AC$498</f>
        <v>0</v>
      </c>
      <c r="J9" s="419" t="str">
        <f>+Conso!$AF$406</f>
        <v>$TOTAL</v>
      </c>
      <c r="K9" s="419">
        <f>+Conso!$AF$407</f>
        <v>15141214.09</v>
      </c>
      <c r="L9" s="419">
        <f>+Conso!$AF$483</f>
        <v>0</v>
      </c>
      <c r="M9" s="419">
        <f>+Conso!$AF$498</f>
        <v>0</v>
      </c>
      <c r="N9" s="419" t="str">
        <f>+Conso!$AL$406</f>
        <v>$TOTAL</v>
      </c>
      <c r="O9" s="419">
        <f>+Conso!$AL$407</f>
        <v>9932882.1999999899</v>
      </c>
      <c r="P9" s="419">
        <f>+Conso!$AL$483</f>
        <v>0</v>
      </c>
      <c r="Q9" s="419">
        <f>+Conso!$AL$498</f>
        <v>0</v>
      </c>
    </row>
    <row r="10" spans="1:17" s="416" customFormat="1" ht="16.5" customHeight="1">
      <c r="A10" s="418" t="s">
        <v>195</v>
      </c>
      <c r="B10" s="430">
        <f>+SUM(B11:B13)</f>
        <v>0</v>
      </c>
      <c r="C10" s="430">
        <f t="shared" ref="C10:Q10" si="1">+SUM(C11:C13)</f>
        <v>14165095.583268687</v>
      </c>
      <c r="D10" s="430">
        <f t="shared" si="1"/>
        <v>0</v>
      </c>
      <c r="E10" s="430">
        <f t="shared" si="1"/>
        <v>0</v>
      </c>
      <c r="F10" s="430">
        <f t="shared" si="1"/>
        <v>0</v>
      </c>
      <c r="G10" s="430">
        <f t="shared" si="1"/>
        <v>0</v>
      </c>
      <c r="H10" s="430">
        <f t="shared" si="1"/>
        <v>0</v>
      </c>
      <c r="I10" s="430">
        <f t="shared" si="1"/>
        <v>0</v>
      </c>
      <c r="J10" s="430">
        <f t="shared" si="1"/>
        <v>0</v>
      </c>
      <c r="K10" s="430">
        <f t="shared" si="1"/>
        <v>15141214.090000004</v>
      </c>
      <c r="L10" s="430">
        <f t="shared" si="1"/>
        <v>0</v>
      </c>
      <c r="M10" s="430">
        <f t="shared" si="1"/>
        <v>0</v>
      </c>
      <c r="N10" s="430">
        <f t="shared" si="1"/>
        <v>0</v>
      </c>
      <c r="O10" s="430">
        <f t="shared" si="1"/>
        <v>9932882.1999999881</v>
      </c>
      <c r="P10" s="430">
        <f t="shared" si="1"/>
        <v>0</v>
      </c>
      <c r="Q10" s="430">
        <f t="shared" si="1"/>
        <v>0</v>
      </c>
    </row>
    <row r="11" spans="1:17" s="416" customFormat="1" ht="16.5" customHeight="1">
      <c r="A11" s="427" t="s">
        <v>202</v>
      </c>
      <c r="B11" s="420" t="str">
        <f>+'Mois 1'!$Z$406</f>
        <v>$TOTAL</v>
      </c>
      <c r="C11" s="420">
        <f>+'Mois 1'!$Z$407</f>
        <v>4439642.332058968</v>
      </c>
      <c r="D11" s="420">
        <f>+'Mois 1'!$Z$483</f>
        <v>0</v>
      </c>
      <c r="E11" s="420">
        <f>+'Mois 1'!$Z$498</f>
        <v>0</v>
      </c>
      <c r="F11" s="420">
        <f>+'Mois 1'!$AC$406</f>
        <v>0</v>
      </c>
      <c r="G11" s="420">
        <f>+'Mois 1'!$AC$407</f>
        <v>0</v>
      </c>
      <c r="H11" s="420">
        <f>+'Mois 1'!$AC$483</f>
        <v>0</v>
      </c>
      <c r="I11" s="420">
        <f>+'Mois 1'!$AC$498</f>
        <v>0</v>
      </c>
      <c r="J11" s="432" t="str">
        <f>+'Mois 1'!$AF$406</f>
        <v>$TOTAL</v>
      </c>
      <c r="K11" s="432">
        <f>+'Mois 1'!$AF$407</f>
        <v>5110733.7100000009</v>
      </c>
      <c r="L11" s="432">
        <f>+'Mois 1'!$AF$483</f>
        <v>0</v>
      </c>
      <c r="M11" s="432">
        <f>+'Mois 1'!$AF$498</f>
        <v>0</v>
      </c>
      <c r="N11" s="420" t="str">
        <f>+'Mois 1'!$AL$406</f>
        <v>$TOTAL</v>
      </c>
      <c r="O11" s="420">
        <f>+'Mois 1'!$AL$407</f>
        <v>3552385.36</v>
      </c>
      <c r="P11" s="420">
        <f>+'Mois 1'!$AL$483</f>
        <v>0</v>
      </c>
      <c r="Q11" s="420">
        <f>+'Mois 1'!$AL$498</f>
        <v>0</v>
      </c>
    </row>
    <row r="12" spans="1:17" s="416" customFormat="1" ht="16.5" customHeight="1">
      <c r="A12" s="428" t="s">
        <v>203</v>
      </c>
      <c r="B12" s="421" t="str">
        <f>+'Mois 2'!$Z$406</f>
        <v>$TOTAL</v>
      </c>
      <c r="C12" s="421">
        <f>+'Mois 2'!$Z$407</f>
        <v>4445529.2934459886</v>
      </c>
      <c r="D12" s="421">
        <f>+'Mois 2'!$Z$483</f>
        <v>0</v>
      </c>
      <c r="E12" s="421">
        <f>+'Mois 2'!$Z$498</f>
        <v>0</v>
      </c>
      <c r="F12" s="421">
        <f>+'Mois 2'!$AC$406</f>
        <v>0</v>
      </c>
      <c r="G12" s="421">
        <f>+'Mois 2'!$AC$407</f>
        <v>0</v>
      </c>
      <c r="H12" s="421">
        <f>+'Mois 2'!$AC$483</f>
        <v>0</v>
      </c>
      <c r="I12" s="421">
        <f>+'Mois 2'!$AC$498</f>
        <v>0</v>
      </c>
      <c r="J12" s="433" t="str">
        <f>+'Mois 2'!$AF$406</f>
        <v>$TOTAL</v>
      </c>
      <c r="K12" s="433">
        <f>+'Mois 2'!$AF$407</f>
        <v>4686630.53</v>
      </c>
      <c r="L12" s="433">
        <f>+'Mois 2'!$AF$483</f>
        <v>0</v>
      </c>
      <c r="M12" s="433">
        <f>+'Mois 2'!$AF$498</f>
        <v>0</v>
      </c>
      <c r="N12" s="421" t="str">
        <f>+'Mois 2'!$AL$406</f>
        <v>$TOTAL</v>
      </c>
      <c r="O12" s="421">
        <f>+'Mois 2'!$AL$407</f>
        <v>3709615.7899999898</v>
      </c>
      <c r="P12" s="421">
        <f>+'Mois 2'!$AL$483</f>
        <v>0</v>
      </c>
      <c r="Q12" s="421">
        <f>+'Mois 2'!$AL$498</f>
        <v>0</v>
      </c>
    </row>
    <row r="13" spans="1:17">
      <c r="A13" s="429" t="s">
        <v>204</v>
      </c>
      <c r="B13" s="422" t="str">
        <f>+'Mois 3'!$Z$406</f>
        <v>$TOTAL</v>
      </c>
      <c r="C13" s="422">
        <f>+'Mois 3'!$Z$407</f>
        <v>5279923.9577637324</v>
      </c>
      <c r="D13" s="422">
        <f>+'Mois 3'!$Z$483</f>
        <v>0</v>
      </c>
      <c r="E13" s="422">
        <f>+'Mois 3'!$Z$498</f>
        <v>0</v>
      </c>
      <c r="F13" s="422">
        <f>+'Mois 3'!$AC$406</f>
        <v>0</v>
      </c>
      <c r="G13" s="422">
        <f>+'Mois 3'!$AC$407</f>
        <v>0</v>
      </c>
      <c r="H13" s="422">
        <f>+'Mois 3'!$AC$483</f>
        <v>0</v>
      </c>
      <c r="I13" s="422">
        <f>+'Mois 3'!$AC$498</f>
        <v>0</v>
      </c>
      <c r="J13" s="434" t="str">
        <f>+'Mois 3'!$AF$406</f>
        <v>$TOTAL</v>
      </c>
      <c r="K13" s="434">
        <f>+'Mois 3'!$AF$407</f>
        <v>5343849.8500000006</v>
      </c>
      <c r="L13" s="434">
        <f>+'Mois 3'!$AF$483</f>
        <v>0</v>
      </c>
      <c r="M13" s="434">
        <f>+'Mois 3'!$AF$498</f>
        <v>0</v>
      </c>
      <c r="N13" s="422" t="str">
        <f>+'Mois 3'!$AL$406</f>
        <v>$TOTAL</v>
      </c>
      <c r="O13" s="422">
        <f>+'Mois 3'!$AL$407</f>
        <v>2670881.0499999998</v>
      </c>
      <c r="P13" s="422">
        <f>+'Mois 3'!$AL$483</f>
        <v>0</v>
      </c>
      <c r="Q13" s="422">
        <f>+'Mois 3'!$AL$498</f>
        <v>0</v>
      </c>
    </row>
  </sheetData>
  <mergeCells count="4">
    <mergeCell ref="B6:E6"/>
    <mergeCell ref="F6:I6"/>
    <mergeCell ref="J6:M6"/>
    <mergeCell ref="N6:Q6"/>
  </mergeCells>
  <phoneticPr fontId="3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/>
  <dimension ref="A1:BJ703"/>
  <sheetViews>
    <sheetView tabSelected="1" view="pageBreakPreview" topLeftCell="AD448" zoomScale="60" zoomScaleNormal="70" workbookViewId="0">
      <selection activeCell="J507" sqref="J507:K507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tr">
        <f>CONCATENATE("Réalisé"," ",Paramètre!$C$2," ",Paramètre!$C$3)</f>
        <v>Réalisé  Q3 2026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 t="s">
        <v>2</v>
      </c>
      <c r="H2" s="451" t="s">
        <v>3</v>
      </c>
      <c r="I2" s="451" t="s">
        <v>4</v>
      </c>
      <c r="J2" s="451"/>
      <c r="K2" s="451"/>
      <c r="L2" s="451"/>
      <c r="M2" s="452"/>
      <c r="N2" s="452"/>
      <c r="O2" s="451"/>
      <c r="P2" s="451"/>
      <c r="Q2" s="451"/>
      <c r="R2" s="10"/>
      <c r="S2" s="10"/>
      <c r="T2" s="10"/>
      <c r="U2" s="10"/>
    </row>
    <row r="3" spans="1:40" ht="21" thickTop="1">
      <c r="B3" s="11"/>
      <c r="C3" s="12"/>
      <c r="D3" s="505" t="s">
        <v>5</v>
      </c>
      <c r="E3" s="506"/>
      <c r="F3" s="507"/>
      <c r="G3" s="508" t="s">
        <v>6</v>
      </c>
      <c r="H3" s="506"/>
      <c r="I3" s="507"/>
      <c r="J3" s="508" t="s">
        <v>7</v>
      </c>
      <c r="K3" s="506"/>
      <c r="L3" s="507"/>
      <c r="M3" s="508" t="s">
        <v>212</v>
      </c>
      <c r="N3" s="507"/>
      <c r="O3" s="505" t="s">
        <v>8</v>
      </c>
      <c r="P3" s="506"/>
      <c r="Q3" s="507"/>
      <c r="R3" s="503" t="s">
        <v>213</v>
      </c>
      <c r="S3" s="504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 t="s">
        <v>10</v>
      </c>
      <c r="H4" s="16" t="s">
        <v>11</v>
      </c>
      <c r="I4" s="17" t="s">
        <v>12</v>
      </c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13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85" si="0">+$K$1</f>
        <v>Véhicules neufs</v>
      </c>
      <c r="C5" s="20" t="s">
        <v>14</v>
      </c>
      <c r="D5" s="21"/>
      <c r="E5" s="21"/>
      <c r="F5" s="22">
        <f>+SUM(START:END!F5)</f>
        <v>7133479.0196078438</v>
      </c>
      <c r="G5" s="23"/>
      <c r="H5" s="21"/>
      <c r="I5" s="24">
        <f>+SUM(START:END!I5)</f>
        <v>0</v>
      </c>
      <c r="J5" s="23"/>
      <c r="K5" s="25"/>
      <c r="L5" s="22">
        <f>+SUM(START:END!L5)</f>
        <v>8436704.040000001</v>
      </c>
      <c r="M5" s="26"/>
      <c r="N5" s="27"/>
      <c r="O5" s="23"/>
      <c r="P5" s="25"/>
      <c r="Q5" s="22">
        <f>+SUM(START:END!Q5)</f>
        <v>4999737.17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:A85" si="1">+B6&amp;C6</f>
        <v>Véhicules neufsAutos détail</v>
      </c>
      <c r="B6" s="11" t="str">
        <f t="shared" si="0"/>
        <v>Véhicules neufs</v>
      </c>
      <c r="C6" s="29" t="s">
        <v>15</v>
      </c>
      <c r="D6" s="30">
        <f>+SUM(START:END!D6)</f>
        <v>21</v>
      </c>
      <c r="E6" s="30">
        <f>IF(D6=0,0,F6/D6)</f>
        <v>4701.1764705882351</v>
      </c>
      <c r="F6" s="30">
        <f>+SUM(START:END!F6)</f>
        <v>98724.705882352937</v>
      </c>
      <c r="G6" s="31">
        <f>+SUM(START:END!G6)</f>
        <v>0</v>
      </c>
      <c r="H6" s="30">
        <f>IF(G6=0,0,I6/G6)</f>
        <v>0</v>
      </c>
      <c r="I6" s="30">
        <f>+SUM(START:END!I6)</f>
        <v>0</v>
      </c>
      <c r="J6" s="31">
        <f>+SUM(START:END!J6)</f>
        <v>23</v>
      </c>
      <c r="K6" s="30">
        <f>IF(J6=0,0,L6/J6)</f>
        <v>5581.6573913043385</v>
      </c>
      <c r="L6" s="32">
        <f>+SUM(START:END!L6)</f>
        <v>128378.11999999979</v>
      </c>
      <c r="M6" s="31">
        <f t="shared" ref="M6:M12" si="2">J6-D6</f>
        <v>2</v>
      </c>
      <c r="N6" s="33">
        <f t="shared" ref="N6:N12" si="3">L6-F6</f>
        <v>29653.414117646855</v>
      </c>
      <c r="O6" s="31">
        <f>+SUM(START:END!O6)</f>
        <v>19</v>
      </c>
      <c r="P6" s="30">
        <f>IF(O6=0,0,Q6/O6)</f>
        <v>4921.2936842105219</v>
      </c>
      <c r="Q6" s="32">
        <f>+SUM(START:END!Q6)</f>
        <v>93504.579999999914</v>
      </c>
      <c r="R6" s="31">
        <f>J6-O6</f>
        <v>4</v>
      </c>
      <c r="S6" s="34">
        <f>L6-Q6</f>
        <v>34873.539999999877</v>
      </c>
      <c r="T6" s="13"/>
      <c r="U6" s="13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 t="shared" si="1"/>
        <v>Véhicules neufsCamions détail</v>
      </c>
      <c r="B7" s="11" t="str">
        <f t="shared" si="0"/>
        <v>Véhicules neufs</v>
      </c>
      <c r="C7" s="29" t="s">
        <v>16</v>
      </c>
      <c r="D7" s="30">
        <f>+SUM(START:END!D7)</f>
        <v>46</v>
      </c>
      <c r="E7" s="30">
        <f t="shared" ref="E7:E12" si="4">IF(D7=0,0,F7/D7)</f>
        <v>3928.5</v>
      </c>
      <c r="F7" s="30">
        <f>+SUM(START:END!F7)</f>
        <v>180711</v>
      </c>
      <c r="G7" s="31">
        <f>+SUM(START:END!G7)</f>
        <v>0</v>
      </c>
      <c r="H7" s="30">
        <f t="shared" ref="H7:H12" si="5">IF(G7=0,0,I7/G7)</f>
        <v>0</v>
      </c>
      <c r="I7" s="30">
        <f>+SUM(START:END!I7)</f>
        <v>0</v>
      </c>
      <c r="J7" s="31">
        <f>+SUM(START:END!J7)</f>
        <v>56</v>
      </c>
      <c r="K7" s="30">
        <f t="shared" ref="K7:K12" si="6">IF(J7=0,0,L7/J7)</f>
        <v>4318.0326785714351</v>
      </c>
      <c r="L7" s="32">
        <f>+SUM(START:END!L7)</f>
        <v>241809.83000000037</v>
      </c>
      <c r="M7" s="31">
        <f t="shared" si="2"/>
        <v>10</v>
      </c>
      <c r="N7" s="33">
        <f t="shared" si="3"/>
        <v>61098.830000000366</v>
      </c>
      <c r="O7" s="31">
        <f>+SUM(START:END!O7)</f>
        <v>27</v>
      </c>
      <c r="P7" s="30">
        <f t="shared" ref="P7:P12" si="7">IF(O7=0,0,Q7/O7)</f>
        <v>3322.0740740740703</v>
      </c>
      <c r="Q7" s="32">
        <f>+SUM(START:END!Q7)</f>
        <v>89695.999999999898</v>
      </c>
      <c r="R7" s="31">
        <f t="shared" ref="R7:R12" si="8">J7-O7</f>
        <v>29</v>
      </c>
      <c r="S7" s="34">
        <f t="shared" ref="S7:S12" si="9">L7-Q7</f>
        <v>152113.83000000048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 t="shared" si="1"/>
        <v>Véhicules neufsSprinter</v>
      </c>
      <c r="B8" s="11" t="str">
        <f t="shared" si="0"/>
        <v>Véhicules neufs</v>
      </c>
      <c r="C8" s="29" t="s">
        <v>17</v>
      </c>
      <c r="D8" s="30">
        <f>+SUM(START:END!D8)</f>
        <v>0</v>
      </c>
      <c r="E8" s="30">
        <f t="shared" si="4"/>
        <v>0</v>
      </c>
      <c r="F8" s="30">
        <f>+SUM(START:END!F8)</f>
        <v>0</v>
      </c>
      <c r="G8" s="31">
        <f>+SUM(START:END!G8)</f>
        <v>0</v>
      </c>
      <c r="H8" s="30">
        <f t="shared" si="5"/>
        <v>0</v>
      </c>
      <c r="I8" s="30">
        <f>+SUM(START:END!I8)</f>
        <v>0</v>
      </c>
      <c r="J8" s="31">
        <f>+SUM(START:END!J8)</f>
        <v>0</v>
      </c>
      <c r="K8" s="30">
        <f t="shared" si="6"/>
        <v>0</v>
      </c>
      <c r="L8" s="32">
        <f>+SUM(START:END!L8)</f>
        <v>0</v>
      </c>
      <c r="M8" s="31">
        <f t="shared" si="2"/>
        <v>0</v>
      </c>
      <c r="N8" s="33">
        <f t="shared" si="3"/>
        <v>0</v>
      </c>
      <c r="O8" s="31">
        <f>+SUM(START:END!O8)</f>
        <v>0</v>
      </c>
      <c r="P8" s="30">
        <f t="shared" si="7"/>
        <v>0</v>
      </c>
      <c r="Q8" s="32">
        <f>+SUM(START:END!Q8)</f>
        <v>0</v>
      </c>
      <c r="R8" s="31">
        <f t="shared" si="8"/>
        <v>0</v>
      </c>
      <c r="S8" s="34">
        <f t="shared" si="9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 t="shared" si="1"/>
        <v>Véhicules neufsMoto détail</v>
      </c>
      <c r="B9" s="11" t="str">
        <f t="shared" si="0"/>
        <v>Véhicules neufs</v>
      </c>
      <c r="C9" s="29" t="s">
        <v>18</v>
      </c>
      <c r="D9" s="30">
        <f>+SUM(START:END!D9)</f>
        <v>0</v>
      </c>
      <c r="E9" s="30">
        <f t="shared" si="4"/>
        <v>0</v>
      </c>
      <c r="F9" s="30">
        <f>+SUM(START:END!F9)</f>
        <v>0</v>
      </c>
      <c r="G9" s="31">
        <f>+SUM(START:END!G9)</f>
        <v>0</v>
      </c>
      <c r="H9" s="30">
        <f t="shared" si="5"/>
        <v>0</v>
      </c>
      <c r="I9" s="30">
        <f>+SUM(START:END!I9)</f>
        <v>0</v>
      </c>
      <c r="J9" s="31">
        <f>+SUM(START:END!J9)</f>
        <v>0</v>
      </c>
      <c r="K9" s="30">
        <f t="shared" si="6"/>
        <v>0</v>
      </c>
      <c r="L9" s="32">
        <f>+SUM(START:END!L9)</f>
        <v>0</v>
      </c>
      <c r="M9" s="31">
        <f t="shared" si="2"/>
        <v>0</v>
      </c>
      <c r="N9" s="33">
        <f t="shared" si="3"/>
        <v>0</v>
      </c>
      <c r="O9" s="31">
        <f>+SUM(START:END!O9)</f>
        <v>0</v>
      </c>
      <c r="P9" s="30">
        <f t="shared" si="7"/>
        <v>0</v>
      </c>
      <c r="Q9" s="32">
        <f>+SUM(START:END!Q9)</f>
        <v>0</v>
      </c>
      <c r="R9" s="31">
        <f t="shared" si="8"/>
        <v>0</v>
      </c>
      <c r="S9" s="34">
        <f t="shared" si="9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 t="shared" si="1"/>
        <v>Véhicules neufs[...]</v>
      </c>
      <c r="B10" s="11" t="str">
        <f t="shared" si="0"/>
        <v>Véhicules neufs</v>
      </c>
      <c r="C10" s="29" t="s">
        <v>19</v>
      </c>
      <c r="D10" s="30">
        <f>+SUM(START:END!D10)</f>
        <v>0</v>
      </c>
      <c r="E10" s="30">
        <f t="shared" si="4"/>
        <v>0</v>
      </c>
      <c r="F10" s="30">
        <f>+SUM(START:END!F10)</f>
        <v>0</v>
      </c>
      <c r="G10" s="31">
        <f>+SUM(START:END!G10)</f>
        <v>0</v>
      </c>
      <c r="H10" s="30">
        <f t="shared" si="5"/>
        <v>0</v>
      </c>
      <c r="I10" s="30">
        <f>+SUM(START:END!I10)</f>
        <v>0</v>
      </c>
      <c r="J10" s="31">
        <f>+SUM(START:END!J10)</f>
        <v>0</v>
      </c>
      <c r="K10" s="30">
        <f t="shared" si="6"/>
        <v>0</v>
      </c>
      <c r="L10" s="32">
        <f>+SUM(START:END!L10)</f>
        <v>0</v>
      </c>
      <c r="M10" s="31">
        <f t="shared" si="2"/>
        <v>0</v>
      </c>
      <c r="N10" s="33">
        <f t="shared" si="3"/>
        <v>0</v>
      </c>
      <c r="O10" s="31">
        <f>+SUM(START:END!O10)</f>
        <v>0</v>
      </c>
      <c r="P10" s="30">
        <f t="shared" si="7"/>
        <v>0</v>
      </c>
      <c r="Q10" s="32">
        <f>+SUM(START:END!Q10)</f>
        <v>0</v>
      </c>
      <c r="R10" s="31">
        <f t="shared" si="8"/>
        <v>0</v>
      </c>
      <c r="S10" s="34">
        <f t="shared" si="9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 t="shared" si="1"/>
        <v>Véhicules neufs[...]</v>
      </c>
      <c r="B11" s="11" t="str">
        <f t="shared" si="0"/>
        <v>Véhicules neufs</v>
      </c>
      <c r="C11" s="29" t="s">
        <v>19</v>
      </c>
      <c r="D11" s="30">
        <f>+SUM(START:END!D11)</f>
        <v>0</v>
      </c>
      <c r="E11" s="30">
        <f t="shared" si="4"/>
        <v>0</v>
      </c>
      <c r="F11" s="30">
        <f>+SUM(START:END!F11)</f>
        <v>0</v>
      </c>
      <c r="G11" s="31">
        <f>+SUM(START:END!G11)</f>
        <v>0</v>
      </c>
      <c r="H11" s="30">
        <f t="shared" si="5"/>
        <v>0</v>
      </c>
      <c r="I11" s="30">
        <f>+SUM(START:END!I11)</f>
        <v>0</v>
      </c>
      <c r="J11" s="31">
        <f>+SUM(START:END!J11)</f>
        <v>0</v>
      </c>
      <c r="K11" s="30">
        <f t="shared" si="6"/>
        <v>0</v>
      </c>
      <c r="L11" s="32">
        <f>+SUM(START:END!L11)</f>
        <v>0</v>
      </c>
      <c r="M11" s="31">
        <f t="shared" si="2"/>
        <v>0</v>
      </c>
      <c r="N11" s="33">
        <f t="shared" si="3"/>
        <v>0</v>
      </c>
      <c r="O11" s="31">
        <f>+SUM(START:END!O11)</f>
        <v>0</v>
      </c>
      <c r="P11" s="30">
        <f t="shared" si="7"/>
        <v>0</v>
      </c>
      <c r="Q11" s="32">
        <f>+SUM(START:END!Q11)</f>
        <v>0</v>
      </c>
      <c r="R11" s="31">
        <f t="shared" si="8"/>
        <v>0</v>
      </c>
      <c r="S11" s="34">
        <f t="shared" si="9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si="1"/>
        <v>Véhicules neufs[...]</v>
      </c>
      <c r="B12" s="11" t="str">
        <f t="shared" si="0"/>
        <v>Véhicules neufs</v>
      </c>
      <c r="C12" s="29" t="s">
        <v>19</v>
      </c>
      <c r="D12" s="30">
        <f>+SUM(START:END!D12)</f>
        <v>0</v>
      </c>
      <c r="E12" s="30">
        <f t="shared" si="4"/>
        <v>0</v>
      </c>
      <c r="F12" s="30">
        <f>+SUM(START:END!F12)</f>
        <v>0</v>
      </c>
      <c r="G12" s="31">
        <f>+SUM(START:END!G12)</f>
        <v>0</v>
      </c>
      <c r="H12" s="30">
        <f t="shared" si="5"/>
        <v>0</v>
      </c>
      <c r="I12" s="30">
        <f>+SUM(START:END!I12)</f>
        <v>0</v>
      </c>
      <c r="J12" s="31">
        <f>+SUM(START:END!J12)</f>
        <v>0</v>
      </c>
      <c r="K12" s="30">
        <f t="shared" si="6"/>
        <v>0</v>
      </c>
      <c r="L12" s="32">
        <f>+SUM(START:END!L12)</f>
        <v>0</v>
      </c>
      <c r="M12" s="31">
        <f t="shared" si="2"/>
        <v>0</v>
      </c>
      <c r="N12" s="33">
        <f t="shared" si="3"/>
        <v>0</v>
      </c>
      <c r="O12" s="31">
        <f>+SUM(START:END!O12)</f>
        <v>0</v>
      </c>
      <c r="P12" s="30">
        <f t="shared" si="7"/>
        <v>0</v>
      </c>
      <c r="Q12" s="32">
        <f>+SUM(START:END!Q12)</f>
        <v>0</v>
      </c>
      <c r="R12" s="31">
        <f t="shared" si="8"/>
        <v>0</v>
      </c>
      <c r="S12" s="34">
        <f t="shared" si="9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1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67</v>
      </c>
      <c r="E13" s="36">
        <f>IF(D13&lt;=0,0,F13/D13)</f>
        <v>4170.6821773485517</v>
      </c>
      <c r="F13" s="37">
        <f>+SUM(F6:F12)</f>
        <v>279435.70588235295</v>
      </c>
      <c r="G13" s="38">
        <f>+SUM(G6:G12)</f>
        <v>0</v>
      </c>
      <c r="H13" s="36">
        <f>IF(G13&lt;=0,0,I13/G13)</f>
        <v>0</v>
      </c>
      <c r="I13" s="37">
        <f>+SUM(I6:I12)</f>
        <v>0</v>
      </c>
      <c r="J13" s="38">
        <f>+SUM(J6:J12)</f>
        <v>79</v>
      </c>
      <c r="K13" s="36">
        <f>IF(J13&lt;=0,0,L13/J13)</f>
        <v>4685.9234177215212</v>
      </c>
      <c r="L13" s="37">
        <f>+SUM(L6:L12)</f>
        <v>370187.95000000019</v>
      </c>
      <c r="M13" s="38">
        <f>+SUM(M6:M12)</f>
        <v>12</v>
      </c>
      <c r="N13" s="37">
        <f>+SUM(N6:N12)</f>
        <v>90752.24411764722</v>
      </c>
      <c r="O13" s="38">
        <f>+SUM(O6:O12)</f>
        <v>46</v>
      </c>
      <c r="P13" s="36">
        <f>IF(O13&lt;=0,0,Q13/O13)</f>
        <v>3982.6213043478219</v>
      </c>
      <c r="Q13" s="37">
        <f>+SUM(Q6:Q12)</f>
        <v>183200.57999999981</v>
      </c>
      <c r="R13" s="38">
        <f>+SUM(R6:R12)</f>
        <v>33</v>
      </c>
      <c r="S13" s="39">
        <f>+SUM(S6:S12)</f>
        <v>186987.37000000034</v>
      </c>
      <c r="T13" s="13"/>
      <c r="U13" s="13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1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0.17910447761194029</v>
      </c>
      <c r="N14" s="43">
        <f>IF(F13=0,0,N13/F13)</f>
        <v>0.32476967762972786</v>
      </c>
      <c r="O14" s="41"/>
      <c r="P14" s="30"/>
      <c r="Q14" s="40"/>
      <c r="R14" s="42">
        <f>R13/O13</f>
        <v>0.71739130434782605</v>
      </c>
      <c r="S14" s="44">
        <f>IF(Q13=0,0,(S13/Q13))</f>
        <v>1.020670185651162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1"/>
        <v>Véhicules neufsEx-Démos et courtoisies</v>
      </c>
      <c r="B15" s="11" t="str">
        <f t="shared" si="0"/>
        <v>Véhicules neufs</v>
      </c>
      <c r="C15" s="45" t="s">
        <v>21</v>
      </c>
      <c r="D15" s="25">
        <f>+SUM(START:END!D15)</f>
        <v>10</v>
      </c>
      <c r="E15" s="25">
        <f>IF(D15=0,0,F15/D15)</f>
        <v>1200</v>
      </c>
      <c r="F15" s="22">
        <f>+SUM(START:END!F15)</f>
        <v>12000</v>
      </c>
      <c r="G15" s="46">
        <f>+SUM(START:END!G15)</f>
        <v>0</v>
      </c>
      <c r="H15" s="47">
        <f>IF(G15=0,0,I15/G15)</f>
        <v>0</v>
      </c>
      <c r="I15" s="48">
        <f>+SUM(START:END!I15)</f>
        <v>0</v>
      </c>
      <c r="J15" s="49">
        <f>+SUM(START:END!J15)</f>
        <v>9</v>
      </c>
      <c r="K15" s="50">
        <f>IF(J15=0,0,L15/J15)</f>
        <v>937.92555555555418</v>
      </c>
      <c r="L15" s="50">
        <f>+SUM(START:END!L15)</f>
        <v>8441.3299999999872</v>
      </c>
      <c r="M15" s="51">
        <f>J15-D15</f>
        <v>-1</v>
      </c>
      <c r="N15" s="48">
        <f>L15-F15</f>
        <v>-3558.6700000000128</v>
      </c>
      <c r="O15" s="49">
        <f>+SUM(START:END!O15)</f>
        <v>9</v>
      </c>
      <c r="P15" s="50">
        <f>IF(O15=0,0,Q15/O15)</f>
        <v>2338.0988888888864</v>
      </c>
      <c r="Q15" s="50">
        <f>+SUM(START:END!Q15)</f>
        <v>21042.889999999978</v>
      </c>
      <c r="R15" s="51">
        <f>J15-O15</f>
        <v>0</v>
      </c>
      <c r="S15" s="52">
        <f>L15-Q15</f>
        <v>-12601.55999999999</v>
      </c>
      <c r="T15" s="13"/>
      <c r="U15" s="13"/>
      <c r="W15" s="453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1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1"/>
        <v>Véhicules neufsFlottes</v>
      </c>
      <c r="B17" s="11" t="str">
        <f t="shared" si="0"/>
        <v>Véhicules neufs</v>
      </c>
      <c r="C17" s="53" t="s">
        <v>22</v>
      </c>
      <c r="D17" s="30">
        <f>+SUM(START:END!D17)</f>
        <v>5</v>
      </c>
      <c r="E17" s="30">
        <f>IF(D17=0,0,F17/D17)</f>
        <v>750</v>
      </c>
      <c r="F17" s="30">
        <f>+SUM(START:END!F17)</f>
        <v>3750</v>
      </c>
      <c r="G17" s="31">
        <f>+SUM(START:END!G17)</f>
        <v>0</v>
      </c>
      <c r="H17" s="30">
        <f>IF(G17=0,0,I17/G17)</f>
        <v>0</v>
      </c>
      <c r="I17" s="30">
        <f>+SUM(START:END!I17)</f>
        <v>0</v>
      </c>
      <c r="J17" s="51">
        <f>+SUM(START:END!J17)</f>
        <v>5</v>
      </c>
      <c r="K17" s="30">
        <f>IF(J17=0,0,L17/J17)</f>
        <v>1165.8940000000002</v>
      </c>
      <c r="L17" s="33">
        <f>+SUM(START:END!L17)</f>
        <v>5829.4700000000012</v>
      </c>
      <c r="M17" s="51">
        <f>J17-D17</f>
        <v>0</v>
      </c>
      <c r="N17" s="33">
        <f>L17-F17</f>
        <v>2079.4700000000012</v>
      </c>
      <c r="O17" s="51">
        <f>+SUM(START:END!O17)</f>
        <v>1</v>
      </c>
      <c r="P17" s="30">
        <f>IF(O17=0,0,Q17/O17)</f>
        <v>2881.0099999999902</v>
      </c>
      <c r="Q17" s="33">
        <f>+SUM(START:END!Q17)</f>
        <v>2881.0099999999902</v>
      </c>
      <c r="R17" s="31">
        <f>J17-O17</f>
        <v>4</v>
      </c>
      <c r="S17" s="34">
        <f>L17-Q17</f>
        <v>2948.460000000011</v>
      </c>
      <c r="T17" s="13"/>
      <c r="U17" s="13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1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A19" t="str">
        <f t="shared" si="1"/>
        <v>Véhicules neufsRachat bail</v>
      </c>
      <c r="B19" s="11" t="str">
        <f t="shared" si="0"/>
        <v>Véhicules neufs</v>
      </c>
      <c r="C19" s="490" t="s">
        <v>23</v>
      </c>
      <c r="D19" s="25"/>
      <c r="E19" s="25"/>
      <c r="F19" s="22">
        <f>+SUM(START:END!F19)</f>
        <v>0</v>
      </c>
      <c r="G19" s="46"/>
      <c r="H19" s="25"/>
      <c r="I19" s="22">
        <f>+SUM(START:END!I19)</f>
        <v>0</v>
      </c>
      <c r="J19" s="46"/>
      <c r="K19" s="25"/>
      <c r="L19" s="22">
        <f>+SUM(START:END!L19)</f>
        <v>0</v>
      </c>
      <c r="M19" s="46"/>
      <c r="N19" s="22">
        <f>L19-F19</f>
        <v>0</v>
      </c>
      <c r="O19" s="46"/>
      <c r="P19" s="25"/>
      <c r="Q19" s="22">
        <f>+SUM(START:END!Q19)</f>
        <v>0</v>
      </c>
      <c r="R19" s="46">
        <f>O19-K19</f>
        <v>0</v>
      </c>
      <c r="S19" s="491">
        <f>L19-Q19</f>
        <v>0</v>
      </c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1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1"/>
        <v>Véhicules neufsRev. Finances</v>
      </c>
      <c r="B21" s="11" t="str">
        <f t="shared" si="0"/>
        <v>Véhicules neufs</v>
      </c>
      <c r="C21" s="29" t="s">
        <v>24</v>
      </c>
      <c r="D21" s="30">
        <v>0</v>
      </c>
      <c r="E21" s="30">
        <f>IF(D21=0,0,F21/D21)</f>
        <v>0</v>
      </c>
      <c r="F21" s="30">
        <f>+SUM(START:END!F21)</f>
        <v>539</v>
      </c>
      <c r="G21" s="41">
        <v>0</v>
      </c>
      <c r="H21" s="30">
        <f>IF(G21=0,0,I21/G21)</f>
        <v>0</v>
      </c>
      <c r="I21" s="30">
        <f>+SUM(START:END!I21)</f>
        <v>0</v>
      </c>
      <c r="J21" s="31"/>
      <c r="K21" s="30">
        <f>IF(J13=0,0,L21/(J13+J15))</f>
        <v>0</v>
      </c>
      <c r="L21" s="33">
        <f>+SUM(START:END!L21)</f>
        <v>0</v>
      </c>
      <c r="M21" s="31"/>
      <c r="N21" s="33">
        <f>L21-F21</f>
        <v>-539</v>
      </c>
      <c r="O21" s="31"/>
      <c r="P21" s="30">
        <f>IF(O13=0,0,Q21/(O13+O15))</f>
        <v>0</v>
      </c>
      <c r="Q21" s="33">
        <f>+SUM(START:END!Q21)</f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1"/>
        <v>Véhicules neufsRev. Protections</v>
      </c>
      <c r="B22" s="11" t="str">
        <f t="shared" si="0"/>
        <v>Véhicules neufs</v>
      </c>
      <c r="C22" s="29" t="s">
        <v>25</v>
      </c>
      <c r="D22" s="30">
        <v>0</v>
      </c>
      <c r="E22" s="30">
        <f>IF(D22=0,0,F22/D22)</f>
        <v>0</v>
      </c>
      <c r="F22" s="30">
        <f>+SUM(START:END!F22)</f>
        <v>88550</v>
      </c>
      <c r="G22" s="41">
        <v>0</v>
      </c>
      <c r="H22" s="30">
        <f>IF(G22=0,0,I22/G22)</f>
        <v>0</v>
      </c>
      <c r="I22" s="30">
        <f>+SUM(START:END!I22)</f>
        <v>0</v>
      </c>
      <c r="J22" s="31"/>
      <c r="K22" s="30">
        <f>IF(J13=0,0,L22/(J13+J15))</f>
        <v>402.34090909090907</v>
      </c>
      <c r="L22" s="33">
        <f>+SUM(START:END!L22)</f>
        <v>35406</v>
      </c>
      <c r="M22" s="31"/>
      <c r="N22" s="33">
        <f>L22-F22</f>
        <v>-53144</v>
      </c>
      <c r="O22" s="31"/>
      <c r="P22" s="30">
        <f>IF(O13=0,0,Q22/(O13+O15))</f>
        <v>1281.1845454545435</v>
      </c>
      <c r="Q22" s="33">
        <f>+SUM(START:END!Q22)</f>
        <v>70465.149999999892</v>
      </c>
      <c r="R22" s="31">
        <f>O22-K22</f>
        <v>-402.34090909090907</v>
      </c>
      <c r="S22" s="34">
        <f>L22-Q22</f>
        <v>-35059.149999999892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1"/>
        <v>Véhicules neufsRev. Autres</v>
      </c>
      <c r="B23" s="11" t="str">
        <f t="shared" si="0"/>
        <v>Véhicules neufs</v>
      </c>
      <c r="C23" s="29" t="s">
        <v>26</v>
      </c>
      <c r="D23" s="30">
        <v>0</v>
      </c>
      <c r="E23" s="30">
        <f>IF(D23=0,0,F23/D23)</f>
        <v>0</v>
      </c>
      <c r="F23" s="30">
        <f>+SUM(START:END!F23)</f>
        <v>34111</v>
      </c>
      <c r="G23" s="41">
        <v>0</v>
      </c>
      <c r="H23" s="30">
        <f>IF(G23=0,0,I23/G23)</f>
        <v>0</v>
      </c>
      <c r="I23" s="30">
        <f>+SUM(START:END!I23)</f>
        <v>0</v>
      </c>
      <c r="J23" s="31"/>
      <c r="K23" s="30">
        <f>IF(J13=0,0,L23/(J13+J15))</f>
        <v>515.82340909090908</v>
      </c>
      <c r="L23" s="33">
        <f>+SUM(START:END!L23)</f>
        <v>45392.46</v>
      </c>
      <c r="M23" s="51"/>
      <c r="N23" s="33">
        <f>L23-F23</f>
        <v>11281.46</v>
      </c>
      <c r="O23" s="31"/>
      <c r="P23" s="30">
        <f>IF(O13=0,0,Q23/(O13+O15))</f>
        <v>762.66854545454544</v>
      </c>
      <c r="Q23" s="33">
        <f>+SUM(START:END!Q23)</f>
        <v>41946.77</v>
      </c>
      <c r="R23" s="31">
        <f>O23-K23</f>
        <v>-515.82340909090908</v>
      </c>
      <c r="S23" s="34">
        <f>L23-Q23</f>
        <v>3445.6900000000023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1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77</v>
      </c>
      <c r="E24" s="36">
        <f>IF(D24&lt;=0,0,F24/D24)</f>
        <v>1600</v>
      </c>
      <c r="F24" s="37">
        <f>F21+F22+F23</f>
        <v>123200</v>
      </c>
      <c r="G24" s="38">
        <f>+G15+G13</f>
        <v>0</v>
      </c>
      <c r="H24" s="36">
        <f>IF(G24&lt;=0,0,I24/G24)</f>
        <v>0</v>
      </c>
      <c r="I24" s="37">
        <f>I21+I22+I23</f>
        <v>0</v>
      </c>
      <c r="J24" s="38">
        <f>+J15+J13</f>
        <v>88</v>
      </c>
      <c r="K24" s="36">
        <f>IF(J24&lt;=0,0,L24/J24)</f>
        <v>918.16431818181809</v>
      </c>
      <c r="L24" s="37">
        <f>L21+L22+L23</f>
        <v>80798.459999999992</v>
      </c>
      <c r="M24" s="58">
        <f>J24-D24</f>
        <v>11</v>
      </c>
      <c r="N24" s="37">
        <f>L24-F24</f>
        <v>-42401.540000000008</v>
      </c>
      <c r="O24" s="38">
        <f>+O15+O13</f>
        <v>55</v>
      </c>
      <c r="P24" s="36">
        <f>IF(O24&lt;=0,0,Q24/O24)</f>
        <v>2043.8530909090891</v>
      </c>
      <c r="Q24" s="37">
        <f>Q21+Q22+Q23</f>
        <v>112411.9199999999</v>
      </c>
      <c r="R24" s="56"/>
      <c r="S24" s="39">
        <f>L24-Q24</f>
        <v>-31613.459999999905</v>
      </c>
      <c r="T24" s="13"/>
      <c r="U24" s="13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1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-0.34416834415584424</v>
      </c>
      <c r="O25" s="41"/>
      <c r="P25" s="13"/>
      <c r="Q25" s="59"/>
      <c r="R25" s="60"/>
      <c r="S25" s="44">
        <f>IF(Q24=0,0,(S24/Q24))</f>
        <v>-0.28122871666990418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1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1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82</v>
      </c>
      <c r="E27" s="64">
        <f>IF(D27&lt;=0,0,F27/D27)</f>
        <v>5102.2647058823532</v>
      </c>
      <c r="F27" s="65">
        <f>F13+F17+F24+F19+F15</f>
        <v>418385.70588235295</v>
      </c>
      <c r="G27" s="66">
        <f>+G13+G15+G17</f>
        <v>0</v>
      </c>
      <c r="H27" s="67">
        <f>IF(G27&lt;=0,0,I27/G27)</f>
        <v>0</v>
      </c>
      <c r="I27" s="65">
        <f>I13+I17+I24+I19+I15</f>
        <v>0</v>
      </c>
      <c r="J27" s="66">
        <f>+J13+J15+J17</f>
        <v>93</v>
      </c>
      <c r="K27" s="67">
        <f>IF(J27&lt;=0,0,L27/J27)</f>
        <v>5002.7656989247316</v>
      </c>
      <c r="L27" s="65">
        <f>L13+L17+L24+L19+L15</f>
        <v>465257.21000000008</v>
      </c>
      <c r="M27" s="66">
        <f>J27-D27</f>
        <v>11</v>
      </c>
      <c r="N27" s="65">
        <f>L27-F27</f>
        <v>46871.504117647128</v>
      </c>
      <c r="O27" s="66">
        <f>+O13+O15+O17</f>
        <v>56</v>
      </c>
      <c r="P27" s="67">
        <f>IF(O27&lt;=0,0,Q27/O27)</f>
        <v>5706.0071428571364</v>
      </c>
      <c r="Q27" s="65">
        <f>Q13+Q17+Q24+Q19+Q15</f>
        <v>319536.39999999962</v>
      </c>
      <c r="R27" s="66">
        <f>J27-O27</f>
        <v>37</v>
      </c>
      <c r="S27" s="68">
        <f>L27-Q27</f>
        <v>145720.81000000046</v>
      </c>
      <c r="T27" s="13"/>
      <c r="U27" s="13"/>
      <c r="W27" s="11"/>
      <c r="X27" s="484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1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0.13414634146341464</v>
      </c>
      <c r="N28" s="74">
        <f>N27/F27</f>
        <v>0.1120294108012071</v>
      </c>
      <c r="O28" s="72"/>
      <c r="P28" s="70"/>
      <c r="Q28" s="71"/>
      <c r="R28" s="73">
        <f>R27/O27</f>
        <v>0.6607142857142857</v>
      </c>
      <c r="S28" s="75">
        <f>IF(Q27=0,0,S27/Q27)</f>
        <v>0.45603821661632488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1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1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1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0.28481206767663803</v>
      </c>
      <c r="E31" s="82">
        <f t="shared" ref="E31:E40" si="10">F31/D$24</f>
        <v>1077.9792985344609</v>
      </c>
      <c r="F31" s="30">
        <f>+SUM(START:END!F31)</f>
        <v>83004.405987153485</v>
      </c>
      <c r="G31" s="156"/>
      <c r="H31" s="82" t="e">
        <f t="shared" ref="H31:H40" si="11">I31/G$24</f>
        <v>#DIV/0!</v>
      </c>
      <c r="I31" s="30">
        <f>+SUM(START:END!I31)</f>
        <v>0</v>
      </c>
      <c r="J31" s="156">
        <f>L31/(L13+L15)</f>
        <v>0.26464730883992904</v>
      </c>
      <c r="K31" s="82">
        <f t="shared" ref="K31:K40" si="12">IF(L31=0,0,L31/J$24)</f>
        <v>1138.6729545454546</v>
      </c>
      <c r="L31" s="30">
        <f>+SUM(START:END!L31)</f>
        <v>100203.22</v>
      </c>
      <c r="M31" s="41"/>
      <c r="N31" s="59">
        <f t="shared" ref="N31:N53" si="13">L31-F31</f>
        <v>17198.814012846517</v>
      </c>
      <c r="O31" s="156">
        <f>Q31/(Q13+Q15+Q17)</f>
        <v>0.28037564656770686</v>
      </c>
      <c r="P31" s="82">
        <f t="shared" ref="P31:P40" si="14">IF(Q31=0,0,Q31/O$24)</f>
        <v>1055.8665454545455</v>
      </c>
      <c r="Q31" s="33">
        <f>+SUM(START:END!Q31)</f>
        <v>58072.66</v>
      </c>
      <c r="R31" s="41"/>
      <c r="S31" s="85">
        <f t="shared" ref="S31:S53" si="15">L31-Q31</f>
        <v>42130.559999999998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1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f>+SUM(START:END!F32)</f>
        <v>37576</v>
      </c>
      <c r="G32" s="161"/>
      <c r="H32" s="90" t="e">
        <f t="shared" si="11"/>
        <v>#DIV/0!</v>
      </c>
      <c r="I32" s="22">
        <f>+SUM(START:END!I32)</f>
        <v>0</v>
      </c>
      <c r="J32" s="161">
        <f>L32/L24</f>
        <v>0.18012249243364292</v>
      </c>
      <c r="K32" s="88">
        <f t="shared" si="12"/>
        <v>165.38204545454545</v>
      </c>
      <c r="L32" s="22">
        <f>+SUM(START:END!L32)</f>
        <v>14553.619999999999</v>
      </c>
      <c r="M32" s="23"/>
      <c r="N32" s="91">
        <f t="shared" si="13"/>
        <v>-23022.38</v>
      </c>
      <c r="O32" s="161">
        <f>Q32/Q24</f>
        <v>0.27776956393948282</v>
      </c>
      <c r="P32" s="88">
        <f t="shared" si="14"/>
        <v>567.7201818181818</v>
      </c>
      <c r="Q32" s="22">
        <f>+SUM(START:END!Q32)</f>
        <v>31224.61</v>
      </c>
      <c r="R32" s="23"/>
      <c r="S32" s="92">
        <f t="shared" si="15"/>
        <v>-16670.990000000002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1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f>+SUM(START:END!F33)</f>
        <v>9240</v>
      </c>
      <c r="G33" s="83"/>
      <c r="H33" s="82" t="e">
        <f t="shared" si="11"/>
        <v>#DIV/0!</v>
      </c>
      <c r="I33" s="30">
        <f>+SUM(START:END!I33)</f>
        <v>0</v>
      </c>
      <c r="J33" s="41"/>
      <c r="K33" s="82">
        <f t="shared" si="12"/>
        <v>202.00193181818179</v>
      </c>
      <c r="L33" s="30">
        <f>+SUM(START:END!L33)</f>
        <v>17776.169999999998</v>
      </c>
      <c r="M33" s="41"/>
      <c r="N33" s="59">
        <f t="shared" si="13"/>
        <v>8536.1699999999983</v>
      </c>
      <c r="O33" s="41"/>
      <c r="P33" s="82">
        <f t="shared" si="14"/>
        <v>208.6721818181818</v>
      </c>
      <c r="Q33" s="33">
        <f>+SUM(START:END!Q33)</f>
        <v>11476.97</v>
      </c>
      <c r="R33" s="41"/>
      <c r="S33" s="85">
        <f t="shared" si="15"/>
        <v>6299.1999999999989</v>
      </c>
      <c r="T33" s="13"/>
      <c r="U33" s="13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1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f>+SUM(START:END!F34)</f>
        <v>2695</v>
      </c>
      <c r="G34" s="83"/>
      <c r="H34" s="82" t="e">
        <f t="shared" si="11"/>
        <v>#DIV/0!</v>
      </c>
      <c r="I34" s="30">
        <f>+SUM(START:END!I34)</f>
        <v>0</v>
      </c>
      <c r="J34" s="41"/>
      <c r="K34" s="82">
        <f t="shared" si="12"/>
        <v>38.365227272727275</v>
      </c>
      <c r="L34" s="30">
        <f>+SUM(START:END!L34)</f>
        <v>3376.14</v>
      </c>
      <c r="M34" s="41"/>
      <c r="N34" s="59">
        <f t="shared" si="13"/>
        <v>681.13999999999987</v>
      </c>
      <c r="O34" s="41"/>
      <c r="P34" s="82">
        <f t="shared" si="14"/>
        <v>23.322181818181818</v>
      </c>
      <c r="Q34" s="33">
        <f>+SUM(START:END!Q34)</f>
        <v>1282.72</v>
      </c>
      <c r="R34" s="41"/>
      <c r="S34" s="85">
        <f t="shared" si="15"/>
        <v>2093.42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1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98.324675324675326</v>
      </c>
      <c r="F35" s="22">
        <f>+SUM(START:END!F35)</f>
        <v>7571</v>
      </c>
      <c r="G35" s="89"/>
      <c r="H35" s="90" t="e">
        <f t="shared" si="11"/>
        <v>#DIV/0!</v>
      </c>
      <c r="I35" s="22">
        <f>+SUM(START:END!I35)</f>
        <v>0</v>
      </c>
      <c r="J35" s="23"/>
      <c r="K35" s="88">
        <f t="shared" si="12"/>
        <v>71.386136363636354</v>
      </c>
      <c r="L35" s="22">
        <f>+SUM(START:END!L35)</f>
        <v>6281.98</v>
      </c>
      <c r="M35" s="23"/>
      <c r="N35" s="91">
        <f t="shared" si="13"/>
        <v>-1289.0200000000004</v>
      </c>
      <c r="O35" s="23"/>
      <c r="P35" s="88">
        <f t="shared" si="14"/>
        <v>144.44399999999999</v>
      </c>
      <c r="Q35" s="33">
        <f>+SUM(START:END!Q35)</f>
        <v>7944.42</v>
      </c>
      <c r="R35" s="23"/>
      <c r="S35" s="92">
        <f t="shared" si="15"/>
        <v>-1662.4400000000005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1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234.88787878787878</v>
      </c>
      <c r="F36" s="30">
        <f>+SUM(START:END!F36)</f>
        <v>18086.366666666665</v>
      </c>
      <c r="G36" s="83"/>
      <c r="H36" s="82" t="e">
        <f t="shared" si="11"/>
        <v>#DIV/0!</v>
      </c>
      <c r="I36" s="30">
        <f>+SUM(START:END!I36)</f>
        <v>0</v>
      </c>
      <c r="J36" s="41"/>
      <c r="K36" s="82">
        <f t="shared" si="12"/>
        <v>228.78761363636366</v>
      </c>
      <c r="L36" s="454">
        <f>+SUM(START:END!L36)</f>
        <v>20133.310000000001</v>
      </c>
      <c r="M36" s="13"/>
      <c r="N36" s="59">
        <f t="shared" si="13"/>
        <v>2046.9433333333363</v>
      </c>
      <c r="O36" s="41"/>
      <c r="P36" s="82">
        <f t="shared" si="14"/>
        <v>617.82181818181823</v>
      </c>
      <c r="Q36" s="55">
        <f>+SUM(START:END!Q36)</f>
        <v>33980.200000000004</v>
      </c>
      <c r="R36" s="41"/>
      <c r="S36" s="85">
        <f t="shared" si="15"/>
        <v>-13846.890000000003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 t="shared" si="1"/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880.88681386295207</v>
      </c>
      <c r="F37" s="30">
        <f>+SUM(START:END!F37)</f>
        <v>67828.284667447311</v>
      </c>
      <c r="G37" s="83"/>
      <c r="H37" s="82" t="e">
        <f t="shared" si="11"/>
        <v>#DIV/0!</v>
      </c>
      <c r="I37" s="30">
        <f>+SUM(START:END!I37)</f>
        <v>0</v>
      </c>
      <c r="J37" s="41"/>
      <c r="K37" s="82">
        <f t="shared" si="12"/>
        <v>832.03579545454556</v>
      </c>
      <c r="L37" s="455">
        <f>+SUM(START:END!L37)</f>
        <v>73219.150000000009</v>
      </c>
      <c r="M37" s="13"/>
      <c r="N37" s="59">
        <f t="shared" si="13"/>
        <v>5390.8653325526975</v>
      </c>
      <c r="O37" s="41"/>
      <c r="P37" s="82">
        <f t="shared" si="14"/>
        <v>1207.6954545454546</v>
      </c>
      <c r="Q37" s="33">
        <f>+SUM(START:END!Q37)</f>
        <v>66423.25</v>
      </c>
      <c r="R37" s="41"/>
      <c r="S37" s="85">
        <f>L37-Q37</f>
        <v>6795.9000000000087</v>
      </c>
      <c r="T37" s="13"/>
      <c r="U37" s="13"/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 t="shared" si="1"/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f>+SUM(START:END!F38)</f>
        <v>0</v>
      </c>
      <c r="G38" s="83"/>
      <c r="H38" s="82" t="e">
        <f t="shared" si="11"/>
        <v>#DIV/0!</v>
      </c>
      <c r="I38" s="30">
        <f>+SUM(START:END!I38)</f>
        <v>0</v>
      </c>
      <c r="J38" s="41"/>
      <c r="K38" s="82">
        <f t="shared" si="12"/>
        <v>0</v>
      </c>
      <c r="L38" s="455">
        <f>+SUM(START:END!L38)</f>
        <v>0</v>
      </c>
      <c r="M38" s="13"/>
      <c r="N38" s="59">
        <f t="shared" si="13"/>
        <v>0</v>
      </c>
      <c r="O38" s="41"/>
      <c r="P38" s="82">
        <f t="shared" si="14"/>
        <v>0</v>
      </c>
      <c r="Q38" s="33">
        <f>+SUM(START:END!Q38)</f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 t="shared" si="1"/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f>+SUM(START:END!F39)</f>
        <v>0</v>
      </c>
      <c r="G39" s="83"/>
      <c r="H39" s="82" t="e">
        <f t="shared" si="11"/>
        <v>#DIV/0!</v>
      </c>
      <c r="I39" s="30">
        <f>+SUM(START:END!I39)</f>
        <v>0</v>
      </c>
      <c r="J39" s="41"/>
      <c r="K39" s="82">
        <f t="shared" si="12"/>
        <v>0</v>
      </c>
      <c r="L39" s="455">
        <f>+SUM(START:END!L39)</f>
        <v>0</v>
      </c>
      <c r="M39" s="13"/>
      <c r="N39" s="59">
        <f t="shared" si="13"/>
        <v>0</v>
      </c>
      <c r="O39" s="41"/>
      <c r="P39" s="82">
        <f t="shared" si="14"/>
        <v>0</v>
      </c>
      <c r="Q39" s="33">
        <f>+SUM(START:END!Q39)</f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si="1"/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f>+SUM(START:END!F40)</f>
        <v>0</v>
      </c>
      <c r="G40" s="83"/>
      <c r="H40" s="82" t="e">
        <f t="shared" si="11"/>
        <v>#DIV/0!</v>
      </c>
      <c r="I40" s="30">
        <f>+SUM(START:END!I40)</f>
        <v>0</v>
      </c>
      <c r="J40" s="41"/>
      <c r="K40" s="82">
        <f t="shared" si="12"/>
        <v>0</v>
      </c>
      <c r="L40" s="456">
        <f>+SUM(START:END!L40)</f>
        <v>0</v>
      </c>
      <c r="M40" s="13"/>
      <c r="N40" s="59">
        <f t="shared" si="13"/>
        <v>0</v>
      </c>
      <c r="O40" s="41"/>
      <c r="P40" s="82">
        <f t="shared" si="14"/>
        <v>0</v>
      </c>
      <c r="Q40" s="33">
        <f>+SUM(START:END!Q40)</f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0.54017394510322325</v>
      </c>
      <c r="F41" s="96">
        <f>SUM(F31:F40)</f>
        <v>226001.05732126744</v>
      </c>
      <c r="G41" s="97" t="s">
        <v>38</v>
      </c>
      <c r="H41" s="95" t="e">
        <f>I41/I$27</f>
        <v>#DIV/0!</v>
      </c>
      <c r="I41" s="96">
        <f>SUM(I31:I40)</f>
        <v>0</v>
      </c>
      <c r="J41" s="97" t="s">
        <v>38</v>
      </c>
      <c r="K41" s="95">
        <f>L41/L$27</f>
        <v>0.50626531934883934</v>
      </c>
      <c r="L41" s="96">
        <f>SUM(L31:L40)</f>
        <v>235543.59000000003</v>
      </c>
      <c r="M41" s="98"/>
      <c r="N41" s="96">
        <f t="shared" si="13"/>
        <v>9542.5326787325903</v>
      </c>
      <c r="O41" s="97" t="s">
        <v>38</v>
      </c>
      <c r="P41" s="95">
        <f>Q41/Q$27</f>
        <v>0.65846905078732898</v>
      </c>
      <c r="Q41" s="99">
        <f>SUM(Q31:Q40)</f>
        <v>210404.83000000002</v>
      </c>
      <c r="R41" s="100"/>
      <c r="S41" s="101">
        <f t="shared" si="15"/>
        <v>25138.760000000009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f>+SUM(START:END!F42)</f>
        <v>37198.692151067327</v>
      </c>
      <c r="G42" s="41"/>
      <c r="H42" s="13"/>
      <c r="I42" s="30">
        <f>+SUM(START:END!I42)</f>
        <v>0</v>
      </c>
      <c r="J42" s="41"/>
      <c r="K42" s="13"/>
      <c r="L42" s="33">
        <f>+SUM(START:END!L42)</f>
        <v>28529.39</v>
      </c>
      <c r="M42" s="41"/>
      <c r="N42" s="59">
        <f t="shared" si="13"/>
        <v>-8669.3021510673279</v>
      </c>
      <c r="O42" s="41"/>
      <c r="P42" s="13"/>
      <c r="Q42" s="33">
        <f>+SUM(START:END!Q42)</f>
        <v>32911.379999999997</v>
      </c>
      <c r="R42" s="41"/>
      <c r="S42" s="85">
        <f t="shared" si="15"/>
        <v>-4381.989999999998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f>+SUM(START:END!F43)</f>
        <v>15393.256367816091</v>
      </c>
      <c r="G43" s="83"/>
      <c r="H43" s="13"/>
      <c r="I43" s="22">
        <f>+SUM(START:END!I43)</f>
        <v>0</v>
      </c>
      <c r="J43" s="41"/>
      <c r="K43" s="13"/>
      <c r="L43" s="33">
        <f>+SUM(START:END!L43)</f>
        <v>10117.14</v>
      </c>
      <c r="M43" s="41"/>
      <c r="N43" s="59">
        <f t="shared" si="13"/>
        <v>-5276.116367816092</v>
      </c>
      <c r="O43" s="41"/>
      <c r="P43" s="13"/>
      <c r="Q43" s="33">
        <f>+SUM(START:END!Q43)</f>
        <v>27423.21</v>
      </c>
      <c r="R43" s="41"/>
      <c r="S43" s="85">
        <f t="shared" si="15"/>
        <v>-17306.07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f>+SUM(START:END!F44)</f>
        <v>0</v>
      </c>
      <c r="G44" s="106"/>
      <c r="H44" s="105"/>
      <c r="I44" s="30">
        <f>+SUM(START:END!I44)</f>
        <v>0</v>
      </c>
      <c r="J44" s="107"/>
      <c r="K44" s="105"/>
      <c r="L44" s="108">
        <f>+SUM(START:END!L44)</f>
        <v>430</v>
      </c>
      <c r="M44" s="107"/>
      <c r="N44" s="109">
        <f t="shared" si="13"/>
        <v>430</v>
      </c>
      <c r="O44" s="107"/>
      <c r="P44" s="105"/>
      <c r="Q44" s="108">
        <f>+SUM(START:END!Q44)</f>
        <v>1026</v>
      </c>
      <c r="R44" s="107"/>
      <c r="S44" s="110">
        <f t="shared" si="15"/>
        <v>-596</v>
      </c>
      <c r="T44" s="13"/>
      <c r="U44" s="13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f>+SUM(START:END!F45)</f>
        <v>0</v>
      </c>
      <c r="G45" s="83"/>
      <c r="H45" s="13"/>
      <c r="I45" s="30">
        <f>+SUM(START:END!I45)</f>
        <v>0</v>
      </c>
      <c r="J45" s="41"/>
      <c r="K45" s="13"/>
      <c r="L45" s="33">
        <f>+SUM(START:END!L45)</f>
        <v>0</v>
      </c>
      <c r="M45" s="41"/>
      <c r="N45" s="59">
        <f t="shared" si="13"/>
        <v>0</v>
      </c>
      <c r="O45" s="41"/>
      <c r="P45" s="13"/>
      <c r="Q45" s="33">
        <f>+SUM(START:END!Q45)</f>
        <v>0</v>
      </c>
      <c r="R45" s="41"/>
      <c r="S45" s="85">
        <f t="shared" si="15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 t="shared" si="1"/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f>+SUM(START:END!F46)</f>
        <v>0</v>
      </c>
      <c r="G46" s="83"/>
      <c r="H46" s="13"/>
      <c r="I46" s="30">
        <f>+SUM(START:END!I46)</f>
        <v>0</v>
      </c>
      <c r="J46" s="41"/>
      <c r="K46" s="13"/>
      <c r="L46" s="33">
        <f>+SUM(START:END!L46)</f>
        <v>0</v>
      </c>
      <c r="M46" s="41"/>
      <c r="N46" s="59">
        <f t="shared" si="13"/>
        <v>0</v>
      </c>
      <c r="O46" s="41"/>
      <c r="P46" s="13"/>
      <c r="Q46" s="33">
        <f>+SUM(START:END!Q46)</f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 t="shared" si="1"/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f>+SUM(START:END!F47)</f>
        <v>0</v>
      </c>
      <c r="G47" s="83"/>
      <c r="H47" s="13"/>
      <c r="I47" s="30">
        <f>+SUM(START:END!I47)</f>
        <v>0</v>
      </c>
      <c r="J47" s="41"/>
      <c r="K47" s="13"/>
      <c r="L47" s="33">
        <f>+SUM(START:END!L47)</f>
        <v>0</v>
      </c>
      <c r="M47" s="41"/>
      <c r="N47" s="59">
        <f t="shared" si="13"/>
        <v>0</v>
      </c>
      <c r="O47" s="41"/>
      <c r="P47" s="13"/>
      <c r="Q47" s="33">
        <f>+SUM(START:END!Q47)</f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 t="shared" si="1"/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f>+SUM(START:END!F48)</f>
        <v>0</v>
      </c>
      <c r="G48" s="83"/>
      <c r="H48" s="13"/>
      <c r="I48" s="30">
        <f>+SUM(START:END!I48)</f>
        <v>0</v>
      </c>
      <c r="J48" s="41"/>
      <c r="K48" s="13"/>
      <c r="L48" s="33">
        <f>+SUM(START:END!L48)</f>
        <v>0</v>
      </c>
      <c r="M48" s="41"/>
      <c r="N48" s="59">
        <f t="shared" si="13"/>
        <v>0</v>
      </c>
      <c r="O48" s="41"/>
      <c r="P48" s="13"/>
      <c r="Q48" s="33">
        <f>+SUM(START:END!Q48)</f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si="1"/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f>+SUM(START:END!F49)</f>
        <v>23442.862401338454</v>
      </c>
      <c r="G49" s="83"/>
      <c r="H49" s="13"/>
      <c r="I49" s="22">
        <f>+SUM(START:END!I49)</f>
        <v>0</v>
      </c>
      <c r="J49" s="41"/>
      <c r="K49" s="13"/>
      <c r="L49" s="22">
        <f>+SUM(START:END!L49)</f>
        <v>18334.72</v>
      </c>
      <c r="M49" s="41"/>
      <c r="N49" s="59">
        <f t="shared" si="13"/>
        <v>-5108.1424013384531</v>
      </c>
      <c r="O49" s="41"/>
      <c r="P49" s="13"/>
      <c r="Q49" s="22">
        <f>+SUM(START:END!Q49)</f>
        <v>23215.439999999999</v>
      </c>
      <c r="R49" s="41"/>
      <c r="S49" s="85">
        <f t="shared" si="15"/>
        <v>-4880.7199999999975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f>+SUM(START:END!F50)</f>
        <v>23802.408605976772</v>
      </c>
      <c r="G50" s="106"/>
      <c r="H50" s="105"/>
      <c r="I50" s="30">
        <f>+SUM(START:END!I50)</f>
        <v>0</v>
      </c>
      <c r="J50" s="107"/>
      <c r="K50" s="105"/>
      <c r="L50" s="33">
        <f>+SUM(START:END!L50)</f>
        <v>19008.620000000003</v>
      </c>
      <c r="M50" s="107"/>
      <c r="N50" s="109">
        <f t="shared" si="13"/>
        <v>-4793.7886059767698</v>
      </c>
      <c r="O50" s="107"/>
      <c r="P50" s="105"/>
      <c r="Q50" s="33">
        <f>+SUM(START:END!Q50)</f>
        <v>21470.39</v>
      </c>
      <c r="R50" s="107"/>
      <c r="S50" s="110">
        <f t="shared" si="15"/>
        <v>-2461.7699999999968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f>+SUM(START:END!F51)</f>
        <v>16928.93159399087</v>
      </c>
      <c r="G51" s="83"/>
      <c r="H51" s="13"/>
      <c r="I51" s="30">
        <f>+SUM(START:END!I51)</f>
        <v>0</v>
      </c>
      <c r="J51" s="41"/>
      <c r="K51" s="13"/>
      <c r="L51" s="33">
        <f>+SUM(START:END!L51)</f>
        <v>10346.310000000001</v>
      </c>
      <c r="M51" s="41"/>
      <c r="N51" s="59">
        <f t="shared" si="13"/>
        <v>-6582.6215939908689</v>
      </c>
      <c r="O51" s="41"/>
      <c r="P51" s="13"/>
      <c r="Q51" s="33">
        <f>+SUM(START:END!Q51)</f>
        <v>14008.890000000001</v>
      </c>
      <c r="R51" s="41"/>
      <c r="S51" s="85">
        <f t="shared" si="15"/>
        <v>-3662.58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f>+SUM(START:END!F52)</f>
        <v>4740.1008463174439</v>
      </c>
      <c r="G52" s="83"/>
      <c r="H52" s="13"/>
      <c r="I52" s="30">
        <f>+SUM(START:END!I52)</f>
        <v>0</v>
      </c>
      <c r="J52" s="41"/>
      <c r="K52" s="13"/>
      <c r="L52" s="33">
        <f>+SUM(START:END!L52)</f>
        <v>3122.7099999999996</v>
      </c>
      <c r="M52" s="41"/>
      <c r="N52" s="59">
        <f t="shared" si="13"/>
        <v>-1617.3908463174444</v>
      </c>
      <c r="O52" s="41"/>
      <c r="P52" s="13"/>
      <c r="Q52" s="33">
        <f>+SUM(START:END!Q52)</f>
        <v>2798.73</v>
      </c>
      <c r="R52" s="41"/>
      <c r="S52" s="85">
        <f t="shared" si="15"/>
        <v>323.97999999999956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"/>
        <v>Véhicules neufs[...]</v>
      </c>
      <c r="B53" s="11" t="str">
        <f t="shared" si="0"/>
        <v>Véhicules neufs</v>
      </c>
      <c r="C53" s="29" t="s">
        <v>19</v>
      </c>
      <c r="D53" s="87"/>
      <c r="E53" s="111"/>
      <c r="F53" s="30">
        <f>+SUM(START:END!F53)</f>
        <v>0</v>
      </c>
      <c r="G53" s="89"/>
      <c r="H53" s="111"/>
      <c r="I53" s="30">
        <f>+SUM(START:END!I53)</f>
        <v>0</v>
      </c>
      <c r="J53" s="23"/>
      <c r="K53" s="111"/>
      <c r="L53" s="33">
        <f>+SUM(START:END!L53)</f>
        <v>0</v>
      </c>
      <c r="M53" s="23"/>
      <c r="N53" s="91">
        <f t="shared" si="13"/>
        <v>0</v>
      </c>
      <c r="O53" s="23"/>
      <c r="P53" s="111"/>
      <c r="Q53" s="33">
        <f>+SUM(START:END!Q53)</f>
        <v>0</v>
      </c>
      <c r="R53" s="23"/>
      <c r="S53" s="92">
        <f t="shared" si="15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0.29041683369716664</v>
      </c>
      <c r="F54" s="96">
        <f>+SUM(F42:F53)</f>
        <v>121506.25196650697</v>
      </c>
      <c r="G54" s="97" t="s">
        <v>38</v>
      </c>
      <c r="H54" s="95" t="e">
        <f>I54/I$27</f>
        <v>#DIV/0!</v>
      </c>
      <c r="I54" s="96">
        <f>+SUM(I42:I53)</f>
        <v>0</v>
      </c>
      <c r="J54" s="97" t="s">
        <v>38</v>
      </c>
      <c r="K54" s="95">
        <f>L54/L$27</f>
        <v>0.19320257283062842</v>
      </c>
      <c r="L54" s="96">
        <f>+SUM(L42:L53)</f>
        <v>89888.89</v>
      </c>
      <c r="M54" s="100"/>
      <c r="N54" s="96">
        <f>+SUM(N42:N53)</f>
        <v>-31617.361966506956</v>
      </c>
      <c r="O54" s="97" t="s">
        <v>38</v>
      </c>
      <c r="P54" s="95">
        <f>Q54/Q$27</f>
        <v>0.38447588443757941</v>
      </c>
      <c r="Q54" s="96">
        <f>+SUM(Q42:Q53)</f>
        <v>122854.04</v>
      </c>
      <c r="R54" s="100"/>
      <c r="S54" s="101">
        <f>+SUM(S42:S53)</f>
        <v>-32965.149999999994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f>+SUM(START:END!F55)</f>
        <v>0</v>
      </c>
      <c r="G55" s="83"/>
      <c r="H55" s="13"/>
      <c r="I55" s="30">
        <f>+SUM(START:END!I55)</f>
        <v>0</v>
      </c>
      <c r="J55" s="41"/>
      <c r="K55" s="13"/>
      <c r="L55" s="33">
        <f>+SUM(START:END!L55)</f>
        <v>0</v>
      </c>
      <c r="M55" s="41"/>
      <c r="N55" s="59">
        <f t="shared" ref="N55:N71" si="16">L55-F55</f>
        <v>0</v>
      </c>
      <c r="O55" s="41"/>
      <c r="P55" s="13"/>
      <c r="Q55" s="33">
        <f>+SUM(START:END!Q55)</f>
        <v>0</v>
      </c>
      <c r="R55" s="41"/>
      <c r="S55" s="85">
        <f t="shared" ref="S55:S71" si="17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f>+SUM(START:END!F56)</f>
        <v>0</v>
      </c>
      <c r="G56" s="83"/>
      <c r="H56" s="13"/>
      <c r="I56" s="30">
        <f>+SUM(START:END!I56)</f>
        <v>0</v>
      </c>
      <c r="J56" s="41"/>
      <c r="K56" s="13"/>
      <c r="L56" s="33">
        <f>+SUM(START:END!L56)</f>
        <v>0</v>
      </c>
      <c r="M56" s="41"/>
      <c r="N56" s="59">
        <f t="shared" si="16"/>
        <v>0</v>
      </c>
      <c r="O56" s="41"/>
      <c r="P56" s="13"/>
      <c r="Q56" s="33">
        <f>+SUM(START:END!Q56)</f>
        <v>0</v>
      </c>
      <c r="R56" s="41"/>
      <c r="S56" s="85">
        <f t="shared" si="17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f>+SUM(START:END!F57)</f>
        <v>6109.5</v>
      </c>
      <c r="G57" s="89"/>
      <c r="H57" s="111"/>
      <c r="I57" s="22">
        <f>+SUM(START:END!I57)</f>
        <v>0</v>
      </c>
      <c r="J57" s="23"/>
      <c r="K57" s="111"/>
      <c r="L57" s="22">
        <f>+SUM(START:END!L57)</f>
        <v>2909.31</v>
      </c>
      <c r="M57" s="23"/>
      <c r="N57" s="91">
        <f t="shared" si="16"/>
        <v>-3200.19</v>
      </c>
      <c r="O57" s="23"/>
      <c r="P57" s="111"/>
      <c r="Q57" s="22">
        <f>+SUM(START:END!Q57)</f>
        <v>24686.71</v>
      </c>
      <c r="R57" s="23"/>
      <c r="S57" s="92">
        <f t="shared" si="17"/>
        <v>-21777.399999999998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f>+SUM(START:END!F58)</f>
        <v>27586.056500000002</v>
      </c>
      <c r="G58" s="83"/>
      <c r="H58" s="13"/>
      <c r="I58" s="30">
        <f>+SUM(START:END!I58)</f>
        <v>0</v>
      </c>
      <c r="J58" s="41"/>
      <c r="K58" s="13"/>
      <c r="L58" s="33">
        <f>+SUM(START:END!L58)</f>
        <v>27749.579999999998</v>
      </c>
      <c r="M58" s="41"/>
      <c r="N58" s="59">
        <f t="shared" si="16"/>
        <v>163.52349999999569</v>
      </c>
      <c r="O58" s="41"/>
      <c r="P58" s="13"/>
      <c r="Q58" s="33">
        <f>+SUM(START:END!Q58)</f>
        <v>13593.06</v>
      </c>
      <c r="R58" s="41"/>
      <c r="S58" s="85">
        <f t="shared" si="17"/>
        <v>14156.519999999999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f>+SUM(START:END!F59)</f>
        <v>3990</v>
      </c>
      <c r="G59" s="83"/>
      <c r="H59" s="13"/>
      <c r="I59" s="30">
        <f>+SUM(START:END!I59)</f>
        <v>0</v>
      </c>
      <c r="J59" s="41"/>
      <c r="K59" s="13"/>
      <c r="L59" s="33">
        <f>+SUM(START:END!L59)</f>
        <v>9391.43</v>
      </c>
      <c r="M59" s="41"/>
      <c r="N59" s="59">
        <f t="shared" si="16"/>
        <v>5401.43</v>
      </c>
      <c r="O59" s="41"/>
      <c r="P59" s="13"/>
      <c r="Q59" s="33">
        <f>+SUM(START:END!Q59)</f>
        <v>1015.2199999999998</v>
      </c>
      <c r="R59" s="41"/>
      <c r="S59" s="85">
        <f t="shared" si="17"/>
        <v>8376.2100000000009</v>
      </c>
      <c r="T59" s="13"/>
      <c r="U59" s="13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f>+SUM(START:END!F60)</f>
        <v>8017.0810000000001</v>
      </c>
      <c r="G60" s="89"/>
      <c r="H60" s="111"/>
      <c r="I60" s="22">
        <f>+SUM(START:END!I60)</f>
        <v>0</v>
      </c>
      <c r="J60" s="23"/>
      <c r="K60" s="111"/>
      <c r="L60" s="22">
        <f>+SUM(START:END!L60)</f>
        <v>11041.489999999998</v>
      </c>
      <c r="M60" s="23"/>
      <c r="N60" s="91">
        <f t="shared" si="16"/>
        <v>3024.4089999999978</v>
      </c>
      <c r="O60" s="23"/>
      <c r="P60" s="111"/>
      <c r="Q60" s="22">
        <f>+SUM(START:END!Q60)</f>
        <v>8959.73</v>
      </c>
      <c r="R60" s="23"/>
      <c r="S60" s="92">
        <f t="shared" si="17"/>
        <v>2081.7599999999984</v>
      </c>
      <c r="T60" s="13"/>
      <c r="U60" s="13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f>+SUM(START:END!F61)</f>
        <v>225</v>
      </c>
      <c r="G61" s="83"/>
      <c r="H61" s="13"/>
      <c r="I61" s="30">
        <f>+SUM(START:END!I61)</f>
        <v>0</v>
      </c>
      <c r="J61" s="41"/>
      <c r="K61" s="13"/>
      <c r="L61" s="33">
        <f>+SUM(START:END!L61)</f>
        <v>278.47000000000003</v>
      </c>
      <c r="M61" s="41"/>
      <c r="N61" s="59">
        <f t="shared" si="16"/>
        <v>53.470000000000027</v>
      </c>
      <c r="O61" s="41"/>
      <c r="P61" s="13"/>
      <c r="Q61" s="33">
        <f>+SUM(START:END!Q61)</f>
        <v>174.81</v>
      </c>
      <c r="R61" s="41"/>
      <c r="S61" s="85">
        <f t="shared" si="17"/>
        <v>103.66000000000003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f>+SUM(START:END!F62)</f>
        <v>90</v>
      </c>
      <c r="G62" s="83"/>
      <c r="H62" s="13"/>
      <c r="I62" s="30">
        <f>+SUM(START:END!I62)</f>
        <v>0</v>
      </c>
      <c r="J62" s="41"/>
      <c r="K62" s="13"/>
      <c r="L62" s="33">
        <f>+SUM(START:END!L62)</f>
        <v>186.48</v>
      </c>
      <c r="M62" s="41"/>
      <c r="N62" s="59">
        <f t="shared" si="16"/>
        <v>96.47999999999999</v>
      </c>
      <c r="O62" s="41"/>
      <c r="P62" s="13"/>
      <c r="Q62" s="33">
        <f>+SUM(START:END!Q62)</f>
        <v>0</v>
      </c>
      <c r="R62" s="41"/>
      <c r="S62" s="85">
        <f t="shared" si="17"/>
        <v>186.48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f>+SUM(START:END!F63)</f>
        <v>1740</v>
      </c>
      <c r="G63" s="83"/>
      <c r="H63" s="13"/>
      <c r="I63" s="30">
        <f>+SUM(START:END!I63)</f>
        <v>0</v>
      </c>
      <c r="J63" s="41"/>
      <c r="K63" s="13"/>
      <c r="L63" s="32">
        <f>+SUM(START:END!L63)</f>
        <v>1331.98</v>
      </c>
      <c r="M63" s="41"/>
      <c r="N63" s="59">
        <f t="shared" si="16"/>
        <v>-408.02</v>
      </c>
      <c r="O63" s="41"/>
      <c r="P63" s="13"/>
      <c r="Q63" s="32">
        <f>+SUM(START:END!Q63)</f>
        <v>1729.13</v>
      </c>
      <c r="R63" s="41"/>
      <c r="S63" s="85">
        <f t="shared" si="17"/>
        <v>-397.15000000000009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f>+SUM(START:END!F64)</f>
        <v>472.79999999999995</v>
      </c>
      <c r="G64" s="83"/>
      <c r="H64" s="13"/>
      <c r="I64" s="30">
        <f>+SUM(START:END!I64)</f>
        <v>0</v>
      </c>
      <c r="J64" s="41"/>
      <c r="K64" s="13"/>
      <c r="L64" s="33">
        <f>+SUM(START:END!L64)</f>
        <v>569.54999999999995</v>
      </c>
      <c r="M64" s="41"/>
      <c r="N64" s="59">
        <f t="shared" si="16"/>
        <v>96.75</v>
      </c>
      <c r="O64" s="41"/>
      <c r="P64" s="13"/>
      <c r="Q64" s="33">
        <f>+SUM(START:END!Q64)</f>
        <v>566.45000000000005</v>
      </c>
      <c r="R64" s="41"/>
      <c r="S64" s="85">
        <f t="shared" si="17"/>
        <v>3.0999999999999091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f>+SUM(START:END!F65)</f>
        <v>680</v>
      </c>
      <c r="G65" s="83"/>
      <c r="H65" s="13"/>
      <c r="I65" s="30">
        <f>+SUM(START:END!I65)</f>
        <v>0</v>
      </c>
      <c r="J65" s="41"/>
      <c r="K65" s="13"/>
      <c r="L65" s="33">
        <f>+SUM(START:END!L65)</f>
        <v>465.1</v>
      </c>
      <c r="M65" s="41"/>
      <c r="N65" s="59">
        <f t="shared" si="16"/>
        <v>-214.89999999999998</v>
      </c>
      <c r="O65" s="41"/>
      <c r="P65" s="13"/>
      <c r="Q65" s="33">
        <f>+SUM(START:END!Q65)</f>
        <v>306.21999999999997</v>
      </c>
      <c r="R65" s="41"/>
      <c r="S65" s="85">
        <f t="shared" si="17"/>
        <v>158.88000000000005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f>+SUM(START:END!F66)</f>
        <v>1887.2499999999998</v>
      </c>
      <c r="G66" s="83"/>
      <c r="H66" s="13"/>
      <c r="I66" s="30">
        <f>+SUM(START:END!I66)</f>
        <v>0</v>
      </c>
      <c r="J66" s="41"/>
      <c r="K66" s="13"/>
      <c r="L66" s="33">
        <f>+SUM(START:END!L66)</f>
        <v>1537.92</v>
      </c>
      <c r="M66" s="41"/>
      <c r="N66" s="59">
        <f t="shared" si="16"/>
        <v>-349.3299999999997</v>
      </c>
      <c r="O66" s="41"/>
      <c r="P66" s="13"/>
      <c r="Q66" s="33">
        <f>+SUM(START:END!Q66)</f>
        <v>3148.5699999999997</v>
      </c>
      <c r="R66" s="41"/>
      <c r="S66" s="85">
        <f t="shared" si="17"/>
        <v>-1610.6499999999996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 t="shared" si="1"/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f>+SUM(START:END!F67)</f>
        <v>964.78400000000033</v>
      </c>
      <c r="G67" s="83"/>
      <c r="H67" s="13"/>
      <c r="I67" s="30">
        <f>+SUM(START:END!I67)</f>
        <v>0</v>
      </c>
      <c r="J67" s="41"/>
      <c r="K67" s="13"/>
      <c r="L67" s="33">
        <f>+SUM(START:END!L67)</f>
        <v>1926.0900000000001</v>
      </c>
      <c r="M67" s="41"/>
      <c r="N67" s="59">
        <f t="shared" si="16"/>
        <v>961.30599999999981</v>
      </c>
      <c r="O67" s="41"/>
      <c r="P67" s="13"/>
      <c r="Q67" s="33">
        <f>+SUM(START:END!Q67)</f>
        <v>1070.4000000000001</v>
      </c>
      <c r="R67" s="41"/>
      <c r="S67" s="85">
        <f>L67-Q67</f>
        <v>855.69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 t="shared" si="1"/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f>+SUM(START:END!F68)</f>
        <v>10268.868819953457</v>
      </c>
      <c r="G68" s="83"/>
      <c r="H68" s="13"/>
      <c r="I68" s="30">
        <f>+SUM(START:END!I68)</f>
        <v>0</v>
      </c>
      <c r="J68" s="41"/>
      <c r="K68" s="13"/>
      <c r="L68" s="32">
        <f>+SUM(START:END!L68)</f>
        <v>8577.25</v>
      </c>
      <c r="M68" s="41"/>
      <c r="N68" s="59">
        <f t="shared" si="16"/>
        <v>-1691.6188199534572</v>
      </c>
      <c r="O68" s="41"/>
      <c r="P68" s="13"/>
      <c r="Q68" s="33">
        <f>+SUM(START:END!Q68)</f>
        <v>7368.4000000000005</v>
      </c>
      <c r="R68" s="41"/>
      <c r="S68" s="85">
        <f>L68-Q68</f>
        <v>1208.8499999999995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 t="shared" si="1"/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f>+SUM(START:END!F69)</f>
        <v>0</v>
      </c>
      <c r="G69" s="83"/>
      <c r="H69" s="13"/>
      <c r="I69" s="30">
        <f>+SUM(START:END!I69)</f>
        <v>0</v>
      </c>
      <c r="J69" s="41"/>
      <c r="K69" s="13"/>
      <c r="L69" s="33">
        <f>+SUM(START:END!L69)</f>
        <v>0</v>
      </c>
      <c r="M69" s="41"/>
      <c r="N69" s="59">
        <f t="shared" si="16"/>
        <v>0</v>
      </c>
      <c r="O69" s="41"/>
      <c r="P69" s="13"/>
      <c r="Q69" s="33">
        <f>+SUM(START:END!Q69)</f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si="1"/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f>+SUM(START:END!F70)</f>
        <v>0</v>
      </c>
      <c r="G70" s="83"/>
      <c r="H70" s="13"/>
      <c r="I70" s="30">
        <f>+SUM(START:END!I70)</f>
        <v>0</v>
      </c>
      <c r="J70" s="41"/>
      <c r="K70" s="13"/>
      <c r="L70" s="33">
        <f>+SUM(START:END!L70)</f>
        <v>0</v>
      </c>
      <c r="M70" s="41"/>
      <c r="N70" s="59">
        <f t="shared" si="16"/>
        <v>0</v>
      </c>
      <c r="O70" s="41"/>
      <c r="P70" s="13"/>
      <c r="Q70" s="33">
        <f>+SUM(START:END!Q70)</f>
        <v>0</v>
      </c>
      <c r="R70" s="41"/>
      <c r="S70" s="85">
        <f t="shared" si="17"/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f>+SUM(START:END!F71)</f>
        <v>0</v>
      </c>
      <c r="G71" s="83"/>
      <c r="H71" s="13"/>
      <c r="I71" s="30">
        <f>+SUM(START:END!I71)</f>
        <v>0</v>
      </c>
      <c r="J71" s="41"/>
      <c r="K71" s="13"/>
      <c r="L71" s="33">
        <f>+SUM(START:END!L71)</f>
        <v>0</v>
      </c>
      <c r="M71" s="41"/>
      <c r="N71" s="59">
        <f t="shared" si="16"/>
        <v>0</v>
      </c>
      <c r="O71" s="41"/>
      <c r="P71" s="13"/>
      <c r="Q71" s="33">
        <f>+SUM(START:END!Q71)</f>
        <v>0</v>
      </c>
      <c r="R71" s="41"/>
      <c r="S71" s="85">
        <f t="shared" si="17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0.14826352680747709</v>
      </c>
      <c r="F72" s="96">
        <f>+SUM(F55:F71)</f>
        <v>62031.340319953466</v>
      </c>
      <c r="G72" s="97" t="s">
        <v>38</v>
      </c>
      <c r="H72" s="95" t="e">
        <f>I72/I$27</f>
        <v>#DIV/0!</v>
      </c>
      <c r="I72" s="96">
        <f>+SUM(I55:I71)</f>
        <v>0</v>
      </c>
      <c r="J72" s="97" t="s">
        <v>38</v>
      </c>
      <c r="K72" s="95">
        <f>L72/L$27</f>
        <v>0.14178103763292565</v>
      </c>
      <c r="L72" s="96">
        <f>+SUM(L55:L71)</f>
        <v>65964.650000000009</v>
      </c>
      <c r="M72" s="100"/>
      <c r="N72" s="96">
        <f>+SUM(N55:N71)</f>
        <v>3933.3096800465364</v>
      </c>
      <c r="O72" s="97" t="s">
        <v>38</v>
      </c>
      <c r="P72" s="95">
        <f>Q72/Q$27</f>
        <v>0.19596734519134618</v>
      </c>
      <c r="Q72" s="96">
        <f>+SUM(Q55:Q71)</f>
        <v>62618.7</v>
      </c>
      <c r="R72" s="100"/>
      <c r="S72" s="101">
        <f>+SUM(S55:S71)</f>
        <v>3345.95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0.9788543056078669</v>
      </c>
      <c r="F74" s="96">
        <f>F41+F54+F72</f>
        <v>409538.64960772783</v>
      </c>
      <c r="G74" s="97" t="s">
        <v>38</v>
      </c>
      <c r="H74" s="95" t="e">
        <f>I74/I$27</f>
        <v>#DIV/0!</v>
      </c>
      <c r="I74" s="96">
        <f>I41+I54+I72</f>
        <v>0</v>
      </c>
      <c r="J74" s="97" t="s">
        <v>38</v>
      </c>
      <c r="K74" s="95">
        <f>L74/L$27</f>
        <v>0.84124892981239341</v>
      </c>
      <c r="L74" s="96">
        <f>L41+L54+L72</f>
        <v>391397.13000000006</v>
      </c>
      <c r="M74" s="100"/>
      <c r="N74" s="113">
        <f t="shared" ref="N74:N82" si="18">L74-F74</f>
        <v>-18141.519607727765</v>
      </c>
      <c r="O74" s="97" t="s">
        <v>38</v>
      </c>
      <c r="P74" s="95">
        <f>Q74/Q$27</f>
        <v>1.2389122804162545</v>
      </c>
      <c r="Q74" s="96">
        <f>Q41+Q54+Q72</f>
        <v>395877.57</v>
      </c>
      <c r="R74" s="100"/>
      <c r="S74" s="114">
        <f>L74-Q74</f>
        <v>-4480.4399999999441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f>+SUM(START:END!F75)</f>
        <v>113047.01571428572</v>
      </c>
      <c r="G75" s="83"/>
      <c r="H75" s="13"/>
      <c r="I75" s="30">
        <f>+SUM(START:END!I75)</f>
        <v>0</v>
      </c>
      <c r="J75" s="41"/>
      <c r="K75" s="13"/>
      <c r="L75" s="32">
        <f>+SUM(START:END!L75)</f>
        <v>80672.41</v>
      </c>
      <c r="M75" s="41"/>
      <c r="N75" s="59">
        <f t="shared" si="18"/>
        <v>-32374.605714285717</v>
      </c>
      <c r="O75" s="41"/>
      <c r="P75" s="13"/>
      <c r="Q75" s="32">
        <f>+SUM(START:END!Q75)</f>
        <v>75981.91</v>
      </c>
      <c r="R75" s="41"/>
      <c r="S75" s="85">
        <f>L75-Q75</f>
        <v>4690.5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f>+SUM(START:END!F76)</f>
        <v>0</v>
      </c>
      <c r="G76" s="83"/>
      <c r="H76" s="13"/>
      <c r="I76" s="30">
        <f>+SUM(START:END!I76)</f>
        <v>0</v>
      </c>
      <c r="J76" s="41"/>
      <c r="K76" s="13"/>
      <c r="L76" s="32">
        <f>+SUM(START:END!L76)</f>
        <v>0</v>
      </c>
      <c r="M76" s="41"/>
      <c r="N76" s="59">
        <f t="shared" si="18"/>
        <v>0</v>
      </c>
      <c r="O76" s="41"/>
      <c r="P76" s="13"/>
      <c r="Q76" s="32">
        <f>+SUM(START:END!Q76)</f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f>+SUM(START:END!F77)</f>
        <v>0</v>
      </c>
      <c r="G77" s="83"/>
      <c r="H77" s="13"/>
      <c r="I77" s="30">
        <f>+SUM(START:END!I77)</f>
        <v>0</v>
      </c>
      <c r="J77" s="41"/>
      <c r="K77" s="13"/>
      <c r="L77" s="32">
        <f>+SUM(START:END!L77)</f>
        <v>0</v>
      </c>
      <c r="M77" s="41"/>
      <c r="N77" s="59">
        <f t="shared" si="18"/>
        <v>0</v>
      </c>
      <c r="O77" s="41"/>
      <c r="P77" s="13"/>
      <c r="Q77" s="32">
        <f>+SUM(START:END!Q77)</f>
        <v>0</v>
      </c>
      <c r="R77" s="41"/>
      <c r="S77" s="85">
        <f t="shared" ref="S77:S82" si="19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f>+SUM(START:END!F78)</f>
        <v>137026.68571428573</v>
      </c>
      <c r="G78" s="83"/>
      <c r="H78" s="13"/>
      <c r="I78" s="30">
        <f>+SUM(START:END!I78)</f>
        <v>0</v>
      </c>
      <c r="J78" s="41"/>
      <c r="K78" s="13"/>
      <c r="L78" s="33">
        <f>+SUM(START:END!L78)</f>
        <v>151861</v>
      </c>
      <c r="M78" s="41"/>
      <c r="N78" s="59">
        <f t="shared" si="18"/>
        <v>14834.314285714267</v>
      </c>
      <c r="O78" s="41"/>
      <c r="P78" s="13"/>
      <c r="Q78" s="32">
        <f>+SUM(START:END!Q78)</f>
        <v>82883.199999999997</v>
      </c>
      <c r="R78" s="41"/>
      <c r="S78" s="85">
        <f t="shared" si="19"/>
        <v>68977.8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 t="shared" si="1"/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f>+SUM(START:END!F79)</f>
        <v>0</v>
      </c>
      <c r="G79" s="83"/>
      <c r="H79" s="13"/>
      <c r="I79" s="30">
        <f>+SUM(START:END!I79)</f>
        <v>0</v>
      </c>
      <c r="J79" s="41"/>
      <c r="K79" s="13"/>
      <c r="L79" s="33">
        <f>+SUM(START:END!L79)</f>
        <v>0</v>
      </c>
      <c r="M79" s="41"/>
      <c r="N79" s="59">
        <f t="shared" si="18"/>
        <v>0</v>
      </c>
      <c r="O79" s="41"/>
      <c r="P79" s="13"/>
      <c r="Q79" s="32">
        <f>+SUM(START:END!Q79)</f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 t="shared" si="1"/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f>+SUM(START:END!F80)</f>
        <v>0</v>
      </c>
      <c r="G80" s="83"/>
      <c r="H80" s="13"/>
      <c r="I80" s="30">
        <f>+SUM(START:END!I80)</f>
        <v>0</v>
      </c>
      <c r="J80" s="41"/>
      <c r="K80" s="13"/>
      <c r="L80" s="33">
        <f>+SUM(START:END!L80)</f>
        <v>0</v>
      </c>
      <c r="M80" s="41"/>
      <c r="N80" s="59">
        <f t="shared" si="18"/>
        <v>0</v>
      </c>
      <c r="O80" s="41"/>
      <c r="P80" s="13"/>
      <c r="Q80" s="32">
        <f>+SUM(START:END!Q80)</f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 t="shared" si="1"/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f>+SUM(START:END!F81)</f>
        <v>0</v>
      </c>
      <c r="G81" s="83"/>
      <c r="H81" s="13"/>
      <c r="I81" s="30">
        <f>+SUM(START:END!I81)</f>
        <v>0</v>
      </c>
      <c r="J81" s="41"/>
      <c r="K81" s="13"/>
      <c r="L81" s="33">
        <f>+SUM(START:END!L81)</f>
        <v>0</v>
      </c>
      <c r="M81" s="41"/>
      <c r="N81" s="59">
        <f t="shared" si="18"/>
        <v>0</v>
      </c>
      <c r="O81" s="41"/>
      <c r="P81" s="13"/>
      <c r="Q81" s="32">
        <f>+SUM(START:END!Q81)</f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si="1"/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f>+SUM(START:END!F82)</f>
        <v>44898.7</v>
      </c>
      <c r="G82" s="83"/>
      <c r="H82" s="13"/>
      <c r="I82" s="30">
        <f>+SUM(START:END!I82)</f>
        <v>0</v>
      </c>
      <c r="J82" s="41"/>
      <c r="K82" s="13"/>
      <c r="L82" s="32">
        <f>+SUM(START:END!L82)</f>
        <v>54145</v>
      </c>
      <c r="M82" s="41"/>
      <c r="N82" s="59">
        <f t="shared" si="18"/>
        <v>9246.3000000000029</v>
      </c>
      <c r="O82" s="41"/>
      <c r="P82" s="13"/>
      <c r="Q82" s="32">
        <f>+SUM(START:END!Q82)</f>
        <v>33320</v>
      </c>
      <c r="R82" s="41"/>
      <c r="S82" s="85">
        <f t="shared" si="19"/>
        <v>20825</v>
      </c>
      <c r="T82" s="13"/>
      <c r="U82" s="13"/>
      <c r="W82" s="483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1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294972.40142857144</v>
      </c>
      <c r="G83" s="97"/>
      <c r="H83" s="95"/>
      <c r="I83" s="96">
        <f>+SUM(I75:I82)</f>
        <v>0</v>
      </c>
      <c r="J83" s="97"/>
      <c r="K83" s="95"/>
      <c r="L83" s="96">
        <f>+SUM(L75:L82)</f>
        <v>286678.41000000003</v>
      </c>
      <c r="M83" s="100"/>
      <c r="N83" s="96">
        <f>+SUM(N75:N82)</f>
        <v>-8293.9914285714476</v>
      </c>
      <c r="O83" s="97"/>
      <c r="P83" s="95"/>
      <c r="Q83" s="96">
        <f>+SUM(Q75:Q82)</f>
        <v>192185.11</v>
      </c>
      <c r="R83" s="100"/>
      <c r="S83" s="101">
        <f>+SUM(S75:S82)</f>
        <v>94493.3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1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1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303819.45770319656</v>
      </c>
      <c r="G85" s="128"/>
      <c r="H85" s="126"/>
      <c r="I85" s="127">
        <f>I27-I74+I83</f>
        <v>0</v>
      </c>
      <c r="J85" s="128"/>
      <c r="K85" s="125"/>
      <c r="L85" s="127">
        <f>L27-L74+L83</f>
        <v>360538.49000000005</v>
      </c>
      <c r="M85" s="128"/>
      <c r="N85" s="127">
        <f>N27-N41-N54-N72+N83</f>
        <v>56719.032296803511</v>
      </c>
      <c r="O85" s="128"/>
      <c r="P85" s="125"/>
      <c r="Q85" s="127">
        <f>Q27-Q74+Q83</f>
        <v>115843.93999999959</v>
      </c>
      <c r="R85" s="128"/>
      <c r="S85" s="129">
        <f>S27-S41-S54-S72+S83</f>
        <v>244694.55000000045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  Q3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05" t="s">
        <v>5</v>
      </c>
      <c r="E91" s="506"/>
      <c r="F91" s="507"/>
      <c r="G91" s="508" t="s">
        <v>71</v>
      </c>
      <c r="H91" s="506"/>
      <c r="I91" s="507"/>
      <c r="J91" s="508" t="s">
        <v>7</v>
      </c>
      <c r="K91" s="506"/>
      <c r="L91" s="507"/>
      <c r="M91" s="508" t="s">
        <v>212</v>
      </c>
      <c r="N91" s="507"/>
      <c r="O91" s="505" t="s">
        <v>8</v>
      </c>
      <c r="P91" s="506"/>
      <c r="Q91" s="507"/>
      <c r="R91" s="503" t="s">
        <v>213</v>
      </c>
      <c r="S91" s="504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 t="s">
        <v>10</v>
      </c>
      <c r="H92" s="80" t="s">
        <v>11</v>
      </c>
      <c r="I92" s="134" t="s">
        <v>12</v>
      </c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13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99" si="20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f>+SUM(START:END!F93)</f>
        <v>5329644.2680214848</v>
      </c>
      <c r="G93" s="46"/>
      <c r="H93" s="25"/>
      <c r="I93" s="22">
        <f>+SUM(START:END!I93)</f>
        <v>0</v>
      </c>
      <c r="J93" s="23"/>
      <c r="K93" s="25"/>
      <c r="L93" s="22">
        <f>+SUM(START:END!L93)</f>
        <v>5150856.51</v>
      </c>
      <c r="M93" s="137"/>
      <c r="N93" s="138"/>
      <c r="O93" s="23"/>
      <c r="P93" s="25"/>
      <c r="Q93" s="22">
        <f>+SUM(START:END!Q93)</f>
        <v>3515379.8599999901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0"/>
        <v>Véhicules usagésCertifié</v>
      </c>
      <c r="B94" s="11" t="s">
        <v>70</v>
      </c>
      <c r="C94" s="29" t="s">
        <v>72</v>
      </c>
      <c r="D94" s="30">
        <f>+SUM(START:END!D94)</f>
        <v>38</v>
      </c>
      <c r="E94" s="30">
        <f>IF(D94=0,0,F94/D94)</f>
        <v>2400</v>
      </c>
      <c r="F94" s="30">
        <f>+SUM(START:END!F94)</f>
        <v>91200</v>
      </c>
      <c r="G94" s="31">
        <f>+SUM(START:END!G94)</f>
        <v>0</v>
      </c>
      <c r="H94" s="30">
        <f t="shared" ref="H94:H98" si="21">IF(G94=0,0,I94/G94)</f>
        <v>0</v>
      </c>
      <c r="I94" s="30">
        <f>+SUM(START:END!I94)</f>
        <v>0</v>
      </c>
      <c r="J94" s="31">
        <f>+SUM(START:END!J94)</f>
        <v>33</v>
      </c>
      <c r="K94" s="30">
        <f>IF(J94=0,0,L94/J94)</f>
        <v>2005.4145454545444</v>
      </c>
      <c r="L94" s="33">
        <f>+SUM(START:END!L94)</f>
        <v>66178.679999999964</v>
      </c>
      <c r="M94" s="31">
        <f>J94-D94</f>
        <v>-5</v>
      </c>
      <c r="N94" s="33">
        <f>L94-F94</f>
        <v>-25021.320000000036</v>
      </c>
      <c r="O94" s="31">
        <f>+SUM(START:END!O94)</f>
        <v>16</v>
      </c>
      <c r="P94" s="30">
        <f>IF(O94=0,0,Q94/O94)</f>
        <v>1934.9012499999926</v>
      </c>
      <c r="Q94" s="33">
        <f>+SUM(START:END!Q94)</f>
        <v>30958.419999999882</v>
      </c>
      <c r="R94" s="31">
        <f>J94-O94</f>
        <v>17</v>
      </c>
      <c r="S94" s="34">
        <f>L94-Q94</f>
        <v>35220.260000000082</v>
      </c>
      <c r="T94" s="13"/>
      <c r="U94" s="13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0"/>
        <v>Véhicules usagésNon Certifié</v>
      </c>
      <c r="B95" s="11" t="s">
        <v>70</v>
      </c>
      <c r="C95" s="29" t="s">
        <v>73</v>
      </c>
      <c r="D95" s="30">
        <f>+SUM(START:END!D95)</f>
        <v>9</v>
      </c>
      <c r="E95" s="30">
        <f>IF(D95=0,0,F95/D95)</f>
        <v>1400</v>
      </c>
      <c r="F95" s="30">
        <f>+SUM(START:END!F95)</f>
        <v>12600</v>
      </c>
      <c r="G95" s="31">
        <f>+SUM(START:END!G95)</f>
        <v>0</v>
      </c>
      <c r="H95" s="30">
        <f t="shared" si="21"/>
        <v>0</v>
      </c>
      <c r="I95" s="30">
        <f>+SUM(START:END!I95)</f>
        <v>0</v>
      </c>
      <c r="J95" s="31">
        <f>+SUM(START:END!J95)</f>
        <v>22</v>
      </c>
      <c r="K95" s="30">
        <f>IF(J95=0,0,L95/J95)</f>
        <v>2655.7845454545486</v>
      </c>
      <c r="L95" s="32">
        <f>+SUM(START:END!L95)</f>
        <v>58427.260000000068</v>
      </c>
      <c r="M95" s="31">
        <f>J95-D95</f>
        <v>13</v>
      </c>
      <c r="N95" s="33">
        <f>L95-F95</f>
        <v>45827.260000000068</v>
      </c>
      <c r="O95" s="31">
        <f>+SUM(START:END!O95)</f>
        <v>13</v>
      </c>
      <c r="P95" s="30">
        <f>IF(O95=0,0,Q95/O95)</f>
        <v>1331.8299999999992</v>
      </c>
      <c r="Q95" s="32">
        <f>+SUM(START:END!Q95)</f>
        <v>17313.78999999999</v>
      </c>
      <c r="R95" s="31">
        <f>J95-O95</f>
        <v>9</v>
      </c>
      <c r="S95" s="34">
        <f>L95-Q95</f>
        <v>41113.470000000074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>+B96&amp;C96</f>
        <v>Véhicules usagésAutres marques</v>
      </c>
      <c r="B96" s="11" t="s">
        <v>70</v>
      </c>
      <c r="C96" s="29" t="s">
        <v>206</v>
      </c>
      <c r="D96" s="30">
        <f>+SUM(START:END!D96)</f>
        <v>15</v>
      </c>
      <c r="E96" s="25">
        <f>IF(D96=0,0,F96/D96)</f>
        <v>1500</v>
      </c>
      <c r="F96" s="30">
        <f>+SUM(START:END!F96)</f>
        <v>22500</v>
      </c>
      <c r="G96" s="31">
        <f>+SUM(START:END!G96)</f>
        <v>0</v>
      </c>
      <c r="H96" s="30">
        <f t="shared" si="21"/>
        <v>0</v>
      </c>
      <c r="I96" s="30">
        <f>+SUM(START:END!I96)</f>
        <v>0</v>
      </c>
      <c r="J96" s="31">
        <f>+SUM(START:END!J96)</f>
        <v>9</v>
      </c>
      <c r="K96" s="30">
        <f>IF(J96=0,0,L96/J96)</f>
        <v>2541.6844444444455</v>
      </c>
      <c r="L96" s="32">
        <f>+SUM(START:END!L96)</f>
        <v>22875.160000000011</v>
      </c>
      <c r="M96" s="31">
        <f>J96-D96</f>
        <v>-6</v>
      </c>
      <c r="N96" s="33">
        <f>L96-F96</f>
        <v>375.16000000001077</v>
      </c>
      <c r="O96" s="31">
        <f>+SUM(START:END!O96)</f>
        <v>15</v>
      </c>
      <c r="P96" s="30">
        <f>IF(O96=0,0,Q96/O96)</f>
        <v>1266.665999999999</v>
      </c>
      <c r="Q96" s="32">
        <f>+SUM(START:END!Q96)</f>
        <v>18999.989999999987</v>
      </c>
      <c r="R96" s="31">
        <f>J96-O96</f>
        <v>-6</v>
      </c>
      <c r="S96" s="34">
        <f>L96-Q96</f>
        <v>3875.1700000000237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0"/>
        <v>Véhicules usagésTotal Usagés</v>
      </c>
      <c r="B97" s="11" t="s">
        <v>70</v>
      </c>
      <c r="C97" s="35" t="s">
        <v>74</v>
      </c>
      <c r="D97" s="36">
        <f>+D95+D94+D96</f>
        <v>62</v>
      </c>
      <c r="E97" s="30">
        <f>IF(D97=0,0,F97/D97)</f>
        <v>2037.0967741935483</v>
      </c>
      <c r="F97" s="37">
        <f>+F94+F95+F96</f>
        <v>126300</v>
      </c>
      <c r="G97" s="38">
        <f>+G95+G94+G96</f>
        <v>0</v>
      </c>
      <c r="H97" s="36">
        <f t="shared" si="21"/>
        <v>0</v>
      </c>
      <c r="I97" s="37">
        <f>+I94+I95+I96</f>
        <v>0</v>
      </c>
      <c r="J97" s="38">
        <f>+J95+J94+J96</f>
        <v>64</v>
      </c>
      <c r="K97" s="36">
        <f>IF(J97=0,0,L97/J97)</f>
        <v>2304.3921875000005</v>
      </c>
      <c r="L97" s="37">
        <f>+L94+L95+L96</f>
        <v>147481.10000000003</v>
      </c>
      <c r="M97" s="38">
        <f>J97-D97</f>
        <v>2</v>
      </c>
      <c r="N97" s="37">
        <f>L97-F97</f>
        <v>21181.100000000035</v>
      </c>
      <c r="O97" s="38">
        <f>+O95+O94+O96</f>
        <v>44</v>
      </c>
      <c r="P97" s="36">
        <f>IF(O97&lt;=0,0,Q97/O97)</f>
        <v>1528.9136363636333</v>
      </c>
      <c r="Q97" s="37">
        <f>+Q94+Q95+Q96</f>
        <v>67272.199999999866</v>
      </c>
      <c r="R97" s="38">
        <f>J97-O97</f>
        <v>20</v>
      </c>
      <c r="S97" s="39">
        <f>L97-Q97</f>
        <v>80208.900000000169</v>
      </c>
      <c r="T97" s="13"/>
      <c r="U97" s="13"/>
      <c r="W97" s="457"/>
      <c r="X97" s="13"/>
      <c r="Y97" s="13"/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0"/>
        <v>Véhicules usagés</v>
      </c>
      <c r="B98" s="11" t="s">
        <v>70</v>
      </c>
      <c r="C98" s="29"/>
      <c r="D98" s="13"/>
      <c r="E98" s="30"/>
      <c r="F98" s="40"/>
      <c r="G98" s="41"/>
      <c r="H98" s="13">
        <f t="shared" si="21"/>
        <v>0</v>
      </c>
      <c r="I98" s="40"/>
      <c r="J98" s="41"/>
      <c r="K98" s="13"/>
      <c r="L98" s="40"/>
      <c r="M98" s="42">
        <f>M97/D97</f>
        <v>3.2258064516129031E-2</v>
      </c>
      <c r="N98" s="43">
        <f>N97/F97</f>
        <v>0.16770467141726078</v>
      </c>
      <c r="O98" s="41"/>
      <c r="P98" s="13"/>
      <c r="Q98" s="40"/>
      <c r="R98" s="42">
        <f>R97/O97</f>
        <v>0.45454545454545453</v>
      </c>
      <c r="S98" s="44">
        <f>IF(Q97=0,0,(S97/Q97))</f>
        <v>1.1923038045433378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 t="shared" si="20"/>
        <v>Véhicules usagésRachat bail</v>
      </c>
      <c r="B99" s="11" t="s">
        <v>70</v>
      </c>
      <c r="C99" s="53" t="s">
        <v>23</v>
      </c>
      <c r="D99" s="30"/>
      <c r="E99" s="30"/>
      <c r="F99" s="30">
        <f>+SUM(START:END!F99)</f>
        <v>5463.3298370614675</v>
      </c>
      <c r="G99" s="31"/>
      <c r="H99" s="30"/>
      <c r="I99" s="30">
        <f>+SUM(START:END!I99)</f>
        <v>0</v>
      </c>
      <c r="J99" s="31"/>
      <c r="K99" s="30"/>
      <c r="L99" s="33">
        <f>+SUM(START:END!L99)</f>
        <v>4996</v>
      </c>
      <c r="M99" s="31"/>
      <c r="N99" s="33">
        <f>L99-F99</f>
        <v>-467.32983706146752</v>
      </c>
      <c r="O99" s="31"/>
      <c r="P99" s="30"/>
      <c r="Q99" s="33">
        <f>+SUM(START:END!Q99)</f>
        <v>7028</v>
      </c>
      <c r="R99" s="31">
        <f>O99-K99</f>
        <v>0</v>
      </c>
      <c r="S99" s="34">
        <f>L99-Q99</f>
        <v>-2032</v>
      </c>
      <c r="T99" s="13"/>
      <c r="U99" s="13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" si="22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ref="A101" si="23">+B101&amp;C101</f>
        <v>Véhicules usagésVentes au Gros</v>
      </c>
      <c r="B101" s="11" t="s">
        <v>70</v>
      </c>
      <c r="C101" s="29" t="s">
        <v>75</v>
      </c>
      <c r="D101" s="30">
        <f>+SUM(START:END!D101)</f>
        <v>65</v>
      </c>
      <c r="E101" s="30">
        <f>IF(D101=0,0,F101/D101)</f>
        <v>500</v>
      </c>
      <c r="F101" s="30">
        <f>+SUM(START:END!F101)</f>
        <v>32500</v>
      </c>
      <c r="G101" s="31">
        <f>+SUM(START:END!G101)</f>
        <v>0</v>
      </c>
      <c r="H101" s="30">
        <f t="shared" ref="H101" si="24">IF(G101=0,0,I101/G101)</f>
        <v>0</v>
      </c>
      <c r="I101" s="30">
        <f>+SUM(START:END!I101)</f>
        <v>0</v>
      </c>
      <c r="J101" s="31">
        <f>+SUM(START:END!J101)</f>
        <v>68</v>
      </c>
      <c r="K101" s="30">
        <f>IF(J101=0,0,L101/J101)</f>
        <v>605.31735294117675</v>
      </c>
      <c r="L101" s="33">
        <f>+SUM(START:END!L101)</f>
        <v>41161.580000000016</v>
      </c>
      <c r="M101" s="31">
        <f>J101-D101</f>
        <v>3</v>
      </c>
      <c r="N101" s="33">
        <f>L101-F101</f>
        <v>8661.5800000000163</v>
      </c>
      <c r="O101" s="31">
        <f>+SUM(START:END!O101)</f>
        <v>48</v>
      </c>
      <c r="P101" s="30">
        <f>IF(O101=0,0,Q101/O101)</f>
        <v>446.47041666666672</v>
      </c>
      <c r="Q101" s="33">
        <f>+SUM(START:END!Q101)</f>
        <v>21430.58</v>
      </c>
      <c r="R101" s="31">
        <f>J101-O101</f>
        <v>20</v>
      </c>
      <c r="S101" s="34">
        <f>L101-Q101</f>
        <v>19731.000000000015</v>
      </c>
      <c r="T101" s="13"/>
      <c r="U101" s="13"/>
      <c r="W101" s="457"/>
      <c r="X101" s="13"/>
      <c r="Y101" s="13"/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ref="A102" si="25">+B102&amp;C102</f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ref="A103" si="26">+B103&amp;C103</f>
        <v>Véhicules usagésRev. Finances</v>
      </c>
      <c r="B103" s="11" t="s">
        <v>70</v>
      </c>
      <c r="C103" s="29" t="s">
        <v>24</v>
      </c>
      <c r="D103" s="30">
        <f>+SUM(START:END!D103)</f>
        <v>0</v>
      </c>
      <c r="E103" s="30">
        <f>IF(D103=0,0,F103/D103)</f>
        <v>0</v>
      </c>
      <c r="F103" s="33">
        <f>+SUM(START:END!F103)</f>
        <v>21700</v>
      </c>
      <c r="G103" s="31">
        <f>+SUM(START:END!G103)</f>
        <v>0</v>
      </c>
      <c r="H103" s="30">
        <f>IF(G103=0,0,I103/G103)</f>
        <v>0</v>
      </c>
      <c r="I103" s="30">
        <f>+SUM(START:END!I103)</f>
        <v>0</v>
      </c>
      <c r="J103" s="31">
        <f>+SUM(START:END!J103)</f>
        <v>0</v>
      </c>
      <c r="K103" s="30">
        <f>IF(J103=0,0,L103/J103)</f>
        <v>0</v>
      </c>
      <c r="L103" s="33">
        <f>+SUM(START:END!L103)</f>
        <v>17770.7</v>
      </c>
      <c r="M103" s="31"/>
      <c r="N103" s="33">
        <f>L103-F103</f>
        <v>-3929.2999999999993</v>
      </c>
      <c r="O103" s="31">
        <f>+SUM(START:END!O103)</f>
        <v>0</v>
      </c>
      <c r="P103" s="30">
        <f>IF(O103=0,0,Q103/O103)</f>
        <v>0</v>
      </c>
      <c r="Q103" s="33">
        <f>+SUM(START:END!Q103)</f>
        <v>4758.8400000000011</v>
      </c>
      <c r="R103" s="31">
        <f>O103-K103</f>
        <v>0</v>
      </c>
      <c r="S103" s="34">
        <f>L103-Q103</f>
        <v>13011.86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ref="A104" si="27">+B104&amp;C104</f>
        <v>Véhicules usagésRev. Protections</v>
      </c>
      <c r="B104" s="11" t="s">
        <v>70</v>
      </c>
      <c r="C104" s="29" t="s">
        <v>25</v>
      </c>
      <c r="D104" s="30">
        <f>+SUM(START:END!D104)</f>
        <v>0</v>
      </c>
      <c r="E104" s="30">
        <f>IF(D104=0,0,F104/D104)</f>
        <v>0</v>
      </c>
      <c r="F104" s="33">
        <f>+SUM(START:END!F104)</f>
        <v>58900</v>
      </c>
      <c r="G104" s="31">
        <f>+SUM(START:END!G104)</f>
        <v>0</v>
      </c>
      <c r="H104" s="30">
        <f>IF(G104=0,0,I104/G104)</f>
        <v>0</v>
      </c>
      <c r="I104" s="30">
        <f>+SUM(START:END!I104)</f>
        <v>0</v>
      </c>
      <c r="J104" s="31">
        <f>+SUM(START:END!J104)</f>
        <v>0</v>
      </c>
      <c r="K104" s="30">
        <f>IF(J104=0,0,L104/J104)</f>
        <v>0</v>
      </c>
      <c r="L104" s="33">
        <f>+SUM(START:END!L104)</f>
        <v>23401</v>
      </c>
      <c r="M104" s="31"/>
      <c r="N104" s="33">
        <f>L104-F104</f>
        <v>-35499</v>
      </c>
      <c r="O104" s="31">
        <f>+SUM(START:END!O104)</f>
        <v>0</v>
      </c>
      <c r="P104" s="30">
        <f>IF(O104=0,0,Q104/O104)</f>
        <v>0</v>
      </c>
      <c r="Q104" s="33">
        <f>+SUM(START:END!Q104)</f>
        <v>37693.859999999986</v>
      </c>
      <c r="R104" s="31">
        <f>O104-K104</f>
        <v>0</v>
      </c>
      <c r="S104" s="34">
        <f>L104-Q104</f>
        <v>-14292.859999999986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ref="A105" si="28">+B105&amp;C105</f>
        <v>Véhicules usagésRev. Autres</v>
      </c>
      <c r="B105" s="11" t="s">
        <v>70</v>
      </c>
      <c r="C105" s="29" t="s">
        <v>26</v>
      </c>
      <c r="D105" s="30">
        <f>+SUM(START:END!D105)</f>
        <v>0</v>
      </c>
      <c r="E105" s="47">
        <f>IF(D105=0,0,F105/D105)</f>
        <v>0</v>
      </c>
      <c r="F105" s="33">
        <f>+SUM(START:END!F105)</f>
        <v>12400</v>
      </c>
      <c r="G105" s="31">
        <f>+SUM(START:END!G105)</f>
        <v>0</v>
      </c>
      <c r="H105" s="47">
        <f>IF(G105=0,0,I105/G105)</f>
        <v>0</v>
      </c>
      <c r="I105" s="30">
        <f>+SUM(START:END!I105)</f>
        <v>0</v>
      </c>
      <c r="J105" s="31">
        <f>+SUM(START:END!J105)</f>
        <v>0</v>
      </c>
      <c r="K105" s="47">
        <f>IF(J105=0,0,L105/J105)</f>
        <v>0</v>
      </c>
      <c r="L105" s="33">
        <f>+SUM(START:END!L105)</f>
        <v>1590.5299999999997</v>
      </c>
      <c r="M105" s="51"/>
      <c r="N105" s="33">
        <f>L105-F105</f>
        <v>-10809.470000000001</v>
      </c>
      <c r="O105" s="31">
        <f>+SUM(START:END!O105)</f>
        <v>0</v>
      </c>
      <c r="P105" s="47">
        <f>IF(O105=0,0,Q105/O105)</f>
        <v>0</v>
      </c>
      <c r="Q105" s="33">
        <f>+SUM(START:END!Q105)</f>
        <v>16785.429999999898</v>
      </c>
      <c r="R105" s="31">
        <f>O105-K105</f>
        <v>0</v>
      </c>
      <c r="S105" s="34">
        <f>L105-Q105</f>
        <v>-15194.8999999999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ref="A106" si="29">+B106&amp;C106</f>
        <v>Véhicules usagésTotal F&amp;I</v>
      </c>
      <c r="B106" s="11" t="s">
        <v>70</v>
      </c>
      <c r="C106" s="35" t="s">
        <v>27</v>
      </c>
      <c r="D106" s="36">
        <f>D98</f>
        <v>0</v>
      </c>
      <c r="E106" s="30">
        <f>IF(D106=0,0,F106/D106)</f>
        <v>0</v>
      </c>
      <c r="F106" s="37">
        <f>F103+F104+F105</f>
        <v>93000</v>
      </c>
      <c r="G106" s="38">
        <f>G98</f>
        <v>0</v>
      </c>
      <c r="H106" s="36">
        <f>IF(G106=0,0,I106/G106)</f>
        <v>0</v>
      </c>
      <c r="I106" s="37">
        <f>I103+I104+I105</f>
        <v>0</v>
      </c>
      <c r="J106" s="38">
        <f>J98</f>
        <v>0</v>
      </c>
      <c r="K106" s="36">
        <f>IF(J106&lt;=0,0,L106/J106)</f>
        <v>0</v>
      </c>
      <c r="L106" s="37">
        <f>L103+L104+L105</f>
        <v>42762.229999999996</v>
      </c>
      <c r="M106" s="31">
        <f>J106-D106</f>
        <v>0</v>
      </c>
      <c r="N106" s="37">
        <f>L106-F106</f>
        <v>-50237.770000000004</v>
      </c>
      <c r="O106" s="38">
        <f>O98</f>
        <v>0</v>
      </c>
      <c r="P106" s="36">
        <f>IF(O106&lt;=0,0,Q106/O106)</f>
        <v>0</v>
      </c>
      <c r="Q106" s="37">
        <f>Q103+Q104+Q105</f>
        <v>59238.129999999888</v>
      </c>
      <c r="R106" s="56"/>
      <c r="S106" s="39">
        <f>L106-Q106</f>
        <v>-16475.899999999892</v>
      </c>
      <c r="T106" s="13"/>
      <c r="U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ref="A107" si="30">+B107&amp;C107</f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-0.54019107526881727</v>
      </c>
      <c r="O107" s="41"/>
      <c r="P107" s="13"/>
      <c r="Q107" s="59"/>
      <c r="R107" s="60"/>
      <c r="S107" s="44">
        <f>IF(Q106=0,0,(S106/Q106))</f>
        <v>-0.27812998148320894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ref="A108:A110" si="31">+B108&amp;C108</f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127</v>
      </c>
      <c r="E109" s="67">
        <f>IF(D109&lt;=0,0,F109/D109)</f>
        <v>2025.6955105280431</v>
      </c>
      <c r="F109" s="65">
        <f>F97+F106+F101+F99</f>
        <v>257263.32983706146</v>
      </c>
      <c r="G109" s="66"/>
      <c r="H109" s="67"/>
      <c r="I109" s="65"/>
      <c r="J109" s="66">
        <f>J97+J101</f>
        <v>132</v>
      </c>
      <c r="K109" s="67">
        <f>IF(J109&lt;=0,0,L109/J109)</f>
        <v>1790.9159848484851</v>
      </c>
      <c r="L109" s="65">
        <f>L97+L106+L101+L99</f>
        <v>236400.91000000003</v>
      </c>
      <c r="M109" s="66">
        <f>J109-D109</f>
        <v>5</v>
      </c>
      <c r="N109" s="65">
        <f>L109-F109</f>
        <v>-20862.419837061432</v>
      </c>
      <c r="O109" s="66">
        <f>O97+O101</f>
        <v>92</v>
      </c>
      <c r="P109" s="67">
        <f>IF(O109&lt;=0,0,Q109/O109)</f>
        <v>1684.4446739130406</v>
      </c>
      <c r="Q109" s="65">
        <f>Q97+Q106+Q101+Q99</f>
        <v>154968.90999999974</v>
      </c>
      <c r="R109" s="66">
        <f>J109-O109</f>
        <v>40</v>
      </c>
      <c r="S109" s="68">
        <f>L109-Q109</f>
        <v>81432.000000000291</v>
      </c>
      <c r="T109" s="13"/>
      <c r="U109" s="13"/>
      <c r="W109" s="11"/>
      <c r="X109" s="484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3.937007874015748E-2</v>
      </c>
      <c r="N110" s="74">
        <f>N109/F109</f>
        <v>-8.1093639930240782E-2</v>
      </c>
      <c r="O110" s="72"/>
      <c r="P110" s="70"/>
      <c r="Q110" s="71"/>
      <c r="R110" s="73">
        <f>O109/R109</f>
        <v>2.2999999999999998</v>
      </c>
      <c r="S110" s="144">
        <f>IF(Q109=0,0,(S109/Q109))</f>
        <v>0.52547314167725923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ref="A111" si="32">+B111&amp;C111</f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ref="A112" si="33">+B112&amp;C112</f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ref="A113" si="34">+B113&amp;C113</f>
        <v>Véhicules usagésComm. vendeurs</v>
      </c>
      <c r="B113" s="11" t="s">
        <v>70</v>
      </c>
      <c r="C113" s="29" t="s">
        <v>30</v>
      </c>
      <c r="D113" s="147">
        <f>F113/(F98+F106)</f>
        <v>0.47038393572563186</v>
      </c>
      <c r="E113" s="82">
        <f>F113/D$97</f>
        <v>705.57590358844777</v>
      </c>
      <c r="F113" s="30">
        <f>+SUM(START:END!F113)</f>
        <v>43745.706022483762</v>
      </c>
      <c r="G113" s="156" t="e">
        <f>I113/I98</f>
        <v>#DIV/0!</v>
      </c>
      <c r="H113" s="82" t="e">
        <f>I113/G$97</f>
        <v>#DIV/0!</v>
      </c>
      <c r="I113" s="30">
        <f>+SUM(START:END!I113)</f>
        <v>0</v>
      </c>
      <c r="J113" s="156" t="e">
        <f>L113/L98</f>
        <v>#DIV/0!</v>
      </c>
      <c r="K113" s="82">
        <f>IF($J$97=0,0,L113/(J$94+J$95))</f>
        <v>1129.7669090909089</v>
      </c>
      <c r="L113" s="33">
        <f>+SUM(START:END!L113)</f>
        <v>62137.179999999993</v>
      </c>
      <c r="M113" s="41"/>
      <c r="N113" s="59">
        <f t="shared" ref="N113:N131" si="35">L113-F113</f>
        <v>18391.473977516231</v>
      </c>
      <c r="O113" s="156" t="e">
        <f>Q113/Q98</f>
        <v>#DIV/0!</v>
      </c>
      <c r="P113" s="82">
        <f>IF($J$97=0,0,Q113/(O$94+O$95))</f>
        <v>675.35724137931038</v>
      </c>
      <c r="Q113" s="33">
        <f>+SUM(START:END!Q113)</f>
        <v>19585.36</v>
      </c>
      <c r="R113" s="41"/>
      <c r="S113" s="85">
        <f t="shared" ref="S113:S118" si="36">L113-Q113</f>
        <v>42551.819999999992</v>
      </c>
      <c r="T113" s="13"/>
      <c r="U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ref="A114" si="37">+B114&amp;C114</f>
        <v>Véhicules usagésComm. F&amp;I</v>
      </c>
      <c r="B114" s="11" t="s">
        <v>70</v>
      </c>
      <c r="C114" s="86" t="s">
        <v>31</v>
      </c>
      <c r="D114" s="217">
        <f>F114/(F106+F20)</f>
        <v>0.27</v>
      </c>
      <c r="E114" s="88">
        <f>F114/D$97</f>
        <v>405</v>
      </c>
      <c r="F114" s="22">
        <f>+SUM(START:END!F114)</f>
        <v>25110</v>
      </c>
      <c r="G114" s="161" t="e">
        <f>I114/I99</f>
        <v>#DIV/0!</v>
      </c>
      <c r="H114" s="88" t="e">
        <f>I114/G$97</f>
        <v>#DIV/0!</v>
      </c>
      <c r="I114" s="22">
        <f>+SUM(START:END!I114)</f>
        <v>0</v>
      </c>
      <c r="J114" s="161">
        <f>L114/L106</f>
        <v>0.15747214305708568</v>
      </c>
      <c r="K114" s="88">
        <f>IF($J$97=0,0,L114/(J$94+J$95))</f>
        <v>122.4338181818182</v>
      </c>
      <c r="L114" s="33">
        <f>+SUM(START:END!L114)</f>
        <v>6733.8600000000006</v>
      </c>
      <c r="M114" s="23"/>
      <c r="N114" s="91">
        <f t="shared" si="35"/>
        <v>-18376.14</v>
      </c>
      <c r="O114" s="161">
        <f>Q114/(Q106+Q20)</f>
        <v>0.23312248377860723</v>
      </c>
      <c r="P114" s="88">
        <f>IF($J$97=0,0,Q114/(O$94+O$95))</f>
        <v>476.19793103448274</v>
      </c>
      <c r="Q114" s="33">
        <f>+SUM(START:END!Q114)</f>
        <v>13809.74</v>
      </c>
      <c r="R114" s="23"/>
      <c r="S114" s="92">
        <f t="shared" si="36"/>
        <v>-7075.8799999999992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ref="A115" si="38">+B115&amp;C115</f>
        <v>Véhicules usagésFrais de livraison</v>
      </c>
      <c r="B115" s="11" t="s">
        <v>70</v>
      </c>
      <c r="C115" s="29" t="s">
        <v>32</v>
      </c>
      <c r="D115" s="81"/>
      <c r="E115" s="82">
        <f>F115/D$97</f>
        <v>85</v>
      </c>
      <c r="F115" s="30">
        <f>+SUM(START:END!F115)</f>
        <v>5270</v>
      </c>
      <c r="G115" s="83"/>
      <c r="H115" s="82" t="e">
        <f>I115/G$97</f>
        <v>#DIV/0!</v>
      </c>
      <c r="I115" s="30">
        <f>+SUM(START:END!I115)</f>
        <v>0</v>
      </c>
      <c r="J115" s="41"/>
      <c r="K115" s="82">
        <f>IF($J$97=0,0,L115/(J$94+J$95))</f>
        <v>34.198545454545453</v>
      </c>
      <c r="L115" s="108">
        <f>+SUM(START:END!L115)</f>
        <v>1880.92</v>
      </c>
      <c r="M115" s="41"/>
      <c r="N115" s="59">
        <f t="shared" si="35"/>
        <v>-3389.08</v>
      </c>
      <c r="O115" s="41"/>
      <c r="P115" s="82">
        <f>IF($J$97=0,0,Q115/(O$94+O$95))</f>
        <v>136.09931034482759</v>
      </c>
      <c r="Q115" s="108">
        <f>+SUM(START:END!Q115)</f>
        <v>3946.88</v>
      </c>
      <c r="R115" s="41"/>
      <c r="S115" s="85">
        <f t="shared" si="36"/>
        <v>-2065.96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ref="A116" si="39">+B116&amp;C116</f>
        <v>Véhicules usagésService gratuit 1</v>
      </c>
      <c r="B116" s="11" t="s">
        <v>70</v>
      </c>
      <c r="C116" s="29" t="s">
        <v>33</v>
      </c>
      <c r="D116" s="81"/>
      <c r="E116" s="82">
        <f t="shared" ref="E116:E122" si="40">F116/D$97</f>
        <v>80</v>
      </c>
      <c r="F116" s="30">
        <f>+SUM(START:END!F116)</f>
        <v>4960</v>
      </c>
      <c r="G116" s="83"/>
      <c r="H116" s="82" t="e">
        <f t="shared" ref="H116:H122" si="41">I116/G$97</f>
        <v>#DIV/0!</v>
      </c>
      <c r="I116" s="30">
        <f>+SUM(START:END!I116)</f>
        <v>0</v>
      </c>
      <c r="J116" s="41"/>
      <c r="K116" s="82">
        <f t="shared" ref="K116:K122" si="42">IF($J$97=0,0,L116/(J$94+J$95))</f>
        <v>141.49309090909091</v>
      </c>
      <c r="L116" s="33">
        <f>+SUM(START:END!L116)</f>
        <v>7782.1200000000008</v>
      </c>
      <c r="M116" s="41"/>
      <c r="N116" s="59">
        <f t="shared" si="35"/>
        <v>2822.1200000000008</v>
      </c>
      <c r="O116" s="41"/>
      <c r="P116" s="82">
        <f t="shared" ref="P116:P122" si="43">IF($J$97=0,0,Q116/(O$94+O$95))</f>
        <v>83.28896551724138</v>
      </c>
      <c r="Q116" s="33">
        <f>+SUM(START:END!Q116)</f>
        <v>2415.38</v>
      </c>
      <c r="R116" s="41"/>
      <c r="S116" s="85">
        <f t="shared" si="36"/>
        <v>5366.7400000000007</v>
      </c>
      <c r="T116" s="13"/>
      <c r="U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ref="A117" si="44">+B117&amp;C117</f>
        <v>Véhicules usagésEntretien stock</v>
      </c>
      <c r="B117" s="11" t="s">
        <v>70</v>
      </c>
      <c r="C117" s="86" t="s">
        <v>34</v>
      </c>
      <c r="D117" s="87"/>
      <c r="E117" s="88">
        <f t="shared" si="40"/>
        <v>48.467741935483872</v>
      </c>
      <c r="F117" s="22">
        <f>+SUM(START:END!F117)</f>
        <v>3005</v>
      </c>
      <c r="G117" s="89"/>
      <c r="H117" s="88" t="e">
        <f t="shared" si="41"/>
        <v>#DIV/0!</v>
      </c>
      <c r="I117" s="22">
        <f>+SUM(START:END!I117)</f>
        <v>0</v>
      </c>
      <c r="J117" s="23"/>
      <c r="K117" s="88">
        <f t="shared" si="42"/>
        <v>68.063454545454547</v>
      </c>
      <c r="L117" s="48">
        <f>+SUM(START:END!L117)</f>
        <v>3743.4900000000002</v>
      </c>
      <c r="M117" s="23"/>
      <c r="N117" s="91">
        <f t="shared" si="35"/>
        <v>738.49000000000024</v>
      </c>
      <c r="O117" s="23"/>
      <c r="P117" s="88">
        <f t="shared" si="43"/>
        <v>355.99103448275866</v>
      </c>
      <c r="Q117" s="48">
        <f>+SUM(START:END!Q117)</f>
        <v>10323.740000000002</v>
      </c>
      <c r="R117" s="23"/>
      <c r="S117" s="92">
        <f t="shared" si="36"/>
        <v>-6580.2500000000018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ref="A118" si="45">+B118&amp;C118</f>
        <v>Véhicules usagésPublicité 1</v>
      </c>
      <c r="B118" s="11" t="s">
        <v>70</v>
      </c>
      <c r="C118" s="29" t="s">
        <v>35</v>
      </c>
      <c r="D118" s="81"/>
      <c r="E118" s="82">
        <f t="shared" si="40"/>
        <v>51.16935483870968</v>
      </c>
      <c r="F118" s="30">
        <f>+SUM(START:END!F118)</f>
        <v>3172.5</v>
      </c>
      <c r="G118" s="83"/>
      <c r="H118" s="82" t="e">
        <f t="shared" si="41"/>
        <v>#DIV/0!</v>
      </c>
      <c r="I118" s="30">
        <f>+SUM(START:END!I118)</f>
        <v>0</v>
      </c>
      <c r="J118" s="41"/>
      <c r="K118" s="82">
        <f t="shared" si="42"/>
        <v>92.509999999999991</v>
      </c>
      <c r="L118" s="33">
        <f>+SUM(START:END!L118)</f>
        <v>5088.0499999999993</v>
      </c>
      <c r="M118" s="41"/>
      <c r="N118" s="59">
        <f t="shared" si="35"/>
        <v>1915.5499999999993</v>
      </c>
      <c r="O118" s="41"/>
      <c r="P118" s="82">
        <f t="shared" si="43"/>
        <v>485.10206896551728</v>
      </c>
      <c r="Q118" s="33">
        <f>+SUM(START:END!Q118)</f>
        <v>14067.960000000001</v>
      </c>
      <c r="R118" s="41"/>
      <c r="S118" s="85">
        <f t="shared" si="36"/>
        <v>-8979.9100000000017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 t="shared" ref="A119" si="46"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40"/>
        <v>354.27016710735046</v>
      </c>
      <c r="F119" s="30">
        <f>+SUM(START:END!F119)</f>
        <v>21964.750360655729</v>
      </c>
      <c r="G119" s="83"/>
      <c r="H119" s="82" t="e">
        <f t="shared" si="41"/>
        <v>#DIV/0!</v>
      </c>
      <c r="I119" s="30">
        <f>+SUM(START:END!I119)</f>
        <v>0</v>
      </c>
      <c r="J119" s="41"/>
      <c r="K119" s="82">
        <f t="shared" si="42"/>
        <v>336.87090909090909</v>
      </c>
      <c r="L119" s="33">
        <f>+SUM(START:END!L119)</f>
        <v>18527.900000000001</v>
      </c>
      <c r="M119" s="41"/>
      <c r="N119" s="59">
        <f t="shared" si="35"/>
        <v>-3436.8503606557279</v>
      </c>
      <c r="O119" s="41"/>
      <c r="P119" s="82">
        <f t="shared" si="43"/>
        <v>364.48310344827587</v>
      </c>
      <c r="Q119" s="33">
        <f>+SUM(START:END!Q119)</f>
        <v>10570.01</v>
      </c>
      <c r="R119" s="41"/>
      <c r="S119" s="85">
        <f>L119-Q119</f>
        <v>7957.8900000000012</v>
      </c>
      <c r="T119" s="13"/>
      <c r="U119" s="13"/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 t="shared" ref="A120" si="47">+B120&amp;C120</f>
        <v>Véhicules usagés[...]</v>
      </c>
      <c r="B120" s="11" t="s">
        <v>70</v>
      </c>
      <c r="C120" s="29" t="s">
        <v>19</v>
      </c>
      <c r="D120" s="81"/>
      <c r="E120" s="82">
        <f t="shared" si="40"/>
        <v>0</v>
      </c>
      <c r="F120" s="30">
        <f>+SUM(START:END!F120)</f>
        <v>0</v>
      </c>
      <c r="G120" s="83"/>
      <c r="H120" s="82" t="e">
        <f t="shared" si="41"/>
        <v>#DIV/0!</v>
      </c>
      <c r="I120" s="30">
        <f>+SUM(START:END!I120)</f>
        <v>0</v>
      </c>
      <c r="J120" s="41"/>
      <c r="K120" s="82">
        <f t="shared" si="42"/>
        <v>0</v>
      </c>
      <c r="L120" s="33">
        <f>+SUM(START:END!L120)</f>
        <v>0</v>
      </c>
      <c r="M120" s="41"/>
      <c r="N120" s="59">
        <f t="shared" si="35"/>
        <v>0</v>
      </c>
      <c r="O120" s="41"/>
      <c r="P120" s="82">
        <f t="shared" si="43"/>
        <v>0</v>
      </c>
      <c r="Q120" s="33">
        <f>+SUM(START:END!Q120)</f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 t="shared" ref="A121" si="48">+B121&amp;C121</f>
        <v>Véhicules usagés[...]</v>
      </c>
      <c r="B121" s="11" t="s">
        <v>70</v>
      </c>
      <c r="C121" s="29" t="s">
        <v>19</v>
      </c>
      <c r="D121" s="81"/>
      <c r="E121" s="82">
        <f t="shared" si="40"/>
        <v>0</v>
      </c>
      <c r="F121" s="30">
        <f>+SUM(START:END!F121)</f>
        <v>0</v>
      </c>
      <c r="G121" s="83"/>
      <c r="H121" s="82" t="e">
        <f t="shared" si="41"/>
        <v>#DIV/0!</v>
      </c>
      <c r="I121" s="30">
        <f>+SUM(START:END!I121)</f>
        <v>0</v>
      </c>
      <c r="J121" s="41"/>
      <c r="K121" s="82">
        <f t="shared" si="42"/>
        <v>0</v>
      </c>
      <c r="L121" s="33">
        <f>+SUM(START:END!L121)</f>
        <v>0</v>
      </c>
      <c r="M121" s="41"/>
      <c r="N121" s="59">
        <f t="shared" si="35"/>
        <v>0</v>
      </c>
      <c r="O121" s="41"/>
      <c r="P121" s="82">
        <f t="shared" si="43"/>
        <v>0</v>
      </c>
      <c r="Q121" s="33">
        <f>+SUM(START:END!Q121)</f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 t="shared" ref="A122" si="49">+B122&amp;C122</f>
        <v>Véhicules usagés[...]</v>
      </c>
      <c r="B122" s="11" t="s">
        <v>70</v>
      </c>
      <c r="C122" s="29" t="s">
        <v>19</v>
      </c>
      <c r="D122" s="81"/>
      <c r="E122" s="82">
        <f t="shared" si="40"/>
        <v>0</v>
      </c>
      <c r="F122" s="30">
        <f>+SUM(START:END!F122)</f>
        <v>0</v>
      </c>
      <c r="G122" s="83"/>
      <c r="H122" s="82" t="e">
        <f t="shared" si="41"/>
        <v>#DIV/0!</v>
      </c>
      <c r="I122" s="30">
        <f>+SUM(START:END!I122)</f>
        <v>0</v>
      </c>
      <c r="J122" s="41"/>
      <c r="K122" s="82">
        <f t="shared" si="42"/>
        <v>0</v>
      </c>
      <c r="L122" s="33">
        <f>+SUM(START:END!L122)</f>
        <v>0</v>
      </c>
      <c r="M122" s="41"/>
      <c r="N122" s="59">
        <f t="shared" si="35"/>
        <v>0</v>
      </c>
      <c r="O122" s="41"/>
      <c r="P122" s="82">
        <f t="shared" si="43"/>
        <v>0</v>
      </c>
      <c r="Q122" s="33">
        <f>+SUM(START:END!Q122)</f>
        <v>0</v>
      </c>
      <c r="R122" s="41"/>
      <c r="S122" s="85">
        <f t="shared" ref="S122:S127" si="50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" si="51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 t="e">
        <f>F123/F$108</f>
        <v>#DIV/0!</v>
      </c>
      <c r="F123" s="96">
        <f>SUM(F113:F122)</f>
        <v>107227.95638313949</v>
      </c>
      <c r="G123" s="97" t="s">
        <v>38</v>
      </c>
      <c r="H123" s="95" t="e">
        <f>I123/I$108</f>
        <v>#DIV/0!</v>
      </c>
      <c r="I123" s="96">
        <f>SUM(I113:I122)</f>
        <v>0</v>
      </c>
      <c r="J123" s="97" t="s">
        <v>38</v>
      </c>
      <c r="K123" s="95" t="e">
        <f>L123/L$108</f>
        <v>#DIV/0!</v>
      </c>
      <c r="L123" s="96">
        <f>SUM(L113:L122)</f>
        <v>105893.51999999999</v>
      </c>
      <c r="M123" s="100"/>
      <c r="N123" s="96">
        <f t="shared" si="35"/>
        <v>-1334.4363831395021</v>
      </c>
      <c r="O123" s="97" t="s">
        <v>38</v>
      </c>
      <c r="P123" s="95" t="e">
        <f>Q123/Q$108</f>
        <v>#DIV/0!</v>
      </c>
      <c r="Q123" s="96">
        <f>SUM(Q113:Q122)</f>
        <v>74719.069999999992</v>
      </c>
      <c r="R123" s="100"/>
      <c r="S123" s="101">
        <f t="shared" si="50"/>
        <v>31174.449999999997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ref="A124" si="52">+B124&amp;C124</f>
        <v>Véhicules usagésSalaires cadres</v>
      </c>
      <c r="B124" s="11" t="s">
        <v>70</v>
      </c>
      <c r="C124" s="102" t="s">
        <v>40</v>
      </c>
      <c r="D124" s="13"/>
      <c r="E124" s="13"/>
      <c r="F124" s="30">
        <f>+SUM(START:END!F124)</f>
        <v>19290.439149425285</v>
      </c>
      <c r="G124" s="41"/>
      <c r="H124" s="13"/>
      <c r="I124" s="30">
        <f>+SUM(START:END!I124)</f>
        <v>0</v>
      </c>
      <c r="J124" s="41"/>
      <c r="K124" s="13"/>
      <c r="L124" s="33">
        <f>+SUM(START:END!L124)</f>
        <v>19622.34</v>
      </c>
      <c r="M124" s="41"/>
      <c r="N124" s="59">
        <f t="shared" si="35"/>
        <v>331.90085057471515</v>
      </c>
      <c r="O124" s="41"/>
      <c r="P124" s="13"/>
      <c r="Q124" s="33">
        <f>+SUM(START:END!Q124)</f>
        <v>9330.369999999999</v>
      </c>
      <c r="R124" s="41"/>
      <c r="S124" s="85">
        <f t="shared" si="50"/>
        <v>10291.970000000001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ref="A125" si="53">+B125&amp;C125</f>
        <v>Véhicules usagésSalaires commis</v>
      </c>
      <c r="B125" s="11" t="s">
        <v>70</v>
      </c>
      <c r="C125" s="103" t="s">
        <v>41</v>
      </c>
      <c r="D125" s="81"/>
      <c r="E125" s="13"/>
      <c r="F125" s="22">
        <f>+SUM(START:END!F125)</f>
        <v>5912.1837816091938</v>
      </c>
      <c r="G125" s="83"/>
      <c r="H125" s="13"/>
      <c r="I125" s="22">
        <f>+SUM(START:END!I125)</f>
        <v>0</v>
      </c>
      <c r="J125" s="41"/>
      <c r="K125" s="13"/>
      <c r="L125" s="22">
        <f>+SUM(START:END!L125)</f>
        <v>3793.9400000000005</v>
      </c>
      <c r="M125" s="41"/>
      <c r="N125" s="59">
        <f t="shared" si="35"/>
        <v>-2118.2437816091933</v>
      </c>
      <c r="O125" s="41"/>
      <c r="P125" s="13"/>
      <c r="Q125" s="22">
        <f>+SUM(START:END!Q125)</f>
        <v>8989.98</v>
      </c>
      <c r="R125" s="41"/>
      <c r="S125" s="85">
        <f t="shared" si="50"/>
        <v>-5196.0399999999991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ref="A126" si="54">+B126&amp;C126</f>
        <v>Véhicules usagésSalaires autres</v>
      </c>
      <c r="B126" s="11" t="s">
        <v>70</v>
      </c>
      <c r="C126" s="102" t="s">
        <v>42</v>
      </c>
      <c r="D126" s="104"/>
      <c r="E126" s="105"/>
      <c r="F126" s="30">
        <f>+SUM(START:END!F126)</f>
        <v>0</v>
      </c>
      <c r="G126" s="106"/>
      <c r="H126" s="105"/>
      <c r="I126" s="30">
        <f>+SUM(START:END!I126)</f>
        <v>0</v>
      </c>
      <c r="J126" s="107"/>
      <c r="K126" s="105"/>
      <c r="L126" s="33">
        <f>+SUM(START:END!L126)</f>
        <v>0</v>
      </c>
      <c r="M126" s="107"/>
      <c r="N126" s="109">
        <f t="shared" si="35"/>
        <v>0</v>
      </c>
      <c r="O126" s="107"/>
      <c r="P126" s="105"/>
      <c r="Q126" s="33">
        <f>+SUM(START:END!Q126)</f>
        <v>8427</v>
      </c>
      <c r="R126" s="107"/>
      <c r="S126" s="110">
        <f t="shared" si="50"/>
        <v>-8427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ref="A127" si="55">+B127&amp;C127</f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f>+SUM(START:END!F127)</f>
        <v>0</v>
      </c>
      <c r="G127" s="83"/>
      <c r="H127" s="13"/>
      <c r="I127" s="30">
        <f>+SUM(START:END!I127)</f>
        <v>0</v>
      </c>
      <c r="J127" s="41"/>
      <c r="K127" s="13"/>
      <c r="L127" s="33">
        <f>+SUM(START:END!L127)</f>
        <v>0</v>
      </c>
      <c r="M127" s="41"/>
      <c r="N127" s="59">
        <f t="shared" si="35"/>
        <v>0</v>
      </c>
      <c r="O127" s="41"/>
      <c r="P127" s="13"/>
      <c r="Q127" s="33">
        <f>+SUM(START:END!Q127)</f>
        <v>0</v>
      </c>
      <c r="R127" s="41"/>
      <c r="S127" s="85">
        <f t="shared" si="50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 t="shared" ref="A128" si="56"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f>+SUM(START:END!F128)</f>
        <v>0</v>
      </c>
      <c r="G128" s="83"/>
      <c r="H128" s="13"/>
      <c r="I128" s="30">
        <f>+SUM(START:END!I128)</f>
        <v>0</v>
      </c>
      <c r="J128" s="41"/>
      <c r="K128" s="13"/>
      <c r="L128" s="33">
        <f>+SUM(START:END!L128)</f>
        <v>0</v>
      </c>
      <c r="M128" s="41"/>
      <c r="N128" s="59">
        <f t="shared" si="35"/>
        <v>0</v>
      </c>
      <c r="O128" s="41"/>
      <c r="P128" s="13"/>
      <c r="Q128" s="33">
        <f>+SUM(START:END!Q128)</f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 t="shared" ref="A129" si="57"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f>+SUM(START:END!F129)</f>
        <v>0</v>
      </c>
      <c r="G129" s="83"/>
      <c r="H129" s="13"/>
      <c r="I129" s="30">
        <f>+SUM(START:END!I129)</f>
        <v>0</v>
      </c>
      <c r="J129" s="41"/>
      <c r="K129" s="13"/>
      <c r="L129" s="33">
        <f>+SUM(START:END!L129)</f>
        <v>0</v>
      </c>
      <c r="M129" s="41"/>
      <c r="N129" s="59">
        <f t="shared" si="35"/>
        <v>0</v>
      </c>
      <c r="O129" s="41"/>
      <c r="P129" s="13"/>
      <c r="Q129" s="33">
        <f>+SUM(START:END!Q129)</f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 t="shared" ref="A130" si="58"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f>+SUM(START:END!F130)</f>
        <v>0</v>
      </c>
      <c r="G130" s="83"/>
      <c r="H130" s="13"/>
      <c r="I130" s="30">
        <f>+SUM(START:END!I130)</f>
        <v>0</v>
      </c>
      <c r="J130" s="41"/>
      <c r="K130" s="13"/>
      <c r="L130" s="33">
        <f>+SUM(START:END!L130)</f>
        <v>0</v>
      </c>
      <c r="M130" s="41"/>
      <c r="N130" s="59">
        <f t="shared" si="35"/>
        <v>0</v>
      </c>
      <c r="O130" s="41"/>
      <c r="P130" s="13"/>
      <c r="Q130" s="33">
        <f>+SUM(START:END!Q130)</f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" si="59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f>+SUM(START:END!F131)</f>
        <v>12231.090715919432</v>
      </c>
      <c r="G131" s="83"/>
      <c r="H131" s="13"/>
      <c r="I131" s="30">
        <f>+SUM(START:END!I131)</f>
        <v>0</v>
      </c>
      <c r="J131" s="41"/>
      <c r="K131" s="13"/>
      <c r="L131" s="33">
        <f>+SUM(START:END!L131)</f>
        <v>9368.86</v>
      </c>
      <c r="M131" s="41"/>
      <c r="N131" s="59">
        <f t="shared" si="35"/>
        <v>-2862.2307159194315</v>
      </c>
      <c r="O131" s="41"/>
      <c r="P131" s="13"/>
      <c r="Q131" s="33">
        <f>+SUM(START:END!Q131)</f>
        <v>10358.509999999998</v>
      </c>
      <c r="R131" s="41"/>
      <c r="S131" s="85">
        <f>L131-Q131</f>
        <v>-989.64999999999782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ref="A132" si="60">+B132&amp;C132</f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f>+SUM(START:END!F132)</f>
        <v>12565.893970483854</v>
      </c>
      <c r="G132" s="106"/>
      <c r="H132" s="105"/>
      <c r="I132" s="54">
        <f>+SUM(START:END!I132)</f>
        <v>0</v>
      </c>
      <c r="J132" s="107"/>
      <c r="K132" s="105"/>
      <c r="L132" s="55">
        <f>+SUM(START:END!L132)</f>
        <v>9914.48</v>
      </c>
      <c r="M132" s="107"/>
      <c r="N132" s="109">
        <f t="shared" ref="N132:N154" si="61">L132-F132</f>
        <v>-2651.4139704838544</v>
      </c>
      <c r="O132" s="107"/>
      <c r="P132" s="105"/>
      <c r="Q132" s="55">
        <f>+SUM(START:END!Q132)</f>
        <v>7787.3099999999995</v>
      </c>
      <c r="R132" s="107"/>
      <c r="S132" s="110">
        <f t="shared" ref="S132:S149" si="62">L132-Q132</f>
        <v>2127.17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ref="A133" si="63">+B133&amp;C133</f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f>+SUM(START:END!F133)</f>
        <v>8896.2352489500881</v>
      </c>
      <c r="G133" s="83"/>
      <c r="H133" s="13"/>
      <c r="I133" s="30">
        <f>+SUM(START:END!I133)</f>
        <v>0</v>
      </c>
      <c r="J133" s="41"/>
      <c r="K133" s="13"/>
      <c r="L133" s="33">
        <f>+SUM(START:END!L133)</f>
        <v>4960.84</v>
      </c>
      <c r="M133" s="41"/>
      <c r="N133" s="59">
        <f t="shared" si="61"/>
        <v>-3935.395248950088</v>
      </c>
      <c r="O133" s="41"/>
      <c r="P133" s="13"/>
      <c r="Q133" s="33">
        <f>+SUM(START:END!Q133)</f>
        <v>6712.41</v>
      </c>
      <c r="R133" s="41"/>
      <c r="S133" s="85">
        <f t="shared" si="62"/>
        <v>-1751.5699999999997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ref="A134" si="64">+B134&amp;C134</f>
        <v>Véhicules usagésCsst</v>
      </c>
      <c r="B134" s="11" t="s">
        <v>70</v>
      </c>
      <c r="C134" s="102" t="s">
        <v>47</v>
      </c>
      <c r="D134" s="81"/>
      <c r="E134" s="13"/>
      <c r="F134" s="30">
        <f>+SUM(START:END!F134)</f>
        <v>2490.9458697060245</v>
      </c>
      <c r="G134" s="83"/>
      <c r="H134" s="13"/>
      <c r="I134" s="30">
        <f>+SUM(START:END!I134)</f>
        <v>0</v>
      </c>
      <c r="J134" s="41"/>
      <c r="K134" s="13"/>
      <c r="L134" s="33">
        <f>+SUM(START:END!L134)</f>
        <v>1574.8600000000001</v>
      </c>
      <c r="M134" s="41"/>
      <c r="N134" s="59">
        <f t="shared" si="61"/>
        <v>-916.08586970602437</v>
      </c>
      <c r="O134" s="41"/>
      <c r="P134" s="13"/>
      <c r="Q134" s="33">
        <f>+SUM(START:END!Q134)</f>
        <v>1206.0500000000002</v>
      </c>
      <c r="R134" s="41"/>
      <c r="S134" s="85">
        <f t="shared" si="62"/>
        <v>368.80999999999995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ref="A135" si="65">+B135&amp;C135</f>
        <v>Véhicules usagés[...]</v>
      </c>
      <c r="B135" s="11" t="s">
        <v>70</v>
      </c>
      <c r="C135" s="29" t="s">
        <v>19</v>
      </c>
      <c r="D135" s="87"/>
      <c r="E135" s="111"/>
      <c r="F135" s="30">
        <f>+SUM(START:END!F135)</f>
        <v>0</v>
      </c>
      <c r="G135" s="89"/>
      <c r="H135" s="111"/>
      <c r="I135" s="30">
        <f>+SUM(START:END!I135)</f>
        <v>0</v>
      </c>
      <c r="J135" s="23"/>
      <c r="K135" s="111"/>
      <c r="L135" s="33">
        <f>+SUM(START:END!L135)</f>
        <v>0</v>
      </c>
      <c r="M135" s="41"/>
      <c r="N135" s="59">
        <f t="shared" si="61"/>
        <v>0</v>
      </c>
      <c r="O135" s="23"/>
      <c r="P135" s="111"/>
      <c r="Q135" s="33">
        <f>+SUM(START:END!Q135)</f>
        <v>0</v>
      </c>
      <c r="R135" s="23"/>
      <c r="S135" s="92">
        <f t="shared" si="6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ref="A136" si="66">+B136&amp;C136</f>
        <v>Véhicules usagésTOTAL PERSONNEL</v>
      </c>
      <c r="B136" s="11" t="s">
        <v>70</v>
      </c>
      <c r="C136" s="93" t="s">
        <v>48</v>
      </c>
      <c r="D136" s="94" t="s">
        <v>38</v>
      </c>
      <c r="E136" s="95" t="e">
        <f>F136/F$108</f>
        <v>#DIV/0!</v>
      </c>
      <c r="F136" s="96">
        <f>+SUM(F124:F135)</f>
        <v>61386.788736093884</v>
      </c>
      <c r="G136" s="97" t="s">
        <v>38</v>
      </c>
      <c r="H136" s="95" t="e">
        <f>I136/I$108</f>
        <v>#DIV/0!</v>
      </c>
      <c r="I136" s="96">
        <f>+SUM(I124:I135)</f>
        <v>0</v>
      </c>
      <c r="J136" s="97" t="s">
        <v>38</v>
      </c>
      <c r="K136" s="95" t="e">
        <f>L136/L$108</f>
        <v>#DIV/0!</v>
      </c>
      <c r="L136" s="96">
        <f>SUM(L124:L135)</f>
        <v>49235.319999999992</v>
      </c>
      <c r="M136" s="458"/>
      <c r="N136" s="459">
        <f t="shared" si="61"/>
        <v>-12151.468736093891</v>
      </c>
      <c r="O136" s="97" t="s">
        <v>38</v>
      </c>
      <c r="P136" s="95" t="e">
        <f>Q136/Q$108</f>
        <v>#DIV/0!</v>
      </c>
      <c r="Q136" s="96">
        <f>SUM(Q124:Q135)</f>
        <v>52811.630000000005</v>
      </c>
      <c r="R136" s="146"/>
      <c r="S136" s="114">
        <f t="shared" si="62"/>
        <v>-3576.3100000000122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ref="A137" si="67">+B137&amp;C137</f>
        <v>Véhicules usagésPublicité 2</v>
      </c>
      <c r="B137" s="11" t="s">
        <v>70</v>
      </c>
      <c r="C137" s="29" t="s">
        <v>49</v>
      </c>
      <c r="D137" s="81"/>
      <c r="E137" s="13"/>
      <c r="F137" s="30">
        <f>+SUM(START:END!F137)</f>
        <v>0</v>
      </c>
      <c r="G137" s="83"/>
      <c r="H137" s="13"/>
      <c r="I137" s="30">
        <f>+SUM(START:END!I137)</f>
        <v>0</v>
      </c>
      <c r="J137" s="41"/>
      <c r="K137" s="13"/>
      <c r="L137" s="33">
        <f>+SUM(START:END!L137)</f>
        <v>0</v>
      </c>
      <c r="M137" s="41"/>
      <c r="N137" s="59">
        <f t="shared" si="61"/>
        <v>0</v>
      </c>
      <c r="O137" s="41"/>
      <c r="P137" s="13"/>
      <c r="Q137" s="33">
        <f>+SUM(START:END!Q137)</f>
        <v>0</v>
      </c>
      <c r="R137" s="41"/>
      <c r="S137" s="85">
        <f t="shared" si="6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ref="A138" si="68">+B138&amp;C138</f>
        <v>Véhicules usagésService gratuit 2</v>
      </c>
      <c r="B138" s="11" t="s">
        <v>70</v>
      </c>
      <c r="C138" s="29" t="s">
        <v>50</v>
      </c>
      <c r="D138" s="81"/>
      <c r="E138" s="13"/>
      <c r="F138" s="30">
        <f>+SUM(START:END!F138)</f>
        <v>0</v>
      </c>
      <c r="G138" s="83"/>
      <c r="H138" s="13"/>
      <c r="I138" s="30">
        <f>+SUM(START:END!I138)</f>
        <v>0</v>
      </c>
      <c r="J138" s="41"/>
      <c r="K138" s="13"/>
      <c r="L138" s="33">
        <f>+SUM(START:END!L138)</f>
        <v>0</v>
      </c>
      <c r="M138" s="41"/>
      <c r="N138" s="59">
        <f t="shared" si="61"/>
        <v>0</v>
      </c>
      <c r="O138" s="41"/>
      <c r="P138" s="13"/>
      <c r="Q138" s="33">
        <f>+SUM(START:END!Q138)</f>
        <v>0</v>
      </c>
      <c r="R138" s="41"/>
      <c r="S138" s="85">
        <f t="shared" si="6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ref="A139" si="69">+B139&amp;C139</f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f>+SUM(START:END!F139)</f>
        <v>2290.75</v>
      </c>
      <c r="G139" s="89"/>
      <c r="H139" s="111"/>
      <c r="I139" s="22">
        <f>+SUM(START:END!I139)</f>
        <v>0</v>
      </c>
      <c r="J139" s="23"/>
      <c r="K139" s="111"/>
      <c r="L139" s="22">
        <f>+SUM(START:END!L139)</f>
        <v>972.65000000000009</v>
      </c>
      <c r="M139" s="23"/>
      <c r="N139" s="91">
        <f t="shared" si="61"/>
        <v>-1318.1</v>
      </c>
      <c r="O139" s="23"/>
      <c r="P139" s="111"/>
      <c r="Q139" s="22">
        <f>+SUM(START:END!Q139)</f>
        <v>3104.84</v>
      </c>
      <c r="R139" s="23"/>
      <c r="S139" s="92">
        <f t="shared" si="62"/>
        <v>-2132.19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ref="A140" si="70">+B140&amp;C140</f>
        <v>Véhicules usagésInformatique</v>
      </c>
      <c r="B140" s="11" t="s">
        <v>70</v>
      </c>
      <c r="C140" s="29" t="s">
        <v>52</v>
      </c>
      <c r="D140" s="81"/>
      <c r="E140" s="13"/>
      <c r="F140" s="30">
        <f>+SUM(START:END!F140)</f>
        <v>12253.545</v>
      </c>
      <c r="G140" s="83"/>
      <c r="H140" s="13"/>
      <c r="I140" s="30">
        <f>+SUM(START:END!I140)</f>
        <v>0</v>
      </c>
      <c r="J140" s="41"/>
      <c r="K140" s="13"/>
      <c r="L140" s="33">
        <f>+SUM(START:END!L140)</f>
        <v>14129.37</v>
      </c>
      <c r="M140" s="41"/>
      <c r="N140" s="59">
        <f t="shared" si="61"/>
        <v>1875.8250000000007</v>
      </c>
      <c r="O140" s="41"/>
      <c r="P140" s="13"/>
      <c r="Q140" s="33">
        <f>+SUM(START:END!Q140)</f>
        <v>4209</v>
      </c>
      <c r="R140" s="41"/>
      <c r="S140" s="85">
        <f t="shared" si="62"/>
        <v>9920.3700000000008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ref="A141" si="71">+B141&amp;C141</f>
        <v>Véhicules usagésFrais de déplacement</v>
      </c>
      <c r="B141" s="11" t="s">
        <v>70</v>
      </c>
      <c r="C141" s="29" t="s">
        <v>53</v>
      </c>
      <c r="D141" s="81"/>
      <c r="E141" s="13"/>
      <c r="F141" s="30">
        <f>+SUM(START:END!F141)</f>
        <v>1496.25</v>
      </c>
      <c r="G141" s="83"/>
      <c r="H141" s="13"/>
      <c r="I141" s="30">
        <f>+SUM(START:END!I141)</f>
        <v>0</v>
      </c>
      <c r="J141" s="41"/>
      <c r="K141" s="13"/>
      <c r="L141" s="33">
        <f>+SUM(START:END!L141)</f>
        <v>3026.63</v>
      </c>
      <c r="M141" s="41"/>
      <c r="N141" s="59">
        <f t="shared" si="61"/>
        <v>1530.38</v>
      </c>
      <c r="O141" s="41"/>
      <c r="P141" s="13"/>
      <c r="Q141" s="33">
        <f>+SUM(START:END!Q141)</f>
        <v>315.37</v>
      </c>
      <c r="R141" s="41"/>
      <c r="S141" s="85">
        <f t="shared" si="62"/>
        <v>2711.26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ref="A142" si="72">+B142&amp;C142</f>
        <v>Véhicules usagésServices extérieurs</v>
      </c>
      <c r="B142" s="11" t="s">
        <v>70</v>
      </c>
      <c r="C142" s="86" t="s">
        <v>54</v>
      </c>
      <c r="D142" s="87"/>
      <c r="E142" s="111"/>
      <c r="F142" s="22">
        <f>+SUM(START:END!F142)</f>
        <v>8693.6710000000003</v>
      </c>
      <c r="G142" s="89"/>
      <c r="H142" s="111"/>
      <c r="I142" s="22">
        <f>+SUM(START:END!I142)</f>
        <v>0</v>
      </c>
      <c r="J142" s="23"/>
      <c r="K142" s="111"/>
      <c r="L142" s="22">
        <f>+SUM(START:END!L142)</f>
        <v>11164.45</v>
      </c>
      <c r="M142" s="23"/>
      <c r="N142" s="91">
        <f t="shared" si="61"/>
        <v>2470.7790000000005</v>
      </c>
      <c r="O142" s="23"/>
      <c r="P142" s="111"/>
      <c r="Q142" s="22">
        <f>+SUM(START:END!Q142)</f>
        <v>2059.0600000000004</v>
      </c>
      <c r="R142" s="23"/>
      <c r="S142" s="92">
        <f t="shared" si="62"/>
        <v>9105.39</v>
      </c>
      <c r="T142" s="13"/>
      <c r="U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ref="A143" si="73">+B143&amp;C143</f>
        <v>Véhicules usagésFournitures autres</v>
      </c>
      <c r="B143" s="11" t="s">
        <v>70</v>
      </c>
      <c r="C143" s="29" t="s">
        <v>55</v>
      </c>
      <c r="D143" s="81"/>
      <c r="E143" s="13"/>
      <c r="F143" s="30">
        <f>+SUM(START:END!F143)</f>
        <v>41.25</v>
      </c>
      <c r="G143" s="83"/>
      <c r="H143" s="13"/>
      <c r="I143" s="30">
        <f>+SUM(START:END!I143)</f>
        <v>0</v>
      </c>
      <c r="J143" s="41"/>
      <c r="K143" s="13"/>
      <c r="L143" s="33">
        <f>+SUM(START:END!L143)</f>
        <v>127.70999999999998</v>
      </c>
      <c r="M143" s="41"/>
      <c r="N143" s="59">
        <f t="shared" si="61"/>
        <v>86.45999999999998</v>
      </c>
      <c r="O143" s="41"/>
      <c r="P143" s="13"/>
      <c r="Q143" s="33">
        <f>+SUM(START:END!Q143)</f>
        <v>38.129999999999995</v>
      </c>
      <c r="R143" s="41"/>
      <c r="S143" s="85">
        <f t="shared" si="62"/>
        <v>89.579999999999984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ref="A144" si="74">+B144&amp;C144</f>
        <v>Véhicules usagésUniformes</v>
      </c>
      <c r="B144" s="11" t="s">
        <v>70</v>
      </c>
      <c r="C144" s="29" t="s">
        <v>56</v>
      </c>
      <c r="D144" s="81"/>
      <c r="E144" s="13"/>
      <c r="F144" s="30">
        <f>+SUM(START:END!F144)</f>
        <v>22.5</v>
      </c>
      <c r="G144" s="83"/>
      <c r="H144" s="13"/>
      <c r="I144" s="30">
        <f>+SUM(START:END!I144)</f>
        <v>0</v>
      </c>
      <c r="J144" s="41"/>
      <c r="K144" s="13"/>
      <c r="L144" s="33">
        <f>+SUM(START:END!L144)</f>
        <v>69.930000000000007</v>
      </c>
      <c r="M144" s="41"/>
      <c r="N144" s="59">
        <f t="shared" si="61"/>
        <v>47.430000000000007</v>
      </c>
      <c r="O144" s="41"/>
      <c r="P144" s="13"/>
      <c r="Q144" s="33">
        <f>+SUM(START:END!Q144)</f>
        <v>0</v>
      </c>
      <c r="R144" s="41"/>
      <c r="S144" s="85">
        <f t="shared" si="62"/>
        <v>69.930000000000007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ref="A145" si="75">+B145&amp;C145</f>
        <v>Véhicules usagésPapeterie</v>
      </c>
      <c r="B145" s="11" t="s">
        <v>70</v>
      </c>
      <c r="C145" s="29" t="s">
        <v>57</v>
      </c>
      <c r="D145" s="81"/>
      <c r="E145" s="13"/>
      <c r="F145" s="30">
        <f>+SUM(START:END!F145)</f>
        <v>652.5</v>
      </c>
      <c r="G145" s="83"/>
      <c r="H145" s="13"/>
      <c r="I145" s="30">
        <f>+SUM(START:END!I145)</f>
        <v>0</v>
      </c>
      <c r="J145" s="41"/>
      <c r="K145" s="13"/>
      <c r="L145" s="32">
        <f>+SUM(START:END!L145)</f>
        <v>735.3</v>
      </c>
      <c r="M145" s="41"/>
      <c r="N145" s="59">
        <f t="shared" si="61"/>
        <v>82.799999999999955</v>
      </c>
      <c r="O145" s="41"/>
      <c r="P145" s="13"/>
      <c r="Q145" s="32">
        <f>+SUM(START:END!Q145)</f>
        <v>540.12</v>
      </c>
      <c r="R145" s="41"/>
      <c r="S145" s="85">
        <f t="shared" si="62"/>
        <v>195.17999999999995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ref="A146" si="76">+B146&amp;C146</f>
        <v>Véhicules usagésTéléphone</v>
      </c>
      <c r="B146" s="11" t="s">
        <v>70</v>
      </c>
      <c r="C146" s="29" t="s">
        <v>58</v>
      </c>
      <c r="D146" s="81"/>
      <c r="E146" s="13"/>
      <c r="F146" s="30">
        <f>+SUM(START:END!F146)</f>
        <v>190.05</v>
      </c>
      <c r="G146" s="83"/>
      <c r="H146" s="13"/>
      <c r="I146" s="30">
        <f>+SUM(START:END!I146)</f>
        <v>0</v>
      </c>
      <c r="J146" s="41"/>
      <c r="K146" s="13"/>
      <c r="L146" s="33">
        <f>+SUM(START:END!L146)</f>
        <v>238.97000000000003</v>
      </c>
      <c r="M146" s="41"/>
      <c r="N146" s="59">
        <f t="shared" si="61"/>
        <v>48.920000000000016</v>
      </c>
      <c r="O146" s="41"/>
      <c r="P146" s="13"/>
      <c r="Q146" s="33">
        <f>+SUM(START:END!Q146)</f>
        <v>192.26999999999998</v>
      </c>
      <c r="R146" s="41"/>
      <c r="S146" s="85">
        <f t="shared" si="62"/>
        <v>46.700000000000045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ref="A147" si="77">+B147&amp;C147</f>
        <v>Véhicules usagésFrais postaux</v>
      </c>
      <c r="B147" s="11" t="s">
        <v>70</v>
      </c>
      <c r="C147" s="29" t="s">
        <v>59</v>
      </c>
      <c r="D147" s="81"/>
      <c r="E147" s="13"/>
      <c r="F147" s="30">
        <f>+SUM(START:END!F147)</f>
        <v>254.99999999999994</v>
      </c>
      <c r="G147" s="83"/>
      <c r="H147" s="13"/>
      <c r="I147" s="30">
        <f>+SUM(START:END!I147)</f>
        <v>0</v>
      </c>
      <c r="J147" s="41"/>
      <c r="K147" s="13"/>
      <c r="L147" s="33">
        <f>+SUM(START:END!L147)</f>
        <v>323.83999999999997</v>
      </c>
      <c r="M147" s="41"/>
      <c r="N147" s="59">
        <f t="shared" si="61"/>
        <v>68.840000000000032</v>
      </c>
      <c r="O147" s="41"/>
      <c r="P147" s="13"/>
      <c r="Q147" s="33">
        <f>+SUM(START:END!Q147)</f>
        <v>432.43000000000006</v>
      </c>
      <c r="R147" s="41"/>
      <c r="S147" s="85">
        <f t="shared" si="62"/>
        <v>-108.59000000000009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ref="A148" si="78">+B148&amp;C148</f>
        <v>Véhicules usagésDivers</v>
      </c>
      <c r="B148" s="11" t="s">
        <v>70</v>
      </c>
      <c r="C148" s="29" t="s">
        <v>60</v>
      </c>
      <c r="D148" s="81"/>
      <c r="E148" s="13"/>
      <c r="F148" s="30">
        <f>+SUM(START:END!F148)</f>
        <v>716.74999999999989</v>
      </c>
      <c r="G148" s="83"/>
      <c r="H148" s="13"/>
      <c r="I148" s="30">
        <f>+SUM(START:END!I148)</f>
        <v>0</v>
      </c>
      <c r="J148" s="41"/>
      <c r="K148" s="13"/>
      <c r="L148" s="33">
        <f>+SUM(START:END!L148)</f>
        <v>576.74</v>
      </c>
      <c r="M148" s="41"/>
      <c r="N148" s="59">
        <f t="shared" si="61"/>
        <v>-140.00999999999988</v>
      </c>
      <c r="O148" s="41"/>
      <c r="P148" s="13"/>
      <c r="Q148" s="33">
        <f>+SUM(START:END!Q148)</f>
        <v>699.67000000000007</v>
      </c>
      <c r="R148" s="41"/>
      <c r="S148" s="85">
        <f t="shared" si="62"/>
        <v>-122.93000000000006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ref="A149" si="79">+B149&amp;C149</f>
        <v>Véhicules usagésFormation</v>
      </c>
      <c r="B149" s="11" t="s">
        <v>70</v>
      </c>
      <c r="C149" s="29" t="s">
        <v>61</v>
      </c>
      <c r="D149" s="81"/>
      <c r="E149" s="13"/>
      <c r="F149" s="30">
        <f>+SUM(START:END!F149)</f>
        <v>343.0440000000001</v>
      </c>
      <c r="G149" s="83"/>
      <c r="H149" s="13"/>
      <c r="I149" s="30">
        <f>+SUM(START:END!I149)</f>
        <v>0</v>
      </c>
      <c r="J149" s="41"/>
      <c r="K149" s="13"/>
      <c r="L149" s="59">
        <f>+SUM(START:END!L149)</f>
        <v>722.28</v>
      </c>
      <c r="M149" s="41"/>
      <c r="N149" s="59">
        <f t="shared" si="61"/>
        <v>379.23599999999988</v>
      </c>
      <c r="O149" s="41"/>
      <c r="P149" s="13"/>
      <c r="Q149" s="33">
        <f>+SUM(START:END!Q149)</f>
        <v>113.97</v>
      </c>
      <c r="R149" s="41"/>
      <c r="S149" s="85">
        <f t="shared" si="62"/>
        <v>608.30999999999995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 t="shared" ref="A150" si="80"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f>+SUM(START:END!F150)</f>
        <v>3850.8258074825458</v>
      </c>
      <c r="G150" s="83"/>
      <c r="H150" s="13"/>
      <c r="I150" s="30">
        <f>+SUM(START:END!I150)</f>
        <v>0</v>
      </c>
      <c r="J150" s="41"/>
      <c r="K150" s="13"/>
      <c r="L150" s="33">
        <f>+SUM(START:END!L150)</f>
        <v>3178.4700000000003</v>
      </c>
      <c r="M150" s="41"/>
      <c r="N150" s="59">
        <f t="shared" si="61"/>
        <v>-672.35580748254552</v>
      </c>
      <c r="O150" s="41"/>
      <c r="P150" s="13"/>
      <c r="Q150" s="33">
        <f>+SUM(START:END!Q150)</f>
        <v>1637.42</v>
      </c>
      <c r="R150" s="41"/>
      <c r="S150" s="85">
        <f>L150-Q150</f>
        <v>1541.0500000000002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 t="shared" ref="A151" si="81"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f>+SUM(START:END!F151)</f>
        <v>0</v>
      </c>
      <c r="G151" s="83"/>
      <c r="H151" s="13"/>
      <c r="I151" s="30">
        <f>+SUM(START:END!I151)</f>
        <v>0</v>
      </c>
      <c r="J151" s="41"/>
      <c r="K151" s="13"/>
      <c r="L151" s="33">
        <f>+SUM(START:END!L151)</f>
        <v>0</v>
      </c>
      <c r="M151" s="41"/>
      <c r="N151" s="59">
        <f t="shared" si="61"/>
        <v>0</v>
      </c>
      <c r="O151" s="41"/>
      <c r="P151" s="13"/>
      <c r="Q151" s="33">
        <f>+SUM(START:END!Q151)</f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 t="shared" ref="A152" si="82"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f>+SUM(START:END!F152)</f>
        <v>0</v>
      </c>
      <c r="G152" s="83"/>
      <c r="H152" s="13"/>
      <c r="I152" s="30">
        <f>+SUM(START:END!I152)</f>
        <v>0</v>
      </c>
      <c r="J152" s="41"/>
      <c r="K152" s="13"/>
      <c r="L152" s="33">
        <f>+SUM(START:END!L152)</f>
        <v>0</v>
      </c>
      <c r="M152" s="41"/>
      <c r="N152" s="59">
        <f t="shared" si="61"/>
        <v>0</v>
      </c>
      <c r="O152" s="41"/>
      <c r="P152" s="13"/>
      <c r="Q152" s="33">
        <f>+SUM(START:END!Q152)</f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 t="shared" ref="A153" si="83"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f>+SUM(START:END!F153)</f>
        <v>0</v>
      </c>
      <c r="G153" s="83"/>
      <c r="H153" s="13"/>
      <c r="I153" s="30">
        <f>+SUM(START:END!I153)</f>
        <v>0</v>
      </c>
      <c r="J153" s="41"/>
      <c r="K153" s="13"/>
      <c r="L153" s="33">
        <f>+SUM(START:END!L153)</f>
        <v>0</v>
      </c>
      <c r="M153" s="41"/>
      <c r="N153" s="59">
        <f t="shared" si="61"/>
        <v>0</v>
      </c>
      <c r="O153" s="41"/>
      <c r="P153" s="13"/>
      <c r="Q153" s="33">
        <f>+SUM(START:END!Q153)</f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" si="84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 t="e">
        <f>F154/F$108</f>
        <v>#DIV/0!</v>
      </c>
      <c r="F154" s="96">
        <f>+SUM(F137:F153)</f>
        <v>30806.135807482548</v>
      </c>
      <c r="G154" s="97" t="s">
        <v>38</v>
      </c>
      <c r="H154" s="95" t="e">
        <f>I154/I$108</f>
        <v>#DIV/0!</v>
      </c>
      <c r="I154" s="96">
        <f>+SUM(I137:I153)</f>
        <v>0</v>
      </c>
      <c r="J154" s="97" t="s">
        <v>38</v>
      </c>
      <c r="K154" s="95" t="e">
        <f>L154/L$108</f>
        <v>#DIV/0!</v>
      </c>
      <c r="L154" s="96">
        <f>+SUM(L137:L153)</f>
        <v>35266.340000000004</v>
      </c>
      <c r="M154" s="100"/>
      <c r="N154" s="96">
        <f t="shared" si="61"/>
        <v>4460.2041925174562</v>
      </c>
      <c r="O154" s="97" t="s">
        <v>38</v>
      </c>
      <c r="P154" s="95" t="e">
        <f>Q154/Q$108</f>
        <v>#DIV/0!</v>
      </c>
      <c r="Q154" s="96">
        <f>+SUM(Q137:Q153)</f>
        <v>13342.28</v>
      </c>
      <c r="R154" s="100"/>
      <c r="S154" s="101">
        <f>L154-Q154</f>
        <v>21924.060000000005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ref="A155" si="85">+B155&amp;C155</f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ref="A156" si="86">+B156&amp;C156</f>
        <v>Véhicules usagésTOTAL DES DÉPENSES</v>
      </c>
      <c r="B156" s="11" t="s">
        <v>70</v>
      </c>
      <c r="C156" s="93" t="s">
        <v>64</v>
      </c>
      <c r="D156" s="94" t="s">
        <v>38</v>
      </c>
      <c r="E156" s="95" t="e">
        <f>F156/F$108</f>
        <v>#DIV/0!</v>
      </c>
      <c r="F156" s="96">
        <f>F123+F136+F154</f>
        <v>199420.88092671594</v>
      </c>
      <c r="G156" s="97" t="s">
        <v>38</v>
      </c>
      <c r="H156" s="95" t="e">
        <f>I156/I$108</f>
        <v>#DIV/0!</v>
      </c>
      <c r="I156" s="96">
        <f>I123+I136+I154</f>
        <v>0</v>
      </c>
      <c r="J156" s="97" t="s">
        <v>38</v>
      </c>
      <c r="K156" s="95" t="e">
        <f>L156/L$108</f>
        <v>#DIV/0!</v>
      </c>
      <c r="L156" s="96">
        <f>L123+L136+L154</f>
        <v>190395.17999999996</v>
      </c>
      <c r="M156" s="100"/>
      <c r="N156" s="113">
        <f t="shared" ref="N156:N163" si="87">L156-F156</f>
        <v>-9025.7009267159738</v>
      </c>
      <c r="O156" s="97" t="s">
        <v>38</v>
      </c>
      <c r="P156" s="95" t="e">
        <f>Q156/Q$108</f>
        <v>#DIV/0!</v>
      </c>
      <c r="Q156" s="96">
        <f>Q123+Q136+Q154</f>
        <v>140872.98000000001</v>
      </c>
      <c r="R156" s="100"/>
      <c r="S156" s="114">
        <f t="shared" ref="S156:S163" si="88">L156-Q156</f>
        <v>49522.199999999953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ref="A157" si="89">+B157&amp;C157</f>
        <v>Véhicules usagésRBSC used</v>
      </c>
      <c r="B157" s="11" t="s">
        <v>70</v>
      </c>
      <c r="C157" s="29" t="s">
        <v>217</v>
      </c>
      <c r="D157" s="148"/>
      <c r="E157" s="149"/>
      <c r="F157" s="30">
        <f>+SUM(START:END!F157)</f>
        <v>14250</v>
      </c>
      <c r="G157" s="150"/>
      <c r="H157" s="149"/>
      <c r="I157" s="30">
        <f>+SUM(START:END!I157)</f>
        <v>0</v>
      </c>
      <c r="J157" s="150"/>
      <c r="K157" s="149"/>
      <c r="L157" s="32">
        <f>+SUM(START:END!L157)</f>
        <v>11475</v>
      </c>
      <c r="M157" s="41"/>
      <c r="N157" s="59">
        <f t="shared" si="87"/>
        <v>-2775</v>
      </c>
      <c r="O157" s="150"/>
      <c r="P157" s="149"/>
      <c r="Q157" s="33">
        <f>+SUM(START:END!Q157)</f>
        <v>5625</v>
      </c>
      <c r="R157" s="41"/>
      <c r="S157" s="85">
        <f t="shared" si="88"/>
        <v>5850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ref="A158" si="90">+B158&amp;C158</f>
        <v>Véhicules usagésProgramme 360</v>
      </c>
      <c r="B158" s="11" t="s">
        <v>70</v>
      </c>
      <c r="C158" s="29" t="s">
        <v>218</v>
      </c>
      <c r="D158" s="148"/>
      <c r="E158" s="149"/>
      <c r="F158" s="30">
        <f>+SUM(START:END!F158)</f>
        <v>0</v>
      </c>
      <c r="G158" s="150"/>
      <c r="H158" s="149"/>
      <c r="I158" s="30">
        <f>+SUM(START:END!I158)</f>
        <v>0</v>
      </c>
      <c r="J158" s="150"/>
      <c r="K158" s="149"/>
      <c r="L158" s="33">
        <f>+SUM(START:END!L158)</f>
        <v>-925</v>
      </c>
      <c r="M158" s="41"/>
      <c r="N158" s="59">
        <f t="shared" si="87"/>
        <v>-925</v>
      </c>
      <c r="O158" s="150"/>
      <c r="P158" s="149"/>
      <c r="Q158" s="33">
        <f>+SUM(START:END!Q158)</f>
        <v>100</v>
      </c>
      <c r="R158" s="41"/>
      <c r="S158" s="85">
        <f t="shared" si="88"/>
        <v>-1025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ref="A159" si="91">+B159&amp;C159</f>
        <v>Véhicules usagésProgramme used 3</v>
      </c>
      <c r="B159" s="11" t="s">
        <v>70</v>
      </c>
      <c r="C159" s="29" t="s">
        <v>77</v>
      </c>
      <c r="D159" s="81"/>
      <c r="E159" s="13"/>
      <c r="F159" s="30">
        <f>+SUM(START:END!F159)</f>
        <v>0</v>
      </c>
      <c r="G159" s="83"/>
      <c r="H159" s="13"/>
      <c r="I159" s="30">
        <f>+SUM(START:END!I159)</f>
        <v>0</v>
      </c>
      <c r="J159" s="41"/>
      <c r="K159" s="13"/>
      <c r="L159" s="33">
        <f>+SUM(START:END!L159)</f>
        <v>0</v>
      </c>
      <c r="M159" s="41"/>
      <c r="N159" s="59">
        <f t="shared" si="87"/>
        <v>0</v>
      </c>
      <c r="O159" s="41"/>
      <c r="P159" s="13"/>
      <c r="Q159" s="33">
        <f>+SUM(START:END!Q159)</f>
        <v>0</v>
      </c>
      <c r="R159" s="41"/>
      <c r="S159" s="85">
        <f t="shared" si="88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usagésFrais administration</v>
      </c>
      <c r="B160" s="11" t="s">
        <v>70</v>
      </c>
      <c r="C160" s="29" t="s">
        <v>67</v>
      </c>
      <c r="D160" s="81"/>
      <c r="E160" s="13"/>
      <c r="F160" s="30">
        <f>+SUM(START:END!F160)</f>
        <v>0</v>
      </c>
      <c r="G160" s="83"/>
      <c r="H160" s="13"/>
      <c r="I160" s="30">
        <f>+SUM(START:END!I160)</f>
        <v>0</v>
      </c>
      <c r="J160" s="41"/>
      <c r="K160" s="13"/>
      <c r="L160" s="32">
        <f>+SUM(START:END!L160)</f>
        <v>0</v>
      </c>
      <c r="M160" s="41"/>
      <c r="N160" s="59">
        <f t="shared" si="87"/>
        <v>0</v>
      </c>
      <c r="O160" s="41"/>
      <c r="P160" s="13"/>
      <c r="Q160" s="33">
        <f>+SUM(START:END!Q160)</f>
        <v>0</v>
      </c>
      <c r="R160" s="41"/>
      <c r="S160" s="85">
        <f t="shared" si="88"/>
        <v>0</v>
      </c>
      <c r="T160" s="112"/>
      <c r="U160" s="13"/>
      <c r="W160" s="48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f>+SUM(START:END!F161)</f>
        <v>0</v>
      </c>
      <c r="G161" s="83"/>
      <c r="H161" s="13"/>
      <c r="I161" s="30">
        <f>+SUM(START:END!I161)</f>
        <v>0</v>
      </c>
      <c r="J161" s="41"/>
      <c r="K161" s="13"/>
      <c r="L161" s="32">
        <f>+SUM(START:END!L161)</f>
        <v>0</v>
      </c>
      <c r="M161" s="41"/>
      <c r="N161" s="59">
        <f t="shared" si="87"/>
        <v>0</v>
      </c>
      <c r="O161" s="41"/>
      <c r="P161" s="13"/>
      <c r="Q161" s="33">
        <f>+SUM(START:END!Q161)</f>
        <v>0</v>
      </c>
      <c r="R161" s="41"/>
      <c r="S161" s="85">
        <f t="shared" si="88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f>+SUM(START:END!F162)</f>
        <v>0</v>
      </c>
      <c r="G162" s="83"/>
      <c r="H162" s="13"/>
      <c r="I162" s="30">
        <f>+SUM(START:END!I162)</f>
        <v>0</v>
      </c>
      <c r="J162" s="41"/>
      <c r="K162" s="13"/>
      <c r="L162" s="32">
        <f>+SUM(START:END!L162)</f>
        <v>0</v>
      </c>
      <c r="M162" s="41"/>
      <c r="N162" s="59">
        <f t="shared" si="87"/>
        <v>0</v>
      </c>
      <c r="O162" s="41"/>
      <c r="P162" s="13"/>
      <c r="Q162" s="33">
        <f>+SUM(START:END!Q162)</f>
        <v>0</v>
      </c>
      <c r="R162" s="41"/>
      <c r="S162" s="85">
        <f t="shared" si="88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usagés[...]</v>
      </c>
      <c r="B163" s="11" t="s">
        <v>70</v>
      </c>
      <c r="C163" s="86" t="s">
        <v>19</v>
      </c>
      <c r="D163" s="87"/>
      <c r="E163" s="111"/>
      <c r="F163" s="30">
        <f>+SUM(START:END!F163)</f>
        <v>31356.5</v>
      </c>
      <c r="G163" s="83"/>
      <c r="H163" s="13"/>
      <c r="I163" s="30">
        <f>+SUM(START:END!I163)</f>
        <v>0</v>
      </c>
      <c r="J163" s="41"/>
      <c r="K163" s="13"/>
      <c r="L163" s="32">
        <f>+SUM(START:END!L163)</f>
        <v>35105</v>
      </c>
      <c r="M163" s="41"/>
      <c r="N163" s="59">
        <f t="shared" si="87"/>
        <v>3748.5</v>
      </c>
      <c r="O163" s="41"/>
      <c r="P163" s="13"/>
      <c r="Q163" s="33">
        <f>+SUM(START:END!Q163)</f>
        <v>17255</v>
      </c>
      <c r="R163" s="41"/>
      <c r="S163" s="85">
        <f t="shared" si="88"/>
        <v>17850</v>
      </c>
      <c r="T163" s="112"/>
      <c r="U163" s="13"/>
      <c r="W163" s="48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45606.5</v>
      </c>
      <c r="G164" s="97"/>
      <c r="H164" s="95"/>
      <c r="I164" s="96">
        <f>+SUM(I157:I163)</f>
        <v>0</v>
      </c>
      <c r="J164" s="97"/>
      <c r="K164" s="95"/>
      <c r="L164" s="96">
        <f>+SUM(L157:L163)</f>
        <v>45655</v>
      </c>
      <c r="M164" s="100"/>
      <c r="N164" s="96">
        <f>SUM(N157:N160)</f>
        <v>-3700</v>
      </c>
      <c r="O164" s="97"/>
      <c r="P164" s="95"/>
      <c r="Q164" s="96">
        <f>+SUM(Q157:Q163)</f>
        <v>22980</v>
      </c>
      <c r="R164" s="100"/>
      <c r="S164" s="101">
        <f>+SUM(S157:S163)</f>
        <v>22675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103448.94891034553</v>
      </c>
      <c r="G166" s="152"/>
      <c r="H166" s="125"/>
      <c r="I166" s="127">
        <f>I109-I156+I164</f>
        <v>0</v>
      </c>
      <c r="J166" s="153"/>
      <c r="K166" s="126"/>
      <c r="L166" s="127">
        <f>L109-L156+L164</f>
        <v>91660.730000000069</v>
      </c>
      <c r="M166" s="153"/>
      <c r="N166" s="127">
        <f>L166-F166</f>
        <v>-11788.218910345458</v>
      </c>
      <c r="O166" s="153"/>
      <c r="P166" s="126"/>
      <c r="Q166" s="127">
        <f>Q109-Q156+Q164</f>
        <v>37075.929999999731</v>
      </c>
      <c r="R166" s="153"/>
      <c r="S166" s="129">
        <f>L166-Q166</f>
        <v>54584.800000000338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  Q3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05" t="s">
        <v>5</v>
      </c>
      <c r="E171" s="506"/>
      <c r="F171" s="507"/>
      <c r="G171" s="508" t="s">
        <v>71</v>
      </c>
      <c r="H171" s="506"/>
      <c r="I171" s="507"/>
      <c r="J171" s="508" t="s">
        <v>7</v>
      </c>
      <c r="K171" s="506"/>
      <c r="L171" s="507"/>
      <c r="M171" s="508" t="s">
        <v>212</v>
      </c>
      <c r="N171" s="507"/>
      <c r="O171" s="505" t="s">
        <v>8</v>
      </c>
      <c r="P171" s="506"/>
      <c r="Q171" s="507"/>
      <c r="R171" s="503" t="s">
        <v>213</v>
      </c>
      <c r="S171" s="504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178" si="92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 t="s">
        <v>39</v>
      </c>
      <c r="H172" s="80" t="s">
        <v>79</v>
      </c>
      <c r="I172" s="134" t="s">
        <v>12</v>
      </c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92"/>
        <v>ServiceM/O Client</v>
      </c>
      <c r="B173" s="11" t="s">
        <v>78</v>
      </c>
      <c r="C173" s="29" t="s">
        <v>81</v>
      </c>
      <c r="D173" s="485">
        <f>+SUM(START:END!D173)</f>
        <v>553.14252310357961</v>
      </c>
      <c r="E173" s="82">
        <f>+SUM(START:END!E173)</f>
        <v>196365.5957017708</v>
      </c>
      <c r="F173" s="82">
        <f>+SUM(START:END!F173)</f>
        <v>155128.8206043989</v>
      </c>
      <c r="G173" s="155">
        <f>+SUM(START:END!G173)</f>
        <v>0</v>
      </c>
      <c r="H173" s="82">
        <f>+SUM(START:END!H173)</f>
        <v>0</v>
      </c>
      <c r="I173" s="82">
        <f>+SUM(START:END!I173)</f>
        <v>0</v>
      </c>
      <c r="J173" s="60">
        <f>+SUM(START:END!J173)</f>
        <v>490</v>
      </c>
      <c r="K173" s="30">
        <f>+SUM(START:END!K173)</f>
        <v>210864.18</v>
      </c>
      <c r="L173" s="33">
        <f>+SUM(START:END!L173)</f>
        <v>165102.93000000002</v>
      </c>
      <c r="M173" s="156">
        <f>(K173-E173)/E173</f>
        <v>7.3834646269954757E-2</v>
      </c>
      <c r="N173" s="59">
        <f>L173-F173</f>
        <v>9974.1093956011173</v>
      </c>
      <c r="O173" s="60">
        <f>+SUM(START:END!O173)</f>
        <v>469</v>
      </c>
      <c r="P173" s="30">
        <f>+SUM(START:END!P173)</f>
        <v>167246.25</v>
      </c>
      <c r="Q173" s="33">
        <f>+SUM(START:END!Q173)</f>
        <v>131620.56</v>
      </c>
      <c r="R173" s="156">
        <f>IF(O173=0,0,J173/O173)</f>
        <v>1.044776119402985</v>
      </c>
      <c r="S173" s="85">
        <f>L173-Q173</f>
        <v>33482.370000000024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92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0.78999999999999981</v>
      </c>
      <c r="G174" s="41"/>
      <c r="H174" s="143"/>
      <c r="I174" s="157" t="e">
        <f>I173/H173</f>
        <v>#DIV/0!</v>
      </c>
      <c r="J174" s="60"/>
      <c r="K174" s="13"/>
      <c r="L174" s="157">
        <f>L173/K173</f>
        <v>0.78298234436972669</v>
      </c>
      <c r="M174" s="156"/>
      <c r="N174" s="59"/>
      <c r="O174" s="60"/>
      <c r="P174" s="13"/>
      <c r="Q174" s="157">
        <f>Q173/P173</f>
        <v>0.78698661404964232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92"/>
        <v>Service</v>
      </c>
      <c r="B175" s="11" t="s">
        <v>78</v>
      </c>
      <c r="C175" s="86"/>
      <c r="D175" s="486"/>
      <c r="E175" s="158">
        <f>IFERROR(E173/D173,0)</f>
        <v>355.00000000000006</v>
      </c>
      <c r="F175" s="159"/>
      <c r="G175" s="23"/>
      <c r="H175" s="158">
        <f>IFERROR(H173/G173,0)</f>
        <v>0</v>
      </c>
      <c r="I175" s="159"/>
      <c r="J175" s="160"/>
      <c r="K175" s="460">
        <f>IFERROR(K173/J173,0)</f>
        <v>430.33506122448978</v>
      </c>
      <c r="L175" s="159"/>
      <c r="M175" s="161"/>
      <c r="N175" s="91"/>
      <c r="O175" s="160"/>
      <c r="P175" s="460">
        <f>IFERROR(P173/O173,0)</f>
        <v>356.60181236673776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92"/>
        <v>ServiceM/O Garantie</v>
      </c>
      <c r="B176" s="11" t="s">
        <v>78</v>
      </c>
      <c r="C176" s="14" t="s">
        <v>83</v>
      </c>
      <c r="D176" s="487">
        <f>+SUM(START:END!D176)</f>
        <v>711.30483700079185</v>
      </c>
      <c r="E176" s="82">
        <f>+SUM(START:END!E176)</f>
        <v>135147.91903015046</v>
      </c>
      <c r="F176" s="82">
        <f>+SUM(START:END!F176)</f>
        <v>89738.218236019908</v>
      </c>
      <c r="G176" s="163">
        <f>+SUM(START:END!G176)</f>
        <v>0</v>
      </c>
      <c r="H176" s="82">
        <f>+SUM(START:END!H176)</f>
        <v>0</v>
      </c>
      <c r="I176" s="82">
        <f>+SUM(START:END!I176)</f>
        <v>0</v>
      </c>
      <c r="J176" s="163">
        <f>+SUM(START:END!J176)</f>
        <v>632</v>
      </c>
      <c r="K176" s="164">
        <f>+SUM(START:END!K176)</f>
        <v>103761.47</v>
      </c>
      <c r="L176" s="33">
        <f>+SUM(START:END!L176)</f>
        <v>69951.7</v>
      </c>
      <c r="M176" s="156">
        <f>(K176-E176)/E176</f>
        <v>-0.2322377529405272</v>
      </c>
      <c r="N176" s="109">
        <f>L176-F176</f>
        <v>-19786.518236019911</v>
      </c>
      <c r="O176" s="163">
        <f>+SUM(START:END!O176)</f>
        <v>712</v>
      </c>
      <c r="P176" s="164">
        <f>+SUM(START:END!P176)</f>
        <v>145170.2399999999</v>
      </c>
      <c r="Q176" s="33">
        <f>+SUM(START:END!Q176)</f>
        <v>97488.879999999801</v>
      </c>
      <c r="R176" s="156">
        <f>IF(O176=0,0,J176/O176)</f>
        <v>0.88764044943820219</v>
      </c>
      <c r="S176" s="85">
        <f>L176-Q176</f>
        <v>-27537.179999999804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92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 t="e">
        <f>I176/H176</f>
        <v>#DIV/0!</v>
      </c>
      <c r="J177" s="41"/>
      <c r="K177" s="13"/>
      <c r="L177" s="157">
        <f>L176/K176</f>
        <v>0.67415872192250159</v>
      </c>
      <c r="M177" s="42"/>
      <c r="N177" s="43"/>
      <c r="O177" s="41"/>
      <c r="P177" s="13"/>
      <c r="Q177" s="157">
        <f>Q176/P176</f>
        <v>0.67154865900889782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92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/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ref="A179:A185" si="93">+B179&amp;C179</f>
        <v>ServiceM/O Interne</v>
      </c>
      <c r="B179" s="11" t="s">
        <v>78</v>
      </c>
      <c r="C179" s="29" t="s">
        <v>84</v>
      </c>
      <c r="D179" s="485">
        <f>+SUM(START:END!D179)</f>
        <v>540</v>
      </c>
      <c r="E179" s="82">
        <f>+SUM(START:END!E179)</f>
        <v>216000</v>
      </c>
      <c r="F179" s="82">
        <f>+SUM(START:END!F179)</f>
        <v>162648</v>
      </c>
      <c r="G179" s="41">
        <f>+SUM(START:END!G179)</f>
        <v>0</v>
      </c>
      <c r="H179" s="82">
        <f>+SUM(START:END!H179)</f>
        <v>0</v>
      </c>
      <c r="I179" s="82">
        <f>+SUM(START:END!I179)</f>
        <v>0</v>
      </c>
      <c r="J179" s="60">
        <f>+SUM(START:END!J179)</f>
        <v>607</v>
      </c>
      <c r="K179" s="164">
        <f>+SUM(START:END!K179)</f>
        <v>174051.39</v>
      </c>
      <c r="L179" s="33">
        <f>+SUM(START:END!L179)</f>
        <v>135187.82</v>
      </c>
      <c r="M179" s="156">
        <f>(K179-E179)/E179</f>
        <v>-0.19420652777777772</v>
      </c>
      <c r="N179" s="59">
        <f>L179-F179</f>
        <v>-27460.179999999993</v>
      </c>
      <c r="O179" s="60">
        <f>+SUM(START:END!O179)</f>
        <v>442</v>
      </c>
      <c r="P179" s="164">
        <f>+SUM(START:END!P179)</f>
        <v>161264.1399999999</v>
      </c>
      <c r="Q179" s="33">
        <f>+SUM(START:END!Q179)</f>
        <v>119390.7999999999</v>
      </c>
      <c r="R179" s="156">
        <f>IF(O179=0,0,J179/O179)</f>
        <v>1.3733031674208145</v>
      </c>
      <c r="S179" s="85">
        <f>L179-Q179</f>
        <v>15797.020000000106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93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 t="e">
        <f>I179/H179</f>
        <v>#DIV/0!</v>
      </c>
      <c r="J180" s="60"/>
      <c r="K180" s="143"/>
      <c r="L180" s="157">
        <f>L179/K179</f>
        <v>0.77671209635269212</v>
      </c>
      <c r="M180" s="156"/>
      <c r="N180" s="59">
        <f>L180-F180</f>
        <v>2.3712096352692114E-2</v>
      </c>
      <c r="O180" s="60"/>
      <c r="P180" s="143"/>
      <c r="Q180" s="157">
        <f>Q179/P179</f>
        <v>0.74034314138282686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93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/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93"/>
        <v>ServiceM/O Esthétique</v>
      </c>
      <c r="B182" s="11" t="s">
        <v>78</v>
      </c>
      <c r="C182" s="14" t="s">
        <v>85</v>
      </c>
      <c r="D182" s="487">
        <f>+SUM(START:END!D182)</f>
        <v>117.92736160390479</v>
      </c>
      <c r="E182" s="82">
        <f>+SUM(START:END!E182)</f>
        <v>32430.024441073809</v>
      </c>
      <c r="F182" s="82">
        <f>+SUM(START:END!F182)</f>
        <v>23219.897499808845</v>
      </c>
      <c r="G182" s="107">
        <f>+SUM(START:END!G182)</f>
        <v>0</v>
      </c>
      <c r="H182" s="82">
        <f>+SUM(START:END!H182)</f>
        <v>0</v>
      </c>
      <c r="I182" s="82">
        <f>+SUM(START:END!I182)</f>
        <v>0</v>
      </c>
      <c r="J182" s="163">
        <f>+SUM(START:END!J182)</f>
        <v>74</v>
      </c>
      <c r="K182" s="164">
        <f>+SUM(START:END!K182)</f>
        <v>13277.100000000002</v>
      </c>
      <c r="L182" s="108">
        <f>+SUM(START:END!L182)</f>
        <v>9780.2200000000012</v>
      </c>
      <c r="M182" s="172">
        <f>IF(E182=0,0,(K182-E182)/E182)</f>
        <v>-0.59059235295598267</v>
      </c>
      <c r="N182" s="109">
        <f>L182-F182</f>
        <v>-13439.677499808844</v>
      </c>
      <c r="O182" s="163">
        <f>+SUM(START:END!O182)</f>
        <v>110</v>
      </c>
      <c r="P182" s="164">
        <f>+SUM(START:END!P182)</f>
        <v>19825.39</v>
      </c>
      <c r="Q182" s="108">
        <f>+SUM(START:END!Q182)</f>
        <v>15333.67</v>
      </c>
      <c r="R182" s="156">
        <f>IF(O182=0,0,J182/O182)</f>
        <v>0.67272727272727273</v>
      </c>
      <c r="S182" s="110">
        <f>L182-Q182</f>
        <v>-5553.4499999999989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93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>
        <f>IFERROR(I182/H182,0)</f>
        <v>0</v>
      </c>
      <c r="J183" s="174"/>
      <c r="K183" s="173"/>
      <c r="L183" s="157">
        <f>IFERROR(L182/K182,0)</f>
        <v>0.73662320838134832</v>
      </c>
      <c r="M183" s="60">
        <f>J183-D183</f>
        <v>0</v>
      </c>
      <c r="N183" s="175"/>
      <c r="O183" s="174"/>
      <c r="P183" s="173"/>
      <c r="Q183" s="157">
        <f>IFERROR(Q182/P182,0)</f>
        <v>0.77343598284825676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93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/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93"/>
        <v>ServiceAjustement M/O</v>
      </c>
      <c r="B185" s="11" t="s">
        <v>78</v>
      </c>
      <c r="C185" s="29" t="s">
        <v>86</v>
      </c>
      <c r="D185" s="13"/>
      <c r="E185" s="13"/>
      <c r="F185" s="59">
        <f>+SUM(START:END!F185)</f>
        <v>-8455.3603102605739</v>
      </c>
      <c r="G185" s="41"/>
      <c r="H185" s="82"/>
      <c r="I185" s="82">
        <f>+SUM(START:END!I185)</f>
        <v>0</v>
      </c>
      <c r="J185" s="60"/>
      <c r="K185" s="82"/>
      <c r="L185" s="82">
        <f>+SUM(START:END!L185)</f>
        <v>-5339.08</v>
      </c>
      <c r="M185" s="174"/>
      <c r="N185" s="59">
        <f>L185-F185</f>
        <v>3116.280310260574</v>
      </c>
      <c r="O185" s="60"/>
      <c r="P185" s="82"/>
      <c r="Q185" s="82">
        <f>+SUM(START:END!Q185)</f>
        <v>-7875.89</v>
      </c>
      <c r="R185" s="183"/>
      <c r="S185" s="85">
        <f>L185-Q185</f>
        <v>2536.8100000000004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ref="A186:A192" si="94">+B186&amp;C186</f>
        <v>ServiceSous-total M/O</v>
      </c>
      <c r="B186" s="11" t="s">
        <v>78</v>
      </c>
      <c r="C186" s="184" t="s">
        <v>87</v>
      </c>
      <c r="D186" s="185"/>
      <c r="E186" s="185">
        <f>E173+E176+E179+E182+E185</f>
        <v>579943.53917299502</v>
      </c>
      <c r="F186" s="186">
        <f>F173+F176+F179+F182+F185</f>
        <v>422279.57602996711</v>
      </c>
      <c r="G186" s="187"/>
      <c r="H186" s="185">
        <f>H173+H176+H179+H182+H185</f>
        <v>0</v>
      </c>
      <c r="I186" s="186">
        <f>I173+I176+I179+I182+I185</f>
        <v>0</v>
      </c>
      <c r="J186" s="187"/>
      <c r="K186" s="185">
        <f>K173+K176+K179+K182+K185</f>
        <v>501954.14</v>
      </c>
      <c r="L186" s="186">
        <f>L173+L176+L179+L182+L185</f>
        <v>374683.59</v>
      </c>
      <c r="M186" s="188">
        <f>(K186-E186)/E186</f>
        <v>-0.13447757222057966</v>
      </c>
      <c r="N186" s="186">
        <f>L186-F186</f>
        <v>-47595.986029967084</v>
      </c>
      <c r="O186" s="187"/>
      <c r="P186" s="185">
        <f>P173+P176+P179+P182+P185</f>
        <v>493506.01999999979</v>
      </c>
      <c r="Q186" s="186">
        <f>Q173+Q176+Q179+Q182+Q185</f>
        <v>355958.01999999967</v>
      </c>
      <c r="R186" s="42">
        <f>IF(O186=0,0,J186/O186)</f>
        <v>0</v>
      </c>
      <c r="S186" s="189">
        <f>L186-Q186</f>
        <v>18725.570000000356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94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0.72813911614937854</v>
      </c>
      <c r="G187" s="193"/>
      <c r="H187" s="191"/>
      <c r="I187" s="43" t="e">
        <f>I186/H186</f>
        <v>#DIV/0!</v>
      </c>
      <c r="J187" s="193"/>
      <c r="K187" s="440"/>
      <c r="L187" s="43">
        <f>L186/K186</f>
        <v>0.74644984499978428</v>
      </c>
      <c r="M187" s="193"/>
      <c r="N187" s="192">
        <f>N186/F186</f>
        <v>-0.11271202476197767</v>
      </c>
      <c r="O187" s="193"/>
      <c r="P187" s="440"/>
      <c r="Q187" s="43">
        <f>Q186/P186</f>
        <v>0.7212840483688524</v>
      </c>
      <c r="R187" s="193"/>
      <c r="S187" s="44">
        <f>IF(R186=0,0,S186/R186)</f>
        <v>0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94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94"/>
        <v>ServiceSous-traitement</v>
      </c>
      <c r="B189" s="11" t="s">
        <v>78</v>
      </c>
      <c r="C189" s="29" t="s">
        <v>89</v>
      </c>
      <c r="D189" s="82"/>
      <c r="E189" s="82">
        <f>+SUM(START:END!E189)</f>
        <v>17996.620123681692</v>
      </c>
      <c r="F189" s="82">
        <f>+SUM(START:END!F189)</f>
        <v>2699.4930185522539</v>
      </c>
      <c r="G189" s="60"/>
      <c r="H189" s="82">
        <f>+SUM(START:END!H189)</f>
        <v>0</v>
      </c>
      <c r="I189" s="82">
        <f>+SUM(START:END!I189)</f>
        <v>0</v>
      </c>
      <c r="J189" s="60"/>
      <c r="K189" s="30">
        <f>+SUM(START:END!K189)</f>
        <v>25539.899999999998</v>
      </c>
      <c r="L189" s="33">
        <f>+SUM(START:END!L189)</f>
        <v>4295.4799999999977</v>
      </c>
      <c r="M189" s="84">
        <f>IF(E189=0,0,(K189-E189)/E189)</f>
        <v>0.41914980837941501</v>
      </c>
      <c r="N189" s="59">
        <f>L189-F189</f>
        <v>1595.9869814477438</v>
      </c>
      <c r="O189" s="60"/>
      <c r="P189" s="30">
        <f>+SUM(START:END!P189)</f>
        <v>29096.89</v>
      </c>
      <c r="Q189" s="33">
        <f>+SUM(START:END!Q189)</f>
        <v>3896.2500000000009</v>
      </c>
      <c r="R189" s="156">
        <f>IF(O189=0,0,J189/O189)</f>
        <v>0</v>
      </c>
      <c r="S189" s="85">
        <f>L189-Q189</f>
        <v>399.22999999999683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94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>
        <f>IFERROR(I189/H189,0)</f>
        <v>0</v>
      </c>
      <c r="J190" s="174"/>
      <c r="K190" s="173"/>
      <c r="L190" s="157">
        <f>IFERROR(L189/K189,0)</f>
        <v>0.16818703283881292</v>
      </c>
      <c r="M190" s="174"/>
      <c r="N190" s="175"/>
      <c r="O190" s="174"/>
      <c r="P190" s="173"/>
      <c r="Q190" s="157">
        <f>IFERROR(Q189/P189,0)</f>
        <v>0.13390606350025727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94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94"/>
        <v>ServiceM.O. Recond. MCPA</v>
      </c>
      <c r="B192" s="11" t="s">
        <v>78</v>
      </c>
      <c r="C192" s="29" t="s">
        <v>90</v>
      </c>
      <c r="D192" s="13"/>
      <c r="E192" s="82">
        <f>+SUM(START:END!E192)</f>
        <v>0</v>
      </c>
      <c r="F192" s="82">
        <f>+SUM(START:END!F192)</f>
        <v>0</v>
      </c>
      <c r="G192" s="41"/>
      <c r="H192" s="82">
        <f>+SUM(START:END!H192)</f>
        <v>0</v>
      </c>
      <c r="I192" s="82">
        <f>+SUM(START:END!I192)</f>
        <v>0</v>
      </c>
      <c r="J192" s="174"/>
      <c r="K192" s="30">
        <f>+SUM(START:END!K192)</f>
        <v>0</v>
      </c>
      <c r="L192" s="157">
        <f>+SUM(START:END!L192)</f>
        <v>0</v>
      </c>
      <c r="M192" s="174"/>
      <c r="N192" s="175"/>
      <c r="O192" s="174"/>
      <c r="P192" s="30">
        <f>+SUM(START:END!P192)</f>
        <v>0</v>
      </c>
      <c r="Q192" s="157">
        <f>+SUM(START:END!Q192)</f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ref="A193:A199" si="95">+B193&amp;C193</f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>
        <f>IF(I192=0,0,I192/H192)</f>
        <v>0</v>
      </c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95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95"/>
        <v>ServiceTotal Mécanique</v>
      </c>
      <c r="B195" s="11" t="s">
        <v>78</v>
      </c>
      <c r="C195" s="62" t="s">
        <v>91</v>
      </c>
      <c r="D195" s="63"/>
      <c r="E195" s="63">
        <f>E186+E189+E192</f>
        <v>597940.15929667675</v>
      </c>
      <c r="F195" s="65">
        <f>F186+F189+F192</f>
        <v>424979.06904851936</v>
      </c>
      <c r="G195" s="66"/>
      <c r="H195" s="63">
        <f>H186+H189+H192</f>
        <v>0</v>
      </c>
      <c r="I195" s="65">
        <f>I186+I189+I192</f>
        <v>0</v>
      </c>
      <c r="J195" s="66"/>
      <c r="K195" s="63">
        <f>K186+K189+K192</f>
        <v>527494.04</v>
      </c>
      <c r="L195" s="65">
        <f>L186+L189+L192</f>
        <v>378979.07</v>
      </c>
      <c r="M195" s="205">
        <f>L196-F196</f>
        <v>7.7133903124413372E-3</v>
      </c>
      <c r="N195" s="65">
        <f>L195-F195</f>
        <v>-45999.999048519356</v>
      </c>
      <c r="O195" s="66"/>
      <c r="P195" s="63">
        <f>P186+P189+P192</f>
        <v>522602.9099999998</v>
      </c>
      <c r="Q195" s="65">
        <f>Q186+Q189+Q192</f>
        <v>359854.26999999967</v>
      </c>
      <c r="R195" s="205">
        <f>L196-Q196</f>
        <v>2.9871166604733101E-2</v>
      </c>
      <c r="S195" s="68">
        <f>L195-Q195</f>
        <v>19124.800000000338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95"/>
        <v>Service</v>
      </c>
      <c r="B196" s="11" t="s">
        <v>78</v>
      </c>
      <c r="C196" s="69"/>
      <c r="D196" s="70"/>
      <c r="E196" s="70"/>
      <c r="F196" s="74">
        <f>F195/E195</f>
        <v>0.71073846176914801</v>
      </c>
      <c r="G196" s="72"/>
      <c r="H196" s="70"/>
      <c r="I196" s="74" t="e">
        <f>I195/H195</f>
        <v>#DIV/0!</v>
      </c>
      <c r="J196" s="72"/>
      <c r="K196" s="70"/>
      <c r="L196" s="74">
        <f>L195/K195</f>
        <v>0.71845185208158935</v>
      </c>
      <c r="M196" s="73"/>
      <c r="N196" s="74">
        <f>N195/F195</f>
        <v>-0.1082406226535067</v>
      </c>
      <c r="O196" s="72"/>
      <c r="P196" s="70"/>
      <c r="Q196" s="74">
        <f>Q195/P195</f>
        <v>0.68858068547685625</v>
      </c>
      <c r="R196" s="73"/>
      <c r="S196" s="75">
        <f>L195/S195</f>
        <v>19.816106312222523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95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95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95"/>
        <v>ServiceSalaires cadres</v>
      </c>
      <c r="B199" s="11" t="s">
        <v>78</v>
      </c>
      <c r="C199" s="102" t="s">
        <v>40</v>
      </c>
      <c r="D199" s="13"/>
      <c r="E199" s="13"/>
      <c r="F199" s="30">
        <f>+SUM(START:END!F199)</f>
        <v>32825.54389232945</v>
      </c>
      <c r="G199" s="41"/>
      <c r="H199" s="13"/>
      <c r="I199" s="30">
        <f>+SUM(START:END!I199)</f>
        <v>0</v>
      </c>
      <c r="J199" s="41"/>
      <c r="K199" s="13"/>
      <c r="L199" s="33">
        <f>+SUM(START:END!L199)</f>
        <v>27381.31</v>
      </c>
      <c r="M199" s="41"/>
      <c r="N199" s="59">
        <f t="shared" ref="N199:N230" si="96">L199-F199</f>
        <v>-5444.2338923294483</v>
      </c>
      <c r="O199" s="41"/>
      <c r="P199" s="13"/>
      <c r="Q199" s="33">
        <f>+SUM(START:END!Q199)</f>
        <v>37042.310000000005</v>
      </c>
      <c r="R199" s="41"/>
      <c r="S199" s="85">
        <f t="shared" ref="S199:S204" si="97">L199-Q199</f>
        <v>-9661.0000000000036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ref="A200:A206" si="98">+B200&amp;C200</f>
        <v>ServiceSalaires commis</v>
      </c>
      <c r="B200" s="11" t="s">
        <v>78</v>
      </c>
      <c r="C200" s="103" t="s">
        <v>41</v>
      </c>
      <c r="D200" s="81"/>
      <c r="E200" s="13"/>
      <c r="F200" s="22">
        <f>+SUM(START:END!F200)</f>
        <v>15870.853786977068</v>
      </c>
      <c r="G200" s="83"/>
      <c r="H200" s="13"/>
      <c r="I200" s="22">
        <f>+SUM(START:END!I200)</f>
        <v>0</v>
      </c>
      <c r="J200" s="41"/>
      <c r="K200" s="13"/>
      <c r="L200" s="33">
        <f>+SUM(START:END!L200)</f>
        <v>6323.2200000000012</v>
      </c>
      <c r="M200" s="41"/>
      <c r="N200" s="59">
        <f t="shared" si="96"/>
        <v>-9547.6337869770668</v>
      </c>
      <c r="O200" s="41"/>
      <c r="P200" s="13"/>
      <c r="Q200" s="33">
        <f>+SUM(START:END!Q200)</f>
        <v>14537.449999999999</v>
      </c>
      <c r="R200" s="41"/>
      <c r="S200" s="85">
        <f t="shared" si="97"/>
        <v>-8214.2299999999977</v>
      </c>
      <c r="T200" s="13"/>
      <c r="U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98"/>
        <v>ServiceSalaires autres</v>
      </c>
      <c r="B201" s="11" t="s">
        <v>78</v>
      </c>
      <c r="C201" s="102" t="s">
        <v>42</v>
      </c>
      <c r="D201" s="104"/>
      <c r="E201" s="105"/>
      <c r="F201" s="30">
        <f>+SUM(START:END!F201)</f>
        <v>41649.790414737836</v>
      </c>
      <c r="G201" s="106"/>
      <c r="H201" s="105"/>
      <c r="I201" s="30">
        <f>+SUM(START:END!I201)</f>
        <v>0</v>
      </c>
      <c r="J201" s="107"/>
      <c r="K201" s="105"/>
      <c r="L201" s="108">
        <f>+SUM(START:END!L201)</f>
        <v>29404.99</v>
      </c>
      <c r="M201" s="107"/>
      <c r="N201" s="109">
        <f t="shared" si="96"/>
        <v>-12244.800414737834</v>
      </c>
      <c r="O201" s="107"/>
      <c r="P201" s="105"/>
      <c r="Q201" s="108">
        <f>+SUM(START:END!Q201)</f>
        <v>15154.349999999999</v>
      </c>
      <c r="R201" s="107"/>
      <c r="S201" s="110">
        <f t="shared" si="97"/>
        <v>14250.640000000003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98"/>
        <v>ServiceSalaires spécialistes</v>
      </c>
      <c r="B202" s="11" t="s">
        <v>78</v>
      </c>
      <c r="C202" s="102" t="s">
        <v>43</v>
      </c>
      <c r="D202" s="81"/>
      <c r="E202" s="13"/>
      <c r="F202" s="30">
        <f>+SUM(START:END!F202)</f>
        <v>46027.45977011494</v>
      </c>
      <c r="G202" s="83"/>
      <c r="H202" s="13"/>
      <c r="I202" s="30">
        <f>+SUM(START:END!I202)</f>
        <v>0</v>
      </c>
      <c r="J202" s="41"/>
      <c r="K202" s="13"/>
      <c r="L202" s="33">
        <f>+SUM(START:END!L202)</f>
        <v>29849.309999999998</v>
      </c>
      <c r="M202" s="41"/>
      <c r="N202" s="59">
        <f t="shared" si="96"/>
        <v>-16178.149770114942</v>
      </c>
      <c r="O202" s="41"/>
      <c r="P202" s="13"/>
      <c r="Q202" s="33">
        <f>+SUM(START:END!Q202)</f>
        <v>42786.59</v>
      </c>
      <c r="R202" s="41"/>
      <c r="S202" s="85">
        <f t="shared" si="97"/>
        <v>-12937.279999999999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98"/>
        <v>Service[...]</v>
      </c>
      <c r="B203" s="11" t="s">
        <v>78</v>
      </c>
      <c r="C203" s="29" t="s">
        <v>19</v>
      </c>
      <c r="D203" s="81"/>
      <c r="E203" s="13"/>
      <c r="F203" s="30">
        <f>+SUM(START:END!F203)</f>
        <v>0</v>
      </c>
      <c r="G203" s="83"/>
      <c r="H203" s="13"/>
      <c r="I203" s="30">
        <f>+SUM(START:END!I203)</f>
        <v>0</v>
      </c>
      <c r="J203" s="41"/>
      <c r="K203" s="13"/>
      <c r="L203" s="33">
        <f>+SUM(START:END!L203)</f>
        <v>0</v>
      </c>
      <c r="M203" s="41"/>
      <c r="N203" s="59">
        <f t="shared" si="96"/>
        <v>0</v>
      </c>
      <c r="O203" s="41"/>
      <c r="P203" s="13"/>
      <c r="Q203" s="33">
        <f>+SUM(START:END!Q203)</f>
        <v>0</v>
      </c>
      <c r="R203" s="41"/>
      <c r="S203" s="85">
        <f t="shared" si="97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98"/>
        <v>Service[...]</v>
      </c>
      <c r="B204" s="11" t="s">
        <v>78</v>
      </c>
      <c r="C204" s="29" t="s">
        <v>19</v>
      </c>
      <c r="D204" s="81"/>
      <c r="E204" s="13"/>
      <c r="F204" s="30">
        <f>+SUM(START:END!F204)</f>
        <v>0</v>
      </c>
      <c r="G204" s="83"/>
      <c r="H204" s="13"/>
      <c r="I204" s="30">
        <f>+SUM(START:END!I204)</f>
        <v>0</v>
      </c>
      <c r="J204" s="41"/>
      <c r="K204" s="13"/>
      <c r="L204" s="33">
        <f>+SUM(START:END!L204)</f>
        <v>0</v>
      </c>
      <c r="M204" s="41"/>
      <c r="N204" s="59">
        <f t="shared" si="96"/>
        <v>0</v>
      </c>
      <c r="O204" s="41"/>
      <c r="P204" s="13"/>
      <c r="Q204" s="33">
        <f>+SUM(START:END!Q204)</f>
        <v>0</v>
      </c>
      <c r="R204" s="41"/>
      <c r="S204" s="85">
        <f t="shared" si="97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98"/>
        <v>Service[...]</v>
      </c>
      <c r="B205" s="11" t="s">
        <v>78</v>
      </c>
      <c r="C205" s="29" t="s">
        <v>19</v>
      </c>
      <c r="D205" s="81"/>
      <c r="E205" s="13"/>
      <c r="F205" s="30">
        <f>+SUM(START:END!F205)</f>
        <v>0</v>
      </c>
      <c r="G205" s="83"/>
      <c r="H205" s="13"/>
      <c r="I205" s="30">
        <f>+SUM(START:END!I205)</f>
        <v>0</v>
      </c>
      <c r="J205" s="41"/>
      <c r="K205" s="13"/>
      <c r="L205" s="33">
        <f>+SUM(START:END!L205)</f>
        <v>0</v>
      </c>
      <c r="M205" s="41"/>
      <c r="N205" s="59">
        <f t="shared" si="96"/>
        <v>0</v>
      </c>
      <c r="O205" s="41"/>
      <c r="P205" s="13"/>
      <c r="Q205" s="33">
        <f>+SUM(START:END!Q205)</f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98"/>
        <v>ServiceSalaires en absences</v>
      </c>
      <c r="B206" s="11" t="s">
        <v>78</v>
      </c>
      <c r="C206" s="103" t="s">
        <v>44</v>
      </c>
      <c r="D206" s="81"/>
      <c r="E206" s="13"/>
      <c r="F206" s="30">
        <f>+SUM(START:END!F206)</f>
        <v>39398.893369648169</v>
      </c>
      <c r="G206" s="83"/>
      <c r="H206" s="13"/>
      <c r="I206" s="30">
        <f>+SUM(START:END!I206)</f>
        <v>0</v>
      </c>
      <c r="J206" s="41"/>
      <c r="K206" s="13"/>
      <c r="L206" s="33">
        <f>+SUM(START:END!L206)</f>
        <v>28136.480000000003</v>
      </c>
      <c r="M206" s="41"/>
      <c r="N206" s="59">
        <f t="shared" si="96"/>
        <v>-11262.413369648166</v>
      </c>
      <c r="O206" s="41"/>
      <c r="P206" s="13"/>
      <c r="Q206" s="33">
        <f>+SUM(START:END!Q206)</f>
        <v>32930.740000000005</v>
      </c>
      <c r="R206" s="41"/>
      <c r="S206" s="85">
        <f>L206-Q206</f>
        <v>-4794.260000000002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ref="A207:A213" si="99">+B207&amp;C207</f>
        <v>ServiceDéduction à la source</v>
      </c>
      <c r="B207" s="11" t="s">
        <v>78</v>
      </c>
      <c r="C207" s="102" t="s">
        <v>45</v>
      </c>
      <c r="D207" s="104"/>
      <c r="E207" s="105"/>
      <c r="F207" s="55">
        <f>+SUM(START:END!F207)</f>
        <v>40212.930070157177</v>
      </c>
      <c r="G207" s="106"/>
      <c r="H207" s="105"/>
      <c r="I207" s="55">
        <f>+SUM(START:END!I207)</f>
        <v>0</v>
      </c>
      <c r="J207" s="107"/>
      <c r="K207" s="105"/>
      <c r="L207" s="108">
        <f>+SUM(START:END!L207)</f>
        <v>36647.61</v>
      </c>
      <c r="M207" s="107"/>
      <c r="N207" s="109">
        <f t="shared" si="96"/>
        <v>-3565.3200701571768</v>
      </c>
      <c r="O207" s="107"/>
      <c r="P207" s="105"/>
      <c r="Q207" s="108">
        <f>+SUM(START:END!Q207)</f>
        <v>41066.720000000001</v>
      </c>
      <c r="R207" s="107"/>
      <c r="S207" s="110">
        <f t="shared" ref="S207:S217" si="100">L207-Q207</f>
        <v>-4419.1100000000006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99"/>
        <v>ServiceBénéfices marginaux</v>
      </c>
      <c r="B208" s="11" t="s">
        <v>78</v>
      </c>
      <c r="C208" s="102" t="s">
        <v>46</v>
      </c>
      <c r="D208" s="81"/>
      <c r="E208" s="13"/>
      <c r="F208" s="30">
        <f>+SUM(START:END!F208)</f>
        <v>30079.043012333161</v>
      </c>
      <c r="G208" s="83"/>
      <c r="H208" s="13"/>
      <c r="I208" s="30">
        <f>+SUM(START:END!I208)</f>
        <v>0</v>
      </c>
      <c r="J208" s="41"/>
      <c r="K208" s="13"/>
      <c r="L208" s="33">
        <f>+SUM(START:END!L208)</f>
        <v>16758.990000000002</v>
      </c>
      <c r="M208" s="41"/>
      <c r="N208" s="59">
        <f t="shared" si="96"/>
        <v>-13320.053012333159</v>
      </c>
      <c r="O208" s="41"/>
      <c r="P208" s="13"/>
      <c r="Q208" s="33">
        <f>+SUM(START:END!Q208)</f>
        <v>19645.54</v>
      </c>
      <c r="R208" s="41"/>
      <c r="S208" s="85">
        <f t="shared" si="100"/>
        <v>-2886.5499999999993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99"/>
        <v>ServiceCsst</v>
      </c>
      <c r="B209" s="11" t="s">
        <v>78</v>
      </c>
      <c r="C209" s="102" t="s">
        <v>47</v>
      </c>
      <c r="D209" s="81"/>
      <c r="E209" s="13"/>
      <c r="F209" s="30">
        <f>+SUM(START:END!F209)</f>
        <v>7984.1446782466155</v>
      </c>
      <c r="G209" s="83"/>
      <c r="H209" s="13"/>
      <c r="I209" s="30">
        <f>+SUM(START:END!I209)</f>
        <v>0</v>
      </c>
      <c r="J209" s="41"/>
      <c r="K209" s="13"/>
      <c r="L209" s="33">
        <f>+SUM(START:END!L209)</f>
        <v>4668.6499999999996</v>
      </c>
      <c r="M209" s="462"/>
      <c r="N209" s="145">
        <f t="shared" si="96"/>
        <v>-3315.4946782466159</v>
      </c>
      <c r="O209" s="462"/>
      <c r="P209" s="463"/>
      <c r="Q209" s="22">
        <f>+SUM(START:END!Q209)</f>
        <v>6893.85</v>
      </c>
      <c r="R209" s="462"/>
      <c r="S209" s="464">
        <f t="shared" si="100"/>
        <v>-2225.2000000000007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99"/>
        <v>Service[...]</v>
      </c>
      <c r="B210" s="11" t="s">
        <v>78</v>
      </c>
      <c r="C210" s="29" t="s">
        <v>19</v>
      </c>
      <c r="D210" s="87"/>
      <c r="E210" s="111"/>
      <c r="F210" s="30">
        <f>+SUM(START:END!F210)</f>
        <v>0</v>
      </c>
      <c r="G210" s="89"/>
      <c r="H210" s="111"/>
      <c r="I210" s="30">
        <f>+SUM(START:END!I210)</f>
        <v>0</v>
      </c>
      <c r="J210" s="23"/>
      <c r="K210" s="111"/>
      <c r="L210" s="33">
        <f>+SUM(START:END!L210)</f>
        <v>0</v>
      </c>
      <c r="M210" s="23"/>
      <c r="N210" s="91">
        <f t="shared" si="96"/>
        <v>0</v>
      </c>
      <c r="O210" s="23"/>
      <c r="P210" s="111"/>
      <c r="Q210" s="33">
        <f>+SUM(START:END!Q210)</f>
        <v>0</v>
      </c>
      <c r="R210" s="23"/>
      <c r="S210" s="92">
        <f t="shared" si="100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99"/>
        <v>ServiceTOTAL PERSONNEL</v>
      </c>
      <c r="B211" s="11" t="s">
        <v>78</v>
      </c>
      <c r="C211" s="93" t="s">
        <v>48</v>
      </c>
      <c r="D211" s="94" t="s">
        <v>92</v>
      </c>
      <c r="E211" s="95" t="e">
        <f>F211/F$194</f>
        <v>#DIV/0!</v>
      </c>
      <c r="F211" s="96">
        <f>+SUM(F199:F210)</f>
        <v>254048.65899454438</v>
      </c>
      <c r="G211" s="97" t="s">
        <v>92</v>
      </c>
      <c r="H211" s="95" t="e">
        <f>I211/I$194</f>
        <v>#DIV/0!</v>
      </c>
      <c r="I211" s="96">
        <f>+SUM(I199:I210)</f>
        <v>0</v>
      </c>
      <c r="J211" s="97" t="s">
        <v>92</v>
      </c>
      <c r="K211" s="95" t="e">
        <f>L211/L$194</f>
        <v>#DIV/0!</v>
      </c>
      <c r="L211" s="96">
        <f>+SUM(L199:L210)</f>
        <v>179170.55999999997</v>
      </c>
      <c r="M211" s="146"/>
      <c r="N211" s="113">
        <f t="shared" si="96"/>
        <v>-74878.098994544416</v>
      </c>
      <c r="O211" s="97" t="s">
        <v>92</v>
      </c>
      <c r="P211" s="95" t="e">
        <f>Q211/Q$194</f>
        <v>#DIV/0!</v>
      </c>
      <c r="Q211" s="96">
        <f>+SUM(Q199:Q210)</f>
        <v>210057.55000000002</v>
      </c>
      <c r="R211" s="146"/>
      <c r="S211" s="114">
        <f t="shared" si="100"/>
        <v>-30886.990000000049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99"/>
        <v>ServicePublicité 2</v>
      </c>
      <c r="B212" s="11" t="s">
        <v>78</v>
      </c>
      <c r="C212" s="29" t="s">
        <v>49</v>
      </c>
      <c r="D212" s="81"/>
      <c r="E212" s="13"/>
      <c r="F212" s="30">
        <f>+SUM(START:END!F212)</f>
        <v>5167.031210300097</v>
      </c>
      <c r="G212" s="83"/>
      <c r="H212" s="13"/>
      <c r="I212" s="30">
        <f>+SUM(START:END!I212)</f>
        <v>0</v>
      </c>
      <c r="J212" s="41"/>
      <c r="K212" s="13"/>
      <c r="L212" s="33">
        <f>+SUM(START:END!L212)</f>
        <v>3686.91</v>
      </c>
      <c r="M212" s="41"/>
      <c r="N212" s="59">
        <f t="shared" si="96"/>
        <v>-1480.1212103000971</v>
      </c>
      <c r="O212" s="41"/>
      <c r="P212" s="13"/>
      <c r="Q212" s="33">
        <f>+SUM(START:END!Q212)</f>
        <v>13526.48</v>
      </c>
      <c r="R212" s="41"/>
      <c r="S212" s="85">
        <f t="shared" si="100"/>
        <v>-9839.57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99"/>
        <v>ServiceService gratuit 2</v>
      </c>
      <c r="B213" s="11" t="s">
        <v>78</v>
      </c>
      <c r="C213" s="29" t="s">
        <v>50</v>
      </c>
      <c r="D213" s="81"/>
      <c r="E213" s="13"/>
      <c r="F213" s="30">
        <f>+SUM(START:END!F213)</f>
        <v>11250</v>
      </c>
      <c r="G213" s="83"/>
      <c r="H213" s="13"/>
      <c r="I213" s="30">
        <f>+SUM(START:END!I213)</f>
        <v>0</v>
      </c>
      <c r="J213" s="41"/>
      <c r="K213" s="13"/>
      <c r="L213" s="33">
        <f>+SUM(START:END!L213)</f>
        <v>13501.4</v>
      </c>
      <c r="M213" s="41"/>
      <c r="N213" s="59">
        <f t="shared" si="96"/>
        <v>2251.3999999999996</v>
      </c>
      <c r="O213" s="41"/>
      <c r="P213" s="13"/>
      <c r="Q213" s="33">
        <f>+SUM(START:END!Q213)</f>
        <v>10036.48</v>
      </c>
      <c r="R213" s="41"/>
      <c r="S213" s="85">
        <f t="shared" si="100"/>
        <v>3464.92</v>
      </c>
      <c r="T213" s="13"/>
      <c r="U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ref="A214:A220" si="101">+B214&amp;C214</f>
        <v>ServiceFrais véhicules de cie</v>
      </c>
      <c r="B214" s="11" t="s">
        <v>78</v>
      </c>
      <c r="C214" s="86" t="s">
        <v>51</v>
      </c>
      <c r="D214" s="87"/>
      <c r="E214" s="111"/>
      <c r="F214" s="22">
        <f>+SUM(START:END!F214)</f>
        <v>22359.750000000004</v>
      </c>
      <c r="G214" s="89"/>
      <c r="H214" s="111"/>
      <c r="I214" s="22">
        <f>+SUM(START:END!I214)</f>
        <v>0</v>
      </c>
      <c r="J214" s="23"/>
      <c r="K214" s="111"/>
      <c r="L214" s="33">
        <f>+SUM(START:END!L214)</f>
        <v>20458.919999999998</v>
      </c>
      <c r="M214" s="23"/>
      <c r="N214" s="91">
        <f t="shared" si="96"/>
        <v>-1900.8300000000054</v>
      </c>
      <c r="O214" s="23"/>
      <c r="P214" s="111"/>
      <c r="Q214" s="33">
        <f>+SUM(START:END!Q214)</f>
        <v>18402.96</v>
      </c>
      <c r="R214" s="23"/>
      <c r="S214" s="92">
        <f t="shared" si="100"/>
        <v>2055.9599999999991</v>
      </c>
      <c r="T214" s="13"/>
      <c r="U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101"/>
        <v>ServiceInformatique</v>
      </c>
      <c r="B215" s="11" t="s">
        <v>78</v>
      </c>
      <c r="C215" s="29" t="s">
        <v>52</v>
      </c>
      <c r="D215" s="81"/>
      <c r="E215" s="13"/>
      <c r="F215" s="30">
        <f>+SUM(START:END!F215)</f>
        <v>19909.232499999998</v>
      </c>
      <c r="G215" s="83"/>
      <c r="H215" s="13"/>
      <c r="I215" s="30">
        <f>+SUM(START:END!I215)</f>
        <v>0</v>
      </c>
      <c r="J215" s="41"/>
      <c r="K215" s="13"/>
      <c r="L215" s="108">
        <f>+SUM(START:END!L215)</f>
        <v>18357.03</v>
      </c>
      <c r="M215" s="41"/>
      <c r="N215" s="59">
        <f t="shared" si="96"/>
        <v>-1552.2024999999994</v>
      </c>
      <c r="O215" s="41"/>
      <c r="P215" s="13"/>
      <c r="Q215" s="108">
        <f>+SUM(START:END!Q215)</f>
        <v>19310.989999999998</v>
      </c>
      <c r="R215" s="41"/>
      <c r="S215" s="85">
        <f t="shared" si="100"/>
        <v>-953.95999999999913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101"/>
        <v>ServiceFrais de déplacement</v>
      </c>
      <c r="B216" s="11" t="s">
        <v>78</v>
      </c>
      <c r="C216" s="29" t="s">
        <v>53</v>
      </c>
      <c r="D216" s="81"/>
      <c r="E216" s="13"/>
      <c r="F216" s="30">
        <f>+SUM(START:END!F216)</f>
        <v>3993.75</v>
      </c>
      <c r="G216" s="83"/>
      <c r="H216" s="13"/>
      <c r="I216" s="30">
        <f>+SUM(START:END!I216)</f>
        <v>0</v>
      </c>
      <c r="J216" s="41"/>
      <c r="K216" s="13"/>
      <c r="L216" s="33">
        <f>+SUM(START:END!L216)</f>
        <v>5682.43</v>
      </c>
      <c r="M216" s="41"/>
      <c r="N216" s="59">
        <f t="shared" si="96"/>
        <v>1688.6800000000003</v>
      </c>
      <c r="O216" s="41"/>
      <c r="P216" s="13"/>
      <c r="Q216" s="33">
        <f>+SUM(START:END!Q216)</f>
        <v>1540.7500000000002</v>
      </c>
      <c r="R216" s="41"/>
      <c r="S216" s="85">
        <f t="shared" si="100"/>
        <v>4141.68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101"/>
        <v>ServiceServices extérieurs</v>
      </c>
      <c r="B217" s="11" t="s">
        <v>78</v>
      </c>
      <c r="C217" s="86" t="s">
        <v>54</v>
      </c>
      <c r="D217" s="87"/>
      <c r="E217" s="111"/>
      <c r="F217" s="22">
        <f>+SUM(START:END!F217)</f>
        <v>6599.66</v>
      </c>
      <c r="G217" s="89"/>
      <c r="H217" s="111"/>
      <c r="I217" s="22">
        <f>+SUM(START:END!I217)</f>
        <v>0</v>
      </c>
      <c r="J217" s="23"/>
      <c r="K217" s="111"/>
      <c r="L217" s="22">
        <f>+SUM(START:END!L217)</f>
        <v>33622.630000000005</v>
      </c>
      <c r="M217" s="462"/>
      <c r="N217" s="145">
        <f t="shared" si="96"/>
        <v>27022.970000000005</v>
      </c>
      <c r="O217" s="462"/>
      <c r="P217" s="463"/>
      <c r="Q217" s="22">
        <f>+SUM(START:END!Q217)</f>
        <v>7894.6200000000008</v>
      </c>
      <c r="R217" s="23"/>
      <c r="S217" s="92">
        <f t="shared" si="100"/>
        <v>25728.010000000002</v>
      </c>
      <c r="T217" s="13"/>
      <c r="U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 t="shared" si="101"/>
        <v>ServiceFournitures d'atelier</v>
      </c>
      <c r="B218" s="11" t="s">
        <v>78</v>
      </c>
      <c r="C218" s="29" t="s">
        <v>93</v>
      </c>
      <c r="D218" s="81"/>
      <c r="E218" s="13"/>
      <c r="F218" s="30">
        <f>+SUM(START:END!F218)</f>
        <v>0</v>
      </c>
      <c r="G218" s="83"/>
      <c r="H218" s="13"/>
      <c r="I218" s="30">
        <f>+SUM(START:END!I218)</f>
        <v>0</v>
      </c>
      <c r="J218" s="41"/>
      <c r="K218" s="13"/>
      <c r="L218" s="33">
        <f>+SUM(START:END!L218)</f>
        <v>0</v>
      </c>
      <c r="M218" s="41"/>
      <c r="N218" s="59">
        <f t="shared" si="96"/>
        <v>0</v>
      </c>
      <c r="O218" s="41"/>
      <c r="P218" s="13"/>
      <c r="Q218" s="33">
        <f>+SUM(START:END!Q218)</f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si="101"/>
        <v>ServiceFournitures autres</v>
      </c>
      <c r="B219" s="11" t="s">
        <v>78</v>
      </c>
      <c r="C219" s="29" t="s">
        <v>55</v>
      </c>
      <c r="D219" s="81"/>
      <c r="E219" s="13"/>
      <c r="F219" s="30">
        <f>+SUM(START:END!F219)</f>
        <v>9750</v>
      </c>
      <c r="G219" s="83"/>
      <c r="H219" s="13"/>
      <c r="I219" s="30">
        <f>+SUM(START:END!I219)</f>
        <v>0</v>
      </c>
      <c r="J219" s="41"/>
      <c r="K219" s="13"/>
      <c r="L219" s="33">
        <f>+SUM(START:END!L219)</f>
        <v>6924.04</v>
      </c>
      <c r="M219" s="41"/>
      <c r="N219" s="59">
        <f t="shared" si="96"/>
        <v>-2825.96</v>
      </c>
      <c r="O219" s="41"/>
      <c r="P219" s="13"/>
      <c r="Q219" s="33">
        <f>+SUM(START:END!Q219)</f>
        <v>8003.3899999999994</v>
      </c>
      <c r="R219" s="41"/>
      <c r="S219" s="85">
        <f t="shared" ref="S219:S227" si="102">L219-Q219</f>
        <v>-1079.3499999999995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101"/>
        <v>ServiceUniformes</v>
      </c>
      <c r="B220" s="11" t="s">
        <v>78</v>
      </c>
      <c r="C220" s="29" t="s">
        <v>56</v>
      </c>
      <c r="D220" s="81"/>
      <c r="E220" s="13"/>
      <c r="F220" s="30">
        <f>+SUM(START:END!F220)</f>
        <v>3975</v>
      </c>
      <c r="G220" s="83"/>
      <c r="H220" s="13"/>
      <c r="I220" s="30">
        <f>+SUM(START:END!I220)</f>
        <v>0</v>
      </c>
      <c r="J220" s="41"/>
      <c r="K220" s="13"/>
      <c r="L220" s="33">
        <f>+SUM(START:END!L220)</f>
        <v>2290.66</v>
      </c>
      <c r="M220" s="41"/>
      <c r="N220" s="59">
        <f t="shared" si="96"/>
        <v>-1684.3400000000001</v>
      </c>
      <c r="O220" s="41"/>
      <c r="P220" s="13"/>
      <c r="Q220" s="33">
        <f>+SUM(START:END!Q220)</f>
        <v>3043.52</v>
      </c>
      <c r="R220" s="41"/>
      <c r="S220" s="85">
        <f t="shared" si="102"/>
        <v>-752.86000000000013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ref="A221:A227" si="103">+B221&amp;C221</f>
        <v>ServicePapeterie</v>
      </c>
      <c r="B221" s="11" t="s">
        <v>78</v>
      </c>
      <c r="C221" s="29" t="s">
        <v>57</v>
      </c>
      <c r="D221" s="81"/>
      <c r="E221" s="13"/>
      <c r="F221" s="30">
        <f>+SUM(START:END!F221)</f>
        <v>1087.5</v>
      </c>
      <c r="G221" s="83"/>
      <c r="H221" s="13"/>
      <c r="I221" s="30">
        <f>+SUM(START:END!I221)</f>
        <v>0</v>
      </c>
      <c r="J221" s="41"/>
      <c r="K221" s="13"/>
      <c r="L221" s="32">
        <f>+SUM(START:END!L221)</f>
        <v>1543.7600000000002</v>
      </c>
      <c r="M221" s="41"/>
      <c r="N221" s="59">
        <f t="shared" si="96"/>
        <v>456.26000000000022</v>
      </c>
      <c r="O221" s="41"/>
      <c r="P221" s="13"/>
      <c r="Q221" s="32">
        <f>+SUM(START:END!Q221)</f>
        <v>1952.8</v>
      </c>
      <c r="R221" s="41"/>
      <c r="S221" s="85">
        <f t="shared" si="102"/>
        <v>-409.03999999999974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103"/>
        <v>ServiceTéléphone</v>
      </c>
      <c r="B222" s="11" t="s">
        <v>78</v>
      </c>
      <c r="C222" s="29" t="s">
        <v>58</v>
      </c>
      <c r="D222" s="81"/>
      <c r="E222" s="13"/>
      <c r="F222" s="30">
        <f>+SUM(START:END!F222)</f>
        <v>342.75</v>
      </c>
      <c r="G222" s="83"/>
      <c r="H222" s="13"/>
      <c r="I222" s="30">
        <f>+SUM(START:END!I222)</f>
        <v>0</v>
      </c>
      <c r="J222" s="41"/>
      <c r="K222" s="13"/>
      <c r="L222" s="33">
        <f>+SUM(START:END!L222)</f>
        <v>378.42</v>
      </c>
      <c r="M222" s="41"/>
      <c r="N222" s="59">
        <f t="shared" si="96"/>
        <v>35.670000000000016</v>
      </c>
      <c r="O222" s="41"/>
      <c r="P222" s="13"/>
      <c r="Q222" s="33">
        <f>+SUM(START:END!Q222)</f>
        <v>327.56</v>
      </c>
      <c r="R222" s="41"/>
      <c r="S222" s="85">
        <f t="shared" si="102"/>
        <v>50.860000000000014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103"/>
        <v>ServiceFrais postaux</v>
      </c>
      <c r="B223" s="11" t="s">
        <v>78</v>
      </c>
      <c r="C223" s="29" t="s">
        <v>59</v>
      </c>
      <c r="D223" s="81"/>
      <c r="E223" s="13"/>
      <c r="F223" s="30">
        <f>+SUM(START:END!F223)</f>
        <v>425</v>
      </c>
      <c r="G223" s="83"/>
      <c r="H223" s="13"/>
      <c r="I223" s="30">
        <f>+SUM(START:END!I223)</f>
        <v>0</v>
      </c>
      <c r="J223" s="41"/>
      <c r="K223" s="13"/>
      <c r="L223" s="33">
        <f>+SUM(START:END!L223)</f>
        <v>1142.0900000000001</v>
      </c>
      <c r="M223" s="41"/>
      <c r="N223" s="59">
        <f t="shared" si="96"/>
        <v>717.09000000000015</v>
      </c>
      <c r="O223" s="41"/>
      <c r="P223" s="13"/>
      <c r="Q223" s="33">
        <f>+SUM(START:END!Q223)</f>
        <v>592.46</v>
      </c>
      <c r="R223" s="41"/>
      <c r="S223" s="85">
        <f t="shared" si="102"/>
        <v>549.63000000000011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103"/>
        <v>ServiceDivers</v>
      </c>
      <c r="B224" s="11" t="s">
        <v>78</v>
      </c>
      <c r="C224" s="29" t="s">
        <v>60</v>
      </c>
      <c r="D224" s="81"/>
      <c r="E224" s="13"/>
      <c r="F224" s="30">
        <f>+SUM(START:END!F224)</f>
        <v>1145</v>
      </c>
      <c r="G224" s="83"/>
      <c r="H224" s="13"/>
      <c r="I224" s="30">
        <f>+SUM(START:END!I224)</f>
        <v>0</v>
      </c>
      <c r="J224" s="41"/>
      <c r="K224" s="13"/>
      <c r="L224" s="33">
        <f>+SUM(START:END!L224)</f>
        <v>961.23</v>
      </c>
      <c r="M224" s="41"/>
      <c r="N224" s="59">
        <f t="shared" si="96"/>
        <v>-183.76999999999998</v>
      </c>
      <c r="O224" s="41"/>
      <c r="P224" s="13"/>
      <c r="Q224" s="33">
        <f>+SUM(START:END!Q224)</f>
        <v>3749.2200000000003</v>
      </c>
      <c r="R224" s="41"/>
      <c r="S224" s="85">
        <f t="shared" si="102"/>
        <v>-2787.9900000000002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103"/>
        <v>ServiceFormation</v>
      </c>
      <c r="B225" s="11" t="s">
        <v>78</v>
      </c>
      <c r="C225" s="29" t="s">
        <v>61</v>
      </c>
      <c r="D225" s="81"/>
      <c r="E225" s="13"/>
      <c r="F225" s="30">
        <f>+SUM(START:END!F225)</f>
        <v>5346.7400000000007</v>
      </c>
      <c r="G225" s="83"/>
      <c r="H225" s="13"/>
      <c r="I225" s="30">
        <f>+SUM(START:END!I225)</f>
        <v>0</v>
      </c>
      <c r="J225" s="41"/>
      <c r="K225" s="13"/>
      <c r="L225" s="33">
        <f>+SUM(START:END!L225)</f>
        <v>8144.8099999999995</v>
      </c>
      <c r="M225" s="41"/>
      <c r="N225" s="59">
        <f t="shared" si="96"/>
        <v>2798.0699999999988</v>
      </c>
      <c r="O225" s="41"/>
      <c r="P225" s="13"/>
      <c r="Q225" s="33">
        <f>+SUM(START:END!Q225)</f>
        <v>4493.8900000000003</v>
      </c>
      <c r="R225" s="41"/>
      <c r="S225" s="85">
        <f t="shared" si="102"/>
        <v>3650.9199999999992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103"/>
        <v>ServiceFrais bancaires</v>
      </c>
      <c r="B226" s="11" t="s">
        <v>78</v>
      </c>
      <c r="C226" s="29" t="s">
        <v>62</v>
      </c>
      <c r="D226" s="81"/>
      <c r="E226" s="13"/>
      <c r="F226" s="30">
        <f>+SUM(START:END!F226)</f>
        <v>6418.043012470911</v>
      </c>
      <c r="G226" s="83"/>
      <c r="H226" s="13"/>
      <c r="I226" s="30">
        <f>+SUM(START:END!I226)</f>
        <v>0</v>
      </c>
      <c r="J226" s="41"/>
      <c r="K226" s="13"/>
      <c r="L226" s="33">
        <f>+SUM(START:END!L226)</f>
        <v>6258.4</v>
      </c>
      <c r="M226" s="41"/>
      <c r="N226" s="59">
        <f t="shared" si="96"/>
        <v>-159.64301247091134</v>
      </c>
      <c r="O226" s="41"/>
      <c r="P226" s="13"/>
      <c r="Q226" s="33">
        <f>+SUM(START:END!Q226)</f>
        <v>4093.58</v>
      </c>
      <c r="R226" s="41"/>
      <c r="S226" s="85">
        <f t="shared" si="102"/>
        <v>2164.8199999999997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103"/>
        <v>Service[...]</v>
      </c>
      <c r="B227" s="11" t="s">
        <v>78</v>
      </c>
      <c r="C227" s="29" t="s">
        <v>19</v>
      </c>
      <c r="D227" s="81"/>
      <c r="E227" s="13"/>
      <c r="F227" s="30">
        <f>+SUM(START:END!F227)</f>
        <v>0</v>
      </c>
      <c r="G227" s="83"/>
      <c r="H227" s="13"/>
      <c r="I227" s="30">
        <f>+SUM(START:END!I227)</f>
        <v>0</v>
      </c>
      <c r="J227" s="41"/>
      <c r="K227" s="13"/>
      <c r="L227" s="33">
        <f>+SUM(START:END!L227)</f>
        <v>0</v>
      </c>
      <c r="M227" s="41"/>
      <c r="N227" s="59">
        <f t="shared" si="96"/>
        <v>0</v>
      </c>
      <c r="O227" s="41"/>
      <c r="P227" s="13"/>
      <c r="Q227" s="33">
        <f>+SUM(START:END!Q227)</f>
        <v>0</v>
      </c>
      <c r="R227" s="41"/>
      <c r="S227" s="85">
        <f t="shared" si="102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B228" s="11" t="s">
        <v>78</v>
      </c>
      <c r="C228" s="29" t="s">
        <v>19</v>
      </c>
      <c r="D228" s="81"/>
      <c r="E228" s="13"/>
      <c r="F228" s="30">
        <f>+SUM(START:END!F228)</f>
        <v>0</v>
      </c>
      <c r="G228" s="83"/>
      <c r="H228" s="13"/>
      <c r="I228" s="30">
        <f>+SUM(START:END!I228)</f>
        <v>0</v>
      </c>
      <c r="J228" s="41"/>
      <c r="K228" s="13"/>
      <c r="L228" s="33">
        <f>+SUM(START:END!L228)</f>
        <v>0</v>
      </c>
      <c r="M228" s="41"/>
      <c r="N228" s="59">
        <f t="shared" si="96"/>
        <v>0</v>
      </c>
      <c r="O228" s="41"/>
      <c r="P228" s="13"/>
      <c r="Q228" s="33">
        <f>+SUM(START:END!Q228)</f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" si="104">+B229&amp;C229</f>
        <v>Service[...]</v>
      </c>
      <c r="B229" s="11" t="s">
        <v>78</v>
      </c>
      <c r="C229" s="29" t="s">
        <v>19</v>
      </c>
      <c r="D229" s="81"/>
      <c r="E229" s="13"/>
      <c r="F229" s="30">
        <f>+SUM(START:END!F229)</f>
        <v>0</v>
      </c>
      <c r="G229" s="83"/>
      <c r="H229" s="13"/>
      <c r="I229" s="30">
        <f>+SUM(START:END!I229)</f>
        <v>0</v>
      </c>
      <c r="J229" s="41"/>
      <c r="K229" s="13"/>
      <c r="L229" s="33">
        <f>+SUM(START:END!L229)</f>
        <v>0</v>
      </c>
      <c r="M229" s="41"/>
      <c r="N229" s="59">
        <f t="shared" si="96"/>
        <v>0</v>
      </c>
      <c r="O229" s="41"/>
      <c r="P229" s="13"/>
      <c r="Q229" s="33">
        <f>+SUM(START:END!Q229)</f>
        <v>0</v>
      </c>
      <c r="R229" s="41"/>
      <c r="S229" s="85">
        <f t="shared" ref="S229" si="10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 t="e">
        <f>F230/F$194</f>
        <v>#DIV/0!</v>
      </c>
      <c r="F230" s="96">
        <f>+SUM(F212:F229)</f>
        <v>97769.456722771021</v>
      </c>
      <c r="G230" s="97" t="s">
        <v>92</v>
      </c>
      <c r="H230" s="95" t="e">
        <f>I230/I$194</f>
        <v>#DIV/0!</v>
      </c>
      <c r="I230" s="96">
        <f>+SUM(I212:I229)</f>
        <v>0</v>
      </c>
      <c r="J230" s="97" t="s">
        <v>92</v>
      </c>
      <c r="K230" s="95" t="e">
        <f>L230/L$194</f>
        <v>#DIV/0!</v>
      </c>
      <c r="L230" s="96">
        <f>+SUM(L212:L229)</f>
        <v>122952.72999999998</v>
      </c>
      <c r="M230" s="100"/>
      <c r="N230" s="96">
        <f t="shared" si="96"/>
        <v>25183.27327722896</v>
      </c>
      <c r="O230" s="97" t="s">
        <v>92</v>
      </c>
      <c r="P230" s="95" t="e">
        <f>Q230/Q$194</f>
        <v>#DIV/0!</v>
      </c>
      <c r="Q230" s="96">
        <f>+SUM(Q212:Q229)</f>
        <v>96968.700000000012</v>
      </c>
      <c r="R230" s="100"/>
      <c r="S230" s="101">
        <f>L230-Q230</f>
        <v>25984.02999999997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 t="e">
        <f>F232/F$194</f>
        <v>#DIV/0!</v>
      </c>
      <c r="F232" s="96">
        <f>F211+F230</f>
        <v>351818.11571731541</v>
      </c>
      <c r="G232" s="97" t="s">
        <v>38</v>
      </c>
      <c r="H232" s="95" t="e">
        <f>I232/I$194</f>
        <v>#DIV/0!</v>
      </c>
      <c r="I232" s="96">
        <f>I211+I230</f>
        <v>0</v>
      </c>
      <c r="J232" s="97" t="s">
        <v>38</v>
      </c>
      <c r="K232" s="95" t="e">
        <f>L232/L$194</f>
        <v>#DIV/0!</v>
      </c>
      <c r="L232" s="96">
        <f>L211+L230</f>
        <v>302123.28999999992</v>
      </c>
      <c r="M232" s="100"/>
      <c r="N232" s="113">
        <f>L232-F232</f>
        <v>-49694.825717315485</v>
      </c>
      <c r="O232" s="97" t="s">
        <v>38</v>
      </c>
      <c r="P232" s="95" t="e">
        <f>Q232/Q$194</f>
        <v>#DIV/0!</v>
      </c>
      <c r="Q232" s="96">
        <f>Q211+Q230</f>
        <v>307026.25</v>
      </c>
      <c r="R232" s="100"/>
      <c r="S232" s="114">
        <f>L232-Q232</f>
        <v>-4902.9600000000792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>
        <f>L233-F233</f>
        <v>0</v>
      </c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73160.953331203957</v>
      </c>
      <c r="G234" s="152"/>
      <c r="H234" s="125"/>
      <c r="I234" s="127">
        <f>I195-I232</f>
        <v>0</v>
      </c>
      <c r="J234" s="153"/>
      <c r="K234" s="126"/>
      <c r="L234" s="127">
        <f>L195-L232</f>
        <v>76855.780000000086</v>
      </c>
      <c r="M234" s="153"/>
      <c r="N234" s="127">
        <f>L234-F234</f>
        <v>3694.8266687961295</v>
      </c>
      <c r="O234" s="153"/>
      <c r="P234" s="126"/>
      <c r="Q234" s="127">
        <f>Q195-Q232</f>
        <v>52828.019999999669</v>
      </c>
      <c r="R234" s="153"/>
      <c r="S234" s="129">
        <f>L234-Q234</f>
        <v>24027.760000000417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>
        <f>C2</f>
        <v>0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  Q3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05" t="s">
        <v>5</v>
      </c>
      <c r="E239" s="506"/>
      <c r="F239" s="507"/>
      <c r="G239" s="508" t="s">
        <v>71</v>
      </c>
      <c r="H239" s="506"/>
      <c r="I239" s="507"/>
      <c r="J239" s="508" t="s">
        <v>7</v>
      </c>
      <c r="K239" s="506"/>
      <c r="L239" s="507"/>
      <c r="M239" s="508" t="s">
        <v>212</v>
      </c>
      <c r="N239" s="507"/>
      <c r="O239" s="505" t="s">
        <v>8</v>
      </c>
      <c r="P239" s="506"/>
      <c r="Q239" s="507"/>
      <c r="R239" s="503" t="s">
        <v>213</v>
      </c>
      <c r="S239" s="504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47" si="10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 t="s">
        <v>39</v>
      </c>
      <c r="H240" s="80" t="s">
        <v>79</v>
      </c>
      <c r="I240" s="134" t="s">
        <v>12</v>
      </c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10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106"/>
        <v>CarrosserieM/O Sous-traitement</v>
      </c>
      <c r="B242" s="11" t="s">
        <v>94</v>
      </c>
      <c r="C242" s="29" t="s">
        <v>95</v>
      </c>
      <c r="D242" s="80">
        <f>+SUM(START:END!D242)</f>
        <v>0</v>
      </c>
      <c r="E242" s="82">
        <f>+SUM(START:END!E242)</f>
        <v>0</v>
      </c>
      <c r="F242" s="82">
        <f>+SUM(START:END!F242)</f>
        <v>0</v>
      </c>
      <c r="G242" s="155">
        <f>+SUM(START:END!G242)</f>
        <v>0</v>
      </c>
      <c r="H242" s="82">
        <f>+SUM(START:END!H242)</f>
        <v>0</v>
      </c>
      <c r="I242" s="82">
        <f>+SUM(START:END!I242)</f>
        <v>0</v>
      </c>
      <c r="J242" s="60">
        <f>+SUM(START:END!J242)</f>
        <v>0</v>
      </c>
      <c r="K242" s="30">
        <f>+SUM(START:END!K242)</f>
        <v>0</v>
      </c>
      <c r="L242" s="33">
        <f>+SUM(START:END!L242)</f>
        <v>0</v>
      </c>
      <c r="M242" s="156">
        <f>IFERROR((K242-E242)/E242,0)</f>
        <v>0</v>
      </c>
      <c r="N242" s="59">
        <f>L242-F242</f>
        <v>0</v>
      </c>
      <c r="O242" s="60">
        <f>+SUM(START:END!O242)</f>
        <v>1</v>
      </c>
      <c r="P242" s="30">
        <f>+SUM(START:END!P242)</f>
        <v>0</v>
      </c>
      <c r="Q242" s="33">
        <f>+SUM(START:END!Q242)</f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10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>
        <f>IFERROR(I242/H242,0)</f>
        <v>0</v>
      </c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10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106"/>
        <v>CarrosserieM/O Carrosserie</v>
      </c>
      <c r="B245" s="11" t="s">
        <v>94</v>
      </c>
      <c r="C245" s="14" t="s">
        <v>96</v>
      </c>
      <c r="D245" s="105">
        <f>+SUM(START:END!D245)</f>
        <v>0</v>
      </c>
      <c r="E245" s="82">
        <f>+SUM(START:END!E245)</f>
        <v>0</v>
      </c>
      <c r="F245" s="82">
        <f>+SUM(START:END!F245)</f>
        <v>0</v>
      </c>
      <c r="G245" s="208">
        <f>+SUM(START:END!G245)</f>
        <v>0</v>
      </c>
      <c r="H245" s="82">
        <f>+SUM(START:END!H245)</f>
        <v>0</v>
      </c>
      <c r="I245" s="82">
        <f>+SUM(START:END!I245)</f>
        <v>0</v>
      </c>
      <c r="J245" s="163">
        <f>+SUM(START:END!J245)</f>
        <v>0</v>
      </c>
      <c r="K245" s="164">
        <f>+SUM(START:END!K245)</f>
        <v>0</v>
      </c>
      <c r="L245" s="108">
        <f>+SUM(START:END!L245)</f>
        <v>0</v>
      </c>
      <c r="M245" s="172">
        <f>IFERROR((K245-E245)/E245,0)</f>
        <v>0</v>
      </c>
      <c r="N245" s="109">
        <f>L245-F245</f>
        <v>0</v>
      </c>
      <c r="O245" s="163">
        <f>+SUM(START:END!O245)</f>
        <v>0</v>
      </c>
      <c r="P245" s="164">
        <f>+SUM(START:END!P245)</f>
        <v>0</v>
      </c>
      <c r="Q245" s="108">
        <f>+SUM(START:END!Q245)</f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10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 t="e">
        <f>I245/H245</f>
        <v>#DIV/0!</v>
      </c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10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ref="A248:A266" si="107">+B248&amp;C248</f>
        <v>CarrosserieM/O Esthétique Carr.</v>
      </c>
      <c r="B248" s="11" t="s">
        <v>94</v>
      </c>
      <c r="C248" s="14" t="s">
        <v>97</v>
      </c>
      <c r="D248" s="162">
        <f>+SUM(START:END!D248)</f>
        <v>0</v>
      </c>
      <c r="E248" s="82">
        <f>+SUM(START:END!E248)</f>
        <v>0</v>
      </c>
      <c r="F248" s="82">
        <f>+SUM(START:END!F248)</f>
        <v>0</v>
      </c>
      <c r="G248" s="163">
        <f>+SUM(START:END!G248)</f>
        <v>0</v>
      </c>
      <c r="H248" s="82">
        <f>+SUM(START:END!H248)</f>
        <v>0</v>
      </c>
      <c r="I248" s="82">
        <f>+SUM(START:END!I248)</f>
        <v>0</v>
      </c>
      <c r="J248" s="163">
        <f>+SUM(START:END!J248)</f>
        <v>0</v>
      </c>
      <c r="K248" s="30">
        <f>+SUM(START:END!K248)</f>
        <v>0</v>
      </c>
      <c r="L248" s="33">
        <f>+SUM(START:END!L248)</f>
        <v>0</v>
      </c>
      <c r="M248" s="156">
        <f>IFERROR((K248-E248)/E248,0)</f>
        <v>0</v>
      </c>
      <c r="N248" s="109">
        <f>L248-F248</f>
        <v>0</v>
      </c>
      <c r="O248" s="163">
        <f>+SUM(START:END!O248)</f>
        <v>0</v>
      </c>
      <c r="P248" s="30">
        <f>+SUM(START:END!P248)</f>
        <v>0</v>
      </c>
      <c r="Q248" s="33">
        <f>+SUM(START:END!Q248)</f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107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 t="e">
        <f>I248/H248</f>
        <v>#DIV/0!</v>
      </c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107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107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>
        <f>H245+H248+H242</f>
        <v>0</v>
      </c>
      <c r="I251" s="65">
        <f>I245+I248+I242</f>
        <v>0</v>
      </c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>P245+P248+P242</f>
        <v>0</v>
      </c>
      <c r="Q251" s="65">
        <f>Q245+Q248+Q242</f>
        <v>0</v>
      </c>
      <c r="R251" s="205">
        <f>L252-Q252</f>
        <v>0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107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 t="e">
        <f>I251/H251</f>
        <v>#DIV/0!</v>
      </c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>
        <f>IF(P251=0,0,Q251/P251)</f>
        <v>0</v>
      </c>
      <c r="R252" s="73"/>
      <c r="S252" s="75">
        <f>IF(R251=0,0,S251/R251)</f>
        <v>0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107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107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107"/>
        <v>CarrosserieSalaires cadres</v>
      </c>
      <c r="B255" s="11" t="s">
        <v>94</v>
      </c>
      <c r="C255" s="102" t="s">
        <v>40</v>
      </c>
      <c r="D255" s="13"/>
      <c r="E255" s="13"/>
      <c r="F255" s="30">
        <f>+SUM(START:END!F255)</f>
        <v>0</v>
      </c>
      <c r="G255" s="41"/>
      <c r="H255" s="13"/>
      <c r="I255" s="30">
        <f>+SUM(START:END!I255)</f>
        <v>0</v>
      </c>
      <c r="J255" s="41"/>
      <c r="K255" s="13"/>
      <c r="L255" s="33">
        <f>+SUM(START:END!L255)</f>
        <v>0</v>
      </c>
      <c r="M255" s="41"/>
      <c r="N255" s="59">
        <f t="shared" ref="N255:N265" si="108">L255-F255</f>
        <v>0</v>
      </c>
      <c r="O255" s="41"/>
      <c r="P255" s="13"/>
      <c r="Q255" s="33">
        <f>+SUM(START:END!Q255)</f>
        <v>0</v>
      </c>
      <c r="R255" s="41"/>
      <c r="S255" s="85">
        <f t="shared" ref="S255" si="10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107"/>
        <v>CarrosserieSalaires commis</v>
      </c>
      <c r="B256" s="11" t="s">
        <v>94</v>
      </c>
      <c r="C256" s="103" t="s">
        <v>41</v>
      </c>
      <c r="D256" s="81"/>
      <c r="E256" s="13"/>
      <c r="F256" s="22">
        <f>+SUM(START:END!F256)</f>
        <v>0</v>
      </c>
      <c r="G256" s="83"/>
      <c r="H256" s="13"/>
      <c r="I256" s="22">
        <f>+SUM(START:END!I256)</f>
        <v>0</v>
      </c>
      <c r="J256" s="41"/>
      <c r="K256" s="13"/>
      <c r="L256" s="33">
        <f>+SUM(START:END!L256)</f>
        <v>0</v>
      </c>
      <c r="M256" s="41"/>
      <c r="N256" s="59">
        <f t="shared" si="108"/>
        <v>0</v>
      </c>
      <c r="O256" s="41"/>
      <c r="P256" s="13"/>
      <c r="Q256" s="33">
        <f>+SUM(START:END!Q256)</f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107"/>
        <v>CarrosserieSalaires autres</v>
      </c>
      <c r="B257" s="11" t="s">
        <v>94</v>
      </c>
      <c r="C257" s="102" t="s">
        <v>42</v>
      </c>
      <c r="D257" s="104"/>
      <c r="E257" s="105"/>
      <c r="F257" s="30">
        <f>+SUM(START:END!F257)</f>
        <v>0</v>
      </c>
      <c r="G257" s="106"/>
      <c r="H257" s="105"/>
      <c r="I257" s="30">
        <f>+SUM(START:END!I257)</f>
        <v>0</v>
      </c>
      <c r="J257" s="107"/>
      <c r="K257" s="105"/>
      <c r="L257" s="108">
        <f>+SUM(START:END!L257)</f>
        <v>0</v>
      </c>
      <c r="M257" s="107"/>
      <c r="N257" s="109">
        <f t="shared" si="108"/>
        <v>0</v>
      </c>
      <c r="O257" s="107"/>
      <c r="P257" s="105"/>
      <c r="Q257" s="108">
        <f>+SUM(START:END!Q257)</f>
        <v>0</v>
      </c>
      <c r="R257" s="107"/>
      <c r="S257" s="110">
        <f t="shared" ref="S257:S265" si="11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107"/>
        <v>CarrosserieSalaires spécialistes</v>
      </c>
      <c r="B258" s="11" t="s">
        <v>94</v>
      </c>
      <c r="C258" s="102" t="s">
        <v>43</v>
      </c>
      <c r="D258" s="81"/>
      <c r="E258" s="13"/>
      <c r="F258" s="30">
        <f>+SUM(START:END!F258)</f>
        <v>0</v>
      </c>
      <c r="G258" s="83"/>
      <c r="H258" s="13"/>
      <c r="I258" s="30">
        <f>+SUM(START:END!I258)</f>
        <v>0</v>
      </c>
      <c r="J258" s="41"/>
      <c r="K258" s="13"/>
      <c r="L258" s="33">
        <f>+SUM(START:END!L258)</f>
        <v>0</v>
      </c>
      <c r="M258" s="41"/>
      <c r="N258" s="59">
        <f t="shared" si="108"/>
        <v>0</v>
      </c>
      <c r="O258" s="41"/>
      <c r="P258" s="13"/>
      <c r="Q258" s="33">
        <f>+SUM(START:END!Q258)</f>
        <v>0</v>
      </c>
      <c r="R258" s="41"/>
      <c r="S258" s="85">
        <f t="shared" si="11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107"/>
        <v>Carrosserie[...]</v>
      </c>
      <c r="B259" s="11" t="s">
        <v>94</v>
      </c>
      <c r="C259" s="29" t="s">
        <v>19</v>
      </c>
      <c r="D259" s="81"/>
      <c r="E259" s="13"/>
      <c r="F259" s="30">
        <f>+SUM(START:END!F259)</f>
        <v>0</v>
      </c>
      <c r="G259" s="83"/>
      <c r="H259" s="13"/>
      <c r="I259" s="30">
        <f>+SUM(START:END!I259)</f>
        <v>0</v>
      </c>
      <c r="J259" s="41"/>
      <c r="K259" s="13"/>
      <c r="L259" s="33">
        <f>+SUM(START:END!L259)</f>
        <v>0</v>
      </c>
      <c r="M259" s="41"/>
      <c r="N259" s="59">
        <f t="shared" si="108"/>
        <v>0</v>
      </c>
      <c r="O259" s="41"/>
      <c r="P259" s="13"/>
      <c r="Q259" s="33">
        <f>+SUM(START:END!Q259)</f>
        <v>0</v>
      </c>
      <c r="R259" s="41"/>
      <c r="S259" s="85">
        <f t="shared" si="11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107"/>
        <v>Carrosserie[...]</v>
      </c>
      <c r="B260" s="11" t="s">
        <v>94</v>
      </c>
      <c r="C260" s="29" t="s">
        <v>19</v>
      </c>
      <c r="D260" s="81"/>
      <c r="E260" s="13"/>
      <c r="F260" s="30">
        <f>+SUM(START:END!F260)</f>
        <v>0</v>
      </c>
      <c r="G260" s="83"/>
      <c r="H260" s="13"/>
      <c r="I260" s="30">
        <f>+SUM(START:END!I260)</f>
        <v>0</v>
      </c>
      <c r="J260" s="41"/>
      <c r="K260" s="13"/>
      <c r="L260" s="33">
        <f>+SUM(START:END!L260)</f>
        <v>0</v>
      </c>
      <c r="M260" s="41"/>
      <c r="N260" s="59">
        <f t="shared" si="108"/>
        <v>0</v>
      </c>
      <c r="O260" s="41"/>
      <c r="P260" s="13"/>
      <c r="Q260" s="33">
        <f>+SUM(START:END!Q260)</f>
        <v>0</v>
      </c>
      <c r="R260" s="41"/>
      <c r="S260" s="85">
        <f t="shared" si="11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107"/>
        <v>Carrosserie[...]</v>
      </c>
      <c r="B261" s="11" t="s">
        <v>94</v>
      </c>
      <c r="C261" s="29" t="s">
        <v>19</v>
      </c>
      <c r="D261" s="81"/>
      <c r="E261" s="13"/>
      <c r="F261" s="30">
        <f>+SUM(START:END!F261)</f>
        <v>0</v>
      </c>
      <c r="G261" s="83"/>
      <c r="H261" s="13"/>
      <c r="I261" s="30">
        <f>+SUM(START:END!I261)</f>
        <v>0</v>
      </c>
      <c r="J261" s="41"/>
      <c r="K261" s="13"/>
      <c r="L261" s="33">
        <f>+SUM(START:END!L261)</f>
        <v>0</v>
      </c>
      <c r="M261" s="41"/>
      <c r="N261" s="59">
        <f t="shared" si="108"/>
        <v>0</v>
      </c>
      <c r="O261" s="41"/>
      <c r="P261" s="13"/>
      <c r="Q261" s="33">
        <f>+SUM(START:END!Q261)</f>
        <v>0</v>
      </c>
      <c r="R261" s="41"/>
      <c r="S261" s="85">
        <f t="shared" si="11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107"/>
        <v>CarrosserieSalaires en absences</v>
      </c>
      <c r="B262" s="11" t="s">
        <v>94</v>
      </c>
      <c r="C262" s="103" t="s">
        <v>44</v>
      </c>
      <c r="D262" s="81"/>
      <c r="E262" s="13"/>
      <c r="F262" s="22">
        <f>+SUM(START:END!F262)</f>
        <v>0</v>
      </c>
      <c r="G262" s="83"/>
      <c r="H262" s="13"/>
      <c r="I262" s="22">
        <f>+SUM(START:END!I262)</f>
        <v>0</v>
      </c>
      <c r="J262" s="41"/>
      <c r="K262" s="13"/>
      <c r="L262" s="33">
        <f>+SUM(START:END!L262)</f>
        <v>0</v>
      </c>
      <c r="M262" s="41"/>
      <c r="N262" s="59">
        <f t="shared" si="108"/>
        <v>0</v>
      </c>
      <c r="O262" s="41"/>
      <c r="P262" s="13"/>
      <c r="Q262" s="33">
        <f>+SUM(START:END!Q262)</f>
        <v>0</v>
      </c>
      <c r="R262" s="41"/>
      <c r="S262" s="85">
        <f t="shared" si="11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107"/>
        <v>CarrosserieDéduction à la source</v>
      </c>
      <c r="B263" s="11" t="s">
        <v>94</v>
      </c>
      <c r="C263" s="102" t="s">
        <v>45</v>
      </c>
      <c r="D263" s="104"/>
      <c r="E263" s="105"/>
      <c r="F263" s="30">
        <f>+SUM(START:END!F263)</f>
        <v>0</v>
      </c>
      <c r="G263" s="106"/>
      <c r="H263" s="105"/>
      <c r="I263" s="30">
        <f>+SUM(START:END!I263)</f>
        <v>0</v>
      </c>
      <c r="J263" s="107"/>
      <c r="K263" s="105"/>
      <c r="L263" s="108">
        <f>+SUM(START:END!L263)</f>
        <v>-0.04</v>
      </c>
      <c r="M263" s="107"/>
      <c r="N263" s="109">
        <f t="shared" si="108"/>
        <v>-0.04</v>
      </c>
      <c r="O263" s="107"/>
      <c r="P263" s="105"/>
      <c r="Q263" s="108">
        <f>+SUM(START:END!Q263)</f>
        <v>0</v>
      </c>
      <c r="R263" s="107"/>
      <c r="S263" s="110">
        <f t="shared" si="110"/>
        <v>-0.04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107"/>
        <v>CarrosserieBénéfices marginaux</v>
      </c>
      <c r="B264" s="11" t="s">
        <v>94</v>
      </c>
      <c r="C264" s="102" t="s">
        <v>46</v>
      </c>
      <c r="D264" s="81"/>
      <c r="E264" s="13"/>
      <c r="F264" s="30">
        <f>+SUM(START:END!F264)</f>
        <v>0</v>
      </c>
      <c r="G264" s="83"/>
      <c r="H264" s="13"/>
      <c r="I264" s="30">
        <f>+SUM(START:END!I264)</f>
        <v>0</v>
      </c>
      <c r="J264" s="41"/>
      <c r="K264" s="13"/>
      <c r="L264" s="33">
        <f>+SUM(START:END!L264)</f>
        <v>0</v>
      </c>
      <c r="M264" s="41"/>
      <c r="N264" s="59">
        <f t="shared" si="108"/>
        <v>0</v>
      </c>
      <c r="O264" s="41"/>
      <c r="P264" s="13"/>
      <c r="Q264" s="33">
        <f>+SUM(START:END!Q264)</f>
        <v>0</v>
      </c>
      <c r="R264" s="41"/>
      <c r="S264" s="85">
        <f t="shared" si="11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107"/>
        <v>CarrosserieCsst</v>
      </c>
      <c r="B265" s="11" t="s">
        <v>94</v>
      </c>
      <c r="C265" s="102" t="s">
        <v>47</v>
      </c>
      <c r="D265" s="81"/>
      <c r="E265" s="13"/>
      <c r="F265" s="30">
        <f>+SUM(START:END!F265)</f>
        <v>0</v>
      </c>
      <c r="G265" s="83"/>
      <c r="H265" s="13"/>
      <c r="I265" s="30">
        <f>+SUM(START:END!I265)</f>
        <v>0</v>
      </c>
      <c r="J265" s="41"/>
      <c r="K265" s="13"/>
      <c r="L265" s="33">
        <f>+SUM(START:END!L265)</f>
        <v>0</v>
      </c>
      <c r="M265" s="462"/>
      <c r="N265" s="145">
        <f t="shared" si="108"/>
        <v>0</v>
      </c>
      <c r="O265" s="41"/>
      <c r="P265" s="13"/>
      <c r="Q265" s="33">
        <f>+SUM(START:END!Q265)</f>
        <v>0</v>
      </c>
      <c r="R265" s="41"/>
      <c r="S265" s="85">
        <f t="shared" si="11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107"/>
        <v>Carrosserie[...]</v>
      </c>
      <c r="B266" s="11" t="s">
        <v>94</v>
      </c>
      <c r="C266" s="29" t="s">
        <v>19</v>
      </c>
      <c r="D266" s="87"/>
      <c r="E266" s="111"/>
      <c r="F266" s="30">
        <f>+SUM(START:END!F266)</f>
        <v>0</v>
      </c>
      <c r="G266" s="89"/>
      <c r="H266" s="111"/>
      <c r="I266" s="30">
        <f>+SUM(START:END!I266)</f>
        <v>0</v>
      </c>
      <c r="J266" s="23"/>
      <c r="K266" s="111"/>
      <c r="L266" s="33">
        <f>+SUM(START:END!L266)</f>
        <v>0</v>
      </c>
      <c r="M266" s="23"/>
      <c r="N266" s="91">
        <f>L266-F266</f>
        <v>0</v>
      </c>
      <c r="O266" s="23"/>
      <c r="P266" s="111"/>
      <c r="Q266" s="33">
        <f>+SUM(START:END!Q266)</f>
        <v>0</v>
      </c>
      <c r="R266" s="23"/>
      <c r="S266" s="92">
        <f>L266-Q266</f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ref="A267:A285" si="111">+B267&amp;C267</f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F267/F$244</f>
        <v>#DIV/0!</v>
      </c>
      <c r="F267" s="96">
        <f>+SUM(F255:F266)</f>
        <v>0</v>
      </c>
      <c r="G267" s="97" t="s">
        <v>38</v>
      </c>
      <c r="H267" s="95" t="e">
        <f>I267/I$244</f>
        <v>#DIV/0!</v>
      </c>
      <c r="I267" s="96">
        <f>+SUM(I255:I266)</f>
        <v>0</v>
      </c>
      <c r="J267" s="97" t="s">
        <v>38</v>
      </c>
      <c r="K267" s="95">
        <f>IF(L245=0,0,L267/L$244)</f>
        <v>0</v>
      </c>
      <c r="L267" s="96">
        <f>+SUM(L255:L266)</f>
        <v>-0.04</v>
      </c>
      <c r="M267" s="146"/>
      <c r="N267" s="113">
        <f>L267-F267</f>
        <v>-0.04</v>
      </c>
      <c r="O267" s="97" t="s">
        <v>38</v>
      </c>
      <c r="P267" s="95">
        <f>IF(Q245=0,0,Q267/Q$244)</f>
        <v>0</v>
      </c>
      <c r="Q267" s="96">
        <f>+SUM(Q255:Q266)</f>
        <v>0</v>
      </c>
      <c r="R267" s="146"/>
      <c r="S267" s="114">
        <f t="shared" ref="S267:S273" si="112">L267-Q267</f>
        <v>-0.04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111"/>
        <v>CarrosseriePublicité 2</v>
      </c>
      <c r="B268" s="11" t="s">
        <v>94</v>
      </c>
      <c r="C268" s="210" t="s">
        <v>49</v>
      </c>
      <c r="D268" s="81"/>
      <c r="E268" s="13"/>
      <c r="F268" s="30">
        <f>+SUM(START:END!F268)</f>
        <v>0</v>
      </c>
      <c r="G268" s="83"/>
      <c r="H268" s="13"/>
      <c r="I268" s="30">
        <f>+SUM(START:END!I268)</f>
        <v>0</v>
      </c>
      <c r="J268" s="41"/>
      <c r="K268" s="13"/>
      <c r="L268" s="33">
        <f>+SUM(START:END!L268)</f>
        <v>0</v>
      </c>
      <c r="M268" s="41"/>
      <c r="N268" s="59">
        <f t="shared" ref="N268:N285" si="113">L268-F268</f>
        <v>0</v>
      </c>
      <c r="O268" s="41"/>
      <c r="P268" s="13"/>
      <c r="Q268" s="33">
        <f>+SUM(START:END!Q268)</f>
        <v>0</v>
      </c>
      <c r="R268" s="41"/>
      <c r="S268" s="85">
        <f t="shared" si="112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111"/>
        <v>CarrosserieService gratuit 2</v>
      </c>
      <c r="B269" s="11" t="s">
        <v>94</v>
      </c>
      <c r="C269" s="102" t="s">
        <v>50</v>
      </c>
      <c r="D269" s="81"/>
      <c r="E269" s="13"/>
      <c r="F269" s="30">
        <f>+SUM(START:END!F269)</f>
        <v>0</v>
      </c>
      <c r="G269" s="83"/>
      <c r="H269" s="13"/>
      <c r="I269" s="30">
        <f>+SUM(START:END!I269)</f>
        <v>0</v>
      </c>
      <c r="J269" s="41"/>
      <c r="K269" s="13"/>
      <c r="L269" s="33">
        <f>+SUM(START:END!L269)</f>
        <v>0</v>
      </c>
      <c r="M269" s="41"/>
      <c r="N269" s="59">
        <f t="shared" si="113"/>
        <v>0</v>
      </c>
      <c r="O269" s="41"/>
      <c r="P269" s="13"/>
      <c r="Q269" s="33">
        <f>+SUM(START:END!Q269)</f>
        <v>0</v>
      </c>
      <c r="R269" s="41"/>
      <c r="S269" s="85">
        <f t="shared" si="112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111"/>
        <v>CarrosserieFrais véhicules de cie</v>
      </c>
      <c r="B270" s="11" t="s">
        <v>94</v>
      </c>
      <c r="C270" s="103" t="s">
        <v>51</v>
      </c>
      <c r="D270" s="87"/>
      <c r="E270" s="111"/>
      <c r="F270" s="22">
        <f>+SUM(START:END!F270)</f>
        <v>0</v>
      </c>
      <c r="G270" s="89"/>
      <c r="H270" s="111"/>
      <c r="I270" s="22">
        <f>+SUM(START:END!I270)</f>
        <v>0</v>
      </c>
      <c r="J270" s="23"/>
      <c r="K270" s="111"/>
      <c r="L270" s="33">
        <f>+SUM(START:END!L270)</f>
        <v>0</v>
      </c>
      <c r="M270" s="23"/>
      <c r="N270" s="91">
        <f t="shared" si="113"/>
        <v>0</v>
      </c>
      <c r="O270" s="23"/>
      <c r="P270" s="111"/>
      <c r="Q270" s="33">
        <f>+SUM(START:END!Q270)</f>
        <v>0</v>
      </c>
      <c r="R270" s="23"/>
      <c r="S270" s="92">
        <f t="shared" si="112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111"/>
        <v>CarrosserieInformatique</v>
      </c>
      <c r="B271" s="11" t="s">
        <v>94</v>
      </c>
      <c r="C271" s="102" t="s">
        <v>52</v>
      </c>
      <c r="D271" s="81"/>
      <c r="E271" s="13"/>
      <c r="F271" s="30">
        <f>+SUM(START:END!F271)</f>
        <v>0</v>
      </c>
      <c r="G271" s="83"/>
      <c r="H271" s="13"/>
      <c r="I271" s="30">
        <f>+SUM(START:END!I271)</f>
        <v>0</v>
      </c>
      <c r="J271" s="41"/>
      <c r="K271" s="13"/>
      <c r="L271" s="108">
        <f>+SUM(START:END!L271)</f>
        <v>0</v>
      </c>
      <c r="M271" s="41"/>
      <c r="N271" s="59">
        <f t="shared" si="113"/>
        <v>0</v>
      </c>
      <c r="O271" s="41"/>
      <c r="P271" s="13"/>
      <c r="Q271" s="108">
        <f>+SUM(START:END!Q271)</f>
        <v>0</v>
      </c>
      <c r="R271" s="41"/>
      <c r="S271" s="85">
        <f t="shared" si="112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111"/>
        <v>CarrosserieFrais de déplacement</v>
      </c>
      <c r="B272" s="11" t="s">
        <v>94</v>
      </c>
      <c r="C272" s="102" t="s">
        <v>53</v>
      </c>
      <c r="D272" s="81"/>
      <c r="E272" s="13"/>
      <c r="F272" s="30">
        <f>+SUM(START:END!F272)</f>
        <v>0</v>
      </c>
      <c r="G272" s="83"/>
      <c r="H272" s="13"/>
      <c r="I272" s="30">
        <f>+SUM(START:END!I272)</f>
        <v>0</v>
      </c>
      <c r="J272" s="41"/>
      <c r="K272" s="13"/>
      <c r="L272" s="33">
        <f>+SUM(START:END!L272)</f>
        <v>0</v>
      </c>
      <c r="M272" s="41"/>
      <c r="N272" s="59">
        <f t="shared" si="113"/>
        <v>0</v>
      </c>
      <c r="O272" s="41"/>
      <c r="P272" s="13"/>
      <c r="Q272" s="33">
        <f>+SUM(START:END!Q272)</f>
        <v>0</v>
      </c>
      <c r="R272" s="41"/>
      <c r="S272" s="85">
        <f t="shared" si="112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111"/>
        <v>CarrosserieServices extérieurs</v>
      </c>
      <c r="B273" s="11" t="s">
        <v>94</v>
      </c>
      <c r="C273" s="102" t="s">
        <v>54</v>
      </c>
      <c r="D273" s="87"/>
      <c r="E273" s="111"/>
      <c r="F273" s="22">
        <f>+SUM(START:END!F273)</f>
        <v>0</v>
      </c>
      <c r="G273" s="89"/>
      <c r="H273" s="111"/>
      <c r="I273" s="22">
        <f>+SUM(START:END!I273)</f>
        <v>0</v>
      </c>
      <c r="J273" s="23"/>
      <c r="K273" s="111"/>
      <c r="L273" s="33">
        <f>+SUM(START:END!L273)</f>
        <v>0</v>
      </c>
      <c r="M273" s="23"/>
      <c r="N273" s="91">
        <f t="shared" si="113"/>
        <v>0</v>
      </c>
      <c r="O273" s="23"/>
      <c r="P273" s="111"/>
      <c r="Q273" s="22">
        <f>+SUM(START:END!Q273)</f>
        <v>0</v>
      </c>
      <c r="R273" s="23"/>
      <c r="S273" s="92">
        <f t="shared" si="112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 t="shared" si="111"/>
        <v>CarrosserieFournitures d'atelier</v>
      </c>
      <c r="B274" s="11" t="s">
        <v>94</v>
      </c>
      <c r="C274" s="211" t="s">
        <v>93</v>
      </c>
      <c r="D274" s="81"/>
      <c r="E274" s="13"/>
      <c r="F274" s="30">
        <f>+SUM(START:END!F274)</f>
        <v>0</v>
      </c>
      <c r="G274" s="83"/>
      <c r="H274" s="13"/>
      <c r="I274" s="30">
        <f>+SUM(START:END!I274)</f>
        <v>0</v>
      </c>
      <c r="J274" s="41"/>
      <c r="K274" s="13"/>
      <c r="L274" s="55">
        <f>+SUM(START:END!L274)</f>
        <v>0</v>
      </c>
      <c r="M274" s="41"/>
      <c r="N274" s="59">
        <f t="shared" si="113"/>
        <v>0</v>
      </c>
      <c r="O274" s="41"/>
      <c r="P274" s="13"/>
      <c r="Q274" s="33">
        <f>+SUM(START:END!Q274)</f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si="111"/>
        <v>CarrosserieFournitures autres</v>
      </c>
      <c r="B275" s="11" t="s">
        <v>94</v>
      </c>
      <c r="C275" s="102" t="s">
        <v>55</v>
      </c>
      <c r="D275" s="81"/>
      <c r="E275" s="13"/>
      <c r="F275" s="30">
        <f>+SUM(START:END!F275)</f>
        <v>0</v>
      </c>
      <c r="G275" s="83"/>
      <c r="H275" s="13"/>
      <c r="I275" s="30">
        <f>+SUM(START:END!I275)</f>
        <v>0</v>
      </c>
      <c r="J275" s="41"/>
      <c r="K275" s="13"/>
      <c r="L275" s="33">
        <f>+SUM(START:END!L275)</f>
        <v>0</v>
      </c>
      <c r="M275" s="41"/>
      <c r="N275" s="59">
        <f t="shared" si="113"/>
        <v>0</v>
      </c>
      <c r="O275" s="41"/>
      <c r="P275" s="13"/>
      <c r="Q275" s="33">
        <f>+SUM(START:END!Q275)</f>
        <v>0</v>
      </c>
      <c r="R275" s="41"/>
      <c r="S275" s="85">
        <f t="shared" ref="S275:S283" si="114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111"/>
        <v>CarrosserieUniformes</v>
      </c>
      <c r="B276" s="11" t="s">
        <v>94</v>
      </c>
      <c r="C276" s="102" t="s">
        <v>56</v>
      </c>
      <c r="D276" s="81"/>
      <c r="E276" s="13"/>
      <c r="F276" s="30">
        <f>+SUM(START:END!F276)</f>
        <v>0</v>
      </c>
      <c r="G276" s="83"/>
      <c r="H276" s="13"/>
      <c r="I276" s="30">
        <f>+SUM(START:END!I276)</f>
        <v>0</v>
      </c>
      <c r="J276" s="41"/>
      <c r="K276" s="13"/>
      <c r="L276" s="33">
        <f>+SUM(START:END!L276)</f>
        <v>0</v>
      </c>
      <c r="M276" s="41"/>
      <c r="N276" s="59">
        <f t="shared" si="113"/>
        <v>0</v>
      </c>
      <c r="O276" s="41"/>
      <c r="P276" s="13"/>
      <c r="Q276" s="33">
        <f>+SUM(START:END!Q276)</f>
        <v>0</v>
      </c>
      <c r="R276" s="41"/>
      <c r="S276" s="85">
        <f t="shared" si="114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111"/>
        <v>CarrosseriePapeterie</v>
      </c>
      <c r="B277" s="11" t="s">
        <v>94</v>
      </c>
      <c r="C277" s="102" t="s">
        <v>57</v>
      </c>
      <c r="D277" s="81"/>
      <c r="E277" s="13"/>
      <c r="F277" s="30">
        <f>+SUM(START:END!F277)</f>
        <v>0</v>
      </c>
      <c r="G277" s="83"/>
      <c r="H277" s="13"/>
      <c r="I277" s="30">
        <f>+SUM(START:END!I277)</f>
        <v>0</v>
      </c>
      <c r="J277" s="41"/>
      <c r="K277" s="13"/>
      <c r="L277" s="32">
        <f>+SUM(START:END!L277)</f>
        <v>0</v>
      </c>
      <c r="M277" s="41"/>
      <c r="N277" s="59">
        <f t="shared" si="113"/>
        <v>0</v>
      </c>
      <c r="O277" s="41"/>
      <c r="P277" s="13"/>
      <c r="Q277" s="32">
        <f>+SUM(START:END!Q277)</f>
        <v>0</v>
      </c>
      <c r="R277" s="41"/>
      <c r="S277" s="85">
        <f t="shared" si="114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111"/>
        <v>CarrosserieTéléphone</v>
      </c>
      <c r="B278" s="11" t="s">
        <v>94</v>
      </c>
      <c r="C278" s="102" t="s">
        <v>58</v>
      </c>
      <c r="D278" s="81"/>
      <c r="E278" s="13"/>
      <c r="F278" s="30">
        <f>+SUM(START:END!F278)</f>
        <v>0</v>
      </c>
      <c r="G278" s="83"/>
      <c r="H278" s="13"/>
      <c r="I278" s="30">
        <f>+SUM(START:END!I278)</f>
        <v>0</v>
      </c>
      <c r="J278" s="41"/>
      <c r="K278" s="13"/>
      <c r="L278" s="33">
        <f>+SUM(START:END!L278)</f>
        <v>0</v>
      </c>
      <c r="M278" s="41"/>
      <c r="N278" s="59">
        <f t="shared" si="113"/>
        <v>0</v>
      </c>
      <c r="O278" s="41"/>
      <c r="P278" s="13"/>
      <c r="Q278" s="33">
        <f>+SUM(START:END!Q278)</f>
        <v>0</v>
      </c>
      <c r="R278" s="41"/>
      <c r="S278" s="85">
        <f t="shared" si="114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111"/>
        <v>CarrosserieFrais postaux</v>
      </c>
      <c r="B279" s="11" t="s">
        <v>94</v>
      </c>
      <c r="C279" s="102" t="s">
        <v>59</v>
      </c>
      <c r="D279" s="81"/>
      <c r="E279" s="13"/>
      <c r="F279" s="30">
        <f>+SUM(START:END!F279)</f>
        <v>0</v>
      </c>
      <c r="G279" s="83"/>
      <c r="H279" s="13"/>
      <c r="I279" s="30">
        <f>+SUM(START:END!I279)</f>
        <v>0</v>
      </c>
      <c r="J279" s="41"/>
      <c r="K279" s="13"/>
      <c r="L279" s="33">
        <f>+SUM(START:END!L279)</f>
        <v>0</v>
      </c>
      <c r="M279" s="41"/>
      <c r="N279" s="59">
        <f t="shared" si="113"/>
        <v>0</v>
      </c>
      <c r="O279" s="41"/>
      <c r="P279" s="13"/>
      <c r="Q279" s="33">
        <f>+SUM(START:END!Q279)</f>
        <v>0</v>
      </c>
      <c r="R279" s="41"/>
      <c r="S279" s="85">
        <f t="shared" si="114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111"/>
        <v>CarrosserieDivers</v>
      </c>
      <c r="B280" s="11" t="s">
        <v>94</v>
      </c>
      <c r="C280" s="102" t="s">
        <v>60</v>
      </c>
      <c r="D280" s="81"/>
      <c r="E280" s="13"/>
      <c r="F280" s="30">
        <f>+SUM(START:END!F280)</f>
        <v>0</v>
      </c>
      <c r="G280" s="83"/>
      <c r="H280" s="13"/>
      <c r="I280" s="30">
        <f>+SUM(START:END!I280)</f>
        <v>0</v>
      </c>
      <c r="J280" s="41"/>
      <c r="K280" s="13"/>
      <c r="L280" s="33">
        <f>+SUM(START:END!L280)</f>
        <v>0</v>
      </c>
      <c r="M280" s="41"/>
      <c r="N280" s="59">
        <f t="shared" si="113"/>
        <v>0</v>
      </c>
      <c r="O280" s="41"/>
      <c r="P280" s="13"/>
      <c r="Q280" s="33">
        <f>+SUM(START:END!Q280)</f>
        <v>0</v>
      </c>
      <c r="R280" s="41"/>
      <c r="S280" s="85">
        <f t="shared" si="114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111"/>
        <v>CarrosserieFormation</v>
      </c>
      <c r="B281" s="11" t="s">
        <v>94</v>
      </c>
      <c r="C281" s="102" t="s">
        <v>61</v>
      </c>
      <c r="D281" s="81"/>
      <c r="E281" s="13"/>
      <c r="F281" s="30">
        <f>+SUM(START:END!F281)</f>
        <v>0</v>
      </c>
      <c r="G281" s="83"/>
      <c r="H281" s="13"/>
      <c r="I281" s="30">
        <f>+SUM(START:END!I281)</f>
        <v>0</v>
      </c>
      <c r="J281" s="41"/>
      <c r="K281" s="13"/>
      <c r="L281" s="33">
        <f>+SUM(START:END!L281)</f>
        <v>0</v>
      </c>
      <c r="M281" s="41"/>
      <c r="N281" s="59">
        <f t="shared" si="113"/>
        <v>0</v>
      </c>
      <c r="O281" s="41"/>
      <c r="P281" s="13"/>
      <c r="Q281" s="33">
        <f>+SUM(START:END!Q281)</f>
        <v>0</v>
      </c>
      <c r="R281" s="41"/>
      <c r="S281" s="85">
        <f t="shared" si="114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111"/>
        <v>CarrosserieFrais bancaires</v>
      </c>
      <c r="B282" s="11" t="s">
        <v>94</v>
      </c>
      <c r="C282" s="102" t="s">
        <v>62</v>
      </c>
      <c r="D282" s="81"/>
      <c r="E282" s="13"/>
      <c r="F282" s="30">
        <f>+SUM(START:END!F282)</f>
        <v>0</v>
      </c>
      <c r="G282" s="83"/>
      <c r="H282" s="13"/>
      <c r="I282" s="30">
        <f>+SUM(START:END!I282)</f>
        <v>0</v>
      </c>
      <c r="J282" s="41"/>
      <c r="K282" s="13"/>
      <c r="L282" s="33">
        <f>+SUM(START:END!L282)</f>
        <v>0</v>
      </c>
      <c r="M282" s="41"/>
      <c r="N282" s="59">
        <f t="shared" si="113"/>
        <v>0</v>
      </c>
      <c r="O282" s="41"/>
      <c r="P282" s="13"/>
      <c r="Q282" s="33">
        <f>+SUM(START:END!Q282)</f>
        <v>0</v>
      </c>
      <c r="R282" s="41"/>
      <c r="S282" s="85">
        <f t="shared" si="114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111"/>
        <v>Carrosserie[...]</v>
      </c>
      <c r="B283" s="11" t="s">
        <v>94</v>
      </c>
      <c r="C283" s="102" t="s">
        <v>19</v>
      </c>
      <c r="D283" s="81"/>
      <c r="E283" s="13"/>
      <c r="F283" s="30">
        <f>+SUM(START:END!F283)</f>
        <v>0</v>
      </c>
      <c r="G283" s="83"/>
      <c r="H283" s="13"/>
      <c r="I283" s="30">
        <f>+SUM(START:END!I283)</f>
        <v>0</v>
      </c>
      <c r="J283" s="41"/>
      <c r="K283" s="13"/>
      <c r="L283" s="33">
        <f>+SUM(START:END!L283)</f>
        <v>0</v>
      </c>
      <c r="M283" s="41"/>
      <c r="N283" s="59">
        <f t="shared" si="113"/>
        <v>0</v>
      </c>
      <c r="O283" s="41"/>
      <c r="P283" s="13"/>
      <c r="Q283" s="33">
        <f>+SUM(START:END!Q283)</f>
        <v>0</v>
      </c>
      <c r="R283" s="41"/>
      <c r="S283" s="85">
        <f t="shared" si="114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 t="shared" si="111"/>
        <v>Carrosserie[...]</v>
      </c>
      <c r="B284" s="11" t="s">
        <v>94</v>
      </c>
      <c r="C284" s="102" t="s">
        <v>19</v>
      </c>
      <c r="D284" s="81"/>
      <c r="E284" s="13"/>
      <c r="F284" s="30">
        <f>+SUM(START:END!F284)</f>
        <v>0</v>
      </c>
      <c r="G284" s="83"/>
      <c r="H284" s="13"/>
      <c r="I284" s="30">
        <f>+SUM(START:END!I284)</f>
        <v>0</v>
      </c>
      <c r="J284" s="41"/>
      <c r="K284" s="13"/>
      <c r="L284" s="33">
        <f>+SUM(START:END!L284)</f>
        <v>0</v>
      </c>
      <c r="M284" s="41"/>
      <c r="N284" s="59">
        <f t="shared" si="113"/>
        <v>0</v>
      </c>
      <c r="O284" s="41"/>
      <c r="P284" s="13"/>
      <c r="Q284" s="33">
        <f>+SUM(START:END!Q284)</f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si="111"/>
        <v>Carrosserie[...]</v>
      </c>
      <c r="B285" s="11" t="s">
        <v>94</v>
      </c>
      <c r="C285" s="102" t="s">
        <v>19</v>
      </c>
      <c r="D285" s="81"/>
      <c r="E285" s="13"/>
      <c r="F285" s="30">
        <f>+SUM(START:END!F285)</f>
        <v>0</v>
      </c>
      <c r="G285" s="83"/>
      <c r="H285" s="13"/>
      <c r="I285" s="30">
        <f>+SUM(START:END!I285)</f>
        <v>0</v>
      </c>
      <c r="J285" s="41"/>
      <c r="K285" s="13"/>
      <c r="L285" s="33">
        <f>+SUM(START:END!L285)</f>
        <v>0</v>
      </c>
      <c r="M285" s="41"/>
      <c r="N285" s="59">
        <f t="shared" si="113"/>
        <v>0</v>
      </c>
      <c r="O285" s="41"/>
      <c r="P285" s="13"/>
      <c r="Q285" s="33">
        <f>+SUM(START:END!Q285)</f>
        <v>0</v>
      </c>
      <c r="R285" s="41"/>
      <c r="S285" s="85">
        <f t="shared" ref="S285" si="115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F286/F$250</f>
        <v>#DIV/0!</v>
      </c>
      <c r="F286" s="96">
        <f>+SUM(F268:F285)</f>
        <v>0</v>
      </c>
      <c r="G286" s="97" t="s">
        <v>38</v>
      </c>
      <c r="H286" s="95" t="e">
        <f>I286/I$250</f>
        <v>#DIV/0!</v>
      </c>
      <c r="I286" s="96">
        <f>+SUM(I268:I285)</f>
        <v>0</v>
      </c>
      <c r="J286" s="97" t="s">
        <v>38</v>
      </c>
      <c r="K286" s="95" t="e">
        <f>L286/L$250</f>
        <v>#DIV/0!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 t="e">
        <f>Q286/Q$250</f>
        <v>#DIV/0!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F288/F$250</f>
        <v>#DIV/0!</v>
      </c>
      <c r="F288" s="96">
        <f>F267+F286</f>
        <v>0</v>
      </c>
      <c r="G288" s="97" t="s">
        <v>38</v>
      </c>
      <c r="H288" s="95" t="e">
        <f>I288/I$250</f>
        <v>#DIV/0!</v>
      </c>
      <c r="I288" s="96">
        <f>I267+I286</f>
        <v>0</v>
      </c>
      <c r="J288" s="97" t="s">
        <v>38</v>
      </c>
      <c r="K288" s="95" t="e">
        <f>L288/L$250</f>
        <v>#DIV/0!</v>
      </c>
      <c r="L288" s="96">
        <f>L267+L286</f>
        <v>-0.04</v>
      </c>
      <c r="M288" s="100"/>
      <c r="N288" s="113">
        <f>L288-F288</f>
        <v>-0.04</v>
      </c>
      <c r="O288" s="97" t="s">
        <v>38</v>
      </c>
      <c r="P288" s="95" t="e">
        <f>Q288/Q$250</f>
        <v>#DIV/0!</v>
      </c>
      <c r="Q288" s="96">
        <f>Q267+Q286</f>
        <v>0</v>
      </c>
      <c r="R288" s="100"/>
      <c r="S288" s="114">
        <f>L288-Q288</f>
        <v>-0.04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>
        <f>L289-F289</f>
        <v>0</v>
      </c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>
        <f>I251-I288</f>
        <v>0</v>
      </c>
      <c r="J290" s="153"/>
      <c r="K290" s="126"/>
      <c r="L290" s="127">
        <f>L251-L288</f>
        <v>0.04</v>
      </c>
      <c r="M290" s="153"/>
      <c r="N290" s="127">
        <f>L290-F290</f>
        <v>0.04</v>
      </c>
      <c r="O290" s="153"/>
      <c r="P290" s="126"/>
      <c r="Q290" s="127">
        <f>Q251-Q288</f>
        <v>0</v>
      </c>
      <c r="R290" s="153"/>
      <c r="S290" s="129">
        <f>L290-Q290</f>
        <v>0.04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  Q3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05" t="s">
        <v>5</v>
      </c>
      <c r="E294" s="506"/>
      <c r="F294" s="507"/>
      <c r="G294" s="508" t="s">
        <v>71</v>
      </c>
      <c r="H294" s="506"/>
      <c r="I294" s="507"/>
      <c r="J294" s="508" t="s">
        <v>7</v>
      </c>
      <c r="K294" s="506"/>
      <c r="L294" s="507"/>
      <c r="M294" s="508" t="s">
        <v>212</v>
      </c>
      <c r="N294" s="507"/>
      <c r="O294" s="505" t="s">
        <v>8</v>
      </c>
      <c r="P294" s="506"/>
      <c r="Q294" s="507"/>
      <c r="R294" s="503" t="s">
        <v>213</v>
      </c>
      <c r="S294" s="504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299" si="116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 t="s">
        <v>79</v>
      </c>
      <c r="H295" s="80" t="s">
        <v>99</v>
      </c>
      <c r="I295" s="134" t="s">
        <v>12</v>
      </c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116"/>
        <v>PiècesPièces Ro Clients</v>
      </c>
      <c r="B296" s="11" t="s">
        <v>98</v>
      </c>
      <c r="C296" s="29" t="s">
        <v>100</v>
      </c>
      <c r="D296" s="82">
        <f>+SUM(START:END!D296)</f>
        <v>175727.6113311006</v>
      </c>
      <c r="E296" s="147">
        <f>IF(D296=0,0,F296/D296)</f>
        <v>0.40200000000000002</v>
      </c>
      <c r="F296" s="85">
        <f>+SUM(START:END!F296)</f>
        <v>70642.499755102443</v>
      </c>
      <c r="G296" s="82">
        <f>+SUM(START:END!G296)</f>
        <v>0</v>
      </c>
      <c r="H296" s="147">
        <f>IF(G296=0,0,I296/G296)</f>
        <v>0</v>
      </c>
      <c r="I296" s="85">
        <f>+SUM(START:END!I296)</f>
        <v>0</v>
      </c>
      <c r="J296" s="30">
        <f>+SUM(START:END!J296)</f>
        <v>267005.98</v>
      </c>
      <c r="K296" s="147">
        <f>IF(J296=0,0,L296/J296)</f>
        <v>0.37778472227475962</v>
      </c>
      <c r="L296" s="33">
        <f>+SUM(START:END!L296)</f>
        <v>100870.78000000001</v>
      </c>
      <c r="M296" s="156">
        <f t="shared" ref="M296:M302" si="117">(+J296-D296)/D296</f>
        <v>0.51943099879116583</v>
      </c>
      <c r="N296" s="59">
        <f t="shared" ref="N296:N305" si="118">L296-F296</f>
        <v>30228.280244897571</v>
      </c>
      <c r="O296" s="30">
        <f>+SUM(START:END!O296)</f>
        <v>168336</v>
      </c>
      <c r="P296" s="147">
        <f>IF(O296=0,0,Q296/O296)</f>
        <v>0.41719139102746877</v>
      </c>
      <c r="Q296" s="33">
        <f>+SUM(START:END!Q296)</f>
        <v>70228.329999999987</v>
      </c>
      <c r="R296" s="156">
        <f>IF(O296=0,0,(J296-O296)/O296)</f>
        <v>0.58614901150080778</v>
      </c>
      <c r="S296" s="85">
        <f t="shared" ref="S296:S301" si="119">L296-Q296</f>
        <v>30642.450000000026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116"/>
        <v>PiècesPièces Ro Carrosserie</v>
      </c>
      <c r="B297" s="11" t="s">
        <v>98</v>
      </c>
      <c r="C297" s="29" t="s">
        <v>101</v>
      </c>
      <c r="D297" s="82">
        <f>+SUM(START:END!D297)</f>
        <v>0</v>
      </c>
      <c r="E297" s="147">
        <f t="shared" ref="E297:E304" si="120">IF(D297=0,0,F297/D297)</f>
        <v>0</v>
      </c>
      <c r="F297" s="85">
        <f>+SUM(START:END!F297)</f>
        <v>0</v>
      </c>
      <c r="G297" s="82">
        <f>+SUM(START:END!G297)</f>
        <v>0</v>
      </c>
      <c r="H297" s="147">
        <f t="shared" ref="H297:H304" si="121">IF(G297=0,0,I297/G297)</f>
        <v>0</v>
      </c>
      <c r="I297" s="85">
        <f>+SUM(START:END!I297)</f>
        <v>0</v>
      </c>
      <c r="J297" s="30">
        <f>+SUM(START:END!J297)</f>
        <v>0</v>
      </c>
      <c r="K297" s="147">
        <f t="shared" ref="K297:K304" si="122">IF(J297=0,0,L297/J297)</f>
        <v>0</v>
      </c>
      <c r="L297" s="33">
        <f>+SUM(START:END!L297)</f>
        <v>0</v>
      </c>
      <c r="M297" s="156" t="e">
        <f t="shared" si="117"/>
        <v>#DIV/0!</v>
      </c>
      <c r="N297" s="59">
        <f t="shared" si="118"/>
        <v>0</v>
      </c>
      <c r="O297" s="30">
        <f>+SUM(START:END!O297)</f>
        <v>0</v>
      </c>
      <c r="P297" s="147">
        <f t="shared" ref="P297:P304" si="123">IF(O297=0,0,Q297/O297)</f>
        <v>0</v>
      </c>
      <c r="Q297" s="33">
        <f>+SUM(START:END!Q297)</f>
        <v>0</v>
      </c>
      <c r="R297" s="156">
        <f t="shared" ref="R297:R301" si="124">IF(O297=0,0,(J297-O297)/O297)</f>
        <v>0</v>
      </c>
      <c r="S297" s="85">
        <f t="shared" si="119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116"/>
        <v>PiècesP/A Garantie</v>
      </c>
      <c r="B298" s="11" t="s">
        <v>98</v>
      </c>
      <c r="C298" s="29" t="s">
        <v>102</v>
      </c>
      <c r="D298" s="82">
        <f>+SUM(START:END!D298)</f>
        <v>239216.8997156249</v>
      </c>
      <c r="E298" s="147">
        <f t="shared" si="120"/>
        <v>0.27700000000000008</v>
      </c>
      <c r="F298" s="85">
        <f>+SUM(START:END!F298)</f>
        <v>66263.081221228116</v>
      </c>
      <c r="G298" s="82">
        <f>+SUM(START:END!G298)</f>
        <v>0</v>
      </c>
      <c r="H298" s="147">
        <f t="shared" si="121"/>
        <v>0</v>
      </c>
      <c r="I298" s="85">
        <f>+SUM(START:END!I298)</f>
        <v>0</v>
      </c>
      <c r="J298" s="30">
        <f>+SUM(START:END!J298)</f>
        <v>210691.7</v>
      </c>
      <c r="K298" s="147">
        <f t="shared" si="122"/>
        <v>0.27809714383623085</v>
      </c>
      <c r="L298" s="33">
        <f>+SUM(START:END!L298)</f>
        <v>58592.76</v>
      </c>
      <c r="M298" s="156">
        <f t="shared" si="117"/>
        <v>-0.11924408246045715</v>
      </c>
      <c r="N298" s="59">
        <f t="shared" si="118"/>
        <v>-7670.3212212281142</v>
      </c>
      <c r="O298" s="30">
        <f>+SUM(START:END!O298)</f>
        <v>269519.89</v>
      </c>
      <c r="P298" s="147">
        <f t="shared" si="123"/>
        <v>0.27327233622720765</v>
      </c>
      <c r="Q298" s="33">
        <f>+SUM(START:END!Q298)</f>
        <v>73652.330000000016</v>
      </c>
      <c r="R298" s="156">
        <f t="shared" si="124"/>
        <v>-0.21827031021717916</v>
      </c>
      <c r="S298" s="85">
        <f t="shared" si="119"/>
        <v>-15059.570000000014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116"/>
        <v>PiècesVentes Internes</v>
      </c>
      <c r="B299" s="11" t="s">
        <v>98</v>
      </c>
      <c r="C299" s="29" t="s">
        <v>103</v>
      </c>
      <c r="D299" s="82">
        <f>+SUM(START:END!D299)</f>
        <v>86400</v>
      </c>
      <c r="E299" s="147">
        <f t="shared" si="120"/>
        <v>0.33800000000000008</v>
      </c>
      <c r="F299" s="85">
        <f>+SUM(START:END!F299)</f>
        <v>29203.200000000004</v>
      </c>
      <c r="G299" s="82">
        <f>+SUM(START:END!G299)</f>
        <v>0</v>
      </c>
      <c r="H299" s="147">
        <f t="shared" si="121"/>
        <v>0</v>
      </c>
      <c r="I299" s="85">
        <f>+SUM(START:END!I299)</f>
        <v>0</v>
      </c>
      <c r="J299" s="30">
        <f>+SUM(START:END!J299)</f>
        <v>78480.53</v>
      </c>
      <c r="K299" s="147">
        <f t="shared" si="122"/>
        <v>0.22078546105639196</v>
      </c>
      <c r="L299" s="33">
        <f>+SUM(START:END!L299)</f>
        <v>17327.36</v>
      </c>
      <c r="M299" s="156">
        <f t="shared" si="117"/>
        <v>-9.1660532407407416E-2</v>
      </c>
      <c r="N299" s="59">
        <f t="shared" si="118"/>
        <v>-11875.840000000004</v>
      </c>
      <c r="O299" s="30">
        <f>+SUM(START:END!O299)</f>
        <v>52810.520000000004</v>
      </c>
      <c r="P299" s="147">
        <f t="shared" si="123"/>
        <v>0.35297512692546867</v>
      </c>
      <c r="Q299" s="33">
        <f>+SUM(START:END!Q299)</f>
        <v>18640.800000000003</v>
      </c>
      <c r="R299" s="156">
        <f t="shared" si="124"/>
        <v>0.48607758454186767</v>
      </c>
      <c r="S299" s="85">
        <f t="shared" si="119"/>
        <v>-1313.4400000000023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ref="A300:A309" si="125">+B300&amp;C300</f>
        <v>PiècesVentes Détails</v>
      </c>
      <c r="B300" s="11" t="s">
        <v>98</v>
      </c>
      <c r="C300" s="29" t="s">
        <v>104</v>
      </c>
      <c r="D300" s="82">
        <f>+SUM(START:END!D300)</f>
        <v>55175.590803376872</v>
      </c>
      <c r="E300" s="147">
        <f t="shared" si="120"/>
        <v>0.33100000000000002</v>
      </c>
      <c r="F300" s="85">
        <f>+SUM(START:END!F300)</f>
        <v>18263.120555917747</v>
      </c>
      <c r="G300" s="82">
        <f>+SUM(START:END!G300)</f>
        <v>0</v>
      </c>
      <c r="H300" s="147">
        <f t="shared" si="121"/>
        <v>0</v>
      </c>
      <c r="I300" s="85">
        <f>+SUM(START:END!I300)</f>
        <v>0</v>
      </c>
      <c r="J300" s="30">
        <f>+SUM(START:END!J300)</f>
        <v>76470.209999999992</v>
      </c>
      <c r="K300" s="147">
        <f t="shared" si="122"/>
        <v>0.32903937363320962</v>
      </c>
      <c r="L300" s="33">
        <f>+SUM(START:END!L300)</f>
        <v>25161.71</v>
      </c>
      <c r="M300" s="156">
        <f t="shared" si="117"/>
        <v>0.38594274907736631</v>
      </c>
      <c r="N300" s="59">
        <f t="shared" si="118"/>
        <v>6898.5894440822522</v>
      </c>
      <c r="O300" s="30">
        <f>+SUM(START:END!O300)</f>
        <v>51181.62000000001</v>
      </c>
      <c r="P300" s="147">
        <f t="shared" si="123"/>
        <v>0.37981974779227379</v>
      </c>
      <c r="Q300" s="33">
        <f>+SUM(START:END!Q300)</f>
        <v>19439.79</v>
      </c>
      <c r="R300" s="156">
        <f t="shared" si="124"/>
        <v>0.49409514587463188</v>
      </c>
      <c r="S300" s="85">
        <f t="shared" si="119"/>
        <v>5721.9199999999983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 t="shared" si="125"/>
        <v>PiècesVentes de Gros</v>
      </c>
      <c r="B301" s="11" t="s">
        <v>98</v>
      </c>
      <c r="C301" s="29" t="s">
        <v>105</v>
      </c>
      <c r="D301" s="82">
        <f>+SUM(START:END!D301)</f>
        <v>320400</v>
      </c>
      <c r="E301" s="147">
        <f t="shared" si="120"/>
        <v>0.2</v>
      </c>
      <c r="F301" s="85">
        <f>+SUM(START:END!F301)</f>
        <v>64080</v>
      </c>
      <c r="G301" s="82">
        <f>+SUM(START:END!G301)</f>
        <v>0</v>
      </c>
      <c r="H301" s="147">
        <f t="shared" si="121"/>
        <v>0</v>
      </c>
      <c r="I301" s="85">
        <f>+SUM(START:END!I301)</f>
        <v>0</v>
      </c>
      <c r="J301" s="30">
        <f>+SUM(START:END!J301)</f>
        <v>145714.01</v>
      </c>
      <c r="K301" s="147">
        <f t="shared" si="122"/>
        <v>0.18697927536274644</v>
      </c>
      <c r="L301" s="33">
        <f>+SUM(START:END!L301)</f>
        <v>27245.499999999993</v>
      </c>
      <c r="M301" s="156">
        <f t="shared" si="117"/>
        <v>-0.54521220349563049</v>
      </c>
      <c r="N301" s="59">
        <f t="shared" si="118"/>
        <v>-36834.500000000007</v>
      </c>
      <c r="O301" s="30">
        <f>+SUM(START:END!O301)</f>
        <v>135221.49</v>
      </c>
      <c r="P301" s="147">
        <f t="shared" si="123"/>
        <v>0.19854743502678382</v>
      </c>
      <c r="Q301" s="33">
        <f>+SUM(START:END!Q301)</f>
        <v>26847.879999999896</v>
      </c>
      <c r="R301" s="156">
        <f t="shared" si="124"/>
        <v>7.7595062737439283E-2</v>
      </c>
      <c r="S301" s="85">
        <f t="shared" si="119"/>
        <v>397.62000000009721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 t="shared" si="125"/>
        <v>Pièces[...]</v>
      </c>
      <c r="B302" s="11" t="s">
        <v>98</v>
      </c>
      <c r="C302" s="29" t="s">
        <v>19</v>
      </c>
      <c r="D302" s="82">
        <f>+SUM(START:END!D302)</f>
        <v>0</v>
      </c>
      <c r="E302" s="147">
        <f t="shared" si="120"/>
        <v>0</v>
      </c>
      <c r="F302" s="85">
        <f>+SUM(START:END!F302)</f>
        <v>0</v>
      </c>
      <c r="G302" s="82">
        <f>+SUM(START:END!G302)</f>
        <v>0</v>
      </c>
      <c r="H302" s="147">
        <f t="shared" si="121"/>
        <v>0</v>
      </c>
      <c r="I302" s="85">
        <f>+SUM(START:END!I302)</f>
        <v>0</v>
      </c>
      <c r="J302" s="30">
        <f>+SUM(START:END!J302)</f>
        <v>0</v>
      </c>
      <c r="K302" s="147">
        <f t="shared" si="122"/>
        <v>0</v>
      </c>
      <c r="L302" s="33">
        <f>+SUM(START:END!L302)</f>
        <v>0</v>
      </c>
      <c r="M302" s="156" t="e">
        <f t="shared" si="117"/>
        <v>#DIV/0!</v>
      </c>
      <c r="N302" s="59">
        <f t="shared" si="118"/>
        <v>0</v>
      </c>
      <c r="O302" s="30">
        <f>+SUM(START:END!O302)</f>
        <v>0</v>
      </c>
      <c r="P302" s="147">
        <f t="shared" si="123"/>
        <v>0</v>
      </c>
      <c r="Q302" s="33">
        <f>+SUM(START:END!Q302)</f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si="125"/>
        <v>PiècesEscomptes</v>
      </c>
      <c r="B303" s="11" t="s">
        <v>98</v>
      </c>
      <c r="C303" s="29" t="s">
        <v>106</v>
      </c>
      <c r="D303" s="82">
        <f>+SUM(START:END!D303)</f>
        <v>0</v>
      </c>
      <c r="E303" s="147">
        <f t="shared" si="120"/>
        <v>0</v>
      </c>
      <c r="F303" s="85">
        <f>+SUM(START:END!F303)</f>
        <v>32478.522290744535</v>
      </c>
      <c r="G303" s="82">
        <f>+SUM(START:END!G303)</f>
        <v>0</v>
      </c>
      <c r="H303" s="147">
        <f t="shared" si="121"/>
        <v>0</v>
      </c>
      <c r="I303" s="85">
        <f>+SUM(START:END!I303)</f>
        <v>0</v>
      </c>
      <c r="J303" s="30">
        <f>+SUM(START:END!J303)</f>
        <v>0</v>
      </c>
      <c r="K303" s="147">
        <f t="shared" si="122"/>
        <v>0</v>
      </c>
      <c r="L303" s="33">
        <f>+SUM(START:END!L303)</f>
        <v>47000.25</v>
      </c>
      <c r="M303" s="156"/>
      <c r="N303" s="59">
        <f t="shared" si="118"/>
        <v>14521.727709255465</v>
      </c>
      <c r="O303" s="30">
        <f>+SUM(START:END!O303)</f>
        <v>0</v>
      </c>
      <c r="P303" s="147">
        <f t="shared" si="123"/>
        <v>0</v>
      </c>
      <c r="Q303" s="33">
        <f>+SUM(START:END!Q303)</f>
        <v>10880.16</v>
      </c>
      <c r="R303" s="156">
        <f t="shared" ref="R303:R304" si="126">IF(O303=0,0,(J303-O303)/O303)</f>
        <v>0</v>
      </c>
      <c r="S303" s="85">
        <f>L303-Q303</f>
        <v>36120.089999999997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125"/>
        <v>PiècesRectif. Inventaire</v>
      </c>
      <c r="B304" s="11" t="s">
        <v>98</v>
      </c>
      <c r="C304" s="86" t="s">
        <v>107</v>
      </c>
      <c r="D304" s="82">
        <f>+SUM(START:END!D304)</f>
        <v>0</v>
      </c>
      <c r="E304" s="147">
        <f t="shared" si="120"/>
        <v>0</v>
      </c>
      <c r="F304" s="85">
        <f>+SUM(START:END!F304)</f>
        <v>0</v>
      </c>
      <c r="G304" s="82">
        <f>+SUM(START:END!G304)</f>
        <v>0</v>
      </c>
      <c r="H304" s="147">
        <f t="shared" si="121"/>
        <v>0</v>
      </c>
      <c r="I304" s="85">
        <f>+SUM(START:END!I304)</f>
        <v>0</v>
      </c>
      <c r="J304" s="30">
        <f>+SUM(START:END!J304)</f>
        <v>0</v>
      </c>
      <c r="K304" s="147">
        <f t="shared" si="122"/>
        <v>0</v>
      </c>
      <c r="L304" s="33">
        <f>+SUM(START:END!L304)</f>
        <v>0</v>
      </c>
      <c r="M304" s="156"/>
      <c r="N304" s="59">
        <f t="shared" si="118"/>
        <v>0</v>
      </c>
      <c r="O304" s="30">
        <f>+SUM(START:END!O304)</f>
        <v>0</v>
      </c>
      <c r="P304" s="147">
        <f t="shared" si="123"/>
        <v>0</v>
      </c>
      <c r="Q304" s="33">
        <f>+SUM(START:END!Q304)</f>
        <v>0</v>
      </c>
      <c r="R304" s="156">
        <f t="shared" si="126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125"/>
        <v>PiècesSous-total Pièces</v>
      </c>
      <c r="B305" s="11" t="s">
        <v>98</v>
      </c>
      <c r="C305" s="53" t="s">
        <v>108</v>
      </c>
      <c r="D305" s="194">
        <f>SUM(D296:D304)</f>
        <v>876920.10185010242</v>
      </c>
      <c r="E305" s="212">
        <f>IF(D305&lt;=0,0,F305/D305)</f>
        <v>0.32036034209991693</v>
      </c>
      <c r="F305" s="198">
        <f>SUM(F296:F304)</f>
        <v>280930.42382299283</v>
      </c>
      <c r="G305" s="194">
        <f>SUM(G296:G304)</f>
        <v>0</v>
      </c>
      <c r="H305" s="212">
        <f>IF(G305&lt;=0,0,I305/G305)</f>
        <v>0</v>
      </c>
      <c r="I305" s="198">
        <f>SUM(I296:I304)</f>
        <v>0</v>
      </c>
      <c r="J305" s="194">
        <f>SUM(J296:J304)</f>
        <v>778362.42999999993</v>
      </c>
      <c r="K305" s="212">
        <f>IF(J305&lt;=0,0,L305/J305)</f>
        <v>0.354845441345364</v>
      </c>
      <c r="L305" s="196">
        <f>SUM(L296:L304)</f>
        <v>276198.36</v>
      </c>
      <c r="M305" s="213">
        <f>(+J305-D305)/D305</f>
        <v>-0.11239070884812444</v>
      </c>
      <c r="N305" s="196">
        <f t="shared" si="118"/>
        <v>-4732.0638229928445</v>
      </c>
      <c r="O305" s="194">
        <f>SUM(O296:O304)</f>
        <v>677069.52</v>
      </c>
      <c r="P305" s="212">
        <f>IF(O305&lt;=0,0,Q305/O305)</f>
        <v>0.32447080175755055</v>
      </c>
      <c r="Q305" s="196">
        <f>SUM(Q296:Q304)</f>
        <v>219689.28999999992</v>
      </c>
      <c r="R305" s="213">
        <f>IF(O305=0,0,(J305-O305)/O305)</f>
        <v>0.14960488843154526</v>
      </c>
      <c r="S305" s="198">
        <f>L305-Q305</f>
        <v>56509.070000000065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125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-1.6844255451571876E-2</v>
      </c>
      <c r="O306" s="41"/>
      <c r="P306" s="13"/>
      <c r="Q306" s="40"/>
      <c r="R306" s="41"/>
      <c r="S306" s="44">
        <f>IF(Q305=0,0,S305/Q305)</f>
        <v>0.25722268937188558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125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125"/>
        <v>PiècesVentes Pneus</v>
      </c>
      <c r="B308" s="11" t="s">
        <v>98</v>
      </c>
      <c r="C308" s="29" t="s">
        <v>109</v>
      </c>
      <c r="D308" s="82">
        <f>+SUM(START:END!D308)</f>
        <v>188404.19916569092</v>
      </c>
      <c r="E308" s="147">
        <f>IF(D308=0,0,F308/D308)</f>
        <v>0.25</v>
      </c>
      <c r="F308" s="110">
        <f>+SUM(START:END!F308)</f>
        <v>47101.049791422731</v>
      </c>
      <c r="G308" s="82">
        <f>+SUM(START:END!G308)</f>
        <v>0</v>
      </c>
      <c r="H308" s="147">
        <f>IF(G308=0,0,I308/G308)</f>
        <v>0</v>
      </c>
      <c r="I308" s="110">
        <f>+SUM(START:END!I308)</f>
        <v>0</v>
      </c>
      <c r="J308" s="30">
        <f>+SUM(START:END!J308)</f>
        <v>203109.6</v>
      </c>
      <c r="K308" s="147">
        <f>IF(J308=0,0,L308/J308)</f>
        <v>0.25807952947571167</v>
      </c>
      <c r="L308" s="33">
        <f>+SUM(START:END!L308)</f>
        <v>52418.430000000008</v>
      </c>
      <c r="M308" s="156">
        <f>(+J308-D308)/D308</f>
        <v>7.8052404879662515E-2</v>
      </c>
      <c r="N308" s="59">
        <f>L308-F308</f>
        <v>5317.3802085772768</v>
      </c>
      <c r="O308" s="30">
        <f>+SUM(START:END!O308)</f>
        <v>176180.53</v>
      </c>
      <c r="P308" s="147">
        <f>IF(O308=0,0,Q308/O308)</f>
        <v>0.28574729568585133</v>
      </c>
      <c r="Q308" s="33">
        <f>+SUM(START:END!Q308)</f>
        <v>50343.11</v>
      </c>
      <c r="R308" s="156">
        <f>IF(O308=0,0,(J308-O308)/O308)</f>
        <v>0.1528492961168865</v>
      </c>
      <c r="S308" s="85">
        <f>L308-Q308</f>
        <v>2075.320000000007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125"/>
        <v>PiècesHuiles et Graisse</v>
      </c>
      <c r="B309" s="11" t="s">
        <v>98</v>
      </c>
      <c r="C309" s="86" t="s">
        <v>110</v>
      </c>
      <c r="D309" s="82">
        <f>+SUM(START:END!D309)</f>
        <v>38707.835326891378</v>
      </c>
      <c r="E309" s="147">
        <f>IF(D309=0,0,F309/D309)</f>
        <v>0.35499999999999993</v>
      </c>
      <c r="F309" s="92">
        <f>+SUM(START:END!F309)</f>
        <v>13741.281541046435</v>
      </c>
      <c r="G309" s="82">
        <f>+SUM(START:END!G309)</f>
        <v>0</v>
      </c>
      <c r="H309" s="147">
        <f>IF(G309=0,0,I309/G309)</f>
        <v>0</v>
      </c>
      <c r="I309" s="92">
        <f>+SUM(START:END!I309)</f>
        <v>0</v>
      </c>
      <c r="J309" s="30">
        <f>+SUM(START:END!J309)</f>
        <v>44687.47</v>
      </c>
      <c r="K309" s="147">
        <f>IF(J309=0,0,L309/J309)</f>
        <v>0.33583194573333425</v>
      </c>
      <c r="L309" s="33">
        <f>+SUM(START:END!L309)</f>
        <v>15007.480000000001</v>
      </c>
      <c r="M309" s="156">
        <f>(+J309-D309)/D309</f>
        <v>0.1544812470811151</v>
      </c>
      <c r="N309" s="59">
        <f>L309-F309</f>
        <v>1266.1984589535659</v>
      </c>
      <c r="O309" s="30">
        <f>+SUM(START:END!O309)</f>
        <v>41912.209999999905</v>
      </c>
      <c r="P309" s="147">
        <f>IF(O309=0,0,Q309/O309)</f>
        <v>0.3401741401849252</v>
      </c>
      <c r="Q309" s="33">
        <f>+SUM(START:END!Q309)</f>
        <v>14257.449999999992</v>
      </c>
      <c r="R309" s="156">
        <f>IF(O309=0,0,(J309-O309)/O309)</f>
        <v>6.6216026308326445E-2</v>
      </c>
      <c r="S309" s="85">
        <f>L309-Q309</f>
        <v>750.03000000000975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ref="A310:A319" si="127">+B310&amp;C310</f>
        <v>PiècesSous-total Pièces et Acc.</v>
      </c>
      <c r="B310" s="11" t="s">
        <v>98</v>
      </c>
      <c r="C310" s="53" t="s">
        <v>111</v>
      </c>
      <c r="D310" s="194">
        <f>D305+D308+D309</f>
        <v>1104032.1363426847</v>
      </c>
      <c r="E310" s="212">
        <f>IF(D310&lt;=0,0,F310/D310)</f>
        <v>0.30956775976435696</v>
      </c>
      <c r="F310" s="196">
        <f>F305+F308+F309</f>
        <v>341772.75515546201</v>
      </c>
      <c r="G310" s="197">
        <f>G305+G308+G309</f>
        <v>0</v>
      </c>
      <c r="H310" s="212">
        <f>IF(G310&lt;=0,0,I310/G310)</f>
        <v>0</v>
      </c>
      <c r="I310" s="196">
        <f>I305+I308+I309</f>
        <v>0</v>
      </c>
      <c r="J310" s="197">
        <f>J305+J308+J309</f>
        <v>1026159.4999999999</v>
      </c>
      <c r="K310" s="212">
        <f>IF(J310&lt;=0,0,L310/J310)</f>
        <v>0.33486438511751826</v>
      </c>
      <c r="L310" s="196">
        <f>L305+L308+L309</f>
        <v>343624.26999999996</v>
      </c>
      <c r="M310" s="213">
        <f>(+J310-D310)/D310</f>
        <v>-7.0534755084804585E-2</v>
      </c>
      <c r="N310" s="196">
        <f>L310-F310</f>
        <v>1851.5148445379455</v>
      </c>
      <c r="O310" s="197">
        <f>O305+O308+O309</f>
        <v>895162.26</v>
      </c>
      <c r="P310" s="212">
        <f>IF(O310&lt;=0,0,Q310/O310)</f>
        <v>0.31758471363616236</v>
      </c>
      <c r="Q310" s="196">
        <f>Q305+Q308+Q309</f>
        <v>284289.84999999992</v>
      </c>
      <c r="R310" s="213">
        <f>IF(O310=0,0,(J310-O310)/O310)</f>
        <v>0.14633910057825703</v>
      </c>
      <c r="S310" s="198">
        <f>L310-Q310</f>
        <v>59334.420000000042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127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5.4173857237267134E-3</v>
      </c>
      <c r="O311" s="41"/>
      <c r="P311" s="13"/>
      <c r="Q311" s="40"/>
      <c r="R311" s="41"/>
      <c r="S311" s="44">
        <f>IF(Q310=0,0,S310/Q310)</f>
        <v>0.20871100392785763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127"/>
        <v>PiècesPièces recond. MCPA</v>
      </c>
      <c r="B312" s="11" t="s">
        <v>98</v>
      </c>
      <c r="C312" s="29" t="s">
        <v>189</v>
      </c>
      <c r="D312" s="13">
        <f>+SUM(START:END!D312)</f>
        <v>0</v>
      </c>
      <c r="E312" s="13">
        <f>IF(D312=0,0,F312/D312)</f>
        <v>0</v>
      </c>
      <c r="F312" s="40">
        <f>+SUM(START:END!F312)</f>
        <v>0</v>
      </c>
      <c r="G312" s="41">
        <f>+SUM(START:END!G312)</f>
        <v>0</v>
      </c>
      <c r="H312" s="13">
        <f>IF(G312=0,0,I312/G312)</f>
        <v>0</v>
      </c>
      <c r="I312" s="40">
        <f>+SUM(START:END!I312)</f>
        <v>0</v>
      </c>
      <c r="J312" s="41">
        <f>+SUM(START:END!J312)</f>
        <v>0</v>
      </c>
      <c r="K312" s="13">
        <f>IF(J312=0,0,L312/J312)</f>
        <v>0</v>
      </c>
      <c r="L312" s="40">
        <f>+SUM(START:END!L312)</f>
        <v>0</v>
      </c>
      <c r="M312" s="41"/>
      <c r="N312" s="43"/>
      <c r="O312" s="41">
        <f>+SUM(START:END!O312)</f>
        <v>0</v>
      </c>
      <c r="P312" s="13">
        <f>IF(O312=0,0,Q312/O312)</f>
        <v>0</v>
      </c>
      <c r="Q312" s="40">
        <f>+SUM(START:END!Q312)</f>
        <v>0</v>
      </c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127"/>
        <v>PiècesAutostock</v>
      </c>
      <c r="B313" s="11" t="s">
        <v>98</v>
      </c>
      <c r="C313" s="86" t="s">
        <v>112</v>
      </c>
      <c r="D313" s="90">
        <f>+SUM(START:END!D313)</f>
        <v>0</v>
      </c>
      <c r="E313" s="216">
        <f>IF(D313=0,0,F313/D313)</f>
        <v>0</v>
      </c>
      <c r="F313" s="145">
        <f>+SUM(START:END!F313)</f>
        <v>0</v>
      </c>
      <c r="G313" s="171">
        <f>+SUM(START:END!G313)</f>
        <v>0</v>
      </c>
      <c r="H313" s="216">
        <f>IF(G313=0,0,I313/G313)</f>
        <v>0</v>
      </c>
      <c r="I313" s="145">
        <f>+SUM(START:END!I313)</f>
        <v>0</v>
      </c>
      <c r="J313" s="46">
        <f>+SUM(START:END!J313)</f>
        <v>0</v>
      </c>
      <c r="K313" s="217">
        <f>IF(J313=0,0,L313/J313)</f>
        <v>0</v>
      </c>
      <c r="L313" s="22">
        <f>+SUM(START:END!L313)</f>
        <v>0</v>
      </c>
      <c r="M313" s="217">
        <f>IF(F313=0,0,(+L313-F313)/F313)</f>
        <v>0</v>
      </c>
      <c r="N313" s="91">
        <f>L313-F313</f>
        <v>0</v>
      </c>
      <c r="O313" s="46">
        <f>+SUM(START:END!O313)</f>
        <v>0</v>
      </c>
      <c r="P313" s="217">
        <f>IF(O313=0,0,Q313/O313)</f>
        <v>0</v>
      </c>
      <c r="Q313" s="22">
        <f>+SUM(START:END!Q313)</f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127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127"/>
        <v>PiècesTotal Dépt. Pièces</v>
      </c>
      <c r="B315" s="11" t="s">
        <v>98</v>
      </c>
      <c r="C315" s="62" t="s">
        <v>113</v>
      </c>
      <c r="D315" s="63">
        <f>D310+D313+D312</f>
        <v>1104032.1363426847</v>
      </c>
      <c r="E315" s="218">
        <f>IF(D315&lt;=0,0,F315/D315)</f>
        <v>0.30956775976435696</v>
      </c>
      <c r="F315" s="65">
        <f>F310+F313+F312</f>
        <v>341772.75515546201</v>
      </c>
      <c r="G315" s="66">
        <f>G310+G313+G312</f>
        <v>0</v>
      </c>
      <c r="H315" s="218">
        <f>IF(G315&lt;=0,0,I315/G315)</f>
        <v>0</v>
      </c>
      <c r="I315" s="65">
        <f>I310+I313+I312</f>
        <v>0</v>
      </c>
      <c r="J315" s="66">
        <f>J310+J313+J312</f>
        <v>1026159.4999999999</v>
      </c>
      <c r="K315" s="218">
        <f>IF(J315&lt;=0,0,L315/J315)</f>
        <v>0.33486438511751826</v>
      </c>
      <c r="L315" s="65">
        <f>L310+L313+L312</f>
        <v>343624.26999999996</v>
      </c>
      <c r="M315" s="219">
        <f>(+J315-D315)/D315</f>
        <v>-7.0534755084804585E-2</v>
      </c>
      <c r="N315" s="220">
        <f>L315-F315</f>
        <v>1851.5148445379455</v>
      </c>
      <c r="O315" s="66">
        <f>O310+O313+O312</f>
        <v>895162.26</v>
      </c>
      <c r="P315" s="218">
        <f>IF(O315&lt;=0,0,Q315/O315)</f>
        <v>0.31758471363616236</v>
      </c>
      <c r="Q315" s="65">
        <f>Q310+Q313+Q312</f>
        <v>284289.84999999992</v>
      </c>
      <c r="R315" s="219">
        <f>IF(O315=0,0,(J315-O315)/O315)</f>
        <v>0.14633910057825703</v>
      </c>
      <c r="S315" s="221">
        <f>L315-Q315</f>
        <v>59334.420000000042</v>
      </c>
      <c r="T315" s="13"/>
      <c r="U315" s="13"/>
      <c r="V315" s="489">
        <f>(L315+L195)/(F195+F315)</f>
        <v>0.94242141614750641</v>
      </c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127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5.4173857237267134E-3</v>
      </c>
      <c r="O316" s="226"/>
      <c r="P316" s="224"/>
      <c r="Q316" s="225"/>
      <c r="R316" s="227"/>
      <c r="S316" s="75">
        <f>IF(Q315=0,0,S315/Q315)</f>
        <v>0.20871100392785763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127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127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127"/>
        <v>PiècesSalaires cadres</v>
      </c>
      <c r="B319" s="11" t="s">
        <v>98</v>
      </c>
      <c r="C319" s="102" t="s">
        <v>40</v>
      </c>
      <c r="D319" s="13"/>
      <c r="E319" s="13"/>
      <c r="F319" s="30">
        <f>+SUM(START:END!F319)</f>
        <v>13581.956321839079</v>
      </c>
      <c r="G319" s="41"/>
      <c r="H319" s="13"/>
      <c r="I319" s="30">
        <f>+SUM(START:END!I319)</f>
        <v>0</v>
      </c>
      <c r="J319" s="41"/>
      <c r="K319" s="13"/>
      <c r="L319" s="33">
        <f>+SUM(START:END!L319)</f>
        <v>3412.3199999999997</v>
      </c>
      <c r="M319" s="41"/>
      <c r="N319" s="59">
        <f t="shared" ref="N319:N329" si="128">L319-F319</f>
        <v>-10169.63632183908</v>
      </c>
      <c r="O319" s="41"/>
      <c r="P319" s="13"/>
      <c r="Q319" s="33">
        <f>+SUM(START:END!Q319)</f>
        <v>13214.06</v>
      </c>
      <c r="R319" s="41"/>
      <c r="S319" s="85">
        <f t="shared" ref="S319:S322" si="129">L319-Q319</f>
        <v>-9801.74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ref="A320:A329" si="130">+B320&amp;C320</f>
        <v>PiècesSalaires commis</v>
      </c>
      <c r="B320" s="11" t="s">
        <v>98</v>
      </c>
      <c r="C320" s="103" t="s">
        <v>41</v>
      </c>
      <c r="D320" s="81"/>
      <c r="E320" s="13"/>
      <c r="F320" s="22">
        <f>+SUM(START:END!F320)</f>
        <v>7269.2718620689657</v>
      </c>
      <c r="G320" s="83"/>
      <c r="H320" s="13"/>
      <c r="I320" s="22">
        <f>+SUM(START:END!I320)</f>
        <v>0</v>
      </c>
      <c r="J320" s="41"/>
      <c r="K320" s="13"/>
      <c r="L320" s="33">
        <f>+SUM(START:END!L320)</f>
        <v>5058.5300000000007</v>
      </c>
      <c r="M320" s="41"/>
      <c r="N320" s="59">
        <f t="shared" si="128"/>
        <v>-2210.741862068965</v>
      </c>
      <c r="O320" s="41"/>
      <c r="P320" s="13"/>
      <c r="Q320" s="33">
        <f>+SUM(START:END!Q320)</f>
        <v>8118.27</v>
      </c>
      <c r="R320" s="41"/>
      <c r="S320" s="85">
        <f t="shared" si="129"/>
        <v>-3059.74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130"/>
        <v>PiècesSalaires autres</v>
      </c>
      <c r="B321" s="11" t="s">
        <v>98</v>
      </c>
      <c r="C321" s="102" t="s">
        <v>42</v>
      </c>
      <c r="D321" s="104"/>
      <c r="E321" s="105"/>
      <c r="F321" s="30">
        <f>+SUM(START:END!F321)</f>
        <v>58050.59522427847</v>
      </c>
      <c r="G321" s="106"/>
      <c r="H321" s="105"/>
      <c r="I321" s="30">
        <f>+SUM(START:END!I321)</f>
        <v>0</v>
      </c>
      <c r="J321" s="107"/>
      <c r="K321" s="105"/>
      <c r="L321" s="108">
        <f>+SUM(START:END!L321)</f>
        <v>49453.030000000006</v>
      </c>
      <c r="M321" s="107"/>
      <c r="N321" s="109">
        <f t="shared" si="128"/>
        <v>-8597.5652242784636</v>
      </c>
      <c r="O321" s="107"/>
      <c r="P321" s="105"/>
      <c r="Q321" s="108">
        <f>+SUM(START:END!Q321)</f>
        <v>40168.270000000004</v>
      </c>
      <c r="R321" s="107"/>
      <c r="S321" s="110">
        <f t="shared" si="129"/>
        <v>9284.760000000002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130"/>
        <v>PiècesSalaires spécialistes</v>
      </c>
      <c r="B322" s="11" t="s">
        <v>98</v>
      </c>
      <c r="C322" s="102" t="s">
        <v>43</v>
      </c>
      <c r="D322" s="81"/>
      <c r="E322" s="13"/>
      <c r="F322" s="30">
        <f>+SUM(START:END!F322)</f>
        <v>0</v>
      </c>
      <c r="G322" s="83"/>
      <c r="H322" s="13"/>
      <c r="I322" s="30">
        <f>+SUM(START:END!I322)</f>
        <v>0</v>
      </c>
      <c r="J322" s="41"/>
      <c r="K322" s="13"/>
      <c r="L322" s="33">
        <f>+SUM(START:END!L322)</f>
        <v>0</v>
      </c>
      <c r="M322" s="41"/>
      <c r="N322" s="59">
        <f t="shared" si="128"/>
        <v>0</v>
      </c>
      <c r="O322" s="41"/>
      <c r="P322" s="13"/>
      <c r="Q322" s="33">
        <f>+SUM(START:END!Q322)</f>
        <v>0</v>
      </c>
      <c r="R322" s="41"/>
      <c r="S322" s="85">
        <f t="shared" si="129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 t="shared" si="130"/>
        <v>Pièces[...]</v>
      </c>
      <c r="B323" s="11" t="s">
        <v>98</v>
      </c>
      <c r="C323" s="228" t="s">
        <v>19</v>
      </c>
      <c r="D323" s="81"/>
      <c r="E323" s="13"/>
      <c r="F323" s="30">
        <f>+SUM(START:END!F323)</f>
        <v>0</v>
      </c>
      <c r="G323" s="83"/>
      <c r="H323" s="13"/>
      <c r="I323" s="30">
        <f>+SUM(START:END!I323)</f>
        <v>0</v>
      </c>
      <c r="J323" s="41"/>
      <c r="K323" s="13"/>
      <c r="L323" s="33">
        <f>+SUM(START:END!L323)</f>
        <v>0</v>
      </c>
      <c r="M323" s="41"/>
      <c r="N323" s="59">
        <f t="shared" si="128"/>
        <v>0</v>
      </c>
      <c r="O323" s="41"/>
      <c r="P323" s="13"/>
      <c r="Q323" s="33">
        <f>+SUM(START:END!Q323)</f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 t="shared" si="130"/>
        <v>Pièces[...]</v>
      </c>
      <c r="B324" s="11" t="s">
        <v>98</v>
      </c>
      <c r="C324" s="228" t="s">
        <v>19</v>
      </c>
      <c r="D324" s="81"/>
      <c r="E324" s="13"/>
      <c r="F324" s="30">
        <f>+SUM(START:END!F324)</f>
        <v>0</v>
      </c>
      <c r="G324" s="83"/>
      <c r="H324" s="13"/>
      <c r="I324" s="30">
        <f>+SUM(START:END!I324)</f>
        <v>0</v>
      </c>
      <c r="J324" s="41"/>
      <c r="K324" s="13"/>
      <c r="L324" s="33">
        <f>+SUM(START:END!L324)</f>
        <v>0</v>
      </c>
      <c r="M324" s="41"/>
      <c r="N324" s="59">
        <f t="shared" si="128"/>
        <v>0</v>
      </c>
      <c r="O324" s="41"/>
      <c r="P324" s="13"/>
      <c r="Q324" s="33">
        <f>+SUM(START:END!Q324)</f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 t="shared" si="130"/>
        <v>Pièces[...]</v>
      </c>
      <c r="B325" s="11" t="s">
        <v>98</v>
      </c>
      <c r="C325" s="228" t="s">
        <v>19</v>
      </c>
      <c r="D325" s="81"/>
      <c r="E325" s="13"/>
      <c r="F325" s="30">
        <f>+SUM(START:END!F325)</f>
        <v>0</v>
      </c>
      <c r="G325" s="83"/>
      <c r="H325" s="13"/>
      <c r="I325" s="30">
        <f>+SUM(START:END!I325)</f>
        <v>0</v>
      </c>
      <c r="J325" s="41"/>
      <c r="K325" s="13"/>
      <c r="L325" s="33">
        <f>+SUM(START:END!L325)</f>
        <v>0</v>
      </c>
      <c r="M325" s="41"/>
      <c r="N325" s="59">
        <f t="shared" si="128"/>
        <v>0</v>
      </c>
      <c r="O325" s="41"/>
      <c r="P325" s="13"/>
      <c r="Q325" s="33">
        <f>+SUM(START:END!Q325)</f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si="130"/>
        <v>PiècesSalaires en absences</v>
      </c>
      <c r="B326" s="11" t="s">
        <v>98</v>
      </c>
      <c r="C326" s="103" t="s">
        <v>44</v>
      </c>
      <c r="D326" s="81"/>
      <c r="E326" s="13"/>
      <c r="F326" s="22">
        <f>+SUM(START:END!F326)</f>
        <v>10710.231169387196</v>
      </c>
      <c r="G326" s="83"/>
      <c r="H326" s="13"/>
      <c r="I326" s="22">
        <f>+SUM(START:END!I326)</f>
        <v>0</v>
      </c>
      <c r="J326" s="41"/>
      <c r="K326" s="13"/>
      <c r="L326" s="33">
        <f>+SUM(START:END!L326)</f>
        <v>8600.51</v>
      </c>
      <c r="M326" s="41"/>
      <c r="N326" s="59">
        <f t="shared" si="128"/>
        <v>-2109.7211693871959</v>
      </c>
      <c r="O326" s="41"/>
      <c r="P326" s="13"/>
      <c r="Q326" s="33">
        <f>+SUM(START:END!Q326)</f>
        <v>10459.39</v>
      </c>
      <c r="R326" s="41"/>
      <c r="S326" s="85">
        <f t="shared" ref="S326:S329" si="131">L326-Q326</f>
        <v>-1858.8799999999992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130"/>
        <v>PiècesDéduction à la source</v>
      </c>
      <c r="B327" s="11" t="s">
        <v>98</v>
      </c>
      <c r="C327" s="102" t="s">
        <v>45</v>
      </c>
      <c r="D327" s="104"/>
      <c r="E327" s="105"/>
      <c r="F327" s="30">
        <f>+SUM(START:END!F327)</f>
        <v>10978.940609422642</v>
      </c>
      <c r="G327" s="106"/>
      <c r="H327" s="105"/>
      <c r="I327" s="30">
        <f>+SUM(START:END!I327)</f>
        <v>0</v>
      </c>
      <c r="J327" s="107"/>
      <c r="K327" s="105"/>
      <c r="L327" s="108">
        <f>+SUM(START:END!L327)</f>
        <v>9260.2000000000007</v>
      </c>
      <c r="M327" s="107"/>
      <c r="N327" s="109">
        <f t="shared" si="128"/>
        <v>-1718.7406094226408</v>
      </c>
      <c r="O327" s="107"/>
      <c r="P327" s="105"/>
      <c r="Q327" s="108">
        <f>+SUM(START:END!Q327)</f>
        <v>13199.93</v>
      </c>
      <c r="R327" s="107"/>
      <c r="S327" s="110">
        <f t="shared" si="131"/>
        <v>-3939.7299999999996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130"/>
        <v>PiècesBénéfices marginaux</v>
      </c>
      <c r="B328" s="11" t="s">
        <v>98</v>
      </c>
      <c r="C328" s="102" t="s">
        <v>46</v>
      </c>
      <c r="D328" s="81"/>
      <c r="E328" s="13"/>
      <c r="F328" s="30">
        <f>+SUM(START:END!F328)</f>
        <v>8727.1350158413588</v>
      </c>
      <c r="G328" s="83"/>
      <c r="H328" s="13"/>
      <c r="I328" s="30">
        <f>+SUM(START:END!I328)</f>
        <v>0</v>
      </c>
      <c r="J328" s="41"/>
      <c r="K328" s="13"/>
      <c r="L328" s="33">
        <f>+SUM(START:END!L328)</f>
        <v>7717.2300000000005</v>
      </c>
      <c r="M328" s="41"/>
      <c r="N328" s="59">
        <f t="shared" si="128"/>
        <v>-1009.9050158413584</v>
      </c>
      <c r="O328" s="41"/>
      <c r="P328" s="13"/>
      <c r="Q328" s="33">
        <f>+SUM(START:END!Q328)</f>
        <v>7784.84</v>
      </c>
      <c r="R328" s="41"/>
      <c r="S328" s="85">
        <f t="shared" si="131"/>
        <v>-67.609999999999673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130"/>
        <v>PiècesCsst</v>
      </c>
      <c r="B329" s="11" t="s">
        <v>98</v>
      </c>
      <c r="C329" s="102" t="s">
        <v>47</v>
      </c>
      <c r="D329" s="81"/>
      <c r="E329" s="13"/>
      <c r="F329" s="30">
        <f>+SUM(START:END!F329)</f>
        <v>2181.7837539603397</v>
      </c>
      <c r="G329" s="83"/>
      <c r="H329" s="13"/>
      <c r="I329" s="30">
        <f>+SUM(START:END!I329)</f>
        <v>0</v>
      </c>
      <c r="J329" s="41"/>
      <c r="K329" s="13"/>
      <c r="L329" s="33">
        <f>+SUM(START:END!L329)</f>
        <v>1309.3200000000002</v>
      </c>
      <c r="M329" s="462"/>
      <c r="N329" s="145">
        <f t="shared" si="128"/>
        <v>-872.46375396033955</v>
      </c>
      <c r="O329" s="41"/>
      <c r="P329" s="13"/>
      <c r="Q329" s="33">
        <f>+SUM(START:END!Q329)</f>
        <v>2262.79</v>
      </c>
      <c r="R329" s="41"/>
      <c r="S329" s="85">
        <f t="shared" si="131"/>
        <v>-953.4699999999998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ref="A330:A339" si="132">+B330&amp;C330</f>
        <v>Pièces[...]</v>
      </c>
      <c r="B330" s="11" t="s">
        <v>98</v>
      </c>
      <c r="C330" s="29" t="s">
        <v>19</v>
      </c>
      <c r="D330" s="87"/>
      <c r="E330" s="111"/>
      <c r="F330" s="30">
        <f>+SUM(START:END!F330)</f>
        <v>0</v>
      </c>
      <c r="G330" s="89"/>
      <c r="H330" s="111"/>
      <c r="I330" s="30">
        <f>+SUM(START:END!I330)</f>
        <v>0</v>
      </c>
      <c r="J330" s="23"/>
      <c r="K330" s="111"/>
      <c r="L330" s="33">
        <f>+SUM(START:END!L330)</f>
        <v>0</v>
      </c>
      <c r="M330" s="23"/>
      <c r="N330" s="91">
        <f>L330-F330</f>
        <v>0</v>
      </c>
      <c r="O330" s="23"/>
      <c r="P330" s="111"/>
      <c r="Q330" s="33">
        <f>+SUM(START:END!Q330)</f>
        <v>0</v>
      </c>
      <c r="R330" s="23"/>
      <c r="S330" s="92">
        <f>L330-Q330</f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132"/>
        <v>PiècesTOTAL PERSONNEL</v>
      </c>
      <c r="B331" s="11" t="s">
        <v>98</v>
      </c>
      <c r="C331" s="93" t="s">
        <v>48</v>
      </c>
      <c r="D331" s="94" t="s">
        <v>38</v>
      </c>
      <c r="E331" s="95" t="e">
        <f>F331/F$314</f>
        <v>#DIV/0!</v>
      </c>
      <c r="F331" s="96">
        <f>+SUM(F319:F330)</f>
        <v>111499.91395679806</v>
      </c>
      <c r="G331" s="97" t="s">
        <v>38</v>
      </c>
      <c r="H331" s="95" t="e">
        <f>I331/I$314</f>
        <v>#DIV/0!</v>
      </c>
      <c r="I331" s="96">
        <f>+SUM(I319:I330)</f>
        <v>0</v>
      </c>
      <c r="J331" s="97" t="s">
        <v>38</v>
      </c>
      <c r="K331" s="95" t="e">
        <f>L331/L$314</f>
        <v>#DIV/0!</v>
      </c>
      <c r="L331" s="96">
        <f>+SUM(L319:L330)</f>
        <v>84811.14</v>
      </c>
      <c r="M331" s="146"/>
      <c r="N331" s="113">
        <f t="shared" ref="N331:N349" si="133">L331-F331</f>
        <v>-26688.773956798061</v>
      </c>
      <c r="O331" s="97" t="s">
        <v>38</v>
      </c>
      <c r="P331" s="95" t="e">
        <f>Q331/Q$314</f>
        <v>#DIV/0!</v>
      </c>
      <c r="Q331" s="96">
        <f>+SUM(Q319:Q330)</f>
        <v>95207.55</v>
      </c>
      <c r="R331" s="146"/>
      <c r="S331" s="114">
        <f t="shared" ref="S331:S337" si="134">L331-Q331</f>
        <v>-10396.410000000003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132"/>
        <v>PiècesPublicité 2</v>
      </c>
      <c r="B332" s="11" t="s">
        <v>98</v>
      </c>
      <c r="C332" s="210" t="s">
        <v>49</v>
      </c>
      <c r="D332" s="81"/>
      <c r="E332" s="13"/>
      <c r="F332" s="30">
        <f>+SUM(START:END!F332)</f>
        <v>2921.6706517000516</v>
      </c>
      <c r="G332" s="83"/>
      <c r="H332" s="13"/>
      <c r="I332" s="30">
        <f>+SUM(START:END!I332)</f>
        <v>0</v>
      </c>
      <c r="J332" s="41"/>
      <c r="K332" s="13"/>
      <c r="L332" s="33">
        <f>+SUM(START:END!L332)</f>
        <v>2511.27</v>
      </c>
      <c r="M332" s="41"/>
      <c r="N332" s="59">
        <f t="shared" si="133"/>
        <v>-410.40065170005164</v>
      </c>
      <c r="O332" s="41"/>
      <c r="P332" s="13"/>
      <c r="Q332" s="33">
        <f>+SUM(START:END!Q332)</f>
        <v>6991.17</v>
      </c>
      <c r="R332" s="41"/>
      <c r="S332" s="85">
        <f t="shared" si="134"/>
        <v>-4479.8999999999996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132"/>
        <v>PiècesService gratuit 2</v>
      </c>
      <c r="B333" s="11" t="s">
        <v>98</v>
      </c>
      <c r="C333" s="102" t="s">
        <v>50</v>
      </c>
      <c r="D333" s="81"/>
      <c r="E333" s="13"/>
      <c r="F333" s="30">
        <f>+SUM(START:END!F333)</f>
        <v>1875</v>
      </c>
      <c r="G333" s="83"/>
      <c r="H333" s="13"/>
      <c r="I333" s="30">
        <f>+SUM(START:END!I333)</f>
        <v>0</v>
      </c>
      <c r="J333" s="41"/>
      <c r="K333" s="13"/>
      <c r="L333" s="30">
        <f>+SUM(START:END!L333)</f>
        <v>1455.1100000000001</v>
      </c>
      <c r="M333" s="41"/>
      <c r="N333" s="59">
        <f t="shared" si="133"/>
        <v>-419.88999999999987</v>
      </c>
      <c r="O333" s="41"/>
      <c r="P333" s="13"/>
      <c r="Q333" s="33">
        <f>+SUM(START:END!Q333)</f>
        <v>1002.47</v>
      </c>
      <c r="R333" s="41"/>
      <c r="S333" s="85">
        <f t="shared" si="134"/>
        <v>452.6400000000001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132"/>
        <v>PiècesFrais véhicules de cie</v>
      </c>
      <c r="B334" s="11" t="s">
        <v>98</v>
      </c>
      <c r="C334" s="103" t="s">
        <v>51</v>
      </c>
      <c r="D334" s="87"/>
      <c r="E334" s="111"/>
      <c r="F334" s="22">
        <f>+SUM(START:END!F334)</f>
        <v>14471</v>
      </c>
      <c r="G334" s="89"/>
      <c r="H334" s="111"/>
      <c r="I334" s="22">
        <f>+SUM(START:END!I334)</f>
        <v>0</v>
      </c>
      <c r="J334" s="23"/>
      <c r="K334" s="111"/>
      <c r="L334" s="22">
        <f>+SUM(START:END!L334)</f>
        <v>12701.57</v>
      </c>
      <c r="M334" s="23"/>
      <c r="N334" s="91">
        <f t="shared" si="133"/>
        <v>-1769.4300000000003</v>
      </c>
      <c r="O334" s="23"/>
      <c r="P334" s="111"/>
      <c r="Q334" s="33">
        <f>+SUM(START:END!Q334)</f>
        <v>16064.29999999999</v>
      </c>
      <c r="R334" s="23"/>
      <c r="S334" s="92">
        <f t="shared" si="134"/>
        <v>-3362.7299999999905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132"/>
        <v>PiècesInformatique</v>
      </c>
      <c r="B335" s="11" t="s">
        <v>98</v>
      </c>
      <c r="C335" s="102" t="s">
        <v>52</v>
      </c>
      <c r="D335" s="81"/>
      <c r="E335" s="13"/>
      <c r="F335" s="30">
        <f>+SUM(START:END!F335)</f>
        <v>7954.4260000000013</v>
      </c>
      <c r="G335" s="83"/>
      <c r="H335" s="13"/>
      <c r="I335" s="30">
        <f>+SUM(START:END!I335)</f>
        <v>0</v>
      </c>
      <c r="J335" s="41"/>
      <c r="K335" s="13"/>
      <c r="L335" s="108">
        <f>+SUM(START:END!L335)</f>
        <v>7408.27</v>
      </c>
      <c r="M335" s="41"/>
      <c r="N335" s="59">
        <f t="shared" si="133"/>
        <v>-546.15600000000086</v>
      </c>
      <c r="O335" s="41"/>
      <c r="P335" s="13"/>
      <c r="Q335" s="108">
        <f>+SUM(START:END!Q335)</f>
        <v>5449.26</v>
      </c>
      <c r="R335" s="41"/>
      <c r="S335" s="85">
        <f t="shared" si="134"/>
        <v>1959.0100000000002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132"/>
        <v>PiècesFrais de déplacement</v>
      </c>
      <c r="B336" s="11" t="s">
        <v>98</v>
      </c>
      <c r="C336" s="102" t="s">
        <v>53</v>
      </c>
      <c r="D336" s="81"/>
      <c r="E336" s="13"/>
      <c r="F336" s="30">
        <f>+SUM(START:END!F336)</f>
        <v>2995</v>
      </c>
      <c r="G336" s="83"/>
      <c r="H336" s="13"/>
      <c r="I336" s="30">
        <f>+SUM(START:END!I336)</f>
        <v>0</v>
      </c>
      <c r="J336" s="41"/>
      <c r="K336" s="13"/>
      <c r="L336" s="33">
        <f>+SUM(START:END!L336)</f>
        <v>4320.96</v>
      </c>
      <c r="M336" s="41"/>
      <c r="N336" s="59">
        <f t="shared" si="133"/>
        <v>1325.96</v>
      </c>
      <c r="O336" s="41"/>
      <c r="P336" s="13"/>
      <c r="Q336" s="33">
        <f>+SUM(START:END!Q336)</f>
        <v>251.52999999999997</v>
      </c>
      <c r="R336" s="41"/>
      <c r="S336" s="85">
        <f t="shared" si="134"/>
        <v>4069.4300000000003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132"/>
        <v>PiècesServices extérieurs</v>
      </c>
      <c r="B337" s="11" t="s">
        <v>98</v>
      </c>
      <c r="C337" s="229" t="s">
        <v>54</v>
      </c>
      <c r="D337" s="87"/>
      <c r="E337" s="111"/>
      <c r="F337" s="22">
        <f>+SUM(START:END!F337)</f>
        <v>3955.7280000000001</v>
      </c>
      <c r="G337" s="89"/>
      <c r="H337" s="111"/>
      <c r="I337" s="22">
        <f>+SUM(START:END!I337)</f>
        <v>0</v>
      </c>
      <c r="J337" s="23"/>
      <c r="K337" s="111"/>
      <c r="L337" s="48">
        <f>+SUM(START:END!L337)</f>
        <v>5265.91</v>
      </c>
      <c r="M337" s="23"/>
      <c r="N337" s="91">
        <f t="shared" si="133"/>
        <v>1310.1819999999998</v>
      </c>
      <c r="O337" s="23"/>
      <c r="P337" s="111"/>
      <c r="Q337" s="48">
        <f>+SUM(START:END!Q337)</f>
        <v>5917.33</v>
      </c>
      <c r="R337" s="23"/>
      <c r="S337" s="92">
        <f t="shared" si="134"/>
        <v>-651.42000000000007</v>
      </c>
      <c r="T337" s="13"/>
      <c r="U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 t="shared" si="132"/>
        <v>PiècesFournitures d'atelier</v>
      </c>
      <c r="B338" s="11" t="s">
        <v>98</v>
      </c>
      <c r="C338" s="102" t="s">
        <v>93</v>
      </c>
      <c r="D338" s="81"/>
      <c r="E338" s="13"/>
      <c r="F338" s="30">
        <f>+SUM(START:END!F338)</f>
        <v>0</v>
      </c>
      <c r="G338" s="83"/>
      <c r="H338" s="13"/>
      <c r="I338" s="30">
        <f>+SUM(START:END!I338)</f>
        <v>0</v>
      </c>
      <c r="J338" s="41"/>
      <c r="K338" s="13"/>
      <c r="L338" s="33">
        <f>+SUM(START:END!L338)</f>
        <v>0</v>
      </c>
      <c r="M338" s="41"/>
      <c r="N338" s="59">
        <f t="shared" si="133"/>
        <v>0</v>
      </c>
      <c r="O338" s="41"/>
      <c r="P338" s="13"/>
      <c r="Q338" s="33">
        <f>+SUM(START:END!Q338)</f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si="132"/>
        <v>PiècesFournitures autres</v>
      </c>
      <c r="B339" s="11" t="s">
        <v>98</v>
      </c>
      <c r="C339" s="102" t="s">
        <v>55</v>
      </c>
      <c r="D339" s="81"/>
      <c r="E339" s="13"/>
      <c r="F339" s="30">
        <f>+SUM(START:END!F339)</f>
        <v>45</v>
      </c>
      <c r="G339" s="83"/>
      <c r="H339" s="13"/>
      <c r="I339" s="30">
        <f>+SUM(START:END!I339)</f>
        <v>0</v>
      </c>
      <c r="J339" s="41"/>
      <c r="K339" s="13"/>
      <c r="L339" s="33">
        <f>+SUM(START:END!L339)</f>
        <v>261.97000000000003</v>
      </c>
      <c r="M339" s="41"/>
      <c r="N339" s="59">
        <f t="shared" si="133"/>
        <v>216.97000000000003</v>
      </c>
      <c r="O339" s="41"/>
      <c r="P339" s="13"/>
      <c r="Q339" s="33">
        <f>+SUM(START:END!Q339)</f>
        <v>108.77</v>
      </c>
      <c r="R339" s="41"/>
      <c r="S339" s="85">
        <f t="shared" ref="S339:S344" si="135">L339-Q339</f>
        <v>153.20000000000005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ref="A340:A349" si="136">+B340&amp;C340</f>
        <v>PiècesUniformes</v>
      </c>
      <c r="B340" s="11" t="s">
        <v>98</v>
      </c>
      <c r="C340" s="102" t="s">
        <v>56</v>
      </c>
      <c r="D340" s="81"/>
      <c r="E340" s="13"/>
      <c r="F340" s="30">
        <f>+SUM(START:END!F340)</f>
        <v>112.5</v>
      </c>
      <c r="G340" s="83"/>
      <c r="H340" s="13"/>
      <c r="I340" s="30">
        <f>+SUM(START:END!I340)</f>
        <v>0</v>
      </c>
      <c r="J340" s="41"/>
      <c r="K340" s="13"/>
      <c r="L340" s="33">
        <f>+SUM(START:END!L340)</f>
        <v>93.24</v>
      </c>
      <c r="M340" s="41"/>
      <c r="N340" s="59">
        <f t="shared" si="133"/>
        <v>-19.260000000000005</v>
      </c>
      <c r="O340" s="41"/>
      <c r="P340" s="13"/>
      <c r="Q340" s="33">
        <f>+SUM(START:END!Q340)</f>
        <v>0</v>
      </c>
      <c r="R340" s="41"/>
      <c r="S340" s="85">
        <f t="shared" si="135"/>
        <v>93.24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136"/>
        <v>PiècesPapeterie</v>
      </c>
      <c r="B341" s="11" t="s">
        <v>98</v>
      </c>
      <c r="C341" s="102" t="s">
        <v>57</v>
      </c>
      <c r="D341" s="81"/>
      <c r="E341" s="13"/>
      <c r="F341" s="30">
        <f>+SUM(START:END!F341)</f>
        <v>870</v>
      </c>
      <c r="G341" s="83"/>
      <c r="H341" s="13"/>
      <c r="I341" s="30">
        <f>+SUM(START:END!I341)</f>
        <v>0</v>
      </c>
      <c r="J341" s="41"/>
      <c r="K341" s="13"/>
      <c r="L341" s="32">
        <f>+SUM(START:END!L341)</f>
        <v>557.19000000000005</v>
      </c>
      <c r="M341" s="41"/>
      <c r="N341" s="59">
        <f t="shared" si="133"/>
        <v>-312.80999999999995</v>
      </c>
      <c r="O341" s="41"/>
      <c r="P341" s="13"/>
      <c r="Q341" s="32">
        <f>+SUM(START:END!Q341)</f>
        <v>717.62</v>
      </c>
      <c r="R341" s="41"/>
      <c r="S341" s="85">
        <f t="shared" si="135"/>
        <v>-160.42999999999995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136"/>
        <v>PiècesTéléphone</v>
      </c>
      <c r="B342" s="11" t="s">
        <v>98</v>
      </c>
      <c r="C342" s="102" t="s">
        <v>58</v>
      </c>
      <c r="D342" s="81"/>
      <c r="E342" s="13"/>
      <c r="F342" s="30">
        <f>+SUM(START:END!F342)</f>
        <v>341.4</v>
      </c>
      <c r="G342" s="83"/>
      <c r="H342" s="13"/>
      <c r="I342" s="30">
        <f>+SUM(START:END!I342)</f>
        <v>0</v>
      </c>
      <c r="J342" s="41"/>
      <c r="K342" s="13"/>
      <c r="L342" s="33">
        <f>+SUM(START:END!L342)</f>
        <v>326.76</v>
      </c>
      <c r="M342" s="41"/>
      <c r="N342" s="59">
        <f t="shared" si="133"/>
        <v>-14.639999999999986</v>
      </c>
      <c r="O342" s="41"/>
      <c r="P342" s="13"/>
      <c r="Q342" s="33">
        <f>+SUM(START:END!Q342)</f>
        <v>329.33</v>
      </c>
      <c r="R342" s="41"/>
      <c r="S342" s="85">
        <f t="shared" si="135"/>
        <v>-2.5699999999999932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136"/>
        <v>PiècesFrais postaux</v>
      </c>
      <c r="B343" s="11" t="s">
        <v>98</v>
      </c>
      <c r="C343" s="102" t="s">
        <v>59</v>
      </c>
      <c r="D343" s="81"/>
      <c r="E343" s="13"/>
      <c r="F343" s="30">
        <f>+SUM(START:END!F343)</f>
        <v>7115.0000000000009</v>
      </c>
      <c r="G343" s="83"/>
      <c r="H343" s="13"/>
      <c r="I343" s="30">
        <f>+SUM(START:END!I343)</f>
        <v>0</v>
      </c>
      <c r="J343" s="41"/>
      <c r="K343" s="13"/>
      <c r="L343" s="33">
        <f>+SUM(START:END!L343)</f>
        <v>-1451.66</v>
      </c>
      <c r="M343" s="41"/>
      <c r="N343" s="59">
        <f t="shared" si="133"/>
        <v>-8566.6600000000017</v>
      </c>
      <c r="O343" s="41"/>
      <c r="P343" s="13"/>
      <c r="Q343" s="33">
        <f>+SUM(START:END!Q343)</f>
        <v>2455.7300000000005</v>
      </c>
      <c r="R343" s="41"/>
      <c r="S343" s="85">
        <f t="shared" si="135"/>
        <v>-3907.3900000000003</v>
      </c>
      <c r="T343" s="13"/>
      <c r="U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136"/>
        <v>PiècesDivers</v>
      </c>
      <c r="B344" s="11" t="s">
        <v>98</v>
      </c>
      <c r="C344" s="102" t="s">
        <v>60</v>
      </c>
      <c r="D344" s="81"/>
      <c r="E344" s="13"/>
      <c r="F344" s="30">
        <f>+SUM(START:END!F344)</f>
        <v>916</v>
      </c>
      <c r="G344" s="83"/>
      <c r="H344" s="13"/>
      <c r="I344" s="30">
        <f>+SUM(START:END!I344)</f>
        <v>0</v>
      </c>
      <c r="J344" s="41"/>
      <c r="K344" s="13"/>
      <c r="L344" s="33">
        <f>+SUM(START:END!L344)</f>
        <v>768.92000000000007</v>
      </c>
      <c r="M344" s="41"/>
      <c r="N344" s="59">
        <f t="shared" si="133"/>
        <v>-147.07999999999993</v>
      </c>
      <c r="O344" s="41"/>
      <c r="P344" s="13"/>
      <c r="Q344" s="33">
        <f>+SUM(START:END!Q344)</f>
        <v>1399.339999999999</v>
      </c>
      <c r="R344" s="41"/>
      <c r="S344" s="85">
        <f t="shared" si="135"/>
        <v>-630.41999999999894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 t="shared" si="136"/>
        <v>PiècesFormation</v>
      </c>
      <c r="B345" s="11" t="s">
        <v>98</v>
      </c>
      <c r="C345" s="102" t="s">
        <v>61</v>
      </c>
      <c r="D345" s="81"/>
      <c r="E345" s="13"/>
      <c r="F345" s="30">
        <f>+SUM(START:END!F345)</f>
        <v>457.39200000000017</v>
      </c>
      <c r="G345" s="83"/>
      <c r="H345" s="13"/>
      <c r="I345" s="30">
        <f>+SUM(START:END!I345)</f>
        <v>0</v>
      </c>
      <c r="J345" s="41"/>
      <c r="K345" s="13"/>
      <c r="L345" s="59">
        <f>+SUM(START:END!L345)</f>
        <v>1461.12</v>
      </c>
      <c r="M345" s="41"/>
      <c r="N345" s="59">
        <f t="shared" si="133"/>
        <v>1003.7279999999997</v>
      </c>
      <c r="O345" s="41"/>
      <c r="P345" s="13"/>
      <c r="Q345" s="33">
        <f>+SUM(START:END!Q345)</f>
        <v>227.98999999999998</v>
      </c>
      <c r="R345" s="41"/>
      <c r="S345" s="85">
        <f>L345-Q345</f>
        <v>1233.1299999999999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 t="shared" si="136"/>
        <v>PiècesFrais bancaires</v>
      </c>
      <c r="B346" s="11" t="s">
        <v>98</v>
      </c>
      <c r="C346" s="102" t="s">
        <v>62</v>
      </c>
      <c r="D346" s="81"/>
      <c r="E346" s="13"/>
      <c r="F346" s="30">
        <f>+SUM(START:END!F346)</f>
        <v>5134.4344099767286</v>
      </c>
      <c r="G346" s="83"/>
      <c r="H346" s="13"/>
      <c r="I346" s="30">
        <f>+SUM(START:END!I346)</f>
        <v>0</v>
      </c>
      <c r="J346" s="41"/>
      <c r="K346" s="13"/>
      <c r="L346" s="32">
        <f>+SUM(START:END!L346)</f>
        <v>4162.1100000000006</v>
      </c>
      <c r="M346" s="41"/>
      <c r="N346" s="59">
        <f t="shared" si="133"/>
        <v>-972.32440997672802</v>
      </c>
      <c r="O346" s="41"/>
      <c r="P346" s="13"/>
      <c r="Q346" s="33">
        <f>+SUM(START:END!Q346)</f>
        <v>3274.8500000000004</v>
      </c>
      <c r="R346" s="41"/>
      <c r="S346" s="85">
        <f>L346-Q346</f>
        <v>887.26000000000022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 t="shared" si="136"/>
        <v>Pièces[...]</v>
      </c>
      <c r="B347" s="11" t="s">
        <v>98</v>
      </c>
      <c r="C347" s="102" t="s">
        <v>19</v>
      </c>
      <c r="D347" s="81"/>
      <c r="E347" s="13"/>
      <c r="F347" s="30">
        <f>+SUM(START:END!F347)</f>
        <v>0</v>
      </c>
      <c r="G347" s="83"/>
      <c r="H347" s="13"/>
      <c r="I347" s="30">
        <f>+SUM(START:END!I347)</f>
        <v>0</v>
      </c>
      <c r="J347" s="41"/>
      <c r="K347" s="13"/>
      <c r="L347" s="33">
        <f>+SUM(START:END!L347)</f>
        <v>0</v>
      </c>
      <c r="M347" s="41"/>
      <c r="N347" s="59">
        <f t="shared" si="133"/>
        <v>0</v>
      </c>
      <c r="O347" s="41"/>
      <c r="P347" s="13"/>
      <c r="Q347" s="33">
        <f>+SUM(START:END!Q347)</f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 t="shared" si="136"/>
        <v>Pièces[...]</v>
      </c>
      <c r="B348" s="11" t="s">
        <v>98</v>
      </c>
      <c r="C348" s="102" t="s">
        <v>19</v>
      </c>
      <c r="D348" s="81"/>
      <c r="E348" s="13"/>
      <c r="F348" s="30">
        <f>+SUM(START:END!F348)</f>
        <v>0</v>
      </c>
      <c r="G348" s="83"/>
      <c r="H348" s="13"/>
      <c r="I348" s="30">
        <f>+SUM(START:END!I348)</f>
        <v>0</v>
      </c>
      <c r="J348" s="41"/>
      <c r="K348" s="13"/>
      <c r="L348" s="33">
        <f>+SUM(START:END!L348)</f>
        <v>0</v>
      </c>
      <c r="M348" s="41"/>
      <c r="N348" s="59">
        <f t="shared" si="133"/>
        <v>0</v>
      </c>
      <c r="O348" s="41"/>
      <c r="P348" s="13"/>
      <c r="Q348" s="33">
        <f>+SUM(START:END!Q348)</f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 t="shared" si="136"/>
        <v>Pièces[...]</v>
      </c>
      <c r="B349" s="11" t="s">
        <v>98</v>
      </c>
      <c r="C349" s="102" t="s">
        <v>19</v>
      </c>
      <c r="D349" s="81"/>
      <c r="E349" s="13"/>
      <c r="F349" s="30">
        <f>+SUM(START:END!F349)</f>
        <v>0</v>
      </c>
      <c r="G349" s="83"/>
      <c r="H349" s="13"/>
      <c r="I349" s="30">
        <f>+SUM(START:END!I349)</f>
        <v>0</v>
      </c>
      <c r="J349" s="41"/>
      <c r="K349" s="13"/>
      <c r="L349" s="33">
        <f>+SUM(START:END!L349)</f>
        <v>0</v>
      </c>
      <c r="M349" s="41"/>
      <c r="N349" s="59">
        <f t="shared" si="133"/>
        <v>0</v>
      </c>
      <c r="O349" s="41"/>
      <c r="P349" s="13"/>
      <c r="Q349" s="33">
        <f>+SUM(START:END!Q349)</f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 t="e">
        <f>F350/F$314</f>
        <v>#DIV/0!</v>
      </c>
      <c r="F350" s="96">
        <f>+SUM(F332:F349)</f>
        <v>49164.551061676779</v>
      </c>
      <c r="G350" s="97" t="s">
        <v>38</v>
      </c>
      <c r="H350" s="95" t="e">
        <f>I350/I$314</f>
        <v>#DIV/0!</v>
      </c>
      <c r="I350" s="96">
        <f>+SUM(I332:I349)</f>
        <v>0</v>
      </c>
      <c r="J350" s="97" t="s">
        <v>38</v>
      </c>
      <c r="K350" s="95" t="e">
        <f>L350/L$314</f>
        <v>#DIV/0!</v>
      </c>
      <c r="L350" s="96">
        <f>+SUM(L332:L349)</f>
        <v>39842.74</v>
      </c>
      <c r="M350" s="100"/>
      <c r="N350" s="96">
        <f>+SUM(N332:N349)</f>
        <v>-9321.8110616767844</v>
      </c>
      <c r="O350" s="97" t="s">
        <v>38</v>
      </c>
      <c r="P350" s="95" t="e">
        <f>Q350/Q$314</f>
        <v>#DIV/0!</v>
      </c>
      <c r="Q350" s="96">
        <f>+SUM(Q332:Q349)</f>
        <v>44189.689999999988</v>
      </c>
      <c r="R350" s="100"/>
      <c r="S350" s="101">
        <f>+SUM(S332:S349)</f>
        <v>-4346.949999999988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 t="e">
        <f>F352/F$314</f>
        <v>#DIV/0!</v>
      </c>
      <c r="F352" s="96">
        <f>F331+F350</f>
        <v>160664.46501847485</v>
      </c>
      <c r="G352" s="97" t="s">
        <v>38</v>
      </c>
      <c r="H352" s="95" t="e">
        <f>I352/I$314</f>
        <v>#DIV/0!</v>
      </c>
      <c r="I352" s="96">
        <f>I331+I350</f>
        <v>0</v>
      </c>
      <c r="J352" s="97" t="s">
        <v>38</v>
      </c>
      <c r="K352" s="95" t="e">
        <f>L352/L$314</f>
        <v>#DIV/0!</v>
      </c>
      <c r="L352" s="96">
        <f>L331+L350</f>
        <v>124653.88</v>
      </c>
      <c r="M352" s="100"/>
      <c r="N352" s="113">
        <f>L352-F352</f>
        <v>-36010.585018474841</v>
      </c>
      <c r="O352" s="97" t="s">
        <v>38</v>
      </c>
      <c r="P352" s="95" t="e">
        <f>Q352/Q$314</f>
        <v>#DIV/0!</v>
      </c>
      <c r="Q352" s="96">
        <f>Q331+Q350</f>
        <v>139397.24</v>
      </c>
      <c r="R352" s="100"/>
      <c r="S352" s="114">
        <f>L352-Q352</f>
        <v>-14743.359999999986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>
        <f>L353-F353</f>
        <v>0</v>
      </c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181108.29013698717</v>
      </c>
      <c r="G354" s="152"/>
      <c r="H354" s="125"/>
      <c r="I354" s="127">
        <f>I315-I352</f>
        <v>0</v>
      </c>
      <c r="J354" s="153"/>
      <c r="K354" s="126"/>
      <c r="L354" s="127">
        <f>L315-L352</f>
        <v>218970.38999999996</v>
      </c>
      <c r="M354" s="153"/>
      <c r="N354" s="127">
        <f>L354-F354</f>
        <v>37862.099863012787</v>
      </c>
      <c r="O354" s="153"/>
      <c r="P354" s="126"/>
      <c r="Q354" s="127">
        <f>Q315-Q352</f>
        <v>144892.60999999993</v>
      </c>
      <c r="R354" s="153"/>
      <c r="S354" s="129">
        <f>L354-Q354</f>
        <v>74077.780000000028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  Q3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05" t="s">
        <v>5</v>
      </c>
      <c r="E359" s="506"/>
      <c r="F359" s="507"/>
      <c r="G359" s="508" t="s">
        <v>71</v>
      </c>
      <c r="H359" s="506"/>
      <c r="I359" s="507"/>
      <c r="J359" s="508" t="s">
        <v>7</v>
      </c>
      <c r="K359" s="506"/>
      <c r="L359" s="507"/>
      <c r="M359" s="508"/>
      <c r="N359" s="507"/>
      <c r="O359" s="505" t="s">
        <v>8</v>
      </c>
      <c r="P359" s="506"/>
      <c r="Q359" s="507"/>
      <c r="R359" s="508" t="s">
        <v>9</v>
      </c>
      <c r="S359" s="509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66" si="137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 t="s">
        <v>79</v>
      </c>
      <c r="H360" s="230" t="s">
        <v>99</v>
      </c>
      <c r="I360" s="231" t="s">
        <v>12</v>
      </c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137"/>
        <v>BoutiqueBoutique</v>
      </c>
      <c r="B361" s="11" t="s">
        <v>114</v>
      </c>
      <c r="C361" s="62" t="s">
        <v>114</v>
      </c>
      <c r="D361" s="233">
        <f>+SUM(START:END!D361)</f>
        <v>0</v>
      </c>
      <c r="E361" s="234">
        <f>IFERROR(F361/D361,0)</f>
        <v>0</v>
      </c>
      <c r="F361" s="235">
        <f>+SUM(START:END!F361)</f>
        <v>0</v>
      </c>
      <c r="G361" s="233">
        <f>+SUM(START:END!G361)</f>
        <v>0</v>
      </c>
      <c r="H361" s="234">
        <f>IFERROR(I361/G361,0)</f>
        <v>0</v>
      </c>
      <c r="I361" s="233">
        <f>+SUM(START:END!I361)</f>
        <v>0</v>
      </c>
      <c r="J361" s="236">
        <f>+SUM(START:END!J361)</f>
        <v>0</v>
      </c>
      <c r="K361" s="218">
        <f>IFERROR(L361/J361,0)</f>
        <v>0</v>
      </c>
      <c r="L361" s="237">
        <f>+SUM(START:END!L361)</f>
        <v>0</v>
      </c>
      <c r="M361" s="219"/>
      <c r="N361" s="220"/>
      <c r="O361" s="236">
        <f>+SUM(START:END!O361)</f>
        <v>0</v>
      </c>
      <c r="P361" s="218">
        <f>IFERROR(Q361/O361,0)</f>
        <v>0</v>
      </c>
      <c r="Q361" s="237">
        <f>+SUM(START:END!Q361)</f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137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137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>
        <f>+G361</f>
        <v>0</v>
      </c>
      <c r="H363" s="173">
        <f>IF(G363&lt;=0,0,I363/G363)</f>
        <v>0</v>
      </c>
      <c r="I363" s="175">
        <f>+I361</f>
        <v>0</v>
      </c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137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137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137"/>
        <v>BoutiqueSalaires cadres</v>
      </c>
      <c r="B366" s="11" t="s">
        <v>114</v>
      </c>
      <c r="C366" s="102" t="s">
        <v>40</v>
      </c>
      <c r="D366" s="13"/>
      <c r="E366" s="13"/>
      <c r="F366" s="30">
        <f>+SUM(START:END!F365)</f>
        <v>0</v>
      </c>
      <c r="G366" s="41"/>
      <c r="H366" s="13"/>
      <c r="I366" s="30">
        <f>+SUM(START:END!I365)</f>
        <v>0</v>
      </c>
      <c r="J366" s="41"/>
      <c r="K366" s="13"/>
      <c r="L366" s="33">
        <f>+SUM(START:END!L365)</f>
        <v>0</v>
      </c>
      <c r="M366" s="41"/>
      <c r="N366" s="40"/>
      <c r="O366" s="41"/>
      <c r="P366" s="13"/>
      <c r="Q366" s="33">
        <f>+SUM(START:END!Q365)</f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ref="A367:A395" si="138">+B367&amp;C367</f>
        <v>BoutiqueSalaires commis</v>
      </c>
      <c r="B367" s="11" t="s">
        <v>114</v>
      </c>
      <c r="C367" s="103" t="s">
        <v>41</v>
      </c>
      <c r="D367" s="81"/>
      <c r="E367" s="13"/>
      <c r="F367" s="22">
        <f>+SUM(START:END!F366)</f>
        <v>0</v>
      </c>
      <c r="G367" s="83"/>
      <c r="H367" s="13"/>
      <c r="I367" s="22">
        <f>+SUM(START:END!I366)</f>
        <v>0</v>
      </c>
      <c r="J367" s="41"/>
      <c r="K367" s="13"/>
      <c r="L367" s="22">
        <f>+SUM(START:END!L366)</f>
        <v>0</v>
      </c>
      <c r="M367" s="41"/>
      <c r="N367" s="59"/>
      <c r="O367" s="41"/>
      <c r="P367" s="13"/>
      <c r="Q367" s="22">
        <f>+SUM(START:END!Q366)</f>
        <v>0</v>
      </c>
      <c r="R367" s="41"/>
      <c r="S367" s="85">
        <f t="shared" ref="S367:S395" si="139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138"/>
        <v>BoutiqueSalaires autres</v>
      </c>
      <c r="B368" s="11" t="s">
        <v>114</v>
      </c>
      <c r="C368" s="102" t="s">
        <v>42</v>
      </c>
      <c r="D368" s="104"/>
      <c r="E368" s="105"/>
      <c r="F368" s="30">
        <f>+SUM(START:END!F367)</f>
        <v>0</v>
      </c>
      <c r="G368" s="106"/>
      <c r="H368" s="105"/>
      <c r="I368" s="30">
        <f>+SUM(START:END!I367)</f>
        <v>0</v>
      </c>
      <c r="J368" s="107"/>
      <c r="K368" s="105"/>
      <c r="L368" s="33">
        <f>+SUM(START:END!L367)</f>
        <v>0</v>
      </c>
      <c r="M368" s="107"/>
      <c r="N368" s="109"/>
      <c r="O368" s="107"/>
      <c r="P368" s="105"/>
      <c r="Q368" s="33">
        <f>+SUM(START:END!Q367)</f>
        <v>0</v>
      </c>
      <c r="R368" s="107"/>
      <c r="S368" s="110">
        <f t="shared" si="139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138"/>
        <v>BoutiqueSalaires spécialistes</v>
      </c>
      <c r="B369" s="11" t="s">
        <v>114</v>
      </c>
      <c r="C369" s="102" t="s">
        <v>43</v>
      </c>
      <c r="D369" s="81"/>
      <c r="E369" s="13"/>
      <c r="F369" s="30">
        <f>+SUM(START:END!F368)</f>
        <v>0</v>
      </c>
      <c r="G369" s="83"/>
      <c r="H369" s="13"/>
      <c r="I369" s="30">
        <f>+SUM(START:END!I368)</f>
        <v>0</v>
      </c>
      <c r="J369" s="41"/>
      <c r="K369" s="13"/>
      <c r="L369" s="33">
        <f>+SUM(START:END!L368)</f>
        <v>0</v>
      </c>
      <c r="M369" s="41"/>
      <c r="N369" s="59"/>
      <c r="O369" s="41"/>
      <c r="P369" s="13"/>
      <c r="Q369" s="33">
        <f>+SUM(START:END!Q368)</f>
        <v>0</v>
      </c>
      <c r="R369" s="41"/>
      <c r="S369" s="85">
        <f t="shared" si="139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138"/>
        <v>Boutique[...]</v>
      </c>
      <c r="B370" s="11" t="s">
        <v>114</v>
      </c>
      <c r="C370" s="29" t="s">
        <v>19</v>
      </c>
      <c r="D370" s="81"/>
      <c r="E370" s="13"/>
      <c r="F370" s="30">
        <f>+SUM(START:END!F369)</f>
        <v>0</v>
      </c>
      <c r="G370" s="83"/>
      <c r="H370" s="13"/>
      <c r="I370" s="30">
        <f>+SUM(START:END!I369)</f>
        <v>0</v>
      </c>
      <c r="J370" s="41"/>
      <c r="K370" s="13"/>
      <c r="L370" s="33">
        <f>+SUM(START:END!L369)</f>
        <v>0</v>
      </c>
      <c r="M370" s="41"/>
      <c r="N370" s="59"/>
      <c r="O370" s="41"/>
      <c r="P370" s="13"/>
      <c r="Q370" s="33">
        <f>+SUM(START:END!Q369)</f>
        <v>0</v>
      </c>
      <c r="R370" s="41"/>
      <c r="S370" s="85">
        <f t="shared" si="139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138"/>
        <v>Boutique[...]</v>
      </c>
      <c r="B371" s="11" t="s">
        <v>114</v>
      </c>
      <c r="C371" s="29" t="s">
        <v>19</v>
      </c>
      <c r="D371" s="81"/>
      <c r="E371" s="13"/>
      <c r="F371" s="30">
        <f>+SUM(START:END!F370)</f>
        <v>0</v>
      </c>
      <c r="G371" s="83"/>
      <c r="H371" s="13"/>
      <c r="I371" s="30">
        <f>+SUM(START:END!I370)</f>
        <v>0</v>
      </c>
      <c r="J371" s="41"/>
      <c r="K371" s="13"/>
      <c r="L371" s="33">
        <f>+SUM(START:END!L370)</f>
        <v>0</v>
      </c>
      <c r="M371" s="41"/>
      <c r="N371" s="59"/>
      <c r="O371" s="41"/>
      <c r="P371" s="13"/>
      <c r="Q371" s="33">
        <f>+SUM(START:END!Q370)</f>
        <v>0</v>
      </c>
      <c r="R371" s="41"/>
      <c r="S371" s="85">
        <f t="shared" si="139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138"/>
        <v>Boutique[...]</v>
      </c>
      <c r="B372" s="11" t="s">
        <v>114</v>
      </c>
      <c r="C372" s="29" t="s">
        <v>19</v>
      </c>
      <c r="D372" s="81"/>
      <c r="E372" s="13"/>
      <c r="F372" s="30">
        <f>+SUM(START:END!F371)</f>
        <v>0</v>
      </c>
      <c r="G372" s="83"/>
      <c r="H372" s="13"/>
      <c r="I372" s="30">
        <f>+SUM(START:END!I371)</f>
        <v>0</v>
      </c>
      <c r="J372" s="41"/>
      <c r="K372" s="13"/>
      <c r="L372" s="33">
        <f>+SUM(START:END!L371)</f>
        <v>0</v>
      </c>
      <c r="M372" s="41"/>
      <c r="N372" s="59"/>
      <c r="O372" s="41"/>
      <c r="P372" s="13"/>
      <c r="Q372" s="33">
        <f>+SUM(START:END!Q371)</f>
        <v>0</v>
      </c>
      <c r="R372" s="41"/>
      <c r="S372" s="85">
        <f t="shared" si="139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138"/>
        <v>BoutiqueSalaires en absences</v>
      </c>
      <c r="B373" s="11" t="s">
        <v>114</v>
      </c>
      <c r="C373" s="103" t="s">
        <v>44</v>
      </c>
      <c r="D373" s="81"/>
      <c r="E373" s="13"/>
      <c r="F373" s="22">
        <f>+SUM(START:END!F372)</f>
        <v>0</v>
      </c>
      <c r="G373" s="83"/>
      <c r="H373" s="13"/>
      <c r="I373" s="22">
        <f>+SUM(START:END!I372)</f>
        <v>0</v>
      </c>
      <c r="J373" s="41"/>
      <c r="K373" s="13"/>
      <c r="L373" s="22">
        <f>+SUM(START:END!L372)</f>
        <v>0</v>
      </c>
      <c r="M373" s="41"/>
      <c r="N373" s="59"/>
      <c r="O373" s="41"/>
      <c r="P373" s="13"/>
      <c r="Q373" s="22">
        <f>+SUM(START:END!Q372)</f>
        <v>0</v>
      </c>
      <c r="R373" s="41"/>
      <c r="S373" s="85">
        <f t="shared" si="139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138"/>
        <v>BoutiqueDéduction à la source</v>
      </c>
      <c r="B374" s="11" t="s">
        <v>114</v>
      </c>
      <c r="C374" s="102" t="s">
        <v>45</v>
      </c>
      <c r="D374" s="104"/>
      <c r="E374" s="105"/>
      <c r="F374" s="30">
        <f>+SUM(START:END!F373)</f>
        <v>0</v>
      </c>
      <c r="G374" s="106"/>
      <c r="H374" s="105"/>
      <c r="I374" s="30">
        <f>+SUM(START:END!I373)</f>
        <v>0</v>
      </c>
      <c r="J374" s="107"/>
      <c r="K374" s="105"/>
      <c r="L374" s="33">
        <f>+SUM(START:END!L373)</f>
        <v>0</v>
      </c>
      <c r="M374" s="107"/>
      <c r="N374" s="109"/>
      <c r="O374" s="107"/>
      <c r="P374" s="105"/>
      <c r="Q374" s="33">
        <f>+SUM(START:END!Q373)</f>
        <v>0</v>
      </c>
      <c r="R374" s="107"/>
      <c r="S374" s="110">
        <f t="shared" si="139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138"/>
        <v>BoutiqueBénéfices marginaux</v>
      </c>
      <c r="B375" s="11" t="s">
        <v>114</v>
      </c>
      <c r="C375" s="102" t="s">
        <v>46</v>
      </c>
      <c r="D375" s="81"/>
      <c r="E375" s="13"/>
      <c r="F375" s="30">
        <f>+SUM(START:END!F374)</f>
        <v>0</v>
      </c>
      <c r="G375" s="83"/>
      <c r="H375" s="13"/>
      <c r="I375" s="30">
        <f>+SUM(START:END!I374)</f>
        <v>0</v>
      </c>
      <c r="J375" s="41"/>
      <c r="K375" s="13"/>
      <c r="L375" s="33">
        <f>+SUM(START:END!L374)</f>
        <v>0</v>
      </c>
      <c r="M375" s="41"/>
      <c r="N375" s="59"/>
      <c r="O375" s="41"/>
      <c r="P375" s="13"/>
      <c r="Q375" s="33">
        <f>+SUM(START:END!Q374)</f>
        <v>0</v>
      </c>
      <c r="R375" s="41"/>
      <c r="S375" s="85">
        <f t="shared" si="139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138"/>
        <v>BoutiqueCsst</v>
      </c>
      <c r="B376" s="11" t="s">
        <v>114</v>
      </c>
      <c r="C376" s="102" t="s">
        <v>47</v>
      </c>
      <c r="D376" s="81"/>
      <c r="E376" s="13"/>
      <c r="F376" s="30">
        <f>+SUM(START:END!F375)</f>
        <v>0</v>
      </c>
      <c r="G376" s="83"/>
      <c r="H376" s="13"/>
      <c r="I376" s="30">
        <f>+SUM(START:END!I375)</f>
        <v>0</v>
      </c>
      <c r="J376" s="41"/>
      <c r="K376" s="13"/>
      <c r="L376" s="33">
        <f>+SUM(START:END!L375)</f>
        <v>0</v>
      </c>
      <c r="M376" s="41"/>
      <c r="N376" s="59"/>
      <c r="O376" s="41"/>
      <c r="P376" s="13"/>
      <c r="Q376" s="33">
        <f>+SUM(START:END!Q375)</f>
        <v>0</v>
      </c>
      <c r="R376" s="41"/>
      <c r="S376" s="85">
        <f t="shared" si="139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138"/>
        <v>Boutique[...]</v>
      </c>
      <c r="B377" s="11" t="s">
        <v>114</v>
      </c>
      <c r="C377" s="29" t="s">
        <v>19</v>
      </c>
      <c r="D377" s="87"/>
      <c r="E377" s="111"/>
      <c r="F377" s="30">
        <f>+SUM(START:END!F376)</f>
        <v>0</v>
      </c>
      <c r="G377" s="89"/>
      <c r="H377" s="111"/>
      <c r="I377" s="30">
        <f>+SUM(START:END!I376)</f>
        <v>0</v>
      </c>
      <c r="J377" s="23"/>
      <c r="K377" s="111"/>
      <c r="L377" s="33">
        <f>+SUM(START:END!L376)</f>
        <v>0</v>
      </c>
      <c r="M377" s="23"/>
      <c r="N377" s="91"/>
      <c r="O377" s="23"/>
      <c r="P377" s="111"/>
      <c r="Q377" s="33">
        <f>+SUM(START:END!Q376)</f>
        <v>0</v>
      </c>
      <c r="R377" s="23"/>
      <c r="S377" s="92">
        <f t="shared" si="139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138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IFERROR(F378/F$360,0)</f>
        <v>0</v>
      </c>
      <c r="F378" s="96">
        <f>+SUM(F366:F377)</f>
        <v>0</v>
      </c>
      <c r="G378" s="97" t="s">
        <v>38</v>
      </c>
      <c r="H378" s="95">
        <f>IFERROR(I378/I$360,0)</f>
        <v>0</v>
      </c>
      <c r="I378" s="96">
        <f>+SUM(I366:I377)</f>
        <v>0</v>
      </c>
      <c r="J378" s="97" t="s">
        <v>38</v>
      </c>
      <c r="K378" s="95">
        <f>IFERROR(L378/L$360,0)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IFERROR(Q378/Q$360,0)</f>
        <v>0</v>
      </c>
      <c r="Q378" s="96">
        <f>+SUM(Q366:Q377)</f>
        <v>0</v>
      </c>
      <c r="R378" s="146"/>
      <c r="S378" s="114">
        <f t="shared" si="139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138"/>
        <v>BoutiquePublicité 2</v>
      </c>
      <c r="B379" s="11" t="s">
        <v>114</v>
      </c>
      <c r="C379" s="210" t="s">
        <v>49</v>
      </c>
      <c r="D379" s="81"/>
      <c r="E379" s="13"/>
      <c r="F379" s="30">
        <f>+SUM(START:END!F378)</f>
        <v>0</v>
      </c>
      <c r="G379" s="83"/>
      <c r="H379" s="13"/>
      <c r="I379" s="30">
        <f>+SUM(START:END!I378)</f>
        <v>0</v>
      </c>
      <c r="J379" s="41"/>
      <c r="K379" s="13"/>
      <c r="L379" s="33">
        <f>+SUM(START:END!L378)</f>
        <v>0</v>
      </c>
      <c r="M379" s="41"/>
      <c r="N379" s="59"/>
      <c r="O379" s="41"/>
      <c r="P379" s="13"/>
      <c r="Q379" s="33">
        <f>+SUM(START:END!Q378)</f>
        <v>0</v>
      </c>
      <c r="R379" s="41"/>
      <c r="S379" s="85">
        <f t="shared" si="139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138"/>
        <v>BoutiqueService gratuit 2</v>
      </c>
      <c r="B380" s="11" t="s">
        <v>114</v>
      </c>
      <c r="C380" s="102" t="s">
        <v>50</v>
      </c>
      <c r="D380" s="81"/>
      <c r="E380" s="13"/>
      <c r="F380" s="30">
        <f>+SUM(START:END!F379)</f>
        <v>0</v>
      </c>
      <c r="G380" s="83"/>
      <c r="H380" s="13"/>
      <c r="I380" s="30">
        <f>+SUM(START:END!I379)</f>
        <v>0</v>
      </c>
      <c r="J380" s="41"/>
      <c r="K380" s="13"/>
      <c r="L380" s="33">
        <f>+SUM(START:END!L379)</f>
        <v>0</v>
      </c>
      <c r="M380" s="41"/>
      <c r="N380" s="59"/>
      <c r="O380" s="41"/>
      <c r="P380" s="13"/>
      <c r="Q380" s="33">
        <f>+SUM(START:END!Q379)</f>
        <v>0</v>
      </c>
      <c r="R380" s="41"/>
      <c r="S380" s="85">
        <f t="shared" si="139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138"/>
        <v>BoutiqueFrais véhicules de cie</v>
      </c>
      <c r="B381" s="11" t="s">
        <v>114</v>
      </c>
      <c r="C381" s="103" t="s">
        <v>51</v>
      </c>
      <c r="D381" s="87"/>
      <c r="E381" s="111"/>
      <c r="F381" s="22">
        <f>+SUM(START:END!F380)</f>
        <v>0</v>
      </c>
      <c r="G381" s="89"/>
      <c r="H381" s="111"/>
      <c r="I381" s="22">
        <f>+SUM(START:END!I380)</f>
        <v>0</v>
      </c>
      <c r="J381" s="23"/>
      <c r="K381" s="111"/>
      <c r="L381" s="22">
        <f>+SUM(START:END!L380)</f>
        <v>0</v>
      </c>
      <c r="M381" s="23"/>
      <c r="N381" s="91"/>
      <c r="O381" s="23"/>
      <c r="P381" s="111"/>
      <c r="Q381" s="22">
        <f>+SUM(START:END!Q380)</f>
        <v>0</v>
      </c>
      <c r="R381" s="23"/>
      <c r="S381" s="92">
        <f t="shared" si="139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138"/>
        <v>BoutiqueInformatique</v>
      </c>
      <c r="B382" s="11" t="s">
        <v>114</v>
      </c>
      <c r="C382" s="102" t="s">
        <v>52</v>
      </c>
      <c r="D382" s="81"/>
      <c r="E382" s="13"/>
      <c r="F382" s="30">
        <f>+SUM(START:END!F381)</f>
        <v>0</v>
      </c>
      <c r="G382" s="83"/>
      <c r="H382" s="13"/>
      <c r="I382" s="30">
        <f>+SUM(START:END!I381)</f>
        <v>0</v>
      </c>
      <c r="J382" s="41"/>
      <c r="K382" s="13"/>
      <c r="L382" s="33">
        <f>+SUM(START:END!L381)</f>
        <v>0</v>
      </c>
      <c r="M382" s="41"/>
      <c r="N382" s="59"/>
      <c r="O382" s="41"/>
      <c r="P382" s="13"/>
      <c r="Q382" s="33">
        <f>+SUM(START:END!Q381)</f>
        <v>0</v>
      </c>
      <c r="R382" s="41"/>
      <c r="S382" s="85">
        <f t="shared" si="139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138"/>
        <v>BoutiqueFrais de déplacement</v>
      </c>
      <c r="B383" s="11" t="s">
        <v>114</v>
      </c>
      <c r="C383" s="102" t="s">
        <v>53</v>
      </c>
      <c r="D383" s="81"/>
      <c r="E383" s="13"/>
      <c r="F383" s="30">
        <f>+SUM(START:END!F382)</f>
        <v>0</v>
      </c>
      <c r="G383" s="83"/>
      <c r="H383" s="13"/>
      <c r="I383" s="30">
        <f>+SUM(START:END!I382)</f>
        <v>0</v>
      </c>
      <c r="J383" s="41"/>
      <c r="K383" s="13"/>
      <c r="L383" s="33">
        <f>+SUM(START:END!L382)</f>
        <v>0</v>
      </c>
      <c r="M383" s="41"/>
      <c r="N383" s="59"/>
      <c r="O383" s="41"/>
      <c r="P383" s="13"/>
      <c r="Q383" s="33">
        <f>+SUM(START:END!Q382)</f>
        <v>0</v>
      </c>
      <c r="R383" s="41"/>
      <c r="S383" s="85">
        <f t="shared" si="139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138"/>
        <v>BoutiqueServices extérieurs</v>
      </c>
      <c r="B384" s="11" t="s">
        <v>114</v>
      </c>
      <c r="C384" s="102" t="s">
        <v>54</v>
      </c>
      <c r="D384" s="87"/>
      <c r="E384" s="111"/>
      <c r="F384" s="22">
        <f>+SUM(START:END!F383)</f>
        <v>0</v>
      </c>
      <c r="G384" s="89"/>
      <c r="H384" s="111"/>
      <c r="I384" s="22">
        <f>+SUM(START:END!I383)</f>
        <v>0</v>
      </c>
      <c r="J384" s="23"/>
      <c r="K384" s="111"/>
      <c r="L384" s="22">
        <f>+SUM(START:END!L383)</f>
        <v>0</v>
      </c>
      <c r="M384" s="23"/>
      <c r="N384" s="91"/>
      <c r="O384" s="23"/>
      <c r="P384" s="111"/>
      <c r="Q384" s="22">
        <f>+SUM(START:END!Q383)</f>
        <v>0</v>
      </c>
      <c r="R384" s="23"/>
      <c r="S384" s="92">
        <f t="shared" si="139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138"/>
        <v>BoutiqueFournitures autres</v>
      </c>
      <c r="B385" s="11" t="s">
        <v>114</v>
      </c>
      <c r="C385" s="210" t="s">
        <v>55</v>
      </c>
      <c r="D385" s="81"/>
      <c r="E385" s="13"/>
      <c r="F385" s="30">
        <f>+SUM(START:END!F384)</f>
        <v>0</v>
      </c>
      <c r="G385" s="83"/>
      <c r="H385" s="13"/>
      <c r="I385" s="30">
        <f>+SUM(START:END!I384)</f>
        <v>0</v>
      </c>
      <c r="J385" s="41"/>
      <c r="K385" s="13"/>
      <c r="L385" s="33">
        <f>+SUM(START:END!L384)</f>
        <v>0</v>
      </c>
      <c r="M385" s="41"/>
      <c r="N385" s="59"/>
      <c r="O385" s="41"/>
      <c r="P385" s="13"/>
      <c r="Q385" s="33">
        <f>+SUM(START:END!Q384)</f>
        <v>0</v>
      </c>
      <c r="R385" s="41"/>
      <c r="S385" s="85">
        <f t="shared" si="139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138"/>
        <v>BoutiqueUniformes</v>
      </c>
      <c r="B386" s="11" t="s">
        <v>114</v>
      </c>
      <c r="C386" s="102" t="s">
        <v>56</v>
      </c>
      <c r="D386" s="81"/>
      <c r="E386" s="13"/>
      <c r="F386" s="30">
        <f>+SUM(START:END!F385)</f>
        <v>0</v>
      </c>
      <c r="G386" s="83"/>
      <c r="H386" s="13"/>
      <c r="I386" s="30">
        <f>+SUM(START:END!I385)</f>
        <v>0</v>
      </c>
      <c r="J386" s="41"/>
      <c r="K386" s="13"/>
      <c r="L386" s="33">
        <f>+SUM(START:END!L385)</f>
        <v>0</v>
      </c>
      <c r="M386" s="41"/>
      <c r="N386" s="59"/>
      <c r="O386" s="41"/>
      <c r="P386" s="13"/>
      <c r="Q386" s="33">
        <f>+SUM(START:END!Q385)</f>
        <v>0</v>
      </c>
      <c r="R386" s="41"/>
      <c r="S386" s="85">
        <f t="shared" si="139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138"/>
        <v>BoutiquePapeterie</v>
      </c>
      <c r="B387" s="11" t="s">
        <v>114</v>
      </c>
      <c r="C387" s="102" t="s">
        <v>57</v>
      </c>
      <c r="D387" s="81"/>
      <c r="E387" s="13"/>
      <c r="F387" s="30">
        <f>+SUM(START:END!F386)</f>
        <v>0</v>
      </c>
      <c r="G387" s="83"/>
      <c r="H387" s="13"/>
      <c r="I387" s="30">
        <f>+SUM(START:END!I386)</f>
        <v>0</v>
      </c>
      <c r="J387" s="41"/>
      <c r="K387" s="13"/>
      <c r="L387" s="33">
        <f>+SUM(START:END!L386)</f>
        <v>0</v>
      </c>
      <c r="M387" s="41"/>
      <c r="N387" s="59"/>
      <c r="O387" s="41"/>
      <c r="P387" s="13"/>
      <c r="Q387" s="33">
        <f>+SUM(START:END!Q386)</f>
        <v>0</v>
      </c>
      <c r="R387" s="41"/>
      <c r="S387" s="85">
        <f t="shared" si="139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138"/>
        <v>BoutiqueTéléphone</v>
      </c>
      <c r="B388" s="11" t="s">
        <v>114</v>
      </c>
      <c r="C388" s="102" t="s">
        <v>58</v>
      </c>
      <c r="D388" s="81"/>
      <c r="E388" s="13"/>
      <c r="F388" s="30">
        <f>+SUM(START:END!F387)</f>
        <v>0</v>
      </c>
      <c r="G388" s="83"/>
      <c r="H388" s="13"/>
      <c r="I388" s="30">
        <f>+SUM(START:END!I387)</f>
        <v>0</v>
      </c>
      <c r="J388" s="41"/>
      <c r="K388" s="13"/>
      <c r="L388" s="33">
        <f>+SUM(START:END!L387)</f>
        <v>0</v>
      </c>
      <c r="M388" s="41"/>
      <c r="N388" s="59"/>
      <c r="O388" s="41"/>
      <c r="P388" s="13"/>
      <c r="Q388" s="33">
        <f>+SUM(START:END!Q387)</f>
        <v>0</v>
      </c>
      <c r="R388" s="41"/>
      <c r="S388" s="85">
        <f t="shared" si="139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138"/>
        <v>BoutiqueFrais postaux</v>
      </c>
      <c r="B389" s="11" t="s">
        <v>114</v>
      </c>
      <c r="C389" s="102" t="s">
        <v>59</v>
      </c>
      <c r="D389" s="81"/>
      <c r="E389" s="13"/>
      <c r="F389" s="30">
        <f>+SUM(START:END!F388)</f>
        <v>0</v>
      </c>
      <c r="G389" s="83"/>
      <c r="H389" s="13"/>
      <c r="I389" s="30">
        <f>+SUM(START:END!I388)</f>
        <v>0</v>
      </c>
      <c r="J389" s="41"/>
      <c r="K389" s="13"/>
      <c r="L389" s="33">
        <f>+SUM(START:END!L388)</f>
        <v>0</v>
      </c>
      <c r="M389" s="41"/>
      <c r="N389" s="59"/>
      <c r="O389" s="41"/>
      <c r="P389" s="13"/>
      <c r="Q389" s="33">
        <f>+SUM(START:END!Q388)</f>
        <v>0</v>
      </c>
      <c r="R389" s="41"/>
      <c r="S389" s="85">
        <f t="shared" si="139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138"/>
        <v>BoutiqueDivers</v>
      </c>
      <c r="B390" s="11" t="s">
        <v>114</v>
      </c>
      <c r="C390" s="102" t="s">
        <v>60</v>
      </c>
      <c r="D390" s="81"/>
      <c r="E390" s="13"/>
      <c r="F390" s="30">
        <f>+SUM(START:END!F389)</f>
        <v>0</v>
      </c>
      <c r="G390" s="83"/>
      <c r="H390" s="13"/>
      <c r="I390" s="30">
        <f>+SUM(START:END!I389)</f>
        <v>0</v>
      </c>
      <c r="J390" s="41"/>
      <c r="K390" s="13"/>
      <c r="L390" s="33">
        <f>+SUM(START:END!L389)</f>
        <v>0</v>
      </c>
      <c r="M390" s="41"/>
      <c r="N390" s="59"/>
      <c r="O390" s="41"/>
      <c r="P390" s="13"/>
      <c r="Q390" s="33">
        <f>+SUM(START:END!Q389)</f>
        <v>0</v>
      </c>
      <c r="R390" s="41"/>
      <c r="S390" s="85">
        <f t="shared" si="139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138"/>
        <v>BoutiqueFormation</v>
      </c>
      <c r="B391" s="11" t="s">
        <v>114</v>
      </c>
      <c r="C391" s="102" t="s">
        <v>61</v>
      </c>
      <c r="D391" s="81"/>
      <c r="E391" s="13"/>
      <c r="F391" s="30">
        <f>+SUM(START:END!F390)</f>
        <v>0</v>
      </c>
      <c r="G391" s="83"/>
      <c r="H391" s="13"/>
      <c r="I391" s="30">
        <f>+SUM(START:END!I390)</f>
        <v>0</v>
      </c>
      <c r="J391" s="41"/>
      <c r="K391" s="13"/>
      <c r="L391" s="33">
        <f>+SUM(START:END!L390)</f>
        <v>0</v>
      </c>
      <c r="M391" s="41"/>
      <c r="N391" s="59"/>
      <c r="O391" s="41"/>
      <c r="P391" s="13"/>
      <c r="Q391" s="33">
        <f>+SUM(START:END!Q390)</f>
        <v>0</v>
      </c>
      <c r="R391" s="41"/>
      <c r="S391" s="85">
        <f t="shared" si="139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138"/>
        <v>BoutiqueFrais bancaires</v>
      </c>
      <c r="B392" s="11" t="s">
        <v>114</v>
      </c>
      <c r="C392" s="102" t="s">
        <v>62</v>
      </c>
      <c r="D392" s="81"/>
      <c r="E392" s="13"/>
      <c r="F392" s="30">
        <f>+SUM(START:END!F391)</f>
        <v>0</v>
      </c>
      <c r="G392" s="83"/>
      <c r="H392" s="13"/>
      <c r="I392" s="30">
        <f>+SUM(START:END!I391)</f>
        <v>0</v>
      </c>
      <c r="J392" s="41"/>
      <c r="K392" s="13"/>
      <c r="L392" s="33">
        <f>+SUM(START:END!L391)</f>
        <v>0</v>
      </c>
      <c r="M392" s="41"/>
      <c r="N392" s="59"/>
      <c r="O392" s="41"/>
      <c r="P392" s="13"/>
      <c r="Q392" s="33">
        <f>+SUM(START:END!Q391)</f>
        <v>0</v>
      </c>
      <c r="R392" s="41"/>
      <c r="S392" s="85">
        <f t="shared" si="139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138"/>
        <v>Boutique[...]</v>
      </c>
      <c r="B393" s="11" t="s">
        <v>114</v>
      </c>
      <c r="C393" s="102" t="s">
        <v>19</v>
      </c>
      <c r="D393" s="81"/>
      <c r="E393" s="13"/>
      <c r="F393" s="30">
        <f>+SUM(START:END!F392)</f>
        <v>0</v>
      </c>
      <c r="G393" s="83"/>
      <c r="H393" s="13"/>
      <c r="I393" s="30">
        <f>+SUM(START:END!I392)</f>
        <v>0</v>
      </c>
      <c r="J393" s="41"/>
      <c r="K393" s="13"/>
      <c r="L393" s="33">
        <f>+SUM(START:END!L392)</f>
        <v>0</v>
      </c>
      <c r="M393" s="41"/>
      <c r="N393" s="59"/>
      <c r="O393" s="41"/>
      <c r="P393" s="13"/>
      <c r="Q393" s="33">
        <f>+SUM(START:END!Q392)</f>
        <v>0</v>
      </c>
      <c r="R393" s="41"/>
      <c r="S393" s="85">
        <f t="shared" si="139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138"/>
        <v>Boutique[...]</v>
      </c>
      <c r="B394" s="11" t="s">
        <v>114</v>
      </c>
      <c r="C394" s="102" t="s">
        <v>19</v>
      </c>
      <c r="D394" s="81"/>
      <c r="E394" s="13"/>
      <c r="F394" s="30">
        <f>+SUM(START:END!F393)</f>
        <v>0</v>
      </c>
      <c r="G394" s="83"/>
      <c r="H394" s="13"/>
      <c r="I394" s="30">
        <f>+SUM(START:END!I393)</f>
        <v>0</v>
      </c>
      <c r="J394" s="41"/>
      <c r="K394" s="13"/>
      <c r="L394" s="33">
        <f>+SUM(START:END!L393)</f>
        <v>0</v>
      </c>
      <c r="M394" s="41"/>
      <c r="N394" s="59"/>
      <c r="O394" s="41"/>
      <c r="P394" s="13"/>
      <c r="Q394" s="33">
        <f>+SUM(START:END!Q393)</f>
        <v>0</v>
      </c>
      <c r="R394" s="41"/>
      <c r="S394" s="85">
        <f t="shared" si="139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138"/>
        <v>Boutique[...]</v>
      </c>
      <c r="B395" s="11" t="s">
        <v>114</v>
      </c>
      <c r="C395" s="102" t="s">
        <v>19</v>
      </c>
      <c r="D395" s="87"/>
      <c r="E395" s="111"/>
      <c r="F395" s="30">
        <f>+SUM(START:END!F394)</f>
        <v>0</v>
      </c>
      <c r="G395" s="89"/>
      <c r="H395" s="111"/>
      <c r="I395" s="30">
        <f>+SUM(START:END!I394)</f>
        <v>0</v>
      </c>
      <c r="J395" s="23"/>
      <c r="K395" s="111"/>
      <c r="L395" s="33">
        <f>+SUM(START:END!L394)</f>
        <v>0</v>
      </c>
      <c r="M395" s="23"/>
      <c r="N395" s="91"/>
      <c r="O395" s="23"/>
      <c r="P395" s="111"/>
      <c r="Q395" s="33">
        <f>+SUM(START:END!Q394)</f>
        <v>0</v>
      </c>
      <c r="R395" s="23"/>
      <c r="S395" s="92">
        <f t="shared" si="139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IFERROR(F396/F$360,0)</f>
        <v>0</v>
      </c>
      <c r="F396" s="96">
        <f>+SUM(F379:F395)</f>
        <v>0</v>
      </c>
      <c r="G396" s="97" t="s">
        <v>38</v>
      </c>
      <c r="H396" s="95">
        <f>IFERROR(I396/I$360,0)</f>
        <v>0</v>
      </c>
      <c r="I396" s="96">
        <f>+SUM(I379:I395)</f>
        <v>0</v>
      </c>
      <c r="J396" s="97" t="s">
        <v>38</v>
      </c>
      <c r="K396" s="95">
        <f>IFERROR(L396/L$360,0)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IFERROR(Q396/Q$360,0)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IFERROR(F398/F$360,0)</f>
        <v>0</v>
      </c>
      <c r="F398" s="96">
        <f>F378+F396</f>
        <v>0</v>
      </c>
      <c r="G398" s="97" t="s">
        <v>38</v>
      </c>
      <c r="H398" s="95">
        <f>IFERROR(I398/I$360,0)</f>
        <v>0</v>
      </c>
      <c r="I398" s="96">
        <f>I378+I396</f>
        <v>0</v>
      </c>
      <c r="J398" s="97" t="s">
        <v>38</v>
      </c>
      <c r="K398" s="95">
        <f>IFERROR(L398/L$360,0)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IFERROR(Q398/Q$360,0)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>
        <f>I363-I398</f>
        <v>0</v>
      </c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/>
      <c r="G402" s="13"/>
      <c r="H402" s="13"/>
      <c r="I402" s="13"/>
      <c r="J402" s="13"/>
      <c r="K402" s="13"/>
      <c r="L402" s="82"/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/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  Q3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13" t="s">
        <v>117</v>
      </c>
      <c r="Y405" s="511"/>
      <c r="Z405" s="514"/>
      <c r="AA405" s="510" t="s">
        <v>71</v>
      </c>
      <c r="AB405" s="511"/>
      <c r="AC405" s="514"/>
      <c r="AD405" s="510" t="s">
        <v>7</v>
      </c>
      <c r="AE405" s="511"/>
      <c r="AF405" s="514"/>
      <c r="AG405" s="510" t="s">
        <v>212</v>
      </c>
      <c r="AH405" s="511"/>
      <c r="AI405" s="514"/>
      <c r="AJ405" s="510" t="s">
        <v>118</v>
      </c>
      <c r="AK405" s="511"/>
      <c r="AL405" s="511"/>
      <c r="AM405" s="510" t="s">
        <v>119</v>
      </c>
      <c r="AN405" s="511"/>
      <c r="AO405" s="512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08" si="140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 t="s">
        <v>121</v>
      </c>
      <c r="AB406" s="257" t="s">
        <v>122</v>
      </c>
      <c r="AC406" s="258" t="s">
        <v>123</v>
      </c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140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14165095.583268691</v>
      </c>
      <c r="AA407" s="261"/>
      <c r="AB407" s="261"/>
      <c r="AC407" s="262"/>
      <c r="AD407" s="263"/>
      <c r="AE407" s="264"/>
      <c r="AF407" s="264">
        <f>L5+L93+K195+K251+J315+J363</f>
        <v>15141214.09</v>
      </c>
      <c r="AG407" s="263"/>
      <c r="AH407" s="264"/>
      <c r="AI407" s="265"/>
      <c r="AJ407" s="263"/>
      <c r="AK407" s="264"/>
      <c r="AL407" s="264">
        <f>Q5+Q93+P195+P251+O315+O363</f>
        <v>9932882.1999999899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140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1442400.859923396</v>
      </c>
      <c r="AA408" s="269"/>
      <c r="AB408" s="269"/>
      <c r="AC408" s="270"/>
      <c r="AD408" s="271"/>
      <c r="AE408" s="272"/>
      <c r="AF408" s="272">
        <f>L27+L109+L195+L251+L315+L363</f>
        <v>1424261.4600000002</v>
      </c>
      <c r="AG408" s="271"/>
      <c r="AH408" s="272">
        <f>AF408-Z408</f>
        <v>-18139.399923395831</v>
      </c>
      <c r="AI408" s="273">
        <f>AH408/Z408</f>
        <v>-1.2575838262020442E-2</v>
      </c>
      <c r="AJ408" s="271">
        <f>+AL408/AL407</f>
        <v>0.11262082922920399</v>
      </c>
      <c r="AK408" s="272"/>
      <c r="AL408" s="272">
        <f>Q27+Q109+Q195+Q251+Q315+Q363</f>
        <v>1118649.429999999</v>
      </c>
      <c r="AM408" s="274"/>
      <c r="AN408" s="272">
        <f>AF408-AL408</f>
        <v>305612.03000000119</v>
      </c>
      <c r="AO408" s="275">
        <f>IF(AL408=0,0,AN408/AL408)</f>
        <v>0.27319732331155927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ref="A409" si="141">+U409&amp;V409</f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ref="A410" si="142">+U410&amp;V410</f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>Z410/(D$13+D$97)</f>
        <v>982.55900782664537</v>
      </c>
      <c r="Z410" s="278">
        <f>+SUM(START:END!Z410)</f>
        <v>126750.11200963725</v>
      </c>
      <c r="AA410" s="277"/>
      <c r="AB410" s="285">
        <f>IF(AC410=0,0,AC410/(G$13+G$97))</f>
        <v>0</v>
      </c>
      <c r="AC410" s="278">
        <f>+SUM(START:END!AC410)</f>
        <v>0</v>
      </c>
      <c r="AD410" s="286"/>
      <c r="AE410" s="285">
        <f>IF(AF410=0,0,AF410/(J$13+J$97))</f>
        <v>1135.2475524475524</v>
      </c>
      <c r="AF410" s="278">
        <f>+SUM(START:END!AF410)</f>
        <v>162340.4</v>
      </c>
      <c r="AG410" s="279">
        <f t="shared" ref="AG410:AG419" si="143">AE410-Y410</f>
        <v>152.68854462090701</v>
      </c>
      <c r="AH410" s="280">
        <f t="shared" ref="AH410:AH437" si="144">AF410-Z410</f>
        <v>35590.287990362747</v>
      </c>
      <c r="AI410" s="281">
        <f t="shared" ref="AI410:AI419" si="145">IF(Z410=0,0,AH410/Z410)</f>
        <v>0.28079097861196917</v>
      </c>
      <c r="AJ410" s="286"/>
      <c r="AK410" s="280">
        <f>AL410/(O$13+O$97)</f>
        <v>862.86688888888898</v>
      </c>
      <c r="AL410" s="278">
        <f t="shared" ref="AL410:AL416" si="146">+SUMIF($C:$C,$V410,Q:Q)</f>
        <v>77658.02</v>
      </c>
      <c r="AM410" s="282">
        <f t="shared" ref="AM410:AM415" si="147">AE410-Y410</f>
        <v>152.68854462090701</v>
      </c>
      <c r="AN410" s="280">
        <f t="shared" ref="AN410:AN415" si="148">AF410-AL410</f>
        <v>84682.37999999999</v>
      </c>
      <c r="AO410" s="287">
        <f t="shared" ref="AO410:AO432" si="149">IF(AL410=0,0,AN410/AL410)</f>
        <v>1.0904524735500594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ref="A411" si="150">+U411&amp;V411</f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ref="Y411:Y416" si="151">Z411/(D$13+D$97)</f>
        <v>485.93798449612405</v>
      </c>
      <c r="Z411" s="262">
        <f>+SUM(START:END!Z411)</f>
        <v>62686</v>
      </c>
      <c r="AA411" s="261"/>
      <c r="AB411" s="289">
        <f t="shared" ref="AB411:AB416" si="152">IF(AC411=0,0,AC411/(G$13+G$97))</f>
        <v>0</v>
      </c>
      <c r="AC411" s="262">
        <f>+SUM(START:END!AC411)</f>
        <v>0</v>
      </c>
      <c r="AD411" s="290"/>
      <c r="AE411" s="289">
        <f t="shared" ref="AE411:AE416" si="153">IF(AF411=0,0,AF411/(J$13+J$97))</f>
        <v>148.86349650349649</v>
      </c>
      <c r="AF411" s="262">
        <f>+SUM(START:END!AF411)</f>
        <v>21287.48</v>
      </c>
      <c r="AG411" s="263">
        <f t="shared" si="143"/>
        <v>-337.07448799262755</v>
      </c>
      <c r="AH411" s="264">
        <f t="shared" si="144"/>
        <v>-41398.520000000004</v>
      </c>
      <c r="AI411" s="291">
        <f t="shared" si="145"/>
        <v>-0.66041093705133525</v>
      </c>
      <c r="AJ411" s="290"/>
      <c r="AK411" s="264">
        <f t="shared" ref="AK411:AK416" si="154">AL411/(O$13+O$97)</f>
        <v>500.38166666666666</v>
      </c>
      <c r="AL411" s="262">
        <f t="shared" si="146"/>
        <v>45034.35</v>
      </c>
      <c r="AM411" s="266">
        <f t="shared" si="147"/>
        <v>-337.07448799262755</v>
      </c>
      <c r="AN411" s="264">
        <f t="shared" si="148"/>
        <v>-23746.87</v>
      </c>
      <c r="AO411" s="292">
        <f t="shared" si="149"/>
        <v>-0.52730571219524647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ref="A412" si="155">+U412&amp;V412</f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151"/>
        <v>112.48062015503876</v>
      </c>
      <c r="Z412" s="278">
        <f>+SUM(START:END!Z412)</f>
        <v>14510</v>
      </c>
      <c r="AA412" s="277"/>
      <c r="AB412" s="285">
        <f t="shared" si="152"/>
        <v>0</v>
      </c>
      <c r="AC412" s="278">
        <f>+SUM(START:END!AC412)</f>
        <v>0</v>
      </c>
      <c r="AD412" s="286"/>
      <c r="AE412" s="285">
        <f t="shared" si="153"/>
        <v>137.46216783216784</v>
      </c>
      <c r="AF412" s="278">
        <f>+SUM(START:END!AF412)</f>
        <v>19657.09</v>
      </c>
      <c r="AG412" s="279">
        <f t="shared" si="143"/>
        <v>24.981547677129072</v>
      </c>
      <c r="AH412" s="280">
        <f t="shared" si="144"/>
        <v>5147.09</v>
      </c>
      <c r="AI412" s="281">
        <f t="shared" si="145"/>
        <v>0.35472708476912473</v>
      </c>
      <c r="AJ412" s="286"/>
      <c r="AK412" s="280">
        <f t="shared" si="154"/>
        <v>171.3761111111111</v>
      </c>
      <c r="AL412" s="278">
        <f t="shared" si="146"/>
        <v>15423.849999999999</v>
      </c>
      <c r="AM412" s="282">
        <f t="shared" si="147"/>
        <v>24.981547677129072</v>
      </c>
      <c r="AN412" s="280">
        <f t="shared" si="148"/>
        <v>4233.2400000000016</v>
      </c>
      <c r="AO412" s="287">
        <f t="shared" si="149"/>
        <v>0.2744606567102249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ref="A413" si="156">+U413&amp;V413</f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132</v>
      </c>
      <c r="X413" s="277"/>
      <c r="Y413" s="285">
        <f t="shared" si="151"/>
        <v>59.34108527131783</v>
      </c>
      <c r="Z413" s="278">
        <f>+SUM(START:END!Z413)</f>
        <v>7655</v>
      </c>
      <c r="AA413" s="277"/>
      <c r="AB413" s="285">
        <f t="shared" si="152"/>
        <v>0</v>
      </c>
      <c r="AC413" s="278">
        <f>+SUM(START:END!AC413)</f>
        <v>0</v>
      </c>
      <c r="AD413" s="286"/>
      <c r="AE413" s="285">
        <f t="shared" si="153"/>
        <v>78.029790209790207</v>
      </c>
      <c r="AF413" s="278">
        <f>+SUM(START:END!AF413)</f>
        <v>11158.26</v>
      </c>
      <c r="AG413" s="279">
        <f t="shared" si="143"/>
        <v>18.688704938472377</v>
      </c>
      <c r="AH413" s="280">
        <f t="shared" si="144"/>
        <v>3503.26</v>
      </c>
      <c r="AI413" s="281">
        <f t="shared" si="145"/>
        <v>0.45764337034617902</v>
      </c>
      <c r="AJ413" s="286"/>
      <c r="AK413" s="280">
        <f t="shared" si="154"/>
        <v>41.09</v>
      </c>
      <c r="AL413" s="278">
        <f t="shared" si="146"/>
        <v>3698.1000000000004</v>
      </c>
      <c r="AM413" s="282">
        <f t="shared" si="147"/>
        <v>18.688704938472377</v>
      </c>
      <c r="AN413" s="280">
        <f t="shared" si="148"/>
        <v>7460.16</v>
      </c>
      <c r="AO413" s="293">
        <f t="shared" si="149"/>
        <v>2.0172953678916197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ref="A414" si="157">+U414&amp;V414</f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/>
      <c r="X414" s="261"/>
      <c r="Y414" s="289">
        <f t="shared" si="151"/>
        <v>81.984496124031011</v>
      </c>
      <c r="Z414" s="262">
        <f>+SUM(START:END!Z414)</f>
        <v>10576</v>
      </c>
      <c r="AA414" s="261"/>
      <c r="AB414" s="289">
        <f t="shared" si="152"/>
        <v>0</v>
      </c>
      <c r="AC414" s="262">
        <f>+SUM(START:END!AC414)</f>
        <v>0</v>
      </c>
      <c r="AD414" s="290"/>
      <c r="AE414" s="289">
        <f t="shared" si="153"/>
        <v>70.108181818181819</v>
      </c>
      <c r="AF414" s="262">
        <f>+SUM(START:END!AF414)</f>
        <v>10025.470000000001</v>
      </c>
      <c r="AG414" s="263">
        <f t="shared" si="143"/>
        <v>-11.876314305849192</v>
      </c>
      <c r="AH414" s="264">
        <f t="shared" si="144"/>
        <v>-550.52999999999884</v>
      </c>
      <c r="AI414" s="291">
        <f t="shared" si="145"/>
        <v>-5.2054652042359949E-2</v>
      </c>
      <c r="AJ414" s="290"/>
      <c r="AK414" s="264">
        <f t="shared" si="154"/>
        <v>202.97955555555561</v>
      </c>
      <c r="AL414" s="262">
        <f t="shared" si="146"/>
        <v>18268.160000000003</v>
      </c>
      <c r="AM414" s="266">
        <f t="shared" si="147"/>
        <v>-11.876314305849192</v>
      </c>
      <c r="AN414" s="264">
        <f t="shared" si="148"/>
        <v>-8242.6900000000023</v>
      </c>
      <c r="AO414" s="292">
        <f t="shared" si="149"/>
        <v>-0.45120526643077358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ref="A415" si="158">+U415&amp;V415</f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133</v>
      </c>
      <c r="X415" s="281"/>
      <c r="Y415" s="285">
        <f t="shared" si="151"/>
        <v>164.79741602067182</v>
      </c>
      <c r="Z415" s="278">
        <f>+SUM(START:END!Z415)</f>
        <v>21258.866666666665</v>
      </c>
      <c r="AA415" s="281"/>
      <c r="AB415" s="285">
        <f t="shared" si="152"/>
        <v>0</v>
      </c>
      <c r="AC415" s="278">
        <f>+SUM(START:END!AC415)</f>
        <v>0</v>
      </c>
      <c r="AD415" s="286"/>
      <c r="AE415" s="285">
        <f t="shared" si="153"/>
        <v>176.37314685314686</v>
      </c>
      <c r="AF415" s="278">
        <f>+SUM(START:END!AF415)</f>
        <v>25221.360000000001</v>
      </c>
      <c r="AG415" s="279">
        <f t="shared" si="143"/>
        <v>11.575730832475045</v>
      </c>
      <c r="AH415" s="280">
        <f t="shared" si="144"/>
        <v>3962.4933333333356</v>
      </c>
      <c r="AI415" s="281">
        <f t="shared" si="145"/>
        <v>0.18639250132493748</v>
      </c>
      <c r="AJ415" s="286"/>
      <c r="AK415" s="280">
        <f t="shared" si="154"/>
        <v>533.86844444444444</v>
      </c>
      <c r="AL415" s="278">
        <f t="shared" si="146"/>
        <v>48048.160000000003</v>
      </c>
      <c r="AM415" s="282">
        <f t="shared" si="147"/>
        <v>11.575730832475045</v>
      </c>
      <c r="AN415" s="280">
        <f t="shared" si="148"/>
        <v>-22826.800000000003</v>
      </c>
      <c r="AO415" s="287">
        <f t="shared" si="149"/>
        <v>-0.47508166805971347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ref="A416" si="159">+U416&amp;V416</f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134</v>
      </c>
      <c r="X416" s="277"/>
      <c r="Y416" s="285">
        <f t="shared" si="151"/>
        <v>696.07003897754294</v>
      </c>
      <c r="Z416" s="278">
        <f>+SUM(START:END!Z416)</f>
        <v>89793.035028103041</v>
      </c>
      <c r="AA416" s="277"/>
      <c r="AB416" s="285">
        <f t="shared" si="152"/>
        <v>0</v>
      </c>
      <c r="AC416" s="278">
        <f>+SUM(START:END!AC416)</f>
        <v>0</v>
      </c>
      <c r="AD416" s="286"/>
      <c r="AE416" s="285">
        <f t="shared" si="153"/>
        <v>641.58776223776226</v>
      </c>
      <c r="AF416" s="278">
        <f>+SUM(START:END!AF416)</f>
        <v>91747.05</v>
      </c>
      <c r="AG416" s="279">
        <f t="shared" si="143"/>
        <v>-54.482276739780673</v>
      </c>
      <c r="AH416" s="280">
        <f t="shared" si="144"/>
        <v>1954.0149718969624</v>
      </c>
      <c r="AI416" s="281">
        <f t="shared" si="145"/>
        <v>2.1761320032064883E-2</v>
      </c>
      <c r="AJ416" s="286"/>
      <c r="AK416" s="280">
        <f t="shared" si="154"/>
        <v>855.48066666666659</v>
      </c>
      <c r="AL416" s="278">
        <f t="shared" si="146"/>
        <v>76993.259999999995</v>
      </c>
      <c r="AM416" s="282">
        <f>AE416-Y416</f>
        <v>-54.482276739780673</v>
      </c>
      <c r="AN416" s="280">
        <f>AF416-AL416</f>
        <v>14753.790000000008</v>
      </c>
      <c r="AO416" s="292">
        <f t="shared" si="149"/>
        <v>0.19162443569735857</v>
      </c>
      <c r="AP416" s="244"/>
      <c r="AQ416" s="470"/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ref="A417" si="160">+U417&amp;V417</f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>Z417/(D$13+D$97)</f>
        <v>0</v>
      </c>
      <c r="Z417" s="278">
        <f>+SUM(START:END!Z417)</f>
        <v>0</v>
      </c>
      <c r="AA417" s="277"/>
      <c r="AB417" s="285">
        <f>IF(AC417=0,0,AC417/(G$13+G$97))</f>
        <v>0</v>
      </c>
      <c r="AC417" s="278">
        <f>+SUM(START:END!AC417)</f>
        <v>0</v>
      </c>
      <c r="AD417" s="286"/>
      <c r="AE417" s="285">
        <f>IF(AF417=0,0,AF417/(J$13+J$97))</f>
        <v>0</v>
      </c>
      <c r="AF417" s="278">
        <f>+SUM(START:END!AF417)</f>
        <v>0</v>
      </c>
      <c r="AG417" s="279">
        <f t="shared" si="143"/>
        <v>0</v>
      </c>
      <c r="AH417" s="280">
        <f t="shared" si="144"/>
        <v>0</v>
      </c>
      <c r="AI417" s="281">
        <f t="shared" si="145"/>
        <v>0</v>
      </c>
      <c r="AJ417" s="286"/>
      <c r="AK417" s="280">
        <f>AL417/(O$13+O$97)</f>
        <v>0</v>
      </c>
      <c r="AL417" s="278"/>
      <c r="AM417" s="282">
        <f>AE417-Y417</f>
        <v>0</v>
      </c>
      <c r="AN417" s="280">
        <f>AF417-AL417</f>
        <v>0</v>
      </c>
      <c r="AO417" s="287">
        <f t="shared" si="149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ref="A418" si="161">+U418&amp;V418</f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>Z418/(D$13+D$97)</f>
        <v>0</v>
      </c>
      <c r="Z418" s="278">
        <f>+SUM(START:END!Z418)</f>
        <v>0</v>
      </c>
      <c r="AA418" s="277"/>
      <c r="AB418" s="285">
        <f>IF(AC418=0,0,AC418/(G$13+G$97))</f>
        <v>0</v>
      </c>
      <c r="AC418" s="278">
        <f>+SUM(START:END!AC418)</f>
        <v>0</v>
      </c>
      <c r="AD418" s="286"/>
      <c r="AE418" s="285">
        <f>IF(AF418=0,0,AF418/(J$13+J$97))</f>
        <v>0</v>
      </c>
      <c r="AF418" s="278">
        <f>+SUM(START:END!AF418)</f>
        <v>0</v>
      </c>
      <c r="AG418" s="279">
        <f t="shared" si="143"/>
        <v>0</v>
      </c>
      <c r="AH418" s="280">
        <f t="shared" si="144"/>
        <v>0</v>
      </c>
      <c r="AI418" s="281">
        <f t="shared" si="145"/>
        <v>0</v>
      </c>
      <c r="AJ418" s="286"/>
      <c r="AK418" s="280">
        <f>AL418/(O$13+O$97)</f>
        <v>0</v>
      </c>
      <c r="AL418" s="278"/>
      <c r="AM418" s="282">
        <f>AE418-Y418</f>
        <v>0</v>
      </c>
      <c r="AN418" s="280">
        <f>AF418-AL418</f>
        <v>0</v>
      </c>
      <c r="AO418" s="287">
        <f t="shared" si="149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ref="A419" si="162">+U419&amp;V419</f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/>
      <c r="X419" s="277"/>
      <c r="Y419" s="285">
        <f>Z419/(D$13+D$97)</f>
        <v>0</v>
      </c>
      <c r="Z419" s="278">
        <f>+SUM(START:END!Z419)</f>
        <v>0</v>
      </c>
      <c r="AA419" s="277"/>
      <c r="AB419" s="285">
        <f>IF(AC419=0,0,AC419/(G$13+G$97))</f>
        <v>0</v>
      </c>
      <c r="AC419" s="278">
        <f>+SUM(START:END!AC419)</f>
        <v>0</v>
      </c>
      <c r="AD419" s="286"/>
      <c r="AE419" s="285">
        <f>IF(AF419=0,0,AF419/(J$13+J$97))</f>
        <v>0</v>
      </c>
      <c r="AF419" s="278">
        <f>+SUM(START:END!AF419)</f>
        <v>0</v>
      </c>
      <c r="AG419" s="279">
        <f t="shared" si="143"/>
        <v>0</v>
      </c>
      <c r="AH419" s="280">
        <f t="shared" si="144"/>
        <v>0</v>
      </c>
      <c r="AI419" s="281">
        <f t="shared" si="145"/>
        <v>0</v>
      </c>
      <c r="AJ419" s="286"/>
      <c r="AK419" s="280">
        <f>AL419/(O$13+O$97)</f>
        <v>0</v>
      </c>
      <c r="AL419" s="278"/>
      <c r="AM419" s="282">
        <f>AE419-Y419</f>
        <v>0</v>
      </c>
      <c r="AN419" s="280">
        <f>AF419-AL419</f>
        <v>0</v>
      </c>
      <c r="AO419" s="287">
        <f t="shared" si="149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ref="A420" si="163">+U420&amp;V420</f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0.23102385956848656</v>
      </c>
      <c r="Y420" s="295"/>
      <c r="Z420" s="297">
        <f>SUM(Z410:Z419)</f>
        <v>333229.01370440691</v>
      </c>
      <c r="AA420" s="296" t="e">
        <f>AC420/AC408</f>
        <v>#DIV/0!</v>
      </c>
      <c r="AB420" s="295"/>
      <c r="AC420" s="297">
        <f>SUM(AC410:AC419)</f>
        <v>0</v>
      </c>
      <c r="AD420" s="298">
        <f>AF420/AF408</f>
        <v>0.23972923482743116</v>
      </c>
      <c r="AE420" s="295"/>
      <c r="AF420" s="297">
        <f>SUM(AF410:AF419)</f>
        <v>341437.11</v>
      </c>
      <c r="AG420" s="299"/>
      <c r="AH420" s="300">
        <f t="shared" si="144"/>
        <v>8208.0962955930736</v>
      </c>
      <c r="AI420" s="296">
        <f>AH420/Z420</f>
        <v>2.4631997689355232E-2</v>
      </c>
      <c r="AJ420" s="298">
        <f>IF($AL$407=0,0,AL420/$AL$407)</f>
        <v>2.8705051993871456E-2</v>
      </c>
      <c r="AK420" s="295"/>
      <c r="AL420" s="297">
        <f>SUM(AL410:AL419)</f>
        <v>285123.90000000002</v>
      </c>
      <c r="AM420" s="301"/>
      <c r="AN420" s="300">
        <f t="shared" ref="AN420:AN432" si="164">AF420-AL420</f>
        <v>56313.209999999963</v>
      </c>
      <c r="AO420" s="275">
        <f t="shared" si="149"/>
        <v>0.19750434810971637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ref="A421" si="165">+U421&amp;V421</f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136</v>
      </c>
      <c r="X421" s="277"/>
      <c r="Y421" s="277"/>
      <c r="Z421" s="278">
        <f>+SUM(START:END!Z421)</f>
        <v>50752.873563218396</v>
      </c>
      <c r="AA421" s="277"/>
      <c r="AB421" s="277">
        <f t="shared" ref="AB421:AB431" si="166">IF(AC421=0,0,AC421/(G$13+G$97))</f>
        <v>0</v>
      </c>
      <c r="AC421" s="278">
        <f>+SUM(START:END!AC421)</f>
        <v>0</v>
      </c>
      <c r="AD421" s="286"/>
      <c r="AE421" s="285"/>
      <c r="AF421" s="278">
        <f>+SUM(START:END!AF421)</f>
        <v>42542.369999999995</v>
      </c>
      <c r="AG421" s="279"/>
      <c r="AH421" s="280">
        <f t="shared" si="144"/>
        <v>-8210.5035632184008</v>
      </c>
      <c r="AI421" s="281">
        <f t="shared" ref="AI421:AI433" si="167">IF(Z421=0,0,AH421/Z421)</f>
        <v>-0.16177416147661663</v>
      </c>
      <c r="AJ421" s="286"/>
      <c r="AK421" s="277"/>
      <c r="AL421" s="278">
        <f>+SUM(START:END!AL421)</f>
        <v>40989.910000000003</v>
      </c>
      <c r="AM421" s="282"/>
      <c r="AN421" s="280">
        <f t="shared" si="164"/>
        <v>1552.4599999999919</v>
      </c>
      <c r="AO421" s="287">
        <f t="shared" si="149"/>
        <v>3.7874198796728063E-2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ref="A422" si="168">+U422&amp;V422</f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137</v>
      </c>
      <c r="X422" s="277"/>
      <c r="Y422" s="277"/>
      <c r="Z422" s="278">
        <f>+SUM(START:END!Z422)</f>
        <v>102896.63151466113</v>
      </c>
      <c r="AA422" s="277"/>
      <c r="AB422" s="277">
        <f t="shared" si="166"/>
        <v>0</v>
      </c>
      <c r="AC422" s="278">
        <f>+SUM(START:END!AC422)</f>
        <v>0</v>
      </c>
      <c r="AD422" s="286"/>
      <c r="AE422" s="285"/>
      <c r="AF422" s="278">
        <f>+SUM(START:END!AF422)</f>
        <v>78945.36</v>
      </c>
      <c r="AG422" s="279"/>
      <c r="AH422" s="280">
        <f t="shared" si="144"/>
        <v>-23951.27151466113</v>
      </c>
      <c r="AI422" s="281">
        <f t="shared" si="167"/>
        <v>-0.23277021960868033</v>
      </c>
      <c r="AJ422" s="286"/>
      <c r="AK422" s="277"/>
      <c r="AL422" s="278">
        <f>+SUMIF($C:$C,$V422,Q:Q)</f>
        <v>92498.12</v>
      </c>
      <c r="AM422" s="282"/>
      <c r="AN422" s="280">
        <f t="shared" si="164"/>
        <v>-13552.759999999995</v>
      </c>
      <c r="AO422" s="287">
        <f t="shared" si="149"/>
        <v>-0.14651930223014256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ref="A423" si="169">+U423&amp;V423</f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>+SUM(START:END!Z423)</f>
        <v>44445.565798471318</v>
      </c>
      <c r="AA423" s="261"/>
      <c r="AB423" s="261">
        <f t="shared" si="166"/>
        <v>0</v>
      </c>
      <c r="AC423" s="262">
        <f>+SUM(START:END!AC423)</f>
        <v>0</v>
      </c>
      <c r="AD423" s="290"/>
      <c r="AE423" s="289"/>
      <c r="AF423" s="262">
        <f>+SUM(START:END!AF423)</f>
        <v>25292.829999999998</v>
      </c>
      <c r="AG423" s="263"/>
      <c r="AH423" s="264">
        <f t="shared" si="144"/>
        <v>-19152.73579847132</v>
      </c>
      <c r="AI423" s="291">
        <f t="shared" si="167"/>
        <v>-0.43092568300998135</v>
      </c>
      <c r="AJ423" s="290"/>
      <c r="AK423" s="261"/>
      <c r="AL423" s="262">
        <f>+SUMIF($C:$C,$V423,Q:Q)</f>
        <v>59068.91</v>
      </c>
      <c r="AM423" s="266"/>
      <c r="AN423" s="264">
        <f t="shared" si="164"/>
        <v>-33776.080000000002</v>
      </c>
      <c r="AO423" s="267">
        <f t="shared" si="149"/>
        <v>-0.57180807974956704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ref="A424" si="170">+U424&amp;V424</f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>+SUM(START:END!Z424)</f>
        <v>99700.385639016313</v>
      </c>
      <c r="AA424" s="277"/>
      <c r="AB424" s="277">
        <f t="shared" si="166"/>
        <v>0</v>
      </c>
      <c r="AC424" s="278">
        <f>+SUM(START:END!AC424)</f>
        <v>0</v>
      </c>
      <c r="AD424" s="286"/>
      <c r="AE424" s="285"/>
      <c r="AF424" s="278">
        <f>+SUM(START:END!AF424)</f>
        <v>79288.01999999999</v>
      </c>
      <c r="AG424" s="279"/>
      <c r="AH424" s="280">
        <f t="shared" si="144"/>
        <v>-20412.365639016323</v>
      </c>
      <c r="AI424" s="281">
        <f t="shared" si="167"/>
        <v>-0.20473707807834435</v>
      </c>
      <c r="AJ424" s="286"/>
      <c r="AK424" s="277"/>
      <c r="AL424" s="278">
        <f>+SUMIF($C:$C,$V424,Q:Q)</f>
        <v>64775.62</v>
      </c>
      <c r="AM424" s="282"/>
      <c r="AN424" s="280">
        <f t="shared" si="164"/>
        <v>14512.399999999987</v>
      </c>
      <c r="AO424" s="287">
        <f t="shared" si="149"/>
        <v>0.22404108212318133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ref="A425" si="171">+U425&amp;V425</f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140</v>
      </c>
      <c r="X425" s="277"/>
      <c r="Y425" s="277"/>
      <c r="Z425" s="278">
        <f>+SUM(START:END!Z425)</f>
        <v>46027.45977011494</v>
      </c>
      <c r="AA425" s="277"/>
      <c r="AB425" s="277">
        <f t="shared" si="166"/>
        <v>0</v>
      </c>
      <c r="AC425" s="278">
        <f>+SUM(START:END!AC425)</f>
        <v>0</v>
      </c>
      <c r="AD425" s="286"/>
      <c r="AE425" s="285"/>
      <c r="AF425" s="278">
        <f>+SUM(START:END!AF425)</f>
        <v>29849.309999999998</v>
      </c>
      <c r="AG425" s="279"/>
      <c r="AH425" s="280">
        <f t="shared" si="144"/>
        <v>-16178.149770114942</v>
      </c>
      <c r="AI425" s="281">
        <f t="shared" si="167"/>
        <v>-0.35148908610027646</v>
      </c>
      <c r="AJ425" s="286"/>
      <c r="AK425" s="277"/>
      <c r="AL425" s="278">
        <f>+SUMIF($C:$C,$V425,Q:Q)</f>
        <v>42786.59</v>
      </c>
      <c r="AM425" s="282"/>
      <c r="AN425" s="280">
        <f t="shared" si="164"/>
        <v>-12937.279999999999</v>
      </c>
      <c r="AO425" s="287">
        <f t="shared" si="149"/>
        <v>-0.30236763434524694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ref="A426" si="172">+U426&amp;V426</f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>+SUM(START:END!Z426)</f>
        <v>0</v>
      </c>
      <c r="AA426" s="277"/>
      <c r="AB426" s="277">
        <f t="shared" si="166"/>
        <v>0</v>
      </c>
      <c r="AC426" s="280">
        <f>+SUM(START:END!AC426)</f>
        <v>0</v>
      </c>
      <c r="AD426" s="286"/>
      <c r="AE426" s="285"/>
      <c r="AF426" s="278">
        <f>+SUM(START:END!AF426)</f>
        <v>0</v>
      </c>
      <c r="AG426" s="279"/>
      <c r="AH426" s="280">
        <f t="shared" si="144"/>
        <v>0</v>
      </c>
      <c r="AI426" s="281">
        <f t="shared" si="167"/>
        <v>0</v>
      </c>
      <c r="AJ426" s="286"/>
      <c r="AK426" s="277"/>
      <c r="AL426" s="278"/>
      <c r="AM426" s="282"/>
      <c r="AN426" s="280">
        <f t="shared" si="164"/>
        <v>0</v>
      </c>
      <c r="AO426" s="287">
        <f t="shared" si="149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ref="A427" si="173">+U427&amp;V427</f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>+SUM(START:END!Z427)</f>
        <v>0</v>
      </c>
      <c r="AA427" s="277"/>
      <c r="AB427" s="277">
        <f t="shared" si="166"/>
        <v>0</v>
      </c>
      <c r="AC427" s="280">
        <f>+SUM(START:END!AC427)</f>
        <v>0</v>
      </c>
      <c r="AD427" s="286"/>
      <c r="AE427" s="285"/>
      <c r="AF427" s="278">
        <f>+SUM(START:END!AF427)</f>
        <v>0</v>
      </c>
      <c r="AG427" s="279"/>
      <c r="AH427" s="280">
        <f t="shared" si="144"/>
        <v>0</v>
      </c>
      <c r="AI427" s="281">
        <f t="shared" si="167"/>
        <v>0</v>
      </c>
      <c r="AJ427" s="286"/>
      <c r="AK427" s="277"/>
      <c r="AL427" s="278"/>
      <c r="AM427" s="282"/>
      <c r="AN427" s="280">
        <f t="shared" si="164"/>
        <v>0</v>
      </c>
      <c r="AO427" s="287">
        <f t="shared" si="149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ref="A428" si="174">+U428&amp;V428</f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>+SUM(START:END!Z428)</f>
        <v>0</v>
      </c>
      <c r="AA428" s="277"/>
      <c r="AB428" s="277">
        <f t="shared" si="166"/>
        <v>0</v>
      </c>
      <c r="AC428" s="280">
        <f>+SUM(START:END!AC428)</f>
        <v>0</v>
      </c>
      <c r="AD428" s="286"/>
      <c r="AE428" s="285"/>
      <c r="AF428" s="278">
        <f>+SUM(START:END!AF428)</f>
        <v>0</v>
      </c>
      <c r="AG428" s="279"/>
      <c r="AH428" s="280">
        <f t="shared" si="144"/>
        <v>0</v>
      </c>
      <c r="AI428" s="281">
        <f t="shared" si="167"/>
        <v>0</v>
      </c>
      <c r="AJ428" s="286"/>
      <c r="AK428" s="277"/>
      <c r="AL428" s="278"/>
      <c r="AM428" s="282"/>
      <c r="AN428" s="280">
        <f t="shared" si="164"/>
        <v>0</v>
      </c>
      <c r="AO428" s="287">
        <f t="shared" si="149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ref="A429" si="175">+U429&amp;V429</f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>+SUM(START:END!Z429)</f>
        <v>85783.077656293259</v>
      </c>
      <c r="AA429" s="261"/>
      <c r="AB429" s="261">
        <f t="shared" si="166"/>
        <v>0</v>
      </c>
      <c r="AC429" s="262">
        <f>+SUM(START:END!AC429)</f>
        <v>0</v>
      </c>
      <c r="AD429" s="290"/>
      <c r="AE429" s="289"/>
      <c r="AF429" s="262">
        <f>+SUM(START:END!AF429)</f>
        <v>64440.569999999992</v>
      </c>
      <c r="AG429" s="263"/>
      <c r="AH429" s="264">
        <f t="shared" si="144"/>
        <v>-21342.507656293266</v>
      </c>
      <c r="AI429" s="291">
        <f t="shared" si="167"/>
        <v>-0.24879624559293867</v>
      </c>
      <c r="AJ429" s="290"/>
      <c r="AK429" s="261"/>
      <c r="AL429" s="262">
        <f>+SUMIF($C:$C,$V429,Q:Q)</f>
        <v>76964.08</v>
      </c>
      <c r="AM429" s="266"/>
      <c r="AN429" s="264">
        <f t="shared" si="164"/>
        <v>-12523.510000000009</v>
      </c>
      <c r="AO429" s="292">
        <f t="shared" si="149"/>
        <v>-0.16271889432057149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ref="A430" si="176">+U430&amp;V430</f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>+SUM(START:END!Z430)</f>
        <v>87560.173256040449</v>
      </c>
      <c r="AA430" s="277"/>
      <c r="AB430" s="277">
        <f t="shared" si="166"/>
        <v>0</v>
      </c>
      <c r="AC430" s="278">
        <f>+SUM(START:END!AC430)</f>
        <v>0</v>
      </c>
      <c r="AD430" s="286"/>
      <c r="AE430" s="285"/>
      <c r="AF430" s="278">
        <f>+SUM(START:END!AF430)</f>
        <v>74830.87</v>
      </c>
      <c r="AG430" s="279"/>
      <c r="AH430" s="280">
        <f t="shared" si="144"/>
        <v>-12729.303256040454</v>
      </c>
      <c r="AI430" s="281">
        <f t="shared" si="167"/>
        <v>-0.14537777602172922</v>
      </c>
      <c r="AJ430" s="286"/>
      <c r="AK430" s="277"/>
      <c r="AL430" s="278">
        <f>+SUMIF($C:$C,$V430,Q:Q)</f>
        <v>83524.350000000006</v>
      </c>
      <c r="AM430" s="282"/>
      <c r="AN430" s="280">
        <f t="shared" si="164"/>
        <v>-8693.4800000000105</v>
      </c>
      <c r="AO430" s="287">
        <f t="shared" si="149"/>
        <v>-0.10408318053358104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ref="A431" si="177">+U431&amp;V431</f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143</v>
      </c>
      <c r="X431" s="277"/>
      <c r="Y431" s="277"/>
      <c r="Z431" s="278">
        <f>+SUM(START:END!Z431)</f>
        <v>64631.344871115478</v>
      </c>
      <c r="AA431" s="277"/>
      <c r="AB431" s="277">
        <f t="shared" si="166"/>
        <v>0</v>
      </c>
      <c r="AC431" s="278">
        <f>+SUM(START:END!AC431)</f>
        <v>0</v>
      </c>
      <c r="AD431" s="286"/>
      <c r="AE431" s="285"/>
      <c r="AF431" s="278">
        <f>+SUM(START:END!AF431)</f>
        <v>39783.370000000003</v>
      </c>
      <c r="AG431" s="279"/>
      <c r="AH431" s="280">
        <f t="shared" si="144"/>
        <v>-24847.974871115475</v>
      </c>
      <c r="AI431" s="281">
        <f t="shared" si="167"/>
        <v>-0.3844570296450745</v>
      </c>
      <c r="AJ431" s="286"/>
      <c r="AK431" s="277"/>
      <c r="AL431" s="278">
        <f>+SUMIF($C:$C,$V431,Q:Q)</f>
        <v>48151.680000000008</v>
      </c>
      <c r="AM431" s="282"/>
      <c r="AN431" s="280">
        <f t="shared" si="164"/>
        <v>-8368.3100000000049</v>
      </c>
      <c r="AO431" s="287">
        <f t="shared" si="149"/>
        <v>-0.17379061332854853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ref="A432" si="178">+U432&amp;V432</f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/>
      <c r="X432" s="277"/>
      <c r="Y432" s="277"/>
      <c r="Z432" s="278">
        <f>+SUM(START:END!Z432)</f>
        <v>17396.975148230424</v>
      </c>
      <c r="AA432" s="277"/>
      <c r="AB432" s="277">
        <f>IF(AC432=0,0,AC432/(G$13+G$97))</f>
        <v>0</v>
      </c>
      <c r="AC432" s="278">
        <f>+SUM(START:END!AC432)</f>
        <v>0</v>
      </c>
      <c r="AD432" s="286"/>
      <c r="AE432" s="285"/>
      <c r="AF432" s="278">
        <f>+SUM(START:END!AF432)</f>
        <v>10675.54</v>
      </c>
      <c r="AG432" s="279"/>
      <c r="AH432" s="280">
        <f t="shared" si="144"/>
        <v>-6721.4351482304228</v>
      </c>
      <c r="AI432" s="304">
        <f t="shared" si="167"/>
        <v>-0.38635654135047209</v>
      </c>
      <c r="AJ432" s="286"/>
      <c r="AK432" s="277"/>
      <c r="AL432" s="278">
        <f>+SUMIF($C:$C,$V432,Q:Q)</f>
        <v>13161.420000000002</v>
      </c>
      <c r="AM432" s="282"/>
      <c r="AN432" s="280">
        <f t="shared" si="164"/>
        <v>-2485.880000000001</v>
      </c>
      <c r="AO432" s="292">
        <f t="shared" si="149"/>
        <v>-0.1888762762680623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ref="A433" si="179">+U433&amp;V433</f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+SUM(START:END!Z433)</f>
        <v>0</v>
      </c>
      <c r="AA433" s="277"/>
      <c r="AB433" s="277">
        <f>IF(AC433=0,0,AC433/(G$13+G$97))</f>
        <v>0</v>
      </c>
      <c r="AC433" s="280">
        <f>+SUM(START:END!AC433)</f>
        <v>0</v>
      </c>
      <c r="AD433" s="286"/>
      <c r="AE433" s="285"/>
      <c r="AF433" s="278">
        <f>+SUM(START:END!AF433)</f>
        <v>0</v>
      </c>
      <c r="AG433" s="279"/>
      <c r="AH433" s="280">
        <f t="shared" si="144"/>
        <v>0</v>
      </c>
      <c r="AI433" s="281">
        <f t="shared" si="167"/>
        <v>0</v>
      </c>
      <c r="AJ433" s="286"/>
      <c r="AK433" s="277">
        <f>AL433/(O$13+O$97)</f>
        <v>0</v>
      </c>
      <c r="AL433" s="278"/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ref="A434" si="180">+U434&amp;V434</f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0.41541467692204792</v>
      </c>
      <c r="Y434" s="295"/>
      <c r="Z434" s="297">
        <f>SUM(Z421:Z433)</f>
        <v>599194.48721716169</v>
      </c>
      <c r="AA434" s="296" t="e">
        <f>AC434/AC408</f>
        <v>#DIV/0!</v>
      </c>
      <c r="AB434" s="295"/>
      <c r="AC434" s="297">
        <f>SUM(AC421:AC433)</f>
        <v>0</v>
      </c>
      <c r="AD434" s="298">
        <f>AF434/AF408</f>
        <v>0.31289777369950028</v>
      </c>
      <c r="AE434" s="305"/>
      <c r="AF434" s="297">
        <f>SUM(AF421:AF433)</f>
        <v>445648.23999999993</v>
      </c>
      <c r="AG434" s="306"/>
      <c r="AH434" s="300">
        <f t="shared" si="144"/>
        <v>-153546.24721716176</v>
      </c>
      <c r="AI434" s="296">
        <f>AH434/Z434</f>
        <v>-0.25625443907248951</v>
      </c>
      <c r="AJ434" s="298">
        <f>IF($AL$407=0,0,AL434/$AL$407)</f>
        <v>5.2544736712975472E-2</v>
      </c>
      <c r="AK434" s="295"/>
      <c r="AL434" s="297">
        <f>SUM(AL421:AL433)</f>
        <v>521920.68000000005</v>
      </c>
      <c r="AM434" s="307"/>
      <c r="AN434" s="300">
        <f t="shared" ref="AN434:AN440" si="181">AF434-AL434</f>
        <v>-76272.440000000119</v>
      </c>
      <c r="AO434" s="275">
        <f>IF(AL434=0,0,AN434/AL434)</f>
        <v>-0.14613799169636296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ref="A435" si="182">+U435&amp;V435</f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133</v>
      </c>
      <c r="X435" s="310"/>
      <c r="Y435" s="310"/>
      <c r="Z435" s="311">
        <f>+SUM(START:END!Z435)</f>
        <v>8088.7018620001481</v>
      </c>
      <c r="AA435" s="310"/>
      <c r="AB435" s="310">
        <f t="shared" ref="AB435:AB452" si="183">IF(AC435=0,0,AC435/(G$13+G$97))</f>
        <v>0</v>
      </c>
      <c r="AC435" s="311">
        <f>+SUM(START:END!AC435)</f>
        <v>0</v>
      </c>
      <c r="AD435" s="312"/>
      <c r="AE435" s="313"/>
      <c r="AF435" s="311">
        <f>+SUM(START:END!AF435)</f>
        <v>6198.18</v>
      </c>
      <c r="AG435" s="312"/>
      <c r="AH435" s="314">
        <f t="shared" si="144"/>
        <v>-1890.5218620001478</v>
      </c>
      <c r="AI435" s="315">
        <f t="shared" ref="AI435:AI452" si="184">IF(Z435=0,0,AH435/Z435)</f>
        <v>-0.23372376609423773</v>
      </c>
      <c r="AJ435" s="312"/>
      <c r="AK435" s="310"/>
      <c r="AL435" s="311">
        <f t="shared" ref="AL435:AL448" si="185">+SUMIF($C:$C,$V435,Q:Q)</f>
        <v>20517.650000000001</v>
      </c>
      <c r="AM435" s="316"/>
      <c r="AN435" s="314">
        <f t="shared" si="181"/>
        <v>-14319.470000000001</v>
      </c>
      <c r="AO435" s="283">
        <f t="shared" ref="AO435:AO440" si="186">IF(AL435=0,0,AN435/AL435)</f>
        <v>-0.69790984835007908</v>
      </c>
      <c r="AP435" s="244"/>
      <c r="AQ435" s="244"/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ref="A436" si="187">+U436&amp;V436</f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144</v>
      </c>
      <c r="X436" s="277"/>
      <c r="Y436" s="277"/>
      <c r="Z436" s="278">
        <f>+SUM(START:END!Z436)</f>
        <v>13125</v>
      </c>
      <c r="AA436" s="277"/>
      <c r="AB436" s="277">
        <f t="shared" si="183"/>
        <v>0</v>
      </c>
      <c r="AC436" s="278">
        <f>+SUM(START:END!AC436)</f>
        <v>0</v>
      </c>
      <c r="AD436" s="286"/>
      <c r="AE436" s="285"/>
      <c r="AF436" s="278">
        <f>+SUM(START:END!AF436)</f>
        <v>14956.51</v>
      </c>
      <c r="AG436" s="279"/>
      <c r="AH436" s="280">
        <f t="shared" si="144"/>
        <v>1831.5100000000002</v>
      </c>
      <c r="AI436" s="281">
        <f t="shared" si="184"/>
        <v>0.13954361904761906</v>
      </c>
      <c r="AJ436" s="286"/>
      <c r="AK436" s="277"/>
      <c r="AL436" s="278">
        <f t="shared" si="185"/>
        <v>11038.949999999999</v>
      </c>
      <c r="AM436" s="282"/>
      <c r="AN436" s="280">
        <f t="shared" si="181"/>
        <v>3917.5600000000013</v>
      </c>
      <c r="AO436" s="287">
        <f t="shared" si="186"/>
        <v>0.35488520194402562</v>
      </c>
      <c r="AP436" s="244"/>
      <c r="AQ436" s="244"/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ref="A437" si="188">+U437&amp;V437</f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145</v>
      </c>
      <c r="X437" s="261"/>
      <c r="Y437" s="261"/>
      <c r="Z437" s="262">
        <f>+SUM(START:END!Z437)</f>
        <v>45231</v>
      </c>
      <c r="AA437" s="261"/>
      <c r="AB437" s="261">
        <f t="shared" si="183"/>
        <v>0</v>
      </c>
      <c r="AC437" s="262">
        <f>+SUM(START:END!AC437)</f>
        <v>0</v>
      </c>
      <c r="AD437" s="290"/>
      <c r="AE437" s="289"/>
      <c r="AF437" s="262">
        <f>+SUM(START:END!AF437)</f>
        <v>37042.449999999997</v>
      </c>
      <c r="AG437" s="263"/>
      <c r="AH437" s="264">
        <f t="shared" si="144"/>
        <v>-8188.5500000000029</v>
      </c>
      <c r="AI437" s="291">
        <f t="shared" si="184"/>
        <v>-0.18103844708275305</v>
      </c>
      <c r="AJ437" s="290"/>
      <c r="AK437" s="261"/>
      <c r="AL437" s="262">
        <f t="shared" si="185"/>
        <v>62258.809999999983</v>
      </c>
      <c r="AM437" s="266"/>
      <c r="AN437" s="264">
        <f t="shared" si="181"/>
        <v>-25216.359999999986</v>
      </c>
      <c r="AO437" s="267">
        <f t="shared" si="186"/>
        <v>-0.40502476677597904</v>
      </c>
      <c r="AP437" s="244"/>
      <c r="AQ437" s="480"/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ref="A438" si="189">+U438&amp;V438</f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146</v>
      </c>
      <c r="X438" s="277"/>
      <c r="Y438" s="277"/>
      <c r="Z438" s="278">
        <f>+SUM(START:END!Z438)</f>
        <v>67703.260000000009</v>
      </c>
      <c r="AA438" s="277"/>
      <c r="AB438" s="277">
        <f t="shared" si="183"/>
        <v>0</v>
      </c>
      <c r="AC438" s="278">
        <f>+SUM(START:END!AC438)</f>
        <v>0</v>
      </c>
      <c r="AD438" s="286"/>
      <c r="AE438" s="285"/>
      <c r="AF438" s="278">
        <f>+SUM(START:END!AF438)</f>
        <v>67644.25</v>
      </c>
      <c r="AG438" s="279"/>
      <c r="AH438" s="280">
        <f>AF438-Z438</f>
        <v>-59.010000000009313</v>
      </c>
      <c r="AI438" s="281">
        <f t="shared" si="184"/>
        <v>-8.715976158313397E-4</v>
      </c>
      <c r="AJ438" s="286"/>
      <c r="AK438" s="277"/>
      <c r="AL438" s="278">
        <f t="shared" si="185"/>
        <v>42562.31</v>
      </c>
      <c r="AM438" s="282"/>
      <c r="AN438" s="280">
        <f t="shared" si="181"/>
        <v>25081.940000000002</v>
      </c>
      <c r="AO438" s="287">
        <f t="shared" si="186"/>
        <v>0.58929931199692887</v>
      </c>
      <c r="AP438" s="480"/>
      <c r="AQ438" s="244"/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ref="A439" si="190">+U439&amp;V439</f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147</v>
      </c>
      <c r="X439" s="277"/>
      <c r="Y439" s="277"/>
      <c r="Z439" s="278">
        <f>+SUM(START:END!Z439)</f>
        <v>12475</v>
      </c>
      <c r="AA439" s="277"/>
      <c r="AB439" s="277">
        <f t="shared" si="183"/>
        <v>0</v>
      </c>
      <c r="AC439" s="278">
        <f>+SUM(START:END!AC439)</f>
        <v>0</v>
      </c>
      <c r="AD439" s="286"/>
      <c r="AE439" s="285"/>
      <c r="AF439" s="278">
        <f>+SUM(START:END!AF439)</f>
        <v>22421.45</v>
      </c>
      <c r="AG439" s="279"/>
      <c r="AH439" s="280">
        <f t="shared" ref="AH439:AH452" si="191">AF439-Z439</f>
        <v>9946.4500000000007</v>
      </c>
      <c r="AI439" s="281">
        <f t="shared" si="184"/>
        <v>0.79731062124248497</v>
      </c>
      <c r="AJ439" s="286"/>
      <c r="AK439" s="277"/>
      <c r="AL439" s="278">
        <f t="shared" si="185"/>
        <v>3122.87</v>
      </c>
      <c r="AM439" s="282"/>
      <c r="AN439" s="280">
        <f t="shared" si="181"/>
        <v>19298.580000000002</v>
      </c>
      <c r="AO439" s="287">
        <f t="shared" si="186"/>
        <v>6.1797577228639051</v>
      </c>
      <c r="AP439" s="480"/>
      <c r="AQ439" s="244"/>
      <c r="AR439" s="244"/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ref="A440" si="192">+U440&amp;V440</f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148</v>
      </c>
      <c r="X440" s="277"/>
      <c r="Y440" s="277"/>
      <c r="Z440" s="278">
        <f>+SUM(START:END!Z440)</f>
        <v>27266.14</v>
      </c>
      <c r="AA440" s="277"/>
      <c r="AB440" s="277">
        <f t="shared" si="183"/>
        <v>0</v>
      </c>
      <c r="AC440" s="278">
        <f>+SUM(START:END!AC440)</f>
        <v>0</v>
      </c>
      <c r="AD440" s="286"/>
      <c r="AE440" s="285"/>
      <c r="AF440" s="278">
        <f>+SUM(START:END!AF440)</f>
        <v>61094.48</v>
      </c>
      <c r="AG440" s="279"/>
      <c r="AH440" s="280">
        <f t="shared" si="191"/>
        <v>33828.340000000004</v>
      </c>
      <c r="AI440" s="281">
        <f t="shared" si="184"/>
        <v>1.2406721303418822</v>
      </c>
      <c r="AJ440" s="286"/>
      <c r="AK440" s="277"/>
      <c r="AL440" s="278">
        <f t="shared" si="185"/>
        <v>24830.740000000005</v>
      </c>
      <c r="AM440" s="282"/>
      <c r="AN440" s="280">
        <f t="shared" si="181"/>
        <v>36263.74</v>
      </c>
      <c r="AO440" s="287">
        <f t="shared" si="186"/>
        <v>1.4604373450005916</v>
      </c>
      <c r="AP440" s="244"/>
      <c r="AQ440" s="480"/>
      <c r="AR440" s="480"/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>+SUM(START:END!Z441)</f>
        <v>0</v>
      </c>
      <c r="AA441" s="318"/>
      <c r="AB441" s="318">
        <f t="shared" si="183"/>
        <v>0</v>
      </c>
      <c r="AC441" s="319">
        <f>+SUM(START:END!AC441)</f>
        <v>0</v>
      </c>
      <c r="AD441" s="320"/>
      <c r="AE441" s="321"/>
      <c r="AF441" s="319">
        <f>+SUM(START:END!AF441)</f>
        <v>0</v>
      </c>
      <c r="AG441" s="322"/>
      <c r="AH441" s="323">
        <f t="shared" si="191"/>
        <v>0</v>
      </c>
      <c r="AI441" s="324">
        <f t="shared" si="184"/>
        <v>0</v>
      </c>
      <c r="AJ441" s="320"/>
      <c r="AK441" s="318"/>
      <c r="AL441" s="319">
        <f t="shared" si="185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ref="A442" si="193">+U442&amp;V442</f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>+SUM(START:END!Z442)</f>
        <v>10061.25</v>
      </c>
      <c r="AA442" s="277"/>
      <c r="AB442" s="285">
        <f t="shared" si="183"/>
        <v>0</v>
      </c>
      <c r="AC442" s="278">
        <f>+SUM(START:END!AC442)</f>
        <v>0</v>
      </c>
      <c r="AD442" s="286"/>
      <c r="AE442" s="285"/>
      <c r="AF442" s="278">
        <f>+SUM(START:END!AF442)</f>
        <v>7592.19</v>
      </c>
      <c r="AG442" s="279"/>
      <c r="AH442" s="280">
        <f t="shared" si="191"/>
        <v>-2469.0600000000004</v>
      </c>
      <c r="AI442" s="281">
        <f t="shared" si="184"/>
        <v>-0.24540290719344021</v>
      </c>
      <c r="AJ442" s="286"/>
      <c r="AK442" s="277"/>
      <c r="AL442" s="278">
        <f t="shared" si="185"/>
        <v>8325.1</v>
      </c>
      <c r="AM442" s="282"/>
      <c r="AN442" s="280">
        <f t="shared" ref="AN442:AN448" si="194">AF442-AL442</f>
        <v>-732.91000000000076</v>
      </c>
      <c r="AO442" s="287">
        <f t="shared" ref="AO442:AO448" si="195">IF(AL442=0,0,AN442/AL442)</f>
        <v>-8.8036179745588736E-2</v>
      </c>
      <c r="AP442" s="244"/>
      <c r="AQ442" s="244"/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ref="A443" si="196">+U443&amp;V443</f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150</v>
      </c>
      <c r="X443" s="277"/>
      <c r="Y443" s="277"/>
      <c r="Z443" s="278">
        <f>+SUM(START:END!Z443)</f>
        <v>4200</v>
      </c>
      <c r="AA443" s="277"/>
      <c r="AB443" s="277">
        <f t="shared" si="183"/>
        <v>0</v>
      </c>
      <c r="AC443" s="278">
        <f>+SUM(START:END!AC443)</f>
        <v>0</v>
      </c>
      <c r="AD443" s="286"/>
      <c r="AE443" s="285"/>
      <c r="AF443" s="278">
        <f>+SUM(START:END!AF443)</f>
        <v>2640.31</v>
      </c>
      <c r="AG443" s="279"/>
      <c r="AH443" s="280">
        <f t="shared" si="191"/>
        <v>-1559.69</v>
      </c>
      <c r="AI443" s="304">
        <f t="shared" si="184"/>
        <v>-0.37135476190476191</v>
      </c>
      <c r="AJ443" s="286"/>
      <c r="AK443" s="277"/>
      <c r="AL443" s="278">
        <f t="shared" si="185"/>
        <v>3043.52</v>
      </c>
      <c r="AM443" s="282"/>
      <c r="AN443" s="280">
        <f t="shared" si="194"/>
        <v>-403.21000000000004</v>
      </c>
      <c r="AO443" s="287">
        <f t="shared" si="195"/>
        <v>-0.13248146882557041</v>
      </c>
      <c r="AP443" s="244"/>
      <c r="AQ443" s="244"/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 t="shared" ref="A444" si="197"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>+SUM(START:END!Z444)</f>
        <v>4350</v>
      </c>
      <c r="AA444" s="277"/>
      <c r="AB444" s="277">
        <f t="shared" si="183"/>
        <v>0</v>
      </c>
      <c r="AC444" s="278">
        <f>+SUM(START:END!AC444)</f>
        <v>0</v>
      </c>
      <c r="AD444" s="286"/>
      <c r="AE444" s="285"/>
      <c r="AF444" s="278">
        <f>+SUM(START:END!AF444)</f>
        <v>4168.2299999999996</v>
      </c>
      <c r="AG444" s="279"/>
      <c r="AH444" s="280">
        <f t="shared" si="191"/>
        <v>-181.77000000000044</v>
      </c>
      <c r="AI444" s="281">
        <f t="shared" si="184"/>
        <v>-4.1786206896551825E-2</v>
      </c>
      <c r="AJ444" s="286"/>
      <c r="AK444" s="277"/>
      <c r="AL444" s="278">
        <f t="shared" si="185"/>
        <v>4939.67</v>
      </c>
      <c r="AM444" s="282"/>
      <c r="AN444" s="280">
        <f t="shared" si="194"/>
        <v>-771.44000000000051</v>
      </c>
      <c r="AO444" s="287">
        <f t="shared" si="195"/>
        <v>-0.15617237588745816</v>
      </c>
      <c r="AP444" s="244"/>
      <c r="AQ444" s="244"/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ref="A445" si="198">+U445&amp;V445</f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152</v>
      </c>
      <c r="X445" s="277"/>
      <c r="Y445" s="277"/>
      <c r="Z445" s="278">
        <f>+SUM(START:END!Z445)</f>
        <v>1347</v>
      </c>
      <c r="AA445" s="277"/>
      <c r="AB445" s="277">
        <f t="shared" si="183"/>
        <v>0</v>
      </c>
      <c r="AC445" s="278">
        <f>+SUM(START:END!AC445)</f>
        <v>0</v>
      </c>
      <c r="AD445" s="286"/>
      <c r="AE445" s="285"/>
      <c r="AF445" s="278">
        <f>+SUM(START:END!AF445)</f>
        <v>1513.7</v>
      </c>
      <c r="AG445" s="279"/>
      <c r="AH445" s="280">
        <f t="shared" si="191"/>
        <v>166.70000000000005</v>
      </c>
      <c r="AI445" s="304">
        <f t="shared" si="184"/>
        <v>0.1237564959168523</v>
      </c>
      <c r="AJ445" s="286"/>
      <c r="AK445" s="277"/>
      <c r="AL445" s="278">
        <f t="shared" si="185"/>
        <v>1415.61</v>
      </c>
      <c r="AM445" s="282"/>
      <c r="AN445" s="280">
        <f t="shared" si="194"/>
        <v>98.090000000000146</v>
      </c>
      <c r="AO445" s="287">
        <f t="shared" si="195"/>
        <v>6.929168344388649E-2</v>
      </c>
      <c r="AP445" s="244"/>
      <c r="AQ445" s="244"/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ref="A446" si="199">+U446&amp;V446</f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153</v>
      </c>
      <c r="X446" s="277"/>
      <c r="Y446" s="277"/>
      <c r="Z446" s="278">
        <f>+SUM(START:END!Z446)</f>
        <v>8475</v>
      </c>
      <c r="AA446" s="277"/>
      <c r="AB446" s="277">
        <f t="shared" si="183"/>
        <v>0</v>
      </c>
      <c r="AC446" s="278">
        <f>+SUM(START:END!AC446)</f>
        <v>0</v>
      </c>
      <c r="AD446" s="286"/>
      <c r="AE446" s="285"/>
      <c r="AF446" s="278">
        <f>+SUM(START:END!AF446)</f>
        <v>479.36999999999983</v>
      </c>
      <c r="AG446" s="279"/>
      <c r="AH446" s="280">
        <f t="shared" si="191"/>
        <v>-7995.63</v>
      </c>
      <c r="AI446" s="281">
        <f t="shared" si="184"/>
        <v>-0.94343716814159295</v>
      </c>
      <c r="AJ446" s="286"/>
      <c r="AK446" s="277"/>
      <c r="AL446" s="278">
        <f t="shared" si="185"/>
        <v>3786.8400000000006</v>
      </c>
      <c r="AM446" s="282"/>
      <c r="AN446" s="280">
        <f t="shared" si="194"/>
        <v>-3307.4700000000007</v>
      </c>
      <c r="AO446" s="287">
        <f t="shared" si="195"/>
        <v>-0.87341160439839027</v>
      </c>
      <c r="AP446" s="244"/>
      <c r="AQ446" s="244"/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ref="A447" si="200">+U447&amp;V447</f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154</v>
      </c>
      <c r="X447" s="277"/>
      <c r="Y447" s="285"/>
      <c r="Z447" s="278">
        <f>+SUM(START:END!Z447)</f>
        <v>4664.9999999999991</v>
      </c>
      <c r="AA447" s="277"/>
      <c r="AB447" s="285">
        <f t="shared" si="183"/>
        <v>0</v>
      </c>
      <c r="AC447" s="278">
        <f>+SUM(START:END!AC447)</f>
        <v>0</v>
      </c>
      <c r="AD447" s="286"/>
      <c r="AE447" s="285"/>
      <c r="AF447" s="278">
        <f>+SUM(START:END!AF447)</f>
        <v>3844.8100000000004</v>
      </c>
      <c r="AG447" s="279"/>
      <c r="AH447" s="280">
        <f t="shared" si="191"/>
        <v>-820.18999999999869</v>
      </c>
      <c r="AI447" s="304">
        <f t="shared" si="184"/>
        <v>-0.17581779206859569</v>
      </c>
      <c r="AJ447" s="286"/>
      <c r="AK447" s="277"/>
      <c r="AL447" s="278">
        <f t="shared" si="185"/>
        <v>8996.7999999999993</v>
      </c>
      <c r="AM447" s="282"/>
      <c r="AN447" s="280">
        <f t="shared" si="194"/>
        <v>-5151.9899999999989</v>
      </c>
      <c r="AO447" s="287">
        <f t="shared" si="195"/>
        <v>-0.57264694113462555</v>
      </c>
      <c r="AP447" s="244"/>
      <c r="AQ447" s="244"/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ref="A448" si="201">+U448&amp;V448</f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155</v>
      </c>
      <c r="X448" s="277"/>
      <c r="Y448" s="285"/>
      <c r="Z448" s="278">
        <f>+SUM(START:END!Z448)</f>
        <v>7111.9600000000009</v>
      </c>
      <c r="AA448" s="277"/>
      <c r="AB448" s="285">
        <f t="shared" si="183"/>
        <v>0</v>
      </c>
      <c r="AC448" s="278">
        <f>+SUM(START:END!AC448)</f>
        <v>0</v>
      </c>
      <c r="AD448" s="286"/>
      <c r="AE448" s="285"/>
      <c r="AF448" s="278">
        <f>+SUM(START:END!AF448)</f>
        <v>12254.3</v>
      </c>
      <c r="AG448" s="279"/>
      <c r="AH448" s="280">
        <f t="shared" si="191"/>
        <v>5142.3399999999983</v>
      </c>
      <c r="AI448" s="281">
        <f t="shared" si="184"/>
        <v>0.72305524777979591</v>
      </c>
      <c r="AJ448" s="286"/>
      <c r="AK448" s="277"/>
      <c r="AL448" s="278">
        <f t="shared" si="185"/>
        <v>5906.25</v>
      </c>
      <c r="AM448" s="282"/>
      <c r="AN448" s="280">
        <f t="shared" si="194"/>
        <v>6348.0499999999993</v>
      </c>
      <c r="AO448" s="287">
        <f t="shared" si="195"/>
        <v>1.0748021164021162</v>
      </c>
      <c r="AP448" s="244"/>
      <c r="AQ448" s="244"/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ref="A449" si="202">+U449&amp;V449</f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156</v>
      </c>
      <c r="X449" s="277"/>
      <c r="Y449" s="285"/>
      <c r="Z449" s="278">
        <f>+SUM(START:END!Z449)</f>
        <v>25672.172049883644</v>
      </c>
      <c r="AA449" s="277"/>
      <c r="AB449" s="285">
        <f t="shared" si="183"/>
        <v>0</v>
      </c>
      <c r="AC449" s="278">
        <f>+SUM(START:END!AC449)</f>
        <v>0</v>
      </c>
      <c r="AD449" s="286"/>
      <c r="AE449" s="285"/>
      <c r="AF449" s="278">
        <f>+SUM(START:END!AF449)</f>
        <v>22176.230000000003</v>
      </c>
      <c r="AG449" s="279"/>
      <c r="AH449" s="280">
        <f t="shared" si="191"/>
        <v>-3495.9420498836407</v>
      </c>
      <c r="AI449" s="281">
        <f t="shared" si="184"/>
        <v>-0.13617632520889425</v>
      </c>
      <c r="AJ449" s="286"/>
      <c r="AK449" s="277"/>
      <c r="AL449" s="278">
        <f>+SUM(START:END!AL449)</f>
        <v>16374.25</v>
      </c>
      <c r="AM449" s="282"/>
      <c r="AN449" s="280">
        <f>AF449-AL449</f>
        <v>5801.9800000000032</v>
      </c>
      <c r="AO449" s="287">
        <f>IF(AL449=0,0,AN449/AL449)</f>
        <v>0.35433561842527156</v>
      </c>
      <c r="AP449" s="244"/>
      <c r="AQ449" s="244"/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ref="A450" si="203">+U450&amp;V450</f>
        <v>Mitsubishi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201</v>
      </c>
      <c r="W450" s="284"/>
      <c r="X450" s="277"/>
      <c r="Y450" s="285"/>
      <c r="Z450" s="280">
        <f>+SUM(START:END!Z450)</f>
        <v>0</v>
      </c>
      <c r="AA450" s="277"/>
      <c r="AB450" s="277">
        <f t="shared" si="183"/>
        <v>0</v>
      </c>
      <c r="AC450" s="280">
        <f>+SUM(START:END!AC450)</f>
        <v>0</v>
      </c>
      <c r="AD450" s="286"/>
      <c r="AE450" s="285"/>
      <c r="AF450" s="278">
        <f>+SUM(START:END!AF450)</f>
        <v>0</v>
      </c>
      <c r="AG450" s="279"/>
      <c r="AH450" s="280">
        <f t="shared" si="191"/>
        <v>0</v>
      </c>
      <c r="AI450" s="281">
        <f t="shared" si="184"/>
        <v>0</v>
      </c>
      <c r="AJ450" s="286"/>
      <c r="AK450" s="277"/>
      <c r="AL450" s="278">
        <f>+SUMIF($C:$C,$V450,Q:Q)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ref="A451:A500" si="204">+U451&amp;V451</f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+SUM(START:END!Z451)</f>
        <v>0</v>
      </c>
      <c r="AA451" s="277"/>
      <c r="AB451" s="277">
        <f t="shared" si="183"/>
        <v>0</v>
      </c>
      <c r="AC451" s="280">
        <f>+SUM(START:END!AC451)</f>
        <v>0</v>
      </c>
      <c r="AD451" s="286"/>
      <c r="AE451" s="285"/>
      <c r="AF451" s="278">
        <f>+SUM(START:END!AF451)</f>
        <v>0</v>
      </c>
      <c r="AG451" s="279"/>
      <c r="AH451" s="280">
        <f t="shared" si="191"/>
        <v>0</v>
      </c>
      <c r="AI451" s="281">
        <f t="shared" si="184"/>
        <v>0</v>
      </c>
      <c r="AJ451" s="286"/>
      <c r="AK451" s="277"/>
      <c r="AL451" s="278"/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204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+SUM(START:END!Z452)</f>
        <v>0</v>
      </c>
      <c r="AA452" s="277"/>
      <c r="AB452" s="277">
        <f t="shared" si="183"/>
        <v>0</v>
      </c>
      <c r="AC452" s="280">
        <f>+SUM(START:END!AC452)</f>
        <v>0</v>
      </c>
      <c r="AD452" s="286"/>
      <c r="AE452" s="285"/>
      <c r="AF452" s="278">
        <f>+SUM(START:END!AF452)</f>
        <v>0</v>
      </c>
      <c r="AG452" s="279"/>
      <c r="AH452" s="280">
        <f t="shared" si="191"/>
        <v>0</v>
      </c>
      <c r="AI452" s="281">
        <f t="shared" si="184"/>
        <v>0</v>
      </c>
      <c r="AJ452" s="286"/>
      <c r="AK452" s="277"/>
      <c r="AL452" s="278"/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204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0.16623082429708047</v>
      </c>
      <c r="Y453" s="295"/>
      <c r="Z453" s="297">
        <f>+SUM(Z435:Z452)</f>
        <v>239771.48391188381</v>
      </c>
      <c r="AA453" s="296" t="e">
        <f>AC453/+AC408</f>
        <v>#DIV/0!</v>
      </c>
      <c r="AB453" s="295"/>
      <c r="AC453" s="297">
        <f>+SUM(START:END!AC452)</f>
        <v>0</v>
      </c>
      <c r="AD453" s="298">
        <f>AF453/AF408</f>
        <v>0.18537780275259291</v>
      </c>
      <c r="AE453" s="295"/>
      <c r="AF453" s="297">
        <f>+SUM(AF435:AF452)</f>
        <v>264026.46000000002</v>
      </c>
      <c r="AG453" s="306"/>
      <c r="AH453" s="300">
        <f>+SUM(AH435:AH452)</f>
        <v>24254.976088116207</v>
      </c>
      <c r="AI453" s="296">
        <f>AH453/Z453</f>
        <v>0.1011587186782809</v>
      </c>
      <c r="AJ453" s="298">
        <f>IF($AL$407=0,0,AL453/$AL$407)</f>
        <v>2.1858647432665631E-2</v>
      </c>
      <c r="AK453" s="296"/>
      <c r="AL453" s="297">
        <f>+SUM(AL435:AL452)</f>
        <v>217119.36999999994</v>
      </c>
      <c r="AM453" s="307"/>
      <c r="AN453" s="300">
        <f>+SUM(AN435:AN452)</f>
        <v>46907.090000000004</v>
      </c>
      <c r="AO453" s="329">
        <f>IF(AL453=0,0,AN453/AL453)</f>
        <v>0.21604286158346911</v>
      </c>
      <c r="AP453" s="244"/>
      <c r="AQ453" s="308"/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204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f>+SUM(START:END!Z454)</f>
        <v>150000</v>
      </c>
      <c r="AA454" s="277"/>
      <c r="AB454" s="285">
        <f t="shared" ref="AB454:AB463" si="205">IF(AC454=0,0,AC454/(G$13+G$97))</f>
        <v>0</v>
      </c>
      <c r="AC454" s="278">
        <f>+SUM(START:END!AC454)</f>
        <v>0</v>
      </c>
      <c r="AD454" s="286"/>
      <c r="AE454" s="285"/>
      <c r="AF454" s="278">
        <f>+SUM(START:END!AF454)</f>
        <v>150000</v>
      </c>
      <c r="AG454" s="279"/>
      <c r="AH454" s="280">
        <f t="shared" ref="AH454:AH462" si="206">AF454-Z454</f>
        <v>0</v>
      </c>
      <c r="AI454" s="281">
        <f t="shared" ref="AI454:AI462" si="207">IF(Z454=0,0,AH454/Z454)</f>
        <v>0</v>
      </c>
      <c r="AJ454" s="286"/>
      <c r="AK454" s="277"/>
      <c r="AL454" s="278">
        <f>+SUM(START:END!AL454)</f>
        <v>150000</v>
      </c>
      <c r="AM454" s="282"/>
      <c r="AN454" s="280">
        <f>AF454-AL454</f>
        <v>0</v>
      </c>
      <c r="AO454" s="287">
        <f t="shared" ref="AO454:AO462" si="208">IF(AL454=0,0,AN454/AL454)</f>
        <v>0</v>
      </c>
      <c r="AP454" s="244"/>
      <c r="AQ454" s="494"/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204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f>+SUM(START:END!Z455)</f>
        <v>19039.590000000004</v>
      </c>
      <c r="AA455" s="277"/>
      <c r="AB455" s="285">
        <f t="shared" si="205"/>
        <v>0</v>
      </c>
      <c r="AC455" s="278">
        <f>+SUM(START:END!AC455)</f>
        <v>0</v>
      </c>
      <c r="AD455" s="286"/>
      <c r="AE455" s="285"/>
      <c r="AF455" s="278">
        <f>+SUM(START:END!AF455)</f>
        <v>18404.940000000002</v>
      </c>
      <c r="AG455" s="279"/>
      <c r="AH455" s="280">
        <f t="shared" si="206"/>
        <v>-634.65000000000146</v>
      </c>
      <c r="AI455" s="281">
        <f t="shared" si="207"/>
        <v>-3.3333175766915218E-2</v>
      </c>
      <c r="AJ455" s="286"/>
      <c r="AK455" s="277"/>
      <c r="AL455" s="278">
        <f>+SUM(START:END!AL455)</f>
        <v>18500.389999999978</v>
      </c>
      <c r="AM455" s="282"/>
      <c r="AN455" s="280">
        <f t="shared" ref="AN455:AN462" si="209">AF455-AL455</f>
        <v>-95.449999999975262</v>
      </c>
      <c r="AO455" s="287">
        <f t="shared" si="208"/>
        <v>-5.1593506947678067E-3</v>
      </c>
      <c r="AP455" s="244"/>
      <c r="AQ455" s="494"/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204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f>+SUM(START:END!Z456)</f>
        <v>8159.8200000000015</v>
      </c>
      <c r="AA456" s="261"/>
      <c r="AB456" s="289">
        <f t="shared" si="205"/>
        <v>0</v>
      </c>
      <c r="AC456" s="262">
        <f>+SUM(START:END!AC456)</f>
        <v>0</v>
      </c>
      <c r="AD456" s="290"/>
      <c r="AE456" s="289"/>
      <c r="AF456" s="262">
        <f>+SUM(START:END!AF456)</f>
        <v>7887.83</v>
      </c>
      <c r="AG456" s="263"/>
      <c r="AH456" s="264">
        <f t="shared" si="206"/>
        <v>-271.9900000000016</v>
      </c>
      <c r="AI456" s="291">
        <f t="shared" si="207"/>
        <v>-3.3332843126441705E-2</v>
      </c>
      <c r="AJ456" s="290"/>
      <c r="AK456" s="261"/>
      <c r="AL456" s="262">
        <f>+SUM(START:END!AL456)</f>
        <v>7928.76</v>
      </c>
      <c r="AM456" s="266"/>
      <c r="AN456" s="264">
        <f t="shared" si="209"/>
        <v>-40.930000000000291</v>
      </c>
      <c r="AO456" s="267">
        <f t="shared" si="208"/>
        <v>-5.1622195652283953E-3</v>
      </c>
      <c r="AP456" s="244"/>
      <c r="AQ456" s="494"/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204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f>+SUM(START:END!Z457)</f>
        <v>0</v>
      </c>
      <c r="AA457" s="277"/>
      <c r="AB457" s="285">
        <f t="shared" si="205"/>
        <v>0</v>
      </c>
      <c r="AC457" s="278">
        <f>+SUM(START:END!AC457)</f>
        <v>0</v>
      </c>
      <c r="AD457" s="286"/>
      <c r="AE457" s="285"/>
      <c r="AF457" s="278">
        <f>+SUM(START:END!AF457)</f>
        <v>0</v>
      </c>
      <c r="AG457" s="279"/>
      <c r="AH457" s="280">
        <f t="shared" si="206"/>
        <v>0</v>
      </c>
      <c r="AI457" s="281">
        <f t="shared" si="207"/>
        <v>0</v>
      </c>
      <c r="AJ457" s="286"/>
      <c r="AK457" s="277"/>
      <c r="AL457" s="278">
        <f>+SUM(START:END!AL457)</f>
        <v>0</v>
      </c>
      <c r="AM457" s="282"/>
      <c r="AN457" s="280">
        <f t="shared" si="209"/>
        <v>0</v>
      </c>
      <c r="AO457" s="287">
        <f t="shared" si="208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204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f>+SUM(START:END!Z458)</f>
        <v>10713.5</v>
      </c>
      <c r="AA458" s="261"/>
      <c r="AB458" s="289">
        <f t="shared" si="205"/>
        <v>0</v>
      </c>
      <c r="AC458" s="262">
        <f>+SUM(START:END!AC458)</f>
        <v>0</v>
      </c>
      <c r="AD458" s="290"/>
      <c r="AE458" s="289"/>
      <c r="AF458" s="262">
        <f>+SUM(START:END!AF458)</f>
        <v>10713.48</v>
      </c>
      <c r="AG458" s="263"/>
      <c r="AH458" s="264">
        <f t="shared" si="206"/>
        <v>-2.0000000000436557E-2</v>
      </c>
      <c r="AI458" s="291">
        <f t="shared" si="207"/>
        <v>-1.8668035656355587E-6</v>
      </c>
      <c r="AJ458" s="290"/>
      <c r="AK458" s="261"/>
      <c r="AL458" s="262">
        <f>+SUM(START:END!AL458)</f>
        <v>14561.49</v>
      </c>
      <c r="AM458" s="266"/>
      <c r="AN458" s="264">
        <f t="shared" si="209"/>
        <v>-3848.01</v>
      </c>
      <c r="AO458" s="267">
        <f t="shared" si="208"/>
        <v>-0.26425935807393341</v>
      </c>
      <c r="AP458" s="244"/>
      <c r="AQ458" s="494"/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204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f>+SUM(START:END!Z459)</f>
        <v>20025</v>
      </c>
      <c r="AA459" s="330"/>
      <c r="AB459" s="331">
        <f t="shared" si="205"/>
        <v>0</v>
      </c>
      <c r="AC459" s="278">
        <f>+SUM(START:END!AC459)</f>
        <v>0</v>
      </c>
      <c r="AD459" s="286"/>
      <c r="AE459" s="285"/>
      <c r="AF459" s="278">
        <f>+SUM(START:END!AF459)</f>
        <v>16807.77</v>
      </c>
      <c r="AG459" s="279"/>
      <c r="AH459" s="280">
        <f t="shared" si="206"/>
        <v>-3217.2299999999996</v>
      </c>
      <c r="AI459" s="281">
        <f t="shared" si="207"/>
        <v>-0.16066067415730334</v>
      </c>
      <c r="AJ459" s="286"/>
      <c r="AK459" s="277"/>
      <c r="AL459" s="278">
        <f>+SUM(START:END!AL459)</f>
        <v>15595.650000000001</v>
      </c>
      <c r="AM459" s="282"/>
      <c r="AN459" s="280">
        <f t="shared" si="209"/>
        <v>1212.119999999999</v>
      </c>
      <c r="AO459" s="287">
        <f t="shared" si="208"/>
        <v>7.7721672389416213E-2</v>
      </c>
      <c r="AP459" s="244"/>
      <c r="AQ459" s="244"/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204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169</v>
      </c>
      <c r="X460" s="277"/>
      <c r="Y460" s="285"/>
      <c r="Z460" s="278">
        <f>+SUM(START:END!Z460)</f>
        <v>5250</v>
      </c>
      <c r="AA460" s="277"/>
      <c r="AB460" s="285">
        <f t="shared" si="205"/>
        <v>0</v>
      </c>
      <c r="AC460" s="278">
        <f>+SUM(START:END!AC460)</f>
        <v>0</v>
      </c>
      <c r="AD460" s="286"/>
      <c r="AE460" s="285"/>
      <c r="AF460" s="278">
        <f>+SUM(START:END!AF460)</f>
        <v>4500</v>
      </c>
      <c r="AG460" s="279"/>
      <c r="AH460" s="280">
        <f t="shared" si="206"/>
        <v>-750</v>
      </c>
      <c r="AI460" s="281">
        <f t="shared" si="207"/>
        <v>-0.14285714285714285</v>
      </c>
      <c r="AJ460" s="286"/>
      <c r="AK460" s="277"/>
      <c r="AL460" s="278">
        <f>+SUM(START:END!AL460)</f>
        <v>18921.989999999998</v>
      </c>
      <c r="AM460" s="282"/>
      <c r="AN460" s="280">
        <f t="shared" si="209"/>
        <v>-14421.989999999998</v>
      </c>
      <c r="AO460" s="287">
        <f t="shared" si="208"/>
        <v>-0.76218146188640834</v>
      </c>
      <c r="AP460" s="244"/>
      <c r="AQ460" s="494"/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204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171</v>
      </c>
      <c r="X461" s="261"/>
      <c r="Y461" s="289"/>
      <c r="Z461" s="262">
        <f>+SUM(START:END!Z461)</f>
        <v>1350</v>
      </c>
      <c r="AA461" s="261"/>
      <c r="AB461" s="289">
        <f t="shared" si="205"/>
        <v>0</v>
      </c>
      <c r="AC461" s="262">
        <f>+SUM(START:END!AC461)</f>
        <v>0</v>
      </c>
      <c r="AD461" s="290"/>
      <c r="AE461" s="289"/>
      <c r="AF461" s="262">
        <f>+SUM(START:END!AF461)</f>
        <v>900</v>
      </c>
      <c r="AG461" s="263"/>
      <c r="AH461" s="264">
        <f t="shared" si="206"/>
        <v>-450</v>
      </c>
      <c r="AI461" s="291">
        <f t="shared" si="207"/>
        <v>-0.33333333333333331</v>
      </c>
      <c r="AJ461" s="290"/>
      <c r="AK461" s="261"/>
      <c r="AL461" s="262">
        <f>+SUM(START:END!AL461)</f>
        <v>800</v>
      </c>
      <c r="AM461" s="266"/>
      <c r="AN461" s="264">
        <f t="shared" si="209"/>
        <v>100</v>
      </c>
      <c r="AO461" s="267">
        <f t="shared" si="208"/>
        <v>0.125</v>
      </c>
      <c r="AP461" s="244"/>
      <c r="AQ461" s="244"/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204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f>+SUM(START:END!Z462)</f>
        <v>837</v>
      </c>
      <c r="AA462" s="277"/>
      <c r="AB462" s="285">
        <f t="shared" si="205"/>
        <v>0</v>
      </c>
      <c r="AC462" s="278">
        <f>+SUM(START:END!AC462)</f>
        <v>0</v>
      </c>
      <c r="AD462" s="286"/>
      <c r="AE462" s="285"/>
      <c r="AF462" s="278">
        <f>+SUM(START:END!AF462)</f>
        <v>1374.32</v>
      </c>
      <c r="AG462" s="279"/>
      <c r="AH462" s="280">
        <f t="shared" si="206"/>
        <v>537.31999999999994</v>
      </c>
      <c r="AI462" s="333">
        <f t="shared" si="207"/>
        <v>0.64195937873357223</v>
      </c>
      <c r="AJ462" s="277"/>
      <c r="AK462" s="277"/>
      <c r="AL462" s="278">
        <f>+SUM(START:END!AL462)</f>
        <v>492</v>
      </c>
      <c r="AM462" s="282"/>
      <c r="AN462" s="280">
        <f t="shared" si="209"/>
        <v>882.31999999999994</v>
      </c>
      <c r="AO462" s="287">
        <f t="shared" si="208"/>
        <v>1.7933333333333332</v>
      </c>
      <c r="AP462" s="244"/>
      <c r="AQ462" s="244"/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204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f>+SUM(START:END!Z463)</f>
        <v>0</v>
      </c>
      <c r="AA463" s="277"/>
      <c r="AB463" s="285">
        <f t="shared" si="205"/>
        <v>0</v>
      </c>
      <c r="AC463" s="278">
        <f>+SUM(START:END!AC463)</f>
        <v>0</v>
      </c>
      <c r="AD463" s="286"/>
      <c r="AE463" s="285"/>
      <c r="AF463" s="278">
        <f>+SUM(START:END!AF463)</f>
        <v>0</v>
      </c>
      <c r="AG463" s="279"/>
      <c r="AH463" s="280">
        <v>0</v>
      </c>
      <c r="AI463" s="304">
        <v>0</v>
      </c>
      <c r="AJ463" s="277"/>
      <c r="AK463" s="277"/>
      <c r="AL463" s="278">
        <f>+SUM(START:END!AL463)</f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204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+SUM(START:END!Z463)</f>
        <v>0</v>
      </c>
      <c r="AA464" s="277"/>
      <c r="AB464" s="277"/>
      <c r="AC464" s="280">
        <f>+SUM(START:END!AC463)</f>
        <v>0</v>
      </c>
      <c r="AD464" s="286"/>
      <c r="AE464" s="285"/>
      <c r="AF464" s="278">
        <f>+SUM(START:END!AF463)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+SUM(START:END!AL464)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204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+SUM(START:END!Z464)</f>
        <v>0</v>
      </c>
      <c r="AA465" s="277"/>
      <c r="AB465" s="277"/>
      <c r="AC465" s="280">
        <f>+SUM(START:END!AC464)</f>
        <v>0</v>
      </c>
      <c r="AD465" s="286"/>
      <c r="AE465" s="285"/>
      <c r="AF465" s="278">
        <f>+SUM(START:END!AF464)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+SUM(START:END!AL465)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204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+SUM(START:END!Z465)</f>
        <v>0</v>
      </c>
      <c r="AA466" s="277"/>
      <c r="AB466" s="277"/>
      <c r="AC466" s="280">
        <f>+SUM(START:END!AC465)</f>
        <v>0</v>
      </c>
      <c r="AD466" s="286"/>
      <c r="AE466" s="285"/>
      <c r="AF466" s="278">
        <f>+SUM(START:END!AF465)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+SUM(START:END!AL466)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204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0.1493169589564986</v>
      </c>
      <c r="Y467" s="295"/>
      <c r="Z467" s="297">
        <f>SUM(Z454:Z466)</f>
        <v>215374.91</v>
      </c>
      <c r="AA467" s="296" t="e">
        <f>AC467/+AC408</f>
        <v>#DIV/0!</v>
      </c>
      <c r="AB467" s="295"/>
      <c r="AC467" s="297">
        <f>SUM(AC454:AC466)</f>
        <v>0</v>
      </c>
      <c r="AD467" s="298">
        <f>AF467/AF408</f>
        <v>0.14785792209809565</v>
      </c>
      <c r="AE467" s="295"/>
      <c r="AF467" s="297">
        <f>SUM(AF454:AF466)</f>
        <v>210588.34</v>
      </c>
      <c r="AG467" s="306"/>
      <c r="AH467" s="300">
        <f>SUM(AH454:AH466)</f>
        <v>-4786.5700000000033</v>
      </c>
      <c r="AI467" s="296">
        <f>IF(Z467=0,0,AH467/Z467)</f>
        <v>-2.22243621599192E-2</v>
      </c>
      <c r="AJ467" s="298">
        <f>IF($AL$407=0,0,AL467/$AL$407)</f>
        <v>2.2833279951714337E-2</v>
      </c>
      <c r="AK467" s="296"/>
      <c r="AL467" s="297">
        <f>SUM(AL454:AL466)</f>
        <v>226800.27999999997</v>
      </c>
      <c r="AM467" s="307"/>
      <c r="AN467" s="300">
        <f>SUM(AN454:AN466)</f>
        <v>-16211.939999999973</v>
      </c>
      <c r="AO467" s="329">
        <f t="shared" ref="AO467:AO484" si="210">IF(AL467=0,0,AN467/AL467)</f>
        <v>-7.1481128682909803E-2</v>
      </c>
      <c r="AP467" s="244"/>
      <c r="AQ467" s="308"/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204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211">AF468-Z468</f>
        <v>0</v>
      </c>
      <c r="AI468" s="281"/>
      <c r="AJ468" s="286"/>
      <c r="AK468" s="277"/>
      <c r="AL468" s="334"/>
      <c r="AM468" s="335"/>
      <c r="AN468" s="280">
        <f t="shared" ref="AN468:AN484" si="212">AF468-AL468</f>
        <v>0</v>
      </c>
      <c r="AO468" s="336">
        <f t="shared" si="210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204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0.96198631974411353</v>
      </c>
      <c r="Y469" s="295"/>
      <c r="Z469" s="297">
        <f>Z420+Z434+Z453+Z467</f>
        <v>1387569.8948334523</v>
      </c>
      <c r="AA469" s="296" t="e">
        <f>AC469/+AC408</f>
        <v>#DIV/0!</v>
      </c>
      <c r="AB469" s="295"/>
      <c r="AC469" s="297">
        <f>AC420+AC434+AC453+AC467</f>
        <v>0</v>
      </c>
      <c r="AD469" s="298">
        <f>AF469/AF408</f>
        <v>0.88586273337762</v>
      </c>
      <c r="AE469" s="295"/>
      <c r="AF469" s="297">
        <f>AF420+AF434+AF453+AF467</f>
        <v>1261700.1499999999</v>
      </c>
      <c r="AG469" s="306"/>
      <c r="AH469" s="300">
        <f t="shared" si="211"/>
        <v>-125869.74483345239</v>
      </c>
      <c r="AI469" s="296">
        <f>AH469/Z469</f>
        <v>-9.0712363609301516E-2</v>
      </c>
      <c r="AJ469" s="298">
        <f>IF($AL$407=0,0,AL469/$AL$407)</f>
        <v>0.1259417160912269</v>
      </c>
      <c r="AK469" s="296"/>
      <c r="AL469" s="297">
        <f>AL420+AL434+AL453+AL467</f>
        <v>1250964.23</v>
      </c>
      <c r="AM469" s="307"/>
      <c r="AN469" s="300">
        <f t="shared" si="212"/>
        <v>10735.919999999925</v>
      </c>
      <c r="AO469" s="275">
        <f t="shared" si="210"/>
        <v>8.5821158931138463E-3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204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f>+SUM(START:END!Z470)</f>
        <v>0</v>
      </c>
      <c r="AA470" s="337"/>
      <c r="AB470" s="338">
        <f t="shared" ref="AB470:AB478" si="213">IF(AC470=0,0,AC470/(G$13+G$97))</f>
        <v>0</v>
      </c>
      <c r="AC470" s="311">
        <f>+SUM(START:END!AC470)</f>
        <v>0</v>
      </c>
      <c r="AD470" s="339"/>
      <c r="AE470" s="338"/>
      <c r="AF470" s="278">
        <f>+SUM(START:END!AF470)</f>
        <v>3801.5899999999997</v>
      </c>
      <c r="AG470" s="340"/>
      <c r="AH470" s="280">
        <f t="shared" si="211"/>
        <v>3801.5899999999997</v>
      </c>
      <c r="AI470" s="333" t="e">
        <f>IF(AH470=0,0,AH470/Z470)</f>
        <v>#DIV/0!</v>
      </c>
      <c r="AJ470" s="339"/>
      <c r="AK470" s="337"/>
      <c r="AL470" s="341">
        <f>+SUM(START:END!AL470)</f>
        <v>11717.99</v>
      </c>
      <c r="AM470" s="342"/>
      <c r="AN470" s="280">
        <f t="shared" si="212"/>
        <v>-7916.4</v>
      </c>
      <c r="AO470" s="287">
        <f t="shared" si="210"/>
        <v>-0.67557661339530073</v>
      </c>
      <c r="AP470" s="244"/>
      <c r="AQ470" s="244"/>
      <c r="AR470" s="244"/>
      <c r="AS470" s="244"/>
      <c r="AT470" s="308"/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204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+SUM(START:END!Z471)</f>
        <v>137026.68571428573</v>
      </c>
      <c r="AA471" s="330"/>
      <c r="AB471" s="331">
        <f t="shared" si="213"/>
        <v>0</v>
      </c>
      <c r="AC471" s="278">
        <f>+SUM(START:END!AC471)</f>
        <v>0</v>
      </c>
      <c r="AD471" s="343"/>
      <c r="AE471" s="331"/>
      <c r="AF471" s="278">
        <f>+SUM(START:END!AF471)</f>
        <v>151861</v>
      </c>
      <c r="AG471" s="344"/>
      <c r="AH471" s="280">
        <f t="shared" si="211"/>
        <v>14834.314285714267</v>
      </c>
      <c r="AI471" s="304">
        <f>IF(Z471=0,0,AH471/Z471)</f>
        <v>0.10825857903799328</v>
      </c>
      <c r="AJ471" s="343"/>
      <c r="AK471" s="330"/>
      <c r="AL471" s="345">
        <f>+SUM(START:END!AL471)</f>
        <v>82883.199999999997</v>
      </c>
      <c r="AM471" s="346"/>
      <c r="AN471" s="280">
        <f t="shared" si="212"/>
        <v>68977.8</v>
      </c>
      <c r="AO471" s="287">
        <f t="shared" si="210"/>
        <v>0.83222896799351387</v>
      </c>
      <c r="AP471" s="244"/>
      <c r="AQ471" s="244"/>
      <c r="AR471" s="244"/>
      <c r="AS471" s="244"/>
      <c r="AT471" s="308"/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204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f>+SUM(START:END!Z472)</f>
        <v>113047.01571428572</v>
      </c>
      <c r="AA472" s="330"/>
      <c r="AB472" s="331">
        <f t="shared" si="213"/>
        <v>0</v>
      </c>
      <c r="AC472" s="278">
        <f>+SUM(START:END!AC472)</f>
        <v>0</v>
      </c>
      <c r="AD472" s="343"/>
      <c r="AE472" s="331"/>
      <c r="AF472" s="278">
        <f>+SUM(START:END!AF472)</f>
        <v>80672.41</v>
      </c>
      <c r="AG472" s="344"/>
      <c r="AH472" s="280">
        <f t="shared" si="211"/>
        <v>-32374.605714285717</v>
      </c>
      <c r="AI472" s="304">
        <f t="shared" ref="AI472:AI481" si="214">IF(AH472=0,0,AH472/Z472)</f>
        <v>-0.28638178115297691</v>
      </c>
      <c r="AJ472" s="343"/>
      <c r="AK472" s="330"/>
      <c r="AL472" s="345">
        <f>+SUM(START:END!AL472)</f>
        <v>75981.91</v>
      </c>
      <c r="AM472" s="346"/>
      <c r="AN472" s="280">
        <f t="shared" si="212"/>
        <v>4690.5</v>
      </c>
      <c r="AO472" s="287">
        <f t="shared" si="210"/>
        <v>6.1731799055854214E-2</v>
      </c>
      <c r="AP472" s="244"/>
      <c r="AQ472" s="244"/>
      <c r="AR472" s="244"/>
      <c r="AS472" s="244"/>
      <c r="AT472" s="308"/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204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+SUM(START:END!Z473)</f>
        <v>0</v>
      </c>
      <c r="AA473" s="330"/>
      <c r="AB473" s="331">
        <f t="shared" si="213"/>
        <v>0</v>
      </c>
      <c r="AC473" s="278">
        <f>+SUM(START:END!AC473)</f>
        <v>0</v>
      </c>
      <c r="AD473" s="343"/>
      <c r="AE473" s="331"/>
      <c r="AF473" s="278">
        <f>+SUM(START:END!AF473)</f>
        <v>0</v>
      </c>
      <c r="AG473" s="344"/>
      <c r="AH473" s="280">
        <f t="shared" si="211"/>
        <v>0</v>
      </c>
      <c r="AI473" s="304">
        <f t="shared" si="214"/>
        <v>0</v>
      </c>
      <c r="AJ473" s="343"/>
      <c r="AK473" s="330"/>
      <c r="AL473" s="345">
        <f>+SUM(START:END!AL473)</f>
        <v>0</v>
      </c>
      <c r="AM473" s="346"/>
      <c r="AN473" s="280">
        <f t="shared" si="212"/>
        <v>0</v>
      </c>
      <c r="AO473" s="287">
        <f t="shared" si="210"/>
        <v>0</v>
      </c>
      <c r="AP473" s="244"/>
      <c r="AQ473" s="244"/>
      <c r="AR473" s="244"/>
      <c r="AS473" s="244"/>
      <c r="AT473" s="308"/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204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+SUM(START:END!Z474)</f>
        <v>0</v>
      </c>
      <c r="AA474" s="330"/>
      <c r="AB474" s="331">
        <f t="shared" si="213"/>
        <v>0</v>
      </c>
      <c r="AC474" s="278">
        <f>+SUM(START:END!AC474)</f>
        <v>0</v>
      </c>
      <c r="AD474" s="343"/>
      <c r="AE474" s="331"/>
      <c r="AF474" s="278">
        <f>+SUM(START:END!AF474)</f>
        <v>0</v>
      </c>
      <c r="AG474" s="344"/>
      <c r="AH474" s="280">
        <f t="shared" si="211"/>
        <v>0</v>
      </c>
      <c r="AI474" s="304">
        <f t="shared" si="214"/>
        <v>0</v>
      </c>
      <c r="AJ474" s="343"/>
      <c r="AK474" s="330"/>
      <c r="AL474" s="345">
        <f>+SUM(START:END!AL474)</f>
        <v>0</v>
      </c>
      <c r="AM474" s="346"/>
      <c r="AN474" s="280">
        <f t="shared" si="212"/>
        <v>0</v>
      </c>
      <c r="AO474" s="287">
        <f t="shared" si="210"/>
        <v>0</v>
      </c>
      <c r="AP474" s="244"/>
      <c r="AQ474" s="244"/>
      <c r="AR474" s="244"/>
      <c r="AS474" s="244"/>
      <c r="AT474" s="308"/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204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f>+SUM(START:END!Z475)</f>
        <v>14250</v>
      </c>
      <c r="AA475" s="330"/>
      <c r="AB475" s="331">
        <f t="shared" si="213"/>
        <v>0</v>
      </c>
      <c r="AC475" s="278">
        <f>+SUM(START:END!AC475)</f>
        <v>0</v>
      </c>
      <c r="AD475" s="343"/>
      <c r="AE475" s="331"/>
      <c r="AF475" s="278">
        <f>+SUM(START:END!AF475)</f>
        <v>11475</v>
      </c>
      <c r="AG475" s="344"/>
      <c r="AH475" s="280">
        <f t="shared" si="211"/>
        <v>-2775</v>
      </c>
      <c r="AI475" s="304">
        <f t="shared" si="214"/>
        <v>-0.19473684210526315</v>
      </c>
      <c r="AJ475" s="343"/>
      <c r="AK475" s="330"/>
      <c r="AL475" s="345">
        <f>+SUM(START:END!AL475)</f>
        <v>5625</v>
      </c>
      <c r="AM475" s="346"/>
      <c r="AN475" s="280">
        <f t="shared" si="212"/>
        <v>5850</v>
      </c>
      <c r="AO475" s="287">
        <f t="shared" si="210"/>
        <v>1.04</v>
      </c>
      <c r="AP475" s="244"/>
      <c r="AQ475" s="244"/>
      <c r="AR475" s="244"/>
      <c r="AS475" s="244"/>
      <c r="AT475" s="308"/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204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+SUM(START:END!Z476)</f>
        <v>0</v>
      </c>
      <c r="AA476" s="330"/>
      <c r="AB476" s="331">
        <f t="shared" si="213"/>
        <v>0</v>
      </c>
      <c r="AC476" s="278">
        <f>+SUM(START:END!AC476)</f>
        <v>0</v>
      </c>
      <c r="AD476" s="343"/>
      <c r="AE476" s="331"/>
      <c r="AF476" s="278">
        <f>+SUM(START:END!AF476)</f>
        <v>-925</v>
      </c>
      <c r="AG476" s="344"/>
      <c r="AH476" s="280">
        <f t="shared" si="211"/>
        <v>-925</v>
      </c>
      <c r="AI476" s="304" t="e">
        <f t="shared" si="214"/>
        <v>#DIV/0!</v>
      </c>
      <c r="AJ476" s="343"/>
      <c r="AK476" s="330"/>
      <c r="AL476" s="345">
        <f>+SUM(START:END!AL476)</f>
        <v>100</v>
      </c>
      <c r="AM476" s="346"/>
      <c r="AN476" s="280">
        <f t="shared" si="212"/>
        <v>-1025</v>
      </c>
      <c r="AO476" s="287">
        <f t="shared" si="210"/>
        <v>-10.25</v>
      </c>
      <c r="AP476" s="244"/>
      <c r="AQ476" s="244"/>
      <c r="AR476" s="244"/>
      <c r="AS476" s="244"/>
      <c r="AT476" s="308"/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204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+SUM(START:END!Z477)</f>
        <v>0</v>
      </c>
      <c r="AA477" s="330"/>
      <c r="AB477" s="331">
        <f t="shared" si="213"/>
        <v>0</v>
      </c>
      <c r="AC477" s="278">
        <f>+SUM(START:END!AC477)</f>
        <v>0</v>
      </c>
      <c r="AD477" s="343"/>
      <c r="AE477" s="331"/>
      <c r="AF477" s="278">
        <f>+SUM(START:END!AF477)</f>
        <v>0</v>
      </c>
      <c r="AG477" s="344"/>
      <c r="AH477" s="280">
        <f t="shared" si="211"/>
        <v>0</v>
      </c>
      <c r="AI477" s="304">
        <f t="shared" si="214"/>
        <v>0</v>
      </c>
      <c r="AJ477" s="343"/>
      <c r="AK477" s="330"/>
      <c r="AL477" s="345">
        <f>+SUM(START:END!AL477)</f>
        <v>0</v>
      </c>
      <c r="AM477" s="346"/>
      <c r="AN477" s="280">
        <f t="shared" si="212"/>
        <v>0</v>
      </c>
      <c r="AO477" s="287">
        <f t="shared" si="210"/>
        <v>0</v>
      </c>
      <c r="AP477" s="244"/>
      <c r="AQ477" s="244"/>
      <c r="AR477" s="244"/>
      <c r="AS477" s="244"/>
      <c r="AT477" s="308"/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204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f>+SUM(START:END!Z478)</f>
        <v>75364.677142857137</v>
      </c>
      <c r="AA478" s="330"/>
      <c r="AB478" s="331">
        <f t="shared" si="213"/>
        <v>0</v>
      </c>
      <c r="AC478" s="278">
        <f>+SUM(START:END!AC478)</f>
        <v>0</v>
      </c>
      <c r="AD478" s="343"/>
      <c r="AE478" s="331"/>
      <c r="AF478" s="278">
        <f>+SUM(START:END!AF478)</f>
        <v>44664.91</v>
      </c>
      <c r="AG478" s="344"/>
      <c r="AH478" s="280">
        <f t="shared" si="211"/>
        <v>-30699.767142857134</v>
      </c>
      <c r="AI478" s="304">
        <f t="shared" si="214"/>
        <v>-0.40734954764901793</v>
      </c>
      <c r="AJ478" s="343"/>
      <c r="AK478" s="330"/>
      <c r="AL478" s="345">
        <f>+SUM(START:END!AL478)</f>
        <v>53922.659999999996</v>
      </c>
      <c r="AM478" s="346"/>
      <c r="AN478" s="280">
        <f t="shared" si="212"/>
        <v>-9257.7499999999927</v>
      </c>
      <c r="AO478" s="287">
        <f t="shared" si="210"/>
        <v>-0.17168570689947404</v>
      </c>
      <c r="AP478" s="244"/>
      <c r="AQ478" s="244"/>
      <c r="AR478" s="244"/>
      <c r="AS478" s="244"/>
      <c r="AT478" s="308"/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204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+SUM(START:END!Z479)</f>
        <v>0</v>
      </c>
      <c r="AA479" s="277"/>
      <c r="AB479" s="277">
        <f>IF(AC479=0,0,AC479/(G$13+G$97))</f>
        <v>0</v>
      </c>
      <c r="AC479" s="280">
        <f>+SUM(START:END!AC479)</f>
        <v>0</v>
      </c>
      <c r="AD479" s="286"/>
      <c r="AE479" s="285"/>
      <c r="AF479" s="278">
        <f>+SUM(START:END!AF479)</f>
        <v>0</v>
      </c>
      <c r="AG479" s="279"/>
      <c r="AH479" s="280">
        <f t="shared" si="211"/>
        <v>0</v>
      </c>
      <c r="AI479" s="281">
        <f t="shared" si="214"/>
        <v>0</v>
      </c>
      <c r="AJ479" s="286"/>
      <c r="AK479" s="277"/>
      <c r="AL479" s="278">
        <f>+SUM(START:END!AL479)</f>
        <v>0</v>
      </c>
      <c r="AM479" s="346"/>
      <c r="AN479" s="280">
        <f t="shared" si="212"/>
        <v>0</v>
      </c>
      <c r="AO479" s="287">
        <f t="shared" si="210"/>
        <v>0</v>
      </c>
      <c r="AP479" s="244"/>
      <c r="AQ479" s="244"/>
      <c r="AR479" s="244"/>
      <c r="AS479" s="244"/>
      <c r="AT479" s="308"/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204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+SUM(START:END!Z480)</f>
        <v>0</v>
      </c>
      <c r="AA480" s="277"/>
      <c r="AB480" s="277">
        <f>IF(AC480=0,0,AC480/(G$13+G$97))</f>
        <v>0</v>
      </c>
      <c r="AC480" s="280">
        <f>+SUM(START:END!AC480)</f>
        <v>0</v>
      </c>
      <c r="AD480" s="286"/>
      <c r="AE480" s="285"/>
      <c r="AF480" s="278">
        <f>+SUM(START:END!AF480)</f>
        <v>0</v>
      </c>
      <c r="AG480" s="279"/>
      <c r="AH480" s="280">
        <f t="shared" si="211"/>
        <v>0</v>
      </c>
      <c r="AI480" s="281">
        <f t="shared" si="214"/>
        <v>0</v>
      </c>
      <c r="AJ480" s="286"/>
      <c r="AK480" s="277"/>
      <c r="AL480" s="278">
        <f>+SUM(START:END!AL480)</f>
        <v>0</v>
      </c>
      <c r="AM480" s="346"/>
      <c r="AN480" s="280">
        <f t="shared" si="212"/>
        <v>0</v>
      </c>
      <c r="AO480" s="287">
        <f t="shared" si="210"/>
        <v>0</v>
      </c>
      <c r="AP480" s="244"/>
      <c r="AQ480" s="244"/>
      <c r="AR480" s="244"/>
      <c r="AS480" s="244"/>
      <c r="AT480" s="308"/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204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+SUM(START:END!Z481)</f>
        <v>76255.199999999997</v>
      </c>
      <c r="AA481" s="330"/>
      <c r="AB481" s="331">
        <f>IF(AC481=0,0,AC481/(G$13+G$97))</f>
        <v>0</v>
      </c>
      <c r="AC481" s="278">
        <f>+SUM(START:END!AC481)</f>
        <v>0</v>
      </c>
      <c r="AD481" s="343"/>
      <c r="AE481" s="331"/>
      <c r="AF481" s="278">
        <f>+SUM(START:END!AF481)</f>
        <v>89250</v>
      </c>
      <c r="AG481" s="344"/>
      <c r="AH481" s="280">
        <f t="shared" si="211"/>
        <v>12994.800000000003</v>
      </c>
      <c r="AI481" s="304">
        <f t="shared" si="214"/>
        <v>0.17041198501872665</v>
      </c>
      <c r="AJ481" s="343"/>
      <c r="AK481" s="330"/>
      <c r="AL481" s="345">
        <f>+SUM(START:END!AL481)</f>
        <v>56525</v>
      </c>
      <c r="AM481" s="346"/>
      <c r="AN481" s="280">
        <f t="shared" si="212"/>
        <v>32725</v>
      </c>
      <c r="AO481" s="287">
        <f t="shared" si="210"/>
        <v>0.57894736842105265</v>
      </c>
      <c r="AP481" s="244"/>
      <c r="AQ481" s="244"/>
      <c r="AR481" s="244"/>
      <c r="AS481" s="244"/>
      <c r="AT481" s="308"/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204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0.28836892026916761</v>
      </c>
      <c r="Y482" s="328"/>
      <c r="Z482" s="297">
        <f>SUM(Z470:Z481)</f>
        <v>415943.5785714286</v>
      </c>
      <c r="AA482" s="296" t="e">
        <f>AC482/+AC408</f>
        <v>#DIV/0!</v>
      </c>
      <c r="AB482" s="328"/>
      <c r="AC482" s="297">
        <f>SUM(AC470:AC481)</f>
        <v>0</v>
      </c>
      <c r="AD482" s="296">
        <f>AF482/+AF408</f>
        <v>0.26736657607796255</v>
      </c>
      <c r="AE482" s="328"/>
      <c r="AF482" s="297">
        <f>SUM(AF470:AF481)</f>
        <v>380799.91000000003</v>
      </c>
      <c r="AG482" s="306"/>
      <c r="AH482" s="300">
        <f t="shared" si="211"/>
        <v>-35143.66857142857</v>
      </c>
      <c r="AI482" s="296">
        <f>AH482/Z482</f>
        <v>-8.4491431968082342E-2</v>
      </c>
      <c r="AJ482" s="347"/>
      <c r="AK482" s="348"/>
      <c r="AL482" s="297">
        <f>SUM(AL470:AL481)</f>
        <v>286755.76</v>
      </c>
      <c r="AM482" s="349"/>
      <c r="AN482" s="300">
        <f t="shared" si="212"/>
        <v>94044.150000000023</v>
      </c>
      <c r="AO482" s="329">
        <f t="shared" si="210"/>
        <v>0.32795906174648426</v>
      </c>
      <c r="AP482" s="244"/>
      <c r="AQ482" s="244"/>
      <c r="AR482" s="244"/>
      <c r="AS482" s="308"/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204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212"/>
        <v>0</v>
      </c>
      <c r="AO483" s="362">
        <f t="shared" si="210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204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3.3234830001248598E-2</v>
      </c>
      <c r="Z484" s="367">
        <f>Z408-Z469+Z482</f>
        <v>470774.54366137233</v>
      </c>
      <c r="AA484" s="365" t="s">
        <v>180</v>
      </c>
      <c r="AB484" s="366" t="e">
        <f>AC484/AC407</f>
        <v>#DIV/0!</v>
      </c>
      <c r="AC484" s="367">
        <f>AC408-AC469+AC482</f>
        <v>0</v>
      </c>
      <c r="AD484" s="365" t="s">
        <v>180</v>
      </c>
      <c r="AE484" s="366">
        <f>AF484/AF407</f>
        <v>3.5886238499121592E-2</v>
      </c>
      <c r="AF484" s="368">
        <f>AF408-AF469+AF482</f>
        <v>543361.22000000032</v>
      </c>
      <c r="AG484" s="369"/>
      <c r="AH484" s="368">
        <f>AF484-Z484</f>
        <v>72586.676338627993</v>
      </c>
      <c r="AI484" s="481">
        <f>AH484/Z484</f>
        <v>0.15418564430883824</v>
      </c>
      <c r="AJ484" s="371" t="s">
        <v>180</v>
      </c>
      <c r="AK484" s="366" t="e">
        <f>IF($AL$406=0,0,AL484/$AL$406)</f>
        <v>#VALUE!</v>
      </c>
      <c r="AL484" s="368">
        <f>AL408-AL469+AL482</f>
        <v>154440.95999999903</v>
      </c>
      <c r="AM484" s="372"/>
      <c r="AN484" s="368">
        <f t="shared" si="212"/>
        <v>388920.26000000129</v>
      </c>
      <c r="AO484" s="373">
        <f t="shared" si="210"/>
        <v>2.5182455483312443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204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si="204"/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V403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  Q3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20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20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str">
        <f t="shared" si="204"/>
        <v>BAIIA Corpo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3.9573864884582768E-2</v>
      </c>
      <c r="Z489" s="446">
        <f>+Z490+Z416</f>
        <v>560567.57868947531</v>
      </c>
      <c r="AA489" s="443"/>
      <c r="AB489" s="444"/>
      <c r="AC489" s="445"/>
      <c r="AD489" s="443" t="s">
        <v>180</v>
      </c>
      <c r="AE489" s="444">
        <f>AF489/AF407</f>
        <v>4.1945663420706603E-2</v>
      </c>
      <c r="AF489" s="446">
        <f>+AF490+AF416</f>
        <v>635108.27000000037</v>
      </c>
      <c r="AG489" s="447"/>
      <c r="AH489" s="446">
        <f>AF489-Z489</f>
        <v>74540.691310525057</v>
      </c>
      <c r="AI489" s="488">
        <f>AH489/Z489</f>
        <v>0.13297360415454323</v>
      </c>
      <c r="AJ489" s="443" t="s">
        <v>180</v>
      </c>
      <c r="AK489" s="444">
        <f>AL489/AL407</f>
        <v>2.3299805166319125E-2</v>
      </c>
      <c r="AL489" s="446">
        <f>+AL490+AL416</f>
        <v>231434.21999999904</v>
      </c>
      <c r="AM489" s="448"/>
      <c r="AN489" s="446">
        <f>AF489-AL489</f>
        <v>403674.05000000133</v>
      </c>
      <c r="AO489" s="449">
        <f>IF(AL489=0,0,AN489/AL489)</f>
        <v>1.7442280143360087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20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3.3234830001248598E-2</v>
      </c>
      <c r="Z490" s="379">
        <f>Z484</f>
        <v>470774.54366137233</v>
      </c>
      <c r="AA490" s="377" t="s">
        <v>180</v>
      </c>
      <c r="AB490" s="378" t="e">
        <f>AC490/AC407</f>
        <v>#DIV/0!</v>
      </c>
      <c r="AC490" s="379">
        <f>AC484</f>
        <v>0</v>
      </c>
      <c r="AD490" s="377" t="s">
        <v>180</v>
      </c>
      <c r="AE490" s="378">
        <f>AF490/AF407</f>
        <v>3.5886238499121592E-2</v>
      </c>
      <c r="AF490" s="379">
        <f>AF484</f>
        <v>543361.22000000032</v>
      </c>
      <c r="AG490" s="380"/>
      <c r="AH490" s="368">
        <f>AF490-Z490</f>
        <v>72586.676338627993</v>
      </c>
      <c r="AI490" s="481">
        <f>AH490/Z490</f>
        <v>0.15418564430883824</v>
      </c>
      <c r="AJ490" s="377" t="s">
        <v>180</v>
      </c>
      <c r="AK490" s="378" t="e">
        <f>IF($AL$406=0,0,AL490/$AL$406)</f>
        <v>#VALUE!</v>
      </c>
      <c r="AL490" s="381">
        <f>AL484</f>
        <v>154440.95999999903</v>
      </c>
      <c r="AM490" s="382"/>
      <c r="AN490" s="383">
        <f>AF490-AL490</f>
        <v>388920.26000000129</v>
      </c>
      <c r="AO490" s="384">
        <f>IF(AL490=0,0,AN490/AL490)</f>
        <v>2.5182455483312443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20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20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f>+SUM(START:END!Z492)</f>
        <v>12233.25</v>
      </c>
      <c r="AA492" s="277"/>
      <c r="AB492" s="285">
        <f t="shared" ref="AB492:AB496" si="215">IF(AC492=0,0,AC492/(G$13+G$97))</f>
        <v>0</v>
      </c>
      <c r="AC492" s="278">
        <f>+SUM(START:END!AC492)</f>
        <v>0</v>
      </c>
      <c r="AD492" s="277"/>
      <c r="AE492" s="285"/>
      <c r="AF492" s="278">
        <f>+SUM(START:END!AF492)</f>
        <v>12233.25</v>
      </c>
      <c r="AG492" s="277"/>
      <c r="AH492" s="280">
        <f t="shared" ref="AH492:AH499" si="216">AF492-Z492</f>
        <v>0</v>
      </c>
      <c r="AI492" s="304">
        <f t="shared" ref="AI492:AI498" si="217">IF(Z492=0,0,AH492/Z492)</f>
        <v>0</v>
      </c>
      <c r="AJ492" s="277"/>
      <c r="AK492" s="277"/>
      <c r="AL492" s="278">
        <f>+SUM(START:END!AL492)</f>
        <v>53900</v>
      </c>
      <c r="AM492" s="282"/>
      <c r="AN492" s="280">
        <f t="shared" ref="AN492:AN499" si="218">AF492-AL492</f>
        <v>-41666.75</v>
      </c>
      <c r="AO492" s="287">
        <f t="shared" ref="AO492:AO499" si="219">IF(AL492=0,0,AN492/AL492)</f>
        <v>-0.77303803339517629</v>
      </c>
      <c r="AP492" s="244"/>
      <c r="AQ492" s="494"/>
      <c r="AR492" s="308"/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20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f>+SUM(START:END!Z493)</f>
        <v>0</v>
      </c>
      <c r="AA493" s="10"/>
      <c r="AB493" s="10">
        <f t="shared" si="215"/>
        <v>0</v>
      </c>
      <c r="AC493" s="278">
        <f>+SUM(START:END!AC493)</f>
        <v>0</v>
      </c>
      <c r="AD493" s="10"/>
      <c r="AE493" s="13"/>
      <c r="AF493" s="278">
        <f>+SUM(START:END!AF493)</f>
        <v>0</v>
      </c>
      <c r="AG493" s="10"/>
      <c r="AH493" s="280">
        <f t="shared" si="216"/>
        <v>0</v>
      </c>
      <c r="AI493" s="304">
        <f t="shared" si="217"/>
        <v>0</v>
      </c>
      <c r="AJ493" s="10"/>
      <c r="AK493" s="10"/>
      <c r="AL493" s="278">
        <f>+SUM(START:END!AL493)</f>
        <v>0</v>
      </c>
      <c r="AM493" s="391"/>
      <c r="AN493" s="280">
        <f t="shared" si="218"/>
        <v>0</v>
      </c>
      <c r="AO493" s="287">
        <f t="shared" si="219"/>
        <v>0</v>
      </c>
      <c r="AP493" s="244"/>
      <c r="AQ493" s="244"/>
      <c r="AR493" s="308"/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20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f>+SUM(START:END!Z494)</f>
        <v>0</v>
      </c>
      <c r="AA494" s="10"/>
      <c r="AB494" s="10">
        <f t="shared" si="215"/>
        <v>0</v>
      </c>
      <c r="AC494" s="278">
        <f>+SUM(START:END!AC494)</f>
        <v>0</v>
      </c>
      <c r="AD494" s="10"/>
      <c r="AE494" s="13"/>
      <c r="AF494" s="278">
        <f>+SUM(START:END!AF494)</f>
        <v>0</v>
      </c>
      <c r="AG494" s="10"/>
      <c r="AH494" s="280">
        <f t="shared" si="216"/>
        <v>0</v>
      </c>
      <c r="AI494" s="304">
        <f t="shared" si="217"/>
        <v>0</v>
      </c>
      <c r="AJ494" s="10"/>
      <c r="AK494" s="10"/>
      <c r="AL494" s="278">
        <f>+SUM(START:END!AL494)</f>
        <v>0</v>
      </c>
      <c r="AM494" s="391"/>
      <c r="AN494" s="280">
        <f t="shared" si="218"/>
        <v>0</v>
      </c>
      <c r="AO494" s="287">
        <f t="shared" si="219"/>
        <v>0</v>
      </c>
      <c r="AP494" s="244"/>
      <c r="AQ494" s="244"/>
      <c r="AR494" s="308"/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20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f>+SUM(START:END!Z495)</f>
        <v>0</v>
      </c>
      <c r="AA495" s="10"/>
      <c r="AB495" s="10">
        <f t="shared" si="215"/>
        <v>0</v>
      </c>
      <c r="AC495" s="278">
        <f>+SUM(START:END!AC495)</f>
        <v>0</v>
      </c>
      <c r="AD495" s="10"/>
      <c r="AE495" s="13"/>
      <c r="AF495" s="278">
        <f>+SUM(START:END!AF495)</f>
        <v>0</v>
      </c>
      <c r="AG495" s="10"/>
      <c r="AH495" s="280">
        <f t="shared" si="216"/>
        <v>0</v>
      </c>
      <c r="AI495" s="304">
        <f t="shared" si="217"/>
        <v>0</v>
      </c>
      <c r="AJ495" s="10"/>
      <c r="AK495" s="10"/>
      <c r="AL495" s="278">
        <f>+SUM(START:END!AL495)</f>
        <v>0</v>
      </c>
      <c r="AM495" s="391"/>
      <c r="AN495" s="280">
        <f t="shared" si="218"/>
        <v>0</v>
      </c>
      <c r="AO495" s="287">
        <f t="shared" si="219"/>
        <v>0</v>
      </c>
      <c r="AP495" s="244"/>
      <c r="AQ495" s="244"/>
      <c r="AR495" s="308"/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20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+SUM(START:END!Z496)</f>
        <v>0</v>
      </c>
      <c r="AA496" s="277"/>
      <c r="AB496" s="277">
        <f t="shared" si="215"/>
        <v>0</v>
      </c>
      <c r="AC496" s="280">
        <f>+SUM(START:END!AC496)</f>
        <v>0</v>
      </c>
      <c r="AD496" s="286"/>
      <c r="AE496" s="285"/>
      <c r="AF496" s="278">
        <f>+SUM(START:END!AF496)</f>
        <v>0</v>
      </c>
      <c r="AG496" s="279"/>
      <c r="AH496" s="280">
        <f t="shared" si="216"/>
        <v>0</v>
      </c>
      <c r="AI496" s="281">
        <f t="shared" si="217"/>
        <v>0</v>
      </c>
      <c r="AJ496" s="286"/>
      <c r="AK496" s="277"/>
      <c r="AL496" s="278">
        <f>+SUM(START:END!AL496)</f>
        <v>0</v>
      </c>
      <c r="AM496" s="391"/>
      <c r="AN496" s="280">
        <f t="shared" si="218"/>
        <v>0</v>
      </c>
      <c r="AO496" s="287">
        <f t="shared" si="219"/>
        <v>0</v>
      </c>
      <c r="AP496" s="244"/>
      <c r="AQ496" s="244"/>
      <c r="AR496" s="308"/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20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f>+SUM(START:END!Z497)</f>
        <v>0</v>
      </c>
      <c r="AA497" s="277"/>
      <c r="AB497" s="277">
        <f>IF(AC497=0,0,AC497/(G$13+G$97))</f>
        <v>0</v>
      </c>
      <c r="AC497" s="280">
        <f>+SUM(START:END!AC497)</f>
        <v>0</v>
      </c>
      <c r="AD497" s="286"/>
      <c r="AE497" s="285"/>
      <c r="AF497" s="278">
        <f>+SUM(START:END!AF497)</f>
        <v>-10795.9</v>
      </c>
      <c r="AG497" s="279"/>
      <c r="AH497" s="280">
        <f t="shared" si="216"/>
        <v>-10795.9</v>
      </c>
      <c r="AI497" s="281">
        <f t="shared" si="217"/>
        <v>0</v>
      </c>
      <c r="AJ497" s="286"/>
      <c r="AK497" s="277"/>
      <c r="AL497" s="278">
        <f>+SUM(START:END!AL497)</f>
        <v>-7812.46</v>
      </c>
      <c r="AM497" s="391"/>
      <c r="AN497" s="280">
        <f t="shared" si="218"/>
        <v>-2983.4399999999996</v>
      </c>
      <c r="AO497" s="287">
        <f t="shared" si="219"/>
        <v>0.38188227523724916</v>
      </c>
      <c r="AP497" s="244"/>
      <c r="AQ497" s="308"/>
      <c r="AR497" s="308"/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20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+SUM(START:END!Z498)</f>
        <v>0</v>
      </c>
      <c r="AA498" s="277"/>
      <c r="AB498" s="277">
        <f t="shared" ref="AB498" si="220">IF(AC498=0,0,AC498/(G$13+G$97))</f>
        <v>0</v>
      </c>
      <c r="AC498" s="280">
        <f>+SUM(START:END!AC498)</f>
        <v>0</v>
      </c>
      <c r="AD498" s="286"/>
      <c r="AE498" s="285">
        <f>IF(AF498=0,0,AF498/(J$13+J$97))</f>
        <v>0</v>
      </c>
      <c r="AF498" s="278">
        <f>+SUM(START:END!AF498)</f>
        <v>0</v>
      </c>
      <c r="AG498" s="279"/>
      <c r="AH498" s="280">
        <f t="shared" si="216"/>
        <v>0</v>
      </c>
      <c r="AI498" s="281">
        <f t="shared" si="217"/>
        <v>0</v>
      </c>
      <c r="AJ498" s="286"/>
      <c r="AK498" s="277">
        <f>AL498/(O$13+O$97)</f>
        <v>0</v>
      </c>
      <c r="AL498" s="278">
        <f>+SUM(START:END!AL498)</f>
        <v>0</v>
      </c>
      <c r="AM498" s="391"/>
      <c r="AN498" s="280">
        <f t="shared" si="218"/>
        <v>0</v>
      </c>
      <c r="AO498" s="287">
        <f t="shared" si="219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20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3.2371210696451991E-2</v>
      </c>
      <c r="Z499" s="367">
        <f>Z490-Z492-Z493-Z494-Z498-Z497-Z495-Z496</f>
        <v>458541.29366137233</v>
      </c>
      <c r="AA499" s="365"/>
      <c r="AB499" s="366"/>
      <c r="AC499" s="367"/>
      <c r="AD499" s="365" t="s">
        <v>180</v>
      </c>
      <c r="AE499" s="366">
        <f>AF499/AF407</f>
        <v>3.5791308859301672E-2</v>
      </c>
      <c r="AF499" s="368">
        <f>AF490-AF492-AF493-AF494-AF498-AF497-AF495-AF496</f>
        <v>541923.87000000034</v>
      </c>
      <c r="AG499" s="369"/>
      <c r="AH499" s="368">
        <f t="shared" si="216"/>
        <v>83382.576338628016</v>
      </c>
      <c r="AI499" s="481">
        <f>AH499/Z499</f>
        <v>0.18184311313127913</v>
      </c>
      <c r="AJ499" s="371" t="s">
        <v>180</v>
      </c>
      <c r="AK499" s="366">
        <f>IF($AL$407=0,0,AL499/$AL$407)</f>
        <v>1.0908557840341563E-2</v>
      </c>
      <c r="AL499" s="368">
        <f>AL490-AL492-AL493-AL494-AL498-AL497-AL495-AL496</f>
        <v>108353.41999999904</v>
      </c>
      <c r="AM499" s="372"/>
      <c r="AN499" s="368">
        <f t="shared" si="218"/>
        <v>433570.45000000129</v>
      </c>
      <c r="AO499" s="392">
        <f t="shared" si="219"/>
        <v>4.0014468394260669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 t="shared" si="204"/>
        <v/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/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/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/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/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/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/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/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/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/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/>
      <c r="AG512" s="308"/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</sheetData>
  <mergeCells count="42">
    <mergeCell ref="AM405:AO405"/>
    <mergeCell ref="X405:Z405"/>
    <mergeCell ref="AA405:AC405"/>
    <mergeCell ref="AD405:AF405"/>
    <mergeCell ref="AG405:AI405"/>
    <mergeCell ref="AJ405:AL405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O171:Q171"/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</mergeCells>
  <phoneticPr fontId="28" type="noConversion"/>
  <conditionalFormatting sqref="D113:D114">
    <cfRule type="expression" dxfId="769" priority="26" stopIfTrue="1">
      <formula>"esterreur(reference)"</formula>
    </cfRule>
  </conditionalFormatting>
  <conditionalFormatting sqref="E103:E105">
    <cfRule type="expression" dxfId="768" priority="2" stopIfTrue="1">
      <formula>"esterreur(reference)"</formula>
    </cfRule>
  </conditionalFormatting>
  <conditionalFormatting sqref="F5">
    <cfRule type="expression" dxfId="767" priority="69" stopIfTrue="1">
      <formula>"esterreur(reference)"</formula>
    </cfRule>
  </conditionalFormatting>
  <conditionalFormatting sqref="F185">
    <cfRule type="expression" dxfId="766" priority="78" stopIfTrue="1">
      <formula>"esterreur(reference)"</formula>
    </cfRule>
  </conditionalFormatting>
  <conditionalFormatting sqref="G31:G32">
    <cfRule type="expression" dxfId="765" priority="30" stopIfTrue="1">
      <formula>"esterreur(reference)"</formula>
    </cfRule>
  </conditionalFormatting>
  <conditionalFormatting sqref="G113:G114">
    <cfRule type="expression" dxfId="764" priority="27" stopIfTrue="1">
      <formula>"esterreur(reference)"</formula>
    </cfRule>
  </conditionalFormatting>
  <conditionalFormatting sqref="H137:H153">
    <cfRule type="expression" dxfId="763" priority="35" stopIfTrue="1">
      <formula>"esterreur(reference)"</formula>
    </cfRule>
  </conditionalFormatting>
  <conditionalFormatting sqref="H361">
    <cfRule type="expression" dxfId="762" priority="108" stopIfTrue="1">
      <formula>"esterreur(reference)"</formula>
    </cfRule>
  </conditionalFormatting>
  <conditionalFormatting sqref="H198:L198">
    <cfRule type="expression" dxfId="761" priority="110" stopIfTrue="1">
      <formula>"esterreur(reference)"</formula>
    </cfRule>
  </conditionalFormatting>
  <conditionalFormatting sqref="H397:L400">
    <cfRule type="expression" dxfId="760" priority="106" stopIfTrue="1">
      <formula>"esterreur(reference)"</formula>
    </cfRule>
  </conditionalFormatting>
  <conditionalFormatting sqref="I378:L378 H379:H396">
    <cfRule type="expression" dxfId="75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758" priority="102" stopIfTrue="1">
      <formula>"esterreur(reference)"</formula>
    </cfRule>
  </conditionalFormatting>
  <conditionalFormatting sqref="J49:L72">
    <cfRule type="expression" dxfId="757" priority="36" stopIfTrue="1">
      <formula>"esterreur(reference)"</formula>
    </cfRule>
  </conditionalFormatting>
  <conditionalFormatting sqref="J103:L105">
    <cfRule type="expression" dxfId="756" priority="99" stopIfTrue="1">
      <formula>"esterreur(reference)"</formula>
    </cfRule>
  </conditionalFormatting>
  <conditionalFormatting sqref="J150:L153">
    <cfRule type="expression" dxfId="755" priority="34" stopIfTrue="1">
      <formula>"esterreur(reference)"</formula>
    </cfRule>
  </conditionalFormatting>
  <conditionalFormatting sqref="J296:L304">
    <cfRule type="expression" dxfId="754" priority="95" stopIfTrue="1">
      <formula>"esterreur(reference)"</formula>
    </cfRule>
  </conditionalFormatting>
  <conditionalFormatting sqref="J308:L309">
    <cfRule type="expression" dxfId="753" priority="85" stopIfTrue="1">
      <formula>"esterreur(reference)"</formula>
    </cfRule>
  </conditionalFormatting>
  <conditionalFormatting sqref="J361:L361">
    <cfRule type="expression" dxfId="752" priority="77" stopIfTrue="1">
      <formula>"esterreur(reference)"</formula>
    </cfRule>
  </conditionalFormatting>
  <conditionalFormatting sqref="J366:L377">
    <cfRule type="expression" dxfId="751" priority="82" stopIfTrue="1">
      <formula>"esterreur(reference)"</formula>
    </cfRule>
  </conditionalFormatting>
  <conditionalFormatting sqref="J379:L395">
    <cfRule type="expression" dxfId="750" priority="81" stopIfTrue="1">
      <formula>"esterreur(reference)"</formula>
    </cfRule>
  </conditionalFormatting>
  <conditionalFormatting sqref="J313:M313">
    <cfRule type="expression" dxfId="749" priority="83" stopIfTrue="1">
      <formula>"esterreur(reference)"</formula>
    </cfRule>
  </conditionalFormatting>
  <conditionalFormatting sqref="J113:Q122">
    <cfRule type="expression" dxfId="748" priority="28" stopIfTrue="1">
      <formula>"esterreur(reference)"</formula>
    </cfRule>
  </conditionalFormatting>
  <conditionalFormatting sqref="J124:Q135">
    <cfRule type="expression" dxfId="747" priority="61" stopIfTrue="1">
      <formula>"esterreur(reference)"</formula>
    </cfRule>
  </conditionalFormatting>
  <conditionalFormatting sqref="K5">
    <cfRule type="expression" dxfId="746" priority="92" stopIfTrue="1">
      <formula>"esterreur(reference)"</formula>
    </cfRule>
  </conditionalFormatting>
  <conditionalFormatting sqref="K176">
    <cfRule type="expression" dxfId="745" priority="89" stopIfTrue="1">
      <formula>"esterreur(reference)"</formula>
    </cfRule>
  </conditionalFormatting>
  <conditionalFormatting sqref="K184:K185">
    <cfRule type="expression" dxfId="744" priority="91" stopIfTrue="1">
      <formula>"esterreur(reference)"</formula>
    </cfRule>
  </conditionalFormatting>
  <conditionalFormatting sqref="K288">
    <cfRule type="expression" dxfId="743" priority="75" stopIfTrue="1">
      <formula>"esterreur(reference)"</formula>
    </cfRule>
  </conditionalFormatting>
  <conditionalFormatting sqref="K396">
    <cfRule type="expression" dxfId="742" priority="109" stopIfTrue="1">
      <formula>"esterreur(reference)"</formula>
    </cfRule>
  </conditionalFormatting>
  <conditionalFormatting sqref="K93:L96">
    <cfRule type="expression" dxfId="741" priority="80" stopIfTrue="1">
      <formula>"esterreur(reference)"</formula>
    </cfRule>
  </conditionalFormatting>
  <conditionalFormatting sqref="K100:L101">
    <cfRule type="expression" dxfId="740" priority="100" stopIfTrue="1">
      <formula>"esterreur(reference)"</formula>
    </cfRule>
  </conditionalFormatting>
  <conditionalFormatting sqref="K172:L174">
    <cfRule type="expression" dxfId="739" priority="90" stopIfTrue="1">
      <formula>"esterreur(reference)"</formula>
    </cfRule>
  </conditionalFormatting>
  <conditionalFormatting sqref="K177:L183">
    <cfRule type="expression" dxfId="738" priority="88" stopIfTrue="1">
      <formula>"esterreur(reference)"</formula>
    </cfRule>
  </conditionalFormatting>
  <conditionalFormatting sqref="K186:L197">
    <cfRule type="expression" dxfId="737" priority="84" stopIfTrue="1">
      <formula>"esterreur(reference)"</formula>
    </cfRule>
  </conditionalFormatting>
  <conditionalFormatting sqref="K240:L242">
    <cfRule type="expression" dxfId="736" priority="79" stopIfTrue="1">
      <formula>"esterreur(reference)"</formula>
    </cfRule>
  </conditionalFormatting>
  <conditionalFormatting sqref="K245:L245">
    <cfRule type="expression" dxfId="735" priority="87" stopIfTrue="1">
      <formula>"esterreur(reference)"</formula>
    </cfRule>
  </conditionalFormatting>
  <conditionalFormatting sqref="K248:L248">
    <cfRule type="expression" dxfId="734" priority="86" stopIfTrue="1">
      <formula>"esterreur(reference)"</formula>
    </cfRule>
  </conditionalFormatting>
  <conditionalFormatting sqref="L16:L24 Q16:Q24 O18:O24 D31:D32 L99 O99 Q99">
    <cfRule type="expression" dxfId="733" priority="31" stopIfTrue="1">
      <formula>"esterreur(reference)"</formula>
    </cfRule>
  </conditionalFormatting>
  <conditionalFormatting sqref="L42:L48">
    <cfRule type="expression" dxfId="732" priority="101" stopIfTrue="1">
      <formula>"esterreur(reference)"</formula>
    </cfRule>
  </conditionalFormatting>
  <conditionalFormatting sqref="L75:L82">
    <cfRule type="expression" dxfId="731" priority="70" stopIfTrue="1">
      <formula>"esterreur(reference)"</formula>
    </cfRule>
  </conditionalFormatting>
  <conditionalFormatting sqref="L137:L148">
    <cfRule type="expression" dxfId="730" priority="74" stopIfTrue="1">
      <formula>"esterreur(reference)"</formula>
    </cfRule>
  </conditionalFormatting>
  <conditionalFormatting sqref="L175:L176">
    <cfRule type="expression" dxfId="729" priority="98" stopIfTrue="1">
      <formula>"esterreur(reference)"</formula>
    </cfRule>
  </conditionalFormatting>
  <conditionalFormatting sqref="L199:L210">
    <cfRule type="expression" dxfId="728" priority="97" stopIfTrue="1">
      <formula>"esterreur(reference)"</formula>
    </cfRule>
  </conditionalFormatting>
  <conditionalFormatting sqref="L212:L229">
    <cfRule type="expression" dxfId="727" priority="73" stopIfTrue="1">
      <formula>"esterreur(reference)"</formula>
    </cfRule>
  </conditionalFormatting>
  <conditionalFormatting sqref="L255:L266">
    <cfRule type="expression" dxfId="726" priority="96" stopIfTrue="1">
      <formula>"esterreur(reference)"</formula>
    </cfRule>
  </conditionalFormatting>
  <conditionalFormatting sqref="L268:L285">
    <cfRule type="expression" dxfId="725" priority="72" stopIfTrue="1">
      <formula>"esterreur(reference)"</formula>
    </cfRule>
  </conditionalFormatting>
  <conditionalFormatting sqref="L319:L330">
    <cfRule type="expression" dxfId="724" priority="94" stopIfTrue="1">
      <formula>"esterreur(reference)"</formula>
    </cfRule>
  </conditionalFormatting>
  <conditionalFormatting sqref="L332">
    <cfRule type="expression" dxfId="723" priority="71" stopIfTrue="1">
      <formula>"esterreur(reference)"</formula>
    </cfRule>
  </conditionalFormatting>
  <conditionalFormatting sqref="L335:L344 L346:L349">
    <cfRule type="expression" dxfId="722" priority="93" stopIfTrue="1">
      <formula>"esterreur(reference)"</formula>
    </cfRule>
  </conditionalFormatting>
  <conditionalFormatting sqref="L357:L358 H358:I358 K358 J358:J359 H360:L360">
    <cfRule type="expression" dxfId="721" priority="105" stopIfTrue="1">
      <formula>"esterreur(reference)"</formula>
    </cfRule>
  </conditionalFormatting>
  <conditionalFormatting sqref="L5:Q14">
    <cfRule type="expression" dxfId="720" priority="65" stopIfTrue="1">
      <formula>"esterreur(reference)"</formula>
    </cfRule>
  </conditionalFormatting>
  <conditionalFormatting sqref="L157:Q163">
    <cfRule type="expression" dxfId="719" priority="32" stopIfTrue="1">
      <formula>"esterreur(reference)"</formula>
    </cfRule>
  </conditionalFormatting>
  <conditionalFormatting sqref="M95:M97">
    <cfRule type="expression" dxfId="718" priority="103" stopIfTrue="1">
      <formula>"esterreur(reference)"</formula>
    </cfRule>
  </conditionalFormatting>
  <conditionalFormatting sqref="O13:O14 O16 O83:Q85">
    <cfRule type="expression" dxfId="717" priority="68" stopIfTrue="1">
      <formula>"esterreur(reference)"</formula>
    </cfRule>
  </conditionalFormatting>
  <conditionalFormatting sqref="O173:O197 Q184 O199:P230 O233:Q233 O234:P234">
    <cfRule type="expression" dxfId="716" priority="59" stopIfTrue="1">
      <formula>"esterreur(reference)"</formula>
    </cfRule>
  </conditionalFormatting>
  <conditionalFormatting sqref="O319:P349 O350:Q350 O353:Q353 O354:P354">
    <cfRule type="expression" dxfId="715" priority="43" stopIfTrue="1">
      <formula>"esterreur(reference)"</formula>
    </cfRule>
  </conditionalFormatting>
  <conditionalFormatting sqref="O25:Q72">
    <cfRule type="expression" dxfId="714" priority="29" stopIfTrue="1">
      <formula>"esterreur(reference)"</formula>
    </cfRule>
  </conditionalFormatting>
  <conditionalFormatting sqref="O97:Q99 O123:Q123 O157:P158 O165:Q165 O166:P166">
    <cfRule type="expression" dxfId="713" priority="64" stopIfTrue="1">
      <formula>"esterreur(reference)"</formula>
    </cfRule>
  </conditionalFormatting>
  <conditionalFormatting sqref="O102:Q112">
    <cfRule type="expression" dxfId="712" priority="1" stopIfTrue="1">
      <formula>"esterreur(reference)"</formula>
    </cfRule>
  </conditionalFormatting>
  <conditionalFormatting sqref="O136:Q154">
    <cfRule type="expression" dxfId="711" priority="33" stopIfTrue="1">
      <formula>"esterreur(reference)"</formula>
    </cfRule>
  </conditionalFormatting>
  <conditionalFormatting sqref="O198:Q198">
    <cfRule type="expression" dxfId="710" priority="60" stopIfTrue="1">
      <formula>"esterreur(reference)"</formula>
    </cfRule>
  </conditionalFormatting>
  <conditionalFormatting sqref="O244:Q244 O253:Q254 O255:P285 O286:Q286 O289:Q289 O290:P290">
    <cfRule type="expression" dxfId="709" priority="50" stopIfTrue="1">
      <formula>"esterreur(reference)"</formula>
    </cfRule>
  </conditionalFormatting>
  <conditionalFormatting sqref="O296:Q318">
    <cfRule type="expression" dxfId="708" priority="41" stopIfTrue="1">
      <formula>"esterreur(reference)"</formula>
    </cfRule>
  </conditionalFormatting>
  <conditionalFormatting sqref="O360:Q395">
    <cfRule type="expression" dxfId="707" priority="37" stopIfTrue="1">
      <formula>"esterreur(reference)"</formula>
    </cfRule>
  </conditionalFormatting>
  <conditionalFormatting sqref="O397:Q400">
    <cfRule type="expression" dxfId="706" priority="38" stopIfTrue="1">
      <formula>"esterreur(reference)"</formula>
    </cfRule>
  </conditionalFormatting>
  <conditionalFormatting sqref="P5">
    <cfRule type="expression" dxfId="705" priority="66" stopIfTrue="1">
      <formula>"esterreur(reference)"</formula>
    </cfRule>
  </conditionalFormatting>
  <conditionalFormatting sqref="P176">
    <cfRule type="expression" dxfId="704" priority="54" stopIfTrue="1">
      <formula>"esterreur(reference)"</formula>
    </cfRule>
  </conditionalFormatting>
  <conditionalFormatting sqref="P184:P185">
    <cfRule type="expression" dxfId="703" priority="56" stopIfTrue="1">
      <formula>"esterreur(reference)"</formula>
    </cfRule>
  </conditionalFormatting>
  <conditionalFormatting sqref="P288">
    <cfRule type="expression" dxfId="702" priority="45" stopIfTrue="1">
      <formula>"esterreur(reference)"</formula>
    </cfRule>
  </conditionalFormatting>
  <conditionalFormatting sqref="P396">
    <cfRule type="expression" dxfId="701" priority="39" stopIfTrue="1">
      <formula>"esterreur(reference)"</formula>
    </cfRule>
  </conditionalFormatting>
  <conditionalFormatting sqref="P93:Q96">
    <cfRule type="expression" dxfId="700" priority="62" stopIfTrue="1">
      <formula>"esterreur(reference)"</formula>
    </cfRule>
  </conditionalFormatting>
  <conditionalFormatting sqref="P100:Q101">
    <cfRule type="expression" dxfId="699" priority="63" stopIfTrue="1">
      <formula>"esterreur(reference)"</formula>
    </cfRule>
  </conditionalFormatting>
  <conditionalFormatting sqref="P173:Q174">
    <cfRule type="expression" dxfId="698" priority="55" stopIfTrue="1">
      <formula>"esterreur(reference)"</formula>
    </cfRule>
  </conditionalFormatting>
  <conditionalFormatting sqref="P177:Q183">
    <cfRule type="expression" dxfId="697" priority="53" stopIfTrue="1">
      <formula>"esterreur(reference)"</formula>
    </cfRule>
  </conditionalFormatting>
  <conditionalFormatting sqref="P186:Q197">
    <cfRule type="expression" dxfId="696" priority="52" stopIfTrue="1">
      <formula>"esterreur(reference)"</formula>
    </cfRule>
  </conditionalFormatting>
  <conditionalFormatting sqref="P242:Q242">
    <cfRule type="expression" dxfId="695" priority="46" stopIfTrue="1">
      <formula>"esterreur(reference)"</formula>
    </cfRule>
  </conditionalFormatting>
  <conditionalFormatting sqref="P245:Q245">
    <cfRule type="expression" dxfId="694" priority="48" stopIfTrue="1">
      <formula>"esterreur(reference)"</formula>
    </cfRule>
  </conditionalFormatting>
  <conditionalFormatting sqref="P248:Q248">
    <cfRule type="expression" dxfId="693" priority="47" stopIfTrue="1">
      <formula>"esterreur(reference)"</formula>
    </cfRule>
  </conditionalFormatting>
  <conditionalFormatting sqref="Q75:Q82">
    <cfRule type="expression" dxfId="692" priority="67" stopIfTrue="1">
      <formula>"esterreur(reference)"</formula>
    </cfRule>
  </conditionalFormatting>
  <conditionalFormatting sqref="Q175:Q176">
    <cfRule type="expression" dxfId="691" priority="58" stopIfTrue="1">
      <formula>"esterreur(reference)"</formula>
    </cfRule>
  </conditionalFormatting>
  <conditionalFormatting sqref="Q199:Q210">
    <cfRule type="expression" dxfId="690" priority="57" stopIfTrue="1">
      <formula>"esterreur(reference)"</formula>
    </cfRule>
  </conditionalFormatting>
  <conditionalFormatting sqref="Q212:Q229">
    <cfRule type="expression" dxfId="689" priority="51" stopIfTrue="1">
      <formula>"esterreur(reference)"</formula>
    </cfRule>
  </conditionalFormatting>
  <conditionalFormatting sqref="Q255:Q266">
    <cfRule type="expression" dxfId="688" priority="49" stopIfTrue="1">
      <formula>"esterreur(reference)"</formula>
    </cfRule>
  </conditionalFormatting>
  <conditionalFormatting sqref="Q268:Q285">
    <cfRule type="expression" dxfId="687" priority="44" stopIfTrue="1">
      <formula>"esterreur(reference)"</formula>
    </cfRule>
  </conditionalFormatting>
  <conditionalFormatting sqref="Q319:Q330">
    <cfRule type="expression" dxfId="686" priority="42" stopIfTrue="1">
      <formula>"esterreur(reference)"</formula>
    </cfRule>
  </conditionalFormatting>
  <conditionalFormatting sqref="Q332:Q349">
    <cfRule type="expression" dxfId="685" priority="40" stopIfTrue="1">
      <formula>"esterreur(reference)"</formula>
    </cfRule>
  </conditionalFormatting>
  <conditionalFormatting sqref="R313">
    <cfRule type="expression" dxfId="684" priority="104" stopIfTrue="1">
      <formula>"esterreur(reference)"</formula>
    </cfRule>
  </conditionalFormatting>
  <conditionalFormatting sqref="S187">
    <cfRule type="expression" dxfId="683" priority="76" stopIfTrue="1">
      <formula>"esterreur(reference)"</formula>
    </cfRule>
  </conditionalFormatting>
  <conditionalFormatting sqref="Z426:Z428">
    <cfRule type="cellIs" dxfId="682" priority="20" operator="greaterThan">
      <formula>0</formula>
    </cfRule>
  </conditionalFormatting>
  <conditionalFormatting sqref="Z433">
    <cfRule type="cellIs" dxfId="681" priority="17" operator="greaterThan">
      <formula>0</formula>
    </cfRule>
  </conditionalFormatting>
  <conditionalFormatting sqref="Z450:Z452">
    <cfRule type="cellIs" dxfId="680" priority="13" operator="greaterThan">
      <formula>0</formula>
    </cfRule>
  </conditionalFormatting>
  <conditionalFormatting sqref="Z464:Z466">
    <cfRule type="cellIs" dxfId="679" priority="9" operator="greaterThan">
      <formula>0</formula>
    </cfRule>
  </conditionalFormatting>
  <conditionalFormatting sqref="Z479:Z480">
    <cfRule type="cellIs" dxfId="678" priority="6" operator="greaterThan">
      <formula>0</formula>
    </cfRule>
  </conditionalFormatting>
  <conditionalFormatting sqref="Z496:Z498">
    <cfRule type="cellIs" dxfId="677" priority="3" operator="greaterThan">
      <formula>0</formula>
    </cfRule>
  </conditionalFormatting>
  <conditionalFormatting sqref="AC426:AC428">
    <cfRule type="cellIs" dxfId="676" priority="21" operator="greaterThan">
      <formula>0</formula>
    </cfRule>
  </conditionalFormatting>
  <conditionalFormatting sqref="AC433">
    <cfRule type="cellIs" dxfId="675" priority="18" operator="greaterThan">
      <formula>0</formula>
    </cfRule>
  </conditionalFormatting>
  <conditionalFormatting sqref="AC450:AC452">
    <cfRule type="cellIs" dxfId="674" priority="14" operator="greaterThan">
      <formula>0</formula>
    </cfRule>
  </conditionalFormatting>
  <conditionalFormatting sqref="AC464:AC466">
    <cfRule type="cellIs" dxfId="673" priority="10" operator="greaterThan">
      <formula>0</formula>
    </cfRule>
  </conditionalFormatting>
  <conditionalFormatting sqref="AC479:AC480">
    <cfRule type="cellIs" dxfId="672" priority="7" operator="greaterThan">
      <formula>0</formula>
    </cfRule>
  </conditionalFormatting>
  <conditionalFormatting sqref="AC496:AC498">
    <cfRule type="cellIs" dxfId="671" priority="4" operator="greaterThan">
      <formula>0</formula>
    </cfRule>
  </conditionalFormatting>
  <conditionalFormatting sqref="AG410:AI419">
    <cfRule type="cellIs" dxfId="670" priority="23" operator="greaterThan">
      <formula>0</formula>
    </cfRule>
  </conditionalFormatting>
  <conditionalFormatting sqref="AH450:AH453">
    <cfRule type="cellIs" dxfId="669" priority="15" operator="greaterThan">
      <formula>0</formula>
    </cfRule>
  </conditionalFormatting>
  <conditionalFormatting sqref="AH462:AH467">
    <cfRule type="cellIs" dxfId="668" priority="11" operator="greaterThan">
      <formula>0</formula>
    </cfRule>
  </conditionalFormatting>
  <conditionalFormatting sqref="AH421:AI449">
    <cfRule type="cellIs" dxfId="667" priority="19" operator="greaterThan">
      <formula>0</formula>
    </cfRule>
  </conditionalFormatting>
  <conditionalFormatting sqref="AH454:AI461 AH468:AI469">
    <cfRule type="cellIs" dxfId="666" priority="24" operator="greaterThan">
      <formula>0</formula>
    </cfRule>
  </conditionalFormatting>
  <conditionalFormatting sqref="AH470:AI478 AH481:AI481">
    <cfRule type="cellIs" dxfId="665" priority="25" operator="lessThan">
      <formula>0</formula>
    </cfRule>
  </conditionalFormatting>
  <conditionalFormatting sqref="AH479:AI480">
    <cfRule type="cellIs" dxfId="664" priority="8" operator="greaterThan">
      <formula>0</formula>
    </cfRule>
  </conditionalFormatting>
  <conditionalFormatting sqref="AH492:AI498">
    <cfRule type="cellIs" dxfId="663" priority="5" operator="greaterThan">
      <formula>0</formula>
    </cfRule>
  </conditionalFormatting>
  <conditionalFormatting sqref="AI450:AI452">
    <cfRule type="cellIs" dxfId="662" priority="16" operator="greaterThan">
      <formula>0</formula>
    </cfRule>
  </conditionalFormatting>
  <conditionalFormatting sqref="AI464:AI466">
    <cfRule type="cellIs" dxfId="661" priority="12" operator="greaterThan">
      <formula>0</formula>
    </cfRule>
  </conditionalFormatting>
  <conditionalFormatting sqref="AO410:AO419">
    <cfRule type="cellIs" dxfId="660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39" fitToHeight="0" orientation="landscape" r:id="rId1"/>
  <rowBreaks count="12" manualBreakCount="12">
    <brk id="87" min="2" max="18" man="1"/>
    <brk id="88" min="1" max="1" man="1"/>
    <brk id="167" min="1" max="1" man="1"/>
    <brk id="167" min="2" max="18" man="1"/>
    <brk id="235" min="1" max="1" man="1"/>
    <brk id="235" min="2" max="18" man="1"/>
    <brk id="290" min="2" max="18" man="1"/>
    <brk id="290" min="1" max="1" man="1"/>
    <brk id="355" min="1" max="1" man="1"/>
    <brk id="399" min="1" max="1" man="1"/>
    <brk id="483" min="1" max="1" man="1"/>
    <brk id="484" min="1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/>
  <dimension ref="A1"/>
  <sheetViews>
    <sheetView workbookViewId="0">
      <selection activeCell="E14" sqref="E14"/>
    </sheetView>
  </sheetViews>
  <sheetFormatPr baseColWidth="10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1">
    <tabColor rgb="FF00B050"/>
  </sheetPr>
  <dimension ref="A1:BJ705"/>
  <sheetViews>
    <sheetView zoomScale="60" zoomScaleNormal="60" workbookViewId="0">
      <selection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">
        <v>269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05" t="s">
        <v>5</v>
      </c>
      <c r="E3" s="506"/>
      <c r="F3" s="507"/>
      <c r="G3" s="508"/>
      <c r="H3" s="506"/>
      <c r="I3" s="507"/>
      <c r="J3" s="508" t="s">
        <v>7</v>
      </c>
      <c r="K3" s="506"/>
      <c r="L3" s="507"/>
      <c r="M3" s="508" t="s">
        <v>212</v>
      </c>
      <c r="N3" s="507"/>
      <c r="O3" s="505" t="s">
        <v>8</v>
      </c>
      <c r="P3" s="506"/>
      <c r="Q3" s="507"/>
      <c r="R3" s="503" t="s">
        <v>213</v>
      </c>
      <c r="S3" s="504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99" si="0">+$K$1</f>
        <v>Véhicules neufs</v>
      </c>
      <c r="C5" s="20" t="s">
        <v>14</v>
      </c>
      <c r="D5" s="21"/>
      <c r="E5" s="21"/>
      <c r="F5" s="22">
        <v>1899517.9411764706</v>
      </c>
      <c r="G5" s="23"/>
      <c r="H5" s="21"/>
      <c r="I5" s="24"/>
      <c r="J5" s="23"/>
      <c r="K5" s="25"/>
      <c r="L5" s="22">
        <v>2533152.0900000003</v>
      </c>
      <c r="M5" s="26"/>
      <c r="N5" s="27"/>
      <c r="O5" s="23"/>
      <c r="P5" s="25"/>
      <c r="Q5" s="22">
        <v>1665036.25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:A85" si="1">+B6&amp;C6</f>
        <v>Véhicules neufsAutos détail</v>
      </c>
      <c r="B6" s="11" t="str">
        <f t="shared" si="0"/>
        <v>Véhicules neufs</v>
      </c>
      <c r="C6" s="29" t="s">
        <v>15</v>
      </c>
      <c r="D6" s="30">
        <v>5</v>
      </c>
      <c r="E6" s="30">
        <f>IF(D6=0,0,F6/D6)</f>
        <v>4701.1764705882351</v>
      </c>
      <c r="F6" s="30">
        <v>23505.882352941175</v>
      </c>
      <c r="G6" s="31"/>
      <c r="H6" s="30"/>
      <c r="I6" s="30"/>
      <c r="J6" s="31">
        <v>8</v>
      </c>
      <c r="K6" s="30">
        <f>IF(J6=0,0,L6/J6)</f>
        <v>5754.4687499999945</v>
      </c>
      <c r="L6" s="32">
        <v>46035.749999999956</v>
      </c>
      <c r="M6" s="31">
        <f t="shared" ref="M6:M12" si="2">J6-D6</f>
        <v>3</v>
      </c>
      <c r="N6" s="33">
        <f t="shared" ref="N6:N12" si="3">L6-F6</f>
        <v>22529.867647058782</v>
      </c>
      <c r="O6" s="31">
        <v>7</v>
      </c>
      <c r="P6" s="30">
        <f t="shared" ref="P6:P12" si="4">IF(O6=0,0,Q6/O6)</f>
        <v>5502.9071428571424</v>
      </c>
      <c r="Q6" s="32">
        <v>38520.35</v>
      </c>
      <c r="R6" s="31">
        <f>J6-O6</f>
        <v>1</v>
      </c>
      <c r="S6" s="34">
        <f>L6-Q6</f>
        <v>7515.3999999999578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>+B7&amp;C7</f>
        <v>Véhicules neufsCamions détail</v>
      </c>
      <c r="B7" s="11" t="str">
        <f t="shared" si="0"/>
        <v>Véhicules neufs</v>
      </c>
      <c r="C7" s="29" t="s">
        <v>16</v>
      </c>
      <c r="D7" s="30">
        <v>13</v>
      </c>
      <c r="E7" s="30">
        <f t="shared" ref="E7:E12" si="5">IF(D7=0,0,F7/D7)</f>
        <v>3928.5</v>
      </c>
      <c r="F7" s="30">
        <v>51070.5</v>
      </c>
      <c r="G7" s="31"/>
      <c r="H7" s="30"/>
      <c r="I7" s="30"/>
      <c r="J7" s="31">
        <v>14</v>
      </c>
      <c r="K7" s="30">
        <f t="shared" ref="K7:K12" si="6">IF(J7=0,0,L7/J7)</f>
        <v>3670.9135714285781</v>
      </c>
      <c r="L7" s="32">
        <v>51392.790000000095</v>
      </c>
      <c r="M7" s="31">
        <f t="shared" si="2"/>
        <v>1</v>
      </c>
      <c r="N7" s="33">
        <f t="shared" si="3"/>
        <v>322.29000000009546</v>
      </c>
      <c r="O7" s="31">
        <v>8</v>
      </c>
      <c r="P7" s="30">
        <f t="shared" si="4"/>
        <v>3987.5362499999874</v>
      </c>
      <c r="Q7" s="32">
        <v>31900.289999999899</v>
      </c>
      <c r="R7" s="31">
        <f t="shared" ref="R7:R12" si="7">J7-O7</f>
        <v>6</v>
      </c>
      <c r="S7" s="34">
        <f t="shared" ref="S7:S12" si="8">L7-Q7</f>
        <v>19492.500000000196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>+B8&amp;C8</f>
        <v>Véhicules neufsSprinter</v>
      </c>
      <c r="B8" s="11" t="str">
        <f t="shared" si="0"/>
        <v>Véhicules neufs</v>
      </c>
      <c r="C8" s="29" t="s">
        <v>17</v>
      </c>
      <c r="D8" s="30">
        <v>0</v>
      </c>
      <c r="E8" s="30">
        <f t="shared" si="5"/>
        <v>0</v>
      </c>
      <c r="F8" s="30">
        <v>0</v>
      </c>
      <c r="G8" s="31"/>
      <c r="H8" s="30"/>
      <c r="I8" s="30"/>
      <c r="J8" s="31">
        <v>0</v>
      </c>
      <c r="K8" s="30">
        <f t="shared" si="6"/>
        <v>0</v>
      </c>
      <c r="L8" s="32">
        <v>0</v>
      </c>
      <c r="M8" s="31">
        <f t="shared" si="2"/>
        <v>0</v>
      </c>
      <c r="N8" s="33">
        <f t="shared" si="3"/>
        <v>0</v>
      </c>
      <c r="O8" s="31">
        <v>0</v>
      </c>
      <c r="P8" s="30">
        <f t="shared" si="4"/>
        <v>0</v>
      </c>
      <c r="Q8" s="32"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>+B9&amp;C9</f>
        <v>Véhicules neufsMoto détail</v>
      </c>
      <c r="B9" s="11" t="str">
        <f t="shared" si="0"/>
        <v>Véhicules neufs</v>
      </c>
      <c r="C9" s="29" t="s">
        <v>18</v>
      </c>
      <c r="D9" s="30">
        <v>0</v>
      </c>
      <c r="E9" s="30">
        <f t="shared" si="5"/>
        <v>0</v>
      </c>
      <c r="F9" s="30">
        <v>0</v>
      </c>
      <c r="G9" s="31"/>
      <c r="H9" s="30"/>
      <c r="I9" s="30"/>
      <c r="J9" s="31">
        <v>0</v>
      </c>
      <c r="K9" s="30">
        <f t="shared" si="6"/>
        <v>0</v>
      </c>
      <c r="L9" s="32">
        <v>0</v>
      </c>
      <c r="M9" s="31">
        <f t="shared" si="2"/>
        <v>0</v>
      </c>
      <c r="N9" s="33">
        <f t="shared" si="3"/>
        <v>0</v>
      </c>
      <c r="O9" s="31">
        <v>0</v>
      </c>
      <c r="P9" s="30">
        <f t="shared" si="4"/>
        <v>0</v>
      </c>
      <c r="Q9" s="32"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>+B10&amp;C10</f>
        <v>Véhicules neufs[...]</v>
      </c>
      <c r="B10" s="11" t="str">
        <f t="shared" si="0"/>
        <v>Véhicules neufs</v>
      </c>
      <c r="C10" s="29" t="s">
        <v>19</v>
      </c>
      <c r="D10" s="30">
        <v>0</v>
      </c>
      <c r="E10" s="30">
        <f t="shared" si="5"/>
        <v>0</v>
      </c>
      <c r="F10" s="30">
        <v>0</v>
      </c>
      <c r="G10" s="31"/>
      <c r="H10" s="30"/>
      <c r="I10" s="30"/>
      <c r="J10" s="31">
        <v>0</v>
      </c>
      <c r="K10" s="30">
        <f t="shared" si="6"/>
        <v>0</v>
      </c>
      <c r="L10" s="32">
        <v>0</v>
      </c>
      <c r="M10" s="31">
        <f t="shared" si="2"/>
        <v>0</v>
      </c>
      <c r="N10" s="33">
        <f t="shared" si="3"/>
        <v>0</v>
      </c>
      <c r="O10" s="31">
        <v>0</v>
      </c>
      <c r="P10" s="30">
        <f t="shared" si="4"/>
        <v>0</v>
      </c>
      <c r="Q10" s="32"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>+B11&amp;C11</f>
        <v>Véhicules neufs[...]</v>
      </c>
      <c r="B11" s="11" t="str">
        <f t="shared" si="0"/>
        <v>Véhicules neufs</v>
      </c>
      <c r="C11" s="29" t="s">
        <v>19</v>
      </c>
      <c r="D11" s="30">
        <v>0</v>
      </c>
      <c r="E11" s="30">
        <f t="shared" si="5"/>
        <v>0</v>
      </c>
      <c r="F11" s="30">
        <v>0</v>
      </c>
      <c r="G11" s="31"/>
      <c r="H11" s="30"/>
      <c r="I11" s="30"/>
      <c r="J11" s="31">
        <v>0</v>
      </c>
      <c r="K11" s="30">
        <f t="shared" si="6"/>
        <v>0</v>
      </c>
      <c r="L11" s="32">
        <v>0</v>
      </c>
      <c r="M11" s="31">
        <f t="shared" si="2"/>
        <v>0</v>
      </c>
      <c r="N11" s="33">
        <f t="shared" si="3"/>
        <v>0</v>
      </c>
      <c r="O11" s="31">
        <v>0</v>
      </c>
      <c r="P11" s="30">
        <f t="shared" si="4"/>
        <v>0</v>
      </c>
      <c r="Q11" s="32"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ref="A12:A91" si="9">+B12&amp;C12</f>
        <v>Véhicules neufs[...]</v>
      </c>
      <c r="B12" s="11" t="str">
        <f t="shared" si="0"/>
        <v>Véhicules neufs</v>
      </c>
      <c r="C12" s="29" t="s">
        <v>19</v>
      </c>
      <c r="D12" s="30">
        <v>0</v>
      </c>
      <c r="E12" s="30">
        <f t="shared" si="5"/>
        <v>0</v>
      </c>
      <c r="F12" s="30">
        <v>0</v>
      </c>
      <c r="G12" s="31"/>
      <c r="H12" s="30"/>
      <c r="I12" s="30"/>
      <c r="J12" s="31">
        <v>0</v>
      </c>
      <c r="K12" s="30">
        <f t="shared" si="6"/>
        <v>0</v>
      </c>
      <c r="L12" s="32">
        <v>0</v>
      </c>
      <c r="M12" s="31">
        <f t="shared" si="2"/>
        <v>0</v>
      </c>
      <c r="N12" s="33">
        <f t="shared" si="3"/>
        <v>0</v>
      </c>
      <c r="O12" s="31">
        <v>0</v>
      </c>
      <c r="P12" s="30">
        <f t="shared" si="4"/>
        <v>0</v>
      </c>
      <c r="Q12" s="32"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9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18</v>
      </c>
      <c r="E13" s="36">
        <f>IF(D13&lt;=0,0,F13/D13)</f>
        <v>4143.1323529411766</v>
      </c>
      <c r="F13" s="37">
        <f>+SUM(F6:F12)</f>
        <v>74576.382352941175</v>
      </c>
      <c r="G13" s="38"/>
      <c r="H13" s="36"/>
      <c r="I13" s="37"/>
      <c r="J13" s="38">
        <f>+SUM(J6:J12)</f>
        <v>22</v>
      </c>
      <c r="K13" s="36">
        <f>IF(J13&lt;=0,0,L13/J13)</f>
        <v>4428.5700000000024</v>
      </c>
      <c r="L13" s="37">
        <f>+SUM(L6:L12)</f>
        <v>97428.540000000052</v>
      </c>
      <c r="M13" s="38">
        <f>+SUM(M6:M12)</f>
        <v>4</v>
      </c>
      <c r="N13" s="37">
        <f>+SUM(N6:N12)</f>
        <v>22852.157647058877</v>
      </c>
      <c r="O13" s="38">
        <f>+SUM(O6:O12)</f>
        <v>15</v>
      </c>
      <c r="P13" s="36">
        <f>IF(O13&lt;=0,0,Q13/O13)</f>
        <v>4694.7093333333269</v>
      </c>
      <c r="Q13" s="37">
        <f>+SUM(Q6:Q12)</f>
        <v>70420.639999999898</v>
      </c>
      <c r="R13" s="38">
        <f>+SUM(R6:R12)</f>
        <v>7</v>
      </c>
      <c r="S13" s="39">
        <f>+SUM(S6:S12)</f>
        <v>27007.900000000154</v>
      </c>
      <c r="T13" s="13"/>
      <c r="U13" s="13"/>
      <c r="W13" s="11">
        <v>22</v>
      </c>
      <c r="X13" s="11">
        <v>97429</v>
      </c>
      <c r="Y13" s="515">
        <f>L13-X13</f>
        <v>-0.45999999994819518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9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0.22222222222222221</v>
      </c>
      <c r="N14" s="43">
        <f>IF(F13=0,0,N13/F13)</f>
        <v>0.30642620258661052</v>
      </c>
      <c r="O14" s="41"/>
      <c r="P14" s="30"/>
      <c r="Q14" s="40"/>
      <c r="R14" s="42">
        <f>R13/O13</f>
        <v>0.46666666666666667</v>
      </c>
      <c r="S14" s="44">
        <f>IF(Q13=0,0,(S13/Q13))</f>
        <v>0.38352250135755928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9"/>
        <v>Véhicules neufsEx-Démos et courtoisies</v>
      </c>
      <c r="B15" s="11" t="str">
        <f t="shared" si="0"/>
        <v>Véhicules neufs</v>
      </c>
      <c r="C15" s="45" t="s">
        <v>21</v>
      </c>
      <c r="D15" s="25">
        <v>3</v>
      </c>
      <c r="E15" s="25">
        <f>IF(D15=0,0,F15/D15)</f>
        <v>1200</v>
      </c>
      <c r="F15" s="22">
        <v>3600</v>
      </c>
      <c r="G15" s="46"/>
      <c r="H15" s="47"/>
      <c r="I15" s="48"/>
      <c r="J15" s="49">
        <v>2</v>
      </c>
      <c r="K15" s="50">
        <f>IF(J15=0,0,L15/J15)</f>
        <v>878.34999999999127</v>
      </c>
      <c r="L15" s="50">
        <v>1756.6999999999825</v>
      </c>
      <c r="M15" s="51">
        <f>J15-D15</f>
        <v>-1</v>
      </c>
      <c r="N15" s="48">
        <f>L15-F15</f>
        <v>-1843.3000000000175</v>
      </c>
      <c r="O15" s="49">
        <v>3</v>
      </c>
      <c r="P15" s="50">
        <f>IF(O15=0,0,Q15/O15)</f>
        <v>1692.6766666666633</v>
      </c>
      <c r="Q15" s="50">
        <v>5078.0299999999897</v>
      </c>
      <c r="R15" s="51">
        <f>J15-O15</f>
        <v>-1</v>
      </c>
      <c r="S15" s="52">
        <f>L15-Q15</f>
        <v>-3321.3300000000072</v>
      </c>
      <c r="T15" s="13"/>
      <c r="U15" s="13"/>
      <c r="W15" s="453">
        <v>2</v>
      </c>
      <c r="X15" s="11">
        <f>-250+2007</f>
        <v>1757</v>
      </c>
      <c r="Y15" s="515">
        <f>L15-X15</f>
        <v>-0.3000000000174623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9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9"/>
        <v>Véhicules neufsFlottes</v>
      </c>
      <c r="B17" s="11" t="str">
        <f t="shared" si="0"/>
        <v>Véhicules neufs</v>
      </c>
      <c r="C17" s="53" t="s">
        <v>22</v>
      </c>
      <c r="D17" s="30">
        <v>1</v>
      </c>
      <c r="E17" s="30">
        <f>IF(D17=0,0,F17/D17)</f>
        <v>750</v>
      </c>
      <c r="F17" s="30">
        <v>750</v>
      </c>
      <c r="G17" s="31"/>
      <c r="H17" s="30"/>
      <c r="I17" s="30"/>
      <c r="J17" s="51">
        <v>2</v>
      </c>
      <c r="K17" s="30">
        <f>IF(J17=0,0,L17/J17)</f>
        <v>2520.7699999999968</v>
      </c>
      <c r="L17" s="33">
        <v>5041.5399999999936</v>
      </c>
      <c r="M17" s="51">
        <f>J17-D17</f>
        <v>1</v>
      </c>
      <c r="N17" s="33">
        <f>L17-F17</f>
        <v>4291.5399999999936</v>
      </c>
      <c r="O17" s="51">
        <v>1</v>
      </c>
      <c r="P17" s="30">
        <f>IF(O17=0,0,Q17/O17)</f>
        <v>2881.0099999999902</v>
      </c>
      <c r="Q17" s="33">
        <v>2881.0099999999902</v>
      </c>
      <c r="R17" s="31">
        <f>J17-O17</f>
        <v>1</v>
      </c>
      <c r="S17" s="34">
        <f>L17-Q17</f>
        <v>2160.5300000000034</v>
      </c>
      <c r="T17" s="13"/>
      <c r="U17" s="13"/>
      <c r="W17" s="11">
        <v>2</v>
      </c>
      <c r="X17" s="11">
        <v>5042</v>
      </c>
      <c r="Y17" s="515">
        <f>L17-X17</f>
        <v>-0.46000000000640284</v>
      </c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9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0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9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9"/>
        <v>Véhicules neufsRev. Finances</v>
      </c>
      <c r="B21" s="11" t="str">
        <f t="shared" si="0"/>
        <v>Véhicules neufs</v>
      </c>
      <c r="C21" s="29" t="s">
        <v>24</v>
      </c>
      <c r="D21" s="30"/>
      <c r="E21" s="30">
        <f>IF(D13=0,0,F21/(D13+D15))</f>
        <v>7</v>
      </c>
      <c r="F21" s="30">
        <v>147</v>
      </c>
      <c r="G21" s="41"/>
      <c r="H21" s="30"/>
      <c r="I21" s="30"/>
      <c r="J21" s="31"/>
      <c r="K21" s="30">
        <f>IF(J13=0,0,L21/(J13+J15))</f>
        <v>0</v>
      </c>
      <c r="L21" s="33">
        <v>0</v>
      </c>
      <c r="M21" s="31"/>
      <c r="N21" s="33">
        <f>L21-F21</f>
        <v>-147</v>
      </c>
      <c r="O21" s="31"/>
      <c r="P21" s="30">
        <f>IF(O13=0,0,Q21/(O13+O15))</f>
        <v>0</v>
      </c>
      <c r="Q21" s="33"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9"/>
        <v>Véhicules neufsRev. Protections</v>
      </c>
      <c r="B22" s="11" t="str">
        <f t="shared" si="0"/>
        <v>Véhicules neufs</v>
      </c>
      <c r="C22" s="29" t="s">
        <v>25</v>
      </c>
      <c r="D22" s="30"/>
      <c r="E22" s="30">
        <f>IF(D13=0,0,F22/(D13+D15))</f>
        <v>1150</v>
      </c>
      <c r="F22" s="30">
        <v>24150</v>
      </c>
      <c r="G22" s="41"/>
      <c r="H22" s="30"/>
      <c r="I22" s="30"/>
      <c r="J22" s="31"/>
      <c r="K22" s="30">
        <f>IF(J13=0,0,L22/(J13+J15))</f>
        <v>253.54166666666666</v>
      </c>
      <c r="L22" s="33">
        <v>6085</v>
      </c>
      <c r="M22" s="31"/>
      <c r="N22" s="33">
        <f>L22-F22</f>
        <v>-18065</v>
      </c>
      <c r="O22" s="31"/>
      <c r="P22" s="30">
        <f>IF(O13=0,0,Q22/(O13+O15))</f>
        <v>1654.6972222222221</v>
      </c>
      <c r="Q22" s="33">
        <v>29784.55</v>
      </c>
      <c r="R22" s="31">
        <f>O22-K22</f>
        <v>-253.54166666666666</v>
      </c>
      <c r="S22" s="34">
        <f>L22-Q22</f>
        <v>-23699.55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9"/>
        <v>Véhicules neufsRev. Autres</v>
      </c>
      <c r="B23" s="11" t="str">
        <f t="shared" si="0"/>
        <v>Véhicules neufs</v>
      </c>
      <c r="C23" s="29" t="s">
        <v>26</v>
      </c>
      <c r="D23" s="30"/>
      <c r="E23" s="30">
        <f>IF(D13=0,0,F23/(D13+D15))</f>
        <v>443</v>
      </c>
      <c r="F23" s="30">
        <v>9303</v>
      </c>
      <c r="G23" s="41"/>
      <c r="H23" s="30"/>
      <c r="I23" s="30"/>
      <c r="J23" s="31"/>
      <c r="K23" s="30">
        <f>IF(J13=0,0,L23/(J13+J15))</f>
        <v>388.91624999999999</v>
      </c>
      <c r="L23" s="33">
        <v>9333.99</v>
      </c>
      <c r="M23" s="51"/>
      <c r="N23" s="33">
        <f>L23-F23</f>
        <v>30.989999999999782</v>
      </c>
      <c r="O23" s="31"/>
      <c r="P23" s="30">
        <f>IF(O13=0,0,Q23/(O13+O15))</f>
        <v>1082.163888888889</v>
      </c>
      <c r="Q23" s="33">
        <v>19478.95</v>
      </c>
      <c r="R23" s="31">
        <f>O23-K23</f>
        <v>-388.91624999999999</v>
      </c>
      <c r="S23" s="34">
        <f>L23-Q23</f>
        <v>-10144.960000000001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9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21</v>
      </c>
      <c r="E24" s="36">
        <f>IF(D24&lt;=0,0,F24/D24)</f>
        <v>1600</v>
      </c>
      <c r="F24" s="37">
        <f>F21+F22+F23</f>
        <v>33600</v>
      </c>
      <c r="G24" s="38"/>
      <c r="H24" s="36"/>
      <c r="I24" s="37"/>
      <c r="J24" s="38">
        <f>+J15+J13</f>
        <v>24</v>
      </c>
      <c r="K24" s="36">
        <f>IF(J24&lt;=0,0,L24/J24)</f>
        <v>642.45791666666662</v>
      </c>
      <c r="L24" s="37">
        <f>L21+L22+L23</f>
        <v>15418.99</v>
      </c>
      <c r="M24" s="58">
        <f>J24-D24</f>
        <v>3</v>
      </c>
      <c r="N24" s="37">
        <f>L24-F24</f>
        <v>-18181.010000000002</v>
      </c>
      <c r="O24" s="38">
        <f>+O15+O13</f>
        <v>18</v>
      </c>
      <c r="P24" s="36">
        <f>IF(O24&lt;=0,0,Q24/O24)</f>
        <v>2736.8611111111113</v>
      </c>
      <c r="Q24" s="37">
        <f>Q21+Q22+Q23</f>
        <v>49263.5</v>
      </c>
      <c r="R24" s="56"/>
      <c r="S24" s="39">
        <f>L24-Q24</f>
        <v>-33844.51</v>
      </c>
      <c r="T24" s="13"/>
      <c r="U24" s="13"/>
      <c r="W24" s="11"/>
      <c r="X24" s="11">
        <v>15419</v>
      </c>
      <c r="Y24" s="515">
        <f>L24-X24</f>
        <v>-1.0000000000218279E-2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9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-0.54110148809523817</v>
      </c>
      <c r="O25" s="41"/>
      <c r="P25" s="13"/>
      <c r="Q25" s="59"/>
      <c r="R25" s="60"/>
      <c r="S25" s="44">
        <f>IF(Q24=0,0,(S24/Q24))</f>
        <v>-0.68700985516660407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9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9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22</v>
      </c>
      <c r="E27" s="64">
        <f>IF(D27&lt;=0,0,F27/D27)</f>
        <v>5114.8355614973261</v>
      </c>
      <c r="F27" s="65">
        <f>F13+F17+F24+F15</f>
        <v>112526.38235294117</v>
      </c>
      <c r="G27" s="66"/>
      <c r="H27" s="67"/>
      <c r="I27" s="65"/>
      <c r="J27" s="66">
        <f>+J13+J15+J17</f>
        <v>26</v>
      </c>
      <c r="K27" s="67">
        <f>IF(J27&lt;=0,0,L27/J27)</f>
        <v>4601.7603846153861</v>
      </c>
      <c r="L27" s="65">
        <f>L13+L17+L24+L15</f>
        <v>119645.77000000003</v>
      </c>
      <c r="M27" s="66">
        <f>J27-D27</f>
        <v>4</v>
      </c>
      <c r="N27" s="65">
        <f>L27-F27</f>
        <v>7119.3876470588584</v>
      </c>
      <c r="O27" s="66">
        <f>+O13+O15+O17</f>
        <v>19</v>
      </c>
      <c r="P27" s="67">
        <f>IF(O27&lt;=0,0,Q27/O27)</f>
        <v>6718.0621052631514</v>
      </c>
      <c r="Q27" s="65">
        <f>Q13+Q17+Q24+Q15</f>
        <v>127643.17999999988</v>
      </c>
      <c r="R27" s="66">
        <f>J27-O27</f>
        <v>7</v>
      </c>
      <c r="S27" s="68">
        <f>L27-Q27</f>
        <v>-7997.4099999998434</v>
      </c>
      <c r="T27" s="13"/>
      <c r="U27" s="13"/>
      <c r="W27" s="11">
        <f>SUM(W13:W26)</f>
        <v>26</v>
      </c>
      <c r="X27" s="11">
        <f>SUM(X13:X26)</f>
        <v>119647</v>
      </c>
      <c r="Y27" s="515">
        <f>L27-X27</f>
        <v>-1.2299999999668216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9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0.18181818181818182</v>
      </c>
      <c r="N28" s="74">
        <f>N27/F27</f>
        <v>6.3268608642627122E-2</v>
      </c>
      <c r="O28" s="72"/>
      <c r="P28" s="70"/>
      <c r="Q28" s="71"/>
      <c r="R28" s="73">
        <f>R27/O27</f>
        <v>0.36842105263157893</v>
      </c>
      <c r="S28" s="75">
        <f>IF(Q27=0,0,S27/Q27)</f>
        <v>-6.2654424623390381E-2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9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9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9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0.29497583616737116</v>
      </c>
      <c r="E31" s="82">
        <f t="shared" ref="E31:E40" si="10">F31/D$24</f>
        <v>1098.1020834809019</v>
      </c>
      <c r="F31" s="30">
        <v>23060.143753098942</v>
      </c>
      <c r="G31" s="156"/>
      <c r="H31" s="82"/>
      <c r="I31" s="30"/>
      <c r="J31" s="156">
        <f>L31/(L13+L15)</f>
        <v>0.26231413061056252</v>
      </c>
      <c r="K31" s="82">
        <f t="shared" ref="K31:K40" si="11">IF(L31=0,0,L31/J$24)</f>
        <v>1084.0704166666667</v>
      </c>
      <c r="L31" s="30">
        <v>26017.69</v>
      </c>
      <c r="M31" s="41"/>
      <c r="N31" s="59">
        <f t="shared" ref="N31:N53" si="12">L31-F31</f>
        <v>2957.5462469010563</v>
      </c>
      <c r="O31" s="156">
        <f>Q31/(Q13+Q15+Q17)</f>
        <v>0.27364031085607948</v>
      </c>
      <c r="P31" s="82">
        <f t="shared" ref="P31:P40" si="13">Q31/O$24</f>
        <v>1191.5466666666666</v>
      </c>
      <c r="Q31" s="33">
        <v>21447.84</v>
      </c>
      <c r="R31" s="41"/>
      <c r="S31" s="85">
        <f t="shared" ref="S31:S41" si="14">L31-Q31</f>
        <v>4569.8499999999985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9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v>10248</v>
      </c>
      <c r="G32" s="161"/>
      <c r="H32" s="90"/>
      <c r="I32" s="22"/>
      <c r="J32" s="161">
        <f>L32/L24</f>
        <v>0.16544209445625166</v>
      </c>
      <c r="K32" s="88">
        <f t="shared" si="11"/>
        <v>106.28958333333333</v>
      </c>
      <c r="L32" s="22">
        <v>2550.9499999999998</v>
      </c>
      <c r="M32" s="23"/>
      <c r="N32" s="91">
        <f t="shared" si="12"/>
        <v>-7697.05</v>
      </c>
      <c r="O32" s="161">
        <f>Q32/Q24</f>
        <v>0.34380545434246451</v>
      </c>
      <c r="P32" s="88">
        <f t="shared" si="13"/>
        <v>940.9477777777779</v>
      </c>
      <c r="Q32" s="22">
        <v>16937.060000000001</v>
      </c>
      <c r="R32" s="23"/>
      <c r="S32" s="92">
        <f t="shared" si="14"/>
        <v>-14386.11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9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v>2520</v>
      </c>
      <c r="G33" s="83"/>
      <c r="H33" s="82"/>
      <c r="I33" s="30"/>
      <c r="J33" s="41"/>
      <c r="K33" s="82">
        <f t="shared" si="11"/>
        <v>322.75</v>
      </c>
      <c r="L33" s="30">
        <v>7746</v>
      </c>
      <c r="M33" s="41"/>
      <c r="N33" s="59">
        <f t="shared" si="12"/>
        <v>5226</v>
      </c>
      <c r="O33" s="41"/>
      <c r="P33" s="82">
        <f t="shared" si="13"/>
        <v>148.78444444444443</v>
      </c>
      <c r="Q33" s="33">
        <v>2678.12</v>
      </c>
      <c r="R33" s="41"/>
      <c r="S33" s="85">
        <f t="shared" si="14"/>
        <v>5067.88</v>
      </c>
      <c r="T33" s="13"/>
      <c r="U33" s="13"/>
      <c r="V33" s="489" t="s">
        <v>247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9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v>735</v>
      </c>
      <c r="G34" s="83"/>
      <c r="H34" s="82"/>
      <c r="I34" s="30"/>
      <c r="J34" s="41"/>
      <c r="K34" s="82">
        <f t="shared" si="11"/>
        <v>61.666666666666664</v>
      </c>
      <c r="L34" s="30">
        <v>1480</v>
      </c>
      <c r="M34" s="41"/>
      <c r="N34" s="59">
        <f t="shared" si="12"/>
        <v>745</v>
      </c>
      <c r="O34" s="41"/>
      <c r="P34" s="82">
        <f t="shared" si="13"/>
        <v>24.611111111111111</v>
      </c>
      <c r="Q34" s="33">
        <v>443</v>
      </c>
      <c r="R34" s="41"/>
      <c r="S34" s="85">
        <f t="shared" si="14"/>
        <v>1037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9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100.61904761904762</v>
      </c>
      <c r="F35" s="22">
        <v>2113</v>
      </c>
      <c r="G35" s="89"/>
      <c r="H35" s="90"/>
      <c r="I35" s="22"/>
      <c r="J35" s="23"/>
      <c r="K35" s="88">
        <f t="shared" si="11"/>
        <v>82.10208333333334</v>
      </c>
      <c r="L35" s="22">
        <v>1970.45</v>
      </c>
      <c r="M35" s="23"/>
      <c r="N35" s="91">
        <f t="shared" si="12"/>
        <v>-142.54999999999995</v>
      </c>
      <c r="O35" s="23"/>
      <c r="P35" s="88">
        <f t="shared" si="13"/>
        <v>184.9361111111111</v>
      </c>
      <c r="Q35" s="33">
        <v>3328.85</v>
      </c>
      <c r="R35" s="23"/>
      <c r="S35" s="92">
        <f t="shared" si="14"/>
        <v>-1358.3999999999999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9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234.88787878787875</v>
      </c>
      <c r="F36" s="30">
        <v>4932.6454545454535</v>
      </c>
      <c r="G36" s="83"/>
      <c r="H36" s="82"/>
      <c r="I36" s="30"/>
      <c r="J36" s="41"/>
      <c r="K36" s="82">
        <f t="shared" si="11"/>
        <v>184.60916666666671</v>
      </c>
      <c r="L36" s="454">
        <v>4430.6200000000008</v>
      </c>
      <c r="M36" s="13"/>
      <c r="N36" s="59">
        <f t="shared" si="12"/>
        <v>-502.0254545454527</v>
      </c>
      <c r="O36" s="41"/>
      <c r="P36" s="82">
        <f t="shared" si="13"/>
        <v>568.04222222222222</v>
      </c>
      <c r="Q36" s="55">
        <v>10224.76</v>
      </c>
      <c r="R36" s="41"/>
      <c r="S36" s="85">
        <f t="shared" si="14"/>
        <v>-5794.1399999999994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>+B37&amp;C37</f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1011.0149443515111</v>
      </c>
      <c r="F37" s="30">
        <v>21231.313831381733</v>
      </c>
      <c r="G37" s="83"/>
      <c r="H37" s="82"/>
      <c r="I37" s="30"/>
      <c r="J37" s="41"/>
      <c r="K37" s="82">
        <f t="shared" si="11"/>
        <v>992.09708333333344</v>
      </c>
      <c r="L37" s="455">
        <v>23810.33</v>
      </c>
      <c r="M37" s="13"/>
      <c r="N37" s="59">
        <f t="shared" si="12"/>
        <v>2579.0161686182691</v>
      </c>
      <c r="O37" s="41"/>
      <c r="P37" s="82">
        <f t="shared" si="13"/>
        <v>1226.4177777777777</v>
      </c>
      <c r="Q37" s="33">
        <v>22075.52</v>
      </c>
      <c r="R37" s="41"/>
      <c r="S37" s="85">
        <f>L37-Q37</f>
        <v>1734.8100000000013</v>
      </c>
      <c r="T37" s="13"/>
      <c r="U37" s="13"/>
      <c r="V37" s="489">
        <v>23810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>+B38&amp;C38</f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v>0</v>
      </c>
      <c r="G38" s="83"/>
      <c r="H38" s="82"/>
      <c r="I38" s="30"/>
      <c r="J38" s="41"/>
      <c r="K38" s="82">
        <f t="shared" si="11"/>
        <v>0</v>
      </c>
      <c r="L38" s="455">
        <v>0</v>
      </c>
      <c r="M38" s="13"/>
      <c r="N38" s="59">
        <f t="shared" si="12"/>
        <v>0</v>
      </c>
      <c r="O38" s="41"/>
      <c r="P38" s="82">
        <f t="shared" si="13"/>
        <v>0</v>
      </c>
      <c r="Q38" s="33"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>+B39&amp;C39</f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v>0</v>
      </c>
      <c r="G39" s="83"/>
      <c r="H39" s="82"/>
      <c r="I39" s="30"/>
      <c r="J39" s="41"/>
      <c r="K39" s="82">
        <f t="shared" si="11"/>
        <v>0</v>
      </c>
      <c r="L39" s="455">
        <v>0</v>
      </c>
      <c r="M39" s="13"/>
      <c r="N39" s="59">
        <f t="shared" si="12"/>
        <v>0</v>
      </c>
      <c r="O39" s="41"/>
      <c r="P39" s="82">
        <f t="shared" si="13"/>
        <v>0</v>
      </c>
      <c r="Q39" s="33"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ref="A40:A119" si="15">+B40&amp;C40</f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v>0</v>
      </c>
      <c r="G40" s="83"/>
      <c r="H40" s="82"/>
      <c r="I40" s="30"/>
      <c r="J40" s="41"/>
      <c r="K40" s="82">
        <f t="shared" si="11"/>
        <v>0</v>
      </c>
      <c r="L40" s="456">
        <v>0</v>
      </c>
      <c r="M40" s="13"/>
      <c r="N40" s="59">
        <f t="shared" si="12"/>
        <v>0</v>
      </c>
      <c r="O40" s="41"/>
      <c r="P40" s="82">
        <f t="shared" si="13"/>
        <v>0</v>
      </c>
      <c r="Q40" s="33"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5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0.57622134190410468</v>
      </c>
      <c r="F41" s="96">
        <f>SUM(F31:F40)</f>
        <v>64840.103039026129</v>
      </c>
      <c r="G41" s="97"/>
      <c r="H41" s="95"/>
      <c r="I41" s="96"/>
      <c r="J41" s="97" t="s">
        <v>38</v>
      </c>
      <c r="K41" s="95">
        <f>L41/L$27</f>
        <v>0.56839485424348879</v>
      </c>
      <c r="L41" s="96">
        <f>SUM(L31:L40)</f>
        <v>68006.040000000008</v>
      </c>
      <c r="M41" s="98"/>
      <c r="N41" s="96">
        <f t="shared" si="12"/>
        <v>3165.9369609738787</v>
      </c>
      <c r="O41" s="97" t="s">
        <v>38</v>
      </c>
      <c r="P41" s="95">
        <f>Q41/Q$27</f>
        <v>0.6043029482656268</v>
      </c>
      <c r="Q41" s="99">
        <f>SUM(Q31:Q40)</f>
        <v>77135.150000000009</v>
      </c>
      <c r="R41" s="100"/>
      <c r="S41" s="101">
        <f t="shared" ref="S41:S51" si="16">L41-Q41</f>
        <v>-9129.11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5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v>12289.214537493159</v>
      </c>
      <c r="G42" s="41"/>
      <c r="H42" s="13"/>
      <c r="I42" s="30"/>
      <c r="J42" s="41"/>
      <c r="K42" s="13"/>
      <c r="L42" s="33">
        <v>10413.32</v>
      </c>
      <c r="M42" s="41"/>
      <c r="N42" s="59">
        <f t="shared" si="12"/>
        <v>-1875.8945374931591</v>
      </c>
      <c r="O42" s="41"/>
      <c r="P42" s="13"/>
      <c r="Q42" s="33">
        <v>11717.38</v>
      </c>
      <c r="R42" s="41"/>
      <c r="S42" s="85">
        <f t="shared" si="16"/>
        <v>-1304.0599999999995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5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v>5364.3166130268201</v>
      </c>
      <c r="G43" s="83"/>
      <c r="H43" s="13"/>
      <c r="I43" s="22"/>
      <c r="J43" s="41"/>
      <c r="K43" s="13"/>
      <c r="L43" s="33">
        <v>3371.29</v>
      </c>
      <c r="M43" s="41"/>
      <c r="N43" s="59">
        <f t="shared" si="12"/>
        <v>-1993.0266130268201</v>
      </c>
      <c r="O43" s="41"/>
      <c r="P43" s="13"/>
      <c r="Q43" s="33">
        <v>8797.9500000000007</v>
      </c>
      <c r="R43" s="41"/>
      <c r="S43" s="85">
        <f t="shared" si="16"/>
        <v>-5426.6600000000008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5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v>0</v>
      </c>
      <c r="G44" s="106"/>
      <c r="H44" s="105"/>
      <c r="I44" s="30"/>
      <c r="J44" s="107"/>
      <c r="K44" s="105"/>
      <c r="L44" s="108">
        <v>135</v>
      </c>
      <c r="M44" s="107"/>
      <c r="N44" s="109">
        <f t="shared" si="12"/>
        <v>135</v>
      </c>
      <c r="O44" s="107"/>
      <c r="P44" s="105"/>
      <c r="Q44" s="108">
        <v>342</v>
      </c>
      <c r="R44" s="107"/>
      <c r="S44" s="110">
        <f t="shared" si="16"/>
        <v>-207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5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v>0</v>
      </c>
      <c r="G45" s="83"/>
      <c r="H45" s="13"/>
      <c r="I45" s="30"/>
      <c r="J45" s="41"/>
      <c r="K45" s="13"/>
      <c r="L45" s="33">
        <v>0</v>
      </c>
      <c r="M45" s="41"/>
      <c r="N45" s="59">
        <f t="shared" si="12"/>
        <v>0</v>
      </c>
      <c r="O45" s="41"/>
      <c r="P45" s="13"/>
      <c r="Q45" s="33">
        <v>0</v>
      </c>
      <c r="R45" s="41"/>
      <c r="S45" s="85">
        <f t="shared" si="16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>+B46&amp;C46</f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v>0</v>
      </c>
      <c r="G46" s="83"/>
      <c r="H46" s="13"/>
      <c r="I46" s="30"/>
      <c r="J46" s="41"/>
      <c r="K46" s="13"/>
      <c r="L46" s="33">
        <v>0</v>
      </c>
      <c r="M46" s="41"/>
      <c r="N46" s="59">
        <f t="shared" si="12"/>
        <v>0</v>
      </c>
      <c r="O46" s="41"/>
      <c r="P46" s="13"/>
      <c r="Q46" s="33"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>+B47&amp;C47</f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v>0</v>
      </c>
      <c r="G47" s="83"/>
      <c r="H47" s="13"/>
      <c r="I47" s="30"/>
      <c r="J47" s="41"/>
      <c r="K47" s="13"/>
      <c r="L47" s="33">
        <v>0</v>
      </c>
      <c r="M47" s="41"/>
      <c r="N47" s="59">
        <f t="shared" si="12"/>
        <v>0</v>
      </c>
      <c r="O47" s="41"/>
      <c r="P47" s="13"/>
      <c r="Q47" s="33"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>+B48&amp;C48</f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v>0</v>
      </c>
      <c r="G48" s="83"/>
      <c r="H48" s="13"/>
      <c r="I48" s="30"/>
      <c r="J48" s="41"/>
      <c r="K48" s="13"/>
      <c r="L48" s="33">
        <v>0</v>
      </c>
      <c r="M48" s="41"/>
      <c r="N48" s="59">
        <f t="shared" si="12"/>
        <v>0</v>
      </c>
      <c r="O48" s="41"/>
      <c r="P48" s="13"/>
      <c r="Q48" s="33"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ref="A49:A128" si="17">+B49&amp;C49</f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v>7963.6678827391588</v>
      </c>
      <c r="G49" s="83"/>
      <c r="H49" s="13"/>
      <c r="I49" s="22"/>
      <c r="J49" s="41"/>
      <c r="K49" s="13"/>
      <c r="L49" s="22">
        <v>7199.8</v>
      </c>
      <c r="M49" s="41"/>
      <c r="N49" s="59">
        <f t="shared" si="12"/>
        <v>-763.86788273915863</v>
      </c>
      <c r="O49" s="41"/>
      <c r="P49" s="13"/>
      <c r="Q49" s="22">
        <v>10908.19</v>
      </c>
      <c r="R49" s="41"/>
      <c r="S49" s="85">
        <f t="shared" ref="S49:S60" si="18">L49-Q49</f>
        <v>-3708.3900000000003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7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v>7249.6154932205645</v>
      </c>
      <c r="G50" s="106"/>
      <c r="H50" s="105"/>
      <c r="I50" s="30"/>
      <c r="J50" s="107"/>
      <c r="K50" s="105"/>
      <c r="L50" s="33">
        <v>8517.01</v>
      </c>
      <c r="M50" s="107"/>
      <c r="N50" s="109">
        <f t="shared" si="12"/>
        <v>1267.3945067794357</v>
      </c>
      <c r="O50" s="107"/>
      <c r="P50" s="105"/>
      <c r="Q50" s="33">
        <v>8031.37</v>
      </c>
      <c r="R50" s="107"/>
      <c r="S50" s="110">
        <f t="shared" si="18"/>
        <v>485.64000000000033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7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v>5074.7308452543948</v>
      </c>
      <c r="G51" s="83"/>
      <c r="H51" s="13"/>
      <c r="I51" s="30"/>
      <c r="J51" s="41"/>
      <c r="K51" s="13"/>
      <c r="L51" s="33">
        <v>4625.8900000000003</v>
      </c>
      <c r="M51" s="41"/>
      <c r="N51" s="59">
        <f t="shared" si="12"/>
        <v>-448.84084525439448</v>
      </c>
      <c r="O51" s="41"/>
      <c r="P51" s="13"/>
      <c r="Q51" s="33">
        <v>5558.62</v>
      </c>
      <c r="R51" s="41"/>
      <c r="S51" s="85">
        <f t="shared" si="18"/>
        <v>-932.72999999999956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7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v>1420.9246366712307</v>
      </c>
      <c r="G52" s="83"/>
      <c r="H52" s="13"/>
      <c r="I52" s="30"/>
      <c r="J52" s="41"/>
      <c r="K52" s="13"/>
      <c r="L52" s="33">
        <v>1463.85</v>
      </c>
      <c r="M52" s="41"/>
      <c r="N52" s="59">
        <f t="shared" si="12"/>
        <v>42.925363328769208</v>
      </c>
      <c r="O52" s="41"/>
      <c r="P52" s="13"/>
      <c r="Q52" s="33">
        <v>1980</v>
      </c>
      <c r="R52" s="41"/>
      <c r="S52" s="85">
        <f t="shared" si="18"/>
        <v>-516.15000000000009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7"/>
        <v>Véhicules neufs[...]</v>
      </c>
      <c r="B53" s="11" t="str">
        <f t="shared" si="0"/>
        <v>Véhicules neufs</v>
      </c>
      <c r="C53" s="29" t="s">
        <v>19</v>
      </c>
      <c r="D53" s="87" t="e">
        <f>VLOOKUP(C53,$B$2:$B$46,1,FALSE)</f>
        <v>#N/A</v>
      </c>
      <c r="E53" s="111"/>
      <c r="F53" s="30">
        <v>0</v>
      </c>
      <c r="G53" s="89"/>
      <c r="H53" s="111"/>
      <c r="I53" s="30"/>
      <c r="J53" s="23"/>
      <c r="K53" s="111"/>
      <c r="L53" s="33">
        <v>0</v>
      </c>
      <c r="M53" s="23"/>
      <c r="N53" s="91">
        <f t="shared" si="12"/>
        <v>0</v>
      </c>
      <c r="O53" s="23"/>
      <c r="P53" s="111"/>
      <c r="Q53" s="33">
        <v>0</v>
      </c>
      <c r="R53" s="23"/>
      <c r="S53" s="92">
        <f t="shared" si="18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7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0.3498065892222873</v>
      </c>
      <c r="F54" s="96">
        <f>+SUM(F42:F53)</f>
        <v>39362.470008405333</v>
      </c>
      <c r="G54" s="97"/>
      <c r="H54" s="95"/>
      <c r="I54" s="96"/>
      <c r="J54" s="97" t="s">
        <v>38</v>
      </c>
      <c r="K54" s="95">
        <f>L54/L$27</f>
        <v>0.29859944066555788</v>
      </c>
      <c r="L54" s="96">
        <f>+SUM(L42:L53)</f>
        <v>35726.159999999996</v>
      </c>
      <c r="M54" s="100"/>
      <c r="N54" s="96">
        <f>+SUM(N42:N53)</f>
        <v>-3636.3100084053276</v>
      </c>
      <c r="O54" s="97" t="s">
        <v>38</v>
      </c>
      <c r="P54" s="95">
        <f>Q54/Q$27</f>
        <v>0.37084245315730974</v>
      </c>
      <c r="Q54" s="96">
        <f>+SUM(Q42:Q53)</f>
        <v>47335.510000000009</v>
      </c>
      <c r="R54" s="100"/>
      <c r="S54" s="101">
        <f>+SUM(S42:S53)</f>
        <v>-11609.35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7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v>0</v>
      </c>
      <c r="G55" s="83"/>
      <c r="H55" s="13"/>
      <c r="I55" s="30"/>
      <c r="J55" s="41"/>
      <c r="K55" s="13"/>
      <c r="L55" s="33">
        <v>0</v>
      </c>
      <c r="M55" s="41"/>
      <c r="N55" s="59">
        <f t="shared" ref="N55:N71" si="19">L55-F55</f>
        <v>0</v>
      </c>
      <c r="O55" s="41"/>
      <c r="P55" s="13"/>
      <c r="Q55" s="33">
        <v>0</v>
      </c>
      <c r="R55" s="41"/>
      <c r="S55" s="85">
        <f t="shared" ref="S55:S71" si="20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7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v>0</v>
      </c>
      <c r="G56" s="83"/>
      <c r="H56" s="13"/>
      <c r="I56" s="30"/>
      <c r="J56" s="41"/>
      <c r="K56" s="13"/>
      <c r="L56" s="33">
        <v>0</v>
      </c>
      <c r="M56" s="41"/>
      <c r="N56" s="59">
        <f t="shared" si="19"/>
        <v>0</v>
      </c>
      <c r="O56" s="41"/>
      <c r="P56" s="13"/>
      <c r="Q56" s="33">
        <v>0</v>
      </c>
      <c r="R56" s="41"/>
      <c r="S56" s="85">
        <f t="shared" si="20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7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v>2036.5</v>
      </c>
      <c r="G57" s="89"/>
      <c r="H57" s="111"/>
      <c r="I57" s="22"/>
      <c r="J57" s="23"/>
      <c r="K57" s="111"/>
      <c r="L57" s="22">
        <v>881.59</v>
      </c>
      <c r="M57" s="23"/>
      <c r="N57" s="91">
        <f t="shared" si="19"/>
        <v>-1154.9099999999999</v>
      </c>
      <c r="O57" s="23"/>
      <c r="P57" s="111"/>
      <c r="Q57" s="22">
        <v>9997.42</v>
      </c>
      <c r="R57" s="23"/>
      <c r="S57" s="92">
        <f t="shared" si="20"/>
        <v>-9115.83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7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v>9195.3521666666675</v>
      </c>
      <c r="G58" s="83"/>
      <c r="H58" s="13"/>
      <c r="I58" s="30"/>
      <c r="J58" s="41"/>
      <c r="K58" s="13"/>
      <c r="L58" s="33">
        <v>9638.23</v>
      </c>
      <c r="M58" s="41"/>
      <c r="N58" s="59">
        <f t="shared" si="19"/>
        <v>442.87783333333209</v>
      </c>
      <c r="O58" s="41"/>
      <c r="P58" s="13"/>
      <c r="Q58" s="33">
        <v>4744.13</v>
      </c>
      <c r="R58" s="41"/>
      <c r="S58" s="85">
        <f t="shared" si="20"/>
        <v>4894.0999999999995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7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v>1330</v>
      </c>
      <c r="G59" s="83"/>
      <c r="H59" s="13"/>
      <c r="I59" s="30"/>
      <c r="J59" s="41"/>
      <c r="K59" s="13"/>
      <c r="L59" s="33">
        <v>3011.58</v>
      </c>
      <c r="M59" s="41"/>
      <c r="N59" s="59">
        <f t="shared" si="19"/>
        <v>1681.58</v>
      </c>
      <c r="O59" s="41"/>
      <c r="P59" s="13"/>
      <c r="Q59" s="33">
        <v>646.1</v>
      </c>
      <c r="R59" s="41"/>
      <c r="S59" s="85">
        <f t="shared" si="20"/>
        <v>2365.48</v>
      </c>
      <c r="T59" s="13"/>
      <c r="U59" s="13"/>
      <c r="V59" s="489" t="s">
        <v>248</v>
      </c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7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v>2672.3603333333335</v>
      </c>
      <c r="G60" s="89"/>
      <c r="H60" s="111"/>
      <c r="I60" s="22"/>
      <c r="J60" s="23"/>
      <c r="K60" s="111"/>
      <c r="L60" s="22">
        <v>3269.68</v>
      </c>
      <c r="M60" s="23"/>
      <c r="N60" s="91">
        <f t="shared" si="19"/>
        <v>597.31966666666631</v>
      </c>
      <c r="O60" s="23"/>
      <c r="P60" s="111"/>
      <c r="Q60" s="22">
        <v>3019.73</v>
      </c>
      <c r="R60" s="23"/>
      <c r="S60" s="92">
        <f t="shared" si="20"/>
        <v>249.94999999999982</v>
      </c>
      <c r="T60" s="13"/>
      <c r="U60" s="13"/>
      <c r="V60" s="489" t="s">
        <v>249</v>
      </c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7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v>75</v>
      </c>
      <c r="G61" s="83"/>
      <c r="H61" s="13"/>
      <c r="I61" s="30"/>
      <c r="J61" s="41"/>
      <c r="K61" s="13"/>
      <c r="L61" s="33">
        <v>182.09</v>
      </c>
      <c r="M61" s="41"/>
      <c r="N61" s="59">
        <f t="shared" si="19"/>
        <v>107.09</v>
      </c>
      <c r="O61" s="41"/>
      <c r="P61" s="13"/>
      <c r="Q61" s="33">
        <v>60.91</v>
      </c>
      <c r="R61" s="41"/>
      <c r="S61" s="85">
        <f t="shared" si="20"/>
        <v>121.18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7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v>30</v>
      </c>
      <c r="G62" s="83"/>
      <c r="H62" s="13"/>
      <c r="I62" s="30"/>
      <c r="J62" s="41"/>
      <c r="K62" s="13"/>
      <c r="L62" s="33">
        <v>186.48</v>
      </c>
      <c r="M62" s="41"/>
      <c r="N62" s="59">
        <f t="shared" si="19"/>
        <v>156.47999999999999</v>
      </c>
      <c r="O62" s="41"/>
      <c r="P62" s="13"/>
      <c r="Q62" s="33">
        <v>0</v>
      </c>
      <c r="R62" s="41"/>
      <c r="S62" s="85">
        <f t="shared" si="20"/>
        <v>186.48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7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v>580</v>
      </c>
      <c r="G63" s="83"/>
      <c r="H63" s="13"/>
      <c r="I63" s="30"/>
      <c r="J63" s="41"/>
      <c r="K63" s="13"/>
      <c r="L63" s="32">
        <v>531.85</v>
      </c>
      <c r="M63" s="41"/>
      <c r="N63" s="59">
        <f t="shared" si="19"/>
        <v>-48.149999999999977</v>
      </c>
      <c r="O63" s="41"/>
      <c r="P63" s="13"/>
      <c r="Q63" s="32">
        <v>336.91</v>
      </c>
      <c r="R63" s="41"/>
      <c r="S63" s="85">
        <f t="shared" si="20"/>
        <v>194.94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7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v>157.6</v>
      </c>
      <c r="G64" s="83"/>
      <c r="H64" s="13"/>
      <c r="I64" s="30"/>
      <c r="J64" s="41"/>
      <c r="K64" s="13"/>
      <c r="L64" s="33">
        <v>205.23</v>
      </c>
      <c r="M64" s="41"/>
      <c r="N64" s="59">
        <f t="shared" si="19"/>
        <v>47.629999999999995</v>
      </c>
      <c r="O64" s="41"/>
      <c r="P64" s="13"/>
      <c r="Q64" s="33">
        <v>184.93</v>
      </c>
      <c r="R64" s="41"/>
      <c r="S64" s="85">
        <f t="shared" si="20"/>
        <v>20.299999999999983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7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v>226.66666666666666</v>
      </c>
      <c r="G65" s="83"/>
      <c r="H65" s="13"/>
      <c r="I65" s="30"/>
      <c r="J65" s="41"/>
      <c r="K65" s="13"/>
      <c r="L65" s="33">
        <v>34.450000000000003</v>
      </c>
      <c r="M65" s="41"/>
      <c r="N65" s="59">
        <f t="shared" si="19"/>
        <v>-192.21666666666664</v>
      </c>
      <c r="O65" s="41"/>
      <c r="P65" s="13"/>
      <c r="Q65" s="33">
        <v>96.66</v>
      </c>
      <c r="R65" s="41"/>
      <c r="S65" s="85">
        <f t="shared" si="20"/>
        <v>-62.209999999999994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7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v>629.08333333333326</v>
      </c>
      <c r="G66" s="83"/>
      <c r="H66" s="13"/>
      <c r="I66" s="30"/>
      <c r="J66" s="41"/>
      <c r="K66" s="13"/>
      <c r="L66" s="33">
        <v>521.54</v>
      </c>
      <c r="M66" s="41"/>
      <c r="N66" s="59">
        <f t="shared" si="19"/>
        <v>-107.54333333333329</v>
      </c>
      <c r="O66" s="41"/>
      <c r="P66" s="13"/>
      <c r="Q66" s="33">
        <v>866.7</v>
      </c>
      <c r="R66" s="41"/>
      <c r="S66" s="85">
        <f t="shared" si="20"/>
        <v>-345.16000000000008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>+B67&amp;C67</f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v>321.5946666666668</v>
      </c>
      <c r="G67" s="83"/>
      <c r="H67" s="13"/>
      <c r="I67" s="30"/>
      <c r="J67" s="41"/>
      <c r="K67" s="13"/>
      <c r="L67" s="33">
        <v>213.85</v>
      </c>
      <c r="M67" s="41"/>
      <c r="N67" s="59">
        <f t="shared" si="19"/>
        <v>-107.7446666666668</v>
      </c>
      <c r="O67" s="41"/>
      <c r="P67" s="13"/>
      <c r="Q67" s="33">
        <v>1094.6400000000001</v>
      </c>
      <c r="R67" s="41"/>
      <c r="S67" s="85">
        <f>L67-Q67</f>
        <v>-880.79000000000008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>+B68&amp;C68</f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v>3219.8758124157907</v>
      </c>
      <c r="G68" s="83"/>
      <c r="H68" s="13"/>
      <c r="I68" s="30"/>
      <c r="J68" s="41"/>
      <c r="K68" s="13"/>
      <c r="L68" s="32">
        <v>3212.48</v>
      </c>
      <c r="M68" s="41"/>
      <c r="N68" s="59">
        <f t="shared" si="19"/>
        <v>-7.395812415790715</v>
      </c>
      <c r="O68" s="41"/>
      <c r="P68" s="13"/>
      <c r="Q68" s="33">
        <v>3010.11</v>
      </c>
      <c r="R68" s="41"/>
      <c r="S68" s="85">
        <f>L68-Q68</f>
        <v>202.36999999999989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>+B69&amp;C69</f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v>0</v>
      </c>
      <c r="G69" s="83"/>
      <c r="H69" s="13"/>
      <c r="I69" s="30"/>
      <c r="J69" s="41"/>
      <c r="K69" s="13"/>
      <c r="L69" s="33"/>
      <c r="M69" s="41"/>
      <c r="N69" s="59">
        <f t="shared" si="19"/>
        <v>0</v>
      </c>
      <c r="O69" s="41"/>
      <c r="P69" s="13"/>
      <c r="Q69" s="33"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ref="A70:A149" si="21">+B70&amp;C70</f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v>0</v>
      </c>
      <c r="G70" s="83"/>
      <c r="H70" s="13"/>
      <c r="I70" s="30"/>
      <c r="J70" s="41"/>
      <c r="K70" s="13"/>
      <c r="L70" s="33">
        <v>0</v>
      </c>
      <c r="M70" s="41"/>
      <c r="N70" s="59">
        <f t="shared" si="19"/>
        <v>0</v>
      </c>
      <c r="O70" s="41"/>
      <c r="P70" s="13"/>
      <c r="Q70" s="33">
        <v>0</v>
      </c>
      <c r="R70" s="41"/>
      <c r="S70" s="85">
        <f t="shared" ref="S70:S86" si="22">L70-Q70</f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2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v>0</v>
      </c>
      <c r="G71" s="83"/>
      <c r="H71" s="13"/>
      <c r="I71" s="30"/>
      <c r="J71" s="41"/>
      <c r="K71" s="13"/>
      <c r="L71" s="33">
        <v>0</v>
      </c>
      <c r="M71" s="41"/>
      <c r="N71" s="59">
        <f t="shared" si="19"/>
        <v>0</v>
      </c>
      <c r="O71" s="41"/>
      <c r="P71" s="13"/>
      <c r="Q71" s="33"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2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0.18194873549622576</v>
      </c>
      <c r="F72" s="96">
        <f>+SUM(F55:F71)</f>
        <v>20474.032979082458</v>
      </c>
      <c r="G72" s="97"/>
      <c r="H72" s="95"/>
      <c r="I72" s="96"/>
      <c r="J72" s="97" t="s">
        <v>38</v>
      </c>
      <c r="K72" s="95">
        <f>L72/L$27</f>
        <v>0.18294879961071744</v>
      </c>
      <c r="L72" s="96">
        <f>+SUM(L55:L71)</f>
        <v>21889.049999999996</v>
      </c>
      <c r="M72" s="100"/>
      <c r="N72" s="96">
        <f>+SUM(N55:N71)</f>
        <v>1415.0170209175412</v>
      </c>
      <c r="O72" s="97" t="s">
        <v>38</v>
      </c>
      <c r="P72" s="95">
        <f>Q72/Q$27</f>
        <v>0.18848041861696038</v>
      </c>
      <c r="Q72" s="96">
        <f>+SUM(Q55:Q71)</f>
        <v>24058.240000000002</v>
      </c>
      <c r="R72" s="100"/>
      <c r="S72" s="101">
        <f>+SUM(S55:S71)</f>
        <v>-2169.190000000001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2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2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1.1079766666226178</v>
      </c>
      <c r="F74" s="96">
        <f>F41+F54+F72</f>
        <v>124676.60602651392</v>
      </c>
      <c r="G74" s="97"/>
      <c r="H74" s="95"/>
      <c r="I74" s="96"/>
      <c r="J74" s="97" t="s">
        <v>38</v>
      </c>
      <c r="K74" s="95">
        <f>L74/L$27</f>
        <v>1.0499430945197641</v>
      </c>
      <c r="L74" s="96">
        <f>L41+L54+L72</f>
        <v>125621.25</v>
      </c>
      <c r="M74" s="100"/>
      <c r="N74" s="113">
        <f t="shared" ref="N74:N82" si="23">L74-F74</f>
        <v>944.64397348607599</v>
      </c>
      <c r="O74" s="97" t="s">
        <v>38</v>
      </c>
      <c r="P74" s="95">
        <f>Q74/Q$27</f>
        <v>1.163625820039897</v>
      </c>
      <c r="Q74" s="96">
        <f>Q41+Q54+Q72</f>
        <v>148528.90000000002</v>
      </c>
      <c r="R74" s="100"/>
      <c r="S74" s="114">
        <f>L74-Q74</f>
        <v>-22907.650000000023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2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v>30329.687142857147</v>
      </c>
      <c r="G75" s="83"/>
      <c r="H75" s="13"/>
      <c r="I75" s="30"/>
      <c r="J75" s="41"/>
      <c r="K75" s="13"/>
      <c r="L75" s="32">
        <v>35427.29</v>
      </c>
      <c r="M75" s="41"/>
      <c r="N75" s="59">
        <f t="shared" si="23"/>
        <v>5097.6028571428542</v>
      </c>
      <c r="O75" s="41"/>
      <c r="P75" s="13"/>
      <c r="Q75" s="32">
        <v>21262.21</v>
      </c>
      <c r="R75" s="41"/>
      <c r="S75" s="85">
        <f>L75-Q75</f>
        <v>14165.080000000002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2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v>0</v>
      </c>
      <c r="G76" s="83"/>
      <c r="H76" s="13"/>
      <c r="I76" s="30"/>
      <c r="J76" s="41"/>
      <c r="K76" s="13"/>
      <c r="L76" s="32">
        <v>0</v>
      </c>
      <c r="M76" s="41"/>
      <c r="N76" s="59">
        <f t="shared" si="23"/>
        <v>0</v>
      </c>
      <c r="O76" s="41"/>
      <c r="P76" s="13"/>
      <c r="Q76" s="32"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2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v>0</v>
      </c>
      <c r="G77" s="83"/>
      <c r="H77" s="13"/>
      <c r="I77" s="30"/>
      <c r="J77" s="41"/>
      <c r="K77" s="13"/>
      <c r="L77" s="32">
        <v>0</v>
      </c>
      <c r="M77" s="41"/>
      <c r="N77" s="59">
        <f t="shared" si="23"/>
        <v>0</v>
      </c>
      <c r="O77" s="41"/>
      <c r="P77" s="13"/>
      <c r="Q77" s="32">
        <v>0</v>
      </c>
      <c r="R77" s="41"/>
      <c r="S77" s="85">
        <f t="shared" ref="S77:S82" si="24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2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v>36763.257142857146</v>
      </c>
      <c r="G78" s="83"/>
      <c r="H78" s="13"/>
      <c r="I78" s="30"/>
      <c r="J78" s="41"/>
      <c r="K78" s="13"/>
      <c r="L78" s="33">
        <v>44158</v>
      </c>
      <c r="M78" s="41"/>
      <c r="N78" s="59">
        <f t="shared" si="23"/>
        <v>7394.7428571428536</v>
      </c>
      <c r="O78" s="41"/>
      <c r="P78" s="13"/>
      <c r="Q78" s="32">
        <v>29948.799999999999</v>
      </c>
      <c r="R78" s="41"/>
      <c r="S78" s="85">
        <f t="shared" si="24"/>
        <v>14209.2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>+B79&amp;C79</f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v>0</v>
      </c>
      <c r="G79" s="83"/>
      <c r="H79" s="13"/>
      <c r="I79" s="30"/>
      <c r="J79" s="41"/>
      <c r="K79" s="13"/>
      <c r="L79" s="33">
        <v>0</v>
      </c>
      <c r="M79" s="41"/>
      <c r="N79" s="59">
        <f t="shared" si="23"/>
        <v>0</v>
      </c>
      <c r="O79" s="41"/>
      <c r="P79" s="13"/>
      <c r="Q79" s="32"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>+B80&amp;C80</f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v>0</v>
      </c>
      <c r="G80" s="83"/>
      <c r="H80" s="13"/>
      <c r="I80" s="30"/>
      <c r="J80" s="41"/>
      <c r="K80" s="13"/>
      <c r="L80" s="33">
        <v>0</v>
      </c>
      <c r="M80" s="41"/>
      <c r="N80" s="59">
        <f t="shared" si="23"/>
        <v>0</v>
      </c>
      <c r="O80" s="41"/>
      <c r="P80" s="13"/>
      <c r="Q80" s="32"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>+B81&amp;C81</f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v>0</v>
      </c>
      <c r="G81" s="83"/>
      <c r="H81" s="13"/>
      <c r="I81" s="30"/>
      <c r="J81" s="41"/>
      <c r="K81" s="13"/>
      <c r="L81" s="33">
        <v>0</v>
      </c>
      <c r="M81" s="41"/>
      <c r="N81" s="59">
        <f t="shared" si="23"/>
        <v>0</v>
      </c>
      <c r="O81" s="41"/>
      <c r="P81" s="13"/>
      <c r="Q81" s="32"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ref="A82:A161" si="25">+B82&amp;C82</f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v>12245.1</v>
      </c>
      <c r="G82" s="83"/>
      <c r="H82" s="13"/>
      <c r="I82" s="30"/>
      <c r="J82" s="41"/>
      <c r="K82" s="13"/>
      <c r="L82" s="32">
        <v>14280</v>
      </c>
      <c r="M82" s="41"/>
      <c r="N82" s="59">
        <f t="shared" si="23"/>
        <v>2034.8999999999996</v>
      </c>
      <c r="O82" s="41"/>
      <c r="P82" s="13"/>
      <c r="Q82" s="32">
        <v>11305</v>
      </c>
      <c r="R82" s="41"/>
      <c r="S82" s="85">
        <f t="shared" ref="S82:S87" si="26">L82-Q82</f>
        <v>2975</v>
      </c>
      <c r="T82" s="13"/>
      <c r="U82" s="13"/>
      <c r="V82" s="489">
        <f>L82/595</f>
        <v>24</v>
      </c>
      <c r="W82" s="483">
        <f>V82/J27</f>
        <v>0.92307692307692313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25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79338.044285714306</v>
      </c>
      <c r="G83" s="97"/>
      <c r="H83" s="95"/>
      <c r="I83" s="96"/>
      <c r="J83" s="97"/>
      <c r="K83" s="95"/>
      <c r="L83" s="96">
        <f>+SUM(L75:L82)</f>
        <v>93865.290000000008</v>
      </c>
      <c r="M83" s="100"/>
      <c r="N83" s="96">
        <f>+SUM(N75:N82)</f>
        <v>14527.245714285707</v>
      </c>
      <c r="O83" s="97"/>
      <c r="P83" s="95"/>
      <c r="Q83" s="96">
        <f>+SUM(Q75:Q82)</f>
        <v>62516.009999999995</v>
      </c>
      <c r="R83" s="100"/>
      <c r="S83" s="101">
        <f>+SUM(S75:S82)</f>
        <v>31349.280000000002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25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25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67187.820612141557</v>
      </c>
      <c r="G85" s="128"/>
      <c r="H85" s="126"/>
      <c r="I85" s="127"/>
      <c r="J85" s="128"/>
      <c r="K85" s="125"/>
      <c r="L85" s="127">
        <f>L27-L74+L83</f>
        <v>87889.810000000041</v>
      </c>
      <c r="M85" s="128"/>
      <c r="N85" s="127">
        <f>N27-N41-N54-N72+N83</f>
        <v>20701.989387858473</v>
      </c>
      <c r="O85" s="128"/>
      <c r="P85" s="125"/>
      <c r="Q85" s="127">
        <f>Q27-Q74+Q83</f>
        <v>41630.289999999848</v>
      </c>
      <c r="R85" s="128"/>
      <c r="S85" s="129">
        <f>S27-S41-S54-S72+S83</f>
        <v>46259.520000000164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Juillet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05" t="s">
        <v>5</v>
      </c>
      <c r="E91" s="506"/>
      <c r="F91" s="507"/>
      <c r="G91" s="508"/>
      <c r="H91" s="506"/>
      <c r="I91" s="507"/>
      <c r="J91" s="508" t="s">
        <v>7</v>
      </c>
      <c r="K91" s="506"/>
      <c r="L91" s="507"/>
      <c r="M91" s="508" t="s">
        <v>212</v>
      </c>
      <c r="N91" s="507"/>
      <c r="O91" s="505" t="s">
        <v>8</v>
      </c>
      <c r="P91" s="506"/>
      <c r="Q91" s="507"/>
      <c r="R91" s="503" t="s">
        <v>213</v>
      </c>
      <c r="S91" s="504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159" si="27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v>1945706.0767454284</v>
      </c>
      <c r="G93" s="46"/>
      <c r="H93" s="25"/>
      <c r="I93" s="22"/>
      <c r="J93" s="23"/>
      <c r="K93" s="25"/>
      <c r="L93" s="22">
        <v>2085276.12</v>
      </c>
      <c r="M93" s="137"/>
      <c r="N93" s="138"/>
      <c r="O93" s="23"/>
      <c r="P93" s="25"/>
      <c r="Q93" s="22">
        <v>1404731.62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7"/>
        <v>Véhicules usagésCertifié</v>
      </c>
      <c r="B94" s="11" t="s">
        <v>70</v>
      </c>
      <c r="C94" s="29" t="s">
        <v>72</v>
      </c>
      <c r="D94" s="30">
        <v>14</v>
      </c>
      <c r="E94" s="30">
        <f>IF(D94=0,0,F94/D94)</f>
        <v>2400</v>
      </c>
      <c r="F94" s="30">
        <v>33600</v>
      </c>
      <c r="G94" s="31"/>
      <c r="H94" s="30"/>
      <c r="I94" s="30"/>
      <c r="J94" s="31">
        <v>14</v>
      </c>
      <c r="K94" s="30">
        <f>IF(J94=0,0,L94/J94)</f>
        <v>1980.7307142857098</v>
      </c>
      <c r="L94" s="33">
        <v>27730.229999999938</v>
      </c>
      <c r="M94" s="31">
        <f>J94-D94</f>
        <v>0</v>
      </c>
      <c r="N94" s="33">
        <f>L94-F94</f>
        <v>-5869.7700000000623</v>
      </c>
      <c r="O94" s="31">
        <v>10</v>
      </c>
      <c r="P94" s="30">
        <f t="shared" ref="P94:P96" si="28">IF(O94=0,0,Q94/O94)</f>
        <v>1754.4559999999899</v>
      </c>
      <c r="Q94" s="33">
        <v>17544.559999999899</v>
      </c>
      <c r="R94" s="31">
        <f>J94-O94</f>
        <v>4</v>
      </c>
      <c r="S94" s="34">
        <f>L94-Q94</f>
        <v>10185.670000000038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7"/>
        <v>Véhicules usagésNon Certifié</v>
      </c>
      <c r="B95" s="11" t="s">
        <v>70</v>
      </c>
      <c r="C95" s="29" t="s">
        <v>73</v>
      </c>
      <c r="D95" s="30">
        <v>4</v>
      </c>
      <c r="E95" s="30">
        <f t="shared" ref="E95:E106" si="29">IF(D95=0,0,F95/D95)</f>
        <v>1400</v>
      </c>
      <c r="F95" s="30">
        <v>5600</v>
      </c>
      <c r="G95" s="31"/>
      <c r="H95" s="30"/>
      <c r="I95" s="30"/>
      <c r="J95" s="31">
        <v>10</v>
      </c>
      <c r="K95" s="30">
        <f>IF(J95=0,0,L95/J95)</f>
        <v>2340.7010000000018</v>
      </c>
      <c r="L95" s="32">
        <v>23407.01000000002</v>
      </c>
      <c r="M95" s="31">
        <f>J95-D95</f>
        <v>6</v>
      </c>
      <c r="N95" s="33">
        <f>L95-F95</f>
        <v>17807.01000000002</v>
      </c>
      <c r="O95" s="31">
        <v>1</v>
      </c>
      <c r="P95" s="30">
        <f t="shared" si="28"/>
        <v>1766.85</v>
      </c>
      <c r="Q95" s="32">
        <v>1766.85</v>
      </c>
      <c r="R95" s="31">
        <f>J95-O95</f>
        <v>9</v>
      </c>
      <c r="S95" s="34">
        <f>L95-Q95</f>
        <v>21640.160000000022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 t="shared" si="27"/>
        <v>Véhicules usagésAutres marques</v>
      </c>
      <c r="B96" s="11" t="s">
        <v>70</v>
      </c>
      <c r="C96" s="29" t="s">
        <v>206</v>
      </c>
      <c r="D96" s="30">
        <v>6</v>
      </c>
      <c r="E96" s="25">
        <f t="shared" si="29"/>
        <v>1500</v>
      </c>
      <c r="F96" s="30">
        <v>9000</v>
      </c>
      <c r="G96" s="31"/>
      <c r="H96" s="30"/>
      <c r="I96" s="30"/>
      <c r="J96" s="31">
        <v>4</v>
      </c>
      <c r="K96" s="30">
        <f>IF(J96=0,0,L96/J96)</f>
        <v>2803.3150000000001</v>
      </c>
      <c r="L96" s="32">
        <v>11213.26</v>
      </c>
      <c r="M96" s="31">
        <f>J96-D96</f>
        <v>-2</v>
      </c>
      <c r="N96" s="33">
        <f>L96-F96</f>
        <v>2213.2600000000002</v>
      </c>
      <c r="O96" s="31">
        <v>4</v>
      </c>
      <c r="P96" s="30">
        <f t="shared" si="28"/>
        <v>663.05499999999995</v>
      </c>
      <c r="Q96" s="32">
        <v>2652.22</v>
      </c>
      <c r="R96" s="31">
        <f>J96-O96</f>
        <v>0</v>
      </c>
      <c r="S96" s="34">
        <f>L96-Q96</f>
        <v>8561.0400000000009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7"/>
        <v>Véhicules usagésTotal Usagés</v>
      </c>
      <c r="B97" s="11" t="s">
        <v>70</v>
      </c>
      <c r="C97" s="35" t="s">
        <v>74</v>
      </c>
      <c r="D97" s="36">
        <f>+D95+D94+D96</f>
        <v>24</v>
      </c>
      <c r="E97" s="30">
        <f t="shared" si="29"/>
        <v>2008.3333333333333</v>
      </c>
      <c r="F97" s="37">
        <f>+F94+F95+F96</f>
        <v>48200</v>
      </c>
      <c r="G97" s="38"/>
      <c r="H97" s="36"/>
      <c r="I97" s="37"/>
      <c r="J97" s="38">
        <f>+J94+J95+J96</f>
        <v>28</v>
      </c>
      <c r="K97" s="36">
        <f>IF(J97&lt;=0,0,L97/J97)</f>
        <v>2226.8035714285702</v>
      </c>
      <c r="L97" s="37">
        <f>+L94+L95+L96</f>
        <v>62350.499999999964</v>
      </c>
      <c r="M97" s="38">
        <f>J97-D97</f>
        <v>4</v>
      </c>
      <c r="N97" s="37">
        <f>L97-F97</f>
        <v>14150.499999999964</v>
      </c>
      <c r="O97" s="38">
        <f>+O95+O94+O96</f>
        <v>15</v>
      </c>
      <c r="P97" s="36">
        <f>IF(O97=0,0,Q97/O97)</f>
        <v>1464.2419999999934</v>
      </c>
      <c r="Q97" s="37">
        <f>+Q94+Q95+Q96</f>
        <v>21963.629999999899</v>
      </c>
      <c r="R97" s="38">
        <f>J97-O97</f>
        <v>13</v>
      </c>
      <c r="S97" s="39">
        <f>L97-Q97</f>
        <v>40386.870000000068</v>
      </c>
      <c r="T97" s="13"/>
      <c r="U97" s="13"/>
      <c r="W97" s="457">
        <v>28</v>
      </c>
      <c r="X97" s="13">
        <v>62351</v>
      </c>
      <c r="Y97" s="515">
        <f>L97-X97</f>
        <v>-0.50000000003637979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7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0.16666666666666666</v>
      </c>
      <c r="N98" s="43">
        <f>N97/F97</f>
        <v>0.2935788381742731</v>
      </c>
      <c r="O98" s="41"/>
      <c r="P98" s="13"/>
      <c r="Q98" s="40"/>
      <c r="R98" s="42">
        <f>R97/O97</f>
        <v>0.8666666666666667</v>
      </c>
      <c r="S98" s="44">
        <f>IF(Q97=0,0,(S97/Q97))</f>
        <v>1.8388066999853965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>+B99&amp;C99</f>
        <v>Véhicules neufsRachat bail</v>
      </c>
      <c r="B99" s="11" t="str">
        <f t="shared" ref="B99:B193" si="30">+$K$1</f>
        <v>Véhicules neufs</v>
      </c>
      <c r="C99" s="53" t="s">
        <v>23</v>
      </c>
      <c r="D99" s="30">
        <v>0</v>
      </c>
      <c r="E99" s="30">
        <f>IF(D99=0,0,F99/D99)</f>
        <v>0</v>
      </c>
      <c r="F99" s="30">
        <v>2102.295817364572</v>
      </c>
      <c r="G99" s="31"/>
      <c r="H99" s="30"/>
      <c r="I99" s="30"/>
      <c r="J99" s="31"/>
      <c r="K99" s="30"/>
      <c r="L99" s="33">
        <v>999</v>
      </c>
      <c r="M99" s="31"/>
      <c r="N99" s="33">
        <f>L99-F99</f>
        <v>-1103.295817364572</v>
      </c>
      <c r="O99" s="31"/>
      <c r="P99" s="30"/>
      <c r="Q99" s="33">
        <v>2498</v>
      </c>
      <c r="R99" s="31">
        <f>O99-K99</f>
        <v>0</v>
      </c>
      <c r="S99" s="34">
        <f>L99-Q99</f>
        <v>-1499</v>
      </c>
      <c r="T99" s="13"/>
      <c r="U99" s="13"/>
      <c r="W99" s="11"/>
      <c r="X99" s="11">
        <v>999</v>
      </c>
      <c r="Y99" s="515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:A166" si="31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31"/>
        <v>Véhicules usagésVentes au Gros</v>
      </c>
      <c r="B101" s="11" t="s">
        <v>70</v>
      </c>
      <c r="C101" s="29" t="s">
        <v>75</v>
      </c>
      <c r="D101" s="30">
        <v>22</v>
      </c>
      <c r="E101" s="30">
        <f t="shared" ref="E101:E112" si="32">IF(D101=0,0,F101/D101)</f>
        <v>500</v>
      </c>
      <c r="F101" s="30">
        <v>11000</v>
      </c>
      <c r="G101" s="31"/>
      <c r="H101" s="30"/>
      <c r="I101" s="30"/>
      <c r="J101" s="31">
        <v>24</v>
      </c>
      <c r="K101" s="30">
        <f>IF(J101=0,0,L101/J101)</f>
        <v>167.28291666666578</v>
      </c>
      <c r="L101" s="33">
        <v>4014.789999999979</v>
      </c>
      <c r="M101" s="31">
        <f>J101-D101</f>
        <v>2</v>
      </c>
      <c r="N101" s="33">
        <f>L101-F101</f>
        <v>-6985.210000000021</v>
      </c>
      <c r="O101" s="31">
        <v>23</v>
      </c>
      <c r="P101" s="30">
        <f>IF(O101=0,0,Q101/O101)</f>
        <v>264.54652173913041</v>
      </c>
      <c r="Q101" s="33">
        <v>6084.57</v>
      </c>
      <c r="R101" s="31">
        <f>J101-O101</f>
        <v>1</v>
      </c>
      <c r="S101" s="34">
        <f>L101-Q101</f>
        <v>-2069.7800000000207</v>
      </c>
      <c r="T101" s="13"/>
      <c r="U101" s="13"/>
      <c r="W101" s="457">
        <v>24</v>
      </c>
      <c r="X101" s="13">
        <v>4015</v>
      </c>
      <c r="Y101" s="515">
        <f>L101-X101</f>
        <v>-0.21000000002095476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31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31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v>8400</v>
      </c>
      <c r="G103" s="31"/>
      <c r="H103" s="30"/>
      <c r="I103" s="30"/>
      <c r="J103" s="31"/>
      <c r="K103" s="30">
        <f>IF(J97=0,0,L103/J97)</f>
        <v>330.96857142857141</v>
      </c>
      <c r="L103" s="33">
        <v>9267.119999999999</v>
      </c>
      <c r="M103" s="31"/>
      <c r="N103" s="33">
        <f>L103-F103</f>
        <v>867.11999999999898</v>
      </c>
      <c r="O103" s="31"/>
      <c r="P103" s="30">
        <f>IF(O97=0,0,Q103/O97)</f>
        <v>-51.541333333333263</v>
      </c>
      <c r="Q103" s="33">
        <v>-773.11999999999898</v>
      </c>
      <c r="R103" s="31">
        <f>O103-K103</f>
        <v>-330.96857142857141</v>
      </c>
      <c r="S103" s="34">
        <f>L103-Q103</f>
        <v>10040.239999999998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31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v>22800</v>
      </c>
      <c r="G104" s="31"/>
      <c r="H104" s="30"/>
      <c r="I104" s="30"/>
      <c r="J104" s="31"/>
      <c r="K104" s="30">
        <f>IF(J97=0,0,L104/J97)</f>
        <v>389.14285714285717</v>
      </c>
      <c r="L104" s="33">
        <v>10896</v>
      </c>
      <c r="M104" s="31"/>
      <c r="N104" s="33">
        <f>L104-F104</f>
        <v>-11904</v>
      </c>
      <c r="O104" s="31"/>
      <c r="P104" s="30">
        <f>IF(O97=0,0,Q104/O97)</f>
        <v>1057.0806666666665</v>
      </c>
      <c r="Q104" s="33">
        <v>15856.21</v>
      </c>
      <c r="R104" s="31">
        <f>O104-K104</f>
        <v>-389.14285714285717</v>
      </c>
      <c r="S104" s="34">
        <f>L104-Q104</f>
        <v>-4960.2099999999991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31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v>4800</v>
      </c>
      <c r="G105" s="31"/>
      <c r="H105" s="47"/>
      <c r="I105" s="30"/>
      <c r="J105" s="31"/>
      <c r="K105" s="47">
        <f>IF(J97=0,0,L105/J97)</f>
        <v>0</v>
      </c>
      <c r="L105" s="33">
        <v>0</v>
      </c>
      <c r="M105" s="51"/>
      <c r="N105" s="33">
        <f>L105-F105</f>
        <v>-4800</v>
      </c>
      <c r="O105" s="31"/>
      <c r="P105" s="47">
        <f>IF(O97=0,0,Q105/O97)</f>
        <v>768.64599999999336</v>
      </c>
      <c r="Q105" s="33">
        <v>11529.6899999999</v>
      </c>
      <c r="R105" s="31">
        <f>O105-K105</f>
        <v>0</v>
      </c>
      <c r="S105" s="34">
        <f>L105-Q105</f>
        <v>-11529.6899999999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31"/>
        <v>Véhicules usagésTotal F&amp;I</v>
      </c>
      <c r="B106" s="11" t="s">
        <v>70</v>
      </c>
      <c r="C106" s="35" t="s">
        <v>27</v>
      </c>
      <c r="D106" s="36">
        <f>D97</f>
        <v>24</v>
      </c>
      <c r="E106" s="30">
        <f t="shared" ref="E106:E117" si="33">IF(D106=0,0,F106/D106)</f>
        <v>1500</v>
      </c>
      <c r="F106" s="37">
        <f>F103+F104+F105</f>
        <v>36000</v>
      </c>
      <c r="G106" s="38"/>
      <c r="H106" s="36"/>
      <c r="I106" s="37"/>
      <c r="J106" s="38">
        <f>J97</f>
        <v>28</v>
      </c>
      <c r="K106" s="36">
        <f>IF(J106&lt;=0,0,L106/J106)</f>
        <v>720.11142857142852</v>
      </c>
      <c r="L106" s="37">
        <f>L103+L104+L105</f>
        <v>20163.12</v>
      </c>
      <c r="M106" s="31">
        <f>J106-D106</f>
        <v>4</v>
      </c>
      <c r="N106" s="37">
        <f>L106-F106</f>
        <v>-15836.880000000001</v>
      </c>
      <c r="O106" s="38">
        <f>O97</f>
        <v>15</v>
      </c>
      <c r="P106" s="36">
        <f t="shared" ref="P106" si="34">IF(O106=0,0,Q106/O106)</f>
        <v>1774.1853333333268</v>
      </c>
      <c r="Q106" s="37">
        <f>Q103+Q104+Q105</f>
        <v>26612.779999999901</v>
      </c>
      <c r="R106" s="56"/>
      <c r="S106" s="39">
        <f>L106-Q106</f>
        <v>-6449.6599999999016</v>
      </c>
      <c r="T106" s="13"/>
      <c r="U106" s="13"/>
      <c r="W106" s="13"/>
      <c r="X106" s="13">
        <v>20163</v>
      </c>
      <c r="Y106" s="515">
        <f>L106-X106</f>
        <v>0.11999999999898137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31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-0.43991333333333338</v>
      </c>
      <c r="O107" s="41"/>
      <c r="P107" s="13"/>
      <c r="Q107" s="59"/>
      <c r="R107" s="60"/>
      <c r="S107" s="44">
        <f>IF(Q106=0,0,(S106/Q106))</f>
        <v>-0.24235198276917802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31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46</v>
      </c>
      <c r="E109" s="67">
        <f>IF(D109&lt;=0,0,F109/D109)</f>
        <v>2115.2673003774908</v>
      </c>
      <c r="F109" s="65">
        <f>F97+F106+F101+F99</f>
        <v>97302.295817364575</v>
      </c>
      <c r="G109" s="66"/>
      <c r="H109" s="67"/>
      <c r="I109" s="65"/>
      <c r="J109" s="66">
        <f>J97+J101</f>
        <v>52</v>
      </c>
      <c r="K109" s="67">
        <f>IF(J109&lt;=0,0,L109/J109)</f>
        <v>1683.2194230769221</v>
      </c>
      <c r="L109" s="65">
        <f>L97+L106+L101+L99</f>
        <v>87527.409999999945</v>
      </c>
      <c r="M109" s="66">
        <f>J109-D109</f>
        <v>6</v>
      </c>
      <c r="N109" s="65">
        <f>L109-F109</f>
        <v>-9774.8858173646295</v>
      </c>
      <c r="O109" s="66">
        <f>O97+O101</f>
        <v>38</v>
      </c>
      <c r="P109" s="67">
        <f>IF(O109&lt;=0,0,Q109/O109)</f>
        <v>1504.1836842105211</v>
      </c>
      <c r="Q109" s="65">
        <f>Q97+Q106+Q101+Q99</f>
        <v>57158.979999999799</v>
      </c>
      <c r="R109" s="66">
        <f>J109-O109</f>
        <v>14</v>
      </c>
      <c r="S109" s="68">
        <f>L109-Q109</f>
        <v>30368.430000000146</v>
      </c>
      <c r="T109" s="13"/>
      <c r="U109" s="13"/>
      <c r="W109" s="484">
        <f>SUM(W95:W108)</f>
        <v>52</v>
      </c>
      <c r="X109" s="484">
        <f>SUM(X95:X108)</f>
        <v>87528</v>
      </c>
      <c r="Y109" s="515">
        <f>L109-X109</f>
        <v>-0.5900000000547152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0.13043478260869565</v>
      </c>
      <c r="N110" s="74">
        <f>N109/F109</f>
        <v>-0.10045894328857349</v>
      </c>
      <c r="O110" s="72"/>
      <c r="P110" s="70"/>
      <c r="Q110" s="71"/>
      <c r="R110" s="73">
        <f>O109/R109</f>
        <v>2.7142857142857144</v>
      </c>
      <c r="S110" s="144">
        <f>IF(Q109=0,0,(S109/Q109))</f>
        <v>0.53129761937669728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31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31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31"/>
        <v>Véhicules usagésComm. vendeurs</v>
      </c>
      <c r="B113" s="11" t="s">
        <v>70</v>
      </c>
      <c r="C113" s="29" t="s">
        <v>30</v>
      </c>
      <c r="D113" s="147">
        <f>F113/(F97+F106)</f>
        <v>0.19606132097828735</v>
      </c>
      <c r="E113" s="82">
        <f t="shared" ref="E113:E122" si="35">F113/D$97</f>
        <v>687.84846776549148</v>
      </c>
      <c r="F113" s="30">
        <v>16508.363226371795</v>
      </c>
      <c r="G113" s="156"/>
      <c r="H113" s="82"/>
      <c r="I113" s="30"/>
      <c r="J113" s="156">
        <f>L113/L97</f>
        <v>0.40176887113976656</v>
      </c>
      <c r="K113" s="82">
        <f>IF($J$97=0,0,L113/(J$94+J$95+J96))</f>
        <v>894.66035714285715</v>
      </c>
      <c r="L113" s="33">
        <v>25050.49</v>
      </c>
      <c r="M113" s="41"/>
      <c r="N113" s="59">
        <f t="shared" ref="N113:N154" si="36">L113-F113</f>
        <v>8542.1267736282061</v>
      </c>
      <c r="O113" s="156">
        <f>Q113/Q97</f>
        <v>0.29214524192950025</v>
      </c>
      <c r="P113" s="82">
        <f t="shared" ref="P113:P122" si="37">Q113/O$97</f>
        <v>427.7713333333333</v>
      </c>
      <c r="Q113" s="33">
        <v>6416.57</v>
      </c>
      <c r="R113" s="41"/>
      <c r="S113" s="85">
        <f t="shared" ref="S113:S123" si="38">L113-Q113</f>
        <v>18633.920000000002</v>
      </c>
      <c r="T113" s="13"/>
      <c r="U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31"/>
        <v>Véhicules usagésComm. F&amp;I</v>
      </c>
      <c r="B114" s="11" t="s">
        <v>70</v>
      </c>
      <c r="C114" s="86" t="s">
        <v>31</v>
      </c>
      <c r="D114" s="217">
        <f>F114/(F106+F99)</f>
        <v>0.25510273833867642</v>
      </c>
      <c r="E114" s="88">
        <f t="shared" si="35"/>
        <v>405</v>
      </c>
      <c r="F114" s="22">
        <v>9720</v>
      </c>
      <c r="G114" s="161"/>
      <c r="H114" s="88"/>
      <c r="I114" s="22"/>
      <c r="J114" s="161">
        <f>L114/L106</f>
        <v>0.16193376818666955</v>
      </c>
      <c r="K114" s="88">
        <f>IF($J$97=0,0,L114/(J$94+J$95+J96))</f>
        <v>116.61035714285715</v>
      </c>
      <c r="L114" s="33">
        <v>3265.09</v>
      </c>
      <c r="M114" s="23"/>
      <c r="N114" s="91">
        <f t="shared" si="36"/>
        <v>-6454.91</v>
      </c>
      <c r="O114" s="161">
        <f>Q114/(Q106+Q99)</f>
        <v>0.26703990755314788</v>
      </c>
      <c r="P114" s="88">
        <f t="shared" si="37"/>
        <v>518.24933333333331</v>
      </c>
      <c r="Q114" s="33">
        <v>7773.74</v>
      </c>
      <c r="R114" s="23"/>
      <c r="S114" s="92">
        <f t="shared" si="38"/>
        <v>-4508.6499999999996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31"/>
        <v>Véhicules usagésFrais de livraison</v>
      </c>
      <c r="B115" s="11" t="s">
        <v>70</v>
      </c>
      <c r="C115" s="29" t="s">
        <v>32</v>
      </c>
      <c r="D115" s="81"/>
      <c r="E115" s="82">
        <f t="shared" si="35"/>
        <v>85</v>
      </c>
      <c r="F115" s="30">
        <v>2040</v>
      </c>
      <c r="G115" s="83"/>
      <c r="H115" s="82"/>
      <c r="I115" s="30"/>
      <c r="J115" s="41"/>
      <c r="K115" s="82">
        <f>IF($J$97=0,0,L115/(J$94+J$95+J96))</f>
        <v>45.272500000000001</v>
      </c>
      <c r="L115" s="108">
        <v>1267.6300000000001</v>
      </c>
      <c r="M115" s="41"/>
      <c r="N115" s="59">
        <f t="shared" si="36"/>
        <v>-772.36999999999989</v>
      </c>
      <c r="O115" s="41"/>
      <c r="P115" s="82">
        <f t="shared" si="37"/>
        <v>119.45733333333332</v>
      </c>
      <c r="Q115" s="108">
        <v>1791.86</v>
      </c>
      <c r="R115" s="41"/>
      <c r="S115" s="85">
        <f t="shared" si="38"/>
        <v>-524.22999999999979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31"/>
        <v>Véhicules usagésService gratuit 1</v>
      </c>
      <c r="B116" s="11" t="s">
        <v>70</v>
      </c>
      <c r="C116" s="29" t="s">
        <v>33</v>
      </c>
      <c r="D116" s="81"/>
      <c r="E116" s="82">
        <f t="shared" si="35"/>
        <v>80</v>
      </c>
      <c r="F116" s="30">
        <v>1920</v>
      </c>
      <c r="G116" s="83"/>
      <c r="H116" s="82"/>
      <c r="I116" s="30"/>
      <c r="J116" s="41"/>
      <c r="K116" s="82">
        <f>IF($J$97=0,0,L116/(J$94+J$95+J96))</f>
        <v>160.53749999999999</v>
      </c>
      <c r="L116" s="33">
        <v>4495.05</v>
      </c>
      <c r="M116" s="41"/>
      <c r="N116" s="59">
        <f t="shared" si="36"/>
        <v>2575.0500000000002</v>
      </c>
      <c r="O116" s="41"/>
      <c r="P116" s="82">
        <f t="shared" si="37"/>
        <v>85.835999999999999</v>
      </c>
      <c r="Q116" s="33">
        <v>1287.54</v>
      </c>
      <c r="R116" s="41"/>
      <c r="S116" s="85">
        <f t="shared" si="38"/>
        <v>3207.51</v>
      </c>
      <c r="T116" s="13"/>
      <c r="U116" s="13"/>
      <c r="V116" s="489" t="s">
        <v>250</v>
      </c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31"/>
        <v>Véhicules usagésEntretien stock</v>
      </c>
      <c r="B117" s="11" t="s">
        <v>70</v>
      </c>
      <c r="C117" s="86" t="s">
        <v>34</v>
      </c>
      <c r="D117" s="87"/>
      <c r="E117" s="88">
        <f t="shared" si="35"/>
        <v>47.291666666666664</v>
      </c>
      <c r="F117" s="22">
        <v>1135</v>
      </c>
      <c r="G117" s="89"/>
      <c r="H117" s="88"/>
      <c r="I117" s="22"/>
      <c r="J117" s="23"/>
      <c r="K117" s="88">
        <f>IF($J$97=0,0,L117/(J$94+J$95+J96))</f>
        <v>46.068928571428572</v>
      </c>
      <c r="L117" s="48">
        <v>1289.93</v>
      </c>
      <c r="M117" s="23"/>
      <c r="N117" s="91">
        <f t="shared" si="36"/>
        <v>154.93000000000006</v>
      </c>
      <c r="O117" s="23"/>
      <c r="P117" s="88">
        <f t="shared" si="37"/>
        <v>337.69533333333334</v>
      </c>
      <c r="Q117" s="48">
        <v>5065.43</v>
      </c>
      <c r="R117" s="23"/>
      <c r="S117" s="92">
        <f t="shared" si="38"/>
        <v>-3775.5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31"/>
        <v>Véhicules usagésPublicité 1</v>
      </c>
      <c r="B118" s="11" t="s">
        <v>70</v>
      </c>
      <c r="C118" s="29" t="s">
        <v>35</v>
      </c>
      <c r="D118" s="81"/>
      <c r="E118" s="82">
        <f t="shared" si="35"/>
        <v>31.5625</v>
      </c>
      <c r="F118" s="30">
        <v>757.5</v>
      </c>
      <c r="G118" s="83"/>
      <c r="H118" s="82"/>
      <c r="I118" s="30"/>
      <c r="J118" s="41"/>
      <c r="K118" s="82">
        <f>IF($J$97=0,0,L118/(J$94+J$95+J96))</f>
        <v>10.182499999999989</v>
      </c>
      <c r="L118" s="33">
        <v>285.10999999999967</v>
      </c>
      <c r="M118" s="41"/>
      <c r="N118" s="59">
        <f t="shared" si="36"/>
        <v>-472.39000000000033</v>
      </c>
      <c r="O118" s="41"/>
      <c r="P118" s="82">
        <f t="shared" si="37"/>
        <v>302.17933333333332</v>
      </c>
      <c r="Q118" s="33">
        <v>4532.6899999999996</v>
      </c>
      <c r="R118" s="41"/>
      <c r="S118" s="85">
        <f t="shared" si="38"/>
        <v>-4247.58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35"/>
        <v>318.63910710382504</v>
      </c>
      <c r="F119" s="30">
        <v>7647.338570491801</v>
      </c>
      <c r="G119" s="83"/>
      <c r="H119" s="82"/>
      <c r="I119" s="30"/>
      <c r="J119" s="41"/>
      <c r="K119" s="82">
        <f>IF($J$97=0,0,L119/(J$94+J$95+J96))</f>
        <v>228.87392857142859</v>
      </c>
      <c r="L119" s="33">
        <v>6408.47</v>
      </c>
      <c r="M119" s="41"/>
      <c r="N119" s="59">
        <f t="shared" si="36"/>
        <v>-1238.8685704918007</v>
      </c>
      <c r="O119" s="41"/>
      <c r="P119" s="82">
        <f t="shared" si="37"/>
        <v>306.11333333333334</v>
      </c>
      <c r="Q119" s="33">
        <v>4591.7</v>
      </c>
      <c r="R119" s="41"/>
      <c r="S119" s="85">
        <f>L119-Q119</f>
        <v>1816.7700000000004</v>
      </c>
      <c r="T119" s="13"/>
      <c r="U119" s="13"/>
      <c r="V119" s="489">
        <v>6408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>+B120&amp;C120</f>
        <v>Véhicules usagés[...]</v>
      </c>
      <c r="B120" s="11" t="s">
        <v>70</v>
      </c>
      <c r="C120" s="29" t="s">
        <v>19</v>
      </c>
      <c r="D120" s="81"/>
      <c r="E120" s="82">
        <f t="shared" si="35"/>
        <v>0</v>
      </c>
      <c r="F120" s="30">
        <v>0</v>
      </c>
      <c r="G120" s="83"/>
      <c r="H120" s="82"/>
      <c r="I120" s="30"/>
      <c r="J120" s="41"/>
      <c r="K120" s="82">
        <f>IF($J$97=0,0,L120/(J$94+J$95))</f>
        <v>0</v>
      </c>
      <c r="L120" s="33">
        <v>0</v>
      </c>
      <c r="M120" s="41"/>
      <c r="N120" s="59">
        <f t="shared" si="36"/>
        <v>0</v>
      </c>
      <c r="O120" s="41"/>
      <c r="P120" s="82">
        <f t="shared" si="37"/>
        <v>0</v>
      </c>
      <c r="Q120" s="33"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>+B121&amp;C121</f>
        <v>Véhicules usagés[...]</v>
      </c>
      <c r="B121" s="11" t="s">
        <v>70</v>
      </c>
      <c r="C121" s="29" t="s">
        <v>19</v>
      </c>
      <c r="D121" s="81"/>
      <c r="E121" s="82">
        <f t="shared" si="35"/>
        <v>0</v>
      </c>
      <c r="F121" s="30">
        <v>0</v>
      </c>
      <c r="G121" s="83"/>
      <c r="H121" s="82"/>
      <c r="I121" s="30"/>
      <c r="J121" s="41"/>
      <c r="K121" s="82">
        <f>IF($J$97=0,0,L121/(J$94+J$95))</f>
        <v>0</v>
      </c>
      <c r="L121" s="33">
        <v>0</v>
      </c>
      <c r="M121" s="41"/>
      <c r="N121" s="59">
        <f t="shared" si="36"/>
        <v>0</v>
      </c>
      <c r="O121" s="41"/>
      <c r="P121" s="82">
        <f t="shared" si="37"/>
        <v>0</v>
      </c>
      <c r="Q121" s="33"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>+B122&amp;C122</f>
        <v>Véhicules usagés[...]</v>
      </c>
      <c r="B122" s="11" t="s">
        <v>70</v>
      </c>
      <c r="C122" s="29" t="s">
        <v>19</v>
      </c>
      <c r="D122" s="81"/>
      <c r="E122" s="82">
        <f t="shared" si="35"/>
        <v>0</v>
      </c>
      <c r="F122" s="30">
        <v>0</v>
      </c>
      <c r="G122" s="83"/>
      <c r="H122" s="82"/>
      <c r="I122" s="30"/>
      <c r="J122" s="41"/>
      <c r="K122" s="82">
        <f>IF($J$97=0,0,L122/(J$94+J$95))</f>
        <v>0</v>
      </c>
      <c r="L122" s="33">
        <v>0</v>
      </c>
      <c r="M122" s="41"/>
      <c r="N122" s="59">
        <f t="shared" si="36"/>
        <v>0</v>
      </c>
      <c r="O122" s="41"/>
      <c r="P122" s="82">
        <f t="shared" si="37"/>
        <v>0</v>
      </c>
      <c r="Q122" s="33">
        <v>0</v>
      </c>
      <c r="R122" s="41"/>
      <c r="S122" s="85">
        <f t="shared" ref="S122:S132" si="39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:A189" si="40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0.40829665387785952</v>
      </c>
      <c r="F123" s="96">
        <f>SUM(F113:F122)</f>
        <v>39728.201796863599</v>
      </c>
      <c r="G123" s="97"/>
      <c r="H123" s="95"/>
      <c r="I123" s="96"/>
      <c r="J123" s="97" t="s">
        <v>38</v>
      </c>
      <c r="K123" s="95">
        <f>L123/L$109</f>
        <v>0.48055540544384928</v>
      </c>
      <c r="L123" s="96">
        <f>SUM(L113:L122)</f>
        <v>42061.770000000004</v>
      </c>
      <c r="M123" s="100"/>
      <c r="N123" s="96">
        <f t="shared" si="36"/>
        <v>2333.5682031364049</v>
      </c>
      <c r="O123" s="97" t="s">
        <v>38</v>
      </c>
      <c r="P123" s="95">
        <f>Q123/Q$109</f>
        <v>0.55038648345369545</v>
      </c>
      <c r="Q123" s="96">
        <f>SUM(Q113:Q122)</f>
        <v>31459.53</v>
      </c>
      <c r="R123" s="100"/>
      <c r="S123" s="101">
        <f t="shared" si="39"/>
        <v>10602.240000000005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40"/>
        <v>Véhicules usagésSalaires cadres</v>
      </c>
      <c r="B124" s="11" t="s">
        <v>70</v>
      </c>
      <c r="C124" s="102" t="s">
        <v>40</v>
      </c>
      <c r="D124" s="13"/>
      <c r="E124" s="13"/>
      <c r="F124" s="30">
        <v>6952.5612490421454</v>
      </c>
      <c r="G124" s="41"/>
      <c r="H124" s="13"/>
      <c r="I124" s="30"/>
      <c r="J124" s="41"/>
      <c r="K124" s="13"/>
      <c r="L124" s="33">
        <v>8538.24</v>
      </c>
      <c r="M124" s="41"/>
      <c r="N124" s="59">
        <f t="shared" si="36"/>
        <v>1585.6787509578544</v>
      </c>
      <c r="O124" s="41"/>
      <c r="P124" s="13"/>
      <c r="Q124" s="33">
        <v>3221.48</v>
      </c>
      <c r="R124" s="41"/>
      <c r="S124" s="85">
        <f t="shared" si="39"/>
        <v>5316.76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40"/>
        <v>Véhicules usagésSalaires commis</v>
      </c>
      <c r="B125" s="11" t="s">
        <v>70</v>
      </c>
      <c r="C125" s="103" t="s">
        <v>41</v>
      </c>
      <c r="D125" s="81"/>
      <c r="E125" s="13"/>
      <c r="F125" s="22">
        <v>2060.3064693486585</v>
      </c>
      <c r="G125" s="83"/>
      <c r="H125" s="13"/>
      <c r="I125" s="22"/>
      <c r="J125" s="41"/>
      <c r="K125" s="13"/>
      <c r="L125" s="22">
        <v>1264.24</v>
      </c>
      <c r="M125" s="41"/>
      <c r="N125" s="59">
        <f t="shared" si="36"/>
        <v>-796.06646934865853</v>
      </c>
      <c r="O125" s="41"/>
      <c r="P125" s="13"/>
      <c r="Q125" s="22">
        <v>2898.72</v>
      </c>
      <c r="R125" s="41"/>
      <c r="S125" s="85">
        <f t="shared" si="39"/>
        <v>-1634.4799999999998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40"/>
        <v>Véhicules usagésSalaires autres</v>
      </c>
      <c r="B126" s="11" t="s">
        <v>70</v>
      </c>
      <c r="C126" s="102" t="s">
        <v>42</v>
      </c>
      <c r="D126" s="104"/>
      <c r="E126" s="105"/>
      <c r="F126" s="30">
        <v>0</v>
      </c>
      <c r="G126" s="106"/>
      <c r="H126" s="105"/>
      <c r="I126" s="30"/>
      <c r="J126" s="107"/>
      <c r="K126" s="105"/>
      <c r="L126" s="33">
        <v>0</v>
      </c>
      <c r="M126" s="107"/>
      <c r="N126" s="109">
        <f t="shared" si="36"/>
        <v>0</v>
      </c>
      <c r="O126" s="107"/>
      <c r="P126" s="105"/>
      <c r="Q126" s="33">
        <v>2809</v>
      </c>
      <c r="R126" s="107"/>
      <c r="S126" s="110">
        <f t="shared" si="39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40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v>0</v>
      </c>
      <c r="G127" s="83"/>
      <c r="H127" s="13"/>
      <c r="I127" s="30"/>
      <c r="J127" s="41"/>
      <c r="K127" s="13"/>
      <c r="L127" s="33">
        <v>0</v>
      </c>
      <c r="M127" s="41"/>
      <c r="N127" s="59">
        <f t="shared" si="36"/>
        <v>0</v>
      </c>
      <c r="O127" s="41"/>
      <c r="P127" s="13"/>
      <c r="Q127" s="33">
        <v>0</v>
      </c>
      <c r="R127" s="41"/>
      <c r="S127" s="85">
        <f t="shared" si="39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v>0</v>
      </c>
      <c r="G128" s="83"/>
      <c r="H128" s="13"/>
      <c r="I128" s="30"/>
      <c r="J128" s="41"/>
      <c r="K128" s="13"/>
      <c r="L128" s="33">
        <v>0</v>
      </c>
      <c r="M128" s="41"/>
      <c r="N128" s="59">
        <f t="shared" si="36"/>
        <v>0</v>
      </c>
      <c r="O128" s="41"/>
      <c r="P128" s="13"/>
      <c r="Q128" s="33"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v>0</v>
      </c>
      <c r="G129" s="83"/>
      <c r="H129" s="13"/>
      <c r="I129" s="30"/>
      <c r="J129" s="41"/>
      <c r="K129" s="13"/>
      <c r="L129" s="33">
        <v>0</v>
      </c>
      <c r="M129" s="41"/>
      <c r="N129" s="59">
        <f t="shared" si="36"/>
        <v>0</v>
      </c>
      <c r="O129" s="41"/>
      <c r="P129" s="13"/>
      <c r="Q129" s="33"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v>0</v>
      </c>
      <c r="G130" s="83"/>
      <c r="H130" s="13"/>
      <c r="I130" s="30"/>
      <c r="J130" s="41"/>
      <c r="K130" s="13"/>
      <c r="L130" s="33">
        <v>0</v>
      </c>
      <c r="M130" s="41"/>
      <c r="N130" s="59">
        <f t="shared" si="36"/>
        <v>0</v>
      </c>
      <c r="O130" s="41"/>
      <c r="P130" s="13"/>
      <c r="Q130" s="33"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:A197" si="41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v>4858.7958340916857</v>
      </c>
      <c r="G131" s="83"/>
      <c r="H131" s="13"/>
      <c r="I131" s="30"/>
      <c r="J131" s="41"/>
      <c r="K131" s="13"/>
      <c r="L131" s="33">
        <v>3710.59</v>
      </c>
      <c r="M131" s="41"/>
      <c r="N131" s="59">
        <f t="shared" si="36"/>
        <v>-1148.2058340916856</v>
      </c>
      <c r="O131" s="41"/>
      <c r="P131" s="13"/>
      <c r="Q131" s="33">
        <v>5062.3999999999996</v>
      </c>
      <c r="R131" s="41"/>
      <c r="S131" s="85">
        <f>L131-Q131</f>
        <v>-1351.8099999999995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41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v>4734.9311669459003</v>
      </c>
      <c r="G132" s="106"/>
      <c r="H132" s="105"/>
      <c r="I132" s="54"/>
      <c r="J132" s="107"/>
      <c r="K132" s="105"/>
      <c r="L132" s="55">
        <v>4433.01</v>
      </c>
      <c r="M132" s="107"/>
      <c r="N132" s="109">
        <f t="shared" si="36"/>
        <v>-301.92116694590004</v>
      </c>
      <c r="O132" s="107"/>
      <c r="P132" s="105"/>
      <c r="Q132" s="55">
        <v>3049.56</v>
      </c>
      <c r="R132" s="107"/>
      <c r="S132" s="110">
        <f t="shared" ref="S132:S149" si="42">L132-Q132</f>
        <v>1383.4500000000003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41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v>3314.4518168621298</v>
      </c>
      <c r="G133" s="83"/>
      <c r="H133" s="13"/>
      <c r="I133" s="30"/>
      <c r="J133" s="41"/>
      <c r="K133" s="13"/>
      <c r="L133" s="33">
        <v>2228.11</v>
      </c>
      <c r="M133" s="41"/>
      <c r="N133" s="59">
        <f t="shared" si="36"/>
        <v>-1086.3418168621297</v>
      </c>
      <c r="O133" s="41"/>
      <c r="P133" s="13"/>
      <c r="Q133" s="33">
        <v>2676.34</v>
      </c>
      <c r="R133" s="41"/>
      <c r="S133" s="85">
        <f t="shared" si="42"/>
        <v>-448.23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41"/>
        <v>Véhicules usagésCsst</v>
      </c>
      <c r="B134" s="11" t="s">
        <v>70</v>
      </c>
      <c r="C134" s="102" t="s">
        <v>47</v>
      </c>
      <c r="D134" s="81"/>
      <c r="E134" s="13"/>
      <c r="F134" s="30">
        <v>928.04650872139644</v>
      </c>
      <c r="G134" s="83"/>
      <c r="H134" s="13"/>
      <c r="I134" s="30"/>
      <c r="J134" s="41"/>
      <c r="K134" s="13"/>
      <c r="L134" s="33">
        <v>723.87</v>
      </c>
      <c r="M134" s="41"/>
      <c r="N134" s="59">
        <f t="shared" si="36"/>
        <v>-204.17650872139643</v>
      </c>
      <c r="O134" s="41"/>
      <c r="P134" s="13"/>
      <c r="Q134" s="33">
        <v>847.33</v>
      </c>
      <c r="R134" s="41"/>
      <c r="S134" s="85">
        <f t="shared" si="42"/>
        <v>-123.46000000000004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41"/>
        <v>Véhicules usagés[...]</v>
      </c>
      <c r="B135" s="11" t="s">
        <v>70</v>
      </c>
      <c r="C135" s="29" t="s">
        <v>19</v>
      </c>
      <c r="D135" s="87"/>
      <c r="E135" s="111"/>
      <c r="F135" s="30">
        <v>0</v>
      </c>
      <c r="G135" s="89"/>
      <c r="H135" s="111"/>
      <c r="I135" s="30"/>
      <c r="J135" s="23"/>
      <c r="K135" s="111"/>
      <c r="L135" s="33">
        <v>0</v>
      </c>
      <c r="M135" s="41"/>
      <c r="N135" s="59">
        <f t="shared" si="36"/>
        <v>0</v>
      </c>
      <c r="O135" s="23"/>
      <c r="P135" s="111"/>
      <c r="Q135" s="33">
        <v>0</v>
      </c>
      <c r="R135" s="23"/>
      <c r="S135" s="92">
        <f t="shared" si="4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41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0.23482583687336039</v>
      </c>
      <c r="F136" s="96">
        <f>+SUM(F124:F135)</f>
        <v>22849.093045011912</v>
      </c>
      <c r="G136" s="97"/>
      <c r="H136" s="95"/>
      <c r="I136" s="96"/>
      <c r="J136" s="97" t="s">
        <v>38</v>
      </c>
      <c r="K136" s="95">
        <f>L136/L$109</f>
        <v>0.23876017809735275</v>
      </c>
      <c r="L136" s="96">
        <f>SUM(L124:L135)</f>
        <v>20898.060000000001</v>
      </c>
      <c r="M136" s="458"/>
      <c r="N136" s="459">
        <f t="shared" si="36"/>
        <v>-1951.0330450119109</v>
      </c>
      <c r="O136" s="97" t="s">
        <v>38</v>
      </c>
      <c r="P136" s="95">
        <f>Q136/Q$109</f>
        <v>0.35978301222310255</v>
      </c>
      <c r="Q136" s="96">
        <f>+SUM(Q124:Q135)</f>
        <v>20564.830000000002</v>
      </c>
      <c r="R136" s="146"/>
      <c r="S136" s="114">
        <f t="shared" si="42"/>
        <v>333.22999999999956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41"/>
        <v>Véhicules usagésPublicité 2</v>
      </c>
      <c r="B137" s="11" t="s">
        <v>70</v>
      </c>
      <c r="C137" s="29" t="s">
        <v>49</v>
      </c>
      <c r="D137" s="81"/>
      <c r="E137" s="13"/>
      <c r="F137" s="30">
        <v>0</v>
      </c>
      <c r="G137" s="83"/>
      <c r="H137" s="13"/>
      <c r="I137" s="30"/>
      <c r="J137" s="41"/>
      <c r="K137" s="13"/>
      <c r="L137" s="33">
        <v>0</v>
      </c>
      <c r="M137" s="41"/>
      <c r="N137" s="59">
        <f t="shared" si="36"/>
        <v>0</v>
      </c>
      <c r="O137" s="41"/>
      <c r="P137" s="13"/>
      <c r="Q137" s="33">
        <v>0</v>
      </c>
      <c r="R137" s="41"/>
      <c r="S137" s="85">
        <f t="shared" si="4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41"/>
        <v>Véhicules usagésService gratuit 2</v>
      </c>
      <c r="B138" s="11" t="s">
        <v>70</v>
      </c>
      <c r="C138" s="29" t="s">
        <v>50</v>
      </c>
      <c r="D138" s="81"/>
      <c r="E138" s="13"/>
      <c r="F138" s="30">
        <v>0</v>
      </c>
      <c r="G138" s="83"/>
      <c r="H138" s="13"/>
      <c r="I138" s="30"/>
      <c r="J138" s="41"/>
      <c r="K138" s="13"/>
      <c r="L138" s="33">
        <v>0</v>
      </c>
      <c r="M138" s="41"/>
      <c r="N138" s="59">
        <f t="shared" si="36"/>
        <v>0</v>
      </c>
      <c r="O138" s="41"/>
      <c r="P138" s="13"/>
      <c r="Q138" s="33">
        <v>0</v>
      </c>
      <c r="R138" s="41"/>
      <c r="S138" s="85">
        <f t="shared" si="4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41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v>763.58333333333337</v>
      </c>
      <c r="G139" s="89"/>
      <c r="H139" s="111"/>
      <c r="I139" s="22"/>
      <c r="J139" s="23"/>
      <c r="K139" s="111"/>
      <c r="L139" s="22">
        <v>280.79000000000002</v>
      </c>
      <c r="M139" s="23"/>
      <c r="N139" s="91">
        <f t="shared" si="36"/>
        <v>-482.79333333333335</v>
      </c>
      <c r="O139" s="23"/>
      <c r="P139" s="111"/>
      <c r="Q139" s="22">
        <v>1007.99</v>
      </c>
      <c r="R139" s="23"/>
      <c r="S139" s="92">
        <f t="shared" si="42"/>
        <v>-727.2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41"/>
        <v>Véhicules usagésInformatique</v>
      </c>
      <c r="B140" s="11" t="s">
        <v>70</v>
      </c>
      <c r="C140" s="29" t="s">
        <v>52</v>
      </c>
      <c r="D140" s="81"/>
      <c r="E140" s="13"/>
      <c r="F140" s="30">
        <v>4084.5149999999999</v>
      </c>
      <c r="G140" s="83"/>
      <c r="H140" s="13"/>
      <c r="I140" s="30"/>
      <c r="J140" s="41"/>
      <c r="K140" s="13"/>
      <c r="L140" s="33">
        <v>5722.05</v>
      </c>
      <c r="M140" s="41"/>
      <c r="N140" s="59">
        <f t="shared" si="36"/>
        <v>1637.5350000000003</v>
      </c>
      <c r="O140" s="41"/>
      <c r="P140" s="13"/>
      <c r="Q140" s="33">
        <v>1466.88</v>
      </c>
      <c r="R140" s="41"/>
      <c r="S140" s="85">
        <f t="shared" si="42"/>
        <v>4255.17</v>
      </c>
      <c r="T140" s="13"/>
      <c r="U140" s="13"/>
      <c r="V140" s="489" t="s">
        <v>251</v>
      </c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41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v>498.75</v>
      </c>
      <c r="G141" s="83"/>
      <c r="H141" s="13"/>
      <c r="I141" s="30"/>
      <c r="J141" s="41"/>
      <c r="K141" s="13"/>
      <c r="L141" s="33">
        <v>1116.1400000000001</v>
      </c>
      <c r="M141" s="41"/>
      <c r="N141" s="59">
        <f t="shared" si="36"/>
        <v>617.3900000000001</v>
      </c>
      <c r="O141" s="41"/>
      <c r="P141" s="13"/>
      <c r="Q141" s="33">
        <v>82.92</v>
      </c>
      <c r="R141" s="41"/>
      <c r="S141" s="85">
        <f t="shared" si="42"/>
        <v>1033.22</v>
      </c>
      <c r="T141" s="147"/>
      <c r="U141" s="13"/>
      <c r="V141" s="489" t="s">
        <v>248</v>
      </c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41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v>2897.8903333333333</v>
      </c>
      <c r="G142" s="89"/>
      <c r="H142" s="111"/>
      <c r="I142" s="22"/>
      <c r="J142" s="23"/>
      <c r="K142" s="111"/>
      <c r="L142" s="22">
        <v>3384.13</v>
      </c>
      <c r="M142" s="23"/>
      <c r="N142" s="91">
        <f t="shared" si="36"/>
        <v>486.23966666666684</v>
      </c>
      <c r="O142" s="23"/>
      <c r="P142" s="111"/>
      <c r="Q142" s="22">
        <v>675.99</v>
      </c>
      <c r="R142" s="23"/>
      <c r="S142" s="92">
        <f t="shared" si="42"/>
        <v>2708.1400000000003</v>
      </c>
      <c r="T142" s="13"/>
      <c r="U142" s="13"/>
      <c r="V142" s="489" t="s">
        <v>249</v>
      </c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41"/>
        <v>Véhicules usagésFournitures autres</v>
      </c>
      <c r="B143" s="11" t="s">
        <v>70</v>
      </c>
      <c r="C143" s="29" t="s">
        <v>55</v>
      </c>
      <c r="D143" s="81"/>
      <c r="E143" s="13"/>
      <c r="F143" s="30">
        <v>13.75</v>
      </c>
      <c r="G143" s="83"/>
      <c r="H143" s="13"/>
      <c r="I143" s="30"/>
      <c r="J143" s="41"/>
      <c r="K143" s="13"/>
      <c r="L143" s="33">
        <v>91.57</v>
      </c>
      <c r="M143" s="41"/>
      <c r="N143" s="59">
        <f t="shared" si="36"/>
        <v>77.819999999999993</v>
      </c>
      <c r="O143" s="41"/>
      <c r="P143" s="13"/>
      <c r="Q143" s="33">
        <v>13.54</v>
      </c>
      <c r="R143" s="41"/>
      <c r="S143" s="85">
        <f t="shared" si="42"/>
        <v>78.03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41"/>
        <v>Véhicules usagésUniformes</v>
      </c>
      <c r="B144" s="11" t="s">
        <v>70</v>
      </c>
      <c r="C144" s="29" t="s">
        <v>56</v>
      </c>
      <c r="D144" s="81"/>
      <c r="E144" s="13"/>
      <c r="F144" s="30">
        <v>7.5</v>
      </c>
      <c r="G144" s="83"/>
      <c r="H144" s="13"/>
      <c r="I144" s="30"/>
      <c r="J144" s="41"/>
      <c r="K144" s="13"/>
      <c r="L144" s="33">
        <v>69.930000000000007</v>
      </c>
      <c r="M144" s="41"/>
      <c r="N144" s="59">
        <f t="shared" si="36"/>
        <v>62.430000000000007</v>
      </c>
      <c r="O144" s="41"/>
      <c r="P144" s="13"/>
      <c r="Q144" s="33">
        <v>0</v>
      </c>
      <c r="R144" s="41"/>
      <c r="S144" s="85">
        <f t="shared" si="42"/>
        <v>69.930000000000007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41"/>
        <v>Véhicules usagésPapeterie</v>
      </c>
      <c r="B145" s="11" t="s">
        <v>70</v>
      </c>
      <c r="C145" s="29" t="s">
        <v>57</v>
      </c>
      <c r="D145" s="81"/>
      <c r="E145" s="13"/>
      <c r="F145" s="30">
        <v>217.5</v>
      </c>
      <c r="G145" s="83"/>
      <c r="H145" s="13"/>
      <c r="I145" s="30"/>
      <c r="J145" s="41"/>
      <c r="K145" s="13"/>
      <c r="L145" s="32">
        <v>385.74</v>
      </c>
      <c r="M145" s="41"/>
      <c r="N145" s="59">
        <f t="shared" si="36"/>
        <v>168.24</v>
      </c>
      <c r="O145" s="41"/>
      <c r="P145" s="13"/>
      <c r="Q145" s="32">
        <v>74.87</v>
      </c>
      <c r="R145" s="41"/>
      <c r="S145" s="85">
        <f t="shared" si="42"/>
        <v>310.87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41"/>
        <v>Véhicules usagésTéléphone</v>
      </c>
      <c r="B146" s="11" t="s">
        <v>70</v>
      </c>
      <c r="C146" s="29" t="s">
        <v>58</v>
      </c>
      <c r="D146" s="81"/>
      <c r="E146" s="13"/>
      <c r="F146" s="30">
        <v>63.35</v>
      </c>
      <c r="G146" s="83"/>
      <c r="H146" s="13"/>
      <c r="I146" s="30"/>
      <c r="J146" s="41"/>
      <c r="K146" s="13"/>
      <c r="L146" s="33">
        <v>86.73</v>
      </c>
      <c r="M146" s="41"/>
      <c r="N146" s="59">
        <f t="shared" si="36"/>
        <v>23.380000000000003</v>
      </c>
      <c r="O146" s="41"/>
      <c r="P146" s="13"/>
      <c r="Q146" s="33">
        <v>60.76</v>
      </c>
      <c r="R146" s="41"/>
      <c r="S146" s="85">
        <f t="shared" si="42"/>
        <v>25.970000000000006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41"/>
        <v>Véhicules usagésFrais postaux</v>
      </c>
      <c r="B147" s="11" t="s">
        <v>70</v>
      </c>
      <c r="C147" s="29" t="s">
        <v>59</v>
      </c>
      <c r="D147" s="81"/>
      <c r="E147" s="13"/>
      <c r="F147" s="30">
        <v>84.999999999999986</v>
      </c>
      <c r="G147" s="83"/>
      <c r="H147" s="13"/>
      <c r="I147" s="30"/>
      <c r="J147" s="41"/>
      <c r="K147" s="13"/>
      <c r="L147" s="33">
        <v>58.19</v>
      </c>
      <c r="M147" s="41"/>
      <c r="N147" s="59">
        <f t="shared" si="36"/>
        <v>-26.809999999999988</v>
      </c>
      <c r="O147" s="41"/>
      <c r="P147" s="13"/>
      <c r="Q147" s="33">
        <v>164.05</v>
      </c>
      <c r="R147" s="41"/>
      <c r="S147" s="85">
        <f t="shared" si="42"/>
        <v>-105.86000000000001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41"/>
        <v>Véhicules usagésDivers</v>
      </c>
      <c r="B148" s="11" t="s">
        <v>70</v>
      </c>
      <c r="C148" s="29" t="s">
        <v>60</v>
      </c>
      <c r="D148" s="81"/>
      <c r="E148" s="13"/>
      <c r="F148" s="30">
        <v>238.91666666666663</v>
      </c>
      <c r="G148" s="83"/>
      <c r="H148" s="13"/>
      <c r="I148" s="30"/>
      <c r="J148" s="41"/>
      <c r="K148" s="13"/>
      <c r="L148" s="33">
        <v>195.59</v>
      </c>
      <c r="M148" s="41"/>
      <c r="N148" s="59">
        <f t="shared" si="36"/>
        <v>-43.326666666666625</v>
      </c>
      <c r="O148" s="41"/>
      <c r="P148" s="13"/>
      <c r="Q148" s="33">
        <v>192.6</v>
      </c>
      <c r="R148" s="41"/>
      <c r="S148" s="85">
        <f t="shared" si="42"/>
        <v>2.9900000000000091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41"/>
        <v>Véhicules usagésFormation</v>
      </c>
      <c r="B149" s="11" t="s">
        <v>70</v>
      </c>
      <c r="C149" s="29" t="s">
        <v>61</v>
      </c>
      <c r="D149" s="81"/>
      <c r="E149" s="13"/>
      <c r="F149" s="30">
        <v>114.34800000000004</v>
      </c>
      <c r="G149" s="83"/>
      <c r="H149" s="13"/>
      <c r="I149" s="30"/>
      <c r="J149" s="41"/>
      <c r="K149" s="13"/>
      <c r="L149" s="59">
        <v>80.19</v>
      </c>
      <c r="M149" s="41"/>
      <c r="N149" s="59">
        <f t="shared" si="36"/>
        <v>-34.158000000000044</v>
      </c>
      <c r="O149" s="41"/>
      <c r="P149" s="13"/>
      <c r="Q149" s="33">
        <v>60.7</v>
      </c>
      <c r="R149" s="41"/>
      <c r="S149" s="85">
        <f t="shared" si="42"/>
        <v>19.489999999999995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v>1207.4534296559214</v>
      </c>
      <c r="G150" s="83"/>
      <c r="H150" s="13"/>
      <c r="I150" s="30"/>
      <c r="J150" s="41"/>
      <c r="K150" s="13"/>
      <c r="L150" s="33">
        <v>1210.92</v>
      </c>
      <c r="M150" s="41"/>
      <c r="N150" s="59">
        <f t="shared" si="36"/>
        <v>3.4665703440787183</v>
      </c>
      <c r="O150" s="41"/>
      <c r="P150" s="13"/>
      <c r="Q150" s="33">
        <v>668.91</v>
      </c>
      <c r="R150" s="41"/>
      <c r="S150" s="85">
        <f>L150-Q150</f>
        <v>542.0100000000001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v>0</v>
      </c>
      <c r="G151" s="83"/>
      <c r="H151" s="13"/>
      <c r="I151" s="30"/>
      <c r="J151" s="41"/>
      <c r="K151" s="13"/>
      <c r="L151" s="33">
        <v>0</v>
      </c>
      <c r="M151" s="41"/>
      <c r="N151" s="59">
        <f t="shared" si="36"/>
        <v>0</v>
      </c>
      <c r="O151" s="41"/>
      <c r="P151" s="13"/>
      <c r="Q151" s="33"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v>0</v>
      </c>
      <c r="G152" s="83"/>
      <c r="H152" s="13"/>
      <c r="I152" s="30"/>
      <c r="J152" s="41"/>
      <c r="K152" s="13"/>
      <c r="L152" s="33">
        <v>0</v>
      </c>
      <c r="M152" s="41"/>
      <c r="N152" s="59">
        <f t="shared" si="36"/>
        <v>0</v>
      </c>
      <c r="O152" s="41"/>
      <c r="P152" s="13"/>
      <c r="Q152" s="33"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v>0</v>
      </c>
      <c r="G153" s="83"/>
      <c r="H153" s="13"/>
      <c r="I153" s="30"/>
      <c r="J153" s="41"/>
      <c r="K153" s="13"/>
      <c r="L153" s="33">
        <v>0</v>
      </c>
      <c r="M153" s="41"/>
      <c r="N153" s="59">
        <f t="shared" si="36"/>
        <v>0</v>
      </c>
      <c r="O153" s="41"/>
      <c r="P153" s="13"/>
      <c r="Q153" s="33"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:A220" si="43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0.10475145192997892</v>
      </c>
      <c r="F154" s="96">
        <f>+SUM(F137:F153)</f>
        <v>10192.556762989254</v>
      </c>
      <c r="G154" s="97"/>
      <c r="H154" s="95"/>
      <c r="I154" s="96"/>
      <c r="J154" s="97" t="s">
        <v>38</v>
      </c>
      <c r="K154" s="95">
        <f>L154/L$109</f>
        <v>0.14489141173033693</v>
      </c>
      <c r="L154" s="96">
        <f>+SUM(L137:L153)</f>
        <v>12681.970000000001</v>
      </c>
      <c r="M154" s="100"/>
      <c r="N154" s="96">
        <f t="shared" si="36"/>
        <v>2489.4132370107473</v>
      </c>
      <c r="O154" s="97" t="s">
        <v>38</v>
      </c>
      <c r="P154" s="95">
        <f>Q154/Q$109</f>
        <v>7.8189113941501687E-2</v>
      </c>
      <c r="Q154" s="96">
        <f>+SUM(Q137:Q153)</f>
        <v>4469.21</v>
      </c>
      <c r="R154" s="100"/>
      <c r="S154" s="101">
        <f>L154-Q154</f>
        <v>8212.760000000002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43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43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0.74787394268119878</v>
      </c>
      <c r="F156" s="96">
        <f>F123+F136+F154</f>
        <v>72769.851604864758</v>
      </c>
      <c r="G156" s="97"/>
      <c r="H156" s="95"/>
      <c r="I156" s="96"/>
      <c r="J156" s="97" t="s">
        <v>38</v>
      </c>
      <c r="K156" s="95">
        <f>L156/L$109</f>
        <v>0.86420699527153899</v>
      </c>
      <c r="L156" s="96">
        <f>L123+L136+L154</f>
        <v>75641.8</v>
      </c>
      <c r="M156" s="100"/>
      <c r="N156" s="113">
        <f t="shared" ref="N156:N163" si="44">L156-F156</f>
        <v>2871.9483951352449</v>
      </c>
      <c r="O156" s="97" t="s">
        <v>38</v>
      </c>
      <c r="P156" s="95">
        <f>Q156/Q$109</f>
        <v>0.98835860961829969</v>
      </c>
      <c r="Q156" s="96">
        <f>Q123+Q136+Q154</f>
        <v>56493.57</v>
      </c>
      <c r="R156" s="100"/>
      <c r="S156" s="114">
        <f t="shared" ref="S156:S163" si="45">L156-Q156</f>
        <v>19148.230000000003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43"/>
        <v>Véhicules usagésRBSC used</v>
      </c>
      <c r="B157" s="11" t="s">
        <v>70</v>
      </c>
      <c r="C157" s="29" t="s">
        <v>217</v>
      </c>
      <c r="D157" s="148"/>
      <c r="E157" s="149"/>
      <c r="F157" s="30">
        <v>5250</v>
      </c>
      <c r="G157" s="150"/>
      <c r="H157" s="149"/>
      <c r="I157" s="30"/>
      <c r="J157" s="150"/>
      <c r="K157" s="149"/>
      <c r="L157" s="32">
        <v>6800</v>
      </c>
      <c r="M157" s="41"/>
      <c r="N157" s="59">
        <f t="shared" si="44"/>
        <v>1550</v>
      </c>
      <c r="O157" s="150"/>
      <c r="P157" s="149"/>
      <c r="Q157" s="33">
        <v>5625</v>
      </c>
      <c r="R157" s="41"/>
      <c r="S157" s="85">
        <f t="shared" si="45"/>
        <v>1175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43"/>
        <v>Véhicules usagésProgramme 360</v>
      </c>
      <c r="B158" s="11" t="s">
        <v>70</v>
      </c>
      <c r="C158" s="29" t="s">
        <v>218</v>
      </c>
      <c r="D158" s="148"/>
      <c r="E158" s="149"/>
      <c r="F158" s="30">
        <v>0</v>
      </c>
      <c r="G158" s="150"/>
      <c r="H158" s="149"/>
      <c r="I158" s="30"/>
      <c r="J158" s="150"/>
      <c r="K158" s="149"/>
      <c r="L158" s="33">
        <v>-3625</v>
      </c>
      <c r="M158" s="41"/>
      <c r="N158" s="59">
        <f t="shared" si="44"/>
        <v>-3625</v>
      </c>
      <c r="O158" s="150"/>
      <c r="P158" s="149"/>
      <c r="Q158" s="33">
        <v>0</v>
      </c>
      <c r="R158" s="41"/>
      <c r="S158" s="85">
        <f t="shared" si="45"/>
        <v>-3625</v>
      </c>
      <c r="T158" s="112"/>
      <c r="U158" s="13"/>
      <c r="V158" s="489" t="s">
        <v>252</v>
      </c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43"/>
        <v>Véhicules usagésProgramme used 3</v>
      </c>
      <c r="B159" s="11" t="s">
        <v>70</v>
      </c>
      <c r="C159" s="29" t="s">
        <v>77</v>
      </c>
      <c r="D159" s="81"/>
      <c r="E159" s="13"/>
      <c r="F159" s="30">
        <v>0</v>
      </c>
      <c r="G159" s="83"/>
      <c r="H159" s="13"/>
      <c r="I159" s="30"/>
      <c r="J159" s="41"/>
      <c r="K159" s="13"/>
      <c r="L159" s="33">
        <v>0</v>
      </c>
      <c r="M159" s="41"/>
      <c r="N159" s="59">
        <f t="shared" si="44"/>
        <v>0</v>
      </c>
      <c r="O159" s="41"/>
      <c r="P159" s="13"/>
      <c r="Q159" s="33">
        <v>0</v>
      </c>
      <c r="R159" s="41"/>
      <c r="S159" s="85">
        <f t="shared" si="45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usagés[...]</v>
      </c>
      <c r="B160" s="11" t="s">
        <v>70</v>
      </c>
      <c r="C160" s="29" t="s">
        <v>19</v>
      </c>
      <c r="D160" s="81"/>
      <c r="E160" s="13"/>
      <c r="F160" s="30">
        <v>0</v>
      </c>
      <c r="G160" s="83"/>
      <c r="H160" s="13"/>
      <c r="I160" s="30"/>
      <c r="J160" s="41"/>
      <c r="K160" s="13"/>
      <c r="L160" s="32">
        <v>0</v>
      </c>
      <c r="M160" s="41"/>
      <c r="N160" s="59">
        <f t="shared" si="44"/>
        <v>0</v>
      </c>
      <c r="O160" s="41"/>
      <c r="P160" s="13"/>
      <c r="Q160" s="33">
        <v>0</v>
      </c>
      <c r="R160" s="41"/>
      <c r="S160" s="85">
        <f t="shared" si="45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v>0</v>
      </c>
      <c r="G161" s="83"/>
      <c r="H161" s="13"/>
      <c r="I161" s="30"/>
      <c r="J161" s="41"/>
      <c r="K161" s="13"/>
      <c r="L161" s="32">
        <v>0</v>
      </c>
      <c r="M161" s="41"/>
      <c r="N161" s="59">
        <f t="shared" si="44"/>
        <v>0</v>
      </c>
      <c r="O161" s="41"/>
      <c r="P161" s="13"/>
      <c r="Q161" s="33">
        <v>0</v>
      </c>
      <c r="R161" s="41"/>
      <c r="S161" s="85">
        <f t="shared" si="45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v>0</v>
      </c>
      <c r="G162" s="83"/>
      <c r="H162" s="13"/>
      <c r="I162" s="30"/>
      <c r="J162" s="41"/>
      <c r="K162" s="13"/>
      <c r="L162" s="32">
        <v>0</v>
      </c>
      <c r="M162" s="41"/>
      <c r="N162" s="59">
        <f t="shared" si="44"/>
        <v>0</v>
      </c>
      <c r="O162" s="41"/>
      <c r="P162" s="13"/>
      <c r="Q162" s="33">
        <v>0</v>
      </c>
      <c r="R162" s="41"/>
      <c r="S162" s="85">
        <f t="shared" si="45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usagésFrais administration</v>
      </c>
      <c r="B163" s="11" t="s">
        <v>70</v>
      </c>
      <c r="C163" s="86" t="s">
        <v>67</v>
      </c>
      <c r="D163" s="87"/>
      <c r="E163" s="111"/>
      <c r="F163" s="30">
        <v>12138</v>
      </c>
      <c r="G163" s="83"/>
      <c r="H163" s="13"/>
      <c r="I163" s="30"/>
      <c r="J163" s="41"/>
      <c r="K163" s="13"/>
      <c r="L163" s="32">
        <v>16660</v>
      </c>
      <c r="M163" s="41"/>
      <c r="N163" s="59">
        <f t="shared" si="44"/>
        <v>4522</v>
      </c>
      <c r="O163" s="41"/>
      <c r="P163" s="13"/>
      <c r="Q163" s="33">
        <v>7140</v>
      </c>
      <c r="R163" s="41"/>
      <c r="S163" s="85">
        <f t="shared" si="45"/>
        <v>9520</v>
      </c>
      <c r="T163" s="112"/>
      <c r="U163" s="13"/>
      <c r="V163" s="489">
        <f>L163/595</f>
        <v>28</v>
      </c>
      <c r="W163" s="483">
        <f>V163/J97</f>
        <v>1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17388</v>
      </c>
      <c r="G164" s="97"/>
      <c r="H164" s="95"/>
      <c r="I164" s="96"/>
      <c r="J164" s="97"/>
      <c r="K164" s="95"/>
      <c r="L164" s="96">
        <f>+SUM(L157:L163)</f>
        <v>19835</v>
      </c>
      <c r="M164" s="100"/>
      <c r="N164" s="96">
        <f>SUM(N157:N160)</f>
        <v>-2075</v>
      </c>
      <c r="O164" s="97"/>
      <c r="P164" s="95"/>
      <c r="Q164" s="96">
        <f>+SUM(Q157:Q163)</f>
        <v>12765</v>
      </c>
      <c r="R164" s="100"/>
      <c r="S164" s="101">
        <f>+SUM(S157:S163)</f>
        <v>7070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41920.444212499817</v>
      </c>
      <c r="G166" s="152"/>
      <c r="H166" s="125"/>
      <c r="I166" s="127"/>
      <c r="J166" s="153"/>
      <c r="K166" s="126"/>
      <c r="L166" s="127">
        <f>L109-L156+L164</f>
        <v>31720.609999999942</v>
      </c>
      <c r="M166" s="153"/>
      <c r="N166" s="127">
        <f>L166-F166</f>
        <v>-10199.834212499874</v>
      </c>
      <c r="O166" s="153"/>
      <c r="P166" s="126"/>
      <c r="Q166" s="127">
        <f>Q109-Q156+Q164</f>
        <v>13430.4099999998</v>
      </c>
      <c r="R166" s="153"/>
      <c r="S166" s="129">
        <f>L166-Q166</f>
        <v>18290.200000000143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Juillet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05" t="s">
        <v>5</v>
      </c>
      <c r="E171" s="506"/>
      <c r="F171" s="507"/>
      <c r="G171" s="508"/>
      <c r="H171" s="506"/>
      <c r="I171" s="507"/>
      <c r="J171" s="508" t="s">
        <v>7</v>
      </c>
      <c r="K171" s="506"/>
      <c r="L171" s="507"/>
      <c r="M171" s="508" t="s">
        <v>212</v>
      </c>
      <c r="N171" s="507"/>
      <c r="O171" s="505" t="s">
        <v>8</v>
      </c>
      <c r="P171" s="506"/>
      <c r="Q171" s="507"/>
      <c r="R171" s="503" t="s">
        <v>213</v>
      </c>
      <c r="S171" s="504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29" si="46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6"/>
        <v>ServiceM/O Client</v>
      </c>
      <c r="B173" s="11" t="s">
        <v>78</v>
      </c>
      <c r="C173" s="29" t="s">
        <v>81</v>
      </c>
      <c r="D173" s="485">
        <v>245.75458680165934</v>
      </c>
      <c r="E173" s="82">
        <v>87242.878314589063</v>
      </c>
      <c r="F173" s="82">
        <v>68921.873868525363</v>
      </c>
      <c r="G173" s="155"/>
      <c r="H173" s="82"/>
      <c r="I173" s="82"/>
      <c r="J173" s="60">
        <v>196</v>
      </c>
      <c r="K173" s="30">
        <v>95147.63</v>
      </c>
      <c r="L173" s="33">
        <v>74278.12000000001</v>
      </c>
      <c r="M173" s="156">
        <f>(K173-E173)/E173</f>
        <v>9.0606268822392588E-2</v>
      </c>
      <c r="N173" s="59">
        <f>L173-F173</f>
        <v>5356.246131474647</v>
      </c>
      <c r="O173" s="60">
        <v>191</v>
      </c>
      <c r="P173" s="30">
        <v>71461.8</v>
      </c>
      <c r="Q173" s="33">
        <v>56493.51</v>
      </c>
      <c r="R173" s="156">
        <f>IF(O173=0,0,J173/O173)</f>
        <v>1.0261780104712042</v>
      </c>
      <c r="S173" s="85">
        <f>L173-Q173</f>
        <v>17784.610000000008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6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0.78066179893287946</v>
      </c>
      <c r="M174" s="156"/>
      <c r="N174" s="59"/>
      <c r="O174" s="60"/>
      <c r="P174" s="13"/>
      <c r="Q174" s="157">
        <f>Q173/P173</f>
        <v>0.79054138014995423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6"/>
        <v>Service</v>
      </c>
      <c r="B175" s="11" t="s">
        <v>78</v>
      </c>
      <c r="C175" s="86"/>
      <c r="D175" s="486"/>
      <c r="E175" s="158">
        <f>IFERROR(E173/D173,0)</f>
        <v>355</v>
      </c>
      <c r="F175" s="159"/>
      <c r="G175" s="23"/>
      <c r="H175" s="158"/>
      <c r="I175" s="159"/>
      <c r="J175" s="160"/>
      <c r="K175" s="460">
        <f>IFERROR(K173/J173,0)</f>
        <v>485.44709183673473</v>
      </c>
      <c r="L175" s="159"/>
      <c r="M175" s="161"/>
      <c r="N175" s="91"/>
      <c r="O175" s="160"/>
      <c r="P175" s="460">
        <f>IFERROR(P173/O173,0)</f>
        <v>374.14554973821993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6"/>
        <v>ServiceM/O Garantie</v>
      </c>
      <c r="B176" s="11" t="s">
        <v>78</v>
      </c>
      <c r="C176" s="14" t="s">
        <v>83</v>
      </c>
      <c r="D176" s="487">
        <v>242.71829138087605</v>
      </c>
      <c r="E176" s="82">
        <v>46116.475362366451</v>
      </c>
      <c r="F176" s="82">
        <v>30621.339640611324</v>
      </c>
      <c r="G176" s="163"/>
      <c r="H176" s="82"/>
      <c r="I176" s="82"/>
      <c r="J176" s="163">
        <v>216</v>
      </c>
      <c r="K176" s="164">
        <v>34024.619999999995</v>
      </c>
      <c r="L176" s="33">
        <v>22979.329999999991</v>
      </c>
      <c r="M176" s="156">
        <f>(K176-E176)/E176</f>
        <v>-0.26220250501264603</v>
      </c>
      <c r="N176" s="109">
        <f>L176-F176</f>
        <v>-7642.0096406113335</v>
      </c>
      <c r="O176" s="163">
        <v>212</v>
      </c>
      <c r="P176" s="164">
        <v>45755.069999999898</v>
      </c>
      <c r="Q176" s="33">
        <v>31394.639999999901</v>
      </c>
      <c r="R176" s="156">
        <f>IF(O176=0,0,J176/O176)</f>
        <v>1.0188679245283019</v>
      </c>
      <c r="S176" s="85">
        <f>L176-Q176</f>
        <v>-8415.3099999999104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6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0.67537359711879208</v>
      </c>
      <c r="M177" s="42"/>
      <c r="N177" s="43"/>
      <c r="O177" s="41"/>
      <c r="P177" s="13"/>
      <c r="Q177" s="157">
        <f>Q176/P176</f>
        <v>0.68614560091373422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6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215.82580188679196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6"/>
        <v>ServiceM/O Interne</v>
      </c>
      <c r="B179" s="11" t="s">
        <v>78</v>
      </c>
      <c r="C179" s="29" t="s">
        <v>84</v>
      </c>
      <c r="D179" s="485">
        <v>172.5</v>
      </c>
      <c r="E179" s="82">
        <v>69000</v>
      </c>
      <c r="F179" s="82">
        <v>51957</v>
      </c>
      <c r="G179" s="41"/>
      <c r="H179" s="82"/>
      <c r="I179" s="82"/>
      <c r="J179" s="60">
        <v>229</v>
      </c>
      <c r="K179" s="164">
        <v>72925.810000000012</v>
      </c>
      <c r="L179" s="33">
        <v>57330.80000000001</v>
      </c>
      <c r="M179" s="156">
        <f>(K179-E179)/E179</f>
        <v>5.6895797101449451E-2</v>
      </c>
      <c r="N179" s="59">
        <f>L179-F179</f>
        <v>5373.8000000000102</v>
      </c>
      <c r="O179" s="60">
        <v>147</v>
      </c>
      <c r="P179" s="164">
        <v>61596.59</v>
      </c>
      <c r="Q179" s="33">
        <v>46782.64</v>
      </c>
      <c r="R179" s="156">
        <f>IF(O179=0,0,J179/O179)</f>
        <v>1.5578231292517006</v>
      </c>
      <c r="S179" s="85">
        <f>L179-Q179</f>
        <v>10548.160000000011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6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0.78615239241086254</v>
      </c>
      <c r="M180" s="156"/>
      <c r="N180" s="59">
        <f>L180-F180</f>
        <v>3.3152392410862541E-2</v>
      </c>
      <c r="O180" s="60"/>
      <c r="P180" s="143"/>
      <c r="Q180" s="157">
        <f>Q179/P179</f>
        <v>0.75950048533530834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6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419.02442176870744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6"/>
        <v>ServiceM/O Esthétique</v>
      </c>
      <c r="B182" s="11" t="s">
        <v>78</v>
      </c>
      <c r="C182" s="14" t="s">
        <v>85</v>
      </c>
      <c r="D182" s="487">
        <v>40.200570145555119</v>
      </c>
      <c r="E182" s="82">
        <v>11055.156790027655</v>
      </c>
      <c r="F182" s="82">
        <v>7915.4922616598005</v>
      </c>
      <c r="G182" s="107"/>
      <c r="H182" s="82"/>
      <c r="I182" s="82"/>
      <c r="J182" s="163">
        <v>25</v>
      </c>
      <c r="K182" s="164">
        <v>4208.88</v>
      </c>
      <c r="L182" s="108">
        <v>3236.03</v>
      </c>
      <c r="M182" s="172">
        <f>IF(E182=0,0,(K182-E182)/E182)</f>
        <v>-0.61928355427788817</v>
      </c>
      <c r="N182" s="109">
        <f>L182-F182</f>
        <v>-4679.4622616598008</v>
      </c>
      <c r="O182" s="163">
        <v>35</v>
      </c>
      <c r="P182" s="164">
        <v>6415.65</v>
      </c>
      <c r="Q182" s="108">
        <v>5118.3599999999997</v>
      </c>
      <c r="R182" s="156">
        <f>IF(O182=0,0,J182/O182)</f>
        <v>0.7142857142857143</v>
      </c>
      <c r="S182" s="110">
        <f>L182-Q182</f>
        <v>-1882.3299999999995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6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/>
      <c r="J183" s="174"/>
      <c r="K183" s="173"/>
      <c r="L183" s="157">
        <f>IF(L182=0,0,L182/K182)</f>
        <v>0.76885774837961651</v>
      </c>
      <c r="M183" s="60">
        <f>J183-D183</f>
        <v>0</v>
      </c>
      <c r="N183" s="175"/>
      <c r="O183" s="174"/>
      <c r="P183" s="173"/>
      <c r="Q183" s="157">
        <f>IFERROR(Q182/P182,0)</f>
        <v>0.79779289705641676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6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183.3042857142857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6"/>
        <v>ServiceAjustement M/O</v>
      </c>
      <c r="B185" s="11" t="s">
        <v>78</v>
      </c>
      <c r="C185" s="29" t="s">
        <v>86</v>
      </c>
      <c r="D185" s="13"/>
      <c r="E185" s="13"/>
      <c r="F185" s="59">
        <v>-3060.0068719990777</v>
      </c>
      <c r="G185" s="41"/>
      <c r="H185" s="82"/>
      <c r="I185" s="82"/>
      <c r="J185" s="60"/>
      <c r="K185" s="82"/>
      <c r="L185" s="82">
        <v>-1307.78</v>
      </c>
      <c r="M185" s="174"/>
      <c r="N185" s="59">
        <f>L185-F185</f>
        <v>1752.2268719990777</v>
      </c>
      <c r="O185" s="60"/>
      <c r="P185" s="82"/>
      <c r="Q185" s="82">
        <v>-2250.91</v>
      </c>
      <c r="R185" s="183"/>
      <c r="S185" s="85">
        <f>L185-Q185</f>
        <v>943.12999999999988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6"/>
        <v>ServiceSous-total M/O</v>
      </c>
      <c r="B186" s="11" t="s">
        <v>78</v>
      </c>
      <c r="C186" s="184" t="s">
        <v>87</v>
      </c>
      <c r="D186" s="185">
        <f>D173+D176+D179+D182+D185</f>
        <v>701.17344832809056</v>
      </c>
      <c r="E186" s="185">
        <f>E173+E176+E179+E182+E185</f>
        <v>213414.51046698316</v>
      </c>
      <c r="F186" s="186">
        <f>F173+F176+F179+F182+F185</f>
        <v>156355.69889879742</v>
      </c>
      <c r="G186" s="187"/>
      <c r="H186" s="185"/>
      <c r="I186" s="186"/>
      <c r="J186" s="187">
        <f>J173+J176+J179+J182+J185</f>
        <v>666</v>
      </c>
      <c r="K186" s="185">
        <f>K173+K176+K179+K182+K185</f>
        <v>206306.94</v>
      </c>
      <c r="L186" s="186">
        <f>L173+L176+L179+L182+L185</f>
        <v>156516.5</v>
      </c>
      <c r="M186" s="188">
        <f>(K186-E186)/E186</f>
        <v>-3.3304063774439348E-2</v>
      </c>
      <c r="N186" s="186">
        <f>L186-F186</f>
        <v>160.80110120258178</v>
      </c>
      <c r="O186" s="187">
        <f t="shared" ref="O186:Q186" si="47">O173+O176+O179+O182+O185</f>
        <v>585</v>
      </c>
      <c r="P186" s="185">
        <f t="shared" si="47"/>
        <v>185229.1099999999</v>
      </c>
      <c r="Q186" s="186">
        <f t="shared" si="47"/>
        <v>137538.2399999999</v>
      </c>
      <c r="R186" s="42">
        <f>IF(O186=0,0,J186/O186)</f>
        <v>1.1384615384615384</v>
      </c>
      <c r="S186" s="189">
        <f>L186-Q186</f>
        <v>18978.260000000097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6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0.73263855656612831</v>
      </c>
      <c r="G187" s="193"/>
      <c r="H187" s="191"/>
      <c r="I187" s="43"/>
      <c r="J187" s="193"/>
      <c r="K187" s="440">
        <f>IF(J186=0,0,K186/J186)</f>
        <v>309.7701801801802</v>
      </c>
      <c r="L187" s="43">
        <f>IF(L186=0,0,L186/K186)</f>
        <v>0.75865843388496768</v>
      </c>
      <c r="M187" s="193"/>
      <c r="N187" s="192">
        <f>N186/F186</f>
        <v>1.028431341710555E-3</v>
      </c>
      <c r="O187" s="193"/>
      <c r="P187" s="440">
        <f>IF(O186=0,0,P186/O186)</f>
        <v>316.63095726495709</v>
      </c>
      <c r="Q187" s="43">
        <f>Q186/P186</f>
        <v>0.74253037225088425</v>
      </c>
      <c r="R187" s="193"/>
      <c r="S187" s="44">
        <f>IF(R186=0,0,S186/R186)</f>
        <v>16670.093243243329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6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6"/>
        <v>ServiceSous-traitement</v>
      </c>
      <c r="B189" s="11" t="s">
        <v>78</v>
      </c>
      <c r="C189" s="29" t="s">
        <v>89</v>
      </c>
      <c r="D189" s="82"/>
      <c r="E189" s="82">
        <v>4944.228434961844</v>
      </c>
      <c r="F189" s="82">
        <v>741.63426524427655</v>
      </c>
      <c r="G189" s="60"/>
      <c r="H189" s="82"/>
      <c r="I189" s="82"/>
      <c r="J189" s="60"/>
      <c r="K189" s="30">
        <v>4138.3599999999997</v>
      </c>
      <c r="L189" s="33">
        <v>1081.9099999999996</v>
      </c>
      <c r="M189" s="84">
        <f>IF(E189=0,0,(K189-E189)/E189)</f>
        <v>-0.16299174796685206</v>
      </c>
      <c r="N189" s="59">
        <f>L189-F189</f>
        <v>340.27573475572308</v>
      </c>
      <c r="O189" s="60"/>
      <c r="P189" s="30">
        <v>4300</v>
      </c>
      <c r="Q189" s="33">
        <v>360.4</v>
      </c>
      <c r="R189" s="156">
        <f>IF(O189=0,0,J189/O189)</f>
        <v>0</v>
      </c>
      <c r="S189" s="85">
        <f>L189-Q189</f>
        <v>721.50999999999965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6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0.261434481292106</v>
      </c>
      <c r="M190" s="174"/>
      <c r="N190" s="175"/>
      <c r="O190" s="174"/>
      <c r="P190" s="173"/>
      <c r="Q190" s="157">
        <f>IFERROR(Q189/P189,0)</f>
        <v>8.3813953488372089E-2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6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6"/>
        <v>ServiceM.O. Recond. MCPA</v>
      </c>
      <c r="B192" s="11" t="s">
        <v>78</v>
      </c>
      <c r="C192" s="29" t="s">
        <v>90</v>
      </c>
      <c r="D192" s="13"/>
      <c r="E192" s="82">
        <v>0</v>
      </c>
      <c r="F192" s="82">
        <v>0</v>
      </c>
      <c r="G192" s="41"/>
      <c r="H192" s="82"/>
      <c r="I192" s="82"/>
      <c r="J192" s="174"/>
      <c r="K192" s="30">
        <v>0</v>
      </c>
      <c r="L192" s="157"/>
      <c r="M192" s="174"/>
      <c r="N192" s="175"/>
      <c r="O192" s="174"/>
      <c r="P192" s="30">
        <v>0</v>
      </c>
      <c r="Q192" s="157"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6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6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6"/>
        <v>ServiceTotal Mécanique</v>
      </c>
      <c r="B195" s="11" t="s">
        <v>78</v>
      </c>
      <c r="C195" s="62" t="s">
        <v>91</v>
      </c>
      <c r="D195" s="63"/>
      <c r="E195" s="63">
        <f>E186+E189+E192</f>
        <v>218358.73890194501</v>
      </c>
      <c r="F195" s="65">
        <f>F186+F189+F192</f>
        <v>157097.33316404169</v>
      </c>
      <c r="G195" s="66"/>
      <c r="H195" s="63"/>
      <c r="I195" s="65"/>
      <c r="J195" s="66"/>
      <c r="K195" s="63">
        <f>K186+K189+K192</f>
        <v>210445.3</v>
      </c>
      <c r="L195" s="65">
        <f>L186+L189+L192</f>
        <v>157598.41</v>
      </c>
      <c r="M195" s="205">
        <f>L196-F196</f>
        <v>2.943458101142804E-2</v>
      </c>
      <c r="N195" s="65">
        <f>L195-F195</f>
        <v>501.07683595831622</v>
      </c>
      <c r="O195" s="66"/>
      <c r="P195" s="63">
        <f t="shared" ref="P195:Q195" si="48">P186+P189+P192</f>
        <v>189529.1099999999</v>
      </c>
      <c r="Q195" s="65">
        <f t="shared" si="48"/>
        <v>137898.6399999999</v>
      </c>
      <c r="R195" s="205">
        <f>L196-Q196</f>
        <v>2.1295094673102755E-2</v>
      </c>
      <c r="S195" s="68">
        <f>L195-Q195</f>
        <v>19699.770000000106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6"/>
        <v>Service</v>
      </c>
      <c r="B196" s="11" t="s">
        <v>78</v>
      </c>
      <c r="C196" s="69"/>
      <c r="D196" s="70"/>
      <c r="E196" s="70"/>
      <c r="F196" s="74">
        <f>F195/E195</f>
        <v>0.71944605447912469</v>
      </c>
      <c r="G196" s="72"/>
      <c r="H196" s="70"/>
      <c r="I196" s="74"/>
      <c r="J196" s="72"/>
      <c r="K196" s="70"/>
      <c r="L196" s="74">
        <f>L195/K195</f>
        <v>0.74888063549055273</v>
      </c>
      <c r="M196" s="73"/>
      <c r="N196" s="74">
        <f>N195/F195</f>
        <v>3.1895947936626634E-3</v>
      </c>
      <c r="O196" s="72"/>
      <c r="P196" s="70"/>
      <c r="Q196" s="74">
        <f>Q195/P195</f>
        <v>0.72758554081744997</v>
      </c>
      <c r="R196" s="73"/>
      <c r="S196" s="75">
        <f>L195/S195</f>
        <v>8.0000126905034499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6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6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6"/>
        <v>ServiceSalaires cadres</v>
      </c>
      <c r="B199" s="11" t="s">
        <v>78</v>
      </c>
      <c r="C199" s="102" t="s">
        <v>40</v>
      </c>
      <c r="D199" s="13"/>
      <c r="E199" s="13"/>
      <c r="F199" s="30">
        <v>11522.955371763124</v>
      </c>
      <c r="G199" s="41"/>
      <c r="H199" s="13"/>
      <c r="I199" s="30"/>
      <c r="J199" s="41"/>
      <c r="K199" s="13"/>
      <c r="L199" s="33">
        <v>10832.22</v>
      </c>
      <c r="M199" s="41"/>
      <c r="N199" s="59">
        <f t="shared" ref="N199:N230" si="49">L199-F199</f>
        <v>-690.73537176312493</v>
      </c>
      <c r="O199" s="41"/>
      <c r="P199" s="13"/>
      <c r="Q199" s="33">
        <v>12343.02</v>
      </c>
      <c r="R199" s="41"/>
      <c r="S199" s="85">
        <f t="shared" ref="S199:S229" si="50">L199-Q199</f>
        <v>-1510.8000000000011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6"/>
        <v>ServiceSalaires commis</v>
      </c>
      <c r="B200" s="11" t="s">
        <v>78</v>
      </c>
      <c r="C200" s="103" t="s">
        <v>41</v>
      </c>
      <c r="D200" s="81"/>
      <c r="E200" s="13"/>
      <c r="F200" s="22">
        <v>5530.752077279888</v>
      </c>
      <c r="G200" s="83"/>
      <c r="H200" s="13"/>
      <c r="I200" s="22"/>
      <c r="J200" s="41"/>
      <c r="K200" s="13"/>
      <c r="L200" s="33">
        <v>2107.0700000000002</v>
      </c>
      <c r="M200" s="41"/>
      <c r="N200" s="59">
        <f t="shared" si="49"/>
        <v>-3423.6820772798878</v>
      </c>
      <c r="O200" s="41"/>
      <c r="P200" s="13"/>
      <c r="Q200" s="33">
        <v>4215.83</v>
      </c>
      <c r="R200" s="41"/>
      <c r="S200" s="85">
        <f t="shared" si="50"/>
        <v>-2108.7599999999998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6"/>
        <v>ServiceSalaires autres</v>
      </c>
      <c r="B201" s="11" t="s">
        <v>78</v>
      </c>
      <c r="C201" s="102" t="s">
        <v>42</v>
      </c>
      <c r="D201" s="104"/>
      <c r="E201" s="105"/>
      <c r="F201" s="30">
        <v>14446.139083923792</v>
      </c>
      <c r="G201" s="106"/>
      <c r="H201" s="105"/>
      <c r="I201" s="30"/>
      <c r="J201" s="107"/>
      <c r="K201" s="105"/>
      <c r="L201" s="108">
        <v>12719.07</v>
      </c>
      <c r="M201" s="107"/>
      <c r="N201" s="109">
        <f t="shared" si="49"/>
        <v>-1727.0690839237923</v>
      </c>
      <c r="O201" s="107"/>
      <c r="P201" s="105"/>
      <c r="Q201" s="108">
        <v>6749.91</v>
      </c>
      <c r="R201" s="107"/>
      <c r="S201" s="110">
        <f t="shared" si="50"/>
        <v>5969.16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6"/>
        <v>ServiceSalaires spécialistes</v>
      </c>
      <c r="B202" s="11" t="s">
        <v>78</v>
      </c>
      <c r="C202" s="102" t="s">
        <v>43</v>
      </c>
      <c r="D202" s="81"/>
      <c r="E202" s="13"/>
      <c r="F202" s="30">
        <v>15636.432950191571</v>
      </c>
      <c r="G202" s="83"/>
      <c r="H202" s="13"/>
      <c r="I202" s="30"/>
      <c r="J202" s="41"/>
      <c r="K202" s="13"/>
      <c r="L202" s="33">
        <v>12723.46</v>
      </c>
      <c r="M202" s="41"/>
      <c r="N202" s="59">
        <f t="shared" si="49"/>
        <v>-2912.9729501915717</v>
      </c>
      <c r="O202" s="41"/>
      <c r="P202" s="13"/>
      <c r="Q202" s="33">
        <v>14553.25</v>
      </c>
      <c r="R202" s="41"/>
      <c r="S202" s="85">
        <f t="shared" si="50"/>
        <v>-1829.7900000000009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6"/>
        <v>Service[...]</v>
      </c>
      <c r="B203" s="11" t="s">
        <v>78</v>
      </c>
      <c r="C203" s="29" t="s">
        <v>19</v>
      </c>
      <c r="D203" s="81"/>
      <c r="E203" s="13"/>
      <c r="F203" s="30">
        <v>0</v>
      </c>
      <c r="G203" s="83"/>
      <c r="H203" s="13"/>
      <c r="I203" s="30"/>
      <c r="J203" s="41"/>
      <c r="K203" s="13"/>
      <c r="L203" s="33">
        <v>0</v>
      </c>
      <c r="M203" s="41"/>
      <c r="N203" s="59">
        <f t="shared" si="49"/>
        <v>0</v>
      </c>
      <c r="O203" s="41"/>
      <c r="P203" s="13"/>
      <c r="Q203" s="33">
        <v>0</v>
      </c>
      <c r="R203" s="41"/>
      <c r="S203" s="85">
        <f t="shared" si="50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6"/>
        <v>Service[...]</v>
      </c>
      <c r="B204" s="11" t="s">
        <v>78</v>
      </c>
      <c r="C204" s="29" t="s">
        <v>19</v>
      </c>
      <c r="D204" s="81"/>
      <c r="E204" s="13"/>
      <c r="F204" s="30">
        <v>0</v>
      </c>
      <c r="G204" s="83"/>
      <c r="H204" s="13"/>
      <c r="I204" s="30"/>
      <c r="J204" s="41"/>
      <c r="K204" s="13"/>
      <c r="L204" s="33">
        <v>0</v>
      </c>
      <c r="M204" s="41"/>
      <c r="N204" s="59">
        <f t="shared" si="49"/>
        <v>0</v>
      </c>
      <c r="O204" s="41"/>
      <c r="P204" s="13"/>
      <c r="Q204" s="33">
        <v>0</v>
      </c>
      <c r="R204" s="41"/>
      <c r="S204" s="85">
        <f t="shared" si="50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6"/>
        <v>Service[...]</v>
      </c>
      <c r="B205" s="11" t="s">
        <v>78</v>
      </c>
      <c r="C205" s="29" t="s">
        <v>19</v>
      </c>
      <c r="D205" s="81"/>
      <c r="E205" s="13"/>
      <c r="F205" s="30">
        <v>0</v>
      </c>
      <c r="G205" s="83"/>
      <c r="H205" s="13"/>
      <c r="I205" s="30"/>
      <c r="J205" s="41"/>
      <c r="K205" s="13"/>
      <c r="L205" s="33">
        <v>0</v>
      </c>
      <c r="M205" s="41"/>
      <c r="N205" s="59">
        <f t="shared" si="49"/>
        <v>0</v>
      </c>
      <c r="O205" s="41"/>
      <c r="P205" s="13"/>
      <c r="Q205" s="33"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6"/>
        <v>ServiceSalaires en absences</v>
      </c>
      <c r="B206" s="11" t="s">
        <v>78</v>
      </c>
      <c r="C206" s="103" t="s">
        <v>44</v>
      </c>
      <c r="D206" s="81"/>
      <c r="E206" s="13"/>
      <c r="F206" s="30">
        <v>15093.551259504773</v>
      </c>
      <c r="G206" s="83"/>
      <c r="H206" s="13"/>
      <c r="I206" s="30"/>
      <c r="J206" s="41"/>
      <c r="K206" s="13"/>
      <c r="L206" s="33">
        <v>12274.74</v>
      </c>
      <c r="M206" s="41"/>
      <c r="N206" s="59">
        <f t="shared" si="49"/>
        <v>-2818.8112595047733</v>
      </c>
      <c r="O206" s="41"/>
      <c r="P206" s="13"/>
      <c r="Q206" s="33">
        <v>13922.95</v>
      </c>
      <c r="R206" s="41"/>
      <c r="S206" s="85">
        <f>L206-Q206</f>
        <v>-1648.2100000000009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6"/>
        <v>ServiceDéduction à la source</v>
      </c>
      <c r="B207" s="11" t="s">
        <v>78</v>
      </c>
      <c r="C207" s="102" t="s">
        <v>45</v>
      </c>
      <c r="D207" s="104"/>
      <c r="E207" s="105"/>
      <c r="F207" s="55">
        <v>14432.283766812419</v>
      </c>
      <c r="G207" s="106"/>
      <c r="H207" s="105"/>
      <c r="I207" s="55"/>
      <c r="J207" s="107"/>
      <c r="K207" s="105"/>
      <c r="L207" s="108">
        <v>14970.13</v>
      </c>
      <c r="M207" s="107"/>
      <c r="N207" s="109">
        <f t="shared" si="49"/>
        <v>537.84623318757986</v>
      </c>
      <c r="O207" s="107"/>
      <c r="P207" s="105"/>
      <c r="Q207" s="108">
        <v>15432.49</v>
      </c>
      <c r="R207" s="107"/>
      <c r="S207" s="110">
        <f t="shared" ref="S207:S237" si="51">L207-Q207</f>
        <v>-462.36000000000058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6"/>
        <v>ServiceBénéfices marginaux</v>
      </c>
      <c r="B208" s="11" t="s">
        <v>78</v>
      </c>
      <c r="C208" s="102" t="s">
        <v>46</v>
      </c>
      <c r="D208" s="81"/>
      <c r="E208" s="13"/>
      <c r="F208" s="30">
        <v>10656.79833341429</v>
      </c>
      <c r="G208" s="83"/>
      <c r="H208" s="13"/>
      <c r="I208" s="30"/>
      <c r="J208" s="41"/>
      <c r="K208" s="13"/>
      <c r="L208" s="33">
        <v>6452.88</v>
      </c>
      <c r="M208" s="41"/>
      <c r="N208" s="59">
        <f t="shared" si="49"/>
        <v>-4203.9183334142899</v>
      </c>
      <c r="O208" s="41"/>
      <c r="P208" s="13"/>
      <c r="Q208" s="33">
        <v>6808.22</v>
      </c>
      <c r="R208" s="41"/>
      <c r="S208" s="85">
        <f t="shared" si="51"/>
        <v>-355.34000000000015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6"/>
        <v>ServiceCsst</v>
      </c>
      <c r="B209" s="11" t="s">
        <v>78</v>
      </c>
      <c r="C209" s="102" t="s">
        <v>47</v>
      </c>
      <c r="D209" s="81"/>
      <c r="E209" s="13"/>
      <c r="F209" s="30">
        <v>2828.7276182952342</v>
      </c>
      <c r="G209" s="83"/>
      <c r="H209" s="13"/>
      <c r="I209" s="30"/>
      <c r="J209" s="41"/>
      <c r="K209" s="13"/>
      <c r="L209" s="33">
        <v>1955.18</v>
      </c>
      <c r="M209" s="462"/>
      <c r="N209" s="145">
        <f t="shared" si="49"/>
        <v>-873.54761829523409</v>
      </c>
      <c r="O209" s="462"/>
      <c r="P209" s="463"/>
      <c r="Q209" s="22">
        <v>2737.99</v>
      </c>
      <c r="R209" s="462"/>
      <c r="S209" s="464">
        <f t="shared" si="51"/>
        <v>-782.80999999999972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6"/>
        <v>Service[...]</v>
      </c>
      <c r="B210" s="11" t="s">
        <v>78</v>
      </c>
      <c r="C210" s="29" t="s">
        <v>19</v>
      </c>
      <c r="D210" s="87"/>
      <c r="E210" s="111"/>
      <c r="F210" s="30">
        <v>0</v>
      </c>
      <c r="G210" s="89"/>
      <c r="H210" s="111"/>
      <c r="I210" s="30"/>
      <c r="J210" s="23"/>
      <c r="K210" s="111"/>
      <c r="L210" s="33">
        <v>0</v>
      </c>
      <c r="M210" s="23"/>
      <c r="N210" s="91">
        <f t="shared" si="49"/>
        <v>0</v>
      </c>
      <c r="O210" s="23"/>
      <c r="P210" s="111"/>
      <c r="Q210" s="33">
        <v>0</v>
      </c>
      <c r="R210" s="23"/>
      <c r="S210" s="92">
        <f t="shared" si="51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6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0.57383304124617152</v>
      </c>
      <c r="F211" s="96">
        <f>+SUM(F199:F210)</f>
        <v>90147.640461185088</v>
      </c>
      <c r="G211" s="97"/>
      <c r="H211" s="95"/>
      <c r="I211" s="96"/>
      <c r="J211" s="97" t="s">
        <v>92</v>
      </c>
      <c r="K211" s="95">
        <f>L211/L$195</f>
        <v>0.46976838154648892</v>
      </c>
      <c r="L211" s="96">
        <f>+SUM(L199:L210)</f>
        <v>74034.75</v>
      </c>
      <c r="M211" s="146"/>
      <c r="N211" s="113">
        <f t="shared" si="49"/>
        <v>-16112.890461185088</v>
      </c>
      <c r="O211" s="97" t="s">
        <v>92</v>
      </c>
      <c r="P211" s="95">
        <f>Q211/Q$195</f>
        <v>0.55666727387594295</v>
      </c>
      <c r="Q211" s="96">
        <f>+SUM(Q199:Q210)</f>
        <v>76763.66</v>
      </c>
      <c r="R211" s="146"/>
      <c r="S211" s="114">
        <f t="shared" si="51"/>
        <v>-2728.9100000000035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6"/>
        <v>ServicePublicité 2</v>
      </c>
      <c r="B212" s="11" t="s">
        <v>78</v>
      </c>
      <c r="C212" s="29" t="s">
        <v>49</v>
      </c>
      <c r="D212" s="81"/>
      <c r="E212" s="13"/>
      <c r="F212" s="30">
        <v>2129.9114389697861</v>
      </c>
      <c r="G212" s="83"/>
      <c r="H212" s="13"/>
      <c r="I212" s="30"/>
      <c r="J212" s="41"/>
      <c r="K212" s="13"/>
      <c r="L212" s="33">
        <v>673.44</v>
      </c>
      <c r="M212" s="41"/>
      <c r="N212" s="59">
        <f t="shared" si="49"/>
        <v>-1456.471438969786</v>
      </c>
      <c r="O212" s="41"/>
      <c r="P212" s="13"/>
      <c r="Q212" s="33">
        <v>4692.8500000000004</v>
      </c>
      <c r="R212" s="41"/>
      <c r="S212" s="85">
        <f t="shared" si="51"/>
        <v>-4019.4100000000003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6"/>
        <v>ServiceService gratuit 2</v>
      </c>
      <c r="B213" s="11" t="s">
        <v>78</v>
      </c>
      <c r="C213" s="29" t="s">
        <v>50</v>
      </c>
      <c r="D213" s="81"/>
      <c r="E213" s="13"/>
      <c r="F213" s="30">
        <v>3750</v>
      </c>
      <c r="G213" s="83"/>
      <c r="H213" s="13"/>
      <c r="I213" s="30"/>
      <c r="J213" s="41"/>
      <c r="K213" s="13"/>
      <c r="L213" s="33">
        <v>4815.59</v>
      </c>
      <c r="M213" s="41"/>
      <c r="N213" s="59">
        <f t="shared" si="49"/>
        <v>1065.5900000000001</v>
      </c>
      <c r="O213" s="41"/>
      <c r="P213" s="13"/>
      <c r="Q213" s="33">
        <v>4203.25</v>
      </c>
      <c r="R213" s="41"/>
      <c r="S213" s="85">
        <f t="shared" si="51"/>
        <v>612.34000000000015</v>
      </c>
      <c r="T213" s="13"/>
      <c r="U213" s="13"/>
      <c r="V213" s="489" t="s">
        <v>253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6"/>
        <v>ServiceFrais véhicules de cie</v>
      </c>
      <c r="B214" s="11" t="s">
        <v>78</v>
      </c>
      <c r="C214" s="86" t="s">
        <v>51</v>
      </c>
      <c r="D214" s="87"/>
      <c r="E214" s="111"/>
      <c r="F214" s="22">
        <v>7453.2500000000009</v>
      </c>
      <c r="G214" s="89"/>
      <c r="H214" s="111"/>
      <c r="I214" s="22"/>
      <c r="J214" s="23"/>
      <c r="K214" s="111"/>
      <c r="L214" s="33">
        <v>8296.65</v>
      </c>
      <c r="M214" s="23"/>
      <c r="N214" s="91">
        <f t="shared" si="49"/>
        <v>843.39999999999873</v>
      </c>
      <c r="O214" s="23"/>
      <c r="P214" s="111"/>
      <c r="Q214" s="33">
        <v>6466.99</v>
      </c>
      <c r="R214" s="23"/>
      <c r="S214" s="92">
        <f t="shared" si="51"/>
        <v>1829.6599999999999</v>
      </c>
      <c r="T214" s="13"/>
      <c r="U214" s="13"/>
      <c r="V214" s="489" t="s">
        <v>254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6"/>
        <v>ServiceInformatique</v>
      </c>
      <c r="B215" s="11" t="s">
        <v>78</v>
      </c>
      <c r="C215" s="29" t="s">
        <v>52</v>
      </c>
      <c r="D215" s="81"/>
      <c r="E215" s="13"/>
      <c r="F215" s="30">
        <v>6636.4108333333334</v>
      </c>
      <c r="G215" s="83"/>
      <c r="H215" s="13"/>
      <c r="I215" s="30"/>
      <c r="J215" s="41"/>
      <c r="K215" s="13"/>
      <c r="L215" s="108">
        <v>6192.27</v>
      </c>
      <c r="M215" s="41"/>
      <c r="N215" s="59">
        <f t="shared" si="49"/>
        <v>-444.14083333333292</v>
      </c>
      <c r="O215" s="41"/>
      <c r="P215" s="13"/>
      <c r="Q215" s="108">
        <v>6092.24</v>
      </c>
      <c r="R215" s="41"/>
      <c r="S215" s="85">
        <f t="shared" si="51"/>
        <v>100.03000000000065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6"/>
        <v>ServiceFrais de déplacement</v>
      </c>
      <c r="B216" s="11" t="s">
        <v>78</v>
      </c>
      <c r="C216" s="29" t="s">
        <v>53</v>
      </c>
      <c r="D216" s="81"/>
      <c r="E216" s="13"/>
      <c r="F216" s="30">
        <v>1331.25</v>
      </c>
      <c r="G216" s="83"/>
      <c r="H216" s="13"/>
      <c r="I216" s="30"/>
      <c r="J216" s="41"/>
      <c r="K216" s="13"/>
      <c r="L216" s="33">
        <v>2179.11</v>
      </c>
      <c r="M216" s="41"/>
      <c r="N216" s="59">
        <f t="shared" si="49"/>
        <v>847.86000000000013</v>
      </c>
      <c r="O216" s="41"/>
      <c r="P216" s="13"/>
      <c r="Q216" s="33">
        <v>1258.22</v>
      </c>
      <c r="R216" s="41"/>
      <c r="S216" s="85">
        <f t="shared" si="51"/>
        <v>920.8900000000001</v>
      </c>
      <c r="T216" s="13"/>
      <c r="U216" s="13"/>
      <c r="V216" s="489" t="s">
        <v>248</v>
      </c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6"/>
        <v>ServiceServices extérieurs</v>
      </c>
      <c r="B217" s="11" t="s">
        <v>78</v>
      </c>
      <c r="C217" s="86" t="s">
        <v>54</v>
      </c>
      <c r="D217" s="87"/>
      <c r="E217" s="111"/>
      <c r="F217" s="22">
        <v>2199.8866666666668</v>
      </c>
      <c r="G217" s="89"/>
      <c r="H217" s="111"/>
      <c r="I217" s="22"/>
      <c r="J217" s="23"/>
      <c r="K217" s="111"/>
      <c r="L217" s="22">
        <v>16216.45</v>
      </c>
      <c r="M217" s="462"/>
      <c r="N217" s="145">
        <f t="shared" si="49"/>
        <v>14016.563333333334</v>
      </c>
      <c r="O217" s="462"/>
      <c r="P217" s="463"/>
      <c r="Q217" s="22">
        <v>2685.77</v>
      </c>
      <c r="R217" s="23"/>
      <c r="S217" s="92">
        <f t="shared" si="51"/>
        <v>13530.68</v>
      </c>
      <c r="T217" s="13"/>
      <c r="U217" s="13"/>
      <c r="V217" s="495" t="s">
        <v>255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>+B218&amp;C218</f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v>0</v>
      </c>
      <c r="M218" s="41"/>
      <c r="N218" s="59">
        <f t="shared" si="49"/>
        <v>0</v>
      </c>
      <c r="O218" s="41"/>
      <c r="P218" s="13"/>
      <c r="Q218" s="33"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ref="A219:A276" si="52">+B219&amp;C219</f>
        <v>ServiceFournitures autres</v>
      </c>
      <c r="B219" s="11" t="s">
        <v>78</v>
      </c>
      <c r="C219" s="29" t="s">
        <v>55</v>
      </c>
      <c r="D219" s="81"/>
      <c r="E219" s="13"/>
      <c r="F219" s="30">
        <v>3250</v>
      </c>
      <c r="G219" s="83"/>
      <c r="H219" s="13"/>
      <c r="I219" s="30"/>
      <c r="J219" s="41"/>
      <c r="K219" s="13"/>
      <c r="L219" s="33">
        <v>3158.42</v>
      </c>
      <c r="M219" s="41"/>
      <c r="N219" s="59">
        <f t="shared" si="49"/>
        <v>-91.579999999999927</v>
      </c>
      <c r="O219" s="41"/>
      <c r="P219" s="13"/>
      <c r="Q219" s="33">
        <v>1862.54</v>
      </c>
      <c r="R219" s="41"/>
      <c r="S219" s="85">
        <f t="shared" ref="S219:S249" si="53">L219-Q219</f>
        <v>1295.8800000000001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52"/>
        <v>ServiceUniformes</v>
      </c>
      <c r="B220" s="11" t="s">
        <v>78</v>
      </c>
      <c r="C220" s="29" t="s">
        <v>56</v>
      </c>
      <c r="D220" s="81"/>
      <c r="E220" s="13"/>
      <c r="F220" s="30">
        <v>1325</v>
      </c>
      <c r="G220" s="83"/>
      <c r="H220" s="13"/>
      <c r="I220" s="30"/>
      <c r="J220" s="41"/>
      <c r="K220" s="13"/>
      <c r="L220" s="33">
        <v>1008.43</v>
      </c>
      <c r="M220" s="41"/>
      <c r="N220" s="59">
        <f t="shared" si="49"/>
        <v>-316.57000000000005</v>
      </c>
      <c r="O220" s="41"/>
      <c r="P220" s="13"/>
      <c r="Q220" s="33">
        <v>903.4</v>
      </c>
      <c r="R220" s="41"/>
      <c r="S220" s="85">
        <f t="shared" si="53"/>
        <v>105.02999999999997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52"/>
        <v>ServicePapeterie</v>
      </c>
      <c r="B221" s="11" t="s">
        <v>78</v>
      </c>
      <c r="C221" s="29" t="s">
        <v>57</v>
      </c>
      <c r="D221" s="81"/>
      <c r="E221" s="13"/>
      <c r="F221" s="30">
        <v>362.5</v>
      </c>
      <c r="G221" s="83"/>
      <c r="H221" s="13"/>
      <c r="I221" s="30"/>
      <c r="J221" s="41"/>
      <c r="K221" s="13"/>
      <c r="L221" s="32">
        <v>862.19</v>
      </c>
      <c r="M221" s="41"/>
      <c r="N221" s="59">
        <f t="shared" si="49"/>
        <v>499.69000000000005</v>
      </c>
      <c r="O221" s="41"/>
      <c r="P221" s="13"/>
      <c r="Q221" s="32">
        <v>686.18</v>
      </c>
      <c r="R221" s="41"/>
      <c r="S221" s="85">
        <f t="shared" si="53"/>
        <v>176.0100000000001</v>
      </c>
      <c r="T221" s="13"/>
      <c r="U221" s="13"/>
      <c r="V221" s="489" t="s">
        <v>256</v>
      </c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52"/>
        <v>ServiceTéléphone</v>
      </c>
      <c r="B222" s="11" t="s">
        <v>78</v>
      </c>
      <c r="C222" s="29" t="s">
        <v>58</v>
      </c>
      <c r="D222" s="81"/>
      <c r="E222" s="13"/>
      <c r="F222" s="30">
        <v>114.25</v>
      </c>
      <c r="G222" s="83"/>
      <c r="H222" s="13"/>
      <c r="I222" s="30"/>
      <c r="J222" s="41"/>
      <c r="K222" s="13"/>
      <c r="L222" s="33">
        <v>136.9</v>
      </c>
      <c r="M222" s="41"/>
      <c r="N222" s="59">
        <f t="shared" si="49"/>
        <v>22.650000000000006</v>
      </c>
      <c r="O222" s="41"/>
      <c r="P222" s="13"/>
      <c r="Q222" s="33">
        <v>107.64</v>
      </c>
      <c r="R222" s="41"/>
      <c r="S222" s="85">
        <f t="shared" si="53"/>
        <v>29.260000000000005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52"/>
        <v>ServiceFrais postaux</v>
      </c>
      <c r="B223" s="11" t="s">
        <v>78</v>
      </c>
      <c r="C223" s="29" t="s">
        <v>59</v>
      </c>
      <c r="D223" s="81"/>
      <c r="E223" s="13"/>
      <c r="F223" s="30">
        <v>141.66666666666666</v>
      </c>
      <c r="G223" s="83"/>
      <c r="H223" s="13"/>
      <c r="I223" s="30"/>
      <c r="J223" s="41"/>
      <c r="K223" s="13"/>
      <c r="L223" s="33">
        <v>412.41</v>
      </c>
      <c r="M223" s="41"/>
      <c r="N223" s="59">
        <f t="shared" si="49"/>
        <v>270.74333333333334</v>
      </c>
      <c r="O223" s="41"/>
      <c r="P223" s="13"/>
      <c r="Q223" s="33">
        <v>27.37</v>
      </c>
      <c r="R223" s="41"/>
      <c r="S223" s="85">
        <f t="shared" si="53"/>
        <v>385.04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52"/>
        <v>ServiceDivers</v>
      </c>
      <c r="B224" s="11" t="s">
        <v>78</v>
      </c>
      <c r="C224" s="29" t="s">
        <v>60</v>
      </c>
      <c r="D224" s="81"/>
      <c r="E224" s="13"/>
      <c r="F224" s="30">
        <v>381.66666666666663</v>
      </c>
      <c r="G224" s="83"/>
      <c r="H224" s="13"/>
      <c r="I224" s="30"/>
      <c r="J224" s="41"/>
      <c r="K224" s="13"/>
      <c r="L224" s="33">
        <v>325.98</v>
      </c>
      <c r="M224" s="41"/>
      <c r="N224" s="59">
        <f t="shared" si="49"/>
        <v>-55.686666666666611</v>
      </c>
      <c r="O224" s="41"/>
      <c r="P224" s="13"/>
      <c r="Q224" s="33">
        <v>1481.5</v>
      </c>
      <c r="R224" s="41"/>
      <c r="S224" s="85">
        <f t="shared" si="53"/>
        <v>-1155.52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52"/>
        <v>ServiceFormation</v>
      </c>
      <c r="B225" s="11" t="s">
        <v>78</v>
      </c>
      <c r="C225" s="29" t="s">
        <v>61</v>
      </c>
      <c r="D225" s="81"/>
      <c r="E225" s="13"/>
      <c r="F225" s="30">
        <v>1782.2466666666669</v>
      </c>
      <c r="G225" s="83"/>
      <c r="H225" s="13"/>
      <c r="I225" s="30"/>
      <c r="J225" s="41"/>
      <c r="K225" s="13"/>
      <c r="L225" s="33">
        <v>2429.8000000000002</v>
      </c>
      <c r="M225" s="41"/>
      <c r="N225" s="59">
        <f t="shared" si="49"/>
        <v>647.55333333333328</v>
      </c>
      <c r="O225" s="41"/>
      <c r="P225" s="13"/>
      <c r="Q225" s="33">
        <v>1295.19</v>
      </c>
      <c r="R225" s="41"/>
      <c r="S225" s="85">
        <f t="shared" si="53"/>
        <v>1134.6100000000001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52"/>
        <v>ServiceFrais bancaires</v>
      </c>
      <c r="B226" s="11" t="s">
        <v>78</v>
      </c>
      <c r="C226" s="29" t="s">
        <v>62</v>
      </c>
      <c r="D226" s="81"/>
      <c r="E226" s="13"/>
      <c r="F226" s="30">
        <v>2012.4223827598689</v>
      </c>
      <c r="G226" s="83"/>
      <c r="H226" s="13"/>
      <c r="I226" s="30"/>
      <c r="J226" s="41"/>
      <c r="K226" s="13"/>
      <c r="L226" s="33">
        <v>2451.9499999999998</v>
      </c>
      <c r="M226" s="41"/>
      <c r="N226" s="59">
        <f t="shared" si="49"/>
        <v>439.52761724013089</v>
      </c>
      <c r="O226" s="41"/>
      <c r="P226" s="13"/>
      <c r="Q226" s="33">
        <v>1672.3</v>
      </c>
      <c r="R226" s="41"/>
      <c r="S226" s="85">
        <f t="shared" si="53"/>
        <v>779.64999999999986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52"/>
        <v>Service[...]</v>
      </c>
      <c r="B227" s="11" t="s">
        <v>78</v>
      </c>
      <c r="C227" s="29" t="s">
        <v>19</v>
      </c>
      <c r="D227" s="81"/>
      <c r="E227" s="13"/>
      <c r="F227" s="30">
        <v>0</v>
      </c>
      <c r="G227" s="83"/>
      <c r="H227" s="13"/>
      <c r="I227" s="30"/>
      <c r="J227" s="41"/>
      <c r="K227" s="13"/>
      <c r="L227" s="33">
        <v>0</v>
      </c>
      <c r="M227" s="41"/>
      <c r="N227" s="59">
        <f t="shared" si="49"/>
        <v>0</v>
      </c>
      <c r="O227" s="41"/>
      <c r="P227" s="13"/>
      <c r="Q227" s="33">
        <v>0</v>
      </c>
      <c r="R227" s="41"/>
      <c r="S227" s="85">
        <f t="shared" si="53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>+B228&amp;C228</f>
        <v>Service[...]</v>
      </c>
      <c r="B228" s="11" t="s">
        <v>78</v>
      </c>
      <c r="C228" s="29" t="s">
        <v>19</v>
      </c>
      <c r="D228" s="81"/>
      <c r="E228" s="13"/>
      <c r="F228" s="30">
        <v>0</v>
      </c>
      <c r="G228" s="83"/>
      <c r="H228" s="13"/>
      <c r="I228" s="30"/>
      <c r="J228" s="41"/>
      <c r="K228" s="13"/>
      <c r="L228" s="33">
        <v>0</v>
      </c>
      <c r="M228" s="41"/>
      <c r="N228" s="59">
        <f t="shared" si="49"/>
        <v>0</v>
      </c>
      <c r="O228" s="41"/>
      <c r="P228" s="13"/>
      <c r="Q228" s="33"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:A286" si="54">+B229&amp;C229</f>
        <v>Service[...]</v>
      </c>
      <c r="B229" s="11" t="s">
        <v>78</v>
      </c>
      <c r="C229" s="29" t="s">
        <v>19</v>
      </c>
      <c r="D229" s="81"/>
      <c r="E229" s="13"/>
      <c r="F229" s="30">
        <v>0</v>
      </c>
      <c r="G229" s="83"/>
      <c r="H229" s="13"/>
      <c r="I229" s="30"/>
      <c r="J229" s="41"/>
      <c r="K229" s="13"/>
      <c r="L229" s="33">
        <v>0</v>
      </c>
      <c r="M229" s="41"/>
      <c r="N229" s="59">
        <f t="shared" si="49"/>
        <v>0</v>
      </c>
      <c r="O229" s="41"/>
      <c r="P229" s="13"/>
      <c r="Q229" s="33">
        <v>0</v>
      </c>
      <c r="R229" s="41"/>
      <c r="S229" s="85">
        <f t="shared" ref="S229:S259" si="5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0.20923627829764738</v>
      </c>
      <c r="F230" s="96">
        <f>+SUM(F212:F229)</f>
        <v>32870.461321729657</v>
      </c>
      <c r="G230" s="97"/>
      <c r="H230" s="95"/>
      <c r="I230" s="96"/>
      <c r="J230" s="97" t="s">
        <v>92</v>
      </c>
      <c r="K230" s="95">
        <f>L230/L$195</f>
        <v>0.31192947949157618</v>
      </c>
      <c r="L230" s="96">
        <f>+SUM(L212:L229)</f>
        <v>49159.590000000011</v>
      </c>
      <c r="M230" s="100"/>
      <c r="N230" s="96">
        <f t="shared" si="49"/>
        <v>16289.128678270354</v>
      </c>
      <c r="O230" s="97" t="s">
        <v>92</v>
      </c>
      <c r="P230" s="95">
        <f>Q230/Q$195</f>
        <v>0.24246388506804728</v>
      </c>
      <c r="Q230" s="96">
        <f>+SUM(Q212:Q229)</f>
        <v>33435.440000000002</v>
      </c>
      <c r="R230" s="100"/>
      <c r="S230" s="101">
        <f>L230-Q230</f>
        <v>15724.150000000009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0.78306931954381898</v>
      </c>
      <c r="F232" s="96">
        <f>F211+F230</f>
        <v>123018.10178291475</v>
      </c>
      <c r="G232" s="97"/>
      <c r="H232" s="95"/>
      <c r="I232" s="96"/>
      <c r="J232" s="97" t="s">
        <v>38</v>
      </c>
      <c r="K232" s="95">
        <f>L232/L$195</f>
        <v>0.78169786103806504</v>
      </c>
      <c r="L232" s="96">
        <f>L211+L230</f>
        <v>123194.34000000001</v>
      </c>
      <c r="M232" s="100"/>
      <c r="N232" s="113">
        <f>L232-F232</f>
        <v>176.23821708526521</v>
      </c>
      <c r="O232" s="97" t="s">
        <v>38</v>
      </c>
      <c r="P232" s="95">
        <f>Q232/Q$195</f>
        <v>0.79913115894399023</v>
      </c>
      <c r="Q232" s="96">
        <f>Q211+Q230</f>
        <v>110199.1</v>
      </c>
      <c r="R232" s="100"/>
      <c r="S232" s="114">
        <f>L232-Q232</f>
        <v>12995.240000000005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34079.231381126941</v>
      </c>
      <c r="G234" s="152"/>
      <c r="H234" s="125"/>
      <c r="I234" s="127"/>
      <c r="J234" s="153"/>
      <c r="K234" s="126"/>
      <c r="L234" s="127">
        <f>L195-L232</f>
        <v>34404.069999999992</v>
      </c>
      <c r="M234" s="153"/>
      <c r="N234" s="127">
        <f>L234-F234</f>
        <v>324.83861887305102</v>
      </c>
      <c r="O234" s="153"/>
      <c r="P234" s="126"/>
      <c r="Q234" s="127">
        <f>Q195-Q232</f>
        <v>27699.539999999892</v>
      </c>
      <c r="R234" s="153"/>
      <c r="S234" s="129">
        <f>L234-Q234</f>
        <v>6704.5300000001007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Juillet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05" t="s">
        <v>5</v>
      </c>
      <c r="E239" s="506"/>
      <c r="F239" s="507"/>
      <c r="G239" s="508"/>
      <c r="H239" s="506"/>
      <c r="I239" s="507"/>
      <c r="J239" s="508" t="s">
        <v>7</v>
      </c>
      <c r="K239" s="506"/>
      <c r="L239" s="507"/>
      <c r="M239" s="508" t="s">
        <v>212</v>
      </c>
      <c r="N239" s="507"/>
      <c r="O239" s="505" t="s">
        <v>8</v>
      </c>
      <c r="P239" s="506"/>
      <c r="Q239" s="507"/>
      <c r="R239" s="503" t="s">
        <v>213</v>
      </c>
      <c r="S239" s="504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85" si="5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6"/>
        <v>CarrosserieM/O Sous-traitement</v>
      </c>
      <c r="B242" s="11" t="s">
        <v>94</v>
      </c>
      <c r="C242" s="29" t="s">
        <v>95</v>
      </c>
      <c r="D242" s="80">
        <v>0</v>
      </c>
      <c r="E242" s="82">
        <v>0</v>
      </c>
      <c r="F242" s="82">
        <v>0</v>
      </c>
      <c r="G242" s="155"/>
      <c r="H242" s="82"/>
      <c r="I242" s="82"/>
      <c r="J242" s="60">
        <v>0</v>
      </c>
      <c r="K242" s="30">
        <v>0</v>
      </c>
      <c r="L242" s="33">
        <v>0</v>
      </c>
      <c r="M242" s="156">
        <f>IFERROR((K242-E242)/E242,0)</f>
        <v>0</v>
      </c>
      <c r="N242" s="59">
        <f>L242-F242</f>
        <v>0</v>
      </c>
      <c r="O242" s="60">
        <v>1</v>
      </c>
      <c r="P242" s="30">
        <v>0</v>
      </c>
      <c r="Q242" s="33"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6"/>
        <v>CarrosserieM/O Carrosserie</v>
      </c>
      <c r="B245" s="11" t="s">
        <v>94</v>
      </c>
      <c r="C245" s="14" t="s">
        <v>96</v>
      </c>
      <c r="D245" s="105">
        <v>0</v>
      </c>
      <c r="E245" s="82">
        <v>0</v>
      </c>
      <c r="F245" s="82">
        <v>0</v>
      </c>
      <c r="G245" s="208"/>
      <c r="H245" s="82"/>
      <c r="I245" s="82"/>
      <c r="J245" s="163">
        <v>0</v>
      </c>
      <c r="K245" s="164">
        <v>0</v>
      </c>
      <c r="L245" s="108">
        <v>0</v>
      </c>
      <c r="M245" s="172">
        <f>IFERROR((K245-E245)/E245,0)</f>
        <v>0</v>
      </c>
      <c r="N245" s="109">
        <f>L245-F245</f>
        <v>0</v>
      </c>
      <c r="O245" s="163">
        <v>0</v>
      </c>
      <c r="P245" s="164">
        <v>0</v>
      </c>
      <c r="Q245" s="108"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6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v>0</v>
      </c>
      <c r="K248" s="30">
        <v>0</v>
      </c>
      <c r="L248" s="33"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6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6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6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/>
      <c r="I251" s="65"/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 t="shared" ref="P251:Q251" si="57">P245+P248+P242</f>
        <v>0</v>
      </c>
      <c r="Q251" s="65">
        <f t="shared" si="57"/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6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6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6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6"/>
        <v>CarrosserieSalaires cadres</v>
      </c>
      <c r="B255" s="11" t="s">
        <v>94</v>
      </c>
      <c r="C255" s="102" t="s">
        <v>40</v>
      </c>
      <c r="D255" s="13"/>
      <c r="E255" s="13"/>
      <c r="F255" s="30">
        <v>0</v>
      </c>
      <c r="G255" s="41"/>
      <c r="H255" s="13"/>
      <c r="I255" s="30"/>
      <c r="J255" s="41"/>
      <c r="K255" s="13"/>
      <c r="L255" s="33">
        <v>0</v>
      </c>
      <c r="M255" s="41"/>
      <c r="N255" s="59">
        <f t="shared" ref="N255:N285" si="58">L255-F255</f>
        <v>0</v>
      </c>
      <c r="O255" s="41"/>
      <c r="P255" s="13"/>
      <c r="Q255" s="33">
        <v>0</v>
      </c>
      <c r="R255" s="41"/>
      <c r="S255" s="85">
        <f t="shared" ref="S255:S266" si="5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6"/>
        <v>CarrosserieSalaires commis</v>
      </c>
      <c r="B256" s="11" t="s">
        <v>94</v>
      </c>
      <c r="C256" s="103" t="s">
        <v>41</v>
      </c>
      <c r="D256" s="81"/>
      <c r="E256" s="13"/>
      <c r="F256" s="22">
        <v>0</v>
      </c>
      <c r="G256" s="83"/>
      <c r="H256" s="13"/>
      <c r="I256" s="22"/>
      <c r="J256" s="41"/>
      <c r="K256" s="13"/>
      <c r="L256" s="33">
        <v>0</v>
      </c>
      <c r="M256" s="41"/>
      <c r="N256" s="59">
        <f t="shared" si="58"/>
        <v>0</v>
      </c>
      <c r="O256" s="41"/>
      <c r="P256" s="13"/>
      <c r="Q256" s="33"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6"/>
        <v>CarrosserieSalaires autres</v>
      </c>
      <c r="B257" s="11" t="s">
        <v>94</v>
      </c>
      <c r="C257" s="102" t="s">
        <v>42</v>
      </c>
      <c r="D257" s="104"/>
      <c r="E257" s="105"/>
      <c r="F257" s="30">
        <v>0</v>
      </c>
      <c r="G257" s="106"/>
      <c r="H257" s="105"/>
      <c r="I257" s="30"/>
      <c r="J257" s="107"/>
      <c r="K257" s="105"/>
      <c r="L257" s="108">
        <v>0</v>
      </c>
      <c r="M257" s="107"/>
      <c r="N257" s="109">
        <f t="shared" si="58"/>
        <v>0</v>
      </c>
      <c r="O257" s="107"/>
      <c r="P257" s="105"/>
      <c r="Q257" s="108">
        <v>0</v>
      </c>
      <c r="R257" s="107"/>
      <c r="S257" s="110">
        <f t="shared" ref="S257:S273" si="6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6"/>
        <v>CarrosserieSalaires spécialistes</v>
      </c>
      <c r="B258" s="11" t="s">
        <v>94</v>
      </c>
      <c r="C258" s="102" t="s">
        <v>43</v>
      </c>
      <c r="D258" s="81"/>
      <c r="E258" s="13"/>
      <c r="F258" s="30">
        <v>0</v>
      </c>
      <c r="G258" s="83"/>
      <c r="H258" s="13"/>
      <c r="I258" s="30"/>
      <c r="J258" s="41"/>
      <c r="K258" s="13"/>
      <c r="L258" s="33">
        <v>0</v>
      </c>
      <c r="M258" s="41"/>
      <c r="N258" s="59">
        <f t="shared" si="58"/>
        <v>0</v>
      </c>
      <c r="O258" s="41"/>
      <c r="P258" s="13"/>
      <c r="Q258" s="33">
        <v>0</v>
      </c>
      <c r="R258" s="41"/>
      <c r="S258" s="85">
        <f t="shared" si="6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6"/>
        <v>Carrosserie[...]</v>
      </c>
      <c r="B259" s="11" t="s">
        <v>94</v>
      </c>
      <c r="C259" s="29" t="s">
        <v>19</v>
      </c>
      <c r="D259" s="81"/>
      <c r="E259" s="13"/>
      <c r="F259" s="30">
        <v>0</v>
      </c>
      <c r="G259" s="83"/>
      <c r="H259" s="13"/>
      <c r="I259" s="30"/>
      <c r="J259" s="41"/>
      <c r="K259" s="13"/>
      <c r="L259" s="33">
        <v>0</v>
      </c>
      <c r="M259" s="41"/>
      <c r="N259" s="59">
        <f t="shared" si="58"/>
        <v>0</v>
      </c>
      <c r="O259" s="41"/>
      <c r="P259" s="13"/>
      <c r="Q259" s="33">
        <v>0</v>
      </c>
      <c r="R259" s="41"/>
      <c r="S259" s="85">
        <f t="shared" si="6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6"/>
        <v>Carrosserie[...]</v>
      </c>
      <c r="B260" s="11" t="s">
        <v>94</v>
      </c>
      <c r="C260" s="29" t="s">
        <v>19</v>
      </c>
      <c r="D260" s="81"/>
      <c r="E260" s="13"/>
      <c r="F260" s="30">
        <v>0</v>
      </c>
      <c r="G260" s="83"/>
      <c r="H260" s="13"/>
      <c r="I260" s="30"/>
      <c r="J260" s="41"/>
      <c r="K260" s="13"/>
      <c r="L260" s="33">
        <v>0</v>
      </c>
      <c r="M260" s="41"/>
      <c r="N260" s="59">
        <f t="shared" si="58"/>
        <v>0</v>
      </c>
      <c r="O260" s="41"/>
      <c r="P260" s="13"/>
      <c r="Q260" s="33">
        <v>0</v>
      </c>
      <c r="R260" s="41"/>
      <c r="S260" s="85">
        <f t="shared" si="6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6"/>
        <v>Carrosserie[...]</v>
      </c>
      <c r="B261" s="11" t="s">
        <v>94</v>
      </c>
      <c r="C261" s="29" t="s">
        <v>19</v>
      </c>
      <c r="D261" s="81"/>
      <c r="E261" s="13"/>
      <c r="F261" s="30">
        <v>0</v>
      </c>
      <c r="G261" s="83"/>
      <c r="H261" s="13"/>
      <c r="I261" s="30"/>
      <c r="J261" s="41"/>
      <c r="K261" s="13"/>
      <c r="L261" s="33">
        <v>0</v>
      </c>
      <c r="M261" s="41"/>
      <c r="N261" s="59">
        <f t="shared" si="58"/>
        <v>0</v>
      </c>
      <c r="O261" s="41"/>
      <c r="P261" s="13"/>
      <c r="Q261" s="33">
        <v>0</v>
      </c>
      <c r="R261" s="41"/>
      <c r="S261" s="85">
        <f t="shared" si="6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6"/>
        <v>CarrosserieSalaires en absences</v>
      </c>
      <c r="B262" s="11" t="s">
        <v>94</v>
      </c>
      <c r="C262" s="103" t="s">
        <v>44</v>
      </c>
      <c r="D262" s="81"/>
      <c r="E262" s="13"/>
      <c r="F262" s="22">
        <v>0</v>
      </c>
      <c r="G262" s="83"/>
      <c r="H262" s="13"/>
      <c r="I262" s="22"/>
      <c r="J262" s="41"/>
      <c r="K262" s="13"/>
      <c r="L262" s="33">
        <v>0</v>
      </c>
      <c r="M262" s="41"/>
      <c r="N262" s="59">
        <f t="shared" si="58"/>
        <v>0</v>
      </c>
      <c r="O262" s="41"/>
      <c r="P262" s="13"/>
      <c r="Q262" s="33">
        <v>0</v>
      </c>
      <c r="R262" s="41"/>
      <c r="S262" s="85">
        <f t="shared" si="6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6"/>
        <v>CarrosserieDéduction à la source</v>
      </c>
      <c r="B263" s="11" t="s">
        <v>94</v>
      </c>
      <c r="C263" s="102" t="s">
        <v>45</v>
      </c>
      <c r="D263" s="104"/>
      <c r="E263" s="105"/>
      <c r="F263" s="30">
        <v>0</v>
      </c>
      <c r="G263" s="106"/>
      <c r="H263" s="105"/>
      <c r="I263" s="30"/>
      <c r="J263" s="107"/>
      <c r="K263" s="105"/>
      <c r="L263" s="108">
        <v>0</v>
      </c>
      <c r="M263" s="107"/>
      <c r="N263" s="109">
        <f t="shared" si="58"/>
        <v>0</v>
      </c>
      <c r="O263" s="107"/>
      <c r="P263" s="105"/>
      <c r="Q263" s="108">
        <v>0</v>
      </c>
      <c r="R263" s="107"/>
      <c r="S263" s="110">
        <f t="shared" si="60"/>
        <v>0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6"/>
        <v>CarrosserieBénéfices marginaux</v>
      </c>
      <c r="B264" s="11" t="s">
        <v>94</v>
      </c>
      <c r="C264" s="102" t="s">
        <v>46</v>
      </c>
      <c r="D264" s="81"/>
      <c r="E264" s="13"/>
      <c r="F264" s="30">
        <v>0</v>
      </c>
      <c r="G264" s="83"/>
      <c r="H264" s="13"/>
      <c r="I264" s="30"/>
      <c r="J264" s="41"/>
      <c r="K264" s="13"/>
      <c r="L264" s="33">
        <v>0</v>
      </c>
      <c r="M264" s="41"/>
      <c r="N264" s="59">
        <f t="shared" si="58"/>
        <v>0</v>
      </c>
      <c r="O264" s="41"/>
      <c r="P264" s="13"/>
      <c r="Q264" s="33">
        <v>0</v>
      </c>
      <c r="R264" s="41"/>
      <c r="S264" s="85">
        <f t="shared" si="6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6"/>
        <v>CarrosserieCsst</v>
      </c>
      <c r="B265" s="11" t="s">
        <v>94</v>
      </c>
      <c r="C265" s="102" t="s">
        <v>47</v>
      </c>
      <c r="D265" s="81"/>
      <c r="E265" s="13"/>
      <c r="F265" s="30">
        <v>0</v>
      </c>
      <c r="G265" s="83"/>
      <c r="H265" s="13"/>
      <c r="I265" s="30"/>
      <c r="J265" s="41"/>
      <c r="K265" s="13"/>
      <c r="L265" s="33">
        <v>0</v>
      </c>
      <c r="M265" s="462"/>
      <c r="N265" s="145">
        <f t="shared" si="58"/>
        <v>0</v>
      </c>
      <c r="O265" s="41"/>
      <c r="P265" s="13"/>
      <c r="Q265" s="33">
        <v>0</v>
      </c>
      <c r="R265" s="41"/>
      <c r="S265" s="85">
        <f t="shared" si="6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6"/>
        <v>Carrosserie[...]</v>
      </c>
      <c r="B266" s="11" t="s">
        <v>94</v>
      </c>
      <c r="C266" s="29" t="s">
        <v>19</v>
      </c>
      <c r="D266" s="87"/>
      <c r="E266" s="111"/>
      <c r="F266" s="30">
        <v>0</v>
      </c>
      <c r="G266" s="89"/>
      <c r="H266" s="111"/>
      <c r="I266" s="30"/>
      <c r="J266" s="23"/>
      <c r="K266" s="111"/>
      <c r="L266" s="33">
        <v>0</v>
      </c>
      <c r="M266" s="23"/>
      <c r="N266" s="91">
        <f t="shared" si="58"/>
        <v>0</v>
      </c>
      <c r="O266" s="23"/>
      <c r="P266" s="111"/>
      <c r="Q266" s="33">
        <v>0</v>
      </c>
      <c r="R266" s="23"/>
      <c r="S266" s="92">
        <f t="shared" si="60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6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0</v>
      </c>
      <c r="M267" s="146"/>
      <c r="N267" s="113">
        <f t="shared" si="58"/>
        <v>0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60"/>
        <v>0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6"/>
        <v>CarrosseriePublicité 2</v>
      </c>
      <c r="B268" s="11" t="s">
        <v>94</v>
      </c>
      <c r="C268" s="210" t="s">
        <v>49</v>
      </c>
      <c r="D268" s="81"/>
      <c r="E268" s="13"/>
      <c r="F268" s="30">
        <v>0</v>
      </c>
      <c r="G268" s="83"/>
      <c r="H268" s="13"/>
      <c r="I268" s="30"/>
      <c r="J268" s="41"/>
      <c r="K268" s="13"/>
      <c r="L268" s="33">
        <v>0</v>
      </c>
      <c r="M268" s="41"/>
      <c r="N268" s="59">
        <f t="shared" si="58"/>
        <v>0</v>
      </c>
      <c r="O268" s="41"/>
      <c r="P268" s="13"/>
      <c r="Q268" s="33">
        <v>0</v>
      </c>
      <c r="R268" s="41"/>
      <c r="S268" s="85">
        <f t="shared" si="60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6"/>
        <v>CarrosserieService gratuit 2</v>
      </c>
      <c r="B269" s="11" t="s">
        <v>94</v>
      </c>
      <c r="C269" s="102" t="s">
        <v>50</v>
      </c>
      <c r="D269" s="81"/>
      <c r="E269" s="13"/>
      <c r="F269" s="30">
        <v>0</v>
      </c>
      <c r="G269" s="83"/>
      <c r="H269" s="13"/>
      <c r="I269" s="30"/>
      <c r="J269" s="41"/>
      <c r="K269" s="13"/>
      <c r="L269" s="33">
        <v>0</v>
      </c>
      <c r="M269" s="41"/>
      <c r="N269" s="59">
        <f t="shared" si="58"/>
        <v>0</v>
      </c>
      <c r="O269" s="41"/>
      <c r="P269" s="13"/>
      <c r="Q269" s="33">
        <v>0</v>
      </c>
      <c r="R269" s="41"/>
      <c r="S269" s="85">
        <f t="shared" si="60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6"/>
        <v>CarrosserieFrais véhicules de cie</v>
      </c>
      <c r="B270" s="11" t="s">
        <v>94</v>
      </c>
      <c r="C270" s="103" t="s">
        <v>51</v>
      </c>
      <c r="D270" s="87"/>
      <c r="E270" s="111"/>
      <c r="F270" s="22">
        <v>0</v>
      </c>
      <c r="G270" s="89"/>
      <c r="H270" s="111"/>
      <c r="I270" s="22"/>
      <c r="J270" s="23"/>
      <c r="K270" s="111"/>
      <c r="L270" s="33">
        <v>0</v>
      </c>
      <c r="M270" s="23"/>
      <c r="N270" s="91">
        <f t="shared" si="58"/>
        <v>0</v>
      </c>
      <c r="O270" s="23"/>
      <c r="P270" s="111"/>
      <c r="Q270" s="33">
        <v>0</v>
      </c>
      <c r="R270" s="23"/>
      <c r="S270" s="92">
        <f t="shared" si="60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6"/>
        <v>CarrosserieInformatique</v>
      </c>
      <c r="B271" s="11" t="s">
        <v>94</v>
      </c>
      <c r="C271" s="102" t="s">
        <v>52</v>
      </c>
      <c r="D271" s="81"/>
      <c r="E271" s="13"/>
      <c r="F271" s="30">
        <v>0</v>
      </c>
      <c r="G271" s="83"/>
      <c r="H271" s="13"/>
      <c r="I271" s="30"/>
      <c r="J271" s="41"/>
      <c r="K271" s="13"/>
      <c r="L271" s="108">
        <v>0</v>
      </c>
      <c r="M271" s="41"/>
      <c r="N271" s="59">
        <f t="shared" si="58"/>
        <v>0</v>
      </c>
      <c r="O271" s="41"/>
      <c r="P271" s="13"/>
      <c r="Q271" s="108">
        <v>0</v>
      </c>
      <c r="R271" s="41"/>
      <c r="S271" s="85">
        <f t="shared" si="60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6"/>
        <v>CarrosserieFrais de déplacement</v>
      </c>
      <c r="B272" s="11" t="s">
        <v>94</v>
      </c>
      <c r="C272" s="102" t="s">
        <v>53</v>
      </c>
      <c r="D272" s="81"/>
      <c r="E272" s="13"/>
      <c r="F272" s="30">
        <v>0</v>
      </c>
      <c r="G272" s="83"/>
      <c r="H272" s="13"/>
      <c r="I272" s="30"/>
      <c r="J272" s="41"/>
      <c r="K272" s="13"/>
      <c r="L272" s="33">
        <v>0</v>
      </c>
      <c r="M272" s="41"/>
      <c r="N272" s="59">
        <f t="shared" si="58"/>
        <v>0</v>
      </c>
      <c r="O272" s="41"/>
      <c r="P272" s="13"/>
      <c r="Q272" s="33">
        <v>0</v>
      </c>
      <c r="R272" s="41"/>
      <c r="S272" s="85">
        <f t="shared" si="60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6"/>
        <v>CarrosserieServices extérieurs</v>
      </c>
      <c r="B273" s="11" t="s">
        <v>94</v>
      </c>
      <c r="C273" s="102" t="s">
        <v>54</v>
      </c>
      <c r="D273" s="87"/>
      <c r="E273" s="111"/>
      <c r="F273" s="22">
        <v>0</v>
      </c>
      <c r="G273" s="89"/>
      <c r="H273" s="111"/>
      <c r="I273" s="22"/>
      <c r="J273" s="23"/>
      <c r="K273" s="111"/>
      <c r="L273" s="33">
        <v>0</v>
      </c>
      <c r="M273" s="23"/>
      <c r="N273" s="91">
        <f t="shared" si="58"/>
        <v>0</v>
      </c>
      <c r="O273" s="23"/>
      <c r="P273" s="111"/>
      <c r="Q273" s="22">
        <v>0</v>
      </c>
      <c r="R273" s="23"/>
      <c r="S273" s="92">
        <f t="shared" si="60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>+B274&amp;C274</f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v>0</v>
      </c>
      <c r="M274" s="41"/>
      <c r="N274" s="59">
        <f t="shared" si="58"/>
        <v>0</v>
      </c>
      <c r="O274" s="41"/>
      <c r="P274" s="13"/>
      <c r="Q274" s="33"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ref="A275:A320" si="61">+B275&amp;C275</f>
        <v>CarrosserieFournitures autres</v>
      </c>
      <c r="B275" s="11" t="s">
        <v>94</v>
      </c>
      <c r="C275" s="102" t="s">
        <v>55</v>
      </c>
      <c r="D275" s="81"/>
      <c r="E275" s="13"/>
      <c r="F275" s="30">
        <v>0</v>
      </c>
      <c r="G275" s="83"/>
      <c r="H275" s="13"/>
      <c r="I275" s="30"/>
      <c r="J275" s="41"/>
      <c r="K275" s="13"/>
      <c r="L275" s="33">
        <v>0</v>
      </c>
      <c r="M275" s="41"/>
      <c r="N275" s="59">
        <f t="shared" si="58"/>
        <v>0</v>
      </c>
      <c r="O275" s="41"/>
      <c r="P275" s="13"/>
      <c r="Q275" s="33">
        <v>0</v>
      </c>
      <c r="R275" s="41"/>
      <c r="S275" s="85">
        <f t="shared" ref="S275:S293" si="62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61"/>
        <v>CarrosserieUniformes</v>
      </c>
      <c r="B276" s="11" t="s">
        <v>94</v>
      </c>
      <c r="C276" s="102" t="s">
        <v>56</v>
      </c>
      <c r="D276" s="81"/>
      <c r="E276" s="13"/>
      <c r="F276" s="30">
        <v>0</v>
      </c>
      <c r="G276" s="83"/>
      <c r="H276" s="13"/>
      <c r="I276" s="30"/>
      <c r="J276" s="41"/>
      <c r="K276" s="13"/>
      <c r="L276" s="33">
        <v>0</v>
      </c>
      <c r="M276" s="41"/>
      <c r="N276" s="59">
        <f t="shared" si="58"/>
        <v>0</v>
      </c>
      <c r="O276" s="41"/>
      <c r="P276" s="13"/>
      <c r="Q276" s="33">
        <v>0</v>
      </c>
      <c r="R276" s="41"/>
      <c r="S276" s="85">
        <f t="shared" si="62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61"/>
        <v>CarrosseriePapeterie</v>
      </c>
      <c r="B277" s="11" t="s">
        <v>94</v>
      </c>
      <c r="C277" s="102" t="s">
        <v>57</v>
      </c>
      <c r="D277" s="81"/>
      <c r="E277" s="13"/>
      <c r="F277" s="30">
        <v>0</v>
      </c>
      <c r="G277" s="83"/>
      <c r="H277" s="13"/>
      <c r="I277" s="30"/>
      <c r="J277" s="41"/>
      <c r="K277" s="13"/>
      <c r="L277" s="32">
        <v>0</v>
      </c>
      <c r="M277" s="41"/>
      <c r="N277" s="59">
        <f t="shared" si="58"/>
        <v>0</v>
      </c>
      <c r="O277" s="41"/>
      <c r="P277" s="13"/>
      <c r="Q277" s="32">
        <v>0</v>
      </c>
      <c r="R277" s="41"/>
      <c r="S277" s="85">
        <f t="shared" si="62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61"/>
        <v>CarrosserieTéléphone</v>
      </c>
      <c r="B278" s="11" t="s">
        <v>94</v>
      </c>
      <c r="C278" s="102" t="s">
        <v>58</v>
      </c>
      <c r="D278" s="81"/>
      <c r="E278" s="13"/>
      <c r="F278" s="30">
        <v>0</v>
      </c>
      <c r="G278" s="83"/>
      <c r="H278" s="13"/>
      <c r="I278" s="30"/>
      <c r="J278" s="41"/>
      <c r="K278" s="13"/>
      <c r="L278" s="33">
        <v>0</v>
      </c>
      <c r="M278" s="41"/>
      <c r="N278" s="59">
        <f t="shared" si="58"/>
        <v>0</v>
      </c>
      <c r="O278" s="41"/>
      <c r="P278" s="13"/>
      <c r="Q278" s="33">
        <v>0</v>
      </c>
      <c r="R278" s="41"/>
      <c r="S278" s="85">
        <f t="shared" si="62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61"/>
        <v>CarrosserieFrais postaux</v>
      </c>
      <c r="B279" s="11" t="s">
        <v>94</v>
      </c>
      <c r="C279" s="102" t="s">
        <v>59</v>
      </c>
      <c r="D279" s="81"/>
      <c r="E279" s="13"/>
      <c r="F279" s="30">
        <v>0</v>
      </c>
      <c r="G279" s="83"/>
      <c r="H279" s="13"/>
      <c r="I279" s="30"/>
      <c r="J279" s="41"/>
      <c r="K279" s="13"/>
      <c r="L279" s="33">
        <v>0</v>
      </c>
      <c r="M279" s="41"/>
      <c r="N279" s="59">
        <f t="shared" si="58"/>
        <v>0</v>
      </c>
      <c r="O279" s="41"/>
      <c r="P279" s="13"/>
      <c r="Q279" s="33">
        <v>0</v>
      </c>
      <c r="R279" s="41"/>
      <c r="S279" s="85">
        <f t="shared" si="62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61"/>
        <v>CarrosserieDivers</v>
      </c>
      <c r="B280" s="11" t="s">
        <v>94</v>
      </c>
      <c r="C280" s="102" t="s">
        <v>60</v>
      </c>
      <c r="D280" s="81"/>
      <c r="E280" s="13"/>
      <c r="F280" s="30">
        <v>0</v>
      </c>
      <c r="G280" s="83"/>
      <c r="H280" s="13"/>
      <c r="I280" s="30"/>
      <c r="J280" s="41"/>
      <c r="K280" s="13"/>
      <c r="L280" s="33">
        <v>0</v>
      </c>
      <c r="M280" s="41"/>
      <c r="N280" s="59">
        <f t="shared" si="58"/>
        <v>0</v>
      </c>
      <c r="O280" s="41"/>
      <c r="P280" s="13"/>
      <c r="Q280" s="33">
        <v>0</v>
      </c>
      <c r="R280" s="41"/>
      <c r="S280" s="85">
        <f t="shared" si="62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61"/>
        <v>CarrosserieFormation</v>
      </c>
      <c r="B281" s="11" t="s">
        <v>94</v>
      </c>
      <c r="C281" s="102" t="s">
        <v>61</v>
      </c>
      <c r="D281" s="81"/>
      <c r="E281" s="13"/>
      <c r="F281" s="30">
        <v>0</v>
      </c>
      <c r="G281" s="83"/>
      <c r="H281" s="13"/>
      <c r="I281" s="30"/>
      <c r="J281" s="41"/>
      <c r="K281" s="13"/>
      <c r="L281" s="33">
        <v>0</v>
      </c>
      <c r="M281" s="41"/>
      <c r="N281" s="59">
        <f t="shared" si="58"/>
        <v>0</v>
      </c>
      <c r="O281" s="41"/>
      <c r="P281" s="13"/>
      <c r="Q281" s="33">
        <v>0</v>
      </c>
      <c r="R281" s="41"/>
      <c r="S281" s="85">
        <f t="shared" si="62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61"/>
        <v>CarrosserieFrais bancaires</v>
      </c>
      <c r="B282" s="11" t="s">
        <v>94</v>
      </c>
      <c r="C282" s="102" t="s">
        <v>62</v>
      </c>
      <c r="D282" s="81"/>
      <c r="E282" s="13"/>
      <c r="F282" s="30">
        <v>0</v>
      </c>
      <c r="G282" s="83"/>
      <c r="H282" s="13"/>
      <c r="I282" s="30"/>
      <c r="J282" s="41"/>
      <c r="K282" s="13"/>
      <c r="L282" s="33">
        <v>0</v>
      </c>
      <c r="M282" s="41"/>
      <c r="N282" s="59">
        <f t="shared" si="58"/>
        <v>0</v>
      </c>
      <c r="O282" s="41"/>
      <c r="P282" s="13"/>
      <c r="Q282" s="33">
        <v>0</v>
      </c>
      <c r="R282" s="41"/>
      <c r="S282" s="85">
        <f t="shared" si="62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61"/>
        <v>Carrosserie[...]</v>
      </c>
      <c r="B283" s="11" t="s">
        <v>94</v>
      </c>
      <c r="C283" s="102" t="s">
        <v>19</v>
      </c>
      <c r="D283" s="81"/>
      <c r="E283" s="13"/>
      <c r="F283" s="30">
        <v>0</v>
      </c>
      <c r="G283" s="83"/>
      <c r="H283" s="13"/>
      <c r="I283" s="30"/>
      <c r="J283" s="41"/>
      <c r="K283" s="13"/>
      <c r="L283" s="33">
        <v>0</v>
      </c>
      <c r="M283" s="41"/>
      <c r="N283" s="59">
        <f t="shared" si="58"/>
        <v>0</v>
      </c>
      <c r="O283" s="41"/>
      <c r="P283" s="13"/>
      <c r="Q283" s="33">
        <v>0</v>
      </c>
      <c r="R283" s="41"/>
      <c r="S283" s="85">
        <f t="shared" si="62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>+B284&amp;C284</f>
        <v>Carrosserie[...]</v>
      </c>
      <c r="B284" s="11" t="s">
        <v>94</v>
      </c>
      <c r="C284" s="102" t="s">
        <v>19</v>
      </c>
      <c r="D284" s="81"/>
      <c r="E284" s="13"/>
      <c r="F284" s="30">
        <v>0</v>
      </c>
      <c r="G284" s="83"/>
      <c r="H284" s="13"/>
      <c r="I284" s="30"/>
      <c r="J284" s="41"/>
      <c r="K284" s="13"/>
      <c r="L284" s="33">
        <v>0</v>
      </c>
      <c r="M284" s="41"/>
      <c r="N284" s="59">
        <f t="shared" si="58"/>
        <v>0</v>
      </c>
      <c r="O284" s="41"/>
      <c r="P284" s="13"/>
      <c r="Q284" s="33"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ref="A285:A330" si="63">+B285&amp;C285</f>
        <v>Carrosserie[...]</v>
      </c>
      <c r="B285" s="11" t="s">
        <v>94</v>
      </c>
      <c r="C285" s="102" t="s">
        <v>19</v>
      </c>
      <c r="D285" s="81"/>
      <c r="E285" s="13"/>
      <c r="F285" s="30">
        <v>0</v>
      </c>
      <c r="G285" s="83"/>
      <c r="H285" s="13"/>
      <c r="I285" s="30"/>
      <c r="J285" s="41"/>
      <c r="K285" s="13"/>
      <c r="L285" s="33">
        <v>0</v>
      </c>
      <c r="M285" s="41"/>
      <c r="N285" s="59">
        <f t="shared" si="58"/>
        <v>0</v>
      </c>
      <c r="O285" s="41"/>
      <c r="P285" s="13"/>
      <c r="Q285" s="33">
        <v>0</v>
      </c>
      <c r="R285" s="41"/>
      <c r="S285" s="85">
        <f t="shared" ref="S285:S303" si="64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>
        <f>IF(L263=0,0,L286/L$245)</f>
        <v>0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0</v>
      </c>
      <c r="M288" s="100"/>
      <c r="N288" s="113">
        <f>L288-F288</f>
        <v>0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0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</v>
      </c>
      <c r="M290" s="153"/>
      <c r="N290" s="127">
        <f>L290-F290</f>
        <v>0</v>
      </c>
      <c r="O290" s="153"/>
      <c r="P290" s="126"/>
      <c r="Q290" s="127">
        <f>Q251-Q288</f>
        <v>0</v>
      </c>
      <c r="R290" s="153"/>
      <c r="S290" s="129">
        <f>L290-Q290</f>
        <v>0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Juillet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05" t="s">
        <v>5</v>
      </c>
      <c r="E294" s="506"/>
      <c r="F294" s="507"/>
      <c r="G294" s="508"/>
      <c r="H294" s="506"/>
      <c r="I294" s="507"/>
      <c r="J294" s="508" t="s">
        <v>7</v>
      </c>
      <c r="K294" s="506"/>
      <c r="L294" s="507"/>
      <c r="M294" s="508" t="s">
        <v>212</v>
      </c>
      <c r="N294" s="507"/>
      <c r="O294" s="505" t="s">
        <v>8</v>
      </c>
      <c r="P294" s="506"/>
      <c r="Q294" s="507"/>
      <c r="R294" s="503" t="s">
        <v>213</v>
      </c>
      <c r="S294" s="504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44" si="65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65"/>
        <v>PiècesPièces Ro Clients</v>
      </c>
      <c r="B296" s="11" t="s">
        <v>98</v>
      </c>
      <c r="C296" s="29" t="s">
        <v>100</v>
      </c>
      <c r="D296" s="82">
        <v>74080.040009590492</v>
      </c>
      <c r="E296" s="147">
        <f>IF(D296=0,0,F296/D296)</f>
        <v>0.40200000000000002</v>
      </c>
      <c r="F296" s="85">
        <v>29780.176083855378</v>
      </c>
      <c r="G296" s="82"/>
      <c r="H296" s="147"/>
      <c r="I296" s="85"/>
      <c r="J296" s="30">
        <v>111455.03999999999</v>
      </c>
      <c r="K296" s="147">
        <f t="shared" ref="K296:K301" si="66">IF(J296&lt;=0,0,L296/J296)</f>
        <v>0.39936857050161206</v>
      </c>
      <c r="L296" s="33">
        <v>44511.639999999992</v>
      </c>
      <c r="M296" s="156">
        <f t="shared" ref="M296:M302" si="67">(+J296-D296)/D296</f>
        <v>0.50452186561415047</v>
      </c>
      <c r="N296" s="59">
        <f t="shared" ref="N296:N305" si="68">L296-F296</f>
        <v>14731.463916144614</v>
      </c>
      <c r="O296" s="30">
        <v>69391.56</v>
      </c>
      <c r="P296" s="147">
        <f t="shared" ref="P296:P304" si="69">IF(O296=0,0,Q296/O296)</f>
        <v>0.42826317782738993</v>
      </c>
      <c r="Q296" s="33">
        <v>29717.85</v>
      </c>
      <c r="R296" s="156">
        <f>IF(O296=0,0,(J296-O296)/O296)</f>
        <v>0.60617573664578228</v>
      </c>
      <c r="S296" s="85">
        <f t="shared" ref="S296:S301" si="70">L296-Q296</f>
        <v>14793.789999999994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65"/>
        <v>PiècesPièces Ro Carrosserie</v>
      </c>
      <c r="B297" s="11" t="s">
        <v>98</v>
      </c>
      <c r="C297" s="29" t="s">
        <v>101</v>
      </c>
      <c r="D297" s="82">
        <v>0</v>
      </c>
      <c r="E297" s="147">
        <f t="shared" ref="E297:E304" si="71">IF(D297=0,0,F297/D297)</f>
        <v>0</v>
      </c>
      <c r="F297" s="85">
        <v>0</v>
      </c>
      <c r="G297" s="82"/>
      <c r="H297" s="147"/>
      <c r="I297" s="85"/>
      <c r="J297" s="30">
        <v>0</v>
      </c>
      <c r="K297" s="147">
        <f t="shared" si="66"/>
        <v>0</v>
      </c>
      <c r="L297" s="33">
        <v>0</v>
      </c>
      <c r="M297" s="156" t="e">
        <f t="shared" si="67"/>
        <v>#DIV/0!</v>
      </c>
      <c r="N297" s="59">
        <f t="shared" si="68"/>
        <v>0</v>
      </c>
      <c r="O297" s="30">
        <v>0</v>
      </c>
      <c r="P297" s="147">
        <f t="shared" si="69"/>
        <v>0</v>
      </c>
      <c r="Q297" s="33">
        <v>0</v>
      </c>
      <c r="R297" s="156">
        <f t="shared" ref="R297:R304" si="72">IF(O297=0,0,(J297-O297)/O297)</f>
        <v>0</v>
      </c>
      <c r="S297" s="85">
        <f t="shared" si="70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65"/>
        <v>PiècesP/A Garantie</v>
      </c>
      <c r="B298" s="11" t="s">
        <v>98</v>
      </c>
      <c r="C298" s="29" t="s">
        <v>102</v>
      </c>
      <c r="D298" s="82">
        <v>72746.992857298566</v>
      </c>
      <c r="E298" s="147">
        <f t="shared" si="71"/>
        <v>0.27700000000000002</v>
      </c>
      <c r="F298" s="85">
        <v>20150.917021471705</v>
      </c>
      <c r="G298" s="82"/>
      <c r="H298" s="147"/>
      <c r="I298" s="85"/>
      <c r="J298" s="30">
        <v>46610.36</v>
      </c>
      <c r="K298" s="147">
        <f t="shared" si="66"/>
        <v>0.29279456326876679</v>
      </c>
      <c r="L298" s="33">
        <v>13647.259999999998</v>
      </c>
      <c r="M298" s="156">
        <f t="shared" si="67"/>
        <v>-0.35928128202589105</v>
      </c>
      <c r="N298" s="59">
        <f t="shared" si="68"/>
        <v>-6503.6570214717067</v>
      </c>
      <c r="O298" s="30">
        <v>84145.25</v>
      </c>
      <c r="P298" s="147">
        <f t="shared" si="69"/>
        <v>0.26860957689233794</v>
      </c>
      <c r="Q298" s="33">
        <v>22602.22</v>
      </c>
      <c r="R298" s="156">
        <f t="shared" si="72"/>
        <v>-0.44607259470974298</v>
      </c>
      <c r="S298" s="85">
        <f t="shared" si="70"/>
        <v>-8954.9600000000028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65"/>
        <v>PiècesVentes Internes</v>
      </c>
      <c r="B299" s="11" t="s">
        <v>98</v>
      </c>
      <c r="C299" s="29" t="s">
        <v>103</v>
      </c>
      <c r="D299" s="82">
        <v>27600</v>
      </c>
      <c r="E299" s="147">
        <f t="shared" si="71"/>
        <v>0.33800000000000002</v>
      </c>
      <c r="F299" s="85">
        <v>9328.8000000000011</v>
      </c>
      <c r="G299" s="82"/>
      <c r="H299" s="147"/>
      <c r="I299" s="85"/>
      <c r="J299" s="30">
        <v>25840.93</v>
      </c>
      <c r="K299" s="147">
        <f t="shared" si="66"/>
        <v>0.21396675738837578</v>
      </c>
      <c r="L299" s="33">
        <v>5529.1000000000013</v>
      </c>
      <c r="M299" s="156">
        <f t="shared" si="67"/>
        <v>-6.3734420289855057E-2</v>
      </c>
      <c r="N299" s="59">
        <f t="shared" si="68"/>
        <v>-3799.7</v>
      </c>
      <c r="O299" s="30">
        <v>16698.669999999998</v>
      </c>
      <c r="P299" s="147">
        <f t="shared" si="69"/>
        <v>0.37965957767894098</v>
      </c>
      <c r="Q299" s="33">
        <v>6339.81</v>
      </c>
      <c r="R299" s="156">
        <f t="shared" si="72"/>
        <v>0.54748432060756957</v>
      </c>
      <c r="S299" s="85">
        <f t="shared" si="70"/>
        <v>-810.70999999999913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65"/>
        <v>PiècesVentes Détails</v>
      </c>
      <c r="B300" s="11" t="s">
        <v>98</v>
      </c>
      <c r="C300" s="29" t="s">
        <v>104</v>
      </c>
      <c r="D300" s="82">
        <v>17361.874781996583</v>
      </c>
      <c r="E300" s="147">
        <f t="shared" si="71"/>
        <v>0.33100000000000002</v>
      </c>
      <c r="F300" s="85">
        <v>5746.7805528408689</v>
      </c>
      <c r="G300" s="82"/>
      <c r="H300" s="147"/>
      <c r="I300" s="85"/>
      <c r="J300" s="30">
        <v>18732.53</v>
      </c>
      <c r="K300" s="147">
        <f t="shared" si="66"/>
        <v>0.35273291968570181</v>
      </c>
      <c r="L300" s="33">
        <v>6607.579999999999</v>
      </c>
      <c r="M300" s="156">
        <f t="shared" si="67"/>
        <v>7.8946267912536644E-2</v>
      </c>
      <c r="N300" s="59">
        <f t="shared" si="68"/>
        <v>860.79944715913007</v>
      </c>
      <c r="O300" s="30">
        <v>17857.32</v>
      </c>
      <c r="P300" s="147">
        <f t="shared" si="69"/>
        <v>0.3781877683773377</v>
      </c>
      <c r="Q300" s="33">
        <v>6753.42</v>
      </c>
      <c r="R300" s="156">
        <f t="shared" si="72"/>
        <v>4.9011273808163773E-2</v>
      </c>
      <c r="S300" s="85">
        <f t="shared" si="70"/>
        <v>-145.84000000000106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>+B301&amp;C301</f>
        <v>PiècesVentes de Gros</v>
      </c>
      <c r="B301" s="11" t="s">
        <v>98</v>
      </c>
      <c r="C301" s="29" t="s">
        <v>105</v>
      </c>
      <c r="D301" s="82">
        <v>110400</v>
      </c>
      <c r="E301" s="147">
        <f t="shared" si="71"/>
        <v>0.2</v>
      </c>
      <c r="F301" s="85">
        <v>22080</v>
      </c>
      <c r="G301" s="82"/>
      <c r="H301" s="147"/>
      <c r="I301" s="85"/>
      <c r="J301" s="30">
        <v>23218.63</v>
      </c>
      <c r="K301" s="147">
        <f t="shared" si="66"/>
        <v>8.3892546631735024E-2</v>
      </c>
      <c r="L301" s="33">
        <v>1947.8700000000017</v>
      </c>
      <c r="M301" s="156">
        <f t="shared" si="67"/>
        <v>-0.78968632246376802</v>
      </c>
      <c r="N301" s="59">
        <f t="shared" si="68"/>
        <v>-20132.129999999997</v>
      </c>
      <c r="O301" s="30">
        <v>38006.58</v>
      </c>
      <c r="P301" s="147">
        <f t="shared" si="69"/>
        <v>0.18203347946592405</v>
      </c>
      <c r="Q301" s="33">
        <v>6918.47</v>
      </c>
      <c r="R301" s="156">
        <f t="shared" si="72"/>
        <v>-0.38908920507975198</v>
      </c>
      <c r="S301" s="85">
        <f t="shared" si="70"/>
        <v>-4970.5999999999985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>+B302&amp;C302</f>
        <v>Pièces[...]</v>
      </c>
      <c r="B302" s="11" t="s">
        <v>98</v>
      </c>
      <c r="C302" s="29" t="s">
        <v>19</v>
      </c>
      <c r="D302" s="82">
        <v>0</v>
      </c>
      <c r="E302" s="147">
        <f>IF(D302=0,0,F302/D302)</f>
        <v>0</v>
      </c>
      <c r="F302" s="85">
        <v>0</v>
      </c>
      <c r="G302" s="82"/>
      <c r="H302" s="147"/>
      <c r="I302" s="85"/>
      <c r="J302" s="30">
        <v>0</v>
      </c>
      <c r="K302" s="147">
        <f>IF(J302&lt;=0,0,L302/J302)</f>
        <v>0</v>
      </c>
      <c r="L302" s="33">
        <v>0</v>
      </c>
      <c r="M302" s="156" t="e">
        <f t="shared" si="67"/>
        <v>#DIV/0!</v>
      </c>
      <c r="N302" s="59">
        <f t="shared" si="68"/>
        <v>0</v>
      </c>
      <c r="O302" s="30">
        <v>0</v>
      </c>
      <c r="P302" s="147">
        <f t="shared" si="69"/>
        <v>0</v>
      </c>
      <c r="Q302" s="33"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ref="A303:A352" si="73">+B303&amp;C303</f>
        <v>PiècesEscomptes</v>
      </c>
      <c r="B303" s="11" t="s">
        <v>98</v>
      </c>
      <c r="C303" s="29" t="s">
        <v>106</v>
      </c>
      <c r="D303" s="82">
        <v>0</v>
      </c>
      <c r="E303" s="147">
        <f t="shared" ref="E303:E310" si="74">IF(D303=0,0,F303/D303)</f>
        <v>0</v>
      </c>
      <c r="F303" s="85">
        <v>11192.181764773542</v>
      </c>
      <c r="G303" s="82"/>
      <c r="H303" s="147"/>
      <c r="I303" s="85"/>
      <c r="J303" s="30">
        <v>0</v>
      </c>
      <c r="K303" s="147">
        <f>IF(J303&lt;=0,0,L303/J303)</f>
        <v>0</v>
      </c>
      <c r="L303" s="33">
        <v>27763.54</v>
      </c>
      <c r="M303" s="156"/>
      <c r="N303" s="59">
        <f t="shared" si="68"/>
        <v>16571.358235226457</v>
      </c>
      <c r="O303" s="30">
        <v>0</v>
      </c>
      <c r="P303" s="147">
        <f t="shared" si="69"/>
        <v>0</v>
      </c>
      <c r="Q303" s="33">
        <v>3265.21</v>
      </c>
      <c r="R303" s="156">
        <f t="shared" ref="R303:R310" si="75">IF(O303=0,0,(J303-O303)/O303)</f>
        <v>0</v>
      </c>
      <c r="S303" s="85">
        <f>L303-Q303</f>
        <v>24498.33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73"/>
        <v>PiècesRectif. Inventaire</v>
      </c>
      <c r="B304" s="11" t="s">
        <v>98</v>
      </c>
      <c r="C304" s="86" t="s">
        <v>107</v>
      </c>
      <c r="D304" s="82">
        <v>0</v>
      </c>
      <c r="E304" s="147">
        <f t="shared" si="74"/>
        <v>0</v>
      </c>
      <c r="F304" s="85">
        <v>0</v>
      </c>
      <c r="G304" s="82"/>
      <c r="H304" s="147"/>
      <c r="I304" s="85"/>
      <c r="J304" s="30">
        <v>0</v>
      </c>
      <c r="K304" s="147">
        <f>IF(J304&lt;=0,0,L304/J304)</f>
        <v>0</v>
      </c>
      <c r="L304" s="33">
        <v>0</v>
      </c>
      <c r="M304" s="156"/>
      <c r="N304" s="59">
        <f t="shared" si="68"/>
        <v>0</v>
      </c>
      <c r="O304" s="30">
        <v>0</v>
      </c>
      <c r="P304" s="147">
        <f t="shared" si="69"/>
        <v>0</v>
      </c>
      <c r="Q304" s="33">
        <v>0</v>
      </c>
      <c r="R304" s="156">
        <f t="shared" si="75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73"/>
        <v>PiècesSous-total Pièces</v>
      </c>
      <c r="B305" s="11" t="s">
        <v>98</v>
      </c>
      <c r="C305" s="53" t="s">
        <v>108</v>
      </c>
      <c r="D305" s="194">
        <f>SUM(D296:D304)</f>
        <v>302188.90764888562</v>
      </c>
      <c r="E305" s="212">
        <f>IF(D305&lt;=0,0,F305/D305)</f>
        <v>0.32522323928955083</v>
      </c>
      <c r="F305" s="198">
        <f>SUM(F296:F304)</f>
        <v>98278.855422941502</v>
      </c>
      <c r="G305" s="194"/>
      <c r="H305" s="212"/>
      <c r="I305" s="198"/>
      <c r="J305" s="194">
        <f>SUM(J296:J304)</f>
        <v>225857.49</v>
      </c>
      <c r="K305" s="212">
        <f>IF(J305&lt;=0,0,L305/J305)</f>
        <v>0.44278801646117644</v>
      </c>
      <c r="L305" s="196">
        <f>SUM(L296:L304)</f>
        <v>100006.98999999999</v>
      </c>
      <c r="M305" s="213">
        <f>(+J305-D305)/D305</f>
        <v>-0.25259503481701379</v>
      </c>
      <c r="N305" s="196">
        <f t="shared" si="68"/>
        <v>1728.1345770584885</v>
      </c>
      <c r="O305" s="194">
        <f>SUM(O296:O304)</f>
        <v>226099.38</v>
      </c>
      <c r="P305" s="212">
        <f>IF(O305&lt;=0,0,Q305/O305)</f>
        <v>0.33435288500127686</v>
      </c>
      <c r="Q305" s="196">
        <f t="shared" ref="Q305" si="76">SUM(Q296:Q304)</f>
        <v>75596.98</v>
      </c>
      <c r="R305" s="213">
        <f>IF(O305=0,0,(J305-O305)/O305)</f>
        <v>-1.0698392892541941E-3</v>
      </c>
      <c r="S305" s="198">
        <f>L305-Q305</f>
        <v>24410.009999999995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73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1.7583991689987522E-2</v>
      </c>
      <c r="O306" s="41"/>
      <c r="P306" s="13"/>
      <c r="Q306" s="40"/>
      <c r="R306" s="41"/>
      <c r="S306" s="44">
        <f>IF(Q305=0,0,S305/Q305)</f>
        <v>0.32289662893940996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73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73"/>
        <v>PiècesVentes Pneus</v>
      </c>
      <c r="B308" s="11" t="s">
        <v>98</v>
      </c>
      <c r="C308" s="29" t="s">
        <v>109</v>
      </c>
      <c r="D308" s="82">
        <v>59316.085231414167</v>
      </c>
      <c r="E308" s="147">
        <f>IF(D308=0,0,F308/D308)</f>
        <v>0.25</v>
      </c>
      <c r="F308" s="110">
        <v>14829.021307853542</v>
      </c>
      <c r="G308" s="82"/>
      <c r="H308" s="147"/>
      <c r="I308" s="110"/>
      <c r="J308" s="30">
        <v>37519.83</v>
      </c>
      <c r="K308" s="147">
        <f>IF(J308&lt;=0,0,L308/J308)</f>
        <v>0.21850845273019631</v>
      </c>
      <c r="L308" s="33">
        <v>8198.4000000000015</v>
      </c>
      <c r="M308" s="156">
        <f>(+J308-D308)/D308</f>
        <v>-0.36745943611043863</v>
      </c>
      <c r="N308" s="59">
        <f>L308-F308</f>
        <v>-6630.6213078535402</v>
      </c>
      <c r="O308" s="30">
        <v>51192.24</v>
      </c>
      <c r="P308" s="147">
        <f t="shared" ref="P308:P309" si="77">IF(O308=0,0,Q308/O308)</f>
        <v>0.26016990075058255</v>
      </c>
      <c r="Q308" s="33">
        <v>13318.68</v>
      </c>
      <c r="R308" s="156">
        <f>IF(O308=0,0,(J308-O308)/O308)</f>
        <v>-0.26707973708515192</v>
      </c>
      <c r="S308" s="85">
        <f>L308-Q308</f>
        <v>-5120.2799999999988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73"/>
        <v>PiècesHuiles et Graisse</v>
      </c>
      <c r="B309" s="11" t="s">
        <v>98</v>
      </c>
      <c r="C309" s="86" t="s">
        <v>110</v>
      </c>
      <c r="D309" s="82">
        <v>14554.58235482435</v>
      </c>
      <c r="E309" s="147">
        <f>IF(D309=0,0,F309/D309)</f>
        <v>0.35499999999999998</v>
      </c>
      <c r="F309" s="92">
        <v>5166.8767359626436</v>
      </c>
      <c r="G309" s="82"/>
      <c r="H309" s="147"/>
      <c r="I309" s="92"/>
      <c r="J309" s="30">
        <v>18482.88</v>
      </c>
      <c r="K309" s="147">
        <f>IF(J309&lt;=0,0,L309/J309)</f>
        <v>0.33980959677279737</v>
      </c>
      <c r="L309" s="33">
        <v>6280.6600000000017</v>
      </c>
      <c r="M309" s="156">
        <f>(+J309-D309)/D309</f>
        <v>0.26990109021393899</v>
      </c>
      <c r="N309" s="59">
        <f>L309-F309</f>
        <v>1113.7832640373581</v>
      </c>
      <c r="O309" s="30">
        <v>15796.7599999999</v>
      </c>
      <c r="P309" s="147">
        <f t="shared" si="77"/>
        <v>0.35621798394101234</v>
      </c>
      <c r="Q309" s="33">
        <v>5627.0899999999901</v>
      </c>
      <c r="R309" s="156">
        <f>IF(O309=0,0,(J309-O309)/O309)</f>
        <v>0.17004246440410045</v>
      </c>
      <c r="S309" s="85">
        <f>L309-Q309</f>
        <v>653.57000000001153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73"/>
        <v>PiècesSous-total Pièces et Acc.</v>
      </c>
      <c r="B310" s="11" t="s">
        <v>98</v>
      </c>
      <c r="C310" s="53" t="s">
        <v>111</v>
      </c>
      <c r="D310" s="194">
        <f>D305+D308+D309</f>
        <v>376059.57523512415</v>
      </c>
      <c r="E310" s="212">
        <f>IF(D310&lt;=0,0,F310/D310)</f>
        <v>0.31451068196524079</v>
      </c>
      <c r="F310" s="196">
        <f>F305+F308+F309</f>
        <v>118274.75346675768</v>
      </c>
      <c r="G310" s="197"/>
      <c r="H310" s="212"/>
      <c r="I310" s="196"/>
      <c r="J310" s="197">
        <f>J305+J308+J309</f>
        <v>281860.2</v>
      </c>
      <c r="K310" s="212">
        <f>IF(J310&lt;=0,0,L310/J310)</f>
        <v>0.40618026241377814</v>
      </c>
      <c r="L310" s="196">
        <f>L305+L308+L309</f>
        <v>114486.04999999999</v>
      </c>
      <c r="M310" s="213">
        <f>(+J310-D310)/D310</f>
        <v>-0.25049056436397815</v>
      </c>
      <c r="N310" s="196">
        <f>L310-F310</f>
        <v>-3788.7034667576954</v>
      </c>
      <c r="O310" s="197">
        <f>O305+O308+O309</f>
        <v>293088.37999999989</v>
      </c>
      <c r="P310" s="212">
        <f>IF(O310&lt;=0,0,Q310/O310)</f>
        <v>0.3225742009969827</v>
      </c>
      <c r="Q310" s="196">
        <f t="shared" ref="Q310" si="78">Q305+Q308+Q309</f>
        <v>94542.75</v>
      </c>
      <c r="R310" s="213">
        <f>IF(O310=0,0,(J310-O310)/O310)</f>
        <v>-3.8309877723572257E-2</v>
      </c>
      <c r="S310" s="198">
        <f>L310-Q310</f>
        <v>19943.299999999988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73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-3.2033070082217917E-2</v>
      </c>
      <c r="O311" s="41"/>
      <c r="P311" s="13"/>
      <c r="Q311" s="40"/>
      <c r="R311" s="41"/>
      <c r="S311" s="44">
        <f>IF(Q310=0,0,S310/Q310)</f>
        <v>0.21094478423781821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73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73"/>
        <v>PiècesAutostock</v>
      </c>
      <c r="B313" s="11" t="s">
        <v>98</v>
      </c>
      <c r="C313" s="86" t="s">
        <v>112</v>
      </c>
      <c r="D313" s="90">
        <v>0</v>
      </c>
      <c r="E313" s="216">
        <f>IF(D313=0,0,F313/D313)</f>
        <v>0</v>
      </c>
      <c r="F313" s="145">
        <v>0</v>
      </c>
      <c r="G313" s="171"/>
      <c r="H313" s="216"/>
      <c r="I313" s="145"/>
      <c r="J313" s="46">
        <v>0</v>
      </c>
      <c r="K313" s="217">
        <f>IF(J313&lt;=0,0,L313/J313)</f>
        <v>0</v>
      </c>
      <c r="L313" s="22">
        <v>0</v>
      </c>
      <c r="M313" s="217">
        <f>IF(F313=0,0,(+L313-F313)/F313)</f>
        <v>0</v>
      </c>
      <c r="N313" s="91">
        <f>L313-F313</f>
        <v>0</v>
      </c>
      <c r="O313" s="46">
        <v>0</v>
      </c>
      <c r="P313" s="217">
        <f>IF(O313=0,0,Q313/O313)</f>
        <v>0</v>
      </c>
      <c r="Q313" s="22"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73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73"/>
        <v>PiècesTotal Dépt. Pièces</v>
      </c>
      <c r="B315" s="11" t="s">
        <v>98</v>
      </c>
      <c r="C315" s="62" t="s">
        <v>113</v>
      </c>
      <c r="D315" s="63">
        <f>D310+D313</f>
        <v>376059.57523512415</v>
      </c>
      <c r="E315" s="218">
        <f>IF(D315&lt;=0,0,F315/D315)</f>
        <v>0.31451068196524079</v>
      </c>
      <c r="F315" s="65">
        <f>F310+F313</f>
        <v>118274.75346675768</v>
      </c>
      <c r="G315" s="66"/>
      <c r="H315" s="218"/>
      <c r="I315" s="65"/>
      <c r="J315" s="66">
        <f>J310+J313</f>
        <v>281860.2</v>
      </c>
      <c r="K315" s="218">
        <f>IF(J315&lt;=0,0,L315/J315)</f>
        <v>0.40618026241377814</v>
      </c>
      <c r="L315" s="65">
        <f>L310+L313</f>
        <v>114486.04999999999</v>
      </c>
      <c r="M315" s="219">
        <f>(+J315-D315)/D315</f>
        <v>-0.25049056436397815</v>
      </c>
      <c r="N315" s="220">
        <f>L315-F315</f>
        <v>-3788.7034667576954</v>
      </c>
      <c r="O315" s="66">
        <f>O310+O313</f>
        <v>293088.37999999989</v>
      </c>
      <c r="P315" s="218">
        <f>IF(O315&lt;=0,0,Q315/O315)</f>
        <v>0.3225742009969827</v>
      </c>
      <c r="Q315" s="65">
        <f t="shared" ref="Q315" si="79">Q310+Q313</f>
        <v>94542.75</v>
      </c>
      <c r="R315" s="219">
        <f>IF(O315=0,0,(J315-O315)/O315)</f>
        <v>-3.8309877723572257E-2</v>
      </c>
      <c r="S315" s="221">
        <f>L315-Q315</f>
        <v>19943.299999999988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73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-3.2033070082217917E-2</v>
      </c>
      <c r="O316" s="226"/>
      <c r="P316" s="224"/>
      <c r="Q316" s="225"/>
      <c r="R316" s="227"/>
      <c r="S316" s="75">
        <f>IF(Q315=0,0,S315/Q315)</f>
        <v>0.21094478423781821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73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73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73"/>
        <v>PiècesSalaires cadres</v>
      </c>
      <c r="B319" s="11" t="s">
        <v>98</v>
      </c>
      <c r="C319" s="102" t="s">
        <v>40</v>
      </c>
      <c r="D319" s="13"/>
      <c r="E319" s="13"/>
      <c r="F319" s="30">
        <v>4686.9938697318012</v>
      </c>
      <c r="G319" s="41"/>
      <c r="H319" s="13"/>
      <c r="I319" s="30"/>
      <c r="J319" s="41"/>
      <c r="K319" s="13"/>
      <c r="L319" s="33">
        <v>1757.12</v>
      </c>
      <c r="M319" s="41"/>
      <c r="N319" s="59">
        <f t="shared" ref="N319:N349" si="80">L319-F319</f>
        <v>-2929.8738697318013</v>
      </c>
      <c r="O319" s="41"/>
      <c r="P319" s="13"/>
      <c r="Q319" s="33">
        <v>4407.5200000000004</v>
      </c>
      <c r="R319" s="41"/>
      <c r="S319" s="85">
        <f t="shared" ref="S319:S344" si="81">L319-Q319</f>
        <v>-2650.4000000000005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73"/>
        <v>PiècesSalaires commis</v>
      </c>
      <c r="B320" s="11" t="s">
        <v>98</v>
      </c>
      <c r="C320" s="103" t="s">
        <v>41</v>
      </c>
      <c r="D320" s="81"/>
      <c r="E320" s="13"/>
      <c r="F320" s="22">
        <v>2533.2311034482759</v>
      </c>
      <c r="G320" s="83"/>
      <c r="H320" s="13"/>
      <c r="I320" s="22"/>
      <c r="J320" s="41"/>
      <c r="K320" s="13"/>
      <c r="L320" s="33">
        <v>1685.64</v>
      </c>
      <c r="M320" s="41"/>
      <c r="N320" s="59">
        <f t="shared" si="80"/>
        <v>-847.59110344827582</v>
      </c>
      <c r="O320" s="41"/>
      <c r="P320" s="13"/>
      <c r="Q320" s="33">
        <v>2584.0700000000002</v>
      </c>
      <c r="R320" s="41"/>
      <c r="S320" s="85">
        <f t="shared" si="81"/>
        <v>-898.43000000000006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73"/>
        <v>PiècesSalaires autres</v>
      </c>
      <c r="B321" s="11" t="s">
        <v>98</v>
      </c>
      <c r="C321" s="102" t="s">
        <v>42</v>
      </c>
      <c r="D321" s="104"/>
      <c r="E321" s="105"/>
      <c r="F321" s="30">
        <v>19699.114903698384</v>
      </c>
      <c r="G321" s="106"/>
      <c r="H321" s="105"/>
      <c r="I321" s="30"/>
      <c r="J321" s="107"/>
      <c r="K321" s="105"/>
      <c r="L321" s="108">
        <v>17677.86</v>
      </c>
      <c r="M321" s="107"/>
      <c r="N321" s="109">
        <f t="shared" si="80"/>
        <v>-2021.2549036983837</v>
      </c>
      <c r="O321" s="107"/>
      <c r="P321" s="105"/>
      <c r="Q321" s="108">
        <v>11880.96</v>
      </c>
      <c r="R321" s="107"/>
      <c r="S321" s="110">
        <f t="shared" si="81"/>
        <v>5796.9000000000015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73"/>
        <v>PiècesSalaires spécialistes</v>
      </c>
      <c r="B322" s="11" t="s">
        <v>98</v>
      </c>
      <c r="C322" s="102" t="s">
        <v>43</v>
      </c>
      <c r="D322" s="81"/>
      <c r="E322" s="13"/>
      <c r="F322" s="30">
        <v>0</v>
      </c>
      <c r="G322" s="83"/>
      <c r="H322" s="13"/>
      <c r="I322" s="30"/>
      <c r="J322" s="41"/>
      <c r="K322" s="13"/>
      <c r="L322" s="33">
        <v>0</v>
      </c>
      <c r="M322" s="41"/>
      <c r="N322" s="59">
        <f t="shared" si="80"/>
        <v>0</v>
      </c>
      <c r="O322" s="41"/>
      <c r="P322" s="13"/>
      <c r="Q322" s="33">
        <v>0</v>
      </c>
      <c r="R322" s="41"/>
      <c r="S322" s="85">
        <f t="shared" si="81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>+B323&amp;C323</f>
        <v>Pièces[...]</v>
      </c>
      <c r="B323" s="11" t="s">
        <v>98</v>
      </c>
      <c r="C323" s="228" t="s">
        <v>19</v>
      </c>
      <c r="D323" s="81"/>
      <c r="E323" s="13"/>
      <c r="F323" s="30">
        <v>0</v>
      </c>
      <c r="G323" s="83"/>
      <c r="H323" s="13"/>
      <c r="I323" s="30"/>
      <c r="J323" s="41"/>
      <c r="K323" s="13"/>
      <c r="L323" s="33">
        <v>0</v>
      </c>
      <c r="M323" s="41"/>
      <c r="N323" s="59">
        <f t="shared" si="80"/>
        <v>0</v>
      </c>
      <c r="O323" s="41"/>
      <c r="P323" s="13"/>
      <c r="Q323" s="33"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>+B324&amp;C324</f>
        <v>Pièces[...]</v>
      </c>
      <c r="B324" s="11" t="s">
        <v>98</v>
      </c>
      <c r="C324" s="228" t="s">
        <v>19</v>
      </c>
      <c r="D324" s="81"/>
      <c r="E324" s="13"/>
      <c r="F324" s="30">
        <v>0</v>
      </c>
      <c r="G324" s="83"/>
      <c r="H324" s="13"/>
      <c r="I324" s="30"/>
      <c r="J324" s="41"/>
      <c r="K324" s="13"/>
      <c r="L324" s="33">
        <v>0</v>
      </c>
      <c r="M324" s="41"/>
      <c r="N324" s="59">
        <f t="shared" si="80"/>
        <v>0</v>
      </c>
      <c r="O324" s="41"/>
      <c r="P324" s="13"/>
      <c r="Q324" s="33"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>+B325&amp;C325</f>
        <v>Pièces[...]</v>
      </c>
      <c r="B325" s="11" t="s">
        <v>98</v>
      </c>
      <c r="C325" s="228" t="s">
        <v>19</v>
      </c>
      <c r="D325" s="81"/>
      <c r="E325" s="13"/>
      <c r="F325" s="30">
        <v>0</v>
      </c>
      <c r="G325" s="83"/>
      <c r="H325" s="13"/>
      <c r="I325" s="30"/>
      <c r="J325" s="41"/>
      <c r="K325" s="13"/>
      <c r="L325" s="33">
        <v>0</v>
      </c>
      <c r="M325" s="41"/>
      <c r="N325" s="59">
        <f t="shared" si="80"/>
        <v>0</v>
      </c>
      <c r="O325" s="41"/>
      <c r="P325" s="13"/>
      <c r="Q325" s="33"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ref="A326:A375" si="82">+B326&amp;C326</f>
        <v>PiècesSalaires en absences</v>
      </c>
      <c r="B326" s="11" t="s">
        <v>98</v>
      </c>
      <c r="C326" s="103" t="s">
        <v>44</v>
      </c>
      <c r="D326" s="81"/>
      <c r="E326" s="13"/>
      <c r="F326" s="22">
        <v>3988.4598224346064</v>
      </c>
      <c r="G326" s="83"/>
      <c r="H326" s="13"/>
      <c r="I326" s="22"/>
      <c r="J326" s="41"/>
      <c r="K326" s="13"/>
      <c r="L326" s="33">
        <v>3239.52</v>
      </c>
      <c r="M326" s="41"/>
      <c r="N326" s="59">
        <f t="shared" si="80"/>
        <v>-748.93982243460641</v>
      </c>
      <c r="O326" s="41"/>
      <c r="P326" s="13"/>
      <c r="Q326" s="33">
        <v>3424.88</v>
      </c>
      <c r="R326" s="41"/>
      <c r="S326" s="85">
        <f t="shared" ref="S326:S351" si="83">L326-Q326</f>
        <v>-185.36000000000013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82"/>
        <v>PiècesDéduction à la source</v>
      </c>
      <c r="B327" s="11" t="s">
        <v>98</v>
      </c>
      <c r="C327" s="102" t="s">
        <v>45</v>
      </c>
      <c r="D327" s="104"/>
      <c r="E327" s="105"/>
      <c r="F327" s="30">
        <v>3804.6205497439073</v>
      </c>
      <c r="G327" s="106"/>
      <c r="H327" s="105"/>
      <c r="I327" s="30"/>
      <c r="J327" s="107"/>
      <c r="K327" s="105"/>
      <c r="L327" s="108">
        <v>3168.96</v>
      </c>
      <c r="M327" s="107"/>
      <c r="N327" s="109">
        <f t="shared" si="80"/>
        <v>-635.66054974390727</v>
      </c>
      <c r="O327" s="107"/>
      <c r="P327" s="105"/>
      <c r="Q327" s="108">
        <v>4926.8500000000004</v>
      </c>
      <c r="R327" s="107"/>
      <c r="S327" s="110">
        <f t="shared" si="83"/>
        <v>-1757.8900000000003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82"/>
        <v>PiècesBénéfices marginaux</v>
      </c>
      <c r="B328" s="11" t="s">
        <v>98</v>
      </c>
      <c r="C328" s="102" t="s">
        <v>46</v>
      </c>
      <c r="D328" s="81"/>
      <c r="E328" s="13"/>
      <c r="F328" s="30">
        <v>2982.8225109992236</v>
      </c>
      <c r="G328" s="83"/>
      <c r="H328" s="13"/>
      <c r="I328" s="30"/>
      <c r="J328" s="41"/>
      <c r="K328" s="13"/>
      <c r="L328" s="33">
        <v>2797.91</v>
      </c>
      <c r="M328" s="41"/>
      <c r="N328" s="59">
        <f t="shared" si="80"/>
        <v>-184.91251099922374</v>
      </c>
      <c r="O328" s="41"/>
      <c r="P328" s="13"/>
      <c r="Q328" s="33">
        <v>2818.49</v>
      </c>
      <c r="R328" s="41"/>
      <c r="S328" s="85">
        <f t="shared" si="83"/>
        <v>-20.579999999999927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82"/>
        <v>PiècesCsst</v>
      </c>
      <c r="B329" s="11" t="s">
        <v>98</v>
      </c>
      <c r="C329" s="102" t="s">
        <v>47</v>
      </c>
      <c r="D329" s="81"/>
      <c r="E329" s="13"/>
      <c r="F329" s="30">
        <v>745.7056277498059</v>
      </c>
      <c r="G329" s="83"/>
      <c r="H329" s="13"/>
      <c r="I329" s="30"/>
      <c r="J329" s="41"/>
      <c r="K329" s="13"/>
      <c r="L329" s="33">
        <v>525.44000000000005</v>
      </c>
      <c r="M329" s="462"/>
      <c r="N329" s="145">
        <f t="shared" si="80"/>
        <v>-220.26562774980584</v>
      </c>
      <c r="O329" s="41"/>
      <c r="P329" s="13"/>
      <c r="Q329" s="33">
        <v>871.61</v>
      </c>
      <c r="R329" s="41"/>
      <c r="S329" s="85">
        <f t="shared" si="83"/>
        <v>-346.16999999999996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82"/>
        <v>Pièces[...]</v>
      </c>
      <c r="B330" s="11" t="s">
        <v>98</v>
      </c>
      <c r="C330" s="29" t="s">
        <v>19</v>
      </c>
      <c r="D330" s="87"/>
      <c r="E330" s="111"/>
      <c r="F330" s="30">
        <v>0</v>
      </c>
      <c r="G330" s="89"/>
      <c r="H330" s="111"/>
      <c r="I330" s="30"/>
      <c r="J330" s="23"/>
      <c r="K330" s="111"/>
      <c r="L330" s="33">
        <v>0</v>
      </c>
      <c r="M330" s="23"/>
      <c r="N330" s="91">
        <f t="shared" si="80"/>
        <v>0</v>
      </c>
      <c r="O330" s="23"/>
      <c r="P330" s="111"/>
      <c r="Q330" s="33">
        <v>0</v>
      </c>
      <c r="R330" s="23"/>
      <c r="S330" s="92">
        <f t="shared" si="83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82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0.32501398025412259</v>
      </c>
      <c r="F331" s="96">
        <f>+SUM(F319:F330)</f>
        <v>38440.948387805998</v>
      </c>
      <c r="G331" s="97"/>
      <c r="H331" s="95"/>
      <c r="I331" s="96"/>
      <c r="J331" s="97" t="s">
        <v>38</v>
      </c>
      <c r="K331" s="95">
        <f>L331/L$315</f>
        <v>0.26948654443052233</v>
      </c>
      <c r="L331" s="96">
        <f>+SUM(L319:L330)</f>
        <v>30852.45</v>
      </c>
      <c r="M331" s="146"/>
      <c r="N331" s="113">
        <f t="shared" si="80"/>
        <v>-7588.4983878059975</v>
      </c>
      <c r="O331" s="97" t="s">
        <v>38</v>
      </c>
      <c r="P331" s="95">
        <f>Q331/Q$315</f>
        <v>0.32698837298470795</v>
      </c>
      <c r="Q331" s="96">
        <f>+SUM(Q319:Q330)</f>
        <v>30914.379999999997</v>
      </c>
      <c r="R331" s="146"/>
      <c r="S331" s="114">
        <f t="shared" si="83"/>
        <v>-61.929999999996653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82"/>
        <v>PiècesPublicité 2</v>
      </c>
      <c r="B332" s="11" t="s">
        <v>98</v>
      </c>
      <c r="C332" s="210" t="s">
        <v>49</v>
      </c>
      <c r="D332" s="81"/>
      <c r="E332" s="13"/>
      <c r="F332" s="30">
        <v>1193.3497491888591</v>
      </c>
      <c r="G332" s="83"/>
      <c r="H332" s="13"/>
      <c r="I332" s="30"/>
      <c r="J332" s="41"/>
      <c r="K332" s="13"/>
      <c r="L332" s="33">
        <v>448.96</v>
      </c>
      <c r="M332" s="41"/>
      <c r="N332" s="59">
        <f t="shared" si="80"/>
        <v>-744.38974918885901</v>
      </c>
      <c r="O332" s="41"/>
      <c r="P332" s="13"/>
      <c r="Q332" s="33">
        <v>2421.9499999999998</v>
      </c>
      <c r="R332" s="41"/>
      <c r="S332" s="85">
        <f t="shared" si="83"/>
        <v>-1972.9899999999998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82"/>
        <v>PiècesService gratuit 2</v>
      </c>
      <c r="B333" s="11" t="s">
        <v>98</v>
      </c>
      <c r="C333" s="102" t="s">
        <v>50</v>
      </c>
      <c r="D333" s="81"/>
      <c r="E333" s="13"/>
      <c r="F333" s="30">
        <v>625</v>
      </c>
      <c r="G333" s="83"/>
      <c r="H333" s="13"/>
      <c r="I333" s="30"/>
      <c r="J333" s="41"/>
      <c r="K333" s="13"/>
      <c r="L333" s="30">
        <v>213.25</v>
      </c>
      <c r="M333" s="41"/>
      <c r="N333" s="59">
        <f t="shared" si="80"/>
        <v>-411.75</v>
      </c>
      <c r="O333" s="41"/>
      <c r="P333" s="13"/>
      <c r="Q333" s="33">
        <v>0</v>
      </c>
      <c r="R333" s="41"/>
      <c r="S333" s="85">
        <f t="shared" si="83"/>
        <v>213.25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82"/>
        <v>PiècesFrais véhicules de cie</v>
      </c>
      <c r="B334" s="11" t="s">
        <v>98</v>
      </c>
      <c r="C334" s="103" t="s">
        <v>51</v>
      </c>
      <c r="D334" s="87"/>
      <c r="E334" s="111"/>
      <c r="F334" s="22">
        <v>4823.666666666667</v>
      </c>
      <c r="G334" s="89"/>
      <c r="H334" s="111"/>
      <c r="I334" s="22"/>
      <c r="J334" s="23"/>
      <c r="K334" s="111"/>
      <c r="L334" s="22">
        <v>5187.74</v>
      </c>
      <c r="M334" s="23"/>
      <c r="N334" s="91">
        <f t="shared" si="80"/>
        <v>364.07333333333281</v>
      </c>
      <c r="O334" s="23"/>
      <c r="P334" s="111"/>
      <c r="Q334" s="33">
        <v>5672.7599999999902</v>
      </c>
      <c r="R334" s="23"/>
      <c r="S334" s="92">
        <f t="shared" si="83"/>
        <v>-485.01999999999043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82"/>
        <v>PiècesInformatique</v>
      </c>
      <c r="B335" s="11" t="s">
        <v>98</v>
      </c>
      <c r="C335" s="102" t="s">
        <v>52</v>
      </c>
      <c r="D335" s="81"/>
      <c r="E335" s="13"/>
      <c r="F335" s="30">
        <v>2651.4753333333338</v>
      </c>
      <c r="G335" s="83"/>
      <c r="H335" s="13"/>
      <c r="I335" s="30"/>
      <c r="J335" s="41"/>
      <c r="K335" s="13"/>
      <c r="L335" s="108">
        <v>2173.69</v>
      </c>
      <c r="M335" s="41"/>
      <c r="N335" s="59">
        <f t="shared" si="80"/>
        <v>-477.78533333333371</v>
      </c>
      <c r="O335" s="41"/>
      <c r="P335" s="13"/>
      <c r="Q335" s="108">
        <v>2052.11</v>
      </c>
      <c r="R335" s="41"/>
      <c r="S335" s="85">
        <f t="shared" si="83"/>
        <v>121.57999999999993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82"/>
        <v>PiècesFrais de déplacement</v>
      </c>
      <c r="B336" s="11" t="s">
        <v>98</v>
      </c>
      <c r="C336" s="102" t="s">
        <v>53</v>
      </c>
      <c r="D336" s="81"/>
      <c r="E336" s="13"/>
      <c r="F336" s="30">
        <v>998.33333333333326</v>
      </c>
      <c r="G336" s="83"/>
      <c r="H336" s="13"/>
      <c r="I336" s="30"/>
      <c r="J336" s="41"/>
      <c r="K336" s="13"/>
      <c r="L336" s="33">
        <v>1566.31</v>
      </c>
      <c r="M336" s="41"/>
      <c r="N336" s="59">
        <f t="shared" si="80"/>
        <v>567.97666666666669</v>
      </c>
      <c r="O336" s="41"/>
      <c r="P336" s="13"/>
      <c r="Q336" s="33">
        <v>165.84</v>
      </c>
      <c r="R336" s="41"/>
      <c r="S336" s="85">
        <f t="shared" si="83"/>
        <v>1400.47</v>
      </c>
      <c r="T336" s="13"/>
      <c r="U336" s="13"/>
      <c r="V336" s="489" t="s">
        <v>248</v>
      </c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82"/>
        <v>PiècesServices extérieurs</v>
      </c>
      <c r="B337" s="11" t="s">
        <v>98</v>
      </c>
      <c r="C337" s="229" t="s">
        <v>54</v>
      </c>
      <c r="D337" s="87"/>
      <c r="E337" s="111"/>
      <c r="F337" s="22">
        <v>1318.576</v>
      </c>
      <c r="G337" s="89"/>
      <c r="H337" s="111"/>
      <c r="I337" s="22"/>
      <c r="J337" s="23"/>
      <c r="K337" s="111"/>
      <c r="L337" s="48">
        <v>1548.64</v>
      </c>
      <c r="M337" s="23"/>
      <c r="N337" s="91">
        <f t="shared" si="80"/>
        <v>230.06400000000008</v>
      </c>
      <c r="O337" s="23"/>
      <c r="P337" s="111"/>
      <c r="Q337" s="48">
        <v>2035.41</v>
      </c>
      <c r="R337" s="23"/>
      <c r="S337" s="92">
        <f t="shared" si="83"/>
        <v>-486.77</v>
      </c>
      <c r="T337" s="13"/>
      <c r="U337" s="13"/>
      <c r="V337" s="489" t="s">
        <v>249</v>
      </c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>+B338&amp;C338</f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v>0</v>
      </c>
      <c r="M338" s="41"/>
      <c r="N338" s="59">
        <f t="shared" si="80"/>
        <v>0</v>
      </c>
      <c r="O338" s="41"/>
      <c r="P338" s="13"/>
      <c r="Q338" s="33"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ref="A339:A388" si="84">+B339&amp;C339</f>
        <v>PiècesFournitures autres</v>
      </c>
      <c r="B339" s="11" t="s">
        <v>98</v>
      </c>
      <c r="C339" s="102" t="s">
        <v>55</v>
      </c>
      <c r="D339" s="81"/>
      <c r="E339" s="13"/>
      <c r="F339" s="30">
        <v>15</v>
      </c>
      <c r="G339" s="83"/>
      <c r="H339" s="13"/>
      <c r="I339" s="30"/>
      <c r="J339" s="41"/>
      <c r="K339" s="13"/>
      <c r="L339" s="33">
        <v>213.77</v>
      </c>
      <c r="M339" s="41"/>
      <c r="N339" s="59">
        <f t="shared" si="80"/>
        <v>198.77</v>
      </c>
      <c r="O339" s="41"/>
      <c r="P339" s="13"/>
      <c r="Q339" s="33">
        <v>27.06</v>
      </c>
      <c r="R339" s="41"/>
      <c r="S339" s="85">
        <f t="shared" ref="S339:S364" si="85">L339-Q339</f>
        <v>186.71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84"/>
        <v>PiècesUniformes</v>
      </c>
      <c r="B340" s="11" t="s">
        <v>98</v>
      </c>
      <c r="C340" s="102" t="s">
        <v>56</v>
      </c>
      <c r="D340" s="81"/>
      <c r="E340" s="13"/>
      <c r="F340" s="30">
        <v>37.5</v>
      </c>
      <c r="G340" s="83"/>
      <c r="H340" s="13"/>
      <c r="I340" s="30"/>
      <c r="J340" s="41"/>
      <c r="K340" s="13"/>
      <c r="L340" s="33">
        <v>93.24</v>
      </c>
      <c r="M340" s="41"/>
      <c r="N340" s="59">
        <f t="shared" si="80"/>
        <v>55.739999999999995</v>
      </c>
      <c r="O340" s="41"/>
      <c r="P340" s="13"/>
      <c r="Q340" s="33">
        <v>0</v>
      </c>
      <c r="R340" s="41"/>
      <c r="S340" s="85">
        <f t="shared" si="85"/>
        <v>93.24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84"/>
        <v>PiècesPapeterie</v>
      </c>
      <c r="B341" s="11" t="s">
        <v>98</v>
      </c>
      <c r="C341" s="102" t="s">
        <v>57</v>
      </c>
      <c r="D341" s="81"/>
      <c r="E341" s="13"/>
      <c r="F341" s="30">
        <v>290</v>
      </c>
      <c r="G341" s="83"/>
      <c r="H341" s="13"/>
      <c r="I341" s="30"/>
      <c r="J341" s="41"/>
      <c r="K341" s="13"/>
      <c r="L341" s="32">
        <v>229.56</v>
      </c>
      <c r="M341" s="41"/>
      <c r="N341" s="59">
        <f t="shared" si="80"/>
        <v>-60.44</v>
      </c>
      <c r="O341" s="41"/>
      <c r="P341" s="13"/>
      <c r="Q341" s="32">
        <v>149.72</v>
      </c>
      <c r="R341" s="41"/>
      <c r="S341" s="85">
        <f t="shared" si="85"/>
        <v>79.84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84"/>
        <v>PiècesTéléphone</v>
      </c>
      <c r="B342" s="11" t="s">
        <v>98</v>
      </c>
      <c r="C342" s="102" t="s">
        <v>58</v>
      </c>
      <c r="D342" s="81"/>
      <c r="E342" s="13"/>
      <c r="F342" s="30">
        <v>113.8</v>
      </c>
      <c r="G342" s="83"/>
      <c r="H342" s="13"/>
      <c r="I342" s="30"/>
      <c r="J342" s="41"/>
      <c r="K342" s="13"/>
      <c r="L342" s="33">
        <v>118.77</v>
      </c>
      <c r="M342" s="41"/>
      <c r="N342" s="59">
        <f t="shared" si="80"/>
        <v>4.9699999999999989</v>
      </c>
      <c r="O342" s="41"/>
      <c r="P342" s="13"/>
      <c r="Q342" s="33">
        <v>106.82</v>
      </c>
      <c r="R342" s="41"/>
      <c r="S342" s="85">
        <f t="shared" si="85"/>
        <v>11.950000000000003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84"/>
        <v>PiècesFrais postaux</v>
      </c>
      <c r="B343" s="11" t="s">
        <v>98</v>
      </c>
      <c r="C343" s="102" t="s">
        <v>59</v>
      </c>
      <c r="D343" s="81"/>
      <c r="E343" s="13"/>
      <c r="F343" s="30">
        <v>2371.666666666667</v>
      </c>
      <c r="G343" s="83"/>
      <c r="H343" s="13"/>
      <c r="I343" s="30"/>
      <c r="J343" s="41"/>
      <c r="K343" s="13"/>
      <c r="L343" s="33">
        <v>-1441.73</v>
      </c>
      <c r="M343" s="41"/>
      <c r="N343" s="59">
        <f t="shared" si="80"/>
        <v>-3813.396666666667</v>
      </c>
      <c r="O343" s="41"/>
      <c r="P343" s="13"/>
      <c r="Q343" s="33">
        <v>165.58</v>
      </c>
      <c r="R343" s="41"/>
      <c r="S343" s="85">
        <f t="shared" si="85"/>
        <v>-1607.31</v>
      </c>
      <c r="T343" s="13"/>
      <c r="U343" s="13"/>
      <c r="V343" s="489" t="s">
        <v>257</v>
      </c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84"/>
        <v>PiècesDivers</v>
      </c>
      <c r="B344" s="11" t="s">
        <v>98</v>
      </c>
      <c r="C344" s="102" t="s">
        <v>60</v>
      </c>
      <c r="D344" s="81"/>
      <c r="E344" s="13"/>
      <c r="F344" s="30">
        <v>305.33333333333331</v>
      </c>
      <c r="G344" s="83"/>
      <c r="H344" s="13"/>
      <c r="I344" s="30"/>
      <c r="J344" s="41"/>
      <c r="K344" s="13"/>
      <c r="L344" s="33">
        <v>260.74</v>
      </c>
      <c r="M344" s="41"/>
      <c r="N344" s="59">
        <f t="shared" si="80"/>
        <v>-44.593333333333305</v>
      </c>
      <c r="O344" s="41"/>
      <c r="P344" s="13"/>
      <c r="Q344" s="33">
        <v>385.18999999999897</v>
      </c>
      <c r="R344" s="41"/>
      <c r="S344" s="85">
        <f t="shared" si="85"/>
        <v>-124.44999999999897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>+B345&amp;C345</f>
        <v>PiècesFormation</v>
      </c>
      <c r="B345" s="11" t="s">
        <v>98</v>
      </c>
      <c r="C345" s="102" t="s">
        <v>61</v>
      </c>
      <c r="D345" s="81"/>
      <c r="E345" s="13"/>
      <c r="F345" s="30">
        <v>152.46400000000006</v>
      </c>
      <c r="G345" s="83"/>
      <c r="H345" s="13"/>
      <c r="I345" s="30"/>
      <c r="J345" s="41"/>
      <c r="K345" s="13"/>
      <c r="L345" s="59">
        <v>605</v>
      </c>
      <c r="M345" s="41"/>
      <c r="N345" s="59">
        <f t="shared" si="80"/>
        <v>452.53599999999994</v>
      </c>
      <c r="O345" s="41"/>
      <c r="P345" s="13"/>
      <c r="Q345" s="33">
        <v>121.42</v>
      </c>
      <c r="R345" s="41"/>
      <c r="S345" s="85">
        <f>L345-Q345</f>
        <v>483.58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>+B346&amp;C346</f>
        <v>PiècesFrais bancaires</v>
      </c>
      <c r="B346" s="11" t="s">
        <v>98</v>
      </c>
      <c r="C346" s="102" t="s">
        <v>62</v>
      </c>
      <c r="D346" s="81"/>
      <c r="E346" s="13"/>
      <c r="F346" s="30">
        <v>1609.9379062078954</v>
      </c>
      <c r="G346" s="83"/>
      <c r="H346" s="13"/>
      <c r="I346" s="30"/>
      <c r="J346" s="41"/>
      <c r="K346" s="13"/>
      <c r="L346" s="32">
        <v>1567.87</v>
      </c>
      <c r="M346" s="41"/>
      <c r="N346" s="59">
        <f t="shared" si="80"/>
        <v>-42.067906207895476</v>
      </c>
      <c r="O346" s="41"/>
      <c r="P346" s="13"/>
      <c r="Q346" s="33">
        <v>1337.84</v>
      </c>
      <c r="R346" s="41"/>
      <c r="S346" s="85">
        <f>L346-Q346</f>
        <v>230.02999999999997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>+B347&amp;C347</f>
        <v>Pièces[...]</v>
      </c>
      <c r="B347" s="11" t="s">
        <v>98</v>
      </c>
      <c r="C347" s="102" t="s">
        <v>19</v>
      </c>
      <c r="D347" s="81"/>
      <c r="E347" s="13"/>
      <c r="F347" s="30">
        <v>0</v>
      </c>
      <c r="G347" s="83"/>
      <c r="H347" s="13"/>
      <c r="I347" s="30"/>
      <c r="J347" s="41"/>
      <c r="K347" s="13"/>
      <c r="L347" s="33">
        <v>0</v>
      </c>
      <c r="M347" s="41"/>
      <c r="N347" s="59">
        <f t="shared" si="80"/>
        <v>0</v>
      </c>
      <c r="O347" s="41"/>
      <c r="P347" s="13"/>
      <c r="Q347" s="33"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>+B348&amp;C348</f>
        <v>Pièces[...]</v>
      </c>
      <c r="B348" s="11" t="s">
        <v>98</v>
      </c>
      <c r="C348" s="102" t="s">
        <v>19</v>
      </c>
      <c r="D348" s="81"/>
      <c r="E348" s="13"/>
      <c r="F348" s="30">
        <v>0</v>
      </c>
      <c r="G348" s="83"/>
      <c r="H348" s="13"/>
      <c r="I348" s="30"/>
      <c r="J348" s="41"/>
      <c r="K348" s="13"/>
      <c r="L348" s="33">
        <v>0</v>
      </c>
      <c r="M348" s="41"/>
      <c r="N348" s="59">
        <f t="shared" si="80"/>
        <v>0</v>
      </c>
      <c r="O348" s="41"/>
      <c r="P348" s="13"/>
      <c r="Q348" s="33"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>+B349&amp;C349</f>
        <v>Pièces[...]</v>
      </c>
      <c r="B349" s="11" t="s">
        <v>98</v>
      </c>
      <c r="C349" s="102" t="s">
        <v>19</v>
      </c>
      <c r="D349" s="81"/>
      <c r="E349" s="13"/>
      <c r="F349" s="30">
        <v>0</v>
      </c>
      <c r="G349" s="83"/>
      <c r="H349" s="13"/>
      <c r="I349" s="30"/>
      <c r="J349" s="41"/>
      <c r="K349" s="13"/>
      <c r="L349" s="33">
        <v>0</v>
      </c>
      <c r="M349" s="41"/>
      <c r="N349" s="59">
        <f t="shared" si="80"/>
        <v>0</v>
      </c>
      <c r="O349" s="41"/>
      <c r="P349" s="13"/>
      <c r="Q349" s="33"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0.13955728086441793</v>
      </c>
      <c r="F350" s="96">
        <f>+SUM(F332:F349)</f>
        <v>16506.10298873009</v>
      </c>
      <c r="G350" s="97"/>
      <c r="H350" s="95"/>
      <c r="I350" s="96"/>
      <c r="J350" s="97" t="s">
        <v>38</v>
      </c>
      <c r="K350" s="95">
        <f>L350/L$315</f>
        <v>0.11168006931848901</v>
      </c>
      <c r="L350" s="96">
        <f>+SUM(L332:L349)</f>
        <v>12785.809999999998</v>
      </c>
      <c r="M350" s="100"/>
      <c r="N350" s="96">
        <f>+SUM(N332:N349)</f>
        <v>-3720.2929887300888</v>
      </c>
      <c r="O350" s="97" t="s">
        <v>38</v>
      </c>
      <c r="P350" s="95">
        <f>Q350/Q$315</f>
        <v>0.15486856474980881</v>
      </c>
      <c r="Q350" s="96">
        <f>+SUM(Q332:Q349)</f>
        <v>14641.699999999988</v>
      </c>
      <c r="R350" s="100"/>
      <c r="S350" s="101">
        <f>+SUM(S332:S349)</f>
        <v>-1855.8899999999892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0.46457126111854052</v>
      </c>
      <c r="F352" s="96">
        <f>F331+F350</f>
        <v>54947.051376536088</v>
      </c>
      <c r="G352" s="97"/>
      <c r="H352" s="95"/>
      <c r="I352" s="96"/>
      <c r="J352" s="97" t="s">
        <v>38</v>
      </c>
      <c r="K352" s="95">
        <f>L352/L$315</f>
        <v>0.38116661374901134</v>
      </c>
      <c r="L352" s="96">
        <f>L331+L350</f>
        <v>43638.259999999995</v>
      </c>
      <c r="M352" s="100"/>
      <c r="N352" s="113">
        <f>L352-F352</f>
        <v>-11308.791376536094</v>
      </c>
      <c r="O352" s="97" t="s">
        <v>38</v>
      </c>
      <c r="P352" s="95">
        <f>Q352/Q$315</f>
        <v>0.48185693773451677</v>
      </c>
      <c r="Q352" s="96">
        <f>Q331+Q350</f>
        <v>45556.079999999987</v>
      </c>
      <c r="R352" s="100"/>
      <c r="S352" s="114">
        <f>L352-Q352</f>
        <v>-1917.8199999999924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63327.702090221595</v>
      </c>
      <c r="G354" s="152"/>
      <c r="H354" s="125"/>
      <c r="I354" s="127"/>
      <c r="J354" s="153"/>
      <c r="K354" s="126"/>
      <c r="L354" s="127">
        <f>L315-L352</f>
        <v>70847.789999999994</v>
      </c>
      <c r="M354" s="153"/>
      <c r="N354" s="127">
        <f>L354-F354</f>
        <v>7520.0879097783982</v>
      </c>
      <c r="O354" s="153"/>
      <c r="P354" s="126"/>
      <c r="Q354" s="127">
        <f>Q315-Q352</f>
        <v>48986.670000000013</v>
      </c>
      <c r="R354" s="153"/>
      <c r="S354" s="129">
        <f>L354-Q354</f>
        <v>21861.119999999981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Juillet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05" t="s">
        <v>5</v>
      </c>
      <c r="E359" s="506"/>
      <c r="F359" s="507"/>
      <c r="G359" s="508"/>
      <c r="H359" s="506"/>
      <c r="I359" s="507"/>
      <c r="J359" s="508" t="s">
        <v>7</v>
      </c>
      <c r="K359" s="506"/>
      <c r="L359" s="507"/>
      <c r="M359" s="508"/>
      <c r="N359" s="507"/>
      <c r="O359" s="505" t="s">
        <v>8</v>
      </c>
      <c r="P359" s="506"/>
      <c r="Q359" s="507"/>
      <c r="R359" s="508" t="s">
        <v>9</v>
      </c>
      <c r="S359" s="509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86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86"/>
        <v>BoutiqueBoutique</v>
      </c>
      <c r="B361" s="11" t="s">
        <v>114</v>
      </c>
      <c r="C361" s="62" t="s">
        <v>114</v>
      </c>
      <c r="D361" s="233">
        <v>0</v>
      </c>
      <c r="E361" s="234">
        <f>IFERROR(F361/D361,0)</f>
        <v>0</v>
      </c>
      <c r="F361" s="235">
        <v>0</v>
      </c>
      <c r="G361" s="233"/>
      <c r="H361" s="234"/>
      <c r="I361" s="233"/>
      <c r="J361" s="236">
        <v>0</v>
      </c>
      <c r="K361" s="218">
        <f>IF(J361&lt;=0,0,L361/J361)</f>
        <v>0</v>
      </c>
      <c r="L361" s="237">
        <v>0</v>
      </c>
      <c r="M361" s="219"/>
      <c r="N361" s="220"/>
      <c r="O361" s="236">
        <v>0</v>
      </c>
      <c r="P361" s="218">
        <f>IFERROR(Q361/O361,0)</f>
        <v>0</v>
      </c>
      <c r="Q361" s="237"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86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86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 t="shared" ref="Q363" si="87"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86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86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86"/>
        <v>BoutiqueSalaires cadres</v>
      </c>
      <c r="B366" s="11" t="s">
        <v>114</v>
      </c>
      <c r="C366" s="102" t="s">
        <v>40</v>
      </c>
      <c r="D366" s="13"/>
      <c r="E366" s="13"/>
      <c r="F366" s="30">
        <v>0</v>
      </c>
      <c r="G366" s="41"/>
      <c r="H366" s="13"/>
      <c r="I366" s="30"/>
      <c r="J366" s="41"/>
      <c r="K366" s="13"/>
      <c r="L366" s="33">
        <v>0</v>
      </c>
      <c r="M366" s="41"/>
      <c r="N366" s="40"/>
      <c r="O366" s="41"/>
      <c r="P366" s="13"/>
      <c r="Q366" s="33"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86"/>
        <v>BoutiqueSalaires commis</v>
      </c>
      <c r="B367" s="11" t="s">
        <v>114</v>
      </c>
      <c r="C367" s="103" t="s">
        <v>41</v>
      </c>
      <c r="D367" s="81"/>
      <c r="E367" s="13"/>
      <c r="F367" s="22">
        <v>0</v>
      </c>
      <c r="G367" s="83"/>
      <c r="H367" s="13"/>
      <c r="I367" s="22"/>
      <c r="J367" s="41"/>
      <c r="K367" s="13"/>
      <c r="L367" s="22">
        <v>0</v>
      </c>
      <c r="M367" s="41"/>
      <c r="N367" s="59"/>
      <c r="O367" s="41"/>
      <c r="P367" s="13"/>
      <c r="Q367" s="22">
        <v>0</v>
      </c>
      <c r="R367" s="41"/>
      <c r="S367" s="85">
        <f t="shared" ref="S367:S395" si="88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86"/>
        <v>BoutiqueSalaires autres</v>
      </c>
      <c r="B368" s="11" t="s">
        <v>114</v>
      </c>
      <c r="C368" s="102" t="s">
        <v>42</v>
      </c>
      <c r="D368" s="104"/>
      <c r="E368" s="105"/>
      <c r="F368" s="30">
        <v>0</v>
      </c>
      <c r="G368" s="106"/>
      <c r="H368" s="105"/>
      <c r="I368" s="30"/>
      <c r="J368" s="107"/>
      <c r="K368" s="105"/>
      <c r="L368" s="33">
        <v>0</v>
      </c>
      <c r="M368" s="107"/>
      <c r="N368" s="109"/>
      <c r="O368" s="107"/>
      <c r="P368" s="105"/>
      <c r="Q368" s="33">
        <v>0</v>
      </c>
      <c r="R368" s="107"/>
      <c r="S368" s="110">
        <f t="shared" si="88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86"/>
        <v>BoutiqueSalaires spécialistes</v>
      </c>
      <c r="B369" s="11" t="s">
        <v>114</v>
      </c>
      <c r="C369" s="102" t="s">
        <v>43</v>
      </c>
      <c r="D369" s="81"/>
      <c r="E369" s="13"/>
      <c r="F369" s="30">
        <v>0</v>
      </c>
      <c r="G369" s="83"/>
      <c r="H369" s="13"/>
      <c r="I369" s="30"/>
      <c r="J369" s="41"/>
      <c r="K369" s="13"/>
      <c r="L369" s="33">
        <v>0</v>
      </c>
      <c r="M369" s="41"/>
      <c r="N369" s="59"/>
      <c r="O369" s="41"/>
      <c r="P369" s="13"/>
      <c r="Q369" s="33">
        <v>0</v>
      </c>
      <c r="R369" s="41"/>
      <c r="S369" s="85">
        <f t="shared" si="88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86"/>
        <v>Boutique[...]</v>
      </c>
      <c r="B370" s="11" t="s">
        <v>114</v>
      </c>
      <c r="C370" s="29" t="s">
        <v>19</v>
      </c>
      <c r="D370" s="81"/>
      <c r="E370" s="13"/>
      <c r="F370" s="30">
        <v>0</v>
      </c>
      <c r="G370" s="83"/>
      <c r="H370" s="13"/>
      <c r="I370" s="30"/>
      <c r="J370" s="41"/>
      <c r="K370" s="13"/>
      <c r="L370" s="33">
        <v>0</v>
      </c>
      <c r="M370" s="41"/>
      <c r="N370" s="59"/>
      <c r="O370" s="41"/>
      <c r="P370" s="13"/>
      <c r="Q370" s="33">
        <v>0</v>
      </c>
      <c r="R370" s="41"/>
      <c r="S370" s="85">
        <f t="shared" si="88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86"/>
        <v>Boutique[...]</v>
      </c>
      <c r="B371" s="11" t="s">
        <v>114</v>
      </c>
      <c r="C371" s="29" t="s">
        <v>19</v>
      </c>
      <c r="D371" s="81"/>
      <c r="E371" s="13"/>
      <c r="F371" s="30">
        <v>0</v>
      </c>
      <c r="G371" s="83"/>
      <c r="H371" s="13"/>
      <c r="I371" s="30"/>
      <c r="J371" s="41"/>
      <c r="K371" s="13"/>
      <c r="L371" s="33">
        <v>0</v>
      </c>
      <c r="M371" s="41"/>
      <c r="N371" s="59"/>
      <c r="O371" s="41"/>
      <c r="P371" s="13"/>
      <c r="Q371" s="33">
        <v>0</v>
      </c>
      <c r="R371" s="41"/>
      <c r="S371" s="85">
        <f t="shared" si="88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86"/>
        <v>Boutique[...]</v>
      </c>
      <c r="B372" s="11" t="s">
        <v>114</v>
      </c>
      <c r="C372" s="29" t="s">
        <v>19</v>
      </c>
      <c r="D372" s="81"/>
      <c r="E372" s="13"/>
      <c r="F372" s="30">
        <v>0</v>
      </c>
      <c r="G372" s="83"/>
      <c r="H372" s="13"/>
      <c r="I372" s="30"/>
      <c r="J372" s="41"/>
      <c r="K372" s="13"/>
      <c r="L372" s="33">
        <v>0</v>
      </c>
      <c r="M372" s="41"/>
      <c r="N372" s="59"/>
      <c r="O372" s="41"/>
      <c r="P372" s="13"/>
      <c r="Q372" s="33">
        <v>0</v>
      </c>
      <c r="R372" s="41"/>
      <c r="S372" s="85">
        <f t="shared" si="88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86"/>
        <v>BoutiqueSalaires en absences</v>
      </c>
      <c r="B373" s="11" t="s">
        <v>114</v>
      </c>
      <c r="C373" s="103" t="s">
        <v>44</v>
      </c>
      <c r="D373" s="81"/>
      <c r="E373" s="13"/>
      <c r="F373" s="22">
        <v>0</v>
      </c>
      <c r="G373" s="83"/>
      <c r="H373" s="13"/>
      <c r="I373" s="22"/>
      <c r="J373" s="41"/>
      <c r="K373" s="13"/>
      <c r="L373" s="22">
        <v>0</v>
      </c>
      <c r="M373" s="41"/>
      <c r="N373" s="59"/>
      <c r="O373" s="41"/>
      <c r="P373" s="13"/>
      <c r="Q373" s="22">
        <v>0</v>
      </c>
      <c r="R373" s="41"/>
      <c r="S373" s="85">
        <f t="shared" si="88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86"/>
        <v>BoutiqueDéduction à la source</v>
      </c>
      <c r="B374" s="11" t="s">
        <v>114</v>
      </c>
      <c r="C374" s="102" t="s">
        <v>45</v>
      </c>
      <c r="D374" s="104"/>
      <c r="E374" s="105"/>
      <c r="F374" s="30">
        <v>0</v>
      </c>
      <c r="G374" s="106"/>
      <c r="H374" s="105"/>
      <c r="I374" s="30"/>
      <c r="J374" s="107"/>
      <c r="K374" s="105"/>
      <c r="L374" s="33">
        <v>0</v>
      </c>
      <c r="M374" s="107"/>
      <c r="N374" s="109"/>
      <c r="O374" s="107"/>
      <c r="P374" s="105"/>
      <c r="Q374" s="33">
        <v>0</v>
      </c>
      <c r="R374" s="107"/>
      <c r="S374" s="110">
        <f t="shared" si="88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86"/>
        <v>BoutiqueBénéfices marginaux</v>
      </c>
      <c r="B375" s="11" t="s">
        <v>114</v>
      </c>
      <c r="C375" s="102" t="s">
        <v>46</v>
      </c>
      <c r="D375" s="81"/>
      <c r="E375" s="13"/>
      <c r="F375" s="30">
        <v>0</v>
      </c>
      <c r="G375" s="83"/>
      <c r="H375" s="13"/>
      <c r="I375" s="30"/>
      <c r="J375" s="41"/>
      <c r="K375" s="13"/>
      <c r="L375" s="33">
        <v>0</v>
      </c>
      <c r="M375" s="41"/>
      <c r="N375" s="59"/>
      <c r="O375" s="41"/>
      <c r="P375" s="13"/>
      <c r="Q375" s="33">
        <v>0</v>
      </c>
      <c r="R375" s="41"/>
      <c r="S375" s="85">
        <f t="shared" si="88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86"/>
        <v>BoutiqueCsst</v>
      </c>
      <c r="B376" s="11" t="s">
        <v>114</v>
      </c>
      <c r="C376" s="102" t="s">
        <v>47</v>
      </c>
      <c r="D376" s="81"/>
      <c r="E376" s="13"/>
      <c r="F376" s="30">
        <v>0</v>
      </c>
      <c r="G376" s="83"/>
      <c r="H376" s="13"/>
      <c r="I376" s="30"/>
      <c r="J376" s="41"/>
      <c r="K376" s="13"/>
      <c r="L376" s="33">
        <v>0</v>
      </c>
      <c r="M376" s="41"/>
      <c r="N376" s="59"/>
      <c r="O376" s="41"/>
      <c r="P376" s="13"/>
      <c r="Q376" s="33">
        <v>0</v>
      </c>
      <c r="R376" s="41"/>
      <c r="S376" s="85">
        <f t="shared" si="88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86"/>
        <v>Boutique[...]</v>
      </c>
      <c r="B377" s="11" t="s">
        <v>114</v>
      </c>
      <c r="C377" s="29" t="s">
        <v>19</v>
      </c>
      <c r="D377" s="87"/>
      <c r="E377" s="111"/>
      <c r="F377" s="30">
        <v>0</v>
      </c>
      <c r="G377" s="89"/>
      <c r="H377" s="111"/>
      <c r="I377" s="30"/>
      <c r="J377" s="23"/>
      <c r="K377" s="111"/>
      <c r="L377" s="33">
        <v>0</v>
      </c>
      <c r="M377" s="23"/>
      <c r="N377" s="91"/>
      <c r="O377" s="23"/>
      <c r="P377" s="111"/>
      <c r="Q377" s="33">
        <v>0</v>
      </c>
      <c r="R377" s="23"/>
      <c r="S377" s="92">
        <f t="shared" si="88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86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88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86"/>
        <v>BoutiquePublicité 2</v>
      </c>
      <c r="B379" s="11" t="s">
        <v>114</v>
      </c>
      <c r="C379" s="210" t="s">
        <v>49</v>
      </c>
      <c r="D379" s="81"/>
      <c r="E379" s="13"/>
      <c r="F379" s="30">
        <v>0</v>
      </c>
      <c r="G379" s="83"/>
      <c r="H379" s="13"/>
      <c r="I379" s="30"/>
      <c r="J379" s="41"/>
      <c r="K379" s="13"/>
      <c r="L379" s="33">
        <v>0</v>
      </c>
      <c r="M379" s="41"/>
      <c r="N379" s="59"/>
      <c r="O379" s="41"/>
      <c r="P379" s="13"/>
      <c r="Q379" s="33">
        <v>0</v>
      </c>
      <c r="R379" s="41"/>
      <c r="S379" s="85">
        <f t="shared" si="88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86"/>
        <v>BoutiqueService gratuit 2</v>
      </c>
      <c r="B380" s="11" t="s">
        <v>114</v>
      </c>
      <c r="C380" s="102" t="s">
        <v>50</v>
      </c>
      <c r="D380" s="81"/>
      <c r="E380" s="13"/>
      <c r="F380" s="30">
        <v>0</v>
      </c>
      <c r="G380" s="83"/>
      <c r="H380" s="13"/>
      <c r="I380" s="30"/>
      <c r="J380" s="41"/>
      <c r="K380" s="13"/>
      <c r="L380" s="33">
        <v>0</v>
      </c>
      <c r="M380" s="41"/>
      <c r="N380" s="59"/>
      <c r="O380" s="41"/>
      <c r="P380" s="13"/>
      <c r="Q380" s="33">
        <v>0</v>
      </c>
      <c r="R380" s="41"/>
      <c r="S380" s="85">
        <f t="shared" si="88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86"/>
        <v>BoutiqueFrais véhicules de cie</v>
      </c>
      <c r="B381" s="11" t="s">
        <v>114</v>
      </c>
      <c r="C381" s="103" t="s">
        <v>51</v>
      </c>
      <c r="D381" s="87"/>
      <c r="E381" s="111"/>
      <c r="F381" s="22">
        <v>0</v>
      </c>
      <c r="G381" s="89"/>
      <c r="H381" s="111"/>
      <c r="I381" s="22"/>
      <c r="J381" s="23"/>
      <c r="K381" s="111"/>
      <c r="L381" s="22">
        <v>0</v>
      </c>
      <c r="M381" s="23"/>
      <c r="N381" s="91"/>
      <c r="O381" s="23"/>
      <c r="P381" s="111"/>
      <c r="Q381" s="22">
        <v>0</v>
      </c>
      <c r="R381" s="23"/>
      <c r="S381" s="92">
        <f t="shared" si="88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86"/>
        <v>BoutiqueInformatique</v>
      </c>
      <c r="B382" s="11" t="s">
        <v>114</v>
      </c>
      <c r="C382" s="102" t="s">
        <v>52</v>
      </c>
      <c r="D382" s="81"/>
      <c r="E382" s="13"/>
      <c r="F382" s="30">
        <v>0</v>
      </c>
      <c r="G382" s="83"/>
      <c r="H382" s="13"/>
      <c r="I382" s="30"/>
      <c r="J382" s="41"/>
      <c r="K382" s="13"/>
      <c r="L382" s="33">
        <v>0</v>
      </c>
      <c r="M382" s="41"/>
      <c r="N382" s="59"/>
      <c r="O382" s="41"/>
      <c r="P382" s="13"/>
      <c r="Q382" s="33">
        <v>0</v>
      </c>
      <c r="R382" s="41"/>
      <c r="S382" s="85">
        <f t="shared" si="88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86"/>
        <v>BoutiqueFrais de déplacement</v>
      </c>
      <c r="B383" s="11" t="s">
        <v>114</v>
      </c>
      <c r="C383" s="102" t="s">
        <v>53</v>
      </c>
      <c r="D383" s="81"/>
      <c r="E383" s="13"/>
      <c r="F383" s="30">
        <v>0</v>
      </c>
      <c r="G383" s="83"/>
      <c r="H383" s="13"/>
      <c r="I383" s="30"/>
      <c r="J383" s="41"/>
      <c r="K383" s="13"/>
      <c r="L383" s="33">
        <v>0</v>
      </c>
      <c r="M383" s="41"/>
      <c r="N383" s="59"/>
      <c r="O383" s="41"/>
      <c r="P383" s="13"/>
      <c r="Q383" s="33">
        <v>0</v>
      </c>
      <c r="R383" s="41"/>
      <c r="S383" s="85">
        <f t="shared" si="88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86"/>
        <v>BoutiqueServices extérieurs</v>
      </c>
      <c r="B384" s="11" t="s">
        <v>114</v>
      </c>
      <c r="C384" s="102" t="s">
        <v>54</v>
      </c>
      <c r="D384" s="87"/>
      <c r="E384" s="111"/>
      <c r="F384" s="22">
        <v>0</v>
      </c>
      <c r="G384" s="89"/>
      <c r="H384" s="111"/>
      <c r="I384" s="22"/>
      <c r="J384" s="23"/>
      <c r="K384" s="111"/>
      <c r="L384" s="22">
        <v>0</v>
      </c>
      <c r="M384" s="23"/>
      <c r="N384" s="91"/>
      <c r="O384" s="23"/>
      <c r="P384" s="111"/>
      <c r="Q384" s="22">
        <v>0</v>
      </c>
      <c r="R384" s="23"/>
      <c r="S384" s="92">
        <f t="shared" si="88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86"/>
        <v>BoutiqueFournitures autres</v>
      </c>
      <c r="B385" s="11" t="s">
        <v>114</v>
      </c>
      <c r="C385" s="210" t="s">
        <v>55</v>
      </c>
      <c r="D385" s="81"/>
      <c r="E385" s="13"/>
      <c r="F385" s="30">
        <v>0</v>
      </c>
      <c r="G385" s="83"/>
      <c r="H385" s="13"/>
      <c r="I385" s="30"/>
      <c r="J385" s="41"/>
      <c r="K385" s="13"/>
      <c r="L385" s="33">
        <v>0</v>
      </c>
      <c r="M385" s="41"/>
      <c r="N385" s="59"/>
      <c r="O385" s="41"/>
      <c r="P385" s="13"/>
      <c r="Q385" s="33">
        <v>0</v>
      </c>
      <c r="R385" s="41"/>
      <c r="S385" s="85">
        <f t="shared" si="88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86"/>
        <v>BoutiqueUniformes</v>
      </c>
      <c r="B386" s="11" t="s">
        <v>114</v>
      </c>
      <c r="C386" s="102" t="s">
        <v>56</v>
      </c>
      <c r="D386" s="81"/>
      <c r="E386" s="13"/>
      <c r="F386" s="30">
        <v>0</v>
      </c>
      <c r="G386" s="83"/>
      <c r="H386" s="13"/>
      <c r="I386" s="30"/>
      <c r="J386" s="41"/>
      <c r="K386" s="13"/>
      <c r="L386" s="33">
        <v>0</v>
      </c>
      <c r="M386" s="41"/>
      <c r="N386" s="59"/>
      <c r="O386" s="41"/>
      <c r="P386" s="13"/>
      <c r="Q386" s="33">
        <v>0</v>
      </c>
      <c r="R386" s="41"/>
      <c r="S386" s="85">
        <f t="shared" si="88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86"/>
        <v>BoutiquePapeterie</v>
      </c>
      <c r="B387" s="11" t="s">
        <v>114</v>
      </c>
      <c r="C387" s="102" t="s">
        <v>57</v>
      </c>
      <c r="D387" s="81"/>
      <c r="E387" s="13"/>
      <c r="F387" s="30">
        <v>0</v>
      </c>
      <c r="G387" s="83"/>
      <c r="H387" s="13"/>
      <c r="I387" s="30"/>
      <c r="J387" s="41"/>
      <c r="K387" s="13"/>
      <c r="L387" s="33">
        <v>0</v>
      </c>
      <c r="M387" s="41"/>
      <c r="N387" s="59"/>
      <c r="O387" s="41"/>
      <c r="P387" s="13"/>
      <c r="Q387" s="33">
        <v>0</v>
      </c>
      <c r="R387" s="41"/>
      <c r="S387" s="85">
        <f t="shared" si="88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86"/>
        <v>BoutiqueTéléphone</v>
      </c>
      <c r="B388" s="11" t="s">
        <v>114</v>
      </c>
      <c r="C388" s="102" t="s">
        <v>58</v>
      </c>
      <c r="D388" s="81"/>
      <c r="E388" s="13"/>
      <c r="F388" s="30">
        <v>0</v>
      </c>
      <c r="G388" s="83"/>
      <c r="H388" s="13"/>
      <c r="I388" s="30"/>
      <c r="J388" s="41"/>
      <c r="K388" s="13"/>
      <c r="L388" s="33">
        <v>0</v>
      </c>
      <c r="M388" s="41"/>
      <c r="N388" s="59"/>
      <c r="O388" s="41"/>
      <c r="P388" s="13"/>
      <c r="Q388" s="33">
        <v>0</v>
      </c>
      <c r="R388" s="41"/>
      <c r="S388" s="85">
        <f t="shared" si="88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86"/>
        <v>BoutiqueFrais postaux</v>
      </c>
      <c r="B389" s="11" t="s">
        <v>114</v>
      </c>
      <c r="C389" s="102" t="s">
        <v>59</v>
      </c>
      <c r="D389" s="81"/>
      <c r="E389" s="13"/>
      <c r="F389" s="30">
        <v>0</v>
      </c>
      <c r="G389" s="83"/>
      <c r="H389" s="13"/>
      <c r="I389" s="30"/>
      <c r="J389" s="41"/>
      <c r="K389" s="13"/>
      <c r="L389" s="33">
        <v>0</v>
      </c>
      <c r="M389" s="41"/>
      <c r="N389" s="59"/>
      <c r="O389" s="41"/>
      <c r="P389" s="13"/>
      <c r="Q389" s="33">
        <v>0</v>
      </c>
      <c r="R389" s="41"/>
      <c r="S389" s="85">
        <f t="shared" si="88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86"/>
        <v>BoutiqueDivers</v>
      </c>
      <c r="B390" s="11" t="s">
        <v>114</v>
      </c>
      <c r="C390" s="102" t="s">
        <v>60</v>
      </c>
      <c r="D390" s="81"/>
      <c r="E390" s="13"/>
      <c r="F390" s="30">
        <v>0</v>
      </c>
      <c r="G390" s="83"/>
      <c r="H390" s="13"/>
      <c r="I390" s="30"/>
      <c r="J390" s="41"/>
      <c r="K390" s="13"/>
      <c r="L390" s="33">
        <v>0</v>
      </c>
      <c r="M390" s="41"/>
      <c r="N390" s="59"/>
      <c r="O390" s="41"/>
      <c r="P390" s="13"/>
      <c r="Q390" s="33">
        <v>0</v>
      </c>
      <c r="R390" s="41"/>
      <c r="S390" s="85">
        <f t="shared" si="88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86"/>
        <v>BoutiqueFormation</v>
      </c>
      <c r="B391" s="11" t="s">
        <v>114</v>
      </c>
      <c r="C391" s="102" t="s">
        <v>61</v>
      </c>
      <c r="D391" s="81"/>
      <c r="E391" s="13"/>
      <c r="F391" s="30">
        <v>0</v>
      </c>
      <c r="G391" s="83"/>
      <c r="H391" s="13"/>
      <c r="I391" s="30"/>
      <c r="J391" s="41"/>
      <c r="K391" s="13"/>
      <c r="L391" s="33">
        <v>0</v>
      </c>
      <c r="M391" s="41"/>
      <c r="N391" s="59"/>
      <c r="O391" s="41"/>
      <c r="P391" s="13"/>
      <c r="Q391" s="33">
        <v>0</v>
      </c>
      <c r="R391" s="41"/>
      <c r="S391" s="85">
        <f t="shared" si="88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86"/>
        <v>BoutiqueFrais bancaires</v>
      </c>
      <c r="B392" s="11" t="s">
        <v>114</v>
      </c>
      <c r="C392" s="102" t="s">
        <v>62</v>
      </c>
      <c r="D392" s="81"/>
      <c r="E392" s="13"/>
      <c r="F392" s="30">
        <v>0</v>
      </c>
      <c r="G392" s="83"/>
      <c r="H392" s="13"/>
      <c r="I392" s="30"/>
      <c r="J392" s="41"/>
      <c r="K392" s="13"/>
      <c r="L392" s="33">
        <v>0</v>
      </c>
      <c r="M392" s="41"/>
      <c r="N392" s="59"/>
      <c r="O392" s="41"/>
      <c r="P392" s="13"/>
      <c r="Q392" s="33">
        <v>0</v>
      </c>
      <c r="R392" s="41"/>
      <c r="S392" s="85">
        <f t="shared" si="88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86"/>
        <v>Boutique[...]</v>
      </c>
      <c r="B393" s="11" t="s">
        <v>114</v>
      </c>
      <c r="C393" s="102" t="s">
        <v>19</v>
      </c>
      <c r="D393" s="81"/>
      <c r="E393" s="13"/>
      <c r="F393" s="30">
        <v>0</v>
      </c>
      <c r="G393" s="83"/>
      <c r="H393" s="13"/>
      <c r="I393" s="30"/>
      <c r="J393" s="41"/>
      <c r="K393" s="13"/>
      <c r="L393" s="33">
        <v>0</v>
      </c>
      <c r="M393" s="41"/>
      <c r="N393" s="59"/>
      <c r="O393" s="41"/>
      <c r="P393" s="13"/>
      <c r="Q393" s="33">
        <v>0</v>
      </c>
      <c r="R393" s="41"/>
      <c r="S393" s="85">
        <f t="shared" si="88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86"/>
        <v>Boutique[...]</v>
      </c>
      <c r="B394" s="11" t="s">
        <v>114</v>
      </c>
      <c r="C394" s="102" t="s">
        <v>19</v>
      </c>
      <c r="D394" s="81"/>
      <c r="E394" s="13"/>
      <c r="F394" s="30">
        <v>0</v>
      </c>
      <c r="G394" s="83"/>
      <c r="H394" s="13"/>
      <c r="I394" s="30"/>
      <c r="J394" s="41"/>
      <c r="K394" s="13"/>
      <c r="L394" s="33">
        <v>0</v>
      </c>
      <c r="M394" s="41"/>
      <c r="N394" s="59"/>
      <c r="O394" s="41"/>
      <c r="P394" s="13"/>
      <c r="Q394" s="33">
        <v>0</v>
      </c>
      <c r="R394" s="41"/>
      <c r="S394" s="85">
        <f t="shared" si="88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86"/>
        <v>Boutique[...]</v>
      </c>
      <c r="B395" s="11" t="s">
        <v>114</v>
      </c>
      <c r="C395" s="102" t="s">
        <v>19</v>
      </c>
      <c r="D395" s="87"/>
      <c r="E395" s="111"/>
      <c r="F395" s="30">
        <v>0</v>
      </c>
      <c r="G395" s="89"/>
      <c r="H395" s="111"/>
      <c r="I395" s="30"/>
      <c r="J395" s="23"/>
      <c r="K395" s="111"/>
      <c r="L395" s="33">
        <v>0</v>
      </c>
      <c r="M395" s="23"/>
      <c r="N395" s="91"/>
      <c r="O395" s="23"/>
      <c r="P395" s="111"/>
      <c r="Q395" s="33">
        <v>0</v>
      </c>
      <c r="R395" s="23"/>
      <c r="S395" s="92">
        <f t="shared" si="88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97406.933471348544</v>
      </c>
      <c r="G402" s="13"/>
      <c r="H402" s="13"/>
      <c r="I402" s="13"/>
      <c r="J402" s="13"/>
      <c r="K402" s="13"/>
      <c r="L402" s="82">
        <f>L354+L290+L234</f>
        <v>105251.85999999999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1.0805376604013406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Juillet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13" t="s">
        <v>117</v>
      </c>
      <c r="Y405" s="511"/>
      <c r="Z405" s="514"/>
      <c r="AA405" s="510"/>
      <c r="AB405" s="511"/>
      <c r="AC405" s="514"/>
      <c r="AD405" s="510" t="s">
        <v>7</v>
      </c>
      <c r="AE405" s="511"/>
      <c r="AF405" s="514"/>
      <c r="AG405" s="510" t="s">
        <v>212</v>
      </c>
      <c r="AH405" s="511"/>
      <c r="AI405" s="514"/>
      <c r="AJ405" s="510" t="s">
        <v>118</v>
      </c>
      <c r="AK405" s="511"/>
      <c r="AL405" s="511"/>
      <c r="AM405" s="510" t="s">
        <v>119</v>
      </c>
      <c r="AN405" s="511"/>
      <c r="AO405" s="512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85" si="89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89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4439642.332058968</v>
      </c>
      <c r="AA407" s="261"/>
      <c r="AB407" s="261"/>
      <c r="AC407" s="262"/>
      <c r="AD407" s="263"/>
      <c r="AE407" s="264"/>
      <c r="AF407" s="264">
        <f>L5+L93+K195+K251+J315+J363</f>
        <v>5110733.7100000009</v>
      </c>
      <c r="AG407" s="263"/>
      <c r="AH407" s="264"/>
      <c r="AI407" s="265"/>
      <c r="AJ407" s="263"/>
      <c r="AK407" s="264"/>
      <c r="AL407" s="264">
        <f>Q5+Q93+P195+P251+O315+O363</f>
        <v>3552385.36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89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485200.76480110514</v>
      </c>
      <c r="AA408" s="269"/>
      <c r="AB408" s="269"/>
      <c r="AC408" s="270"/>
      <c r="AD408" s="271"/>
      <c r="AE408" s="272"/>
      <c r="AF408" s="272">
        <f>L27+L109+L195+L251+L315+L363</f>
        <v>479257.63999999996</v>
      </c>
      <c r="AG408" s="271"/>
      <c r="AH408" s="272">
        <f>AF408-Z408</f>
        <v>-5943.1248011051794</v>
      </c>
      <c r="AI408" s="273">
        <f>AH408/Z408</f>
        <v>-1.224879520447871E-2</v>
      </c>
      <c r="AJ408" s="271">
        <f>+AL408/AL407</f>
        <v>0.11745447290099169</v>
      </c>
      <c r="AK408" s="272"/>
      <c r="AL408" s="272">
        <f>Q27+Q109+Q195+Q251+Q315+Q363</f>
        <v>417243.54999999958</v>
      </c>
      <c r="AM408" s="274"/>
      <c r="AN408" s="272">
        <f>AF408-AL408</f>
        <v>62014.090000000375</v>
      </c>
      <c r="AO408" s="275">
        <f>IF(AL408=0,0,AN408/AL408)</f>
        <v>0.1486280375095084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89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89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90">Z410/(D$13+D$97)</f>
        <v>942.10730903501758</v>
      </c>
      <c r="Z410" s="278">
        <f t="shared" ref="Z410:Z416" si="91">+SUMIF($C:$C,$V410,F:F)</f>
        <v>39568.506979470738</v>
      </c>
      <c r="AA410" s="277"/>
      <c r="AB410" s="285"/>
      <c r="AC410" s="278"/>
      <c r="AD410" s="286"/>
      <c r="AE410" s="285">
        <f t="shared" ref="AE410:AE415" si="92">IF(AF410=0,0,AF410/(J$13+J$97))</f>
        <v>1021.3636</v>
      </c>
      <c r="AF410" s="278">
        <f t="shared" ref="AF410:AF416" si="93">+SUMIF($C:$C,$V410,L:L)</f>
        <v>51068.18</v>
      </c>
      <c r="AG410" s="279">
        <f t="shared" ref="AG410:AH425" si="94">AE410-Y410</f>
        <v>79.256290964982441</v>
      </c>
      <c r="AH410" s="280">
        <f t="shared" si="94"/>
        <v>11499.673020529262</v>
      </c>
      <c r="AI410" s="281">
        <f t="shared" ref="AI410:AI419" si="95">IF(Z410=0,0,AH410/Z410)</f>
        <v>0.29062691262259704</v>
      </c>
      <c r="AJ410" s="286"/>
      <c r="AK410" s="280">
        <f t="shared" ref="AK410:AK419" si="96">AL410/(O$13+O$97)</f>
        <v>928.81366666666668</v>
      </c>
      <c r="AL410" s="278">
        <f t="shared" ref="AL410:AL415" si="97">+SUMIF($C:$C,$V410,Q:Q)</f>
        <v>27864.41</v>
      </c>
      <c r="AM410" s="282">
        <f t="shared" ref="AM410:AM415" si="98">AE410-Y410</f>
        <v>79.256290964982441</v>
      </c>
      <c r="AN410" s="280">
        <f t="shared" ref="AN410:AN415" si="99">AF410-AL410</f>
        <v>23203.77</v>
      </c>
      <c r="AO410" s="287">
        <f t="shared" ref="AO410:AO432" si="100">IF(AL410=0,0,AN410/AL410)</f>
        <v>0.83273860813848199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89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90"/>
        <v>475.42857142857144</v>
      </c>
      <c r="Z411" s="262">
        <f t="shared" si="91"/>
        <v>19968</v>
      </c>
      <c r="AA411" s="261"/>
      <c r="AB411" s="289"/>
      <c r="AC411" s="262"/>
      <c r="AD411" s="290"/>
      <c r="AE411" s="289">
        <f t="shared" si="92"/>
        <v>116.32080000000001</v>
      </c>
      <c r="AF411" s="262">
        <f t="shared" si="93"/>
        <v>5816.04</v>
      </c>
      <c r="AG411" s="263">
        <f t="shared" si="94"/>
        <v>-359.10777142857143</v>
      </c>
      <c r="AH411" s="264">
        <f t="shared" si="94"/>
        <v>-14151.96</v>
      </c>
      <c r="AI411" s="291">
        <f t="shared" si="95"/>
        <v>-0.70873197115384612</v>
      </c>
      <c r="AJ411" s="290"/>
      <c r="AK411" s="264">
        <f t="shared" si="96"/>
        <v>823.69333333333338</v>
      </c>
      <c r="AL411" s="262">
        <f t="shared" si="97"/>
        <v>24710.800000000003</v>
      </c>
      <c r="AM411" s="266">
        <f t="shared" si="98"/>
        <v>-359.10777142857143</v>
      </c>
      <c r="AN411" s="264">
        <f t="shared" si="99"/>
        <v>-18894.760000000002</v>
      </c>
      <c r="AO411" s="292">
        <f t="shared" si="100"/>
        <v>-0.76463570584521745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89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90"/>
        <v>108.57142857142857</v>
      </c>
      <c r="Z412" s="278">
        <f t="shared" si="91"/>
        <v>4560</v>
      </c>
      <c r="AA412" s="277"/>
      <c r="AB412" s="285"/>
      <c r="AC412" s="278"/>
      <c r="AD412" s="286"/>
      <c r="AE412" s="285">
        <f t="shared" si="92"/>
        <v>180.27260000000001</v>
      </c>
      <c r="AF412" s="278">
        <f t="shared" si="93"/>
        <v>9013.630000000001</v>
      </c>
      <c r="AG412" s="279">
        <f t="shared" si="94"/>
        <v>71.701171428571442</v>
      </c>
      <c r="AH412" s="280">
        <f t="shared" si="94"/>
        <v>4453.630000000001</v>
      </c>
      <c r="AI412" s="281">
        <f t="shared" si="95"/>
        <v>0.97667324561403535</v>
      </c>
      <c r="AJ412" s="286"/>
      <c r="AK412" s="280">
        <f t="shared" si="96"/>
        <v>148.99933333333331</v>
      </c>
      <c r="AL412" s="278">
        <f t="shared" si="97"/>
        <v>4469.9799999999996</v>
      </c>
      <c r="AM412" s="282">
        <f t="shared" si="98"/>
        <v>71.701171428571442</v>
      </c>
      <c r="AN412" s="280">
        <f t="shared" si="99"/>
        <v>4543.6500000000015</v>
      </c>
      <c r="AO412" s="287">
        <f t="shared" si="100"/>
        <v>1.0164810580807973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89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90"/>
        <v>63.214285714285715</v>
      </c>
      <c r="Z413" s="278">
        <f t="shared" si="91"/>
        <v>2655</v>
      </c>
      <c r="AA413" s="277"/>
      <c r="AB413" s="285"/>
      <c r="AC413" s="278"/>
      <c r="AD413" s="286"/>
      <c r="AE413" s="285">
        <f t="shared" si="92"/>
        <v>119.501</v>
      </c>
      <c r="AF413" s="278">
        <f t="shared" si="93"/>
        <v>5975.05</v>
      </c>
      <c r="AG413" s="279">
        <f t="shared" si="94"/>
        <v>56.286714285714289</v>
      </c>
      <c r="AH413" s="280">
        <f t="shared" si="94"/>
        <v>3320.05</v>
      </c>
      <c r="AI413" s="281">
        <f t="shared" si="95"/>
        <v>1.2504896421845575</v>
      </c>
      <c r="AJ413" s="286"/>
      <c r="AK413" s="280">
        <f t="shared" si="96"/>
        <v>57.684666666666665</v>
      </c>
      <c r="AL413" s="278">
        <f t="shared" si="97"/>
        <v>1730.54</v>
      </c>
      <c r="AM413" s="282">
        <f t="shared" si="98"/>
        <v>56.286714285714289</v>
      </c>
      <c r="AN413" s="280">
        <f t="shared" si="99"/>
        <v>4244.51</v>
      </c>
      <c r="AO413" s="293">
        <f t="shared" si="100"/>
        <v>2.4527084031573962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89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90"/>
        <v>77.333333333333329</v>
      </c>
      <c r="Z414" s="262">
        <f t="shared" si="91"/>
        <v>3248</v>
      </c>
      <c r="AA414" s="261"/>
      <c r="AB414" s="289"/>
      <c r="AC414" s="262"/>
      <c r="AD414" s="290"/>
      <c r="AE414" s="289">
        <f t="shared" si="92"/>
        <v>65.207599999999999</v>
      </c>
      <c r="AF414" s="262">
        <f t="shared" si="93"/>
        <v>3260.38</v>
      </c>
      <c r="AG414" s="263">
        <f t="shared" si="94"/>
        <v>-12.125733333333329</v>
      </c>
      <c r="AH414" s="264">
        <f t="shared" si="94"/>
        <v>12.380000000000109</v>
      </c>
      <c r="AI414" s="291">
        <f t="shared" si="95"/>
        <v>3.8115763546798364E-3</v>
      </c>
      <c r="AJ414" s="290"/>
      <c r="AK414" s="264">
        <f t="shared" si="96"/>
        <v>279.80933333333337</v>
      </c>
      <c r="AL414" s="262">
        <f t="shared" si="97"/>
        <v>8394.2800000000007</v>
      </c>
      <c r="AM414" s="266">
        <f t="shared" si="98"/>
        <v>-12.125733333333329</v>
      </c>
      <c r="AN414" s="264">
        <f t="shared" si="99"/>
        <v>-5133.9000000000005</v>
      </c>
      <c r="AO414" s="292">
        <f t="shared" si="100"/>
        <v>-0.61159503852623454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89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90"/>
        <v>135.47965367965367</v>
      </c>
      <c r="Z415" s="278">
        <f t="shared" si="91"/>
        <v>5690.1454545454535</v>
      </c>
      <c r="AA415" s="281"/>
      <c r="AB415" s="285"/>
      <c r="AC415" s="278"/>
      <c r="AD415" s="286"/>
      <c r="AE415" s="285">
        <f t="shared" si="92"/>
        <v>94.314600000000013</v>
      </c>
      <c r="AF415" s="278">
        <f t="shared" si="93"/>
        <v>4715.7300000000005</v>
      </c>
      <c r="AG415" s="279">
        <f t="shared" si="94"/>
        <v>-41.165053679653653</v>
      </c>
      <c r="AH415" s="280">
        <f t="shared" si="94"/>
        <v>-974.41545454545303</v>
      </c>
      <c r="AI415" s="281">
        <f t="shared" si="95"/>
        <v>-0.17124614165479049</v>
      </c>
      <c r="AJ415" s="286"/>
      <c r="AK415" s="280">
        <f t="shared" si="96"/>
        <v>491.91500000000002</v>
      </c>
      <c r="AL415" s="278">
        <f t="shared" si="97"/>
        <v>14757.45</v>
      </c>
      <c r="AM415" s="282">
        <f t="shared" si="98"/>
        <v>-41.165053679653653</v>
      </c>
      <c r="AN415" s="280">
        <f t="shared" si="99"/>
        <v>-10041.720000000001</v>
      </c>
      <c r="AO415" s="287">
        <f t="shared" si="100"/>
        <v>-0.68045089090594923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si="89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90"/>
        <v>687.58696194936988</v>
      </c>
      <c r="Z416" s="278">
        <f t="shared" si="91"/>
        <v>28878.652401873533</v>
      </c>
      <c r="AA416" s="277"/>
      <c r="AB416" s="285"/>
      <c r="AC416" s="278"/>
      <c r="AD416" s="286"/>
      <c r="AE416" s="285">
        <f>IF(AF416=0,0,AF416/(J$13+J$13))</f>
        <v>686.79090909090917</v>
      </c>
      <c r="AF416" s="278">
        <f t="shared" si="93"/>
        <v>30218.800000000003</v>
      </c>
      <c r="AG416" s="279">
        <f t="shared" si="94"/>
        <v>-0.79605285846071183</v>
      </c>
      <c r="AH416" s="280">
        <f t="shared" si="94"/>
        <v>1340.1475981264703</v>
      </c>
      <c r="AI416" s="281">
        <f t="shared" si="95"/>
        <v>4.6406168109129869E-2</v>
      </c>
      <c r="AJ416" s="286"/>
      <c r="AK416" s="280">
        <f t="shared" si="96"/>
        <v>888.90733333333333</v>
      </c>
      <c r="AL416" s="278">
        <f>IFERROR(SUMIF($C:$C,$V416,Q:Q),0)</f>
        <v>26667.22</v>
      </c>
      <c r="AM416" s="282">
        <f>AE416-Y416</f>
        <v>-0.79605285846071183</v>
      </c>
      <c r="AN416" s="280">
        <f>AF416-AL416</f>
        <v>3551.5800000000017</v>
      </c>
      <c r="AO416" s="292">
        <f t="shared" si="100"/>
        <v>0.13318148648415551</v>
      </c>
      <c r="AP416" s="244"/>
      <c r="AQ416" s="470">
        <v>30219</v>
      </c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89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90"/>
        <v>0</v>
      </c>
      <c r="Z417" s="278">
        <f>IFERROR(SUMIF($C:$C,$V417,F:F),0)</f>
        <v>0</v>
      </c>
      <c r="AA417" s="277"/>
      <c r="AB417" s="285"/>
      <c r="AC417" s="278"/>
      <c r="AD417" s="286"/>
      <c r="AE417" s="285">
        <f>IF(AF417=0,0,AF417/(J$13+J$13))</f>
        <v>0</v>
      </c>
      <c r="AF417" s="278">
        <f>IFERROR(SUMIF($C:$C,$V417,L:L),0)</f>
        <v>0</v>
      </c>
      <c r="AG417" s="279">
        <f t="shared" si="94"/>
        <v>0</v>
      </c>
      <c r="AH417" s="280">
        <f t="shared" si="94"/>
        <v>0</v>
      </c>
      <c r="AI417" s="281">
        <f t="shared" si="95"/>
        <v>0</v>
      </c>
      <c r="AJ417" s="286"/>
      <c r="AK417" s="280">
        <f t="shared" si="96"/>
        <v>0</v>
      </c>
      <c r="AL417" s="278">
        <f>IFERROR(SUMIF($C:$C,$V417,Q:Q),0)</f>
        <v>0</v>
      </c>
      <c r="AM417" s="282">
        <f>AE417-Y417</f>
        <v>0</v>
      </c>
      <c r="AN417" s="280">
        <f>AF417-AL417</f>
        <v>0</v>
      </c>
      <c r="AO417" s="287">
        <f t="shared" si="100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89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90"/>
        <v>0</v>
      </c>
      <c r="Z418" s="278">
        <f>IFERROR(SUMIF($C:$C,$V418,F:F),0)</f>
        <v>0</v>
      </c>
      <c r="AA418" s="277"/>
      <c r="AB418" s="285"/>
      <c r="AC418" s="278"/>
      <c r="AD418" s="286"/>
      <c r="AE418" s="285">
        <f>IF(AF418=0,0,AF418/(J$13+J$13))</f>
        <v>0</v>
      </c>
      <c r="AF418" s="278">
        <f>IFERROR(SUMIF($C:$C,$V418,L:L),0)</f>
        <v>0</v>
      </c>
      <c r="AG418" s="279">
        <f t="shared" si="94"/>
        <v>0</v>
      </c>
      <c r="AH418" s="280">
        <f t="shared" si="94"/>
        <v>0</v>
      </c>
      <c r="AI418" s="281">
        <f t="shared" si="95"/>
        <v>0</v>
      </c>
      <c r="AJ418" s="286"/>
      <c r="AK418" s="280">
        <f t="shared" si="96"/>
        <v>0</v>
      </c>
      <c r="AL418" s="278">
        <f>IFERROR(SUMIF($C:$C,$V418,Q:Q),0)</f>
        <v>0</v>
      </c>
      <c r="AM418" s="282">
        <f>AE418-Y418</f>
        <v>0</v>
      </c>
      <c r="AN418" s="280">
        <f>AF418-AL418</f>
        <v>0</v>
      </c>
      <c r="AO418" s="287">
        <f t="shared" si="100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89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90"/>
        <v>0</v>
      </c>
      <c r="Z419" s="278">
        <f>IFERROR(SUMIF($C:$C,$V419,F:F),0)</f>
        <v>0</v>
      </c>
      <c r="AA419" s="277"/>
      <c r="AB419" s="285"/>
      <c r="AC419" s="278"/>
      <c r="AD419" s="286"/>
      <c r="AE419" s="285">
        <f>IF(AF419=0,0,AF419/(J$13+J$13))</f>
        <v>0</v>
      </c>
      <c r="AF419" s="278">
        <f>IFERROR(SUMIF($C:$C,$V419,L:L),0)</f>
        <v>0</v>
      </c>
      <c r="AG419" s="279">
        <f t="shared" si="94"/>
        <v>0</v>
      </c>
      <c r="AH419" s="280">
        <f t="shared" si="94"/>
        <v>0</v>
      </c>
      <c r="AI419" s="281">
        <f t="shared" si="95"/>
        <v>0</v>
      </c>
      <c r="AJ419" s="286"/>
      <c r="AK419" s="280">
        <f t="shared" si="96"/>
        <v>0</v>
      </c>
      <c r="AL419" s="278">
        <f>IFERROR(SUMIF($C:$C,$V419,Q:Q),0)</f>
        <v>0</v>
      </c>
      <c r="AM419" s="282">
        <f>AE419-Y419</f>
        <v>0</v>
      </c>
      <c r="AN419" s="280">
        <f>AF419-AL419</f>
        <v>0</v>
      </c>
      <c r="AO419" s="287">
        <f t="shared" si="100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89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0.21551554000281647</v>
      </c>
      <c r="Y420" s="295"/>
      <c r="Z420" s="297">
        <f>SUM(Z410:Z419)</f>
        <v>104568.30483588972</v>
      </c>
      <c r="AA420" s="296"/>
      <c r="AB420" s="295"/>
      <c r="AC420" s="297"/>
      <c r="AD420" s="298">
        <f>AF420/AF408</f>
        <v>0.22966313067017569</v>
      </c>
      <c r="AE420" s="295"/>
      <c r="AF420" s="297">
        <f>SUM(AF410:AF419)</f>
        <v>110067.81000000001</v>
      </c>
      <c r="AG420" s="299"/>
      <c r="AH420" s="300">
        <f t="shared" si="94"/>
        <v>5499.5051641102909</v>
      </c>
      <c r="AI420" s="296">
        <f>AH420/Z420</f>
        <v>5.2592467409137554E-2</v>
      </c>
      <c r="AJ420" s="298">
        <f>IF($AL$408=0,0,AL420/$AL$408)</f>
        <v>0.2602668872892106</v>
      </c>
      <c r="AK420" s="295"/>
      <c r="AL420" s="297">
        <f>SUM(AL410:AL419)</f>
        <v>108594.68000000001</v>
      </c>
      <c r="AM420" s="301"/>
      <c r="AN420" s="300">
        <f t="shared" ref="AN420:AN432" si="101">AF420-AL420</f>
        <v>1473.1300000000047</v>
      </c>
      <c r="AO420" s="275">
        <f t="shared" si="100"/>
        <v>1.3565397494610274E-2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89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v>17588.122605363984</v>
      </c>
      <c r="AA421" s="277"/>
      <c r="AB421" s="277"/>
      <c r="AC421" s="278"/>
      <c r="AD421" s="286"/>
      <c r="AE421" s="285"/>
      <c r="AF421" s="278">
        <v>17950.030000000002</v>
      </c>
      <c r="AG421" s="279"/>
      <c r="AH421" s="280">
        <f t="shared" si="94"/>
        <v>361.90739463601858</v>
      </c>
      <c r="AI421" s="281">
        <f t="shared" ref="AI421:AI433" si="102">IF(Z421=0,0,AH421/Z421)</f>
        <v>2.0576806448099522E-2</v>
      </c>
      <c r="AJ421" s="286"/>
      <c r="AK421" s="277"/>
      <c r="AL421" s="278">
        <v>13081.7</v>
      </c>
      <c r="AM421" s="282"/>
      <c r="AN421" s="280">
        <f t="shared" si="101"/>
        <v>4868.3300000000017</v>
      </c>
      <c r="AO421" s="287">
        <f t="shared" si="100"/>
        <v>0.37214811530611475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89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103">+SUMIF($C:$C,$V422,F:F)</f>
        <v>35451.725028030232</v>
      </c>
      <c r="AA422" s="277"/>
      <c r="AB422" s="277"/>
      <c r="AC422" s="278"/>
      <c r="AD422" s="286"/>
      <c r="AE422" s="285"/>
      <c r="AF422" s="278">
        <f t="shared" ref="AF422:AF433" si="104">+SUMIF($C:$C,$V422,L:L)</f>
        <v>31540.899999999998</v>
      </c>
      <c r="AG422" s="279"/>
      <c r="AH422" s="280">
        <f t="shared" si="94"/>
        <v>-3910.8250280302345</v>
      </c>
      <c r="AI422" s="281">
        <f t="shared" si="102"/>
        <v>-0.11031409684403523</v>
      </c>
      <c r="AJ422" s="286"/>
      <c r="AK422" s="277"/>
      <c r="AL422" s="278">
        <f t="shared" ref="AL422:AL430" si="105">+SUMIF($C:$C,$V422,Q:Q)</f>
        <v>31689.399999999998</v>
      </c>
      <c r="AM422" s="282"/>
      <c r="AN422" s="280">
        <f t="shared" si="101"/>
        <v>-148.5</v>
      </c>
      <c r="AO422" s="287">
        <f t="shared" si="100"/>
        <v>-4.6861095508277219E-3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89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103"/>
        <v>15488.606263103642</v>
      </c>
      <c r="AA423" s="261"/>
      <c r="AB423" s="261"/>
      <c r="AC423" s="262"/>
      <c r="AD423" s="290"/>
      <c r="AE423" s="289"/>
      <c r="AF423" s="262">
        <f t="shared" si="104"/>
        <v>8428.24</v>
      </c>
      <c r="AG423" s="263"/>
      <c r="AH423" s="264">
        <f t="shared" si="94"/>
        <v>-7060.3662631036423</v>
      </c>
      <c r="AI423" s="291">
        <f t="shared" si="102"/>
        <v>-0.45584258151894358</v>
      </c>
      <c r="AJ423" s="290"/>
      <c r="AK423" s="261"/>
      <c r="AL423" s="262">
        <f t="shared" si="105"/>
        <v>18496.57</v>
      </c>
      <c r="AM423" s="266"/>
      <c r="AN423" s="264">
        <f t="shared" si="101"/>
        <v>-10068.33</v>
      </c>
      <c r="AO423" s="267">
        <f t="shared" si="100"/>
        <v>-0.54433497670108566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89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103"/>
        <v>34145.253987622178</v>
      </c>
      <c r="AA424" s="277"/>
      <c r="AB424" s="277"/>
      <c r="AC424" s="278"/>
      <c r="AD424" s="286"/>
      <c r="AE424" s="285"/>
      <c r="AF424" s="278">
        <f t="shared" si="104"/>
        <v>30531.93</v>
      </c>
      <c r="AG424" s="279"/>
      <c r="AH424" s="280">
        <f t="shared" si="94"/>
        <v>-3613.3239876221778</v>
      </c>
      <c r="AI424" s="281">
        <f t="shared" si="102"/>
        <v>-0.10582214409452118</v>
      </c>
      <c r="AJ424" s="286"/>
      <c r="AK424" s="277"/>
      <c r="AL424" s="278">
        <f t="shared" si="105"/>
        <v>21781.87</v>
      </c>
      <c r="AM424" s="282"/>
      <c r="AN424" s="280">
        <f t="shared" si="101"/>
        <v>8750.0600000000013</v>
      </c>
      <c r="AO424" s="287">
        <f t="shared" si="100"/>
        <v>0.40171298423872703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89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103"/>
        <v>15636.432950191571</v>
      </c>
      <c r="AA425" s="277"/>
      <c r="AB425" s="277"/>
      <c r="AC425" s="278"/>
      <c r="AD425" s="286"/>
      <c r="AE425" s="285"/>
      <c r="AF425" s="278">
        <f t="shared" si="104"/>
        <v>12723.46</v>
      </c>
      <c r="AG425" s="279"/>
      <c r="AH425" s="280">
        <f t="shared" si="94"/>
        <v>-2912.9729501915717</v>
      </c>
      <c r="AI425" s="281">
        <f t="shared" si="102"/>
        <v>-0.18629395588307007</v>
      </c>
      <c r="AJ425" s="286"/>
      <c r="AK425" s="277"/>
      <c r="AL425" s="278">
        <f t="shared" si="105"/>
        <v>14553.25</v>
      </c>
      <c r="AM425" s="282"/>
      <c r="AN425" s="280">
        <f t="shared" si="101"/>
        <v>-1829.7900000000009</v>
      </c>
      <c r="AO425" s="287">
        <f t="shared" si="100"/>
        <v>-0.12573067871437657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89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103"/>
        <v>0</v>
      </c>
      <c r="AA426" s="277"/>
      <c r="AB426" s="277"/>
      <c r="AC426" s="280"/>
      <c r="AD426" s="286"/>
      <c r="AE426" s="285"/>
      <c r="AF426" s="278">
        <f t="shared" si="104"/>
        <v>0</v>
      </c>
      <c r="AG426" s="279"/>
      <c r="AH426" s="280">
        <f t="shared" ref="AH426:AH458" si="106">AF426-Z426</f>
        <v>0</v>
      </c>
      <c r="AI426" s="281">
        <f t="shared" si="102"/>
        <v>0</v>
      </c>
      <c r="AJ426" s="286"/>
      <c r="AK426" s="277"/>
      <c r="AL426" s="278">
        <f t="shared" si="105"/>
        <v>0</v>
      </c>
      <c r="AM426" s="282"/>
      <c r="AN426" s="280">
        <f t="shared" si="101"/>
        <v>0</v>
      </c>
      <c r="AO426" s="287">
        <f t="shared" si="100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89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103"/>
        <v>0</v>
      </c>
      <c r="AA427" s="277"/>
      <c r="AB427" s="277"/>
      <c r="AC427" s="280"/>
      <c r="AD427" s="286"/>
      <c r="AE427" s="285"/>
      <c r="AF427" s="278">
        <f t="shared" si="104"/>
        <v>0</v>
      </c>
      <c r="AG427" s="279"/>
      <c r="AH427" s="280">
        <f t="shared" si="106"/>
        <v>0</v>
      </c>
      <c r="AI427" s="281">
        <f t="shared" si="102"/>
        <v>0</v>
      </c>
      <c r="AJ427" s="286"/>
      <c r="AK427" s="277"/>
      <c r="AL427" s="278">
        <f t="shared" si="105"/>
        <v>0</v>
      </c>
      <c r="AM427" s="282"/>
      <c r="AN427" s="280">
        <f t="shared" si="101"/>
        <v>0</v>
      </c>
      <c r="AO427" s="287">
        <f t="shared" si="100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89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103"/>
        <v>0</v>
      </c>
      <c r="AA428" s="277"/>
      <c r="AB428" s="277"/>
      <c r="AC428" s="280"/>
      <c r="AD428" s="286"/>
      <c r="AE428" s="285"/>
      <c r="AF428" s="278">
        <f t="shared" si="104"/>
        <v>0</v>
      </c>
      <c r="AG428" s="279"/>
      <c r="AH428" s="280">
        <f t="shared" si="106"/>
        <v>0</v>
      </c>
      <c r="AI428" s="281">
        <f t="shared" si="102"/>
        <v>0</v>
      </c>
      <c r="AJ428" s="286"/>
      <c r="AK428" s="277"/>
      <c r="AL428" s="278">
        <f t="shared" si="105"/>
        <v>0</v>
      </c>
      <c r="AM428" s="282"/>
      <c r="AN428" s="280">
        <f t="shared" si="101"/>
        <v>0</v>
      </c>
      <c r="AO428" s="287">
        <f t="shared" si="100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89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103"/>
        <v>31904.474798770221</v>
      </c>
      <c r="AA429" s="261"/>
      <c r="AB429" s="261"/>
      <c r="AC429" s="262"/>
      <c r="AD429" s="290"/>
      <c r="AE429" s="289"/>
      <c r="AF429" s="262">
        <f t="shared" si="104"/>
        <v>26424.649999999998</v>
      </c>
      <c r="AG429" s="263"/>
      <c r="AH429" s="264">
        <f t="shared" si="106"/>
        <v>-5479.8247987702234</v>
      </c>
      <c r="AI429" s="291">
        <f t="shared" si="102"/>
        <v>-0.17175724826479347</v>
      </c>
      <c r="AJ429" s="290"/>
      <c r="AK429" s="261"/>
      <c r="AL429" s="262">
        <f t="shared" si="105"/>
        <v>33318.42</v>
      </c>
      <c r="AM429" s="266"/>
      <c r="AN429" s="264">
        <f t="shared" si="101"/>
        <v>-6893.77</v>
      </c>
      <c r="AO429" s="292">
        <f t="shared" si="100"/>
        <v>-0.20690566959657752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89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103"/>
        <v>30221.450976722794</v>
      </c>
      <c r="AA430" s="277"/>
      <c r="AB430" s="277"/>
      <c r="AC430" s="278"/>
      <c r="AD430" s="286"/>
      <c r="AE430" s="285"/>
      <c r="AF430" s="278">
        <f t="shared" si="104"/>
        <v>31089.11</v>
      </c>
      <c r="AG430" s="279"/>
      <c r="AH430" s="280">
        <f t="shared" si="106"/>
        <v>867.65902327720687</v>
      </c>
      <c r="AI430" s="281">
        <f>IF(Z430=0,0,AH430/Z430)</f>
        <v>2.8710038573114719E-2</v>
      </c>
      <c r="AJ430" s="286"/>
      <c r="AK430" s="277"/>
      <c r="AL430" s="278">
        <f t="shared" si="105"/>
        <v>31440.269999999997</v>
      </c>
      <c r="AM430" s="282"/>
      <c r="AN430" s="280">
        <f t="shared" si="101"/>
        <v>-351.15999999999622</v>
      </c>
      <c r="AO430" s="287">
        <f t="shared" si="100"/>
        <v>-1.1169115277953919E-2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89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103"/>
        <v>22028.803506530039</v>
      </c>
      <c r="AA431" s="277"/>
      <c r="AB431" s="277"/>
      <c r="AC431" s="278"/>
      <c r="AD431" s="286"/>
      <c r="AE431" s="285"/>
      <c r="AF431" s="278">
        <f t="shared" si="104"/>
        <v>16104.79</v>
      </c>
      <c r="AG431" s="279"/>
      <c r="AH431" s="280">
        <f t="shared" si="106"/>
        <v>-5924.0135065300383</v>
      </c>
      <c r="AI431" s="281">
        <f t="shared" si="102"/>
        <v>-0.26892125597170868</v>
      </c>
      <c r="AJ431" s="286"/>
      <c r="AK431" s="277"/>
      <c r="AL431" s="278">
        <f>IFERROR(SUMIF($C:$C,$V431,Q:Q),0)</f>
        <v>17861.669999999998</v>
      </c>
      <c r="AM431" s="282"/>
      <c r="AN431" s="280">
        <f t="shared" si="101"/>
        <v>-1756.8799999999974</v>
      </c>
      <c r="AO431" s="287">
        <f t="shared" si="100"/>
        <v>-9.8360343685668677E-2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89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103"/>
        <v>5923.4043914376671</v>
      </c>
      <c r="AA432" s="277"/>
      <c r="AB432" s="277"/>
      <c r="AC432" s="278"/>
      <c r="AD432" s="286"/>
      <c r="AE432" s="285"/>
      <c r="AF432" s="278">
        <f t="shared" si="104"/>
        <v>4668.34</v>
      </c>
      <c r="AG432" s="279"/>
      <c r="AH432" s="280">
        <f t="shared" si="106"/>
        <v>-1255.0643914376669</v>
      </c>
      <c r="AI432" s="304">
        <f t="shared" si="102"/>
        <v>-0.21188227385789724</v>
      </c>
      <c r="AJ432" s="286"/>
      <c r="AK432" s="277"/>
      <c r="AL432" s="278">
        <f>IFERROR(SUMIF($C:$C,$V432,Q:Q),0)</f>
        <v>6436.9299999999994</v>
      </c>
      <c r="AM432" s="282"/>
      <c r="AN432" s="280">
        <f t="shared" si="101"/>
        <v>-1768.5899999999992</v>
      </c>
      <c r="AO432" s="292">
        <f t="shared" si="100"/>
        <v>-0.2747567551612336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89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104"/>
        <v>0</v>
      </c>
      <c r="AG433" s="279"/>
      <c r="AH433" s="280">
        <f t="shared" si="106"/>
        <v>0</v>
      </c>
      <c r="AI433" s="281">
        <f t="shared" si="102"/>
        <v>0</v>
      </c>
      <c r="AJ433" s="286"/>
      <c r="AK433" s="277"/>
      <c r="AL433" s="278">
        <f>IFERROR(SUMIF($C:$C,$V433,Q:Q),0)</f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89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0.42948875934520714</v>
      </c>
      <c r="Y434" s="295"/>
      <c r="Z434" s="297">
        <f>SUM(Z421:Z433)</f>
        <v>208388.27450777229</v>
      </c>
      <c r="AA434" s="296"/>
      <c r="AB434" s="295"/>
      <c r="AC434" s="297"/>
      <c r="AD434" s="298">
        <f>AF434/AF408</f>
        <v>0.37445715002060276</v>
      </c>
      <c r="AE434" s="305"/>
      <c r="AF434" s="297">
        <f>SUM(AF421:AF433)</f>
        <v>179461.45</v>
      </c>
      <c r="AG434" s="306"/>
      <c r="AH434" s="300">
        <f t="shared" si="106"/>
        <v>-28926.824507772282</v>
      </c>
      <c r="AI434" s="296">
        <f>AH434/Z434</f>
        <v>-0.13881215042496739</v>
      </c>
      <c r="AJ434" s="298">
        <f>IF($AL$408=0,0,AL434/$AL$408)</f>
        <v>0.45215816997051278</v>
      </c>
      <c r="AK434" s="295"/>
      <c r="AL434" s="297">
        <f>SUM(AL421:AL433)</f>
        <v>188660.07999999996</v>
      </c>
      <c r="AM434" s="307"/>
      <c r="AN434" s="300">
        <f t="shared" ref="AN434:AN448" si="107">AF434-AL434</f>
        <v>-9198.6299999999464</v>
      </c>
      <c r="AO434" s="275">
        <f>IF(AL434=0,0,AN434/AL434)</f>
        <v>-4.8757691611282836E-2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89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108">+SUMIF($C:$C,$V435,F:F)</f>
        <v>3323.2611881586454</v>
      </c>
      <c r="AA435" s="310"/>
      <c r="AB435" s="310"/>
      <c r="AC435" s="311"/>
      <c r="AD435" s="312"/>
      <c r="AE435" s="313"/>
      <c r="AF435" s="311">
        <f t="shared" ref="AF435:AF452" si="109">+SUMIF($C:$C,$V435,L:L)</f>
        <v>1122.4000000000001</v>
      </c>
      <c r="AG435" s="312"/>
      <c r="AH435" s="314">
        <f t="shared" si="106"/>
        <v>-2200.8611881586453</v>
      </c>
      <c r="AI435" s="315">
        <f t="shared" ref="AI435:AI452" si="110">IF(Z435=0,0,AH435/Z435)</f>
        <v>-0.66225946850060857</v>
      </c>
      <c r="AJ435" s="312"/>
      <c r="AK435" s="310"/>
      <c r="AL435" s="311">
        <f t="shared" ref="AL435:AL449" si="111">+SUMIF($C:$C,$V435,Q:Q)</f>
        <v>7114.8</v>
      </c>
      <c r="AM435" s="316"/>
      <c r="AN435" s="314">
        <f t="shared" si="107"/>
        <v>-5992.4</v>
      </c>
      <c r="AO435" s="283">
        <f t="shared" ref="AO435:AO448" si="112">IF(AL435=0,0,AN435/AL435)</f>
        <v>-0.84224433575082913</v>
      </c>
      <c r="AP435" s="244"/>
      <c r="AQ435" s="244">
        <f>972+150</f>
        <v>1122</v>
      </c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89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108"/>
        <v>4375</v>
      </c>
      <c r="AA436" s="277"/>
      <c r="AB436" s="277"/>
      <c r="AC436" s="278"/>
      <c r="AD436" s="286"/>
      <c r="AE436" s="285"/>
      <c r="AF436" s="278">
        <f t="shared" si="109"/>
        <v>5028.84</v>
      </c>
      <c r="AG436" s="279"/>
      <c r="AH436" s="280">
        <f t="shared" si="106"/>
        <v>653.84000000000015</v>
      </c>
      <c r="AI436" s="281">
        <f t="shared" si="110"/>
        <v>0.14944914285714289</v>
      </c>
      <c r="AJ436" s="286"/>
      <c r="AK436" s="277"/>
      <c r="AL436" s="278">
        <f t="shared" si="111"/>
        <v>4203.25</v>
      </c>
      <c r="AM436" s="282"/>
      <c r="AN436" s="280">
        <f t="shared" si="107"/>
        <v>825.59000000000015</v>
      </c>
      <c r="AO436" s="287">
        <f t="shared" si="112"/>
        <v>0.19641705822875161</v>
      </c>
      <c r="AP436" s="244"/>
      <c r="AQ436" s="244">
        <f>2112+2906+10</f>
        <v>5028</v>
      </c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89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108"/>
        <v>15077</v>
      </c>
      <c r="AA437" s="261"/>
      <c r="AB437" s="261"/>
      <c r="AC437" s="262"/>
      <c r="AD437" s="290"/>
      <c r="AE437" s="289"/>
      <c r="AF437" s="262">
        <f t="shared" si="109"/>
        <v>14646.769999999999</v>
      </c>
      <c r="AG437" s="263"/>
      <c r="AH437" s="264">
        <f t="shared" si="106"/>
        <v>-430.23000000000138</v>
      </c>
      <c r="AI437" s="291">
        <f t="shared" si="110"/>
        <v>-2.8535517675930315E-2</v>
      </c>
      <c r="AJ437" s="290"/>
      <c r="AK437" s="261"/>
      <c r="AL437" s="262">
        <f t="shared" si="111"/>
        <v>23145.159999999993</v>
      </c>
      <c r="AM437" s="266"/>
      <c r="AN437" s="264">
        <f t="shared" si="107"/>
        <v>-8498.389999999994</v>
      </c>
      <c r="AO437" s="267">
        <f t="shared" si="112"/>
        <v>-0.36717784625381705</v>
      </c>
      <c r="AP437" s="244"/>
      <c r="AQ437" s="480">
        <v>14647</v>
      </c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89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108"/>
        <v>22567.753333333334</v>
      </c>
      <c r="AA438" s="277"/>
      <c r="AB438" s="277"/>
      <c r="AC438" s="278"/>
      <c r="AD438" s="286"/>
      <c r="AE438" s="285"/>
      <c r="AF438" s="278">
        <f t="shared" si="109"/>
        <v>23726.239999999998</v>
      </c>
      <c r="AG438" s="279"/>
      <c r="AH438" s="280">
        <f>AF438-Z438</f>
        <v>1158.486666666664</v>
      </c>
      <c r="AI438" s="281">
        <f t="shared" si="110"/>
        <v>5.1333717165170357E-2</v>
      </c>
      <c r="AJ438" s="286"/>
      <c r="AK438" s="277"/>
      <c r="AL438" s="278">
        <f t="shared" si="111"/>
        <v>14355.36</v>
      </c>
      <c r="AM438" s="282"/>
      <c r="AN438" s="280">
        <f t="shared" si="107"/>
        <v>9370.8799999999974</v>
      </c>
      <c r="AO438" s="287">
        <f t="shared" si="112"/>
        <v>0.65277917098561078</v>
      </c>
      <c r="AP438" s="480"/>
      <c r="AQ438" s="244">
        <f>24761-2405+1000+370</f>
        <v>23726</v>
      </c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89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108"/>
        <v>4158.333333333333</v>
      </c>
      <c r="AA439" s="277"/>
      <c r="AB439" s="277"/>
      <c r="AC439" s="278"/>
      <c r="AD439" s="286"/>
      <c r="AE439" s="285"/>
      <c r="AF439" s="278">
        <f t="shared" si="109"/>
        <v>7873.1399999999994</v>
      </c>
      <c r="AG439" s="279"/>
      <c r="AH439" s="280">
        <f t="shared" si="106"/>
        <v>3714.8066666666664</v>
      </c>
      <c r="AI439" s="281">
        <f t="shared" si="110"/>
        <v>0.89334028056112225</v>
      </c>
      <c r="AJ439" s="286"/>
      <c r="AK439" s="277"/>
      <c r="AL439" s="278">
        <f t="shared" si="111"/>
        <v>2153.08</v>
      </c>
      <c r="AM439" s="282"/>
      <c r="AN439" s="280">
        <f t="shared" si="107"/>
        <v>5720.0599999999995</v>
      </c>
      <c r="AO439" s="287">
        <f t="shared" si="112"/>
        <v>2.6566871644342056</v>
      </c>
      <c r="AP439" s="480"/>
      <c r="AQ439" s="244">
        <v>7873</v>
      </c>
      <c r="AR439" s="244" t="s">
        <v>258</v>
      </c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89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108"/>
        <v>9088.7133333333331</v>
      </c>
      <c r="AA440" s="277"/>
      <c r="AB440" s="277"/>
      <c r="AC440" s="278"/>
      <c r="AD440" s="286"/>
      <c r="AE440" s="285"/>
      <c r="AF440" s="278">
        <f t="shared" si="109"/>
        <v>24418.9</v>
      </c>
      <c r="AG440" s="279"/>
      <c r="AH440" s="280">
        <f t="shared" si="106"/>
        <v>15330.186666666668</v>
      </c>
      <c r="AI440" s="281">
        <f t="shared" si="110"/>
        <v>1.6867279343537445</v>
      </c>
      <c r="AJ440" s="286"/>
      <c r="AK440" s="277"/>
      <c r="AL440" s="278">
        <f t="shared" si="111"/>
        <v>8416.9</v>
      </c>
      <c r="AM440" s="282"/>
      <c r="AN440" s="280">
        <f t="shared" si="107"/>
        <v>16002.000000000002</v>
      </c>
      <c r="AO440" s="287">
        <f t="shared" si="112"/>
        <v>1.9011750169302239</v>
      </c>
      <c r="AP440" s="244"/>
      <c r="AQ440" s="480">
        <v>24419</v>
      </c>
      <c r="AR440" s="480" t="s">
        <v>259</v>
      </c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108"/>
        <v>0</v>
      </c>
      <c r="AA441" s="318"/>
      <c r="AB441" s="318"/>
      <c r="AC441" s="319"/>
      <c r="AD441" s="320"/>
      <c r="AE441" s="321"/>
      <c r="AF441" s="498">
        <f t="shared" si="109"/>
        <v>0</v>
      </c>
      <c r="AG441" s="322"/>
      <c r="AH441" s="323">
        <f t="shared" si="106"/>
        <v>0</v>
      </c>
      <c r="AI441" s="324">
        <f t="shared" si="110"/>
        <v>0</v>
      </c>
      <c r="AJ441" s="320"/>
      <c r="AK441" s="318"/>
      <c r="AL441" s="319">
        <f t="shared" si="111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si="89"/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108"/>
        <v>3353.75</v>
      </c>
      <c r="AA442" s="277"/>
      <c r="AB442" s="285"/>
      <c r="AC442" s="278"/>
      <c r="AD442" s="286"/>
      <c r="AE442" s="285"/>
      <c r="AF442" s="278">
        <f t="shared" si="109"/>
        <v>3645.85</v>
      </c>
      <c r="AG442" s="279"/>
      <c r="AH442" s="280">
        <f t="shared" si="106"/>
        <v>292.09999999999991</v>
      </c>
      <c r="AI442" s="281">
        <f t="shared" si="110"/>
        <v>8.7096533730898221E-2</v>
      </c>
      <c r="AJ442" s="286"/>
      <c r="AK442" s="277"/>
      <c r="AL442" s="278">
        <f t="shared" si="111"/>
        <v>1964.05</v>
      </c>
      <c r="AM442" s="282"/>
      <c r="AN442" s="280">
        <f t="shared" si="107"/>
        <v>1681.8</v>
      </c>
      <c r="AO442" s="287">
        <f t="shared" si="112"/>
        <v>0.85629184593060259</v>
      </c>
      <c r="AP442" s="244"/>
      <c r="AQ442" s="244">
        <v>3646</v>
      </c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89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108"/>
        <v>1400</v>
      </c>
      <c r="AA443" s="277"/>
      <c r="AB443" s="277"/>
      <c r="AC443" s="278"/>
      <c r="AD443" s="286"/>
      <c r="AE443" s="285"/>
      <c r="AF443" s="278">
        <f t="shared" si="109"/>
        <v>1358.08</v>
      </c>
      <c r="AG443" s="279"/>
      <c r="AH443" s="280">
        <f t="shared" si="106"/>
        <v>-41.920000000000073</v>
      </c>
      <c r="AI443" s="304">
        <f t="shared" si="110"/>
        <v>-2.9942857142857195E-2</v>
      </c>
      <c r="AJ443" s="286"/>
      <c r="AK443" s="277"/>
      <c r="AL443" s="278">
        <f t="shared" si="111"/>
        <v>903.4</v>
      </c>
      <c r="AM443" s="282"/>
      <c r="AN443" s="280">
        <f t="shared" si="107"/>
        <v>454.67999999999995</v>
      </c>
      <c r="AO443" s="287">
        <f t="shared" si="112"/>
        <v>0.50329864954615888</v>
      </c>
      <c r="AP443" s="244"/>
      <c r="AQ443" s="244">
        <f>1158+200</f>
        <v>1358</v>
      </c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108"/>
        <v>1450</v>
      </c>
      <c r="AA444" s="277"/>
      <c r="AB444" s="277"/>
      <c r="AC444" s="278"/>
      <c r="AD444" s="286"/>
      <c r="AE444" s="285"/>
      <c r="AF444" s="278">
        <f t="shared" si="109"/>
        <v>2009.3400000000001</v>
      </c>
      <c r="AG444" s="279"/>
      <c r="AH444" s="280">
        <f t="shared" si="106"/>
        <v>559.34000000000015</v>
      </c>
      <c r="AI444" s="281">
        <f t="shared" si="110"/>
        <v>0.38575172413793113</v>
      </c>
      <c r="AJ444" s="286"/>
      <c r="AK444" s="277"/>
      <c r="AL444" s="278">
        <f t="shared" si="111"/>
        <v>1247.68</v>
      </c>
      <c r="AM444" s="282"/>
      <c r="AN444" s="280">
        <f t="shared" si="107"/>
        <v>761.66000000000008</v>
      </c>
      <c r="AO444" s="287">
        <f t="shared" si="112"/>
        <v>0.61046101564503719</v>
      </c>
      <c r="AP444" s="244"/>
      <c r="AQ444" s="244">
        <f>2572-675+113</f>
        <v>2010</v>
      </c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89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108"/>
        <v>449</v>
      </c>
      <c r="AA445" s="277"/>
      <c r="AB445" s="277"/>
      <c r="AC445" s="278"/>
      <c r="AD445" s="286"/>
      <c r="AE445" s="285"/>
      <c r="AF445" s="278">
        <f t="shared" si="109"/>
        <v>547.63</v>
      </c>
      <c r="AG445" s="279"/>
      <c r="AH445" s="280">
        <f t="shared" si="106"/>
        <v>98.63</v>
      </c>
      <c r="AI445" s="304">
        <f t="shared" si="110"/>
        <v>0.21966592427616927</v>
      </c>
      <c r="AJ445" s="286"/>
      <c r="AK445" s="277"/>
      <c r="AL445" s="278">
        <f t="shared" si="111"/>
        <v>460.15</v>
      </c>
      <c r="AM445" s="282"/>
      <c r="AN445" s="280">
        <f t="shared" si="107"/>
        <v>87.480000000000018</v>
      </c>
      <c r="AO445" s="287">
        <f t="shared" si="112"/>
        <v>0.19011192002607849</v>
      </c>
      <c r="AP445" s="244"/>
      <c r="AQ445" s="244">
        <v>548</v>
      </c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89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108"/>
        <v>2825</v>
      </c>
      <c r="AA446" s="277"/>
      <c r="AB446" s="277"/>
      <c r="AC446" s="278"/>
      <c r="AD446" s="286"/>
      <c r="AE446" s="285"/>
      <c r="AF446" s="278">
        <f t="shared" si="109"/>
        <v>-936.68000000000006</v>
      </c>
      <c r="AG446" s="279"/>
      <c r="AH446" s="280">
        <f t="shared" si="106"/>
        <v>-3761.6800000000003</v>
      </c>
      <c r="AI446" s="281">
        <f t="shared" si="110"/>
        <v>-1.3315681415929204</v>
      </c>
      <c r="AJ446" s="286"/>
      <c r="AK446" s="277"/>
      <c r="AL446" s="278">
        <f t="shared" si="111"/>
        <v>453.66000000000008</v>
      </c>
      <c r="AM446" s="282"/>
      <c r="AN446" s="280">
        <f t="shared" si="107"/>
        <v>-1390.3400000000001</v>
      </c>
      <c r="AO446" s="287">
        <f t="shared" si="112"/>
        <v>-3.0647180708019217</v>
      </c>
      <c r="AP446" s="244"/>
      <c r="AQ446" s="244">
        <v>-937</v>
      </c>
      <c r="AR446" s="244" t="s">
        <v>260</v>
      </c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89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108"/>
        <v>1554.9999999999998</v>
      </c>
      <c r="AA447" s="277"/>
      <c r="AB447" s="285"/>
      <c r="AC447" s="278"/>
      <c r="AD447" s="286"/>
      <c r="AE447" s="285"/>
      <c r="AF447" s="278">
        <f t="shared" si="109"/>
        <v>1303.8500000000001</v>
      </c>
      <c r="AG447" s="279"/>
      <c r="AH447" s="280">
        <f t="shared" si="106"/>
        <v>-251.14999999999964</v>
      </c>
      <c r="AI447" s="304">
        <f t="shared" si="110"/>
        <v>-0.16151125401929239</v>
      </c>
      <c r="AJ447" s="286"/>
      <c r="AK447" s="277"/>
      <c r="AL447" s="278">
        <f t="shared" si="111"/>
        <v>2925.9899999999993</v>
      </c>
      <c r="AM447" s="282"/>
      <c r="AN447" s="280">
        <f t="shared" si="107"/>
        <v>-1622.1399999999992</v>
      </c>
      <c r="AO447" s="287">
        <f t="shared" si="112"/>
        <v>-0.55439013803874915</v>
      </c>
      <c r="AP447" s="244"/>
      <c r="AQ447" s="244">
        <v>1304</v>
      </c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89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108"/>
        <v>2370.6533333333336</v>
      </c>
      <c r="AA448" s="277"/>
      <c r="AB448" s="285"/>
      <c r="AC448" s="278"/>
      <c r="AD448" s="286"/>
      <c r="AE448" s="285"/>
      <c r="AF448" s="278">
        <f t="shared" si="109"/>
        <v>3328.84</v>
      </c>
      <c r="AG448" s="279"/>
      <c r="AH448" s="280">
        <f t="shared" si="106"/>
        <v>958.1866666666665</v>
      </c>
      <c r="AI448" s="281">
        <f t="shared" si="110"/>
        <v>0.40418675020669392</v>
      </c>
      <c r="AJ448" s="286"/>
      <c r="AK448" s="277"/>
      <c r="AL448" s="278">
        <f t="shared" si="111"/>
        <v>2571.9500000000003</v>
      </c>
      <c r="AM448" s="282"/>
      <c r="AN448" s="280">
        <f t="shared" si="107"/>
        <v>756.88999999999987</v>
      </c>
      <c r="AO448" s="287">
        <f t="shared" si="112"/>
        <v>0.29428643636151552</v>
      </c>
      <c r="AP448" s="244"/>
      <c r="AQ448" s="244">
        <f>5751-2422</f>
        <v>3329</v>
      </c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89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1.8131391965771891E-3</v>
      </c>
      <c r="Z449" s="278">
        <f t="shared" si="108"/>
        <v>8049.6895310394757</v>
      </c>
      <c r="AA449" s="277"/>
      <c r="AB449" s="285"/>
      <c r="AC449" s="278"/>
      <c r="AD449" s="286"/>
      <c r="AE449" s="285"/>
      <c r="AF449" s="278">
        <f t="shared" si="109"/>
        <v>8443.2199999999993</v>
      </c>
      <c r="AG449" s="279"/>
      <c r="AH449" s="280">
        <f t="shared" si="106"/>
        <v>393.53046896052365</v>
      </c>
      <c r="AI449" s="281">
        <f t="shared" si="110"/>
        <v>4.8887658019986534E-2</v>
      </c>
      <c r="AJ449" s="286"/>
      <c r="AK449" s="277"/>
      <c r="AL449" s="278">
        <f t="shared" si="111"/>
        <v>6689.16</v>
      </c>
      <c r="AM449" s="282"/>
      <c r="AN449" s="280">
        <f>AF449-AL449</f>
        <v>1754.0599999999995</v>
      </c>
      <c r="AO449" s="287">
        <f>IF(AL449=0,0,AN449/AL449)</f>
        <v>0.26222425536240718</v>
      </c>
      <c r="AP449" s="244"/>
      <c r="AQ449" s="244">
        <v>8443</v>
      </c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89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>IFERROR(SUMIF($C:$C,$V450,F:F),0)</f>
        <v>0</v>
      </c>
      <c r="AA450" s="277"/>
      <c r="AB450" s="277"/>
      <c r="AC450" s="280"/>
      <c r="AD450" s="286"/>
      <c r="AE450" s="285"/>
      <c r="AF450" s="278">
        <f t="shared" si="109"/>
        <v>0</v>
      </c>
      <c r="AG450" s="279"/>
      <c r="AH450" s="280">
        <f t="shared" si="106"/>
        <v>0</v>
      </c>
      <c r="AI450" s="281">
        <f t="shared" si="110"/>
        <v>0</v>
      </c>
      <c r="AJ450" s="286"/>
      <c r="AK450" s="277"/>
      <c r="AL450" s="278">
        <f>IFERROR(SUMIF($C:$C,$V450,Q:Q),0)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89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IFERROR(SUMIF($C:$C,$V451,F:F),0)</f>
        <v>0</v>
      </c>
      <c r="AA451" s="277"/>
      <c r="AB451" s="277"/>
      <c r="AC451" s="280"/>
      <c r="AD451" s="286"/>
      <c r="AE451" s="285"/>
      <c r="AF451" s="278">
        <f t="shared" si="109"/>
        <v>0</v>
      </c>
      <c r="AG451" s="279"/>
      <c r="AH451" s="280">
        <f t="shared" si="106"/>
        <v>0</v>
      </c>
      <c r="AI451" s="281">
        <f t="shared" si="110"/>
        <v>0</v>
      </c>
      <c r="AJ451" s="286"/>
      <c r="AK451" s="277"/>
      <c r="AL451" s="278">
        <f>IFERROR(SUMIF($C:$C,$V451,Q:Q),0)</f>
        <v>0</v>
      </c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89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IFERROR(SUMIF($C:$C,$V452,F:F),0)</f>
        <v>0</v>
      </c>
      <c r="AA452" s="277"/>
      <c r="AB452" s="277"/>
      <c r="AC452" s="280"/>
      <c r="AD452" s="286"/>
      <c r="AE452" s="285"/>
      <c r="AF452" s="278">
        <f t="shared" si="109"/>
        <v>0</v>
      </c>
      <c r="AG452" s="279"/>
      <c r="AH452" s="280">
        <f t="shared" si="106"/>
        <v>0</v>
      </c>
      <c r="AI452" s="281">
        <f t="shared" si="110"/>
        <v>0</v>
      </c>
      <c r="AJ452" s="286"/>
      <c r="AK452" s="277"/>
      <c r="AL452" s="278">
        <f>IFERROR(SUMIF($C:$C,$V452,Q:Q),0)</f>
        <v>0</v>
      </c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89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0.16496914238241764</v>
      </c>
      <c r="Y453" s="295"/>
      <c r="Z453" s="297">
        <f>+SUM(Z435:Z452)</f>
        <v>80043.154052531449</v>
      </c>
      <c r="AA453" s="296"/>
      <c r="AB453" s="295"/>
      <c r="AC453" s="297"/>
      <c r="AD453" s="298">
        <f>AF453/AF408</f>
        <v>0.20138733729941172</v>
      </c>
      <c r="AE453" s="295"/>
      <c r="AF453" s="297">
        <f>+SUM(AF435:AF452)</f>
        <v>96516.420000000027</v>
      </c>
      <c r="AG453" s="306"/>
      <c r="AH453" s="300">
        <f>+SUM(AH435:AH452)</f>
        <v>16473.265947468542</v>
      </c>
      <c r="AI453" s="296">
        <f>AH453/Z453</f>
        <v>0.20580480794968822</v>
      </c>
      <c r="AJ453" s="298">
        <f>IF($AL$408=0,0,AL453/$AL$408)</f>
        <v>0.18359682252727474</v>
      </c>
      <c r="AK453" s="296"/>
      <c r="AL453" s="297">
        <f>+SUM(AL435:AL452)</f>
        <v>76604.590000000011</v>
      </c>
      <c r="AM453" s="307"/>
      <c r="AN453" s="300">
        <f>+SUM(AN435:AN452)</f>
        <v>19911.830000000002</v>
      </c>
      <c r="AO453" s="329">
        <f>IF(AL453=0,0,AN453/AL453)</f>
        <v>0.25992998591859834</v>
      </c>
      <c r="AP453" s="244"/>
      <c r="AQ453" s="308">
        <f>SUM(AQ435:AQ449)-AF453</f>
        <v>-0.4200000000273576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89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v>50000</v>
      </c>
      <c r="AA454" s="277"/>
      <c r="AB454" s="285"/>
      <c r="AC454" s="278"/>
      <c r="AD454" s="286"/>
      <c r="AE454" s="285"/>
      <c r="AF454" s="278">
        <v>50000</v>
      </c>
      <c r="AG454" s="279"/>
      <c r="AH454" s="280">
        <f t="shared" ref="AH454:AH462" si="113">AF454-Z454</f>
        <v>0</v>
      </c>
      <c r="AI454" s="281">
        <f t="shared" ref="AI454:AI462" si="114">IF(Z454=0,0,AH454/Z454)</f>
        <v>0</v>
      </c>
      <c r="AJ454" s="286"/>
      <c r="AK454" s="277"/>
      <c r="AL454" s="278">
        <v>50000</v>
      </c>
      <c r="AM454" s="282"/>
      <c r="AN454" s="280">
        <f>AF454-AL454</f>
        <v>0</v>
      </c>
      <c r="AO454" s="287">
        <f t="shared" ref="AO454:AO462" si="115">IF(AL454=0,0,AN454/AL454)</f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89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v>6346.5300000000007</v>
      </c>
      <c r="AA455" s="277"/>
      <c r="AB455" s="285"/>
      <c r="AC455" s="278"/>
      <c r="AD455" s="286"/>
      <c r="AE455" s="285"/>
      <c r="AF455" s="278">
        <v>6134.96</v>
      </c>
      <c r="AG455" s="279"/>
      <c r="AH455" s="280">
        <f t="shared" si="113"/>
        <v>-211.57000000000062</v>
      </c>
      <c r="AI455" s="281">
        <f t="shared" si="114"/>
        <v>-3.333632709527893E-2</v>
      </c>
      <c r="AJ455" s="286"/>
      <c r="AK455" s="277"/>
      <c r="AL455" s="278">
        <v>6166.78999999999</v>
      </c>
      <c r="AM455" s="282"/>
      <c r="AN455" s="280">
        <f t="shared" ref="AN455:AN462" si="116">AF455-AL455</f>
        <v>-31.829999999989923</v>
      </c>
      <c r="AO455" s="287">
        <f t="shared" si="115"/>
        <v>-5.1615183912521708E-3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89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v>2719.9400000000005</v>
      </c>
      <c r="AA456" s="261"/>
      <c r="AB456" s="289"/>
      <c r="AC456" s="262"/>
      <c r="AD456" s="290"/>
      <c r="AE456" s="289"/>
      <c r="AF456" s="262">
        <v>2629.27</v>
      </c>
      <c r="AG456" s="263"/>
      <c r="AH456" s="264">
        <f t="shared" si="113"/>
        <v>-90.670000000000528</v>
      </c>
      <c r="AI456" s="291">
        <f t="shared" si="114"/>
        <v>-3.3335294160900794E-2</v>
      </c>
      <c r="AJ456" s="290"/>
      <c r="AK456" s="261"/>
      <c r="AL456" s="262">
        <v>2642.91</v>
      </c>
      <c r="AM456" s="266"/>
      <c r="AN456" s="264">
        <f t="shared" si="116"/>
        <v>-13.639999999999873</v>
      </c>
      <c r="AO456" s="267">
        <f t="shared" si="115"/>
        <v>-5.1609778615238026E-3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89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v>0</v>
      </c>
      <c r="AA457" s="277"/>
      <c r="AB457" s="285"/>
      <c r="AC457" s="278"/>
      <c r="AD457" s="286"/>
      <c r="AE457" s="285"/>
      <c r="AF457" s="278">
        <v>0</v>
      </c>
      <c r="AG457" s="279"/>
      <c r="AH457" s="280">
        <f t="shared" si="113"/>
        <v>0</v>
      </c>
      <c r="AI457" s="281">
        <f t="shared" si="114"/>
        <v>0</v>
      </c>
      <c r="AJ457" s="286"/>
      <c r="AK457" s="277"/>
      <c r="AL457" s="278">
        <v>0</v>
      </c>
      <c r="AM457" s="282"/>
      <c r="AN457" s="280">
        <f t="shared" si="116"/>
        <v>0</v>
      </c>
      <c r="AO457" s="287">
        <f t="shared" si="115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89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v>3571.166666666667</v>
      </c>
      <c r="AA458" s="261"/>
      <c r="AB458" s="289"/>
      <c r="AC458" s="262"/>
      <c r="AD458" s="290"/>
      <c r="AE458" s="289"/>
      <c r="AF458" s="262">
        <v>3571.16</v>
      </c>
      <c r="AG458" s="263"/>
      <c r="AH458" s="264">
        <f t="shared" si="113"/>
        <v>-6.6666666671153507E-3</v>
      </c>
      <c r="AI458" s="291">
        <f t="shared" si="114"/>
        <v>-1.8668035657204508E-6</v>
      </c>
      <c r="AJ458" s="290"/>
      <c r="AK458" s="261"/>
      <c r="AL458" s="262">
        <v>4853.83</v>
      </c>
      <c r="AM458" s="266"/>
      <c r="AN458" s="264">
        <f t="shared" si="116"/>
        <v>-1282.67</v>
      </c>
      <c r="AO458" s="267">
        <f t="shared" si="115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89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v>6675</v>
      </c>
      <c r="AA459" s="330"/>
      <c r="AB459" s="331"/>
      <c r="AC459" s="278"/>
      <c r="AD459" s="286"/>
      <c r="AE459" s="285"/>
      <c r="AF459" s="278">
        <v>5651.21</v>
      </c>
      <c r="AG459" s="279"/>
      <c r="AH459" s="280">
        <f t="shared" si="113"/>
        <v>-1023.79</v>
      </c>
      <c r="AI459" s="281">
        <f t="shared" si="114"/>
        <v>-0.15337677902621721</v>
      </c>
      <c r="AJ459" s="286"/>
      <c r="AK459" s="277"/>
      <c r="AL459" s="278">
        <v>5094.8500000000004</v>
      </c>
      <c r="AM459" s="282"/>
      <c r="AN459" s="280">
        <f t="shared" si="116"/>
        <v>556.35999999999967</v>
      </c>
      <c r="AO459" s="287">
        <f t="shared" si="115"/>
        <v>0.10920046713838477</v>
      </c>
      <c r="AP459" s="244"/>
      <c r="AQ459" s="244">
        <f>4651+1000</f>
        <v>5651</v>
      </c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89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v>1750</v>
      </c>
      <c r="AA460" s="277"/>
      <c r="AB460" s="285"/>
      <c r="AC460" s="278"/>
      <c r="AD460" s="286"/>
      <c r="AE460" s="285"/>
      <c r="AF460" s="278">
        <v>1500</v>
      </c>
      <c r="AG460" s="279"/>
      <c r="AH460" s="280">
        <f t="shared" si="113"/>
        <v>-250</v>
      </c>
      <c r="AI460" s="281">
        <f t="shared" si="114"/>
        <v>-0.14285714285714285</v>
      </c>
      <c r="AJ460" s="286"/>
      <c r="AK460" s="277"/>
      <c r="AL460" s="278">
        <v>6307.33</v>
      </c>
      <c r="AM460" s="282"/>
      <c r="AN460" s="280">
        <f t="shared" si="116"/>
        <v>-4807.33</v>
      </c>
      <c r="AO460" s="287">
        <f t="shared" si="115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89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v>450</v>
      </c>
      <c r="AA461" s="261"/>
      <c r="AB461" s="289"/>
      <c r="AC461" s="262"/>
      <c r="AD461" s="290"/>
      <c r="AE461" s="289"/>
      <c r="AF461" s="262">
        <v>450</v>
      </c>
      <c r="AG461" s="263"/>
      <c r="AH461" s="264">
        <f t="shared" si="113"/>
        <v>0</v>
      </c>
      <c r="AI461" s="291">
        <f t="shared" si="114"/>
        <v>0</v>
      </c>
      <c r="AJ461" s="290"/>
      <c r="AK461" s="261"/>
      <c r="AL461" s="262">
        <v>400</v>
      </c>
      <c r="AM461" s="266"/>
      <c r="AN461" s="264">
        <f t="shared" si="116"/>
        <v>50</v>
      </c>
      <c r="AO461" s="267">
        <f t="shared" si="115"/>
        <v>0.125</v>
      </c>
      <c r="AP461" s="244"/>
      <c r="AQ461" s="244">
        <v>450</v>
      </c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89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v>279</v>
      </c>
      <c r="AA462" s="277"/>
      <c r="AB462" s="285"/>
      <c r="AC462" s="278"/>
      <c r="AD462" s="286"/>
      <c r="AE462" s="285"/>
      <c r="AF462" s="278">
        <v>746.31999999999994</v>
      </c>
      <c r="AG462" s="279"/>
      <c r="AH462" s="280">
        <f t="shared" si="113"/>
        <v>467.31999999999994</v>
      </c>
      <c r="AI462" s="333">
        <f t="shared" si="114"/>
        <v>1.6749820788530463</v>
      </c>
      <c r="AJ462" s="277"/>
      <c r="AK462" s="277"/>
      <c r="AL462" s="278">
        <v>164</v>
      </c>
      <c r="AM462" s="282"/>
      <c r="AN462" s="280">
        <f t="shared" si="116"/>
        <v>582.31999999999994</v>
      </c>
      <c r="AO462" s="287">
        <f t="shared" si="115"/>
        <v>3.5507317073170728</v>
      </c>
      <c r="AP462" s="244"/>
      <c r="AQ462" s="244">
        <f>2046-1300</f>
        <v>746</v>
      </c>
      <c r="AR462" s="308" t="s">
        <v>261</v>
      </c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89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89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IFERROR(SUMIF($C:$C,$V464,F:F),0)</f>
        <v>0</v>
      </c>
      <c r="AA464" s="277"/>
      <c r="AB464" s="277"/>
      <c r="AC464" s="280"/>
      <c r="AD464" s="286"/>
      <c r="AE464" s="285"/>
      <c r="AF464" s="278">
        <f>+SUMIF($C:$C,$V464,L:L)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89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IFERROR(SUMIF($C:$C,$V465,F:F),0)</f>
        <v>0</v>
      </c>
      <c r="AA465" s="277"/>
      <c r="AB465" s="277"/>
      <c r="AC465" s="280"/>
      <c r="AD465" s="286"/>
      <c r="AE465" s="285"/>
      <c r="AF465" s="278">
        <f>+SUMIF($C:$C,$V465,L:L)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IFERROR(SUMIF($C:$C,$V465,Q:Q),0)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89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IFERROR(SUMIF($C:$C,$V466,F:F),0)</f>
        <v>0</v>
      </c>
      <c r="AA466" s="277"/>
      <c r="AB466" s="277"/>
      <c r="AC466" s="280"/>
      <c r="AD466" s="286"/>
      <c r="AE466" s="285"/>
      <c r="AF466" s="278">
        <f>+SUMIF($C:$C,$V466,L:L)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IFERROR(SUMIF($C:$C,$V466,Q:Q),0)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89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0.14796274423865693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0.14748417990790927</v>
      </c>
      <c r="AE467" s="295"/>
      <c r="AF467" s="297">
        <f>SUM(AF454:AF466)</f>
        <v>70682.920000000013</v>
      </c>
      <c r="AG467" s="306"/>
      <c r="AH467" s="300">
        <f>SUM(AH454:AH466)</f>
        <v>-1108.7166666666683</v>
      </c>
      <c r="AI467" s="296">
        <f>IF(Z467=0,0,AH467/Z467)</f>
        <v>-1.5443535182440727E-2</v>
      </c>
      <c r="AJ467" s="298">
        <f>IF($AL$408=0,0,AL467/$AL$408)</f>
        <v>0.18126034542655023</v>
      </c>
      <c r="AK467" s="296"/>
      <c r="AL467" s="297">
        <f>SUM(AL454:AL466)</f>
        <v>75629.710000000006</v>
      </c>
      <c r="AM467" s="307"/>
      <c r="AN467" s="300">
        <f>SUM(AN454:AN466)</f>
        <v>-4946.78999999999</v>
      </c>
      <c r="AO467" s="329">
        <f t="shared" ref="AO467:AO484" si="117">IF(AL467=0,0,AN467/AL467)</f>
        <v>-6.5408025496858174E-2</v>
      </c>
      <c r="AP467" s="244"/>
      <c r="AQ467" s="308">
        <f>SUM(AQ454:AQ462)-AF467</f>
        <v>-0.92000000001280569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89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18">AF468-Z468</f>
        <v>0</v>
      </c>
      <c r="AI468" s="281"/>
      <c r="AJ468" s="286"/>
      <c r="AK468" s="277"/>
      <c r="AL468" s="334"/>
      <c r="AM468" s="335"/>
      <c r="AN468" s="280">
        <f t="shared" ref="AN468:AN484" si="119">AF468-AL468</f>
        <v>0</v>
      </c>
      <c r="AO468" s="336">
        <f t="shared" si="117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89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0.95793618596909824</v>
      </c>
      <c r="Y469" s="295"/>
      <c r="Z469" s="297">
        <f>Z420+Z434+Z453+Z467</f>
        <v>464791.37006286014</v>
      </c>
      <c r="AA469" s="296"/>
      <c r="AB469" s="295"/>
      <c r="AC469" s="297"/>
      <c r="AD469" s="298">
        <f>AF469/AF408</f>
        <v>0.95299179789809951</v>
      </c>
      <c r="AE469" s="295"/>
      <c r="AF469" s="297">
        <f>AF420+AF434+AF453+AF467</f>
        <v>456728.60000000009</v>
      </c>
      <c r="AG469" s="306"/>
      <c r="AH469" s="300">
        <f t="shared" si="118"/>
        <v>-8062.7700628600433</v>
      </c>
      <c r="AI469" s="296">
        <f>AH469/Z469</f>
        <v>-1.7347073509066238E-2</v>
      </c>
      <c r="AJ469" s="298">
        <f>IF($AL$408=0,0,AL469/$AL$408)</f>
        <v>1.0772822252135483</v>
      </c>
      <c r="AK469" s="296"/>
      <c r="AL469" s="297">
        <f>AL420+AL434+AL453+AL467</f>
        <v>449489.06</v>
      </c>
      <c r="AM469" s="307"/>
      <c r="AN469" s="300">
        <f t="shared" si="119"/>
        <v>7239.5400000000955</v>
      </c>
      <c r="AO469" s="275">
        <f t="shared" si="117"/>
        <v>1.6106153951778262E-2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89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v>0</v>
      </c>
      <c r="AA470" s="337"/>
      <c r="AB470" s="338"/>
      <c r="AC470" s="311"/>
      <c r="AD470" s="339"/>
      <c r="AE470" s="338"/>
      <c r="AF470" s="278">
        <v>1533.53</v>
      </c>
      <c r="AG470" s="340"/>
      <c r="AH470" s="280">
        <f t="shared" si="118"/>
        <v>1533.53</v>
      </c>
      <c r="AI470" s="333" t="e">
        <f>IF(AH470=0,0,AH470/Z470)</f>
        <v>#DIV/0!</v>
      </c>
      <c r="AJ470" s="339"/>
      <c r="AK470" s="337"/>
      <c r="AL470" s="341">
        <v>-19.98</v>
      </c>
      <c r="AM470" s="342"/>
      <c r="AN470" s="280">
        <f t="shared" si="119"/>
        <v>1553.51</v>
      </c>
      <c r="AO470" s="287">
        <f t="shared" si="117"/>
        <v>-77.753253253253249</v>
      </c>
      <c r="AP470" s="244" t="s">
        <v>244</v>
      </c>
      <c r="AQ470" s="244">
        <v>1534</v>
      </c>
      <c r="AR470" s="244"/>
      <c r="AS470" s="244">
        <f>AQ470+AR470</f>
        <v>1534</v>
      </c>
      <c r="AT470" s="308">
        <f>AS470-AF470</f>
        <v>0.47000000000002728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89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36763.257142857146</v>
      </c>
      <c r="AA471" s="330"/>
      <c r="AB471" s="331"/>
      <c r="AC471" s="278"/>
      <c r="AD471" s="343"/>
      <c r="AE471" s="331"/>
      <c r="AF471" s="278">
        <f t="shared" ref="AF471:AF477" si="120">+SUMIF($C:$C,$V471,L:L)</f>
        <v>44158</v>
      </c>
      <c r="AG471" s="344"/>
      <c r="AH471" s="280">
        <f t="shared" si="118"/>
        <v>7394.7428571428536</v>
      </c>
      <c r="AI471" s="304">
        <f>IF(Z471=0,0,AH471/Z471)</f>
        <v>0.20114493197400499</v>
      </c>
      <c r="AJ471" s="343"/>
      <c r="AK471" s="330"/>
      <c r="AL471" s="345">
        <f>+SUMIF($C:$C,$V471,Q:Q)</f>
        <v>29948.799999999999</v>
      </c>
      <c r="AM471" s="346"/>
      <c r="AN471" s="280">
        <f t="shared" si="119"/>
        <v>14209.2</v>
      </c>
      <c r="AO471" s="287">
        <f t="shared" si="117"/>
        <v>0.47444972753499309</v>
      </c>
      <c r="AP471" s="244"/>
      <c r="AQ471" s="244">
        <v>46361</v>
      </c>
      <c r="AR471" s="244">
        <v>-2203</v>
      </c>
      <c r="AS471" s="244">
        <f>AQ471+AR471</f>
        <v>44158</v>
      </c>
      <c r="AT471" s="308">
        <f t="shared" ref="AT471:AT481" si="121">AS471-AF471</f>
        <v>0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89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v>30329.687142857147</v>
      </c>
      <c r="AA472" s="330"/>
      <c r="AB472" s="331"/>
      <c r="AC472" s="278"/>
      <c r="AD472" s="343"/>
      <c r="AE472" s="331"/>
      <c r="AF472" s="278">
        <f t="shared" si="120"/>
        <v>35427.29</v>
      </c>
      <c r="AG472" s="344"/>
      <c r="AH472" s="280">
        <f t="shared" si="118"/>
        <v>5097.6028571428542</v>
      </c>
      <c r="AI472" s="304">
        <f t="shared" ref="AI472:AI481" si="122">IF(AH472=0,0,AH472/Z472)</f>
        <v>0.16807304451023244</v>
      </c>
      <c r="AJ472" s="343"/>
      <c r="AK472" s="330"/>
      <c r="AL472" s="345">
        <v>21262.21</v>
      </c>
      <c r="AM472" s="346"/>
      <c r="AN472" s="280">
        <f t="shared" si="119"/>
        <v>14165.080000000002</v>
      </c>
      <c r="AO472" s="287">
        <f t="shared" si="117"/>
        <v>0.66620920402912032</v>
      </c>
      <c r="AP472" s="244"/>
      <c r="AQ472" s="244">
        <v>33696</v>
      </c>
      <c r="AR472" s="244">
        <f>4558.5-1450.63-1376.88</f>
        <v>1730.9899999999998</v>
      </c>
      <c r="AS472" s="244">
        <f>AQ472+AR472</f>
        <v>35426.99</v>
      </c>
      <c r="AT472" s="308">
        <f t="shared" si="121"/>
        <v>-0.30000000000291038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89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+SUMIF($C:$C,$V473,F:F)</f>
        <v>0</v>
      </c>
      <c r="AA473" s="330"/>
      <c r="AB473" s="331"/>
      <c r="AC473" s="278"/>
      <c r="AD473" s="343"/>
      <c r="AE473" s="331"/>
      <c r="AF473" s="278">
        <f t="shared" si="120"/>
        <v>0</v>
      </c>
      <c r="AG473" s="344"/>
      <c r="AH473" s="280">
        <f t="shared" si="118"/>
        <v>0</v>
      </c>
      <c r="AI473" s="304">
        <f t="shared" si="122"/>
        <v>0</v>
      </c>
      <c r="AJ473" s="343"/>
      <c r="AK473" s="330"/>
      <c r="AL473" s="345">
        <f>+SUMIF($C:$C,$V473,Q:Q)</f>
        <v>0</v>
      </c>
      <c r="AM473" s="346"/>
      <c r="AN473" s="280">
        <f t="shared" si="119"/>
        <v>0</v>
      </c>
      <c r="AO473" s="287">
        <f t="shared" si="117"/>
        <v>0</v>
      </c>
      <c r="AP473" s="244"/>
      <c r="AQ473" s="244"/>
      <c r="AR473" s="244"/>
      <c r="AS473" s="244">
        <f t="shared" ref="AS473:AS481" si="123">AQ473+AR473</f>
        <v>0</v>
      </c>
      <c r="AT473" s="308">
        <f t="shared" si="121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89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+SUMIF($C:$C,$V474,F:F)</f>
        <v>0</v>
      </c>
      <c r="AA474" s="330"/>
      <c r="AB474" s="331"/>
      <c r="AC474" s="278"/>
      <c r="AD474" s="343"/>
      <c r="AE474" s="331"/>
      <c r="AF474" s="278">
        <f t="shared" si="120"/>
        <v>0</v>
      </c>
      <c r="AG474" s="344"/>
      <c r="AH474" s="280">
        <f t="shared" si="118"/>
        <v>0</v>
      </c>
      <c r="AI474" s="304">
        <f t="shared" si="122"/>
        <v>0</v>
      </c>
      <c r="AJ474" s="343"/>
      <c r="AK474" s="330"/>
      <c r="AL474" s="345">
        <f>+SUMIF($C:$C,$V474,Q:Q)</f>
        <v>0</v>
      </c>
      <c r="AM474" s="346"/>
      <c r="AN474" s="280">
        <f t="shared" si="119"/>
        <v>0</v>
      </c>
      <c r="AO474" s="287">
        <f t="shared" si="117"/>
        <v>0</v>
      </c>
      <c r="AP474" s="244"/>
      <c r="AQ474" s="244"/>
      <c r="AR474" s="244"/>
      <c r="AS474" s="244">
        <f t="shared" si="123"/>
        <v>0</v>
      </c>
      <c r="AT474" s="308">
        <f t="shared" si="121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89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v>5250</v>
      </c>
      <c r="AA475" s="330"/>
      <c r="AB475" s="331"/>
      <c r="AC475" s="278"/>
      <c r="AD475" s="343"/>
      <c r="AE475" s="331"/>
      <c r="AF475" s="278">
        <f t="shared" si="120"/>
        <v>6800</v>
      </c>
      <c r="AG475" s="344"/>
      <c r="AH475" s="280">
        <f t="shared" si="118"/>
        <v>1550</v>
      </c>
      <c r="AI475" s="304">
        <f t="shared" si="122"/>
        <v>0.29523809523809524</v>
      </c>
      <c r="AJ475" s="343"/>
      <c r="AK475" s="330"/>
      <c r="AL475" s="345">
        <v>5625</v>
      </c>
      <c r="AM475" s="346"/>
      <c r="AN475" s="280">
        <f t="shared" si="119"/>
        <v>1175</v>
      </c>
      <c r="AO475" s="287">
        <f t="shared" si="117"/>
        <v>0.2088888888888889</v>
      </c>
      <c r="AP475" s="244"/>
      <c r="AQ475" s="244">
        <v>6800</v>
      </c>
      <c r="AR475" s="244"/>
      <c r="AS475" s="244">
        <f t="shared" si="123"/>
        <v>6800</v>
      </c>
      <c r="AT475" s="308">
        <f t="shared" si="121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89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+SUMIF($C:$C,$V476,F:F)</f>
        <v>0</v>
      </c>
      <c r="AA476" s="330"/>
      <c r="AB476" s="331"/>
      <c r="AC476" s="278"/>
      <c r="AD476" s="343"/>
      <c r="AE476" s="331"/>
      <c r="AF476" s="278">
        <f t="shared" si="120"/>
        <v>-3625</v>
      </c>
      <c r="AG476" s="344"/>
      <c r="AH476" s="280">
        <f t="shared" si="118"/>
        <v>-3625</v>
      </c>
      <c r="AI476" s="304" t="e">
        <f t="shared" si="122"/>
        <v>#DIV/0!</v>
      </c>
      <c r="AJ476" s="343"/>
      <c r="AK476" s="330"/>
      <c r="AL476" s="345">
        <f>+SUMIF($C:$C,$V476,Q:Q)</f>
        <v>0</v>
      </c>
      <c r="AM476" s="346"/>
      <c r="AN476" s="280">
        <f t="shared" si="119"/>
        <v>-3625</v>
      </c>
      <c r="AO476" s="287">
        <f t="shared" si="117"/>
        <v>0</v>
      </c>
      <c r="AP476" s="244"/>
      <c r="AQ476" s="244">
        <v>-3625</v>
      </c>
      <c r="AR476" s="244"/>
      <c r="AS476" s="244">
        <f t="shared" si="123"/>
        <v>-3625</v>
      </c>
      <c r="AT476" s="308">
        <f t="shared" si="121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89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+SUMIF($C:$C,$V477,F:F)</f>
        <v>0</v>
      </c>
      <c r="AA477" s="330"/>
      <c r="AB477" s="331"/>
      <c r="AC477" s="278"/>
      <c r="AD477" s="343"/>
      <c r="AE477" s="331"/>
      <c r="AF477" s="278">
        <f t="shared" si="120"/>
        <v>0</v>
      </c>
      <c r="AG477" s="344"/>
      <c r="AH477" s="280">
        <f t="shared" si="118"/>
        <v>0</v>
      </c>
      <c r="AI477" s="304">
        <f t="shared" si="122"/>
        <v>0</v>
      </c>
      <c r="AJ477" s="343"/>
      <c r="AK477" s="330"/>
      <c r="AL477" s="345">
        <f>+SUMIF($C:$C,$V477,Q:Q)</f>
        <v>0</v>
      </c>
      <c r="AM477" s="346"/>
      <c r="AN477" s="280">
        <f t="shared" si="119"/>
        <v>0</v>
      </c>
      <c r="AO477" s="287">
        <f t="shared" si="117"/>
        <v>0</v>
      </c>
      <c r="AP477" s="244"/>
      <c r="AQ477" s="244"/>
      <c r="AR477" s="244"/>
      <c r="AS477" s="244">
        <f t="shared" si="123"/>
        <v>0</v>
      </c>
      <c r="AT477" s="308">
        <f t="shared" si="121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89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v>20219.791428571429</v>
      </c>
      <c r="AA478" s="330"/>
      <c r="AB478" s="331"/>
      <c r="AC478" s="278"/>
      <c r="AD478" s="343"/>
      <c r="AE478" s="331"/>
      <c r="AF478" s="278">
        <v>22650.09</v>
      </c>
      <c r="AG478" s="344"/>
      <c r="AH478" s="280">
        <f t="shared" si="118"/>
        <v>2430.2985714285714</v>
      </c>
      <c r="AI478" s="304">
        <f t="shared" si="122"/>
        <v>0.12019404750112585</v>
      </c>
      <c r="AJ478" s="343"/>
      <c r="AK478" s="330"/>
      <c r="AL478" s="345">
        <v>17324.45</v>
      </c>
      <c r="AM478" s="346"/>
      <c r="AN478" s="280">
        <f t="shared" si="119"/>
        <v>5325.6399999999994</v>
      </c>
      <c r="AO478" s="287">
        <f t="shared" si="117"/>
        <v>0.30740600711710903</v>
      </c>
      <c r="AP478" s="244"/>
      <c r="AQ478" s="244">
        <v>21527</v>
      </c>
      <c r="AR478" s="244">
        <f>3083.85-1079.27-881.2</f>
        <v>1123.3799999999999</v>
      </c>
      <c r="AS478" s="244">
        <f t="shared" si="123"/>
        <v>22650.38</v>
      </c>
      <c r="AT478" s="308">
        <f t="shared" si="121"/>
        <v>0.29000000000087311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89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IFERROR(SUMIF($C:$C,$V479,F:F),0)</f>
        <v>0</v>
      </c>
      <c r="AA479" s="277"/>
      <c r="AB479" s="277"/>
      <c r="AC479" s="280"/>
      <c r="AD479" s="286"/>
      <c r="AE479" s="285"/>
      <c r="AF479" s="278">
        <f>+SUMIF($C:$C,$V479,L:L)</f>
        <v>0</v>
      </c>
      <c r="AG479" s="279"/>
      <c r="AH479" s="280">
        <f t="shared" si="118"/>
        <v>0</v>
      </c>
      <c r="AI479" s="281">
        <f t="shared" si="122"/>
        <v>0</v>
      </c>
      <c r="AJ479" s="286"/>
      <c r="AK479" s="277"/>
      <c r="AL479" s="278">
        <f>+SUMIF($C:$C,$V479,Q:Q)</f>
        <v>0</v>
      </c>
      <c r="AM479" s="346"/>
      <c r="AN479" s="280">
        <f t="shared" si="119"/>
        <v>0</v>
      </c>
      <c r="AO479" s="287">
        <f t="shared" si="117"/>
        <v>0</v>
      </c>
      <c r="AP479" s="244"/>
      <c r="AQ479" s="244"/>
      <c r="AR479" s="244"/>
      <c r="AS479" s="244">
        <f t="shared" si="123"/>
        <v>0</v>
      </c>
      <c r="AT479" s="308">
        <f t="shared" si="121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89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IFERROR(SUMIF($C:$C,$V480,F:F),0)</f>
        <v>0</v>
      </c>
      <c r="AA480" s="277"/>
      <c r="AB480" s="277"/>
      <c r="AC480" s="280"/>
      <c r="AD480" s="286"/>
      <c r="AE480" s="285"/>
      <c r="AF480" s="278">
        <f>+SUMIF($C:$C,$V480,L:L)</f>
        <v>0</v>
      </c>
      <c r="AG480" s="279"/>
      <c r="AH480" s="280">
        <f t="shared" si="118"/>
        <v>0</v>
      </c>
      <c r="AI480" s="281">
        <f t="shared" si="122"/>
        <v>0</v>
      </c>
      <c r="AJ480" s="286"/>
      <c r="AK480" s="277"/>
      <c r="AL480" s="278">
        <f>+SUMIF($C:$C,$V480,Q:Q)</f>
        <v>0</v>
      </c>
      <c r="AM480" s="346"/>
      <c r="AN480" s="280">
        <f t="shared" si="119"/>
        <v>0</v>
      </c>
      <c r="AO480" s="287">
        <f t="shared" si="117"/>
        <v>0</v>
      </c>
      <c r="AP480" s="244"/>
      <c r="AQ480" s="244"/>
      <c r="AR480" s="244"/>
      <c r="AS480" s="244">
        <f t="shared" si="123"/>
        <v>0</v>
      </c>
      <c r="AT480" s="308">
        <f t="shared" si="121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89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24383.1</v>
      </c>
      <c r="AA481" s="330"/>
      <c r="AB481" s="331"/>
      <c r="AC481" s="278"/>
      <c r="AD481" s="343"/>
      <c r="AE481" s="331"/>
      <c r="AF481" s="278">
        <f>+SUMIF($C:$C,$V481,L:L)</f>
        <v>30940</v>
      </c>
      <c r="AG481" s="344"/>
      <c r="AH481" s="280">
        <f t="shared" si="118"/>
        <v>6556.9000000000015</v>
      </c>
      <c r="AI481" s="304">
        <f t="shared" si="122"/>
        <v>0.26891166422645202</v>
      </c>
      <c r="AJ481" s="343"/>
      <c r="AK481" s="330"/>
      <c r="AL481" s="345">
        <v>18445</v>
      </c>
      <c r="AM481" s="346"/>
      <c r="AN481" s="280">
        <f t="shared" si="119"/>
        <v>12495</v>
      </c>
      <c r="AO481" s="287">
        <f t="shared" si="117"/>
        <v>0.67741935483870963</v>
      </c>
      <c r="AP481" s="244"/>
      <c r="AQ481" s="244">
        <v>30940</v>
      </c>
      <c r="AR481" s="244"/>
      <c r="AS481" s="244">
        <f t="shared" si="123"/>
        <v>30940</v>
      </c>
      <c r="AT481" s="308">
        <f t="shared" si="121"/>
        <v>0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89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0.24102566236107334</v>
      </c>
      <c r="Y482" s="328"/>
      <c r="Z482" s="297">
        <f>SUM(Z470:Z481)</f>
        <v>116945.83571428573</v>
      </c>
      <c r="AA482" s="296"/>
      <c r="AB482" s="328"/>
      <c r="AC482" s="297"/>
      <c r="AD482" s="296">
        <f>AF482/+AF408</f>
        <v>0.28770310265685073</v>
      </c>
      <c r="AE482" s="328"/>
      <c r="AF482" s="297">
        <f>SUM(AF470:AF481)</f>
        <v>137883.91</v>
      </c>
      <c r="AG482" s="306"/>
      <c r="AH482" s="300">
        <f t="shared" si="118"/>
        <v>20938.074285714276</v>
      </c>
      <c r="AI482" s="296">
        <f>AH482/Z482</f>
        <v>0.1790407854869564</v>
      </c>
      <c r="AJ482" s="347"/>
      <c r="AK482" s="348"/>
      <c r="AL482" s="297">
        <f>SUM(AL470:AL481)</f>
        <v>92585.48</v>
      </c>
      <c r="AM482" s="349"/>
      <c r="AN482" s="300">
        <f t="shared" si="119"/>
        <v>45298.430000000008</v>
      </c>
      <c r="AO482" s="329">
        <f t="shared" si="117"/>
        <v>0.48926062704432716</v>
      </c>
      <c r="AP482" s="244"/>
      <c r="AQ482" s="244">
        <f>SUM(AQ470:AQ481)</f>
        <v>137233</v>
      </c>
      <c r="AR482" s="244">
        <f>SUM(AR470:AR481)</f>
        <v>651.36999999999966</v>
      </c>
      <c r="AS482" s="308">
        <f>SUM(AS470:AS481)-AF482</f>
        <v>0.45999999999185093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89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19"/>
        <v>0</v>
      </c>
      <c r="AO483" s="362">
        <f t="shared" si="117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89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3.0938354979787221E-2</v>
      </c>
      <c r="Z484" s="367">
        <f>Z408-Z469+Z482</f>
        <v>137355.23045253073</v>
      </c>
      <c r="AA484" s="365"/>
      <c r="AB484" s="366"/>
      <c r="AC484" s="367"/>
      <c r="AD484" s="365" t="s">
        <v>180</v>
      </c>
      <c r="AE484" s="366">
        <f>AF484/AF407</f>
        <v>3.1387460020882177E-2</v>
      </c>
      <c r="AF484" s="368">
        <f>AF408-AF469+AF482</f>
        <v>160412.94999999987</v>
      </c>
      <c r="AG484" s="369"/>
      <c r="AH484" s="368">
        <f>AF484-Z484</f>
        <v>23057.71954746914</v>
      </c>
      <c r="AI484" s="481">
        <f>AH484/Z484</f>
        <v>0.16786925020258162</v>
      </c>
      <c r="AJ484" s="371" t="s">
        <v>180</v>
      </c>
      <c r="AK484" s="366">
        <f>IF($AL$407=0,0,AL484/$AL$407)</f>
        <v>1.6985761364583369E-2</v>
      </c>
      <c r="AL484" s="368">
        <f>AL408-AL469+AL482</f>
        <v>60339.969999999579</v>
      </c>
      <c r="AM484" s="372"/>
      <c r="AN484" s="368">
        <f t="shared" si="119"/>
        <v>100072.98000000029</v>
      </c>
      <c r="AO484" s="373">
        <f t="shared" si="117"/>
        <v>1.6584857433638265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89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ref="A486:A499" si="124">+U486&amp;V486</f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Juillet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2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2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3.7443079964802062E-2</v>
      </c>
      <c r="Z489" s="446">
        <f>Z490+Z416</f>
        <v>166233.88285440425</v>
      </c>
      <c r="AA489" s="443"/>
      <c r="AB489" s="444"/>
      <c r="AC489" s="445"/>
      <c r="AD489" s="443" t="s">
        <v>180</v>
      </c>
      <c r="AE489" s="444">
        <f>AF489/AF407</f>
        <v>3.7300270531997616E-2</v>
      </c>
      <c r="AF489" s="446">
        <f>AF490+AF416</f>
        <v>190631.74999999988</v>
      </c>
      <c r="AG489" s="447"/>
      <c r="AH489" s="446">
        <f t="shared" ref="AH489" si="125">AF489-Z489</f>
        <v>24397.867145595636</v>
      </c>
      <c r="AI489" s="488">
        <f>AH489/Z489</f>
        <v>0.14676831658299458</v>
      </c>
      <c r="AJ489" s="443" t="s">
        <v>180</v>
      </c>
      <c r="AK489" s="444">
        <f>IF($AL$407=0,0,AL489/$AL$407)</f>
        <v>2.4492610227399313E-2</v>
      </c>
      <c r="AL489" s="446">
        <f>AL490+AL416</f>
        <v>87007.18999999958</v>
      </c>
      <c r="AM489" s="448"/>
      <c r="AN489" s="446">
        <f t="shared" ref="AN489" si="126">AF489-AL489</f>
        <v>103624.5600000003</v>
      </c>
      <c r="AO489" s="449">
        <f t="shared" ref="AO489" si="127">IF(AL489=0,0,AN489/AL489)</f>
        <v>1.1909884688840175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12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3.0938354979787221E-2</v>
      </c>
      <c r="Z490" s="379">
        <f>Z484</f>
        <v>137355.23045253073</v>
      </c>
      <c r="AA490" s="377"/>
      <c r="AB490" s="378"/>
      <c r="AC490" s="379"/>
      <c r="AD490" s="377" t="s">
        <v>180</v>
      </c>
      <c r="AE490" s="378">
        <f>AF490/AF407</f>
        <v>3.1387460020882177E-2</v>
      </c>
      <c r="AF490" s="379">
        <f>AF484</f>
        <v>160412.94999999987</v>
      </c>
      <c r="AG490" s="380"/>
      <c r="AH490" s="368">
        <f>AF490-Z490</f>
        <v>23057.71954746914</v>
      </c>
      <c r="AI490" s="481">
        <f>AH490/Z490</f>
        <v>0.16786925020258162</v>
      </c>
      <c r="AJ490" s="377" t="s">
        <v>180</v>
      </c>
      <c r="AK490" s="378">
        <f>IF($AL$407=0,0,AL490/$AL$407)</f>
        <v>1.6985761364583369E-2</v>
      </c>
      <c r="AL490" s="381">
        <f>AL484</f>
        <v>60339.969999999579</v>
      </c>
      <c r="AM490" s="382"/>
      <c r="AN490" s="383">
        <f>AF490-AL490</f>
        <v>100072.98000000029</v>
      </c>
      <c r="AO490" s="384">
        <f>IF(AL490=0,0,AN490/AL490)</f>
        <v>1.6584857433638265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2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2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v>4077.75</v>
      </c>
      <c r="AA492" s="277"/>
      <c r="AB492" s="285"/>
      <c r="AC492" s="278"/>
      <c r="AD492" s="277"/>
      <c r="AE492" s="285"/>
      <c r="AF492" s="278">
        <v>4077.75</v>
      </c>
      <c r="AG492" s="277"/>
      <c r="AH492" s="280">
        <f t="shared" ref="AH492:AH499" si="128">AF492-Z492</f>
        <v>0</v>
      </c>
      <c r="AI492" s="304">
        <f t="shared" ref="AI492:AI498" si="129">IF(Z492=0,0,AH492/Z492)</f>
        <v>0</v>
      </c>
      <c r="AJ492" s="277"/>
      <c r="AK492" s="277"/>
      <c r="AL492" s="278">
        <v>19300</v>
      </c>
      <c r="AM492" s="282"/>
      <c r="AN492" s="280">
        <f t="shared" ref="AN492:AN499" si="130">AF492-AL492</f>
        <v>-15222.25</v>
      </c>
      <c r="AO492" s="287">
        <f t="shared" ref="AO492:AO499" si="131">IF(AL492=0,0,AN492/AL492)</f>
        <v>-0.78871761658031092</v>
      </c>
      <c r="AP492" s="244"/>
      <c r="AQ492" s="494">
        <v>4078</v>
      </c>
      <c r="AR492" s="308">
        <f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2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v>0</v>
      </c>
      <c r="AA493" s="10"/>
      <c r="AB493" s="10"/>
      <c r="AC493" s="278"/>
      <c r="AD493" s="10"/>
      <c r="AE493" s="13"/>
      <c r="AF493" s="278">
        <v>0</v>
      </c>
      <c r="AG493" s="10"/>
      <c r="AH493" s="280">
        <f t="shared" si="128"/>
        <v>0</v>
      </c>
      <c r="AI493" s="304">
        <f t="shared" si="129"/>
        <v>0</v>
      </c>
      <c r="AJ493" s="10"/>
      <c r="AK493" s="10"/>
      <c r="AL493" s="278">
        <v>0</v>
      </c>
      <c r="AM493" s="391"/>
      <c r="AN493" s="280">
        <f t="shared" si="130"/>
        <v>0</v>
      </c>
      <c r="AO493" s="287">
        <f t="shared" si="131"/>
        <v>0</v>
      </c>
      <c r="AP493" s="244"/>
      <c r="AQ493" s="244"/>
      <c r="AR493" s="308">
        <f t="shared" ref="AR493:AR497" si="132">AQ493-AF493</f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2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v>0</v>
      </c>
      <c r="AA494" s="10"/>
      <c r="AB494" s="10"/>
      <c r="AC494" s="278"/>
      <c r="AD494" s="10"/>
      <c r="AE494" s="13"/>
      <c r="AF494" s="278">
        <v>0</v>
      </c>
      <c r="AG494" s="10"/>
      <c r="AH494" s="280">
        <f t="shared" si="128"/>
        <v>0</v>
      </c>
      <c r="AI494" s="304">
        <f t="shared" si="129"/>
        <v>0</v>
      </c>
      <c r="AJ494" s="10"/>
      <c r="AK494" s="10"/>
      <c r="AL494" s="278">
        <v>0</v>
      </c>
      <c r="AM494" s="391"/>
      <c r="AN494" s="280">
        <f t="shared" si="130"/>
        <v>0</v>
      </c>
      <c r="AO494" s="287">
        <f t="shared" si="131"/>
        <v>0</v>
      </c>
      <c r="AP494" s="244"/>
      <c r="AQ494" s="244"/>
      <c r="AR494" s="308">
        <f t="shared" si="132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2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v>0</v>
      </c>
      <c r="AA495" s="10"/>
      <c r="AB495" s="10"/>
      <c r="AC495" s="278"/>
      <c r="AD495" s="10"/>
      <c r="AE495" s="13"/>
      <c r="AF495" s="278">
        <v>0</v>
      </c>
      <c r="AG495" s="10"/>
      <c r="AH495" s="280">
        <f t="shared" si="128"/>
        <v>0</v>
      </c>
      <c r="AI495" s="304">
        <f t="shared" si="129"/>
        <v>0</v>
      </c>
      <c r="AJ495" s="10"/>
      <c r="AK495" s="10"/>
      <c r="AL495" s="278">
        <v>0</v>
      </c>
      <c r="AM495" s="391"/>
      <c r="AN495" s="280">
        <f t="shared" si="130"/>
        <v>0</v>
      </c>
      <c r="AO495" s="287">
        <f t="shared" si="131"/>
        <v>0</v>
      </c>
      <c r="AP495" s="244"/>
      <c r="AQ495" s="244"/>
      <c r="AR495" s="308">
        <f t="shared" si="132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2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v>0</v>
      </c>
      <c r="AG496" s="279"/>
      <c r="AH496" s="280">
        <f t="shared" si="128"/>
        <v>0</v>
      </c>
      <c r="AI496" s="281">
        <f t="shared" si="129"/>
        <v>0</v>
      </c>
      <c r="AJ496" s="286"/>
      <c r="AK496" s="277"/>
      <c r="AL496" s="278"/>
      <c r="AM496" s="391"/>
      <c r="AN496" s="280">
        <f t="shared" si="130"/>
        <v>0</v>
      </c>
      <c r="AO496" s="287">
        <f t="shared" si="131"/>
        <v>0</v>
      </c>
      <c r="AP496" s="244"/>
      <c r="AQ496" s="244"/>
      <c r="AR496" s="308">
        <f t="shared" si="132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2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v>0</v>
      </c>
      <c r="AA497" s="277"/>
      <c r="AB497" s="277"/>
      <c r="AC497" s="280"/>
      <c r="AD497" s="286"/>
      <c r="AE497" s="285"/>
      <c r="AF497" s="278">
        <v>-3142.47</v>
      </c>
      <c r="AG497" s="279"/>
      <c r="AH497" s="280">
        <f t="shared" si="128"/>
        <v>-3142.47</v>
      </c>
      <c r="AI497" s="281">
        <f t="shared" si="129"/>
        <v>0</v>
      </c>
      <c r="AJ497" s="286"/>
      <c r="AK497" s="277"/>
      <c r="AL497" s="278">
        <v>-2632.46</v>
      </c>
      <c r="AM497" s="391"/>
      <c r="AN497" s="280">
        <f t="shared" si="130"/>
        <v>-510.00999999999976</v>
      </c>
      <c r="AO497" s="287">
        <f t="shared" si="131"/>
        <v>0.19373893620415875</v>
      </c>
      <c r="AP497" s="244"/>
      <c r="AQ497" s="308">
        <v>-3142</v>
      </c>
      <c r="AR497" s="308">
        <f t="shared" si="132"/>
        <v>0.46999999999979991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2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v>0</v>
      </c>
      <c r="AG498" s="279"/>
      <c r="AH498" s="280">
        <f t="shared" si="128"/>
        <v>0</v>
      </c>
      <c r="AI498" s="281">
        <f t="shared" si="129"/>
        <v>0</v>
      </c>
      <c r="AJ498" s="286"/>
      <c r="AK498" s="277"/>
      <c r="AL498" s="278"/>
      <c r="AM498" s="391"/>
      <c r="AN498" s="280">
        <f t="shared" si="130"/>
        <v>0</v>
      </c>
      <c r="AO498" s="287">
        <f t="shared" si="131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2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3.0019868828199226E-2</v>
      </c>
      <c r="Z499" s="367">
        <f>Z490-Z492-Z493-Z494-Z498-Z497-Z495-Z496</f>
        <v>133277.48045253073</v>
      </c>
      <c r="AA499" s="365"/>
      <c r="AB499" s="366"/>
      <c r="AC499" s="367"/>
      <c r="AD499" s="365" t="s">
        <v>180</v>
      </c>
      <c r="AE499" s="366">
        <f>AF499/AF407</f>
        <v>3.1204456942836852E-2</v>
      </c>
      <c r="AF499" s="368">
        <f>AF490-AF492-AF493-AF494-AF498-AF497-AF495-AF496</f>
        <v>159477.66999999987</v>
      </c>
      <c r="AG499" s="369"/>
      <c r="AH499" s="368">
        <f t="shared" si="128"/>
        <v>26200.189547469141</v>
      </c>
      <c r="AI499" s="481">
        <f>AH499/Z499</f>
        <v>0.19658376988001983</v>
      </c>
      <c r="AJ499" s="371" t="s">
        <v>180</v>
      </c>
      <c r="AK499" s="366">
        <f>IF($AL$407=0,0,AL499/$AL$407)</f>
        <v>1.2293832333550541E-2</v>
      </c>
      <c r="AL499" s="368">
        <f>AL490-AL492-AL493-AL494-AL498-AL497-AL495-AL496</f>
        <v>43672.429999999578</v>
      </c>
      <c r="AM499" s="372"/>
      <c r="AN499" s="368">
        <f t="shared" si="130"/>
        <v>115805.24000000028</v>
      </c>
      <c r="AO499" s="392">
        <f t="shared" si="131"/>
        <v>2.6516784158793407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159477.66999999987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242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159477.66999999987</v>
      </c>
      <c r="AG512" s="308">
        <f>AF512-AF506</f>
        <v>159477.66999999987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  <row r="705" ht="16.5"/>
  </sheetData>
  <mergeCells count="42">
    <mergeCell ref="M91:N91"/>
    <mergeCell ref="O91:Q91"/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  <mergeCell ref="O171:Q17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O294:Q294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AM405:AO405"/>
    <mergeCell ref="X405:Z405"/>
    <mergeCell ref="AA405:AC405"/>
    <mergeCell ref="AD405:AF405"/>
    <mergeCell ref="AG405:AI405"/>
    <mergeCell ref="AJ405:AL405"/>
  </mergeCells>
  <conditionalFormatting sqref="D113:D114">
    <cfRule type="expression" dxfId="329" priority="26" stopIfTrue="1">
      <formula>"esterreur(reference)"</formula>
    </cfRule>
  </conditionalFormatting>
  <conditionalFormatting sqref="E103:E105">
    <cfRule type="expression" dxfId="328" priority="2" stopIfTrue="1">
      <formula>"esterreur(reference)"</formula>
    </cfRule>
  </conditionalFormatting>
  <conditionalFormatting sqref="F5">
    <cfRule type="expression" dxfId="327" priority="69" stopIfTrue="1">
      <formula>"esterreur(reference)"</formula>
    </cfRule>
  </conditionalFormatting>
  <conditionalFormatting sqref="F185">
    <cfRule type="expression" dxfId="326" priority="78" stopIfTrue="1">
      <formula>"esterreur(reference)"</formula>
    </cfRule>
  </conditionalFormatting>
  <conditionalFormatting sqref="G31:G32">
    <cfRule type="expression" dxfId="325" priority="30" stopIfTrue="1">
      <formula>"esterreur(reference)"</formula>
    </cfRule>
  </conditionalFormatting>
  <conditionalFormatting sqref="G113:G114">
    <cfRule type="expression" dxfId="324" priority="27" stopIfTrue="1">
      <formula>"esterreur(reference)"</formula>
    </cfRule>
  </conditionalFormatting>
  <conditionalFormatting sqref="H137:H153">
    <cfRule type="expression" dxfId="323" priority="35" stopIfTrue="1">
      <formula>"esterreur(reference)"</formula>
    </cfRule>
  </conditionalFormatting>
  <conditionalFormatting sqref="H361">
    <cfRule type="expression" dxfId="322" priority="108" stopIfTrue="1">
      <formula>"esterreur(reference)"</formula>
    </cfRule>
  </conditionalFormatting>
  <conditionalFormatting sqref="H198:L198">
    <cfRule type="expression" dxfId="321" priority="110" stopIfTrue="1">
      <formula>"esterreur(reference)"</formula>
    </cfRule>
  </conditionalFormatting>
  <conditionalFormatting sqref="H397:L400">
    <cfRule type="expression" dxfId="320" priority="106" stopIfTrue="1">
      <formula>"esterreur(reference)"</formula>
    </cfRule>
  </conditionalFormatting>
  <conditionalFormatting sqref="I378:L378 H379:H396">
    <cfRule type="expression" dxfId="31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18" priority="102" stopIfTrue="1">
      <formula>"esterreur(reference)"</formula>
    </cfRule>
  </conditionalFormatting>
  <conditionalFormatting sqref="J49:L72">
    <cfRule type="expression" dxfId="317" priority="36" stopIfTrue="1">
      <formula>"esterreur(reference)"</formula>
    </cfRule>
  </conditionalFormatting>
  <conditionalFormatting sqref="J103:L105">
    <cfRule type="expression" dxfId="316" priority="99" stopIfTrue="1">
      <formula>"esterreur(reference)"</formula>
    </cfRule>
  </conditionalFormatting>
  <conditionalFormatting sqref="J150:L153">
    <cfRule type="expression" dxfId="315" priority="34" stopIfTrue="1">
      <formula>"esterreur(reference)"</formula>
    </cfRule>
  </conditionalFormatting>
  <conditionalFormatting sqref="J296:L304">
    <cfRule type="expression" dxfId="314" priority="95" stopIfTrue="1">
      <formula>"esterreur(reference)"</formula>
    </cfRule>
  </conditionalFormatting>
  <conditionalFormatting sqref="J308:L309">
    <cfRule type="expression" dxfId="313" priority="85" stopIfTrue="1">
      <formula>"esterreur(reference)"</formula>
    </cfRule>
  </conditionalFormatting>
  <conditionalFormatting sqref="J361:L361">
    <cfRule type="expression" dxfId="312" priority="77" stopIfTrue="1">
      <formula>"esterreur(reference)"</formula>
    </cfRule>
  </conditionalFormatting>
  <conditionalFormatting sqref="J366:L377">
    <cfRule type="expression" dxfId="311" priority="82" stopIfTrue="1">
      <formula>"esterreur(reference)"</formula>
    </cfRule>
  </conditionalFormatting>
  <conditionalFormatting sqref="J379:L395">
    <cfRule type="expression" dxfId="310" priority="81" stopIfTrue="1">
      <formula>"esterreur(reference)"</formula>
    </cfRule>
  </conditionalFormatting>
  <conditionalFormatting sqref="J313:M313">
    <cfRule type="expression" dxfId="309" priority="83" stopIfTrue="1">
      <formula>"esterreur(reference)"</formula>
    </cfRule>
  </conditionalFormatting>
  <conditionalFormatting sqref="J113:Q122">
    <cfRule type="expression" dxfId="308" priority="28" stopIfTrue="1">
      <formula>"esterreur(reference)"</formula>
    </cfRule>
  </conditionalFormatting>
  <conditionalFormatting sqref="J124:Q135">
    <cfRule type="expression" dxfId="307" priority="61" stopIfTrue="1">
      <formula>"esterreur(reference)"</formula>
    </cfRule>
  </conditionalFormatting>
  <conditionalFormatting sqref="K5">
    <cfRule type="expression" dxfId="306" priority="92" stopIfTrue="1">
      <formula>"esterreur(reference)"</formula>
    </cfRule>
  </conditionalFormatting>
  <conditionalFormatting sqref="K176">
    <cfRule type="expression" dxfId="305" priority="89" stopIfTrue="1">
      <formula>"esterreur(reference)"</formula>
    </cfRule>
  </conditionalFormatting>
  <conditionalFormatting sqref="K184:K185">
    <cfRule type="expression" dxfId="304" priority="91" stopIfTrue="1">
      <formula>"esterreur(reference)"</formula>
    </cfRule>
  </conditionalFormatting>
  <conditionalFormatting sqref="K288">
    <cfRule type="expression" dxfId="303" priority="75" stopIfTrue="1">
      <formula>"esterreur(reference)"</formula>
    </cfRule>
  </conditionalFormatting>
  <conditionalFormatting sqref="K396">
    <cfRule type="expression" dxfId="302" priority="109" stopIfTrue="1">
      <formula>"esterreur(reference)"</formula>
    </cfRule>
  </conditionalFormatting>
  <conditionalFormatting sqref="K93:L96">
    <cfRule type="expression" dxfId="301" priority="80" stopIfTrue="1">
      <formula>"esterreur(reference)"</formula>
    </cfRule>
  </conditionalFormatting>
  <conditionalFormatting sqref="K100:L101">
    <cfRule type="expression" dxfId="300" priority="100" stopIfTrue="1">
      <formula>"esterreur(reference)"</formula>
    </cfRule>
  </conditionalFormatting>
  <conditionalFormatting sqref="K172:L174">
    <cfRule type="expression" dxfId="299" priority="90" stopIfTrue="1">
      <formula>"esterreur(reference)"</formula>
    </cfRule>
  </conditionalFormatting>
  <conditionalFormatting sqref="K177:L183">
    <cfRule type="expression" dxfId="298" priority="88" stopIfTrue="1">
      <formula>"esterreur(reference)"</formula>
    </cfRule>
  </conditionalFormatting>
  <conditionalFormatting sqref="K186:L197">
    <cfRule type="expression" dxfId="297" priority="84" stopIfTrue="1">
      <formula>"esterreur(reference)"</formula>
    </cfRule>
  </conditionalFormatting>
  <conditionalFormatting sqref="K240:L242">
    <cfRule type="expression" dxfId="296" priority="79" stopIfTrue="1">
      <formula>"esterreur(reference)"</formula>
    </cfRule>
  </conditionalFormatting>
  <conditionalFormatting sqref="K245:L245">
    <cfRule type="expression" dxfId="295" priority="87" stopIfTrue="1">
      <formula>"esterreur(reference)"</formula>
    </cfRule>
  </conditionalFormatting>
  <conditionalFormatting sqref="K248:L248">
    <cfRule type="expression" dxfId="294" priority="86" stopIfTrue="1">
      <formula>"esterreur(reference)"</formula>
    </cfRule>
  </conditionalFormatting>
  <conditionalFormatting sqref="L16:L24 Q16:Q24 O18:O24 D31:D32 L99 O99 Q99">
    <cfRule type="expression" dxfId="293" priority="31" stopIfTrue="1">
      <formula>"esterreur(reference)"</formula>
    </cfRule>
  </conditionalFormatting>
  <conditionalFormatting sqref="L42:L48">
    <cfRule type="expression" dxfId="292" priority="101" stopIfTrue="1">
      <formula>"esterreur(reference)"</formula>
    </cfRule>
  </conditionalFormatting>
  <conditionalFormatting sqref="L75:L82">
    <cfRule type="expression" dxfId="291" priority="70" stopIfTrue="1">
      <formula>"esterreur(reference)"</formula>
    </cfRule>
  </conditionalFormatting>
  <conditionalFormatting sqref="L137:L148">
    <cfRule type="expression" dxfId="290" priority="74" stopIfTrue="1">
      <formula>"esterreur(reference)"</formula>
    </cfRule>
  </conditionalFormatting>
  <conditionalFormatting sqref="L175:L176">
    <cfRule type="expression" dxfId="289" priority="98" stopIfTrue="1">
      <formula>"esterreur(reference)"</formula>
    </cfRule>
  </conditionalFormatting>
  <conditionalFormatting sqref="L199:L210">
    <cfRule type="expression" dxfId="288" priority="97" stopIfTrue="1">
      <formula>"esterreur(reference)"</formula>
    </cfRule>
  </conditionalFormatting>
  <conditionalFormatting sqref="L212:L229">
    <cfRule type="expression" dxfId="287" priority="73" stopIfTrue="1">
      <formula>"esterreur(reference)"</formula>
    </cfRule>
  </conditionalFormatting>
  <conditionalFormatting sqref="L255:L266">
    <cfRule type="expression" dxfId="286" priority="96" stopIfTrue="1">
      <formula>"esterreur(reference)"</formula>
    </cfRule>
  </conditionalFormatting>
  <conditionalFormatting sqref="L268:L285">
    <cfRule type="expression" dxfId="285" priority="72" stopIfTrue="1">
      <formula>"esterreur(reference)"</formula>
    </cfRule>
  </conditionalFormatting>
  <conditionalFormatting sqref="L319:L330">
    <cfRule type="expression" dxfId="284" priority="94" stopIfTrue="1">
      <formula>"esterreur(reference)"</formula>
    </cfRule>
  </conditionalFormatting>
  <conditionalFormatting sqref="L332">
    <cfRule type="expression" dxfId="283" priority="71" stopIfTrue="1">
      <formula>"esterreur(reference)"</formula>
    </cfRule>
  </conditionalFormatting>
  <conditionalFormatting sqref="L335:L344 L346:L349">
    <cfRule type="expression" dxfId="282" priority="93" stopIfTrue="1">
      <formula>"esterreur(reference)"</formula>
    </cfRule>
  </conditionalFormatting>
  <conditionalFormatting sqref="L357:L358 H358:I358 K358 J358:J359 H360:L360">
    <cfRule type="expression" dxfId="281" priority="105" stopIfTrue="1">
      <formula>"esterreur(reference)"</formula>
    </cfRule>
  </conditionalFormatting>
  <conditionalFormatting sqref="L5:Q14">
    <cfRule type="expression" dxfId="280" priority="65" stopIfTrue="1">
      <formula>"esterreur(reference)"</formula>
    </cfRule>
  </conditionalFormatting>
  <conditionalFormatting sqref="L157:Q163">
    <cfRule type="expression" dxfId="279" priority="32" stopIfTrue="1">
      <formula>"esterreur(reference)"</formula>
    </cfRule>
  </conditionalFormatting>
  <conditionalFormatting sqref="M95:M97">
    <cfRule type="expression" dxfId="278" priority="103" stopIfTrue="1">
      <formula>"esterreur(reference)"</formula>
    </cfRule>
  </conditionalFormatting>
  <conditionalFormatting sqref="O13:O14 O16 O83:Q85">
    <cfRule type="expression" dxfId="277" priority="68" stopIfTrue="1">
      <formula>"esterreur(reference)"</formula>
    </cfRule>
  </conditionalFormatting>
  <conditionalFormatting sqref="O173:O197 Q184 O199:P230 O233:Q233 O234:P234">
    <cfRule type="expression" dxfId="276" priority="59" stopIfTrue="1">
      <formula>"esterreur(reference)"</formula>
    </cfRule>
  </conditionalFormatting>
  <conditionalFormatting sqref="O319:P349 O350:Q350 O353:Q353 O354:P354">
    <cfRule type="expression" dxfId="275" priority="43" stopIfTrue="1">
      <formula>"esterreur(reference)"</formula>
    </cfRule>
  </conditionalFormatting>
  <conditionalFormatting sqref="O25:Q72">
    <cfRule type="expression" dxfId="274" priority="29" stopIfTrue="1">
      <formula>"esterreur(reference)"</formula>
    </cfRule>
  </conditionalFormatting>
  <conditionalFormatting sqref="O97:Q99 O123:Q123 O157:P158 O165:Q165 O166:P166">
    <cfRule type="expression" dxfId="273" priority="64" stopIfTrue="1">
      <formula>"esterreur(reference)"</formula>
    </cfRule>
  </conditionalFormatting>
  <conditionalFormatting sqref="O102:Q112">
    <cfRule type="expression" dxfId="272" priority="1" stopIfTrue="1">
      <formula>"esterreur(reference)"</formula>
    </cfRule>
  </conditionalFormatting>
  <conditionalFormatting sqref="O136:Q154">
    <cfRule type="expression" dxfId="271" priority="33" stopIfTrue="1">
      <formula>"esterreur(reference)"</formula>
    </cfRule>
  </conditionalFormatting>
  <conditionalFormatting sqref="O198:Q198">
    <cfRule type="expression" dxfId="270" priority="60" stopIfTrue="1">
      <formula>"esterreur(reference)"</formula>
    </cfRule>
  </conditionalFormatting>
  <conditionalFormatting sqref="O244:Q244 O253:Q254 O255:P285 O286:Q286 O289:Q289 O290:P290">
    <cfRule type="expression" dxfId="269" priority="50" stopIfTrue="1">
      <formula>"esterreur(reference)"</formula>
    </cfRule>
  </conditionalFormatting>
  <conditionalFormatting sqref="O296:Q318">
    <cfRule type="expression" dxfId="268" priority="41" stopIfTrue="1">
      <formula>"esterreur(reference)"</formula>
    </cfRule>
  </conditionalFormatting>
  <conditionalFormatting sqref="O360:Q395">
    <cfRule type="expression" dxfId="267" priority="37" stopIfTrue="1">
      <formula>"esterreur(reference)"</formula>
    </cfRule>
  </conditionalFormatting>
  <conditionalFormatting sqref="O397:Q400">
    <cfRule type="expression" dxfId="266" priority="38" stopIfTrue="1">
      <formula>"esterreur(reference)"</formula>
    </cfRule>
  </conditionalFormatting>
  <conditionalFormatting sqref="P5">
    <cfRule type="expression" dxfId="265" priority="66" stopIfTrue="1">
      <formula>"esterreur(reference)"</formula>
    </cfRule>
  </conditionalFormatting>
  <conditionalFormatting sqref="P176">
    <cfRule type="expression" dxfId="264" priority="54" stopIfTrue="1">
      <formula>"esterreur(reference)"</formula>
    </cfRule>
  </conditionalFormatting>
  <conditionalFormatting sqref="P184:P185">
    <cfRule type="expression" dxfId="263" priority="56" stopIfTrue="1">
      <formula>"esterreur(reference)"</formula>
    </cfRule>
  </conditionalFormatting>
  <conditionalFormatting sqref="P288">
    <cfRule type="expression" dxfId="262" priority="45" stopIfTrue="1">
      <formula>"esterreur(reference)"</formula>
    </cfRule>
  </conditionalFormatting>
  <conditionalFormatting sqref="P396">
    <cfRule type="expression" dxfId="261" priority="39" stopIfTrue="1">
      <formula>"esterreur(reference)"</formula>
    </cfRule>
  </conditionalFormatting>
  <conditionalFormatting sqref="P93:Q96">
    <cfRule type="expression" dxfId="260" priority="62" stopIfTrue="1">
      <formula>"esterreur(reference)"</formula>
    </cfRule>
  </conditionalFormatting>
  <conditionalFormatting sqref="P100:Q101">
    <cfRule type="expression" dxfId="259" priority="63" stopIfTrue="1">
      <formula>"esterreur(reference)"</formula>
    </cfRule>
  </conditionalFormatting>
  <conditionalFormatting sqref="P173:Q174">
    <cfRule type="expression" dxfId="258" priority="55" stopIfTrue="1">
      <formula>"esterreur(reference)"</formula>
    </cfRule>
  </conditionalFormatting>
  <conditionalFormatting sqref="P177:Q183">
    <cfRule type="expression" dxfId="257" priority="53" stopIfTrue="1">
      <formula>"esterreur(reference)"</formula>
    </cfRule>
  </conditionalFormatting>
  <conditionalFormatting sqref="P186:Q197">
    <cfRule type="expression" dxfId="256" priority="52" stopIfTrue="1">
      <formula>"esterreur(reference)"</formula>
    </cfRule>
  </conditionalFormatting>
  <conditionalFormatting sqref="P242:Q242">
    <cfRule type="expression" dxfId="255" priority="46" stopIfTrue="1">
      <formula>"esterreur(reference)"</formula>
    </cfRule>
  </conditionalFormatting>
  <conditionalFormatting sqref="P245:Q245">
    <cfRule type="expression" dxfId="254" priority="48" stopIfTrue="1">
      <formula>"esterreur(reference)"</formula>
    </cfRule>
  </conditionalFormatting>
  <conditionalFormatting sqref="P248:Q248">
    <cfRule type="expression" dxfId="253" priority="47" stopIfTrue="1">
      <formula>"esterreur(reference)"</formula>
    </cfRule>
  </conditionalFormatting>
  <conditionalFormatting sqref="Q75:Q82">
    <cfRule type="expression" dxfId="252" priority="67" stopIfTrue="1">
      <formula>"esterreur(reference)"</formula>
    </cfRule>
  </conditionalFormatting>
  <conditionalFormatting sqref="Q175:Q176">
    <cfRule type="expression" dxfId="251" priority="58" stopIfTrue="1">
      <formula>"esterreur(reference)"</formula>
    </cfRule>
  </conditionalFormatting>
  <conditionalFormatting sqref="Q199:Q210">
    <cfRule type="expression" dxfId="250" priority="57" stopIfTrue="1">
      <formula>"esterreur(reference)"</formula>
    </cfRule>
  </conditionalFormatting>
  <conditionalFormatting sqref="Q212:Q229">
    <cfRule type="expression" dxfId="249" priority="51" stopIfTrue="1">
      <formula>"esterreur(reference)"</formula>
    </cfRule>
  </conditionalFormatting>
  <conditionalFormatting sqref="Q255:Q266">
    <cfRule type="expression" dxfId="248" priority="49" stopIfTrue="1">
      <formula>"esterreur(reference)"</formula>
    </cfRule>
  </conditionalFormatting>
  <conditionalFormatting sqref="Q268:Q285">
    <cfRule type="expression" dxfId="247" priority="44" stopIfTrue="1">
      <formula>"esterreur(reference)"</formula>
    </cfRule>
  </conditionalFormatting>
  <conditionalFormatting sqref="Q319:Q330">
    <cfRule type="expression" dxfId="246" priority="42" stopIfTrue="1">
      <formula>"esterreur(reference)"</formula>
    </cfRule>
  </conditionalFormatting>
  <conditionalFormatting sqref="Q332:Q349">
    <cfRule type="expression" dxfId="245" priority="40" stopIfTrue="1">
      <formula>"esterreur(reference)"</formula>
    </cfRule>
  </conditionalFormatting>
  <conditionalFormatting sqref="R313">
    <cfRule type="expression" dxfId="244" priority="104" stopIfTrue="1">
      <formula>"esterreur(reference)"</formula>
    </cfRule>
  </conditionalFormatting>
  <conditionalFormatting sqref="S187">
    <cfRule type="expression" dxfId="243" priority="76" stopIfTrue="1">
      <formula>"esterreur(reference)"</formula>
    </cfRule>
  </conditionalFormatting>
  <conditionalFormatting sqref="Z426:Z428">
    <cfRule type="cellIs" dxfId="242" priority="20" operator="greaterThan">
      <formula>0</formula>
    </cfRule>
  </conditionalFormatting>
  <conditionalFormatting sqref="Z433">
    <cfRule type="cellIs" dxfId="241" priority="17" operator="greaterThan">
      <formula>0</formula>
    </cfRule>
  </conditionalFormatting>
  <conditionalFormatting sqref="Z450:Z452">
    <cfRule type="cellIs" dxfId="240" priority="13" operator="greaterThan">
      <formula>0</formula>
    </cfRule>
  </conditionalFormatting>
  <conditionalFormatting sqref="Z464:Z466">
    <cfRule type="cellIs" dxfId="239" priority="9" operator="greaterThan">
      <formula>0</formula>
    </cfRule>
  </conditionalFormatting>
  <conditionalFormatting sqref="Z479:Z480">
    <cfRule type="cellIs" dxfId="238" priority="6" operator="greaterThan">
      <formula>0</formula>
    </cfRule>
  </conditionalFormatting>
  <conditionalFormatting sqref="Z496:Z498">
    <cfRule type="cellIs" dxfId="237" priority="3" operator="greaterThan">
      <formula>0</formula>
    </cfRule>
  </conditionalFormatting>
  <conditionalFormatting sqref="AC426:AC428">
    <cfRule type="cellIs" dxfId="236" priority="21" operator="greaterThan">
      <formula>0</formula>
    </cfRule>
  </conditionalFormatting>
  <conditionalFormatting sqref="AC433">
    <cfRule type="cellIs" dxfId="235" priority="18" operator="greaterThan">
      <formula>0</formula>
    </cfRule>
  </conditionalFormatting>
  <conditionalFormatting sqref="AC450:AC452">
    <cfRule type="cellIs" dxfId="234" priority="14" operator="greaterThan">
      <formula>0</formula>
    </cfRule>
  </conditionalFormatting>
  <conditionalFormatting sqref="AC464:AC466">
    <cfRule type="cellIs" dxfId="233" priority="10" operator="greaterThan">
      <formula>0</formula>
    </cfRule>
  </conditionalFormatting>
  <conditionalFormatting sqref="AC479:AC480">
    <cfRule type="cellIs" dxfId="232" priority="7" operator="greaterThan">
      <formula>0</formula>
    </cfRule>
  </conditionalFormatting>
  <conditionalFormatting sqref="AC496:AC498">
    <cfRule type="cellIs" dxfId="231" priority="4" operator="greaterThan">
      <formula>0</formula>
    </cfRule>
  </conditionalFormatting>
  <conditionalFormatting sqref="AG410:AI419">
    <cfRule type="cellIs" dxfId="230" priority="23" operator="greaterThan">
      <formula>0</formula>
    </cfRule>
  </conditionalFormatting>
  <conditionalFormatting sqref="AH450:AH453">
    <cfRule type="cellIs" dxfId="229" priority="15" operator="greaterThan">
      <formula>0</formula>
    </cfRule>
  </conditionalFormatting>
  <conditionalFormatting sqref="AH462:AH467">
    <cfRule type="cellIs" dxfId="228" priority="11" operator="greaterThan">
      <formula>0</formula>
    </cfRule>
  </conditionalFormatting>
  <conditionalFormatting sqref="AH421:AI449">
    <cfRule type="cellIs" dxfId="227" priority="19" operator="greaterThan">
      <formula>0</formula>
    </cfRule>
  </conditionalFormatting>
  <conditionalFormatting sqref="AH454:AI461 AH468:AI469">
    <cfRule type="cellIs" dxfId="226" priority="24" operator="greaterThan">
      <formula>0</formula>
    </cfRule>
  </conditionalFormatting>
  <conditionalFormatting sqref="AH470:AI478 AH481:AI481">
    <cfRule type="cellIs" dxfId="225" priority="25" operator="lessThan">
      <formula>0</formula>
    </cfRule>
  </conditionalFormatting>
  <conditionalFormatting sqref="AH479:AI480">
    <cfRule type="cellIs" dxfId="224" priority="8" operator="greaterThan">
      <formula>0</formula>
    </cfRule>
  </conditionalFormatting>
  <conditionalFormatting sqref="AH492:AI498">
    <cfRule type="cellIs" dxfId="223" priority="5" operator="greaterThan">
      <formula>0</formula>
    </cfRule>
  </conditionalFormatting>
  <conditionalFormatting sqref="AI450:AI452">
    <cfRule type="cellIs" dxfId="222" priority="16" operator="greaterThan">
      <formula>0</formula>
    </cfRule>
  </conditionalFormatting>
  <conditionalFormatting sqref="AI464:AI466">
    <cfRule type="cellIs" dxfId="221" priority="12" operator="greaterThan">
      <formula>0</formula>
    </cfRule>
  </conditionalFormatting>
  <conditionalFormatting sqref="AO410:AO419">
    <cfRule type="cellIs" dxfId="220" priority="22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8">
    <tabColor rgb="FF00B050"/>
  </sheetPr>
  <dimension ref="A1:BJ704"/>
  <sheetViews>
    <sheetView topLeftCell="A63" zoomScale="60" zoomScaleNormal="60" workbookViewId="0">
      <selection activeCell="A63"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">
        <v>270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05" t="s">
        <v>5</v>
      </c>
      <c r="E3" s="506"/>
      <c r="F3" s="507"/>
      <c r="G3" s="508"/>
      <c r="H3" s="506"/>
      <c r="I3" s="507"/>
      <c r="J3" s="508" t="s">
        <v>7</v>
      </c>
      <c r="K3" s="506"/>
      <c r="L3" s="507"/>
      <c r="M3" s="508" t="s">
        <v>212</v>
      </c>
      <c r="N3" s="507"/>
      <c r="O3" s="505" t="s">
        <v>8</v>
      </c>
      <c r="P3" s="506"/>
      <c r="Q3" s="507"/>
      <c r="R3" s="503" t="s">
        <v>213</v>
      </c>
      <c r="S3" s="504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99" si="0">+$K$1</f>
        <v>Véhicules neufs</v>
      </c>
      <c r="C5" s="20" t="s">
        <v>14</v>
      </c>
      <c r="D5" s="21"/>
      <c r="E5" s="21"/>
      <c r="F5" s="22">
        <v>2084360.1960784316</v>
      </c>
      <c r="G5" s="23"/>
      <c r="H5" s="21"/>
      <c r="I5" s="24"/>
      <c r="J5" s="23"/>
      <c r="K5" s="25"/>
      <c r="L5" s="22">
        <v>2529345.65</v>
      </c>
      <c r="M5" s="26"/>
      <c r="N5" s="27"/>
      <c r="O5" s="23"/>
      <c r="P5" s="25"/>
      <c r="Q5" s="22">
        <v>2051139.14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:A85" si="1">+B6&amp;C6</f>
        <v>Véhicules neufsAutos détail</v>
      </c>
      <c r="B6" s="11" t="str">
        <f t="shared" si="0"/>
        <v>Véhicules neufs</v>
      </c>
      <c r="C6" s="29" t="s">
        <v>15</v>
      </c>
      <c r="D6" s="30">
        <v>6</v>
      </c>
      <c r="E6" s="30">
        <f>IF(D6=0,0,F6/D6)</f>
        <v>4701.1764705882351</v>
      </c>
      <c r="F6" s="30">
        <v>28207.058823529413</v>
      </c>
      <c r="G6" s="31"/>
      <c r="H6" s="30"/>
      <c r="I6" s="30"/>
      <c r="J6" s="31">
        <v>4</v>
      </c>
      <c r="K6" s="30">
        <f>IF(J6=0,0,L6/J6)</f>
        <v>5341.1424999999908</v>
      </c>
      <c r="L6" s="32">
        <v>21364.569999999963</v>
      </c>
      <c r="M6" s="31">
        <f t="shared" ref="M6:M12" si="2">J6-D6</f>
        <v>-2</v>
      </c>
      <c r="N6" s="33">
        <f t="shared" ref="N6:N12" si="3">L6-F6</f>
        <v>-6842.4888235294493</v>
      </c>
      <c r="O6" s="31">
        <v>8</v>
      </c>
      <c r="P6" s="30">
        <f t="shared" ref="P6:P12" si="4">IF(O6=0,0,Q6/O6)</f>
        <v>4828.9049999999879</v>
      </c>
      <c r="Q6" s="32">
        <v>38631.239999999903</v>
      </c>
      <c r="R6" s="31">
        <f>J6-O6</f>
        <v>-4</v>
      </c>
      <c r="S6" s="34">
        <f>L6-Q6</f>
        <v>-17266.66999999994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>+B7&amp;C7</f>
        <v>Véhicules neufsCamions détail</v>
      </c>
      <c r="B7" s="11" t="str">
        <f t="shared" si="0"/>
        <v>Véhicules neufs</v>
      </c>
      <c r="C7" s="29" t="s">
        <v>16</v>
      </c>
      <c r="D7" s="30">
        <v>14</v>
      </c>
      <c r="E7" s="30">
        <f t="shared" ref="E7:E12" si="5">IF(D7=0,0,F7/D7)</f>
        <v>3928.5</v>
      </c>
      <c r="F7" s="30">
        <v>54999</v>
      </c>
      <c r="G7" s="31"/>
      <c r="H7" s="30"/>
      <c r="I7" s="30"/>
      <c r="J7" s="31">
        <v>21</v>
      </c>
      <c r="K7" s="30">
        <f t="shared" ref="K7:K12" si="6">IF(J7=0,0,L7/J7)</f>
        <v>4691.8157142857144</v>
      </c>
      <c r="L7" s="32">
        <v>98528.13</v>
      </c>
      <c r="M7" s="31">
        <f t="shared" si="2"/>
        <v>7</v>
      </c>
      <c r="N7" s="33">
        <f t="shared" si="3"/>
        <v>43529.130000000005</v>
      </c>
      <c r="O7" s="31">
        <v>11</v>
      </c>
      <c r="P7" s="30">
        <f t="shared" si="4"/>
        <v>3009.2290909090907</v>
      </c>
      <c r="Q7" s="32">
        <v>33101.519999999997</v>
      </c>
      <c r="R7" s="31">
        <f t="shared" ref="R7:R12" si="7">J7-O7</f>
        <v>10</v>
      </c>
      <c r="S7" s="34">
        <f t="shared" ref="S7:S12" si="8">L7-Q7</f>
        <v>65426.610000000008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>+B8&amp;C8</f>
        <v>Véhicules neufsSprinter</v>
      </c>
      <c r="B8" s="11" t="str">
        <f t="shared" si="0"/>
        <v>Véhicules neufs</v>
      </c>
      <c r="C8" s="29" t="s">
        <v>17</v>
      </c>
      <c r="D8" s="30">
        <v>0</v>
      </c>
      <c r="E8" s="30">
        <f t="shared" si="5"/>
        <v>0</v>
      </c>
      <c r="F8" s="30">
        <v>0</v>
      </c>
      <c r="G8" s="31"/>
      <c r="H8" s="30"/>
      <c r="I8" s="30"/>
      <c r="J8" s="31">
        <v>0</v>
      </c>
      <c r="K8" s="30">
        <f t="shared" si="6"/>
        <v>0</v>
      </c>
      <c r="L8" s="32">
        <v>0</v>
      </c>
      <c r="M8" s="31">
        <f t="shared" si="2"/>
        <v>0</v>
      </c>
      <c r="N8" s="33">
        <f t="shared" si="3"/>
        <v>0</v>
      </c>
      <c r="O8" s="31">
        <v>0</v>
      </c>
      <c r="P8" s="30">
        <f t="shared" si="4"/>
        <v>0</v>
      </c>
      <c r="Q8" s="32"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>+B9&amp;C9</f>
        <v>Véhicules neufsMoto détail</v>
      </c>
      <c r="B9" s="11" t="str">
        <f t="shared" si="0"/>
        <v>Véhicules neufs</v>
      </c>
      <c r="C9" s="29" t="s">
        <v>18</v>
      </c>
      <c r="D9" s="30">
        <v>0</v>
      </c>
      <c r="E9" s="30">
        <f t="shared" si="5"/>
        <v>0</v>
      </c>
      <c r="F9" s="30">
        <v>0</v>
      </c>
      <c r="G9" s="31"/>
      <c r="H9" s="30"/>
      <c r="I9" s="30"/>
      <c r="J9" s="31">
        <v>0</v>
      </c>
      <c r="K9" s="30">
        <f t="shared" si="6"/>
        <v>0</v>
      </c>
      <c r="L9" s="32">
        <v>0</v>
      </c>
      <c r="M9" s="31">
        <f t="shared" si="2"/>
        <v>0</v>
      </c>
      <c r="N9" s="33">
        <f t="shared" si="3"/>
        <v>0</v>
      </c>
      <c r="O9" s="31">
        <v>0</v>
      </c>
      <c r="P9" s="30">
        <f t="shared" si="4"/>
        <v>0</v>
      </c>
      <c r="Q9" s="32"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>+B10&amp;C10</f>
        <v>Véhicules neufs[...]</v>
      </c>
      <c r="B10" s="11" t="str">
        <f t="shared" si="0"/>
        <v>Véhicules neufs</v>
      </c>
      <c r="C10" s="29" t="s">
        <v>19</v>
      </c>
      <c r="D10" s="30">
        <v>0</v>
      </c>
      <c r="E10" s="30">
        <f t="shared" si="5"/>
        <v>0</v>
      </c>
      <c r="F10" s="30">
        <v>0</v>
      </c>
      <c r="G10" s="31"/>
      <c r="H10" s="30"/>
      <c r="I10" s="30"/>
      <c r="J10" s="31">
        <v>0</v>
      </c>
      <c r="K10" s="30">
        <f t="shared" si="6"/>
        <v>0</v>
      </c>
      <c r="L10" s="32">
        <v>0</v>
      </c>
      <c r="M10" s="31">
        <f t="shared" si="2"/>
        <v>0</v>
      </c>
      <c r="N10" s="33">
        <f t="shared" si="3"/>
        <v>0</v>
      </c>
      <c r="O10" s="31">
        <v>0</v>
      </c>
      <c r="P10" s="30">
        <f t="shared" si="4"/>
        <v>0</v>
      </c>
      <c r="Q10" s="32"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>+B11&amp;C11</f>
        <v>Véhicules neufs[...]</v>
      </c>
      <c r="B11" s="11" t="str">
        <f t="shared" si="0"/>
        <v>Véhicules neufs</v>
      </c>
      <c r="C11" s="29" t="s">
        <v>19</v>
      </c>
      <c r="D11" s="30">
        <v>0</v>
      </c>
      <c r="E11" s="30">
        <f t="shared" si="5"/>
        <v>0</v>
      </c>
      <c r="F11" s="30">
        <v>0</v>
      </c>
      <c r="G11" s="31"/>
      <c r="H11" s="30"/>
      <c r="I11" s="30"/>
      <c r="J11" s="31">
        <v>0</v>
      </c>
      <c r="K11" s="30">
        <f t="shared" si="6"/>
        <v>0</v>
      </c>
      <c r="L11" s="32">
        <v>0</v>
      </c>
      <c r="M11" s="31">
        <f t="shared" si="2"/>
        <v>0</v>
      </c>
      <c r="N11" s="33">
        <f t="shared" si="3"/>
        <v>0</v>
      </c>
      <c r="O11" s="31">
        <v>0</v>
      </c>
      <c r="P11" s="30">
        <f t="shared" si="4"/>
        <v>0</v>
      </c>
      <c r="Q11" s="32"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ref="A12:A91" si="9">+B12&amp;C12</f>
        <v>Véhicules neufs[...]</v>
      </c>
      <c r="B12" s="11" t="str">
        <f t="shared" si="0"/>
        <v>Véhicules neufs</v>
      </c>
      <c r="C12" s="29" t="s">
        <v>19</v>
      </c>
      <c r="D12" s="30">
        <v>0</v>
      </c>
      <c r="E12" s="30">
        <f t="shared" si="5"/>
        <v>0</v>
      </c>
      <c r="F12" s="30">
        <v>0</v>
      </c>
      <c r="G12" s="31"/>
      <c r="H12" s="30"/>
      <c r="I12" s="30"/>
      <c r="J12" s="31">
        <v>0</v>
      </c>
      <c r="K12" s="30">
        <f t="shared" si="6"/>
        <v>0</v>
      </c>
      <c r="L12" s="32">
        <v>0</v>
      </c>
      <c r="M12" s="31">
        <f t="shared" si="2"/>
        <v>0</v>
      </c>
      <c r="N12" s="33">
        <f t="shared" si="3"/>
        <v>0</v>
      </c>
      <c r="O12" s="31">
        <v>0</v>
      </c>
      <c r="P12" s="30">
        <f t="shared" si="4"/>
        <v>0</v>
      </c>
      <c r="Q12" s="32"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9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20</v>
      </c>
      <c r="E13" s="36">
        <f>IF(D13&lt;=0,0,F13/D13)</f>
        <v>4160.302941176471</v>
      </c>
      <c r="F13" s="37">
        <f>+SUM(F6:F12)</f>
        <v>83206.058823529413</v>
      </c>
      <c r="G13" s="38"/>
      <c r="H13" s="36"/>
      <c r="I13" s="37"/>
      <c r="J13" s="38">
        <f>+SUM(J6:J12)</f>
        <v>25</v>
      </c>
      <c r="K13" s="36">
        <f>IF(J13&lt;=0,0,L13/J13)</f>
        <v>4795.7079999999987</v>
      </c>
      <c r="L13" s="37">
        <f>+SUM(L6:L12)</f>
        <v>119892.69999999997</v>
      </c>
      <c r="M13" s="38">
        <f>+SUM(M6:M12)</f>
        <v>5</v>
      </c>
      <c r="N13" s="37">
        <f>+SUM(N6:N12)</f>
        <v>36686.641176470555</v>
      </c>
      <c r="O13" s="38">
        <f>+SUM(O6:O12)</f>
        <v>19</v>
      </c>
      <c r="P13" s="36">
        <f>IF(O13&lt;=0,0,Q13/O13)</f>
        <v>3775.4084210526257</v>
      </c>
      <c r="Q13" s="37">
        <f>+SUM(Q6:Q12)</f>
        <v>71732.759999999893</v>
      </c>
      <c r="R13" s="38">
        <f>+SUM(R6:R12)</f>
        <v>6</v>
      </c>
      <c r="S13" s="39">
        <f>+SUM(S6:S12)</f>
        <v>48159.940000000068</v>
      </c>
      <c r="T13" s="13"/>
      <c r="U13" s="13"/>
      <c r="W13" s="11">
        <v>25</v>
      </c>
      <c r="X13" s="11">
        <v>119893</v>
      </c>
      <c r="Y13" s="515">
        <f>L13-X13</f>
        <v>-0.30000000003201421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9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0.25</v>
      </c>
      <c r="N14" s="43">
        <f>IF(F13=0,0,N13/F13)</f>
        <v>0.44091309809876644</v>
      </c>
      <c r="O14" s="41"/>
      <c r="P14" s="30"/>
      <c r="Q14" s="40"/>
      <c r="R14" s="42">
        <f>R13/O13</f>
        <v>0.31578947368421051</v>
      </c>
      <c r="S14" s="44">
        <f>IF(Q13=0,0,(S13/Q13))</f>
        <v>0.67137999430107165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9"/>
        <v>Véhicules neufsEx-Démos et courtoisies</v>
      </c>
      <c r="B15" s="11" t="str">
        <f t="shared" si="0"/>
        <v>Véhicules neufs</v>
      </c>
      <c r="C15" s="45" t="s">
        <v>21</v>
      </c>
      <c r="D15" s="25">
        <v>3</v>
      </c>
      <c r="E15" s="25">
        <f>IF(D15=0,0,F15/D15)</f>
        <v>1200</v>
      </c>
      <c r="F15" s="22">
        <v>3600</v>
      </c>
      <c r="G15" s="46"/>
      <c r="H15" s="47"/>
      <c r="I15" s="48"/>
      <c r="J15" s="49">
        <v>3</v>
      </c>
      <c r="K15" s="50">
        <f>IF(J15=0,0,L15/J15)</f>
        <v>2217.8099999999977</v>
      </c>
      <c r="L15" s="50">
        <v>6653.429999999993</v>
      </c>
      <c r="M15" s="51">
        <f>J15-D15</f>
        <v>0</v>
      </c>
      <c r="N15" s="48">
        <f>L15-F15</f>
        <v>3053.429999999993</v>
      </c>
      <c r="O15" s="49">
        <v>2</v>
      </c>
      <c r="P15" s="50">
        <f>IF(O15=0,0,Q15/O15)</f>
        <v>2500</v>
      </c>
      <c r="Q15" s="50">
        <v>5000</v>
      </c>
      <c r="R15" s="51">
        <f>J15-O15</f>
        <v>1</v>
      </c>
      <c r="S15" s="52">
        <f>L15-Q15</f>
        <v>1653.429999999993</v>
      </c>
      <c r="T15" s="13"/>
      <c r="U15" s="13"/>
      <c r="W15" s="453">
        <v>3</v>
      </c>
      <c r="X15" s="11">
        <v>6653</v>
      </c>
      <c r="Y15" s="515">
        <f>L15-X15</f>
        <v>0.42999999999301508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9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9"/>
        <v>Véhicules neufsFlottes</v>
      </c>
      <c r="B17" s="11" t="str">
        <f t="shared" si="0"/>
        <v>Véhicules neufs</v>
      </c>
      <c r="C17" s="53" t="s">
        <v>22</v>
      </c>
      <c r="D17" s="30">
        <v>1</v>
      </c>
      <c r="E17" s="30">
        <f>IF(D17=0,0,F17/D17)</f>
        <v>750</v>
      </c>
      <c r="F17" s="30">
        <v>750</v>
      </c>
      <c r="G17" s="31"/>
      <c r="H17" s="30"/>
      <c r="I17" s="30"/>
      <c r="J17" s="51">
        <v>1</v>
      </c>
      <c r="K17" s="30">
        <f>IF(J17=0,0,L17/J17)</f>
        <v>5197.9900000000052</v>
      </c>
      <c r="L17" s="33">
        <v>5197.9900000000052</v>
      </c>
      <c r="M17" s="51">
        <f>J17-D17</f>
        <v>0</v>
      </c>
      <c r="N17" s="33">
        <f>L17-F17</f>
        <v>4447.9900000000052</v>
      </c>
      <c r="O17" s="51">
        <v>0</v>
      </c>
      <c r="P17" s="30">
        <f>IF(O17=0,0,Q17/O17)</f>
        <v>0</v>
      </c>
      <c r="Q17" s="33">
        <v>0</v>
      </c>
      <c r="R17" s="31">
        <f>J17-O17</f>
        <v>1</v>
      </c>
      <c r="S17" s="34">
        <f>L17-Q17</f>
        <v>5197.9900000000052</v>
      </c>
      <c r="T17" s="13"/>
      <c r="U17" s="13"/>
      <c r="W17" s="11">
        <v>1</v>
      </c>
      <c r="X17" s="11">
        <v>5198</v>
      </c>
      <c r="Y17" s="515">
        <f>L17-X17</f>
        <v>-9.9999999947613105E-3</v>
      </c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9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0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9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9"/>
        <v>Véhicules neufsRev. Finances</v>
      </c>
      <c r="B21" s="11" t="str">
        <f t="shared" si="0"/>
        <v>Véhicules neufs</v>
      </c>
      <c r="C21" s="29" t="s">
        <v>24</v>
      </c>
      <c r="D21" s="30"/>
      <c r="E21" s="30">
        <f>IF(D13=0,0,F21/(D13+D15))</f>
        <v>7</v>
      </c>
      <c r="F21" s="30">
        <v>161</v>
      </c>
      <c r="G21" s="41"/>
      <c r="H21" s="30"/>
      <c r="I21" s="30"/>
      <c r="J21" s="31"/>
      <c r="K21" s="30">
        <f>IF(J13=0,0,L21/(J13+J15))</f>
        <v>0</v>
      </c>
      <c r="L21" s="33">
        <v>0</v>
      </c>
      <c r="M21" s="31"/>
      <c r="N21" s="33">
        <f>L21-F21</f>
        <v>-161</v>
      </c>
      <c r="O21" s="31"/>
      <c r="P21" s="30">
        <f>IF(O13=0,0,Q21/(O13+O15))</f>
        <v>0</v>
      </c>
      <c r="Q21" s="33"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9"/>
        <v>Véhicules neufsRev. Protections</v>
      </c>
      <c r="B22" s="11" t="str">
        <f t="shared" si="0"/>
        <v>Véhicules neufs</v>
      </c>
      <c r="C22" s="29" t="s">
        <v>25</v>
      </c>
      <c r="D22" s="30"/>
      <c r="E22" s="30">
        <f>IF(D13=0,0,F22/(D13+D15))</f>
        <v>1150</v>
      </c>
      <c r="F22" s="30">
        <v>26450</v>
      </c>
      <c r="G22" s="41"/>
      <c r="H22" s="30"/>
      <c r="I22" s="30"/>
      <c r="J22" s="31"/>
      <c r="K22" s="30">
        <f>IF(J13=0,0,L22/(J13+J15))</f>
        <v>442.32142857142856</v>
      </c>
      <c r="L22" s="33">
        <v>12385</v>
      </c>
      <c r="M22" s="31"/>
      <c r="N22" s="33">
        <f>L22-F22</f>
        <v>-14065</v>
      </c>
      <c r="O22" s="31"/>
      <c r="P22" s="30">
        <f>IF(O13=0,0,Q22/(O13+O15))</f>
        <v>1323.5704761904715</v>
      </c>
      <c r="Q22" s="33">
        <v>27794.979999999901</v>
      </c>
      <c r="R22" s="31">
        <f>O22-K22</f>
        <v>-442.32142857142856</v>
      </c>
      <c r="S22" s="34">
        <f>L22-Q22</f>
        <v>-15409.979999999901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9"/>
        <v>Véhicules neufsRev. Autres</v>
      </c>
      <c r="B23" s="11" t="str">
        <f t="shared" si="0"/>
        <v>Véhicules neufs</v>
      </c>
      <c r="C23" s="29" t="s">
        <v>26</v>
      </c>
      <c r="D23" s="30"/>
      <c r="E23" s="30">
        <f>IF(D13=0,0,F23/(D13+D15))</f>
        <v>443</v>
      </c>
      <c r="F23" s="30">
        <v>10189</v>
      </c>
      <c r="G23" s="41"/>
      <c r="H23" s="30"/>
      <c r="I23" s="30"/>
      <c r="J23" s="31"/>
      <c r="K23" s="30">
        <f>IF(J13=0,0,L23/(J13+J15))</f>
        <v>455.3125</v>
      </c>
      <c r="L23" s="33">
        <v>12748.75</v>
      </c>
      <c r="M23" s="51"/>
      <c r="N23" s="33">
        <f>L23-F23</f>
        <v>2559.75</v>
      </c>
      <c r="O23" s="31"/>
      <c r="P23" s="30">
        <f>IF(O13=0,0,Q23/(O13+O15))</f>
        <v>689.83714285714291</v>
      </c>
      <c r="Q23" s="33">
        <v>14486.58</v>
      </c>
      <c r="R23" s="31">
        <f>O23-K23</f>
        <v>-455.3125</v>
      </c>
      <c r="S23" s="34">
        <f>L23-Q23</f>
        <v>-1737.83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9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23</v>
      </c>
      <c r="E24" s="36">
        <f>IF(D24&lt;=0,0,F24/D24)</f>
        <v>1600</v>
      </c>
      <c r="F24" s="37">
        <f>F21+F22+F23</f>
        <v>36800</v>
      </c>
      <c r="G24" s="38"/>
      <c r="H24" s="36"/>
      <c r="I24" s="37"/>
      <c r="J24" s="38">
        <f>+J15+J13</f>
        <v>28</v>
      </c>
      <c r="K24" s="36">
        <f>IF(J24&lt;=0,0,L24/J24)</f>
        <v>897.63392857142856</v>
      </c>
      <c r="L24" s="37">
        <f>L21+L22+L23</f>
        <v>25133.75</v>
      </c>
      <c r="M24" s="58">
        <f>J24-D24</f>
        <v>5</v>
      </c>
      <c r="N24" s="37">
        <f>L24-F24</f>
        <v>-11666.25</v>
      </c>
      <c r="O24" s="38">
        <f>+O15+O13</f>
        <v>21</v>
      </c>
      <c r="P24" s="36">
        <f>IF(O24&lt;=0,0,Q24/O24)</f>
        <v>2013.4076190476144</v>
      </c>
      <c r="Q24" s="37">
        <f>Q21+Q22+Q23</f>
        <v>42281.559999999903</v>
      </c>
      <c r="R24" s="56"/>
      <c r="S24" s="39">
        <f>L24-Q24</f>
        <v>-17147.809999999903</v>
      </c>
      <c r="T24" s="13"/>
      <c r="U24" s="13"/>
      <c r="W24" s="11"/>
      <c r="X24" s="11">
        <v>25134</v>
      </c>
      <c r="Y24" s="515">
        <f>L24-X24</f>
        <v>-0.25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9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-0.31701766304347828</v>
      </c>
      <c r="O25" s="41"/>
      <c r="P25" s="13"/>
      <c r="Q25" s="59"/>
      <c r="R25" s="60"/>
      <c r="S25" s="44">
        <f>IF(Q24=0,0,(S24/Q24))</f>
        <v>-0.40556237754709007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9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9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24</v>
      </c>
      <c r="E27" s="64">
        <f>IF(D27&lt;=0,0,F27/D27)</f>
        <v>5181.5024509803925</v>
      </c>
      <c r="F27" s="65">
        <f>F13+F17+F24+F15</f>
        <v>124356.05882352941</v>
      </c>
      <c r="G27" s="66"/>
      <c r="H27" s="67"/>
      <c r="I27" s="65"/>
      <c r="J27" s="66">
        <f>+J13+J15+J17</f>
        <v>29</v>
      </c>
      <c r="K27" s="67">
        <f>IF(J27&lt;=0,0,L27/J27)</f>
        <v>5409.58172413793</v>
      </c>
      <c r="L27" s="65">
        <f>L13+L17+L24+L15</f>
        <v>156877.86999999997</v>
      </c>
      <c r="M27" s="66">
        <f>J27-D27</f>
        <v>5</v>
      </c>
      <c r="N27" s="65">
        <f>L27-F27</f>
        <v>32521.811176470554</v>
      </c>
      <c r="O27" s="66">
        <f>+O13+O15+O17</f>
        <v>21</v>
      </c>
      <c r="P27" s="67">
        <f>IF(O27&lt;=0,0,Q27/O27)</f>
        <v>5667.3485714285616</v>
      </c>
      <c r="Q27" s="65">
        <f>Q13+Q17+Q24+Q15</f>
        <v>119014.3199999998</v>
      </c>
      <c r="R27" s="66">
        <f>J27-O27</f>
        <v>8</v>
      </c>
      <c r="S27" s="68">
        <f>L27-Q27</f>
        <v>37863.550000000163</v>
      </c>
      <c r="T27" s="13"/>
      <c r="U27" s="13"/>
      <c r="W27" s="11">
        <f>SUM(W13:W26)</f>
        <v>29</v>
      </c>
      <c r="X27" s="11">
        <f>SUM(X13:X26)</f>
        <v>156878</v>
      </c>
      <c r="Y27" s="515">
        <f>L27-X27</f>
        <v>-0.13000000003376044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9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0.20833333333333334</v>
      </c>
      <c r="N28" s="74">
        <f>N27/F27</f>
        <v>0.26152172627649328</v>
      </c>
      <c r="O28" s="72"/>
      <c r="P28" s="70"/>
      <c r="Q28" s="71"/>
      <c r="R28" s="73">
        <f>R27/O27</f>
        <v>0.38095238095238093</v>
      </c>
      <c r="S28" s="75">
        <f>IF(Q27=0,0,S27/Q27)</f>
        <v>0.31814280836121422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9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9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9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0.28627793999541745</v>
      </c>
      <c r="E31" s="82">
        <f t="shared" ref="E31:E40" si="10">F31/D$24</f>
        <v>1080.4634651791753</v>
      </c>
      <c r="F31" s="30">
        <v>24850.659699121032</v>
      </c>
      <c r="G31" s="156"/>
      <c r="H31" s="82"/>
      <c r="I31" s="30"/>
      <c r="J31" s="156">
        <f>L31/(L13+L15)</f>
        <v>0.28963754166168504</v>
      </c>
      <c r="K31" s="82">
        <f t="shared" ref="K31:K40" si="11">IF(L31=0,0,L31/J$24)</f>
        <v>1309.0182142857143</v>
      </c>
      <c r="L31" s="30">
        <v>36652.51</v>
      </c>
      <c r="M31" s="41"/>
      <c r="N31" s="59">
        <f t="shared" ref="N31:N53" si="12">L31-F31</f>
        <v>11801.85030087897</v>
      </c>
      <c r="O31" s="156">
        <f>Q31/(Q13+Q15+Q17)</f>
        <v>0.28107890293533072</v>
      </c>
      <c r="P31" s="82">
        <f t="shared" ref="P31:P40" si="13">Q31/O$24</f>
        <v>1027.0457142857142</v>
      </c>
      <c r="Q31" s="33">
        <v>21567.96</v>
      </c>
      <c r="R31" s="41"/>
      <c r="S31" s="85">
        <f t="shared" ref="S31:S41" si="14">L31-Q31</f>
        <v>15084.550000000003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9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v>11224</v>
      </c>
      <c r="G32" s="161"/>
      <c r="H32" s="90"/>
      <c r="I32" s="22"/>
      <c r="J32" s="161">
        <f>L32/L24</f>
        <v>0.20312209678221516</v>
      </c>
      <c r="K32" s="88">
        <f t="shared" si="11"/>
        <v>182.32928571428573</v>
      </c>
      <c r="L32" s="22">
        <v>5105.22</v>
      </c>
      <c r="M32" s="23"/>
      <c r="N32" s="91">
        <f t="shared" si="12"/>
        <v>-6118.78</v>
      </c>
      <c r="O32" s="161">
        <f>Q32/Q24</f>
        <v>0.18221607717406874</v>
      </c>
      <c r="P32" s="88">
        <f t="shared" si="13"/>
        <v>366.8752380952381</v>
      </c>
      <c r="Q32" s="22">
        <v>7704.38</v>
      </c>
      <c r="R32" s="23"/>
      <c r="S32" s="92">
        <f t="shared" si="14"/>
        <v>-2599.16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9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v>2760</v>
      </c>
      <c r="G33" s="83"/>
      <c r="H33" s="82"/>
      <c r="I33" s="30"/>
      <c r="J33" s="41"/>
      <c r="K33" s="82">
        <f t="shared" si="11"/>
        <v>232.73</v>
      </c>
      <c r="L33" s="30">
        <v>6516.44</v>
      </c>
      <c r="M33" s="41"/>
      <c r="N33" s="59">
        <f t="shared" si="12"/>
        <v>3756.4399999999996</v>
      </c>
      <c r="O33" s="41"/>
      <c r="P33" s="82">
        <f t="shared" si="13"/>
        <v>239.92619047619047</v>
      </c>
      <c r="Q33" s="33">
        <v>5038.45</v>
      </c>
      <c r="R33" s="41"/>
      <c r="S33" s="85">
        <f t="shared" si="14"/>
        <v>1477.9899999999998</v>
      </c>
      <c r="T33" s="13"/>
      <c r="U33" s="13"/>
      <c r="V33" s="489" t="s">
        <v>262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9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v>805</v>
      </c>
      <c r="G34" s="83"/>
      <c r="H34" s="82"/>
      <c r="I34" s="30"/>
      <c r="J34" s="41"/>
      <c r="K34" s="82">
        <f t="shared" si="11"/>
        <v>34.21178571428571</v>
      </c>
      <c r="L34" s="30">
        <v>957.93</v>
      </c>
      <c r="M34" s="41"/>
      <c r="N34" s="59">
        <f t="shared" si="12"/>
        <v>152.92999999999995</v>
      </c>
      <c r="O34" s="41"/>
      <c r="P34" s="82">
        <f t="shared" si="13"/>
        <v>39.986666666666665</v>
      </c>
      <c r="Q34" s="33">
        <v>839.72</v>
      </c>
      <c r="R34" s="41"/>
      <c r="S34" s="85">
        <f t="shared" si="14"/>
        <v>118.20999999999992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9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99.521739130434781</v>
      </c>
      <c r="F35" s="22">
        <v>2289</v>
      </c>
      <c r="G35" s="89"/>
      <c r="H35" s="90"/>
      <c r="I35" s="22"/>
      <c r="J35" s="23"/>
      <c r="K35" s="88">
        <f t="shared" si="11"/>
        <v>54.525357142857146</v>
      </c>
      <c r="L35" s="22">
        <v>1526.71</v>
      </c>
      <c r="M35" s="23"/>
      <c r="N35" s="91">
        <f t="shared" si="12"/>
        <v>-762.29</v>
      </c>
      <c r="O35" s="23"/>
      <c r="P35" s="88">
        <f t="shared" si="13"/>
        <v>91.878571428571433</v>
      </c>
      <c r="Q35" s="33">
        <v>1929.45</v>
      </c>
      <c r="R35" s="23"/>
      <c r="S35" s="92">
        <f t="shared" si="14"/>
        <v>-402.74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9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234.88787878787875</v>
      </c>
      <c r="F36" s="30">
        <v>5402.4212121212113</v>
      </c>
      <c r="G36" s="83"/>
      <c r="H36" s="82"/>
      <c r="I36" s="30"/>
      <c r="J36" s="41"/>
      <c r="K36" s="82">
        <f t="shared" si="11"/>
        <v>125.91928571428571</v>
      </c>
      <c r="L36" s="454">
        <v>3525.74</v>
      </c>
      <c r="M36" s="13"/>
      <c r="N36" s="59">
        <f t="shared" si="12"/>
        <v>-1876.6812121212115</v>
      </c>
      <c r="O36" s="41"/>
      <c r="P36" s="82">
        <f t="shared" si="13"/>
        <v>566.75190476190483</v>
      </c>
      <c r="Q36" s="55">
        <v>11901.79</v>
      </c>
      <c r="R36" s="41"/>
      <c r="S36" s="85">
        <f t="shared" si="14"/>
        <v>-8376.0500000000011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>+B37&amp;C37</f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1001.9018722126057</v>
      </c>
      <c r="F37" s="30">
        <v>23043.74306088993</v>
      </c>
      <c r="G37" s="83"/>
      <c r="H37" s="82"/>
      <c r="I37" s="30"/>
      <c r="J37" s="41"/>
      <c r="K37" s="82">
        <f t="shared" si="11"/>
        <v>905.8896428571428</v>
      </c>
      <c r="L37" s="455">
        <v>25364.91</v>
      </c>
      <c r="M37" s="13"/>
      <c r="N37" s="59">
        <f t="shared" si="12"/>
        <v>2321.1669391100695</v>
      </c>
      <c r="O37" s="41"/>
      <c r="P37" s="82">
        <f t="shared" si="13"/>
        <v>1046.0519047619048</v>
      </c>
      <c r="Q37" s="33">
        <v>21967.09</v>
      </c>
      <c r="R37" s="41"/>
      <c r="S37" s="85">
        <f>L37-Q37</f>
        <v>3397.8199999999997</v>
      </c>
      <c r="T37" s="13"/>
      <c r="U37" s="13"/>
      <c r="V37" s="489">
        <v>25365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>+B38&amp;C38</f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v>0</v>
      </c>
      <c r="G38" s="83"/>
      <c r="H38" s="82"/>
      <c r="I38" s="30"/>
      <c r="J38" s="41"/>
      <c r="K38" s="82">
        <f t="shared" si="11"/>
        <v>0</v>
      </c>
      <c r="L38" s="455">
        <v>0</v>
      </c>
      <c r="M38" s="13"/>
      <c r="N38" s="59">
        <f t="shared" si="12"/>
        <v>0</v>
      </c>
      <c r="O38" s="41"/>
      <c r="P38" s="82">
        <f t="shared" si="13"/>
        <v>0</v>
      </c>
      <c r="Q38" s="33"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>+B39&amp;C39</f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v>0</v>
      </c>
      <c r="G39" s="83"/>
      <c r="H39" s="82"/>
      <c r="I39" s="30"/>
      <c r="J39" s="41"/>
      <c r="K39" s="82">
        <f t="shared" si="11"/>
        <v>0</v>
      </c>
      <c r="L39" s="455">
        <v>0</v>
      </c>
      <c r="M39" s="13"/>
      <c r="N39" s="59">
        <f t="shared" si="12"/>
        <v>0</v>
      </c>
      <c r="O39" s="41"/>
      <c r="P39" s="82">
        <f t="shared" si="13"/>
        <v>0</v>
      </c>
      <c r="Q39" s="33"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ref="A40:A119" si="15">+B40&amp;C40</f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v>0</v>
      </c>
      <c r="G40" s="83"/>
      <c r="H40" s="82"/>
      <c r="I40" s="30"/>
      <c r="J40" s="41"/>
      <c r="K40" s="82">
        <f t="shared" si="11"/>
        <v>0</v>
      </c>
      <c r="L40" s="456">
        <v>0</v>
      </c>
      <c r="M40" s="13"/>
      <c r="N40" s="59">
        <f t="shared" si="12"/>
        <v>0</v>
      </c>
      <c r="O40" s="41"/>
      <c r="P40" s="82">
        <f t="shared" si="13"/>
        <v>0</v>
      </c>
      <c r="Q40" s="33"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5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0.56591391394929402</v>
      </c>
      <c r="F41" s="96">
        <f>SUM(F31:F40)</f>
        <v>70374.823972132173</v>
      </c>
      <c r="G41" s="97"/>
      <c r="H41" s="95"/>
      <c r="I41" s="96"/>
      <c r="J41" s="97" t="s">
        <v>38</v>
      </c>
      <c r="K41" s="95">
        <f>L41/L$27</f>
        <v>0.50771635285461247</v>
      </c>
      <c r="L41" s="96">
        <f>SUM(L31:L40)</f>
        <v>79649.460000000006</v>
      </c>
      <c r="M41" s="98"/>
      <c r="N41" s="96">
        <f t="shared" si="12"/>
        <v>9274.636027867833</v>
      </c>
      <c r="O41" s="97" t="s">
        <v>38</v>
      </c>
      <c r="P41" s="95">
        <f>Q41/Q$27</f>
        <v>0.59613700267329273</v>
      </c>
      <c r="Q41" s="99">
        <f>SUM(Q31:Q40)</f>
        <v>70948.84</v>
      </c>
      <c r="R41" s="100"/>
      <c r="S41" s="101">
        <f t="shared" ref="S41:S51" si="16">L41-Q41</f>
        <v>8700.6200000000099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5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v>11649.338325123153</v>
      </c>
      <c r="G42" s="41"/>
      <c r="H42" s="13"/>
      <c r="I42" s="30"/>
      <c r="J42" s="41"/>
      <c r="K42" s="13"/>
      <c r="L42" s="33">
        <v>11797.43</v>
      </c>
      <c r="M42" s="41"/>
      <c r="N42" s="59">
        <f t="shared" si="12"/>
        <v>148.09167487684681</v>
      </c>
      <c r="O42" s="41"/>
      <c r="P42" s="13"/>
      <c r="Q42" s="33">
        <v>12528.62</v>
      </c>
      <c r="R42" s="41"/>
      <c r="S42" s="85">
        <f t="shared" si="16"/>
        <v>-731.19000000000051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5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v>4897.8542988505751</v>
      </c>
      <c r="G43" s="83"/>
      <c r="H43" s="13"/>
      <c r="I43" s="22"/>
      <c r="J43" s="41"/>
      <c r="K43" s="13"/>
      <c r="L43" s="33">
        <v>3280.48</v>
      </c>
      <c r="M43" s="41"/>
      <c r="N43" s="59">
        <f t="shared" si="12"/>
        <v>-1617.3742988505751</v>
      </c>
      <c r="O43" s="41"/>
      <c r="P43" s="13"/>
      <c r="Q43" s="33">
        <v>9037.0400000000009</v>
      </c>
      <c r="R43" s="41"/>
      <c r="S43" s="85">
        <f t="shared" si="16"/>
        <v>-5756.5600000000013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5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v>0</v>
      </c>
      <c r="G44" s="106"/>
      <c r="H44" s="105"/>
      <c r="I44" s="30"/>
      <c r="J44" s="107"/>
      <c r="K44" s="105"/>
      <c r="L44" s="108">
        <v>295</v>
      </c>
      <c r="M44" s="107"/>
      <c r="N44" s="109">
        <f t="shared" si="12"/>
        <v>295</v>
      </c>
      <c r="O44" s="107"/>
      <c r="P44" s="105"/>
      <c r="Q44" s="108">
        <v>342</v>
      </c>
      <c r="R44" s="107"/>
      <c r="S44" s="110">
        <f t="shared" si="16"/>
        <v>-47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5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v>0</v>
      </c>
      <c r="G45" s="83"/>
      <c r="H45" s="13"/>
      <c r="I45" s="30"/>
      <c r="J45" s="41"/>
      <c r="K45" s="13"/>
      <c r="L45" s="33">
        <v>0</v>
      </c>
      <c r="M45" s="41"/>
      <c r="N45" s="59">
        <f t="shared" si="12"/>
        <v>0</v>
      </c>
      <c r="O45" s="41"/>
      <c r="P45" s="13"/>
      <c r="Q45" s="33">
        <v>0</v>
      </c>
      <c r="R45" s="41"/>
      <c r="S45" s="85">
        <f t="shared" si="16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>+B46&amp;C46</f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v>0</v>
      </c>
      <c r="G46" s="83"/>
      <c r="H46" s="13"/>
      <c r="I46" s="30"/>
      <c r="J46" s="41"/>
      <c r="K46" s="13"/>
      <c r="L46" s="33">
        <v>0</v>
      </c>
      <c r="M46" s="41"/>
      <c r="N46" s="59">
        <f t="shared" si="12"/>
        <v>0</v>
      </c>
      <c r="O46" s="41"/>
      <c r="P46" s="13"/>
      <c r="Q46" s="33"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>+B47&amp;C47</f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v>0</v>
      </c>
      <c r="G47" s="83"/>
      <c r="H47" s="13"/>
      <c r="I47" s="30"/>
      <c r="J47" s="41"/>
      <c r="K47" s="13"/>
      <c r="L47" s="33">
        <v>0</v>
      </c>
      <c r="M47" s="41"/>
      <c r="N47" s="59">
        <f t="shared" si="12"/>
        <v>0</v>
      </c>
      <c r="O47" s="41"/>
      <c r="P47" s="13"/>
      <c r="Q47" s="33"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>+B48&amp;C48</f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v>0</v>
      </c>
      <c r="G48" s="83"/>
      <c r="H48" s="13"/>
      <c r="I48" s="30"/>
      <c r="J48" s="41"/>
      <c r="K48" s="13"/>
      <c r="L48" s="33">
        <v>0</v>
      </c>
      <c r="M48" s="41"/>
      <c r="N48" s="59">
        <f t="shared" si="12"/>
        <v>0</v>
      </c>
      <c r="O48" s="41"/>
      <c r="P48" s="13"/>
      <c r="Q48" s="33"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ref="A49:A128" si="17">+B49&amp;C49</f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v>5734.7081810873187</v>
      </c>
      <c r="G49" s="83"/>
      <c r="H49" s="13"/>
      <c r="I49" s="22"/>
      <c r="J49" s="41"/>
      <c r="K49" s="13"/>
      <c r="L49" s="22">
        <v>5381.67</v>
      </c>
      <c r="M49" s="41"/>
      <c r="N49" s="59">
        <f t="shared" si="12"/>
        <v>-353.03818108731866</v>
      </c>
      <c r="O49" s="41"/>
      <c r="P49" s="13"/>
      <c r="Q49" s="22">
        <v>6616.47</v>
      </c>
      <c r="R49" s="41"/>
      <c r="S49" s="85">
        <f t="shared" ref="S49:S60" si="18">L49-Q49</f>
        <v>-1234.8000000000002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7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v>7390.0878622259261</v>
      </c>
      <c r="G50" s="106"/>
      <c r="H50" s="105"/>
      <c r="I50" s="30"/>
      <c r="J50" s="107"/>
      <c r="K50" s="105"/>
      <c r="L50" s="33">
        <v>5592.12</v>
      </c>
      <c r="M50" s="107"/>
      <c r="N50" s="109">
        <f t="shared" si="12"/>
        <v>-1797.9678622259262</v>
      </c>
      <c r="O50" s="107"/>
      <c r="P50" s="105"/>
      <c r="Q50" s="33">
        <v>7148.47</v>
      </c>
      <c r="R50" s="107"/>
      <c r="S50" s="110">
        <f t="shared" si="18"/>
        <v>-1556.3500000000004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7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v>5173.0615035581477</v>
      </c>
      <c r="G51" s="83"/>
      <c r="H51" s="13"/>
      <c r="I51" s="30"/>
      <c r="J51" s="41"/>
      <c r="K51" s="13"/>
      <c r="L51" s="33">
        <v>3941.38</v>
      </c>
      <c r="M51" s="41"/>
      <c r="N51" s="59">
        <f t="shared" si="12"/>
        <v>-1231.6815035581476</v>
      </c>
      <c r="O51" s="41"/>
      <c r="P51" s="13"/>
      <c r="Q51" s="33">
        <v>4787.83</v>
      </c>
      <c r="R51" s="41"/>
      <c r="S51" s="85">
        <f t="shared" si="18"/>
        <v>-846.44999999999982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7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v>1448.4572209962816</v>
      </c>
      <c r="G52" s="83"/>
      <c r="H52" s="13"/>
      <c r="I52" s="30"/>
      <c r="J52" s="41"/>
      <c r="K52" s="13"/>
      <c r="L52" s="33">
        <v>767.47</v>
      </c>
      <c r="M52" s="41"/>
      <c r="N52" s="59">
        <f t="shared" si="12"/>
        <v>-680.98722099628162</v>
      </c>
      <c r="O52" s="41"/>
      <c r="P52" s="13"/>
      <c r="Q52" s="33">
        <v>556.58000000000004</v>
      </c>
      <c r="R52" s="41"/>
      <c r="S52" s="85">
        <f t="shared" si="18"/>
        <v>210.89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7"/>
        <v>Véhicules neufs[...]</v>
      </c>
      <c r="B53" s="11" t="str">
        <f t="shared" si="0"/>
        <v>Véhicules neufs</v>
      </c>
      <c r="C53" s="29" t="s">
        <v>19</v>
      </c>
      <c r="D53" s="87" t="e">
        <f>VLOOKUP(C53,$B$2:$B$46,1,FALSE)</f>
        <v>#N/A</v>
      </c>
      <c r="E53" s="111"/>
      <c r="F53" s="30">
        <v>0</v>
      </c>
      <c r="G53" s="89"/>
      <c r="H53" s="111"/>
      <c r="I53" s="30"/>
      <c r="J53" s="23"/>
      <c r="K53" s="111"/>
      <c r="L53" s="33">
        <v>0</v>
      </c>
      <c r="M53" s="23"/>
      <c r="N53" s="91">
        <f t="shared" si="12"/>
        <v>0</v>
      </c>
      <c r="O53" s="23"/>
      <c r="P53" s="111"/>
      <c r="Q53" s="33">
        <v>0</v>
      </c>
      <c r="R53" s="23"/>
      <c r="S53" s="92">
        <f t="shared" si="18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7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0.29185154093170979</v>
      </c>
      <c r="F54" s="96">
        <f>+SUM(F42:F53)</f>
        <v>36293.507391841405</v>
      </c>
      <c r="G54" s="97"/>
      <c r="H54" s="95"/>
      <c r="I54" s="96"/>
      <c r="J54" s="97" t="s">
        <v>38</v>
      </c>
      <c r="K54" s="95">
        <f>L54/L$27</f>
        <v>0.19796004369513692</v>
      </c>
      <c r="L54" s="96">
        <f>+SUM(L42:L53)</f>
        <v>31055.550000000003</v>
      </c>
      <c r="M54" s="100"/>
      <c r="N54" s="96">
        <f>+SUM(N42:N53)</f>
        <v>-5237.9573918414026</v>
      </c>
      <c r="O54" s="97" t="s">
        <v>38</v>
      </c>
      <c r="P54" s="95">
        <f>Q54/Q$27</f>
        <v>0.34463928374333508</v>
      </c>
      <c r="Q54" s="96">
        <f>+SUM(Q42:Q53)</f>
        <v>41017.010000000009</v>
      </c>
      <c r="R54" s="100"/>
      <c r="S54" s="101">
        <f>+SUM(S42:S53)</f>
        <v>-9961.4600000000028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7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v>0</v>
      </c>
      <c r="G55" s="83"/>
      <c r="H55" s="13"/>
      <c r="I55" s="30"/>
      <c r="J55" s="41"/>
      <c r="K55" s="13"/>
      <c r="L55" s="33">
        <v>0</v>
      </c>
      <c r="M55" s="41"/>
      <c r="N55" s="59">
        <f t="shared" ref="N55:N71" si="19">L55-F55</f>
        <v>0</v>
      </c>
      <c r="O55" s="41"/>
      <c r="P55" s="13"/>
      <c r="Q55" s="33">
        <v>0</v>
      </c>
      <c r="R55" s="41"/>
      <c r="S55" s="85">
        <f t="shared" ref="S55:S71" si="20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7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v>0</v>
      </c>
      <c r="G56" s="83"/>
      <c r="H56" s="13"/>
      <c r="I56" s="30"/>
      <c r="J56" s="41"/>
      <c r="K56" s="13"/>
      <c r="L56" s="33">
        <v>0</v>
      </c>
      <c r="M56" s="41"/>
      <c r="N56" s="59">
        <f t="shared" si="19"/>
        <v>0</v>
      </c>
      <c r="O56" s="41"/>
      <c r="P56" s="13"/>
      <c r="Q56" s="33">
        <v>0</v>
      </c>
      <c r="R56" s="41"/>
      <c r="S56" s="85">
        <f t="shared" si="20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7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v>2036.5</v>
      </c>
      <c r="G57" s="89"/>
      <c r="H57" s="111"/>
      <c r="I57" s="22"/>
      <c r="J57" s="23"/>
      <c r="K57" s="111"/>
      <c r="L57" s="22">
        <v>910.68</v>
      </c>
      <c r="M57" s="23"/>
      <c r="N57" s="91">
        <f t="shared" si="19"/>
        <v>-1125.8200000000002</v>
      </c>
      <c r="O57" s="23"/>
      <c r="P57" s="111"/>
      <c r="Q57" s="22">
        <v>8427.08</v>
      </c>
      <c r="R57" s="23"/>
      <c r="S57" s="92">
        <f t="shared" si="20"/>
        <v>-7516.4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7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v>9195.3521666666675</v>
      </c>
      <c r="G58" s="83"/>
      <c r="H58" s="13"/>
      <c r="I58" s="30"/>
      <c r="J58" s="41"/>
      <c r="K58" s="13"/>
      <c r="L58" s="33">
        <v>9289.08</v>
      </c>
      <c r="M58" s="41"/>
      <c r="N58" s="59">
        <f t="shared" si="19"/>
        <v>93.727833333332455</v>
      </c>
      <c r="O58" s="41"/>
      <c r="P58" s="13"/>
      <c r="Q58" s="33">
        <v>4714.76</v>
      </c>
      <c r="R58" s="41"/>
      <c r="S58" s="85">
        <f t="shared" si="20"/>
        <v>4574.32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7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v>1330</v>
      </c>
      <c r="G59" s="83"/>
      <c r="H59" s="13"/>
      <c r="I59" s="30"/>
      <c r="J59" s="41"/>
      <c r="K59" s="13"/>
      <c r="L59" s="33">
        <v>3562.55</v>
      </c>
      <c r="M59" s="41"/>
      <c r="N59" s="59">
        <f t="shared" si="19"/>
        <v>2232.5500000000002</v>
      </c>
      <c r="O59" s="41"/>
      <c r="P59" s="13"/>
      <c r="Q59" s="33">
        <v>528.05999999999995</v>
      </c>
      <c r="R59" s="41"/>
      <c r="S59" s="85">
        <f t="shared" si="20"/>
        <v>3034.4900000000002</v>
      </c>
      <c r="T59" s="13"/>
      <c r="U59" s="13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7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v>2672.3603333333335</v>
      </c>
      <c r="G60" s="89"/>
      <c r="H60" s="111"/>
      <c r="I60" s="22"/>
      <c r="J60" s="23"/>
      <c r="K60" s="111"/>
      <c r="L60" s="22">
        <v>2623.2</v>
      </c>
      <c r="M60" s="23"/>
      <c r="N60" s="91">
        <f t="shared" si="19"/>
        <v>-49.16033333333371</v>
      </c>
      <c r="O60" s="23"/>
      <c r="P60" s="111"/>
      <c r="Q60" s="22">
        <v>2793.6</v>
      </c>
      <c r="R60" s="23"/>
      <c r="S60" s="92">
        <f t="shared" si="20"/>
        <v>-170.40000000000009</v>
      </c>
      <c r="T60" s="13"/>
      <c r="U60" s="13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7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v>75</v>
      </c>
      <c r="G61" s="83"/>
      <c r="H61" s="13"/>
      <c r="I61" s="30"/>
      <c r="J61" s="41"/>
      <c r="K61" s="13"/>
      <c r="L61" s="33">
        <v>56.78</v>
      </c>
      <c r="M61" s="41"/>
      <c r="N61" s="59">
        <f t="shared" si="19"/>
        <v>-18.22</v>
      </c>
      <c r="O61" s="41"/>
      <c r="P61" s="13"/>
      <c r="Q61" s="33">
        <v>0</v>
      </c>
      <c r="R61" s="41"/>
      <c r="S61" s="85">
        <f t="shared" si="20"/>
        <v>56.78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7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v>30</v>
      </c>
      <c r="G62" s="83"/>
      <c r="H62" s="13"/>
      <c r="I62" s="30"/>
      <c r="J62" s="41"/>
      <c r="K62" s="13"/>
      <c r="L62" s="33">
        <v>0</v>
      </c>
      <c r="M62" s="41"/>
      <c r="N62" s="59">
        <f t="shared" si="19"/>
        <v>-30</v>
      </c>
      <c r="O62" s="41"/>
      <c r="P62" s="13"/>
      <c r="Q62" s="33">
        <v>0</v>
      </c>
      <c r="R62" s="41"/>
      <c r="S62" s="85">
        <f t="shared" si="20"/>
        <v>0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7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v>580</v>
      </c>
      <c r="G63" s="83"/>
      <c r="H63" s="13"/>
      <c r="I63" s="30"/>
      <c r="J63" s="41"/>
      <c r="K63" s="13"/>
      <c r="L63" s="32">
        <v>297.36</v>
      </c>
      <c r="M63" s="41"/>
      <c r="N63" s="59">
        <f t="shared" si="19"/>
        <v>-282.64</v>
      </c>
      <c r="O63" s="41"/>
      <c r="P63" s="13"/>
      <c r="Q63" s="32">
        <v>786.32</v>
      </c>
      <c r="R63" s="41"/>
      <c r="S63" s="85">
        <f t="shared" si="20"/>
        <v>-488.96000000000004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7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v>157.6</v>
      </c>
      <c r="G64" s="83"/>
      <c r="H64" s="13"/>
      <c r="I64" s="30"/>
      <c r="J64" s="41"/>
      <c r="K64" s="13"/>
      <c r="L64" s="33">
        <v>182.69</v>
      </c>
      <c r="M64" s="41"/>
      <c r="N64" s="59">
        <f t="shared" si="19"/>
        <v>25.090000000000003</v>
      </c>
      <c r="O64" s="41"/>
      <c r="P64" s="13"/>
      <c r="Q64" s="33">
        <v>178.01</v>
      </c>
      <c r="R64" s="41"/>
      <c r="S64" s="85">
        <f t="shared" si="20"/>
        <v>4.6800000000000068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7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v>226.66666666666666</v>
      </c>
      <c r="G65" s="83"/>
      <c r="H65" s="13"/>
      <c r="I65" s="30"/>
      <c r="J65" s="41"/>
      <c r="K65" s="13"/>
      <c r="L65" s="33">
        <v>222.82</v>
      </c>
      <c r="M65" s="41"/>
      <c r="N65" s="59">
        <f t="shared" si="19"/>
        <v>-3.846666666666664</v>
      </c>
      <c r="O65" s="41"/>
      <c r="P65" s="13"/>
      <c r="Q65" s="33">
        <v>110.92</v>
      </c>
      <c r="R65" s="41"/>
      <c r="S65" s="85">
        <f t="shared" si="20"/>
        <v>111.89999999999999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7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v>629.08333333333326</v>
      </c>
      <c r="G66" s="83"/>
      <c r="H66" s="13"/>
      <c r="I66" s="30"/>
      <c r="J66" s="41"/>
      <c r="K66" s="13"/>
      <c r="L66" s="33">
        <v>541.38</v>
      </c>
      <c r="M66" s="41"/>
      <c r="N66" s="59">
        <f t="shared" si="19"/>
        <v>-87.703333333333262</v>
      </c>
      <c r="O66" s="41"/>
      <c r="P66" s="13"/>
      <c r="Q66" s="33">
        <v>1520.36</v>
      </c>
      <c r="R66" s="41"/>
      <c r="S66" s="85">
        <f t="shared" si="20"/>
        <v>-978.9799999999999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>+B67&amp;C67</f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v>321.5946666666668</v>
      </c>
      <c r="G67" s="83"/>
      <c r="H67" s="13"/>
      <c r="I67" s="30"/>
      <c r="J67" s="41"/>
      <c r="K67" s="13"/>
      <c r="L67" s="33">
        <v>237.57</v>
      </c>
      <c r="M67" s="41"/>
      <c r="N67" s="59">
        <f t="shared" si="19"/>
        <v>-84.024666666666803</v>
      </c>
      <c r="O67" s="41"/>
      <c r="P67" s="13"/>
      <c r="Q67" s="33">
        <v>391.57</v>
      </c>
      <c r="R67" s="41"/>
      <c r="S67" s="85">
        <f>L67-Q67</f>
        <v>-154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>+B68&amp;C68</f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v>3224.1144246144454</v>
      </c>
      <c r="G68" s="83"/>
      <c r="H68" s="13"/>
      <c r="I68" s="30"/>
      <c r="J68" s="41"/>
      <c r="K68" s="13"/>
      <c r="L68" s="32">
        <v>2576.3200000000002</v>
      </c>
      <c r="M68" s="41"/>
      <c r="N68" s="59">
        <f t="shared" si="19"/>
        <v>-647.79442461444523</v>
      </c>
      <c r="O68" s="41"/>
      <c r="P68" s="13"/>
      <c r="Q68" s="33">
        <v>2835.91</v>
      </c>
      <c r="R68" s="41"/>
      <c r="S68" s="85">
        <f>L68-Q68</f>
        <v>-259.58999999999969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>+B69&amp;C69</f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v>0</v>
      </c>
      <c r="G69" s="83"/>
      <c r="H69" s="13"/>
      <c r="I69" s="30"/>
      <c r="J69" s="41"/>
      <c r="K69" s="13"/>
      <c r="L69" s="33"/>
      <c r="M69" s="41"/>
      <c r="N69" s="59">
        <f t="shared" si="19"/>
        <v>0</v>
      </c>
      <c r="O69" s="41"/>
      <c r="P69" s="13"/>
      <c r="Q69" s="33"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ref="A70:A149" si="21">+B70&amp;C70</f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v>0</v>
      </c>
      <c r="G70" s="83"/>
      <c r="H70" s="13"/>
      <c r="I70" s="30"/>
      <c r="J70" s="41"/>
      <c r="K70" s="13"/>
      <c r="L70" s="33">
        <v>0</v>
      </c>
      <c r="M70" s="41"/>
      <c r="N70" s="59">
        <f t="shared" si="19"/>
        <v>0</v>
      </c>
      <c r="O70" s="41"/>
      <c r="P70" s="13"/>
      <c r="Q70" s="33">
        <v>0</v>
      </c>
      <c r="R70" s="41"/>
      <c r="S70" s="85">
        <f t="shared" ref="S70:S86" si="22">L70-Q70</f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2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v>0</v>
      </c>
      <c r="G71" s="83"/>
      <c r="H71" s="13"/>
      <c r="I71" s="30"/>
      <c r="J71" s="41"/>
      <c r="K71" s="13"/>
      <c r="L71" s="33">
        <v>0</v>
      </c>
      <c r="M71" s="41"/>
      <c r="N71" s="59">
        <f t="shared" si="19"/>
        <v>0</v>
      </c>
      <c r="O71" s="41"/>
      <c r="P71" s="13"/>
      <c r="Q71" s="33"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2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0.16467449825135838</v>
      </c>
      <c r="F72" s="96">
        <f>+SUM(F55:F71)</f>
        <v>20478.271591281115</v>
      </c>
      <c r="G72" s="97"/>
      <c r="H72" s="95"/>
      <c r="I72" s="96"/>
      <c r="J72" s="97" t="s">
        <v>38</v>
      </c>
      <c r="K72" s="95">
        <f>L72/L$27</f>
        <v>0.13067764114849345</v>
      </c>
      <c r="L72" s="96">
        <f>+SUM(L55:L71)</f>
        <v>20500.43</v>
      </c>
      <c r="M72" s="100"/>
      <c r="N72" s="96">
        <f>+SUM(N55:N71)</f>
        <v>22.15840871888679</v>
      </c>
      <c r="O72" s="97" t="s">
        <v>38</v>
      </c>
      <c r="P72" s="95">
        <f>Q72/Q$27</f>
        <v>0.18725973479493924</v>
      </c>
      <c r="Q72" s="96">
        <f>+SUM(Q55:Q71)</f>
        <v>22286.589999999997</v>
      </c>
      <c r="R72" s="100"/>
      <c r="S72" s="101">
        <f>+SUM(S55:S71)</f>
        <v>-1786.1599999999994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2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2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1.0224399531323622</v>
      </c>
      <c r="F74" s="96">
        <f>F41+F54+F72</f>
        <v>127146.6029552547</v>
      </c>
      <c r="G74" s="97"/>
      <c r="H74" s="95"/>
      <c r="I74" s="96"/>
      <c r="J74" s="97" t="s">
        <v>38</v>
      </c>
      <c r="K74" s="95">
        <f>L74/L$27</f>
        <v>0.83635403769824279</v>
      </c>
      <c r="L74" s="96">
        <f>L41+L54+L72</f>
        <v>131205.44</v>
      </c>
      <c r="M74" s="100"/>
      <c r="N74" s="113">
        <f t="shared" ref="N74:N82" si="23">L74-F74</f>
        <v>4058.8370447453053</v>
      </c>
      <c r="O74" s="97" t="s">
        <v>38</v>
      </c>
      <c r="P74" s="95">
        <f>Q74/Q$27</f>
        <v>1.128036021211567</v>
      </c>
      <c r="Q74" s="96">
        <f>Q41+Q54+Q72</f>
        <v>134252.44</v>
      </c>
      <c r="R74" s="100"/>
      <c r="S74" s="114">
        <f>L74-Q74</f>
        <v>-3047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2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v>33086.931428571428</v>
      </c>
      <c r="G75" s="83"/>
      <c r="H75" s="13"/>
      <c r="I75" s="30"/>
      <c r="J75" s="41"/>
      <c r="K75" s="13"/>
      <c r="L75" s="32">
        <v>45245.120000000003</v>
      </c>
      <c r="M75" s="41"/>
      <c r="N75" s="59">
        <f t="shared" si="23"/>
        <v>12158.188571428575</v>
      </c>
      <c r="O75" s="41"/>
      <c r="P75" s="13"/>
      <c r="Q75" s="32">
        <v>26024.46</v>
      </c>
      <c r="R75" s="41"/>
      <c r="S75" s="85">
        <f>L75-Q75</f>
        <v>19220.660000000003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2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v>0</v>
      </c>
      <c r="G76" s="83"/>
      <c r="H76" s="13"/>
      <c r="I76" s="30"/>
      <c r="J76" s="41"/>
      <c r="K76" s="13"/>
      <c r="L76" s="32">
        <v>0</v>
      </c>
      <c r="M76" s="41"/>
      <c r="N76" s="59">
        <f t="shared" si="23"/>
        <v>0</v>
      </c>
      <c r="O76" s="41"/>
      <c r="P76" s="13"/>
      <c r="Q76" s="32"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2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v>0</v>
      </c>
      <c r="G77" s="83"/>
      <c r="H77" s="13"/>
      <c r="I77" s="30"/>
      <c r="J77" s="41"/>
      <c r="K77" s="13"/>
      <c r="L77" s="32">
        <v>0</v>
      </c>
      <c r="M77" s="41"/>
      <c r="N77" s="59">
        <f t="shared" si="23"/>
        <v>0</v>
      </c>
      <c r="O77" s="41"/>
      <c r="P77" s="13"/>
      <c r="Q77" s="32">
        <v>0</v>
      </c>
      <c r="R77" s="41"/>
      <c r="S77" s="85">
        <f t="shared" ref="S77:S82" si="24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2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v>40105.37142857143</v>
      </c>
      <c r="G78" s="83"/>
      <c r="H78" s="13"/>
      <c r="I78" s="30"/>
      <c r="J78" s="41"/>
      <c r="K78" s="13"/>
      <c r="L78" s="33">
        <v>48444</v>
      </c>
      <c r="M78" s="41"/>
      <c r="N78" s="59">
        <f t="shared" si="23"/>
        <v>8338.6285714285696</v>
      </c>
      <c r="O78" s="41"/>
      <c r="P78" s="13"/>
      <c r="Q78" s="32">
        <v>33389.4</v>
      </c>
      <c r="R78" s="41"/>
      <c r="S78" s="85">
        <f t="shared" si="24"/>
        <v>15054.599999999999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>+B79&amp;C79</f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v>0</v>
      </c>
      <c r="G79" s="83"/>
      <c r="H79" s="13"/>
      <c r="I79" s="30"/>
      <c r="J79" s="41"/>
      <c r="K79" s="13"/>
      <c r="L79" s="33">
        <v>0</v>
      </c>
      <c r="M79" s="41"/>
      <c r="N79" s="59">
        <f t="shared" si="23"/>
        <v>0</v>
      </c>
      <c r="O79" s="41"/>
      <c r="P79" s="13"/>
      <c r="Q79" s="32"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>+B80&amp;C80</f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v>0</v>
      </c>
      <c r="G80" s="83"/>
      <c r="H80" s="13"/>
      <c r="I80" s="30"/>
      <c r="J80" s="41"/>
      <c r="K80" s="13"/>
      <c r="L80" s="33">
        <v>0</v>
      </c>
      <c r="M80" s="41"/>
      <c r="N80" s="59">
        <f t="shared" si="23"/>
        <v>0</v>
      </c>
      <c r="O80" s="41"/>
      <c r="P80" s="13"/>
      <c r="Q80" s="32"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>+B81&amp;C81</f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v>0</v>
      </c>
      <c r="G81" s="83"/>
      <c r="H81" s="13"/>
      <c r="I81" s="30"/>
      <c r="J81" s="41"/>
      <c r="K81" s="13"/>
      <c r="L81" s="33">
        <v>0</v>
      </c>
      <c r="M81" s="41"/>
      <c r="N81" s="59">
        <f t="shared" si="23"/>
        <v>0</v>
      </c>
      <c r="O81" s="41"/>
      <c r="P81" s="13"/>
      <c r="Q81" s="32"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ref="A82:A161" si="25">+B82&amp;C82</f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v>13411.3</v>
      </c>
      <c r="G82" s="83"/>
      <c r="H82" s="13"/>
      <c r="I82" s="30"/>
      <c r="J82" s="41"/>
      <c r="K82" s="13"/>
      <c r="L82" s="32">
        <v>17255</v>
      </c>
      <c r="M82" s="41"/>
      <c r="N82" s="59">
        <f t="shared" si="23"/>
        <v>3843.7000000000007</v>
      </c>
      <c r="O82" s="41"/>
      <c r="P82" s="13"/>
      <c r="Q82" s="32">
        <v>12495</v>
      </c>
      <c r="R82" s="41"/>
      <c r="S82" s="85">
        <f t="shared" ref="S82:S87" si="26">L82-Q82</f>
        <v>4760</v>
      </c>
      <c r="T82" s="13"/>
      <c r="U82" s="13"/>
      <c r="V82" s="489">
        <f>L82/595</f>
        <v>29</v>
      </c>
      <c r="W82" s="483">
        <f>V82/J27</f>
        <v>1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25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86603.602857142861</v>
      </c>
      <c r="G83" s="97"/>
      <c r="H83" s="95"/>
      <c r="I83" s="96"/>
      <c r="J83" s="97"/>
      <c r="K83" s="95"/>
      <c r="L83" s="96">
        <f>+SUM(L75:L82)</f>
        <v>110944.12</v>
      </c>
      <c r="M83" s="100"/>
      <c r="N83" s="96">
        <f>+SUM(N75:N82)</f>
        <v>24340.517142857145</v>
      </c>
      <c r="O83" s="97"/>
      <c r="P83" s="95"/>
      <c r="Q83" s="96">
        <f>+SUM(Q75:Q82)</f>
        <v>71908.86</v>
      </c>
      <c r="R83" s="100"/>
      <c r="S83" s="101">
        <f>+SUM(S75:S82)</f>
        <v>39035.26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25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25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83813.058725417577</v>
      </c>
      <c r="G85" s="128"/>
      <c r="H85" s="126"/>
      <c r="I85" s="127"/>
      <c r="J85" s="128"/>
      <c r="K85" s="125"/>
      <c r="L85" s="127">
        <f>L27-L74+L83</f>
        <v>136616.54999999996</v>
      </c>
      <c r="M85" s="128"/>
      <c r="N85" s="127">
        <f>N27-N41-N54-N72+N83</f>
        <v>52803.491274582382</v>
      </c>
      <c r="O85" s="128"/>
      <c r="P85" s="125"/>
      <c r="Q85" s="127">
        <f>Q27-Q74+Q83</f>
        <v>56670.739999999802</v>
      </c>
      <c r="R85" s="128"/>
      <c r="S85" s="129">
        <f>S27-S41-S54-S72+S83</f>
        <v>79945.810000000158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Août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05" t="s">
        <v>5</v>
      </c>
      <c r="E91" s="506"/>
      <c r="F91" s="507"/>
      <c r="G91" s="508"/>
      <c r="H91" s="506"/>
      <c r="I91" s="507"/>
      <c r="J91" s="508" t="s">
        <v>7</v>
      </c>
      <c r="K91" s="506"/>
      <c r="L91" s="507"/>
      <c r="M91" s="508" t="s">
        <v>212</v>
      </c>
      <c r="N91" s="507"/>
      <c r="O91" s="505" t="s">
        <v>8</v>
      </c>
      <c r="P91" s="506"/>
      <c r="Q91" s="507"/>
      <c r="R91" s="503" t="s">
        <v>213</v>
      </c>
      <c r="S91" s="504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159" si="27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v>1822887.8894786073</v>
      </c>
      <c r="G93" s="46"/>
      <c r="H93" s="25"/>
      <c r="I93" s="22"/>
      <c r="J93" s="23"/>
      <c r="K93" s="25"/>
      <c r="L93" s="22">
        <v>1632898.14</v>
      </c>
      <c r="M93" s="137"/>
      <c r="N93" s="138"/>
      <c r="O93" s="23"/>
      <c r="P93" s="25"/>
      <c r="Q93" s="22">
        <v>1193609.8199999901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7"/>
        <v>Véhicules usagésCertifié</v>
      </c>
      <c r="B94" s="11" t="s">
        <v>70</v>
      </c>
      <c r="C94" s="29" t="s">
        <v>72</v>
      </c>
      <c r="D94" s="30">
        <v>14</v>
      </c>
      <c r="E94" s="30">
        <f>IF(D94=0,0,F94/D94)</f>
        <v>2400</v>
      </c>
      <c r="F94" s="30">
        <v>33600</v>
      </c>
      <c r="G94" s="31"/>
      <c r="H94" s="30"/>
      <c r="I94" s="30"/>
      <c r="J94" s="31">
        <v>8</v>
      </c>
      <c r="K94" s="30">
        <f>IF(J94=0,0,L94/J94)</f>
        <v>924.37250000000665</v>
      </c>
      <c r="L94" s="33">
        <v>7394.9800000000532</v>
      </c>
      <c r="M94" s="31">
        <f>J94-D94</f>
        <v>-6</v>
      </c>
      <c r="N94" s="33">
        <f>L94-F94</f>
        <v>-26205.019999999946</v>
      </c>
      <c r="O94" s="31">
        <v>4</v>
      </c>
      <c r="P94" s="30">
        <f t="shared" ref="P94:P96" si="28">IF(O94=0,0,Q94/O94)</f>
        <v>1608.5999999999974</v>
      </c>
      <c r="Q94" s="33">
        <v>6434.3999999999896</v>
      </c>
      <c r="R94" s="31">
        <f>J94-O94</f>
        <v>4</v>
      </c>
      <c r="S94" s="34">
        <f>L94-Q94</f>
        <v>960.58000000006359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7"/>
        <v>Véhicules usagésNon Certifié</v>
      </c>
      <c r="B95" s="11" t="s">
        <v>70</v>
      </c>
      <c r="C95" s="29" t="s">
        <v>73</v>
      </c>
      <c r="D95" s="30">
        <v>3</v>
      </c>
      <c r="E95" s="30">
        <f t="shared" ref="E95:E106" si="29">IF(D95=0,0,F95/D95)</f>
        <v>1400</v>
      </c>
      <c r="F95" s="30">
        <v>4200</v>
      </c>
      <c r="G95" s="31"/>
      <c r="H95" s="30"/>
      <c r="I95" s="30"/>
      <c r="J95" s="31">
        <v>10</v>
      </c>
      <c r="K95" s="30">
        <f>IF(J95=0,0,L95/J95)</f>
        <v>2954.1920000000041</v>
      </c>
      <c r="L95" s="32">
        <v>29541.920000000042</v>
      </c>
      <c r="M95" s="31">
        <f>J95-D95</f>
        <v>7</v>
      </c>
      <c r="N95" s="33">
        <f>L95-F95</f>
        <v>25341.920000000042</v>
      </c>
      <c r="O95" s="31">
        <v>7</v>
      </c>
      <c r="P95" s="30">
        <f t="shared" si="28"/>
        <v>909.37571428571425</v>
      </c>
      <c r="Q95" s="32">
        <v>6365.63</v>
      </c>
      <c r="R95" s="31">
        <f>J95-O95</f>
        <v>3</v>
      </c>
      <c r="S95" s="34">
        <f>L95-Q95</f>
        <v>23176.290000000041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 t="shared" si="27"/>
        <v>Véhicules usagésAutres marques</v>
      </c>
      <c r="B96" s="11" t="s">
        <v>70</v>
      </c>
      <c r="C96" s="29" t="s">
        <v>206</v>
      </c>
      <c r="D96" s="30">
        <v>5</v>
      </c>
      <c r="E96" s="25">
        <f t="shared" si="29"/>
        <v>1500</v>
      </c>
      <c r="F96" s="30">
        <v>7500</v>
      </c>
      <c r="G96" s="31"/>
      <c r="H96" s="30"/>
      <c r="I96" s="30"/>
      <c r="J96" s="31">
        <v>4</v>
      </c>
      <c r="K96" s="30">
        <f>IF(J96=0,0,L96/J96)</f>
        <v>2474.0325000000025</v>
      </c>
      <c r="L96" s="32">
        <v>9896.1300000000101</v>
      </c>
      <c r="M96" s="31">
        <f>J96-D96</f>
        <v>-1</v>
      </c>
      <c r="N96" s="33">
        <f>L96-F96</f>
        <v>2396.1300000000101</v>
      </c>
      <c r="O96" s="31">
        <v>8</v>
      </c>
      <c r="P96" s="30">
        <f t="shared" si="28"/>
        <v>1538.7774999999999</v>
      </c>
      <c r="Q96" s="32">
        <v>12310.22</v>
      </c>
      <c r="R96" s="31">
        <f>J96-O96</f>
        <v>-4</v>
      </c>
      <c r="S96" s="34">
        <f>L96-Q96</f>
        <v>-2414.0899999999892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7"/>
        <v>Véhicules usagésTotal Usagés</v>
      </c>
      <c r="B97" s="11" t="s">
        <v>70</v>
      </c>
      <c r="C97" s="35" t="s">
        <v>74</v>
      </c>
      <c r="D97" s="36">
        <f>+D95+D94+D96</f>
        <v>22</v>
      </c>
      <c r="E97" s="30">
        <f t="shared" si="29"/>
        <v>2059.090909090909</v>
      </c>
      <c r="F97" s="37">
        <f>+F94+F95+F96</f>
        <v>45300</v>
      </c>
      <c r="G97" s="38"/>
      <c r="H97" s="36"/>
      <c r="I97" s="37"/>
      <c r="J97" s="38">
        <f>+J94+J95+J96</f>
        <v>22</v>
      </c>
      <c r="K97" s="36">
        <f>IF(J97&lt;=0,0,L97/J97)</f>
        <v>2128.7740909090958</v>
      </c>
      <c r="L97" s="37">
        <f>+L94+L95+L96</f>
        <v>46833.030000000108</v>
      </c>
      <c r="M97" s="38">
        <f>J97-D97</f>
        <v>0</v>
      </c>
      <c r="N97" s="37">
        <f>L97-F97</f>
        <v>1533.030000000108</v>
      </c>
      <c r="O97" s="38">
        <f>+O95+O94+O96</f>
        <v>19</v>
      </c>
      <c r="P97" s="36">
        <f>IF(O97=0,0,Q97/O97)</f>
        <v>1321.5921052631572</v>
      </c>
      <c r="Q97" s="37">
        <f>+Q94+Q95+Q96</f>
        <v>25110.249999999989</v>
      </c>
      <c r="R97" s="38">
        <f>J97-O97</f>
        <v>3</v>
      </c>
      <c r="S97" s="39">
        <f>L97-Q97</f>
        <v>21722.780000000119</v>
      </c>
      <c r="T97" s="13"/>
      <c r="U97" s="13"/>
      <c r="W97" s="457">
        <v>22</v>
      </c>
      <c r="X97" s="13">
        <v>46833</v>
      </c>
      <c r="Y97" s="515">
        <f>L97-X97</f>
        <v>3.0000000107975211E-2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7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0</v>
      </c>
      <c r="N98" s="43">
        <f>N97/F97</f>
        <v>3.3841721854307019E-2</v>
      </c>
      <c r="O98" s="41"/>
      <c r="P98" s="13"/>
      <c r="Q98" s="40"/>
      <c r="R98" s="42">
        <f>R97/O97</f>
        <v>0.15789473684210525</v>
      </c>
      <c r="S98" s="44">
        <f>IF(Q97=0,0,(S97/Q97))</f>
        <v>0.86509612608397479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>+B99&amp;C99</f>
        <v>Véhicules neufsRachat bail</v>
      </c>
      <c r="B99" s="11" t="str">
        <f t="shared" ref="B99:B193" si="30">+$K$1</f>
        <v>Véhicules neufs</v>
      </c>
      <c r="C99" s="53" t="s">
        <v>23</v>
      </c>
      <c r="D99" s="30">
        <v>0</v>
      </c>
      <c r="E99" s="30">
        <f>IF(D99=0,0,F99/D99)</f>
        <v>0</v>
      </c>
      <c r="F99" s="30">
        <v>2486.8669783266905</v>
      </c>
      <c r="G99" s="31"/>
      <c r="H99" s="30"/>
      <c r="I99" s="30"/>
      <c r="J99" s="31"/>
      <c r="K99" s="30"/>
      <c r="L99" s="33">
        <v>2498</v>
      </c>
      <c r="M99" s="31"/>
      <c r="N99" s="33">
        <f>L99-F99</f>
        <v>11.133021673309486</v>
      </c>
      <c r="O99" s="31"/>
      <c r="P99" s="30"/>
      <c r="Q99" s="33">
        <v>3531</v>
      </c>
      <c r="R99" s="31">
        <f>O99-K99</f>
        <v>0</v>
      </c>
      <c r="S99" s="34">
        <f>L99-Q99</f>
        <v>-1033</v>
      </c>
      <c r="T99" s="13"/>
      <c r="U99" s="13"/>
      <c r="W99" s="11"/>
      <c r="X99" s="11">
        <v>2498</v>
      </c>
      <c r="Y99" s="515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:A166" si="31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31"/>
        <v>Véhicules usagésVentes au Gros</v>
      </c>
      <c r="B101" s="11" t="s">
        <v>70</v>
      </c>
      <c r="C101" s="29" t="s">
        <v>75</v>
      </c>
      <c r="D101" s="30">
        <v>20</v>
      </c>
      <c r="E101" s="30">
        <f t="shared" ref="E101:E112" si="32">IF(D101=0,0,F101/D101)</f>
        <v>500</v>
      </c>
      <c r="F101" s="30">
        <v>10000</v>
      </c>
      <c r="G101" s="31"/>
      <c r="H101" s="30"/>
      <c r="I101" s="30"/>
      <c r="J101" s="31">
        <v>20</v>
      </c>
      <c r="K101" s="30">
        <f>IF(J101=0,0,L101/J101)</f>
        <v>643.70950000000016</v>
      </c>
      <c r="L101" s="33">
        <v>12874.190000000002</v>
      </c>
      <c r="M101" s="31">
        <f>J101-D101</f>
        <v>0</v>
      </c>
      <c r="N101" s="33">
        <f>L101-F101</f>
        <v>2874.1900000000023</v>
      </c>
      <c r="O101" s="31">
        <v>15</v>
      </c>
      <c r="P101" s="30">
        <f>IF(O101=0,0,Q101/O101)</f>
        <v>645.38600000000008</v>
      </c>
      <c r="Q101" s="33">
        <v>9680.7900000000009</v>
      </c>
      <c r="R101" s="31">
        <f>J101-O101</f>
        <v>5</v>
      </c>
      <c r="S101" s="34">
        <f>L101-Q101</f>
        <v>3193.4000000000015</v>
      </c>
      <c r="T101" s="13"/>
      <c r="U101" s="13"/>
      <c r="W101" s="457">
        <v>20</v>
      </c>
      <c r="X101" s="13">
        <v>12874</v>
      </c>
      <c r="Y101" s="515">
        <f>L101-X101</f>
        <v>0.19000000000232831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31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31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v>7700</v>
      </c>
      <c r="G103" s="31"/>
      <c r="H103" s="30"/>
      <c r="I103" s="30"/>
      <c r="J103" s="31"/>
      <c r="K103" s="30">
        <f>IF(J97=0,0,L103/J97)</f>
        <v>252.83818181818185</v>
      </c>
      <c r="L103" s="33">
        <v>5562.4400000000005</v>
      </c>
      <c r="M103" s="31"/>
      <c r="N103" s="33">
        <f>L103-F103</f>
        <v>-2137.5599999999995</v>
      </c>
      <c r="O103" s="31"/>
      <c r="P103" s="30">
        <f>IF(O97=0,0,Q103/O97)</f>
        <v>245.39684210526315</v>
      </c>
      <c r="Q103" s="33">
        <v>4662.54</v>
      </c>
      <c r="R103" s="31">
        <f>O103-K103</f>
        <v>-252.83818181818185</v>
      </c>
      <c r="S103" s="34">
        <f>L103-Q103</f>
        <v>899.90000000000055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31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v>20900</v>
      </c>
      <c r="G104" s="31"/>
      <c r="H104" s="30"/>
      <c r="I104" s="30"/>
      <c r="J104" s="31"/>
      <c r="K104" s="30">
        <f>IF(J97=0,0,L104/J97)</f>
        <v>504.86363636363637</v>
      </c>
      <c r="L104" s="33">
        <v>11107</v>
      </c>
      <c r="M104" s="31"/>
      <c r="N104" s="33">
        <f>L104-F104</f>
        <v>-9793</v>
      </c>
      <c r="O104" s="31"/>
      <c r="P104" s="30">
        <f>IF(O97=0,0,Q104/O97)</f>
        <v>399.11473684210478</v>
      </c>
      <c r="Q104" s="33">
        <v>7583.1799999999903</v>
      </c>
      <c r="R104" s="31">
        <f>O104-K104</f>
        <v>-504.86363636363637</v>
      </c>
      <c r="S104" s="34">
        <f>L104-Q104</f>
        <v>3523.8200000000097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31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v>4400</v>
      </c>
      <c r="G105" s="31"/>
      <c r="H105" s="47"/>
      <c r="I105" s="30"/>
      <c r="J105" s="31"/>
      <c r="K105" s="47">
        <f>IF(J97=0,0,L105/J97)</f>
        <v>72.296818181818168</v>
      </c>
      <c r="L105" s="33">
        <v>1590.5299999999997</v>
      </c>
      <c r="M105" s="51"/>
      <c r="N105" s="33">
        <f>L105-F105</f>
        <v>-2809.4700000000003</v>
      </c>
      <c r="O105" s="31"/>
      <c r="P105" s="47">
        <f>IF(O97=0,0,Q105/O97)</f>
        <v>194.7757894736842</v>
      </c>
      <c r="Q105" s="33">
        <v>3700.74</v>
      </c>
      <c r="R105" s="31">
        <f>O105-K105</f>
        <v>-72.296818181818168</v>
      </c>
      <c r="S105" s="34">
        <f>L105-Q105</f>
        <v>-2110.21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31"/>
        <v>Véhicules usagésTotal F&amp;I</v>
      </c>
      <c r="B106" s="11" t="s">
        <v>70</v>
      </c>
      <c r="C106" s="35" t="s">
        <v>27</v>
      </c>
      <c r="D106" s="36">
        <f>D97</f>
        <v>22</v>
      </c>
      <c r="E106" s="30">
        <f t="shared" ref="E106:E117" si="33">IF(D106=0,0,F106/D106)</f>
        <v>1500</v>
      </c>
      <c r="F106" s="37">
        <f>F103+F104+F105</f>
        <v>33000</v>
      </c>
      <c r="G106" s="38"/>
      <c r="H106" s="36"/>
      <c r="I106" s="37"/>
      <c r="J106" s="38">
        <f>J97</f>
        <v>22</v>
      </c>
      <c r="K106" s="36">
        <f>IF(J106&lt;=0,0,L106/J106)</f>
        <v>829.99863636363636</v>
      </c>
      <c r="L106" s="37">
        <f>L103+L104+L105</f>
        <v>18259.97</v>
      </c>
      <c r="M106" s="31">
        <f>J106-D106</f>
        <v>0</v>
      </c>
      <c r="N106" s="37">
        <f>L106-F106</f>
        <v>-14740.029999999999</v>
      </c>
      <c r="O106" s="38">
        <f>O97</f>
        <v>19</v>
      </c>
      <c r="P106" s="36">
        <f t="shared" ref="P106" si="34">IF(O106=0,0,Q106/O106)</f>
        <v>839.28736842105207</v>
      </c>
      <c r="Q106" s="37">
        <f>Q103+Q104+Q105</f>
        <v>15946.45999999999</v>
      </c>
      <c r="R106" s="56"/>
      <c r="S106" s="39">
        <f>L106-Q106</f>
        <v>2313.5100000000111</v>
      </c>
      <c r="T106" s="13"/>
      <c r="U106" s="13"/>
      <c r="W106" s="13"/>
      <c r="X106" s="13">
        <v>18260</v>
      </c>
      <c r="Y106" s="515">
        <f>L106-X106</f>
        <v>-2.9999999998835847E-2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31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-0.44666757575757571</v>
      </c>
      <c r="O107" s="41"/>
      <c r="P107" s="13"/>
      <c r="Q107" s="59"/>
      <c r="R107" s="60"/>
      <c r="S107" s="44">
        <f>IF(Q106=0,0,(S106/Q106))</f>
        <v>0.14507984844285268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31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42</v>
      </c>
      <c r="E109" s="67">
        <f>IF(D109&lt;=0,0,F109/D109)</f>
        <v>2161.5920709125403</v>
      </c>
      <c r="F109" s="65">
        <f>F97+F106+F101+F99</f>
        <v>90786.866978326696</v>
      </c>
      <c r="G109" s="66"/>
      <c r="H109" s="67"/>
      <c r="I109" s="65"/>
      <c r="J109" s="66">
        <f>J97+J101</f>
        <v>42</v>
      </c>
      <c r="K109" s="67">
        <f>IF(J109&lt;=0,0,L109/J109)</f>
        <v>1915.83785714286</v>
      </c>
      <c r="L109" s="65">
        <f>L97+L106+L101+L99</f>
        <v>80465.190000000119</v>
      </c>
      <c r="M109" s="66">
        <f>J109-D109</f>
        <v>0</v>
      </c>
      <c r="N109" s="65">
        <f>L109-F109</f>
        <v>-10321.676978326577</v>
      </c>
      <c r="O109" s="66">
        <f>O97+O101</f>
        <v>34</v>
      </c>
      <c r="P109" s="67">
        <f>IF(O109&lt;=0,0,Q109/O109)</f>
        <v>1596.1323529411759</v>
      </c>
      <c r="Q109" s="65">
        <f>Q97+Q106+Q101+Q99</f>
        <v>54268.499999999978</v>
      </c>
      <c r="R109" s="66">
        <f>J109-O109</f>
        <v>8</v>
      </c>
      <c r="S109" s="68">
        <f>L109-Q109</f>
        <v>26196.690000000141</v>
      </c>
      <c r="T109" s="13"/>
      <c r="U109" s="13"/>
      <c r="W109" s="484">
        <f>SUM(W95:W108)</f>
        <v>42</v>
      </c>
      <c r="X109" s="484">
        <f>SUM(X95:X108)</f>
        <v>80465</v>
      </c>
      <c r="Y109" s="515">
        <f>L109-X109</f>
        <v>0.19000000011874363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0</v>
      </c>
      <c r="N110" s="74">
        <f>N109/F109</f>
        <v>-0.1136913005356892</v>
      </c>
      <c r="O110" s="72"/>
      <c r="P110" s="70"/>
      <c r="Q110" s="71"/>
      <c r="R110" s="73">
        <f>O109/R109</f>
        <v>4.25</v>
      </c>
      <c r="S110" s="144">
        <f>IF(Q109=0,0,(S109/Q109))</f>
        <v>0.48272367948257555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31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31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31"/>
        <v>Véhicules usagésComm. vendeurs</v>
      </c>
      <c r="B113" s="11" t="s">
        <v>70</v>
      </c>
      <c r="C113" s="29" t="s">
        <v>30</v>
      </c>
      <c r="D113" s="147">
        <f>F113/(F97+F106)</f>
        <v>0.19909548550059533</v>
      </c>
      <c r="E113" s="82">
        <f t="shared" ref="E113:E122" si="35">F113/D$97</f>
        <v>708.59893248620983</v>
      </c>
      <c r="F113" s="30">
        <v>15589.176514696615</v>
      </c>
      <c r="G113" s="156"/>
      <c r="H113" s="82"/>
      <c r="I113" s="30"/>
      <c r="J113" s="156">
        <f>L113/L97</f>
        <v>0.47137052631443982</v>
      </c>
      <c r="K113" s="82">
        <f>IF($J$97=0,0,L113/(J$94+J$95+J96))</f>
        <v>1003.4413636363636</v>
      </c>
      <c r="L113" s="33">
        <v>22075.71</v>
      </c>
      <c r="M113" s="41"/>
      <c r="N113" s="59">
        <f t="shared" ref="N113:N154" si="36">L113-F113</f>
        <v>6486.5334853033837</v>
      </c>
      <c r="O113" s="156">
        <f>Q113/Q97</f>
        <v>0.31047162015511609</v>
      </c>
      <c r="P113" s="82">
        <f t="shared" ref="P113:P122" si="37">Q113/O$97</f>
        <v>410.31684210526316</v>
      </c>
      <c r="Q113" s="33">
        <v>7796.02</v>
      </c>
      <c r="R113" s="41"/>
      <c r="S113" s="85">
        <f t="shared" ref="S113:S123" si="38">L113-Q113</f>
        <v>14279.689999999999</v>
      </c>
      <c r="T113" s="13"/>
      <c r="U113" s="13"/>
      <c r="V113" s="489" t="s">
        <v>263</v>
      </c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31"/>
        <v>Véhicules usagésComm. F&amp;I</v>
      </c>
      <c r="B114" s="11" t="s">
        <v>70</v>
      </c>
      <c r="C114" s="86" t="s">
        <v>31</v>
      </c>
      <c r="D114" s="217">
        <f>F114/(F106+F99)</f>
        <v>0.25107880065720395</v>
      </c>
      <c r="E114" s="88">
        <f t="shared" si="35"/>
        <v>405</v>
      </c>
      <c r="F114" s="22">
        <v>8910</v>
      </c>
      <c r="G114" s="161"/>
      <c r="H114" s="88"/>
      <c r="I114" s="22"/>
      <c r="J114" s="161">
        <f>L114/L106</f>
        <v>0.16580585838859538</v>
      </c>
      <c r="K114" s="88">
        <f>IF($J$97=0,0,L114/(J$94+J$95+J96))</f>
        <v>137.61863636363637</v>
      </c>
      <c r="L114" s="33">
        <v>3027.61</v>
      </c>
      <c r="M114" s="23"/>
      <c r="N114" s="91">
        <f t="shared" si="36"/>
        <v>-5882.3899999999994</v>
      </c>
      <c r="O114" s="161">
        <f>Q114/(Q106+Q99)</f>
        <v>0.10904604604501823</v>
      </c>
      <c r="P114" s="88">
        <f t="shared" si="37"/>
        <v>111.78631578947369</v>
      </c>
      <c r="Q114" s="33">
        <v>2123.94</v>
      </c>
      <c r="R114" s="23"/>
      <c r="S114" s="92">
        <f t="shared" si="38"/>
        <v>903.67000000000007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31"/>
        <v>Véhicules usagésFrais de livraison</v>
      </c>
      <c r="B115" s="11" t="s">
        <v>70</v>
      </c>
      <c r="C115" s="29" t="s">
        <v>32</v>
      </c>
      <c r="D115" s="81"/>
      <c r="E115" s="82">
        <f t="shared" si="35"/>
        <v>85</v>
      </c>
      <c r="F115" s="30">
        <v>1870</v>
      </c>
      <c r="G115" s="83"/>
      <c r="H115" s="82"/>
      <c r="I115" s="30"/>
      <c r="J115" s="41"/>
      <c r="K115" s="82">
        <f>IF($J$97=0,0,L115/(J$94+J$95+J96))</f>
        <v>33.986818181818187</v>
      </c>
      <c r="L115" s="108">
        <v>747.71</v>
      </c>
      <c r="M115" s="41"/>
      <c r="N115" s="59">
        <f t="shared" si="36"/>
        <v>-1122.29</v>
      </c>
      <c r="O115" s="41"/>
      <c r="P115" s="82">
        <f t="shared" si="37"/>
        <v>52.315263157894741</v>
      </c>
      <c r="Q115" s="108">
        <v>993.99</v>
      </c>
      <c r="R115" s="41"/>
      <c r="S115" s="85">
        <f t="shared" si="38"/>
        <v>-246.27999999999997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31"/>
        <v>Véhicules usagésService gratuit 1</v>
      </c>
      <c r="B116" s="11" t="s">
        <v>70</v>
      </c>
      <c r="C116" s="29" t="s">
        <v>33</v>
      </c>
      <c r="D116" s="81"/>
      <c r="E116" s="82">
        <f t="shared" si="35"/>
        <v>80</v>
      </c>
      <c r="F116" s="30">
        <v>1760</v>
      </c>
      <c r="G116" s="83"/>
      <c r="H116" s="82"/>
      <c r="I116" s="30"/>
      <c r="J116" s="41"/>
      <c r="K116" s="82">
        <f>IF($J$97=0,0,L116/(J$94+J$95+J96))</f>
        <v>11.206818181818182</v>
      </c>
      <c r="L116" s="33">
        <v>246.55</v>
      </c>
      <c r="M116" s="41"/>
      <c r="N116" s="59">
        <f t="shared" si="36"/>
        <v>-1513.45</v>
      </c>
      <c r="O116" s="41"/>
      <c r="P116" s="82">
        <f t="shared" si="37"/>
        <v>51.683157894736844</v>
      </c>
      <c r="Q116" s="33">
        <v>981.98</v>
      </c>
      <c r="R116" s="41"/>
      <c r="S116" s="85">
        <f t="shared" si="38"/>
        <v>-735.43000000000006</v>
      </c>
      <c r="T116" s="13"/>
      <c r="U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31"/>
        <v>Véhicules usagésEntretien stock</v>
      </c>
      <c r="B117" s="11" t="s">
        <v>70</v>
      </c>
      <c r="C117" s="86" t="s">
        <v>34</v>
      </c>
      <c r="D117" s="87"/>
      <c r="E117" s="88">
        <f t="shared" si="35"/>
        <v>47.954545454545453</v>
      </c>
      <c r="F117" s="22">
        <v>1055</v>
      </c>
      <c r="G117" s="89"/>
      <c r="H117" s="88"/>
      <c r="I117" s="22"/>
      <c r="J117" s="23"/>
      <c r="K117" s="88">
        <f>IF($J$97=0,0,L117/(J$94+J$95+J96))</f>
        <v>38.136363636363633</v>
      </c>
      <c r="L117" s="48">
        <v>839</v>
      </c>
      <c r="M117" s="23"/>
      <c r="N117" s="91">
        <f t="shared" si="36"/>
        <v>-216</v>
      </c>
      <c r="O117" s="23"/>
      <c r="P117" s="88">
        <f t="shared" si="37"/>
        <v>154.97</v>
      </c>
      <c r="Q117" s="48">
        <v>2944.43</v>
      </c>
      <c r="R117" s="23"/>
      <c r="S117" s="92">
        <f t="shared" si="38"/>
        <v>-2105.4299999999998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31"/>
        <v>Véhicules usagésPublicité 1</v>
      </c>
      <c r="B118" s="11" t="s">
        <v>70</v>
      </c>
      <c r="C118" s="29" t="s">
        <v>35</v>
      </c>
      <c r="D118" s="81"/>
      <c r="E118" s="82">
        <f t="shared" si="35"/>
        <v>42.613636363636367</v>
      </c>
      <c r="F118" s="30">
        <v>937.5</v>
      </c>
      <c r="G118" s="83"/>
      <c r="H118" s="82"/>
      <c r="I118" s="30"/>
      <c r="J118" s="41"/>
      <c r="K118" s="82">
        <f>IF($J$97=0,0,L118/(J$94+J$95+J96))</f>
        <v>43.456818181818171</v>
      </c>
      <c r="L118" s="33">
        <v>956.04999999999973</v>
      </c>
      <c r="M118" s="41"/>
      <c r="N118" s="59">
        <f t="shared" si="36"/>
        <v>18.549999999999727</v>
      </c>
      <c r="O118" s="41"/>
      <c r="P118" s="82">
        <f t="shared" si="37"/>
        <v>328.83789473684209</v>
      </c>
      <c r="Q118" s="33">
        <v>6247.92</v>
      </c>
      <c r="R118" s="41"/>
      <c r="S118" s="85">
        <f t="shared" si="38"/>
        <v>-5291.8700000000008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35"/>
        <v>320.86735260804755</v>
      </c>
      <c r="F119" s="30">
        <v>7059.0817573770464</v>
      </c>
      <c r="G119" s="83"/>
      <c r="H119" s="82"/>
      <c r="I119" s="30"/>
      <c r="J119" s="41"/>
      <c r="K119" s="82">
        <f>IF($J$97=0,0,L119/(J$94+J$95+J96))</f>
        <v>246.67454545454547</v>
      </c>
      <c r="L119" s="33">
        <v>5426.84</v>
      </c>
      <c r="M119" s="41"/>
      <c r="N119" s="59">
        <f t="shared" si="36"/>
        <v>-1632.2417573770463</v>
      </c>
      <c r="O119" s="41"/>
      <c r="P119" s="82">
        <f t="shared" si="37"/>
        <v>171.97315789473683</v>
      </c>
      <c r="Q119" s="33">
        <v>3267.49</v>
      </c>
      <c r="R119" s="41"/>
      <c r="S119" s="85">
        <f>L119-Q119</f>
        <v>2159.3500000000004</v>
      </c>
      <c r="T119" s="13"/>
      <c r="U119" s="13"/>
      <c r="V119" s="489">
        <v>5427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>+B120&amp;C120</f>
        <v>Véhicules usagés[...]</v>
      </c>
      <c r="B120" s="11" t="s">
        <v>70</v>
      </c>
      <c r="C120" s="29" t="s">
        <v>19</v>
      </c>
      <c r="D120" s="81"/>
      <c r="E120" s="82">
        <f t="shared" si="35"/>
        <v>0</v>
      </c>
      <c r="F120" s="30">
        <v>0</v>
      </c>
      <c r="G120" s="83"/>
      <c r="H120" s="82"/>
      <c r="I120" s="30"/>
      <c r="J120" s="41"/>
      <c r="K120" s="82">
        <f>IF($J$97=0,0,L120/(J$94+J$95))</f>
        <v>0</v>
      </c>
      <c r="L120" s="33">
        <v>0</v>
      </c>
      <c r="M120" s="41"/>
      <c r="N120" s="59">
        <f t="shared" si="36"/>
        <v>0</v>
      </c>
      <c r="O120" s="41"/>
      <c r="P120" s="82">
        <f t="shared" si="37"/>
        <v>0</v>
      </c>
      <c r="Q120" s="33"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>+B121&amp;C121</f>
        <v>Véhicules usagés[...]</v>
      </c>
      <c r="B121" s="11" t="s">
        <v>70</v>
      </c>
      <c r="C121" s="29" t="s">
        <v>19</v>
      </c>
      <c r="D121" s="81"/>
      <c r="E121" s="82">
        <f t="shared" si="35"/>
        <v>0</v>
      </c>
      <c r="F121" s="30">
        <v>0</v>
      </c>
      <c r="G121" s="83"/>
      <c r="H121" s="82"/>
      <c r="I121" s="30"/>
      <c r="J121" s="41"/>
      <c r="K121" s="82">
        <f>IF($J$97=0,0,L121/(J$94+J$95))</f>
        <v>0</v>
      </c>
      <c r="L121" s="33">
        <v>0</v>
      </c>
      <c r="M121" s="41"/>
      <c r="N121" s="59">
        <f t="shared" si="36"/>
        <v>0</v>
      </c>
      <c r="O121" s="41"/>
      <c r="P121" s="82">
        <f t="shared" si="37"/>
        <v>0</v>
      </c>
      <c r="Q121" s="33"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>+B122&amp;C122</f>
        <v>Véhicules usagés[...]</v>
      </c>
      <c r="B122" s="11" t="s">
        <v>70</v>
      </c>
      <c r="C122" s="29" t="s">
        <v>19</v>
      </c>
      <c r="D122" s="81"/>
      <c r="E122" s="82">
        <f t="shared" si="35"/>
        <v>0</v>
      </c>
      <c r="F122" s="30">
        <v>0</v>
      </c>
      <c r="G122" s="83"/>
      <c r="H122" s="82"/>
      <c r="I122" s="30"/>
      <c r="J122" s="41"/>
      <c r="K122" s="82">
        <f>IF($J$97=0,0,L122/(J$94+J$95))</f>
        <v>0</v>
      </c>
      <c r="L122" s="33">
        <v>0</v>
      </c>
      <c r="M122" s="41"/>
      <c r="N122" s="59">
        <f t="shared" si="36"/>
        <v>0</v>
      </c>
      <c r="O122" s="41"/>
      <c r="P122" s="82">
        <f t="shared" si="37"/>
        <v>0</v>
      </c>
      <c r="Q122" s="33">
        <v>0</v>
      </c>
      <c r="R122" s="41"/>
      <c r="S122" s="85">
        <f t="shared" ref="S122:S132" si="39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:A189" si="40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0.40953895105720217</v>
      </c>
      <c r="F123" s="96">
        <f>SUM(F113:F122)</f>
        <v>37180.758272073661</v>
      </c>
      <c r="G123" s="97"/>
      <c r="H123" s="95"/>
      <c r="I123" s="96"/>
      <c r="J123" s="97" t="s">
        <v>38</v>
      </c>
      <c r="K123" s="95">
        <f>L123/L$109</f>
        <v>0.41408551946500033</v>
      </c>
      <c r="L123" s="96">
        <f>SUM(L113:L122)</f>
        <v>33319.47</v>
      </c>
      <c r="M123" s="100"/>
      <c r="N123" s="96">
        <f t="shared" si="36"/>
        <v>-3861.2882720736598</v>
      </c>
      <c r="O123" s="97" t="s">
        <v>38</v>
      </c>
      <c r="P123" s="95">
        <f>Q123/Q$109</f>
        <v>0.44880123828740442</v>
      </c>
      <c r="Q123" s="96">
        <f>SUM(Q113:Q122)</f>
        <v>24355.769999999997</v>
      </c>
      <c r="R123" s="100"/>
      <c r="S123" s="101">
        <f t="shared" si="39"/>
        <v>8963.7000000000044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40"/>
        <v>Véhicules usagésSalaires cadres</v>
      </c>
      <c r="B124" s="11" t="s">
        <v>70</v>
      </c>
      <c r="C124" s="102" t="s">
        <v>40</v>
      </c>
      <c r="D124" s="13"/>
      <c r="E124" s="13"/>
      <c r="F124" s="30">
        <v>6371.710183908046</v>
      </c>
      <c r="G124" s="41"/>
      <c r="H124" s="13"/>
      <c r="I124" s="30"/>
      <c r="J124" s="41"/>
      <c r="K124" s="13"/>
      <c r="L124" s="33">
        <v>7981.1</v>
      </c>
      <c r="M124" s="41"/>
      <c r="N124" s="59">
        <f t="shared" si="36"/>
        <v>1609.3898160919543</v>
      </c>
      <c r="O124" s="41"/>
      <c r="P124" s="13"/>
      <c r="Q124" s="33">
        <v>3444.18</v>
      </c>
      <c r="R124" s="41"/>
      <c r="S124" s="85">
        <f t="shared" si="39"/>
        <v>4536.92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40"/>
        <v>Véhicules usagésSalaires commis</v>
      </c>
      <c r="B125" s="11" t="s">
        <v>70</v>
      </c>
      <c r="C125" s="103" t="s">
        <v>41</v>
      </c>
      <c r="D125" s="81"/>
      <c r="E125" s="13"/>
      <c r="F125" s="22">
        <v>1881.1493850574709</v>
      </c>
      <c r="G125" s="83"/>
      <c r="H125" s="13"/>
      <c r="I125" s="22"/>
      <c r="J125" s="41"/>
      <c r="K125" s="13"/>
      <c r="L125" s="22">
        <v>1230.19</v>
      </c>
      <c r="M125" s="41"/>
      <c r="N125" s="59">
        <f t="shared" si="36"/>
        <v>-650.95938505747085</v>
      </c>
      <c r="O125" s="41"/>
      <c r="P125" s="13"/>
      <c r="Q125" s="22">
        <v>3065.73</v>
      </c>
      <c r="R125" s="41"/>
      <c r="S125" s="85">
        <f t="shared" si="39"/>
        <v>-1835.54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40"/>
        <v>Véhicules usagésSalaires autres</v>
      </c>
      <c r="B126" s="11" t="s">
        <v>70</v>
      </c>
      <c r="C126" s="102" t="s">
        <v>42</v>
      </c>
      <c r="D126" s="104"/>
      <c r="E126" s="105"/>
      <c r="F126" s="30">
        <v>0</v>
      </c>
      <c r="G126" s="106"/>
      <c r="H126" s="105"/>
      <c r="I126" s="30"/>
      <c r="J126" s="107"/>
      <c r="K126" s="105"/>
      <c r="L126" s="33">
        <v>0</v>
      </c>
      <c r="M126" s="107"/>
      <c r="N126" s="109">
        <f t="shared" si="36"/>
        <v>0</v>
      </c>
      <c r="O126" s="107"/>
      <c r="P126" s="105"/>
      <c r="Q126" s="33">
        <v>2809</v>
      </c>
      <c r="R126" s="107"/>
      <c r="S126" s="110">
        <f t="shared" si="39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40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v>0</v>
      </c>
      <c r="G127" s="83"/>
      <c r="H127" s="13"/>
      <c r="I127" s="30"/>
      <c r="J127" s="41"/>
      <c r="K127" s="13"/>
      <c r="L127" s="33">
        <v>0</v>
      </c>
      <c r="M127" s="41"/>
      <c r="N127" s="59">
        <f t="shared" si="36"/>
        <v>0</v>
      </c>
      <c r="O127" s="41"/>
      <c r="P127" s="13"/>
      <c r="Q127" s="33">
        <v>0</v>
      </c>
      <c r="R127" s="41"/>
      <c r="S127" s="85">
        <f t="shared" si="39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v>0</v>
      </c>
      <c r="G128" s="83"/>
      <c r="H128" s="13"/>
      <c r="I128" s="30"/>
      <c r="J128" s="41"/>
      <c r="K128" s="13"/>
      <c r="L128" s="33">
        <v>0</v>
      </c>
      <c r="M128" s="41"/>
      <c r="N128" s="59">
        <f t="shared" si="36"/>
        <v>0</v>
      </c>
      <c r="O128" s="41"/>
      <c r="P128" s="13"/>
      <c r="Q128" s="33"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v>0</v>
      </c>
      <c r="G129" s="83"/>
      <c r="H129" s="13"/>
      <c r="I129" s="30"/>
      <c r="J129" s="41"/>
      <c r="K129" s="13"/>
      <c r="L129" s="33">
        <v>0</v>
      </c>
      <c r="M129" s="41"/>
      <c r="N129" s="59">
        <f t="shared" si="36"/>
        <v>0</v>
      </c>
      <c r="O129" s="41"/>
      <c r="P129" s="13"/>
      <c r="Q129" s="33"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v>0</v>
      </c>
      <c r="G130" s="83"/>
      <c r="H130" s="13"/>
      <c r="I130" s="30"/>
      <c r="J130" s="41"/>
      <c r="K130" s="13"/>
      <c r="L130" s="33">
        <v>0</v>
      </c>
      <c r="M130" s="41"/>
      <c r="N130" s="59">
        <f t="shared" si="36"/>
        <v>0</v>
      </c>
      <c r="O130" s="41"/>
      <c r="P130" s="13"/>
      <c r="Q130" s="33"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:A197" si="41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v>3413.343189770399</v>
      </c>
      <c r="G131" s="83"/>
      <c r="H131" s="13"/>
      <c r="I131" s="30"/>
      <c r="J131" s="41"/>
      <c r="K131" s="13"/>
      <c r="L131" s="33">
        <v>2741.18</v>
      </c>
      <c r="M131" s="41"/>
      <c r="N131" s="59">
        <f t="shared" si="36"/>
        <v>-672.16318977039919</v>
      </c>
      <c r="O131" s="41"/>
      <c r="P131" s="13"/>
      <c r="Q131" s="33">
        <v>2672.07</v>
      </c>
      <c r="R131" s="41"/>
      <c r="S131" s="85">
        <f>L131-Q131</f>
        <v>69.109999999999673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41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v>4398.6381311474215</v>
      </c>
      <c r="G132" s="106"/>
      <c r="H132" s="105"/>
      <c r="I132" s="54"/>
      <c r="J132" s="107"/>
      <c r="K132" s="105"/>
      <c r="L132" s="55">
        <v>2974.71</v>
      </c>
      <c r="M132" s="107"/>
      <c r="N132" s="109">
        <f t="shared" si="36"/>
        <v>-1423.9281311474215</v>
      </c>
      <c r="O132" s="107"/>
      <c r="P132" s="105"/>
      <c r="Q132" s="55">
        <v>2599.48</v>
      </c>
      <c r="R132" s="107"/>
      <c r="S132" s="110">
        <f t="shared" ref="S132:S149" si="42">L132-Q132</f>
        <v>375.23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41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v>3079.0466918031948</v>
      </c>
      <c r="G133" s="83"/>
      <c r="H133" s="13"/>
      <c r="I133" s="30"/>
      <c r="J133" s="41"/>
      <c r="K133" s="13"/>
      <c r="L133" s="33">
        <v>1937.54</v>
      </c>
      <c r="M133" s="41"/>
      <c r="N133" s="59">
        <f t="shared" si="36"/>
        <v>-1141.5066918031948</v>
      </c>
      <c r="O133" s="41"/>
      <c r="P133" s="13"/>
      <c r="Q133" s="33">
        <v>2288.75</v>
      </c>
      <c r="R133" s="41"/>
      <c r="S133" s="85">
        <f t="shared" si="42"/>
        <v>-351.21000000000004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41"/>
        <v>Véhicules usagésCsst</v>
      </c>
      <c r="B134" s="11" t="s">
        <v>70</v>
      </c>
      <c r="C134" s="102" t="s">
        <v>47</v>
      </c>
      <c r="D134" s="81"/>
      <c r="E134" s="13"/>
      <c r="F134" s="30">
        <v>862.13307370489463</v>
      </c>
      <c r="G134" s="83"/>
      <c r="H134" s="13"/>
      <c r="I134" s="30"/>
      <c r="J134" s="41"/>
      <c r="K134" s="13"/>
      <c r="L134" s="33">
        <v>421.12</v>
      </c>
      <c r="M134" s="41"/>
      <c r="N134" s="59">
        <f t="shared" si="36"/>
        <v>-441.01307370489462</v>
      </c>
      <c r="O134" s="41"/>
      <c r="P134" s="13"/>
      <c r="Q134" s="33">
        <v>261.77999999999997</v>
      </c>
      <c r="R134" s="41"/>
      <c r="S134" s="85">
        <f t="shared" si="42"/>
        <v>159.34000000000003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41"/>
        <v>Véhicules usagés[...]</v>
      </c>
      <c r="B135" s="11" t="s">
        <v>70</v>
      </c>
      <c r="C135" s="29" t="s">
        <v>19</v>
      </c>
      <c r="D135" s="87"/>
      <c r="E135" s="111"/>
      <c r="F135" s="30">
        <v>0</v>
      </c>
      <c r="G135" s="89"/>
      <c r="H135" s="111"/>
      <c r="I135" s="30"/>
      <c r="J135" s="23"/>
      <c r="K135" s="111"/>
      <c r="L135" s="33">
        <v>0</v>
      </c>
      <c r="M135" s="41"/>
      <c r="N135" s="59">
        <f t="shared" si="36"/>
        <v>0</v>
      </c>
      <c r="O135" s="23"/>
      <c r="P135" s="111"/>
      <c r="Q135" s="33">
        <v>0</v>
      </c>
      <c r="R135" s="23"/>
      <c r="S135" s="92">
        <f t="shared" si="4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41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0.22036249648495318</v>
      </c>
      <c r="F136" s="96">
        <f>+SUM(F124:F135)</f>
        <v>20006.020655391429</v>
      </c>
      <c r="G136" s="97"/>
      <c r="H136" s="95"/>
      <c r="I136" s="96"/>
      <c r="J136" s="97" t="s">
        <v>38</v>
      </c>
      <c r="K136" s="95">
        <f>L136/L$109</f>
        <v>0.21482382630302588</v>
      </c>
      <c r="L136" s="96">
        <f>SUM(L124:L135)</f>
        <v>17285.84</v>
      </c>
      <c r="M136" s="458"/>
      <c r="N136" s="459">
        <f t="shared" si="36"/>
        <v>-2720.1806553914284</v>
      </c>
      <c r="O136" s="97" t="s">
        <v>38</v>
      </c>
      <c r="P136" s="95">
        <f>Q136/Q$109</f>
        <v>0.31585523830583129</v>
      </c>
      <c r="Q136" s="96">
        <f>+SUM(Q124:Q135)</f>
        <v>17140.989999999998</v>
      </c>
      <c r="R136" s="146"/>
      <c r="S136" s="114">
        <f t="shared" si="42"/>
        <v>144.85000000000218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41"/>
        <v>Véhicules usagésPublicité 2</v>
      </c>
      <c r="B137" s="11" t="s">
        <v>70</v>
      </c>
      <c r="C137" s="29" t="s">
        <v>49</v>
      </c>
      <c r="D137" s="81"/>
      <c r="E137" s="13"/>
      <c r="F137" s="30">
        <v>0</v>
      </c>
      <c r="G137" s="83"/>
      <c r="H137" s="13"/>
      <c r="I137" s="30"/>
      <c r="J137" s="41"/>
      <c r="K137" s="13"/>
      <c r="L137" s="33">
        <v>0</v>
      </c>
      <c r="M137" s="41"/>
      <c r="N137" s="59">
        <f t="shared" si="36"/>
        <v>0</v>
      </c>
      <c r="O137" s="41"/>
      <c r="P137" s="13"/>
      <c r="Q137" s="33">
        <v>0</v>
      </c>
      <c r="R137" s="41"/>
      <c r="S137" s="85">
        <f t="shared" si="4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41"/>
        <v>Véhicules usagésService gratuit 2</v>
      </c>
      <c r="B138" s="11" t="s">
        <v>70</v>
      </c>
      <c r="C138" s="29" t="s">
        <v>50</v>
      </c>
      <c r="D138" s="81"/>
      <c r="E138" s="13"/>
      <c r="F138" s="30">
        <v>0</v>
      </c>
      <c r="G138" s="83"/>
      <c r="H138" s="13"/>
      <c r="I138" s="30"/>
      <c r="J138" s="41"/>
      <c r="K138" s="13"/>
      <c r="L138" s="33">
        <v>0</v>
      </c>
      <c r="M138" s="41"/>
      <c r="N138" s="59">
        <f t="shared" si="36"/>
        <v>0</v>
      </c>
      <c r="O138" s="41"/>
      <c r="P138" s="13"/>
      <c r="Q138" s="33">
        <v>0</v>
      </c>
      <c r="R138" s="41"/>
      <c r="S138" s="85">
        <f t="shared" si="4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41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v>763.58333333333337</v>
      </c>
      <c r="G139" s="89"/>
      <c r="H139" s="111"/>
      <c r="I139" s="22"/>
      <c r="J139" s="23"/>
      <c r="K139" s="111"/>
      <c r="L139" s="22">
        <v>283.17</v>
      </c>
      <c r="M139" s="23"/>
      <c r="N139" s="91">
        <f t="shared" si="36"/>
        <v>-480.41333333333336</v>
      </c>
      <c r="O139" s="23"/>
      <c r="P139" s="111"/>
      <c r="Q139" s="22">
        <v>926.69</v>
      </c>
      <c r="R139" s="23"/>
      <c r="S139" s="92">
        <f t="shared" si="42"/>
        <v>-643.52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41"/>
        <v>Véhicules usagésInformatique</v>
      </c>
      <c r="B140" s="11" t="s">
        <v>70</v>
      </c>
      <c r="C140" s="29" t="s">
        <v>52</v>
      </c>
      <c r="D140" s="81"/>
      <c r="E140" s="13"/>
      <c r="F140" s="30">
        <v>4084.5149999999999</v>
      </c>
      <c r="G140" s="83"/>
      <c r="H140" s="13"/>
      <c r="I140" s="30"/>
      <c r="J140" s="41"/>
      <c r="K140" s="13"/>
      <c r="L140" s="33">
        <v>4459.83</v>
      </c>
      <c r="M140" s="41"/>
      <c r="N140" s="59">
        <f t="shared" si="36"/>
        <v>375.31500000000005</v>
      </c>
      <c r="O140" s="41"/>
      <c r="P140" s="13"/>
      <c r="Q140" s="33">
        <v>1448.17</v>
      </c>
      <c r="R140" s="41"/>
      <c r="S140" s="85">
        <f t="shared" si="42"/>
        <v>3011.66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41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v>498.75</v>
      </c>
      <c r="G141" s="83"/>
      <c r="H141" s="13"/>
      <c r="I141" s="30"/>
      <c r="J141" s="41"/>
      <c r="K141" s="13"/>
      <c r="L141" s="33">
        <v>1307.5</v>
      </c>
      <c r="M141" s="41"/>
      <c r="N141" s="59">
        <f t="shared" si="36"/>
        <v>808.75</v>
      </c>
      <c r="O141" s="41"/>
      <c r="P141" s="13"/>
      <c r="Q141" s="33">
        <v>117.35</v>
      </c>
      <c r="R141" s="41"/>
      <c r="S141" s="85">
        <f t="shared" si="42"/>
        <v>1190.1500000000001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41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v>2897.8903333333333</v>
      </c>
      <c r="G142" s="89"/>
      <c r="H142" s="111"/>
      <c r="I142" s="22"/>
      <c r="J142" s="23"/>
      <c r="K142" s="111"/>
      <c r="L142" s="22">
        <v>3346.29</v>
      </c>
      <c r="M142" s="23"/>
      <c r="N142" s="91">
        <f t="shared" si="36"/>
        <v>448.39966666666669</v>
      </c>
      <c r="O142" s="23"/>
      <c r="P142" s="111"/>
      <c r="Q142" s="22">
        <v>631.08000000000004</v>
      </c>
      <c r="R142" s="23"/>
      <c r="S142" s="92">
        <f t="shared" si="42"/>
        <v>2715.21</v>
      </c>
      <c r="T142" s="13"/>
      <c r="U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41"/>
        <v>Véhicules usagésFournitures autres</v>
      </c>
      <c r="B143" s="11" t="s">
        <v>70</v>
      </c>
      <c r="C143" s="29" t="s">
        <v>55</v>
      </c>
      <c r="D143" s="81"/>
      <c r="E143" s="13"/>
      <c r="F143" s="30">
        <v>13.75</v>
      </c>
      <c r="G143" s="83"/>
      <c r="H143" s="13"/>
      <c r="I143" s="30"/>
      <c r="J143" s="41"/>
      <c r="K143" s="13"/>
      <c r="L143" s="33">
        <v>21.29</v>
      </c>
      <c r="M143" s="41"/>
      <c r="N143" s="59">
        <f t="shared" si="36"/>
        <v>7.5399999999999991</v>
      </c>
      <c r="O143" s="41"/>
      <c r="P143" s="13"/>
      <c r="Q143" s="33">
        <v>0</v>
      </c>
      <c r="R143" s="41"/>
      <c r="S143" s="85">
        <f t="shared" si="42"/>
        <v>21.29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41"/>
        <v>Véhicules usagésUniformes</v>
      </c>
      <c r="B144" s="11" t="s">
        <v>70</v>
      </c>
      <c r="C144" s="29" t="s">
        <v>56</v>
      </c>
      <c r="D144" s="81"/>
      <c r="E144" s="13"/>
      <c r="F144" s="30">
        <v>7.5</v>
      </c>
      <c r="G144" s="83"/>
      <c r="H144" s="13"/>
      <c r="I144" s="30"/>
      <c r="J144" s="41"/>
      <c r="K144" s="13"/>
      <c r="L144" s="33">
        <v>0</v>
      </c>
      <c r="M144" s="41"/>
      <c r="N144" s="59">
        <f t="shared" si="36"/>
        <v>-7.5</v>
      </c>
      <c r="O144" s="41"/>
      <c r="P144" s="13"/>
      <c r="Q144" s="33">
        <v>0</v>
      </c>
      <c r="R144" s="41"/>
      <c r="S144" s="85">
        <f t="shared" si="42"/>
        <v>0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41"/>
        <v>Véhicules usagésPapeterie</v>
      </c>
      <c r="B145" s="11" t="s">
        <v>70</v>
      </c>
      <c r="C145" s="29" t="s">
        <v>57</v>
      </c>
      <c r="D145" s="81"/>
      <c r="E145" s="13"/>
      <c r="F145" s="30">
        <v>217.5</v>
      </c>
      <c r="G145" s="83"/>
      <c r="H145" s="13"/>
      <c r="I145" s="30"/>
      <c r="J145" s="41"/>
      <c r="K145" s="13"/>
      <c r="L145" s="32">
        <v>118.95</v>
      </c>
      <c r="M145" s="41"/>
      <c r="N145" s="59">
        <f t="shared" si="36"/>
        <v>-98.55</v>
      </c>
      <c r="O145" s="41"/>
      <c r="P145" s="13"/>
      <c r="Q145" s="32">
        <v>233.93</v>
      </c>
      <c r="R145" s="41"/>
      <c r="S145" s="85">
        <f t="shared" si="42"/>
        <v>-114.98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41"/>
        <v>Véhicules usagésTéléphone</v>
      </c>
      <c r="B146" s="11" t="s">
        <v>70</v>
      </c>
      <c r="C146" s="29" t="s">
        <v>58</v>
      </c>
      <c r="D146" s="81"/>
      <c r="E146" s="13"/>
      <c r="F146" s="30">
        <v>63.35</v>
      </c>
      <c r="G146" s="83"/>
      <c r="H146" s="13"/>
      <c r="I146" s="30"/>
      <c r="J146" s="41"/>
      <c r="K146" s="13"/>
      <c r="L146" s="33">
        <v>76.319999999999993</v>
      </c>
      <c r="M146" s="41"/>
      <c r="N146" s="59">
        <f t="shared" si="36"/>
        <v>12.969999999999992</v>
      </c>
      <c r="O146" s="41"/>
      <c r="P146" s="13"/>
      <c r="Q146" s="33">
        <v>56.77</v>
      </c>
      <c r="R146" s="41"/>
      <c r="S146" s="85">
        <f t="shared" si="42"/>
        <v>19.54999999999999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41"/>
        <v>Véhicules usagésFrais postaux</v>
      </c>
      <c r="B147" s="11" t="s">
        <v>70</v>
      </c>
      <c r="C147" s="29" t="s">
        <v>59</v>
      </c>
      <c r="D147" s="81"/>
      <c r="E147" s="13"/>
      <c r="F147" s="30">
        <v>84.999999999999986</v>
      </c>
      <c r="G147" s="83"/>
      <c r="H147" s="13"/>
      <c r="I147" s="30"/>
      <c r="J147" s="41"/>
      <c r="K147" s="13"/>
      <c r="L147" s="33">
        <v>202.22</v>
      </c>
      <c r="M147" s="41"/>
      <c r="N147" s="59">
        <f t="shared" si="36"/>
        <v>117.22000000000001</v>
      </c>
      <c r="O147" s="41"/>
      <c r="P147" s="13"/>
      <c r="Q147" s="33">
        <v>119.66</v>
      </c>
      <c r="R147" s="41"/>
      <c r="S147" s="85">
        <f t="shared" si="42"/>
        <v>82.56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41"/>
        <v>Véhicules usagésDivers</v>
      </c>
      <c r="B148" s="11" t="s">
        <v>70</v>
      </c>
      <c r="C148" s="29" t="s">
        <v>60</v>
      </c>
      <c r="D148" s="81"/>
      <c r="E148" s="13"/>
      <c r="F148" s="30">
        <v>238.91666666666663</v>
      </c>
      <c r="G148" s="83"/>
      <c r="H148" s="13"/>
      <c r="I148" s="30"/>
      <c r="J148" s="41"/>
      <c r="K148" s="13"/>
      <c r="L148" s="33">
        <v>203.01999999999998</v>
      </c>
      <c r="M148" s="41"/>
      <c r="N148" s="59">
        <f t="shared" si="36"/>
        <v>-35.896666666666647</v>
      </c>
      <c r="O148" s="41"/>
      <c r="P148" s="13"/>
      <c r="Q148" s="33">
        <v>337.85</v>
      </c>
      <c r="R148" s="41"/>
      <c r="S148" s="85">
        <f t="shared" si="42"/>
        <v>-134.83000000000004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41"/>
        <v>Véhicules usagésFormation</v>
      </c>
      <c r="B149" s="11" t="s">
        <v>70</v>
      </c>
      <c r="C149" s="29" t="s">
        <v>61</v>
      </c>
      <c r="D149" s="81"/>
      <c r="E149" s="13"/>
      <c r="F149" s="30">
        <v>114.34800000000004</v>
      </c>
      <c r="G149" s="83"/>
      <c r="H149" s="13"/>
      <c r="I149" s="30"/>
      <c r="J149" s="41"/>
      <c r="K149" s="13"/>
      <c r="L149" s="59">
        <v>89.09</v>
      </c>
      <c r="M149" s="41"/>
      <c r="N149" s="59">
        <f t="shared" si="36"/>
        <v>-25.258000000000038</v>
      </c>
      <c r="O149" s="41"/>
      <c r="P149" s="13"/>
      <c r="Q149" s="33">
        <v>87.01</v>
      </c>
      <c r="R149" s="41"/>
      <c r="S149" s="85">
        <f t="shared" si="42"/>
        <v>2.0799999999999983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v>1209.0429092304169</v>
      </c>
      <c r="G150" s="83"/>
      <c r="H150" s="13"/>
      <c r="I150" s="30"/>
      <c r="J150" s="41"/>
      <c r="K150" s="13"/>
      <c r="L150" s="33">
        <v>923.21</v>
      </c>
      <c r="M150" s="41"/>
      <c r="N150" s="59">
        <f t="shared" si="36"/>
        <v>-285.83290923041682</v>
      </c>
      <c r="O150" s="41"/>
      <c r="P150" s="13"/>
      <c r="Q150" s="33">
        <v>630.20000000000005</v>
      </c>
      <c r="R150" s="41"/>
      <c r="S150" s="85">
        <f>L150-Q150</f>
        <v>293.01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v>0</v>
      </c>
      <c r="G151" s="83"/>
      <c r="H151" s="13"/>
      <c r="I151" s="30"/>
      <c r="J151" s="41"/>
      <c r="K151" s="13"/>
      <c r="L151" s="33">
        <v>0</v>
      </c>
      <c r="M151" s="41"/>
      <c r="N151" s="59">
        <f t="shared" si="36"/>
        <v>0</v>
      </c>
      <c r="O151" s="41"/>
      <c r="P151" s="13"/>
      <c r="Q151" s="33"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v>0</v>
      </c>
      <c r="G152" s="83"/>
      <c r="H152" s="13"/>
      <c r="I152" s="30"/>
      <c r="J152" s="41"/>
      <c r="K152" s="13"/>
      <c r="L152" s="33">
        <v>0</v>
      </c>
      <c r="M152" s="41"/>
      <c r="N152" s="59">
        <f t="shared" si="36"/>
        <v>0</v>
      </c>
      <c r="O152" s="41"/>
      <c r="P152" s="13"/>
      <c r="Q152" s="33"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v>0</v>
      </c>
      <c r="G153" s="83"/>
      <c r="H153" s="13"/>
      <c r="I153" s="30"/>
      <c r="J153" s="41"/>
      <c r="K153" s="13"/>
      <c r="L153" s="33">
        <v>0</v>
      </c>
      <c r="M153" s="41"/>
      <c r="N153" s="59">
        <f t="shared" si="36"/>
        <v>0</v>
      </c>
      <c r="O153" s="41"/>
      <c r="P153" s="13"/>
      <c r="Q153" s="33"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:A220" si="43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0.11228657383889423</v>
      </c>
      <c r="F154" s="96">
        <f>+SUM(F137:F153)</f>
        <v>10194.146242563749</v>
      </c>
      <c r="G154" s="97"/>
      <c r="H154" s="95"/>
      <c r="I154" s="96"/>
      <c r="J154" s="97" t="s">
        <v>38</v>
      </c>
      <c r="K154" s="95">
        <f>L154/L$109</f>
        <v>0.13708896977686857</v>
      </c>
      <c r="L154" s="96">
        <f>+SUM(L137:L153)</f>
        <v>11030.890000000003</v>
      </c>
      <c r="M154" s="100"/>
      <c r="N154" s="96">
        <f t="shared" si="36"/>
        <v>836.74375743625387</v>
      </c>
      <c r="O154" s="97" t="s">
        <v>38</v>
      </c>
      <c r="P154" s="95">
        <f>Q154/Q$109</f>
        <v>8.4555681472677557E-2</v>
      </c>
      <c r="Q154" s="96">
        <f>+SUM(Q137:Q153)</f>
        <v>4588.71</v>
      </c>
      <c r="R154" s="100"/>
      <c r="S154" s="101">
        <f>L154-Q154</f>
        <v>6442.180000000003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43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43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0.74218802138104945</v>
      </c>
      <c r="F156" s="96">
        <f>F123+F136+F154</f>
        <v>67380.92517002883</v>
      </c>
      <c r="G156" s="97"/>
      <c r="H156" s="95"/>
      <c r="I156" s="96"/>
      <c r="J156" s="97" t="s">
        <v>38</v>
      </c>
      <c r="K156" s="95">
        <f>L156/L$109</f>
        <v>0.76599831554489473</v>
      </c>
      <c r="L156" s="96">
        <f>L123+L136+L154</f>
        <v>61636.2</v>
      </c>
      <c r="M156" s="100"/>
      <c r="N156" s="113">
        <f t="shared" ref="N156:N163" si="44">L156-F156</f>
        <v>-5744.7251700288325</v>
      </c>
      <c r="O156" s="97" t="s">
        <v>38</v>
      </c>
      <c r="P156" s="95">
        <f>Q156/Q$109</f>
        <v>0.84921215806591321</v>
      </c>
      <c r="Q156" s="96">
        <f>Q123+Q136+Q154</f>
        <v>46085.469999999994</v>
      </c>
      <c r="R156" s="100"/>
      <c r="S156" s="114">
        <f t="shared" ref="S156:S163" si="45">L156-Q156</f>
        <v>15550.730000000003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43"/>
        <v>Véhicules usagésRBSC used</v>
      </c>
      <c r="B157" s="11" t="s">
        <v>70</v>
      </c>
      <c r="C157" s="29" t="s">
        <v>217</v>
      </c>
      <c r="D157" s="148"/>
      <c r="E157" s="149"/>
      <c r="F157" s="30">
        <v>5250</v>
      </c>
      <c r="G157" s="150"/>
      <c r="H157" s="149"/>
      <c r="I157" s="30"/>
      <c r="J157" s="150"/>
      <c r="K157" s="149"/>
      <c r="L157" s="32">
        <v>4675</v>
      </c>
      <c r="M157" s="41"/>
      <c r="N157" s="59">
        <f t="shared" si="44"/>
        <v>-575</v>
      </c>
      <c r="O157" s="150"/>
      <c r="P157" s="149"/>
      <c r="Q157" s="33">
        <v>0</v>
      </c>
      <c r="R157" s="41"/>
      <c r="S157" s="85">
        <f t="shared" si="45"/>
        <v>4675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43"/>
        <v>Véhicules usagésProgramme 360</v>
      </c>
      <c r="B158" s="11" t="s">
        <v>70</v>
      </c>
      <c r="C158" s="29" t="s">
        <v>218</v>
      </c>
      <c r="D158" s="148"/>
      <c r="E158" s="149"/>
      <c r="F158" s="30">
        <v>0</v>
      </c>
      <c r="G158" s="150"/>
      <c r="H158" s="149"/>
      <c r="I158" s="30"/>
      <c r="J158" s="150"/>
      <c r="K158" s="149"/>
      <c r="L158" s="33">
        <v>2700</v>
      </c>
      <c r="M158" s="41"/>
      <c r="N158" s="59">
        <f t="shared" si="44"/>
        <v>2700</v>
      </c>
      <c r="O158" s="150"/>
      <c r="P158" s="149"/>
      <c r="Q158" s="33">
        <v>0</v>
      </c>
      <c r="R158" s="41"/>
      <c r="S158" s="85">
        <f t="shared" si="45"/>
        <v>2700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43"/>
        <v>Véhicules usagésProgramme used 3</v>
      </c>
      <c r="B159" s="11" t="s">
        <v>70</v>
      </c>
      <c r="C159" s="29" t="s">
        <v>77</v>
      </c>
      <c r="D159" s="81"/>
      <c r="E159" s="13"/>
      <c r="F159" s="30">
        <v>0</v>
      </c>
      <c r="G159" s="83"/>
      <c r="H159" s="13"/>
      <c r="I159" s="30"/>
      <c r="J159" s="41"/>
      <c r="K159" s="13"/>
      <c r="L159" s="33">
        <v>0</v>
      </c>
      <c r="M159" s="41"/>
      <c r="N159" s="59">
        <f t="shared" si="44"/>
        <v>0</v>
      </c>
      <c r="O159" s="41"/>
      <c r="P159" s="13"/>
      <c r="Q159" s="33">
        <v>0</v>
      </c>
      <c r="R159" s="41"/>
      <c r="S159" s="85">
        <f t="shared" si="45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usagés[...]</v>
      </c>
      <c r="B160" s="11" t="s">
        <v>70</v>
      </c>
      <c r="C160" s="29" t="s">
        <v>19</v>
      </c>
      <c r="D160" s="81"/>
      <c r="E160" s="13"/>
      <c r="F160" s="30">
        <v>0</v>
      </c>
      <c r="G160" s="83"/>
      <c r="H160" s="13"/>
      <c r="I160" s="30"/>
      <c r="J160" s="41"/>
      <c r="K160" s="13"/>
      <c r="L160" s="32">
        <v>0</v>
      </c>
      <c r="M160" s="41"/>
      <c r="N160" s="59">
        <f t="shared" si="44"/>
        <v>0</v>
      </c>
      <c r="O160" s="41"/>
      <c r="P160" s="13"/>
      <c r="Q160" s="33">
        <v>0</v>
      </c>
      <c r="R160" s="41"/>
      <c r="S160" s="85">
        <f t="shared" si="45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v>0</v>
      </c>
      <c r="G161" s="83"/>
      <c r="H161" s="13"/>
      <c r="I161" s="30"/>
      <c r="J161" s="41"/>
      <c r="K161" s="13"/>
      <c r="L161" s="32">
        <v>0</v>
      </c>
      <c r="M161" s="41"/>
      <c r="N161" s="59">
        <f t="shared" si="44"/>
        <v>0</v>
      </c>
      <c r="O161" s="41"/>
      <c r="P161" s="13"/>
      <c r="Q161" s="33">
        <v>0</v>
      </c>
      <c r="R161" s="41"/>
      <c r="S161" s="85">
        <f t="shared" si="45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v>0</v>
      </c>
      <c r="G162" s="83"/>
      <c r="H162" s="13"/>
      <c r="I162" s="30"/>
      <c r="J162" s="41"/>
      <c r="K162" s="13"/>
      <c r="L162" s="32">
        <v>0</v>
      </c>
      <c r="M162" s="41"/>
      <c r="N162" s="59">
        <f t="shared" si="44"/>
        <v>0</v>
      </c>
      <c r="O162" s="41"/>
      <c r="P162" s="13"/>
      <c r="Q162" s="33">
        <v>0</v>
      </c>
      <c r="R162" s="41"/>
      <c r="S162" s="85">
        <f t="shared" si="45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usagésFrais administration</v>
      </c>
      <c r="B163" s="11" t="s">
        <v>70</v>
      </c>
      <c r="C163" s="86" t="s">
        <v>67</v>
      </c>
      <c r="D163" s="87"/>
      <c r="E163" s="111"/>
      <c r="F163" s="30">
        <v>11126.5</v>
      </c>
      <c r="G163" s="83"/>
      <c r="H163" s="13"/>
      <c r="I163" s="30"/>
      <c r="J163" s="41"/>
      <c r="K163" s="13"/>
      <c r="L163" s="32">
        <v>11900</v>
      </c>
      <c r="M163" s="41"/>
      <c r="N163" s="59">
        <f t="shared" si="44"/>
        <v>773.5</v>
      </c>
      <c r="O163" s="41"/>
      <c r="P163" s="13"/>
      <c r="Q163" s="33">
        <v>10115</v>
      </c>
      <c r="R163" s="41"/>
      <c r="S163" s="85">
        <f t="shared" si="45"/>
        <v>1785</v>
      </c>
      <c r="T163" s="112"/>
      <c r="U163" s="13"/>
      <c r="V163" s="489">
        <f>L163/595</f>
        <v>20</v>
      </c>
      <c r="W163" s="483">
        <f>V163/J97</f>
        <v>0.90909090909090906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16376.5</v>
      </c>
      <c r="G164" s="97"/>
      <c r="H164" s="95"/>
      <c r="I164" s="96"/>
      <c r="J164" s="97"/>
      <c r="K164" s="95"/>
      <c r="L164" s="96">
        <f>+SUM(L157:L163)</f>
        <v>19275</v>
      </c>
      <c r="M164" s="100"/>
      <c r="N164" s="96">
        <f>SUM(N157:N160)</f>
        <v>2125</v>
      </c>
      <c r="O164" s="97"/>
      <c r="P164" s="95"/>
      <c r="Q164" s="96">
        <f>+SUM(Q157:Q163)</f>
        <v>10115</v>
      </c>
      <c r="R164" s="100"/>
      <c r="S164" s="101">
        <f>+SUM(S157:S163)</f>
        <v>9160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39782.441808297866</v>
      </c>
      <c r="G166" s="152"/>
      <c r="H166" s="125"/>
      <c r="I166" s="127"/>
      <c r="J166" s="153"/>
      <c r="K166" s="126"/>
      <c r="L166" s="127">
        <f>L109-L156+L164</f>
        <v>38103.990000000122</v>
      </c>
      <c r="M166" s="153"/>
      <c r="N166" s="127">
        <f>L166-F166</f>
        <v>-1678.4518082977447</v>
      </c>
      <c r="O166" s="153"/>
      <c r="P166" s="126"/>
      <c r="Q166" s="127">
        <f>Q109-Q156+Q164</f>
        <v>18298.029999999984</v>
      </c>
      <c r="R166" s="153"/>
      <c r="S166" s="129">
        <f>L166-Q166</f>
        <v>19805.960000000137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Août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05" t="s">
        <v>5</v>
      </c>
      <c r="E171" s="506"/>
      <c r="F171" s="507"/>
      <c r="G171" s="508"/>
      <c r="H171" s="506"/>
      <c r="I171" s="507"/>
      <c r="J171" s="508" t="s">
        <v>7</v>
      </c>
      <c r="K171" s="506"/>
      <c r="L171" s="507"/>
      <c r="M171" s="508" t="s">
        <v>212</v>
      </c>
      <c r="N171" s="507"/>
      <c r="O171" s="505" t="s">
        <v>8</v>
      </c>
      <c r="P171" s="506"/>
      <c r="Q171" s="507"/>
      <c r="R171" s="503" t="s">
        <v>213</v>
      </c>
      <c r="S171" s="504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29" si="46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6"/>
        <v>ServiceM/O Client</v>
      </c>
      <c r="B173" s="11" t="s">
        <v>78</v>
      </c>
      <c r="C173" s="29" t="s">
        <v>81</v>
      </c>
      <c r="D173" s="485">
        <v>178.40064261407269</v>
      </c>
      <c r="E173" s="82">
        <v>63332.228127995812</v>
      </c>
      <c r="F173" s="82">
        <v>50032.460221116693</v>
      </c>
      <c r="G173" s="155"/>
      <c r="H173" s="82"/>
      <c r="I173" s="82"/>
      <c r="J173" s="60">
        <v>162</v>
      </c>
      <c r="K173" s="30">
        <v>64984.36</v>
      </c>
      <c r="L173" s="33">
        <v>51511.450000000004</v>
      </c>
      <c r="M173" s="156">
        <f>(K173-E173)/E173</f>
        <v>2.6086747945535636E-2</v>
      </c>
      <c r="N173" s="59">
        <f>L173-F173</f>
        <v>1478.9897788833114</v>
      </c>
      <c r="O173" s="60">
        <v>172</v>
      </c>
      <c r="P173" s="30">
        <v>56536.49</v>
      </c>
      <c r="Q173" s="33">
        <v>43980.97</v>
      </c>
      <c r="R173" s="156">
        <f>IF(O173=0,0,J173/O173)</f>
        <v>0.94186046511627908</v>
      </c>
      <c r="S173" s="85">
        <f>L173-Q173</f>
        <v>7530.4800000000032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6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0.79267457585178958</v>
      </c>
      <c r="M174" s="156"/>
      <c r="N174" s="59"/>
      <c r="O174" s="60"/>
      <c r="P174" s="13"/>
      <c r="Q174" s="157">
        <f>Q173/P173</f>
        <v>0.77792183419947014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6"/>
        <v>Service</v>
      </c>
      <c r="B175" s="11" t="s">
        <v>78</v>
      </c>
      <c r="C175" s="86"/>
      <c r="D175" s="486"/>
      <c r="E175" s="158">
        <f>IFERROR(E173/D173,0)</f>
        <v>355</v>
      </c>
      <c r="F175" s="159"/>
      <c r="G175" s="23"/>
      <c r="H175" s="158"/>
      <c r="I175" s="159"/>
      <c r="J175" s="160"/>
      <c r="K175" s="460">
        <f>IFERROR(K173/J173,0)</f>
        <v>401.13802469135805</v>
      </c>
      <c r="L175" s="159"/>
      <c r="M175" s="161"/>
      <c r="N175" s="91"/>
      <c r="O175" s="160"/>
      <c r="P175" s="460">
        <f>IFERROR(P173/O173,0)</f>
        <v>328.70052325581395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6"/>
        <v>ServiceM/O Garantie</v>
      </c>
      <c r="B176" s="11" t="s">
        <v>78</v>
      </c>
      <c r="C176" s="14" t="s">
        <v>83</v>
      </c>
      <c r="D176" s="487">
        <v>237.68051047440275</v>
      </c>
      <c r="E176" s="82">
        <v>45159.296990136521</v>
      </c>
      <c r="F176" s="82">
        <v>29985.773201450651</v>
      </c>
      <c r="G176" s="163"/>
      <c r="H176" s="82"/>
      <c r="I176" s="82"/>
      <c r="J176" s="163">
        <v>249</v>
      </c>
      <c r="K176" s="164">
        <v>41152.14</v>
      </c>
      <c r="L176" s="33">
        <v>27354.06</v>
      </c>
      <c r="M176" s="156">
        <f>(K176-E176)/E176</f>
        <v>-8.8733821321703613E-2</v>
      </c>
      <c r="N176" s="109">
        <f>L176-F176</f>
        <v>-2631.7132014506496</v>
      </c>
      <c r="O176" s="163">
        <v>306</v>
      </c>
      <c r="P176" s="164">
        <v>56695.519999999997</v>
      </c>
      <c r="Q176" s="33">
        <v>38384.749999999898</v>
      </c>
      <c r="R176" s="156">
        <f>IF(O176=0,0,J176/O176)</f>
        <v>0.81372549019607843</v>
      </c>
      <c r="S176" s="85">
        <f>L176-Q176</f>
        <v>-11030.689999999897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6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0.66470565078754107</v>
      </c>
      <c r="M177" s="42"/>
      <c r="N177" s="43"/>
      <c r="O177" s="41"/>
      <c r="P177" s="13"/>
      <c r="Q177" s="157">
        <f>Q176/P176</f>
        <v>0.67703321179521592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6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185.27947712418299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6"/>
        <v>ServiceM/O Interne</v>
      </c>
      <c r="B179" s="11" t="s">
        <v>78</v>
      </c>
      <c r="C179" s="29" t="s">
        <v>84</v>
      </c>
      <c r="D179" s="485">
        <v>172.5</v>
      </c>
      <c r="E179" s="82">
        <v>69000</v>
      </c>
      <c r="F179" s="82">
        <v>51957</v>
      </c>
      <c r="G179" s="41"/>
      <c r="H179" s="82"/>
      <c r="I179" s="82"/>
      <c r="J179" s="60">
        <v>158</v>
      </c>
      <c r="K179" s="164">
        <v>41514.76</v>
      </c>
      <c r="L179" s="33">
        <v>32173.730000000003</v>
      </c>
      <c r="M179" s="156">
        <f>(K179-E179)/E179</f>
        <v>-0.39833681159420287</v>
      </c>
      <c r="N179" s="59">
        <f>L179-F179</f>
        <v>-19783.269999999997</v>
      </c>
      <c r="O179" s="60">
        <v>142</v>
      </c>
      <c r="P179" s="164">
        <v>42296.289999999899</v>
      </c>
      <c r="Q179" s="33">
        <v>31688.709999999901</v>
      </c>
      <c r="R179" s="156">
        <f>IF(O179=0,0,J179/O179)</f>
        <v>1.1126760563380282</v>
      </c>
      <c r="S179" s="85">
        <f>L179-Q179</f>
        <v>485.0200000001023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6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0.77499496564595338</v>
      </c>
      <c r="M180" s="156"/>
      <c r="N180" s="59">
        <f>L180-F180</f>
        <v>2.1994965645953379E-2</v>
      </c>
      <c r="O180" s="60"/>
      <c r="P180" s="143"/>
      <c r="Q180" s="157">
        <f>Q179/P179</f>
        <v>0.74920779103793678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6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297.86119718309789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6"/>
        <v>ServiceM/O Esthétique</v>
      </c>
      <c r="B182" s="11" t="s">
        <v>78</v>
      </c>
      <c r="C182" s="14" t="s">
        <v>85</v>
      </c>
      <c r="D182" s="487">
        <v>43.243379838003392</v>
      </c>
      <c r="E182" s="82">
        <v>11891.929455450931</v>
      </c>
      <c r="F182" s="82">
        <v>8514.6214901028652</v>
      </c>
      <c r="G182" s="107"/>
      <c r="H182" s="82"/>
      <c r="I182" s="82"/>
      <c r="J182" s="163">
        <v>24</v>
      </c>
      <c r="K182" s="164">
        <v>4201.5</v>
      </c>
      <c r="L182" s="108">
        <v>3006.67</v>
      </c>
      <c r="M182" s="172">
        <f>IF(E182=0,0,(K182-E182)/E182)</f>
        <v>-0.64669316146387423</v>
      </c>
      <c r="N182" s="109">
        <f>L182-F182</f>
        <v>-5507.9514901028651</v>
      </c>
      <c r="O182" s="163">
        <v>48</v>
      </c>
      <c r="P182" s="164">
        <v>8091.08</v>
      </c>
      <c r="Q182" s="108">
        <v>6505.32</v>
      </c>
      <c r="R182" s="156">
        <f>IF(O182=0,0,J182/O182)</f>
        <v>0.5</v>
      </c>
      <c r="S182" s="110">
        <f>L182-Q182</f>
        <v>-3498.6499999999996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6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0.71599999999999986</v>
      </c>
      <c r="G183" s="78"/>
      <c r="H183" s="173"/>
      <c r="I183" s="157"/>
      <c r="J183" s="174"/>
      <c r="K183" s="173"/>
      <c r="L183" s="157">
        <f>IF(L182=0,0,L182/K182)</f>
        <v>0.7156182315839581</v>
      </c>
      <c r="M183" s="60">
        <f>J183-D183</f>
        <v>0</v>
      </c>
      <c r="N183" s="175"/>
      <c r="O183" s="174"/>
      <c r="P183" s="173"/>
      <c r="Q183" s="157">
        <f>IFERROR(Q182/P182,0)</f>
        <v>0.8040113309966036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6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168.56416666666667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6"/>
        <v>ServiceAjustement M/O</v>
      </c>
      <c r="B185" s="11" t="s">
        <v>78</v>
      </c>
      <c r="C185" s="29" t="s">
        <v>86</v>
      </c>
      <c r="D185" s="13"/>
      <c r="E185" s="13"/>
      <c r="F185" s="59">
        <v>-2770.7048665418192</v>
      </c>
      <c r="G185" s="41"/>
      <c r="H185" s="82"/>
      <c r="I185" s="82"/>
      <c r="J185" s="60"/>
      <c r="K185" s="82"/>
      <c r="L185" s="82">
        <v>-4031.3</v>
      </c>
      <c r="M185" s="174"/>
      <c r="N185" s="59">
        <f>L185-F185</f>
        <v>-1260.595133458181</v>
      </c>
      <c r="O185" s="60"/>
      <c r="P185" s="82"/>
      <c r="Q185" s="82">
        <v>-3582.27</v>
      </c>
      <c r="R185" s="183"/>
      <c r="S185" s="85">
        <f>L185-Q185</f>
        <v>-449.0300000000002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6"/>
        <v>ServiceSous-total M/O</v>
      </c>
      <c r="B186" s="11" t="s">
        <v>78</v>
      </c>
      <c r="C186" s="184" t="s">
        <v>87</v>
      </c>
      <c r="D186" s="185">
        <f>D173+D176+D179+D182+D185</f>
        <v>631.82453292647892</v>
      </c>
      <c r="E186" s="185">
        <f>E173+E176+E179+E182+E185</f>
        <v>189383.45457358327</v>
      </c>
      <c r="F186" s="186">
        <f>F173+F176+F179+F182+F185</f>
        <v>137719.1500461284</v>
      </c>
      <c r="G186" s="187"/>
      <c r="H186" s="185"/>
      <c r="I186" s="186"/>
      <c r="J186" s="187">
        <f>J173+J176+J179+J182+J185</f>
        <v>593</v>
      </c>
      <c r="K186" s="185">
        <f>K173+K176+K179+K182+K185</f>
        <v>151852.76</v>
      </c>
      <c r="L186" s="186">
        <f>L173+L176+L179+L182+L185</f>
        <v>110014.61000000002</v>
      </c>
      <c r="M186" s="188">
        <f>(K186-E186)/E186</f>
        <v>-0.19817303817848056</v>
      </c>
      <c r="N186" s="186">
        <f>L186-F186</f>
        <v>-27704.540046128386</v>
      </c>
      <c r="O186" s="187">
        <f t="shared" ref="O186:Q186" si="47">O173+O176+O179+O182+O185</f>
        <v>668</v>
      </c>
      <c r="P186" s="185">
        <f t="shared" si="47"/>
        <v>163619.37999999989</v>
      </c>
      <c r="Q186" s="186">
        <f t="shared" si="47"/>
        <v>116977.47999999979</v>
      </c>
      <c r="R186" s="42">
        <f>IF(O186=0,0,J186/O186)</f>
        <v>0.88772455089820357</v>
      </c>
      <c r="S186" s="189">
        <f>L186-Q186</f>
        <v>-6962.8699999997771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6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0.72719736978194605</v>
      </c>
      <c r="G187" s="193"/>
      <c r="H187" s="191"/>
      <c r="I187" s="43"/>
      <c r="J187" s="193"/>
      <c r="K187" s="440">
        <f>IF(J186=0,0,K186/J186)</f>
        <v>256.07548060708262</v>
      </c>
      <c r="L187" s="43">
        <f>IF(L186=0,0,L186/K186)</f>
        <v>0.72448212334105755</v>
      </c>
      <c r="M187" s="193"/>
      <c r="N187" s="192">
        <f>N186/F186</f>
        <v>-0.20116694037720154</v>
      </c>
      <c r="O187" s="193"/>
      <c r="P187" s="440">
        <f>IF(O186=0,0,P186/O186)</f>
        <v>244.93919161676629</v>
      </c>
      <c r="Q187" s="43">
        <f>Q186/P186</f>
        <v>0.71493658025106732</v>
      </c>
      <c r="R187" s="193"/>
      <c r="S187" s="44">
        <f>IF(R186=0,0,S186/R186)</f>
        <v>-7843.5027993252124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6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6"/>
        <v>ServiceSous-traitement</v>
      </c>
      <c r="B189" s="11" t="s">
        <v>78</v>
      </c>
      <c r="C189" s="29" t="s">
        <v>89</v>
      </c>
      <c r="D189" s="82"/>
      <c r="E189" s="82">
        <v>3428.9402354335898</v>
      </c>
      <c r="F189" s="82">
        <v>514.34103531503843</v>
      </c>
      <c r="G189" s="60"/>
      <c r="H189" s="82"/>
      <c r="I189" s="82"/>
      <c r="J189" s="60"/>
      <c r="K189" s="30">
        <v>8616.15</v>
      </c>
      <c r="L189" s="33">
        <v>808.84999999999957</v>
      </c>
      <c r="M189" s="84">
        <f>IF(E189=0,0,(K189-E189)/E189)</f>
        <v>1.5127734543062068</v>
      </c>
      <c r="N189" s="59">
        <f>L189-F189</f>
        <v>294.50896468496114</v>
      </c>
      <c r="O189" s="60"/>
      <c r="P189" s="30">
        <v>6115.35</v>
      </c>
      <c r="Q189" s="33">
        <v>1445.39</v>
      </c>
      <c r="R189" s="156">
        <f>IF(O189=0,0,J189/O189)</f>
        <v>0</v>
      </c>
      <c r="S189" s="85">
        <f>L189-Q189</f>
        <v>-636.54000000000053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6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9.3876035120094195E-2</v>
      </c>
      <c r="M190" s="174"/>
      <c r="N190" s="175"/>
      <c r="O190" s="174"/>
      <c r="P190" s="173"/>
      <c r="Q190" s="157">
        <f>IFERROR(Q189/P189,0)</f>
        <v>0.23635441961621168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6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6"/>
        <v>ServiceM.O. Recond. MCPA</v>
      </c>
      <c r="B192" s="11" t="s">
        <v>78</v>
      </c>
      <c r="C192" s="29" t="s">
        <v>90</v>
      </c>
      <c r="D192" s="13"/>
      <c r="E192" s="82">
        <v>0</v>
      </c>
      <c r="F192" s="82">
        <v>0</v>
      </c>
      <c r="G192" s="41"/>
      <c r="H192" s="82"/>
      <c r="I192" s="82"/>
      <c r="J192" s="174"/>
      <c r="K192" s="30">
        <v>0</v>
      </c>
      <c r="L192" s="157"/>
      <c r="M192" s="174"/>
      <c r="N192" s="175"/>
      <c r="O192" s="174"/>
      <c r="P192" s="30">
        <v>0</v>
      </c>
      <c r="Q192" s="157"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6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6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6"/>
        <v>ServiceTotal Mécanique</v>
      </c>
      <c r="B195" s="11" t="s">
        <v>78</v>
      </c>
      <c r="C195" s="62" t="s">
        <v>91</v>
      </c>
      <c r="D195" s="63"/>
      <c r="E195" s="63">
        <f>E186+E189+E192</f>
        <v>192812.39480901684</v>
      </c>
      <c r="F195" s="65">
        <f>F186+F189+F192</f>
        <v>138233.49108144344</v>
      </c>
      <c r="G195" s="66"/>
      <c r="H195" s="63"/>
      <c r="I195" s="65"/>
      <c r="J195" s="66"/>
      <c r="K195" s="63">
        <f>K186+K189+K192</f>
        <v>160468.91</v>
      </c>
      <c r="L195" s="65">
        <f>L186+L189+L192</f>
        <v>110823.46000000002</v>
      </c>
      <c r="M195" s="205">
        <f>L196-F196</f>
        <v>-2.6309971808656796E-2</v>
      </c>
      <c r="N195" s="65">
        <f>L195-F195</f>
        <v>-27410.03108144342</v>
      </c>
      <c r="O195" s="66"/>
      <c r="P195" s="63">
        <f t="shared" ref="P195:Q195" si="48">P186+P189+P192</f>
        <v>169734.72999999989</v>
      </c>
      <c r="Q195" s="65">
        <f t="shared" si="48"/>
        <v>118422.86999999979</v>
      </c>
      <c r="R195" s="205">
        <f>L196-Q196</f>
        <v>-7.071181369038948E-3</v>
      </c>
      <c r="S195" s="68">
        <f>L195-Q195</f>
        <v>-7599.4099999997707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6"/>
        <v>Service</v>
      </c>
      <c r="B196" s="11" t="s">
        <v>78</v>
      </c>
      <c r="C196" s="69"/>
      <c r="D196" s="70"/>
      <c r="E196" s="70"/>
      <c r="F196" s="74">
        <f>F195/E195</f>
        <v>0.7169325977117057</v>
      </c>
      <c r="G196" s="72"/>
      <c r="H196" s="70"/>
      <c r="I196" s="74"/>
      <c r="J196" s="72"/>
      <c r="K196" s="70"/>
      <c r="L196" s="74">
        <f>L195/K195</f>
        <v>0.6906226259030489</v>
      </c>
      <c r="M196" s="73"/>
      <c r="N196" s="74">
        <f>N195/F195</f>
        <v>-0.19828791754448399</v>
      </c>
      <c r="O196" s="72"/>
      <c r="P196" s="70"/>
      <c r="Q196" s="74">
        <f>Q195/P195</f>
        <v>0.69769380727208785</v>
      </c>
      <c r="R196" s="73"/>
      <c r="S196" s="75">
        <f>L195/S195</f>
        <v>-14.583166324754602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6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6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6"/>
        <v>ServiceSalaires cadres</v>
      </c>
      <c r="B199" s="11" t="s">
        <v>78</v>
      </c>
      <c r="C199" s="102" t="s">
        <v>40</v>
      </c>
      <c r="D199" s="13"/>
      <c r="E199" s="13"/>
      <c r="F199" s="30">
        <v>10472.296965450107</v>
      </c>
      <c r="G199" s="41"/>
      <c r="H199" s="13"/>
      <c r="I199" s="30"/>
      <c r="J199" s="41"/>
      <c r="K199" s="13"/>
      <c r="L199" s="33">
        <v>9675.2900000000009</v>
      </c>
      <c r="M199" s="41"/>
      <c r="N199" s="59">
        <f t="shared" ref="N199:N230" si="49">L199-F199</f>
        <v>-797.00696545010578</v>
      </c>
      <c r="O199" s="41"/>
      <c r="P199" s="13"/>
      <c r="Q199" s="33">
        <v>11881.85</v>
      </c>
      <c r="R199" s="41"/>
      <c r="S199" s="85">
        <f t="shared" ref="S199:S229" si="50">L199-Q199</f>
        <v>-2206.5599999999995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6"/>
        <v>ServiceSalaires commis</v>
      </c>
      <c r="B200" s="11" t="s">
        <v>78</v>
      </c>
      <c r="C200" s="103" t="s">
        <v>41</v>
      </c>
      <c r="D200" s="81"/>
      <c r="E200" s="13"/>
      <c r="F200" s="22">
        <v>5049.8171140381583</v>
      </c>
      <c r="G200" s="83"/>
      <c r="H200" s="13"/>
      <c r="I200" s="22"/>
      <c r="J200" s="41"/>
      <c r="K200" s="13"/>
      <c r="L200" s="33">
        <v>2050.3000000000002</v>
      </c>
      <c r="M200" s="41"/>
      <c r="N200" s="59">
        <f t="shared" si="49"/>
        <v>-2999.5171140381581</v>
      </c>
      <c r="O200" s="41"/>
      <c r="P200" s="13"/>
      <c r="Q200" s="33">
        <v>5254.63</v>
      </c>
      <c r="R200" s="41"/>
      <c r="S200" s="85">
        <f t="shared" si="50"/>
        <v>-3204.33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6"/>
        <v>ServiceSalaires autres</v>
      </c>
      <c r="B201" s="11" t="s">
        <v>78</v>
      </c>
      <c r="C201" s="102" t="s">
        <v>42</v>
      </c>
      <c r="D201" s="104"/>
      <c r="E201" s="105"/>
      <c r="F201" s="30">
        <v>13320.387859234766</v>
      </c>
      <c r="G201" s="106"/>
      <c r="H201" s="105"/>
      <c r="I201" s="30"/>
      <c r="J201" s="107"/>
      <c r="K201" s="105"/>
      <c r="L201" s="108">
        <v>10413.65</v>
      </c>
      <c r="M201" s="107"/>
      <c r="N201" s="109">
        <f t="shared" si="49"/>
        <v>-2906.7378592347668</v>
      </c>
      <c r="O201" s="107"/>
      <c r="P201" s="105"/>
      <c r="Q201" s="108">
        <v>5418.53</v>
      </c>
      <c r="R201" s="107"/>
      <c r="S201" s="110">
        <f t="shared" si="50"/>
        <v>4995.12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6"/>
        <v>ServiceSalaires spécialistes</v>
      </c>
      <c r="B202" s="11" t="s">
        <v>78</v>
      </c>
      <c r="C202" s="102" t="s">
        <v>43</v>
      </c>
      <c r="D202" s="81"/>
      <c r="E202" s="13"/>
      <c r="F202" s="30">
        <v>15048.540229885057</v>
      </c>
      <c r="G202" s="83"/>
      <c r="H202" s="13"/>
      <c r="I202" s="30"/>
      <c r="J202" s="41"/>
      <c r="K202" s="13"/>
      <c r="L202" s="33">
        <v>11464.31</v>
      </c>
      <c r="M202" s="41"/>
      <c r="N202" s="59">
        <f t="shared" si="49"/>
        <v>-3584.2302298850573</v>
      </c>
      <c r="O202" s="41"/>
      <c r="P202" s="13"/>
      <c r="Q202" s="33">
        <v>13870.82</v>
      </c>
      <c r="R202" s="41"/>
      <c r="S202" s="85">
        <f t="shared" si="50"/>
        <v>-2406.5100000000002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6"/>
        <v>Service[...]</v>
      </c>
      <c r="B203" s="11" t="s">
        <v>78</v>
      </c>
      <c r="C203" s="29" t="s">
        <v>19</v>
      </c>
      <c r="D203" s="81"/>
      <c r="E203" s="13"/>
      <c r="F203" s="30">
        <v>0</v>
      </c>
      <c r="G203" s="83"/>
      <c r="H203" s="13"/>
      <c r="I203" s="30"/>
      <c r="J203" s="41"/>
      <c r="K203" s="13"/>
      <c r="L203" s="33">
        <v>0</v>
      </c>
      <c r="M203" s="41"/>
      <c r="N203" s="59">
        <f t="shared" si="49"/>
        <v>0</v>
      </c>
      <c r="O203" s="41"/>
      <c r="P203" s="13"/>
      <c r="Q203" s="33">
        <v>0</v>
      </c>
      <c r="R203" s="41"/>
      <c r="S203" s="85">
        <f t="shared" si="50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6"/>
        <v>Service[...]</v>
      </c>
      <c r="B204" s="11" t="s">
        <v>78</v>
      </c>
      <c r="C204" s="29" t="s">
        <v>19</v>
      </c>
      <c r="D204" s="81"/>
      <c r="E204" s="13"/>
      <c r="F204" s="30">
        <v>0</v>
      </c>
      <c r="G204" s="83"/>
      <c r="H204" s="13"/>
      <c r="I204" s="30"/>
      <c r="J204" s="41"/>
      <c r="K204" s="13"/>
      <c r="L204" s="33">
        <v>0</v>
      </c>
      <c r="M204" s="41"/>
      <c r="N204" s="59">
        <f t="shared" si="49"/>
        <v>0</v>
      </c>
      <c r="O204" s="41"/>
      <c r="P204" s="13"/>
      <c r="Q204" s="33">
        <v>0</v>
      </c>
      <c r="R204" s="41"/>
      <c r="S204" s="85">
        <f t="shared" si="50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6"/>
        <v>Service[...]</v>
      </c>
      <c r="B205" s="11" t="s">
        <v>78</v>
      </c>
      <c r="C205" s="29" t="s">
        <v>19</v>
      </c>
      <c r="D205" s="81"/>
      <c r="E205" s="13"/>
      <c r="F205" s="30">
        <v>0</v>
      </c>
      <c r="G205" s="83"/>
      <c r="H205" s="13"/>
      <c r="I205" s="30"/>
      <c r="J205" s="41"/>
      <c r="K205" s="13"/>
      <c r="L205" s="33">
        <v>0</v>
      </c>
      <c r="M205" s="41"/>
      <c r="N205" s="59">
        <f t="shared" si="49"/>
        <v>0</v>
      </c>
      <c r="O205" s="41"/>
      <c r="P205" s="13"/>
      <c r="Q205" s="33"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6"/>
        <v>ServiceSalaires en absences</v>
      </c>
      <c r="B206" s="11" t="s">
        <v>78</v>
      </c>
      <c r="C206" s="103" t="s">
        <v>44</v>
      </c>
      <c r="D206" s="81"/>
      <c r="E206" s="13"/>
      <c r="F206" s="30">
        <v>10274.704996446939</v>
      </c>
      <c r="G206" s="83"/>
      <c r="H206" s="13"/>
      <c r="I206" s="30"/>
      <c r="J206" s="41"/>
      <c r="K206" s="13"/>
      <c r="L206" s="33">
        <v>7196.27</v>
      </c>
      <c r="M206" s="41"/>
      <c r="N206" s="59">
        <f t="shared" si="49"/>
        <v>-3078.4349964469384</v>
      </c>
      <c r="O206" s="41"/>
      <c r="P206" s="13"/>
      <c r="Q206" s="33">
        <v>7342.35</v>
      </c>
      <c r="R206" s="41"/>
      <c r="S206" s="85">
        <f>L206-Q206</f>
        <v>-146.07999999999993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6"/>
        <v>ServiceDéduction à la source</v>
      </c>
      <c r="B207" s="11" t="s">
        <v>78</v>
      </c>
      <c r="C207" s="102" t="s">
        <v>45</v>
      </c>
      <c r="D207" s="104"/>
      <c r="E207" s="105"/>
      <c r="F207" s="55">
        <v>13240.599222225435</v>
      </c>
      <c r="G207" s="106"/>
      <c r="H207" s="105"/>
      <c r="I207" s="55"/>
      <c r="J207" s="107"/>
      <c r="K207" s="105"/>
      <c r="L207" s="108">
        <v>11727.95</v>
      </c>
      <c r="M207" s="107"/>
      <c r="N207" s="109">
        <f t="shared" si="49"/>
        <v>-1512.6492222254346</v>
      </c>
      <c r="O207" s="107"/>
      <c r="P207" s="105"/>
      <c r="Q207" s="108">
        <v>13527.81</v>
      </c>
      <c r="R207" s="107"/>
      <c r="S207" s="110">
        <f t="shared" ref="S207:S237" si="51">L207-Q207</f>
        <v>-1799.8599999999988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6"/>
        <v>ServiceBénéfices marginaux</v>
      </c>
      <c r="B208" s="11" t="s">
        <v>78</v>
      </c>
      <c r="C208" s="102" t="s">
        <v>46</v>
      </c>
      <c r="D208" s="81"/>
      <c r="E208" s="13"/>
      <c r="F208" s="30">
        <v>9776.8584656912608</v>
      </c>
      <c r="G208" s="83"/>
      <c r="H208" s="13"/>
      <c r="I208" s="30"/>
      <c r="J208" s="41"/>
      <c r="K208" s="13"/>
      <c r="L208" s="33">
        <v>5474.5</v>
      </c>
      <c r="M208" s="41"/>
      <c r="N208" s="59">
        <f t="shared" si="49"/>
        <v>-4302.3584656912608</v>
      </c>
      <c r="O208" s="41"/>
      <c r="P208" s="13"/>
      <c r="Q208" s="33">
        <v>6283.32</v>
      </c>
      <c r="R208" s="41"/>
      <c r="S208" s="85">
        <f t="shared" si="51"/>
        <v>-808.81999999999971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6"/>
        <v>ServiceCsst</v>
      </c>
      <c r="B209" s="11" t="s">
        <v>78</v>
      </c>
      <c r="C209" s="102" t="s">
        <v>47</v>
      </c>
      <c r="D209" s="81"/>
      <c r="E209" s="13"/>
      <c r="F209" s="30">
        <v>2595.1574475561856</v>
      </c>
      <c r="G209" s="83"/>
      <c r="H209" s="13"/>
      <c r="I209" s="30"/>
      <c r="J209" s="41"/>
      <c r="K209" s="13"/>
      <c r="L209" s="33">
        <v>1301.77</v>
      </c>
      <c r="M209" s="462"/>
      <c r="N209" s="145">
        <f t="shared" si="49"/>
        <v>-1293.3874475561856</v>
      </c>
      <c r="O209" s="462"/>
      <c r="P209" s="463"/>
      <c r="Q209" s="22">
        <v>2148.3000000000002</v>
      </c>
      <c r="R209" s="462"/>
      <c r="S209" s="464">
        <f t="shared" si="51"/>
        <v>-846.5300000000002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6"/>
        <v>Service[...]</v>
      </c>
      <c r="B210" s="11" t="s">
        <v>78</v>
      </c>
      <c r="C210" s="29" t="s">
        <v>19</v>
      </c>
      <c r="D210" s="87"/>
      <c r="E210" s="111"/>
      <c r="F210" s="30">
        <v>0</v>
      </c>
      <c r="G210" s="89"/>
      <c r="H210" s="111"/>
      <c r="I210" s="30"/>
      <c r="J210" s="23"/>
      <c r="K210" s="111"/>
      <c r="L210" s="33">
        <v>0</v>
      </c>
      <c r="M210" s="23"/>
      <c r="N210" s="91">
        <f t="shared" si="49"/>
        <v>0</v>
      </c>
      <c r="O210" s="23"/>
      <c r="P210" s="111"/>
      <c r="Q210" s="33">
        <v>0</v>
      </c>
      <c r="R210" s="23"/>
      <c r="S210" s="92">
        <f t="shared" si="51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6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0.57712759532004188</v>
      </c>
      <c r="F211" s="96">
        <f>+SUM(F199:F210)</f>
        <v>79778.362300527908</v>
      </c>
      <c r="G211" s="97"/>
      <c r="H211" s="95"/>
      <c r="I211" s="96"/>
      <c r="J211" s="97" t="s">
        <v>92</v>
      </c>
      <c r="K211" s="95">
        <f>L211/L$195</f>
        <v>0.53512171520362184</v>
      </c>
      <c r="L211" s="96">
        <f>+SUM(L199:L210)</f>
        <v>59304.039999999986</v>
      </c>
      <c r="M211" s="146"/>
      <c r="N211" s="113">
        <f t="shared" si="49"/>
        <v>-20474.322300527921</v>
      </c>
      <c r="O211" s="97" t="s">
        <v>92</v>
      </c>
      <c r="P211" s="95">
        <f>Q211/Q$195</f>
        <v>0.5550246333330725</v>
      </c>
      <c r="Q211" s="96">
        <f>+SUM(Q199:Q210)</f>
        <v>65727.61</v>
      </c>
      <c r="R211" s="146"/>
      <c r="S211" s="114">
        <f t="shared" si="51"/>
        <v>-6423.5700000000143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6"/>
        <v>ServicePublicité 2</v>
      </c>
      <c r="B212" s="11" t="s">
        <v>78</v>
      </c>
      <c r="C212" s="29" t="s">
        <v>49</v>
      </c>
      <c r="D212" s="81"/>
      <c r="E212" s="13"/>
      <c r="F212" s="30">
        <v>1682.6307341060699</v>
      </c>
      <c r="G212" s="83"/>
      <c r="H212" s="13"/>
      <c r="I212" s="30"/>
      <c r="J212" s="41"/>
      <c r="K212" s="13"/>
      <c r="L212" s="33">
        <v>1363.55</v>
      </c>
      <c r="M212" s="41"/>
      <c r="N212" s="59">
        <f t="shared" si="49"/>
        <v>-319.08073410606994</v>
      </c>
      <c r="O212" s="41"/>
      <c r="P212" s="13"/>
      <c r="Q212" s="33">
        <v>5186.6499999999996</v>
      </c>
      <c r="R212" s="41"/>
      <c r="S212" s="85">
        <f t="shared" si="51"/>
        <v>-3823.0999999999995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6"/>
        <v>ServiceService gratuit 2</v>
      </c>
      <c r="B213" s="11" t="s">
        <v>78</v>
      </c>
      <c r="C213" s="29" t="s">
        <v>50</v>
      </c>
      <c r="D213" s="81"/>
      <c r="E213" s="13"/>
      <c r="F213" s="30">
        <v>3750</v>
      </c>
      <c r="G213" s="83"/>
      <c r="H213" s="13"/>
      <c r="I213" s="30"/>
      <c r="J213" s="41"/>
      <c r="K213" s="13"/>
      <c r="L213" s="33">
        <v>1140.28</v>
      </c>
      <c r="M213" s="41"/>
      <c r="N213" s="59">
        <f t="shared" si="49"/>
        <v>-2609.7200000000003</v>
      </c>
      <c r="O213" s="41"/>
      <c r="P213" s="13"/>
      <c r="Q213" s="33">
        <v>2993.26</v>
      </c>
      <c r="R213" s="41"/>
      <c r="S213" s="85">
        <f t="shared" si="51"/>
        <v>-1852.9800000000002</v>
      </c>
      <c r="T213" s="13"/>
      <c r="U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6"/>
        <v>ServiceFrais véhicules de cie</v>
      </c>
      <c r="B214" s="11" t="s">
        <v>78</v>
      </c>
      <c r="C214" s="86" t="s">
        <v>51</v>
      </c>
      <c r="D214" s="87"/>
      <c r="E214" s="111"/>
      <c r="F214" s="22">
        <v>7453.2500000000009</v>
      </c>
      <c r="G214" s="89"/>
      <c r="H214" s="111"/>
      <c r="I214" s="22"/>
      <c r="J214" s="23"/>
      <c r="K214" s="111"/>
      <c r="L214" s="33">
        <v>7599.5</v>
      </c>
      <c r="M214" s="23"/>
      <c r="N214" s="91">
        <f t="shared" si="49"/>
        <v>146.24999999999909</v>
      </c>
      <c r="O214" s="23"/>
      <c r="P214" s="111"/>
      <c r="Q214" s="33">
        <v>6303.08</v>
      </c>
      <c r="R214" s="23"/>
      <c r="S214" s="92">
        <f t="shared" si="51"/>
        <v>1296.42</v>
      </c>
      <c r="T214" s="13"/>
      <c r="U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6"/>
        <v>ServiceInformatique</v>
      </c>
      <c r="B215" s="11" t="s">
        <v>78</v>
      </c>
      <c r="C215" s="29" t="s">
        <v>52</v>
      </c>
      <c r="D215" s="81"/>
      <c r="E215" s="13"/>
      <c r="F215" s="30">
        <v>6636.4108333333334</v>
      </c>
      <c r="G215" s="83"/>
      <c r="H215" s="13"/>
      <c r="I215" s="30"/>
      <c r="J215" s="41"/>
      <c r="K215" s="13"/>
      <c r="L215" s="108">
        <v>7064.12</v>
      </c>
      <c r="M215" s="41"/>
      <c r="N215" s="59">
        <f t="shared" si="49"/>
        <v>427.70916666666653</v>
      </c>
      <c r="O215" s="41"/>
      <c r="P215" s="13"/>
      <c r="Q215" s="108">
        <v>7044.76</v>
      </c>
      <c r="R215" s="41"/>
      <c r="S215" s="85">
        <f t="shared" si="51"/>
        <v>19.359999999999673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6"/>
        <v>ServiceFrais de déplacement</v>
      </c>
      <c r="B216" s="11" t="s">
        <v>78</v>
      </c>
      <c r="C216" s="29" t="s">
        <v>53</v>
      </c>
      <c r="D216" s="81"/>
      <c r="E216" s="13"/>
      <c r="F216" s="30">
        <v>1331.25</v>
      </c>
      <c r="G216" s="83"/>
      <c r="H216" s="13"/>
      <c r="I216" s="30"/>
      <c r="J216" s="41"/>
      <c r="K216" s="13"/>
      <c r="L216" s="33">
        <v>2318.33</v>
      </c>
      <c r="M216" s="41"/>
      <c r="N216" s="59">
        <f t="shared" si="49"/>
        <v>987.07999999999993</v>
      </c>
      <c r="O216" s="41"/>
      <c r="P216" s="13"/>
      <c r="Q216" s="33">
        <v>293.37</v>
      </c>
      <c r="R216" s="41"/>
      <c r="S216" s="85">
        <f t="shared" si="51"/>
        <v>2024.96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6"/>
        <v>ServiceServices extérieurs</v>
      </c>
      <c r="B217" s="11" t="s">
        <v>78</v>
      </c>
      <c r="C217" s="86" t="s">
        <v>54</v>
      </c>
      <c r="D217" s="87"/>
      <c r="E217" s="111"/>
      <c r="F217" s="22">
        <v>2199.8866666666668</v>
      </c>
      <c r="G217" s="89"/>
      <c r="H217" s="111"/>
      <c r="I217" s="22"/>
      <c r="J217" s="23"/>
      <c r="K217" s="111"/>
      <c r="L217" s="22">
        <v>6714.24</v>
      </c>
      <c r="M217" s="462"/>
      <c r="N217" s="145">
        <f t="shared" si="49"/>
        <v>4514.3533333333326</v>
      </c>
      <c r="O217" s="462"/>
      <c r="P217" s="463"/>
      <c r="Q217" s="22">
        <v>2038.99</v>
      </c>
      <c r="R217" s="23"/>
      <c r="S217" s="92">
        <f t="shared" si="51"/>
        <v>4675.25</v>
      </c>
      <c r="T217" s="13"/>
      <c r="U217" s="13"/>
      <c r="V217" s="495" t="s">
        <v>264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>+B218&amp;C218</f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v>0</v>
      </c>
      <c r="M218" s="41"/>
      <c r="N218" s="59">
        <f t="shared" si="49"/>
        <v>0</v>
      </c>
      <c r="O218" s="41"/>
      <c r="P218" s="13"/>
      <c r="Q218" s="33"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ref="A219:A276" si="52">+B219&amp;C219</f>
        <v>ServiceFournitures autres</v>
      </c>
      <c r="B219" s="11" t="s">
        <v>78</v>
      </c>
      <c r="C219" s="29" t="s">
        <v>55</v>
      </c>
      <c r="D219" s="81"/>
      <c r="E219" s="13"/>
      <c r="F219" s="30">
        <v>3250</v>
      </c>
      <c r="G219" s="83"/>
      <c r="H219" s="13"/>
      <c r="I219" s="30"/>
      <c r="J219" s="41"/>
      <c r="K219" s="13"/>
      <c r="L219" s="33">
        <v>1855.51</v>
      </c>
      <c r="M219" s="41"/>
      <c r="N219" s="59">
        <f t="shared" si="49"/>
        <v>-1394.49</v>
      </c>
      <c r="O219" s="41"/>
      <c r="P219" s="13"/>
      <c r="Q219" s="33">
        <v>3473.35</v>
      </c>
      <c r="R219" s="41"/>
      <c r="S219" s="85">
        <f t="shared" ref="S219:S249" si="53">L219-Q219</f>
        <v>-1617.84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52"/>
        <v>ServiceUniformes</v>
      </c>
      <c r="B220" s="11" t="s">
        <v>78</v>
      </c>
      <c r="C220" s="29" t="s">
        <v>56</v>
      </c>
      <c r="D220" s="81"/>
      <c r="E220" s="13"/>
      <c r="F220" s="30">
        <v>1325</v>
      </c>
      <c r="G220" s="83"/>
      <c r="H220" s="13"/>
      <c r="I220" s="30"/>
      <c r="J220" s="41"/>
      <c r="K220" s="13"/>
      <c r="L220" s="33">
        <v>726</v>
      </c>
      <c r="M220" s="41"/>
      <c r="N220" s="59">
        <f t="shared" si="49"/>
        <v>-599</v>
      </c>
      <c r="O220" s="41"/>
      <c r="P220" s="13"/>
      <c r="Q220" s="33">
        <v>459.52</v>
      </c>
      <c r="R220" s="41"/>
      <c r="S220" s="85">
        <f t="shared" si="53"/>
        <v>266.48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52"/>
        <v>ServicePapeterie</v>
      </c>
      <c r="B221" s="11" t="s">
        <v>78</v>
      </c>
      <c r="C221" s="29" t="s">
        <v>57</v>
      </c>
      <c r="D221" s="81"/>
      <c r="E221" s="13"/>
      <c r="F221" s="30">
        <v>362.5</v>
      </c>
      <c r="G221" s="83"/>
      <c r="H221" s="13"/>
      <c r="I221" s="30"/>
      <c r="J221" s="41"/>
      <c r="K221" s="13"/>
      <c r="L221" s="32">
        <v>350.66</v>
      </c>
      <c r="M221" s="41"/>
      <c r="N221" s="59">
        <f t="shared" si="49"/>
        <v>-11.839999999999975</v>
      </c>
      <c r="O221" s="41"/>
      <c r="P221" s="13"/>
      <c r="Q221" s="32">
        <v>706.86</v>
      </c>
      <c r="R221" s="41"/>
      <c r="S221" s="85">
        <f t="shared" si="53"/>
        <v>-356.2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52"/>
        <v>ServiceTéléphone</v>
      </c>
      <c r="B222" s="11" t="s">
        <v>78</v>
      </c>
      <c r="C222" s="29" t="s">
        <v>58</v>
      </c>
      <c r="D222" s="81"/>
      <c r="E222" s="13"/>
      <c r="F222" s="30">
        <v>114.25</v>
      </c>
      <c r="G222" s="83"/>
      <c r="H222" s="13"/>
      <c r="I222" s="30"/>
      <c r="J222" s="41"/>
      <c r="K222" s="13"/>
      <c r="L222" s="33">
        <v>121.09</v>
      </c>
      <c r="M222" s="41"/>
      <c r="N222" s="59">
        <f t="shared" si="49"/>
        <v>6.8400000000000034</v>
      </c>
      <c r="O222" s="41"/>
      <c r="P222" s="13"/>
      <c r="Q222" s="33">
        <v>114.26</v>
      </c>
      <c r="R222" s="41"/>
      <c r="S222" s="85">
        <f t="shared" si="53"/>
        <v>6.8299999999999983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52"/>
        <v>ServiceFrais postaux</v>
      </c>
      <c r="B223" s="11" t="s">
        <v>78</v>
      </c>
      <c r="C223" s="29" t="s">
        <v>59</v>
      </c>
      <c r="D223" s="81"/>
      <c r="E223" s="13"/>
      <c r="F223" s="30">
        <v>141.66666666666666</v>
      </c>
      <c r="G223" s="83"/>
      <c r="H223" s="13"/>
      <c r="I223" s="30"/>
      <c r="J223" s="41"/>
      <c r="K223" s="13"/>
      <c r="L223" s="33">
        <v>483.53</v>
      </c>
      <c r="M223" s="41"/>
      <c r="N223" s="59">
        <f t="shared" si="49"/>
        <v>341.86333333333334</v>
      </c>
      <c r="O223" s="41"/>
      <c r="P223" s="13"/>
      <c r="Q223" s="33">
        <v>359.98</v>
      </c>
      <c r="R223" s="41"/>
      <c r="S223" s="85">
        <f t="shared" si="53"/>
        <v>123.54999999999995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52"/>
        <v>ServiceDivers</v>
      </c>
      <c r="B224" s="11" t="s">
        <v>78</v>
      </c>
      <c r="C224" s="29" t="s">
        <v>60</v>
      </c>
      <c r="D224" s="81"/>
      <c r="E224" s="13"/>
      <c r="F224" s="30">
        <v>381.66666666666663</v>
      </c>
      <c r="G224" s="83"/>
      <c r="H224" s="13"/>
      <c r="I224" s="30"/>
      <c r="J224" s="41"/>
      <c r="K224" s="13"/>
      <c r="L224" s="33">
        <v>338.37</v>
      </c>
      <c r="M224" s="41"/>
      <c r="N224" s="59">
        <f t="shared" si="49"/>
        <v>-43.296666666666624</v>
      </c>
      <c r="O224" s="41"/>
      <c r="P224" s="13"/>
      <c r="Q224" s="33">
        <v>1844.65</v>
      </c>
      <c r="R224" s="41"/>
      <c r="S224" s="85">
        <f t="shared" si="53"/>
        <v>-1506.2800000000002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52"/>
        <v>ServiceFormation</v>
      </c>
      <c r="B225" s="11" t="s">
        <v>78</v>
      </c>
      <c r="C225" s="29" t="s">
        <v>61</v>
      </c>
      <c r="D225" s="81"/>
      <c r="E225" s="13"/>
      <c r="F225" s="30">
        <v>1782.2466666666669</v>
      </c>
      <c r="G225" s="83"/>
      <c r="H225" s="13"/>
      <c r="I225" s="30"/>
      <c r="J225" s="41"/>
      <c r="K225" s="13"/>
      <c r="L225" s="33">
        <v>3068.04</v>
      </c>
      <c r="M225" s="41"/>
      <c r="N225" s="59">
        <f t="shared" si="49"/>
        <v>1285.7933333333331</v>
      </c>
      <c r="O225" s="41"/>
      <c r="P225" s="13"/>
      <c r="Q225" s="33">
        <v>2007.36</v>
      </c>
      <c r="R225" s="41"/>
      <c r="S225" s="85">
        <f t="shared" si="53"/>
        <v>1060.68</v>
      </c>
      <c r="T225" s="13"/>
      <c r="U225" s="13"/>
      <c r="V225" s="489" t="s">
        <v>265</v>
      </c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52"/>
        <v>ServiceFrais bancaires</v>
      </c>
      <c r="B226" s="11" t="s">
        <v>78</v>
      </c>
      <c r="C226" s="29" t="s">
        <v>62</v>
      </c>
      <c r="D226" s="81"/>
      <c r="E226" s="13"/>
      <c r="F226" s="30">
        <v>2015.0715153840281</v>
      </c>
      <c r="G226" s="83"/>
      <c r="H226" s="13"/>
      <c r="I226" s="30"/>
      <c r="J226" s="41"/>
      <c r="K226" s="13"/>
      <c r="L226" s="33">
        <v>2018.57</v>
      </c>
      <c r="M226" s="41"/>
      <c r="N226" s="59">
        <f t="shared" si="49"/>
        <v>3.4984846159718472</v>
      </c>
      <c r="O226" s="41"/>
      <c r="P226" s="13"/>
      <c r="Q226" s="33">
        <v>1575.51</v>
      </c>
      <c r="R226" s="41"/>
      <c r="S226" s="85">
        <f t="shared" si="53"/>
        <v>443.05999999999995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52"/>
        <v>Service[...]</v>
      </c>
      <c r="B227" s="11" t="s">
        <v>78</v>
      </c>
      <c r="C227" s="29" t="s">
        <v>19</v>
      </c>
      <c r="D227" s="81"/>
      <c r="E227" s="13"/>
      <c r="F227" s="30">
        <v>0</v>
      </c>
      <c r="G227" s="83"/>
      <c r="H227" s="13"/>
      <c r="I227" s="30"/>
      <c r="J227" s="41"/>
      <c r="K227" s="13"/>
      <c r="L227" s="33">
        <v>0</v>
      </c>
      <c r="M227" s="41"/>
      <c r="N227" s="59">
        <f t="shared" si="49"/>
        <v>0</v>
      </c>
      <c r="O227" s="41"/>
      <c r="P227" s="13"/>
      <c r="Q227" s="33">
        <v>0</v>
      </c>
      <c r="R227" s="41"/>
      <c r="S227" s="85">
        <f t="shared" si="53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>+B228&amp;C228</f>
        <v>Service[...]</v>
      </c>
      <c r="B228" s="11" t="s">
        <v>78</v>
      </c>
      <c r="C228" s="29" t="s">
        <v>19</v>
      </c>
      <c r="D228" s="81"/>
      <c r="E228" s="13"/>
      <c r="F228" s="30">
        <v>0</v>
      </c>
      <c r="G228" s="83"/>
      <c r="H228" s="13"/>
      <c r="I228" s="30"/>
      <c r="J228" s="41"/>
      <c r="K228" s="13"/>
      <c r="L228" s="33">
        <v>0</v>
      </c>
      <c r="M228" s="41"/>
      <c r="N228" s="59">
        <f t="shared" si="49"/>
        <v>0</v>
      </c>
      <c r="O228" s="41"/>
      <c r="P228" s="13"/>
      <c r="Q228" s="33"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:A286" si="54">+B229&amp;C229</f>
        <v>Service[...]</v>
      </c>
      <c r="B229" s="11" t="s">
        <v>78</v>
      </c>
      <c r="C229" s="29" t="s">
        <v>19</v>
      </c>
      <c r="D229" s="81"/>
      <c r="E229" s="13"/>
      <c r="F229" s="30">
        <v>0</v>
      </c>
      <c r="G229" s="83"/>
      <c r="H229" s="13"/>
      <c r="I229" s="30"/>
      <c r="J229" s="41"/>
      <c r="K229" s="13"/>
      <c r="L229" s="33">
        <v>0</v>
      </c>
      <c r="M229" s="41"/>
      <c r="N229" s="59">
        <f t="shared" si="49"/>
        <v>0</v>
      </c>
      <c r="O229" s="41"/>
      <c r="P229" s="13"/>
      <c r="Q229" s="33">
        <v>0</v>
      </c>
      <c r="R229" s="41"/>
      <c r="S229" s="85">
        <f t="shared" ref="S229:S259" si="5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0.23457289182102531</v>
      </c>
      <c r="F230" s="96">
        <f>+SUM(F212:F229)</f>
        <v>32425.829749490098</v>
      </c>
      <c r="G230" s="97"/>
      <c r="H230" s="95"/>
      <c r="I230" s="96"/>
      <c r="J230" s="97" t="s">
        <v>92</v>
      </c>
      <c r="K230" s="95">
        <f>L230/L$195</f>
        <v>0.31727749702093749</v>
      </c>
      <c r="L230" s="96">
        <f>+SUM(L212:L229)</f>
        <v>35161.789999999994</v>
      </c>
      <c r="M230" s="100"/>
      <c r="N230" s="96">
        <f t="shared" si="49"/>
        <v>2735.9602505098956</v>
      </c>
      <c r="O230" s="97" t="s">
        <v>92</v>
      </c>
      <c r="P230" s="95">
        <f>Q230/Q$195</f>
        <v>0.29049794182491995</v>
      </c>
      <c r="Q230" s="96">
        <f>+SUM(Q212:Q229)</f>
        <v>34401.599999999999</v>
      </c>
      <c r="R230" s="100"/>
      <c r="S230" s="101">
        <f>L230-Q230</f>
        <v>760.18999999999505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0.81170048714106713</v>
      </c>
      <c r="F232" s="96">
        <f>F211+F230</f>
        <v>112204.192050018</v>
      </c>
      <c r="G232" s="97"/>
      <c r="H232" s="95"/>
      <c r="I232" s="96"/>
      <c r="J232" s="97" t="s">
        <v>38</v>
      </c>
      <c r="K232" s="95">
        <f>L232/L$195</f>
        <v>0.85239921222455939</v>
      </c>
      <c r="L232" s="96">
        <f>L211+L230</f>
        <v>94465.829999999987</v>
      </c>
      <c r="M232" s="100"/>
      <c r="N232" s="113">
        <f>L232-F232</f>
        <v>-17738.362050018011</v>
      </c>
      <c r="O232" s="97" t="s">
        <v>38</v>
      </c>
      <c r="P232" s="95">
        <f>Q232/Q$195</f>
        <v>0.84552257515799245</v>
      </c>
      <c r="Q232" s="96">
        <f>Q211+Q230</f>
        <v>100129.20999999999</v>
      </c>
      <c r="R232" s="100"/>
      <c r="S232" s="114">
        <f>L232-Q232</f>
        <v>-5663.3800000000047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26029.299031425442</v>
      </c>
      <c r="G234" s="152"/>
      <c r="H234" s="125"/>
      <c r="I234" s="127"/>
      <c r="J234" s="153"/>
      <c r="K234" s="126"/>
      <c r="L234" s="127">
        <f>L195-L232</f>
        <v>16357.630000000034</v>
      </c>
      <c r="M234" s="153"/>
      <c r="N234" s="127">
        <f>L234-F234</f>
        <v>-9671.6690314254083</v>
      </c>
      <c r="O234" s="153"/>
      <c r="P234" s="126"/>
      <c r="Q234" s="127">
        <f>Q195-Q232</f>
        <v>18293.6599999998</v>
      </c>
      <c r="R234" s="153"/>
      <c r="S234" s="129">
        <f>L234-Q234</f>
        <v>-1936.029999999766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54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Août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05" t="s">
        <v>5</v>
      </c>
      <c r="E239" s="506"/>
      <c r="F239" s="507"/>
      <c r="G239" s="508"/>
      <c r="H239" s="506"/>
      <c r="I239" s="507"/>
      <c r="J239" s="508" t="s">
        <v>7</v>
      </c>
      <c r="K239" s="506"/>
      <c r="L239" s="507"/>
      <c r="M239" s="508" t="s">
        <v>212</v>
      </c>
      <c r="N239" s="507"/>
      <c r="O239" s="505" t="s">
        <v>8</v>
      </c>
      <c r="P239" s="506"/>
      <c r="Q239" s="507"/>
      <c r="R239" s="503" t="s">
        <v>213</v>
      </c>
      <c r="S239" s="504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85" si="5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6"/>
        <v>CarrosserieM/O Sous-traitement</v>
      </c>
      <c r="B242" s="11" t="s">
        <v>94</v>
      </c>
      <c r="C242" s="29" t="s">
        <v>95</v>
      </c>
      <c r="D242" s="80">
        <v>0</v>
      </c>
      <c r="E242" s="82">
        <v>0</v>
      </c>
      <c r="F242" s="82">
        <v>0</v>
      </c>
      <c r="G242" s="155"/>
      <c r="H242" s="82"/>
      <c r="I242" s="82"/>
      <c r="J242" s="60">
        <v>0</v>
      </c>
      <c r="K242" s="30">
        <v>0</v>
      </c>
      <c r="L242" s="33">
        <v>0</v>
      </c>
      <c r="M242" s="156">
        <f>IFERROR((K242-E242)/E242,0)</f>
        <v>0</v>
      </c>
      <c r="N242" s="59">
        <f>L242-F242</f>
        <v>0</v>
      </c>
      <c r="O242" s="60">
        <v>0</v>
      </c>
      <c r="P242" s="30">
        <v>0</v>
      </c>
      <c r="Q242" s="33"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6"/>
        <v>CarrosserieM/O Carrosserie</v>
      </c>
      <c r="B245" s="11" t="s">
        <v>94</v>
      </c>
      <c r="C245" s="14" t="s">
        <v>96</v>
      </c>
      <c r="D245" s="105">
        <v>0</v>
      </c>
      <c r="E245" s="82">
        <v>0</v>
      </c>
      <c r="F245" s="82">
        <v>0</v>
      </c>
      <c r="G245" s="208"/>
      <c r="H245" s="82"/>
      <c r="I245" s="82"/>
      <c r="J245" s="163">
        <v>0</v>
      </c>
      <c r="K245" s="164">
        <v>0</v>
      </c>
      <c r="L245" s="108">
        <v>0</v>
      </c>
      <c r="M245" s="172">
        <f>IFERROR((K245-E245)/E245,0)</f>
        <v>0</v>
      </c>
      <c r="N245" s="109">
        <f>L245-F245</f>
        <v>0</v>
      </c>
      <c r="O245" s="163">
        <v>0</v>
      </c>
      <c r="P245" s="164">
        <v>0</v>
      </c>
      <c r="Q245" s="108"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6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v>0</v>
      </c>
      <c r="K248" s="30">
        <v>0</v>
      </c>
      <c r="L248" s="33"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6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6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6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/>
      <c r="I251" s="65"/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 t="shared" ref="P251:Q251" si="57">P245+P248+P242</f>
        <v>0</v>
      </c>
      <c r="Q251" s="65">
        <f t="shared" si="57"/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6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6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6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6"/>
        <v>CarrosserieSalaires cadres</v>
      </c>
      <c r="B255" s="11" t="s">
        <v>94</v>
      </c>
      <c r="C255" s="102" t="s">
        <v>40</v>
      </c>
      <c r="D255" s="13"/>
      <c r="E255" s="13"/>
      <c r="F255" s="30">
        <v>0</v>
      </c>
      <c r="G255" s="41"/>
      <c r="H255" s="13"/>
      <c r="I255" s="30"/>
      <c r="J255" s="41"/>
      <c r="K255" s="13"/>
      <c r="L255" s="33">
        <v>0</v>
      </c>
      <c r="M255" s="41"/>
      <c r="N255" s="59">
        <f t="shared" ref="N255:N285" si="58">L255-F255</f>
        <v>0</v>
      </c>
      <c r="O255" s="41"/>
      <c r="P255" s="13"/>
      <c r="Q255" s="33">
        <v>0</v>
      </c>
      <c r="R255" s="41"/>
      <c r="S255" s="85">
        <f t="shared" ref="S255:S266" si="5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6"/>
        <v>CarrosserieSalaires commis</v>
      </c>
      <c r="B256" s="11" t="s">
        <v>94</v>
      </c>
      <c r="C256" s="103" t="s">
        <v>41</v>
      </c>
      <c r="D256" s="81"/>
      <c r="E256" s="13"/>
      <c r="F256" s="22">
        <v>0</v>
      </c>
      <c r="G256" s="83"/>
      <c r="H256" s="13"/>
      <c r="I256" s="22"/>
      <c r="J256" s="41"/>
      <c r="K256" s="13"/>
      <c r="L256" s="33">
        <v>0</v>
      </c>
      <c r="M256" s="41"/>
      <c r="N256" s="59">
        <f t="shared" si="58"/>
        <v>0</v>
      </c>
      <c r="O256" s="41"/>
      <c r="P256" s="13"/>
      <c r="Q256" s="33"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6"/>
        <v>CarrosserieSalaires autres</v>
      </c>
      <c r="B257" s="11" t="s">
        <v>94</v>
      </c>
      <c r="C257" s="102" t="s">
        <v>42</v>
      </c>
      <c r="D257" s="104"/>
      <c r="E257" s="105"/>
      <c r="F257" s="30">
        <v>0</v>
      </c>
      <c r="G257" s="106"/>
      <c r="H257" s="105"/>
      <c r="I257" s="30"/>
      <c r="J257" s="107"/>
      <c r="K257" s="105"/>
      <c r="L257" s="108">
        <v>0</v>
      </c>
      <c r="M257" s="107"/>
      <c r="N257" s="109">
        <f t="shared" si="58"/>
        <v>0</v>
      </c>
      <c r="O257" s="107"/>
      <c r="P257" s="105"/>
      <c r="Q257" s="108">
        <v>0</v>
      </c>
      <c r="R257" s="107"/>
      <c r="S257" s="110">
        <f t="shared" ref="S257:S273" si="6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6"/>
        <v>CarrosserieSalaires spécialistes</v>
      </c>
      <c r="B258" s="11" t="s">
        <v>94</v>
      </c>
      <c r="C258" s="102" t="s">
        <v>43</v>
      </c>
      <c r="D258" s="81"/>
      <c r="E258" s="13"/>
      <c r="F258" s="30">
        <v>0</v>
      </c>
      <c r="G258" s="83"/>
      <c r="H258" s="13"/>
      <c r="I258" s="30"/>
      <c r="J258" s="41"/>
      <c r="K258" s="13"/>
      <c r="L258" s="33">
        <v>0</v>
      </c>
      <c r="M258" s="41"/>
      <c r="N258" s="59">
        <f t="shared" si="58"/>
        <v>0</v>
      </c>
      <c r="O258" s="41"/>
      <c r="P258" s="13"/>
      <c r="Q258" s="33">
        <v>0</v>
      </c>
      <c r="R258" s="41"/>
      <c r="S258" s="85">
        <f t="shared" si="6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6"/>
        <v>Carrosserie[...]</v>
      </c>
      <c r="B259" s="11" t="s">
        <v>94</v>
      </c>
      <c r="C259" s="29" t="s">
        <v>19</v>
      </c>
      <c r="D259" s="81"/>
      <c r="E259" s="13"/>
      <c r="F259" s="30">
        <v>0</v>
      </c>
      <c r="G259" s="83"/>
      <c r="H259" s="13"/>
      <c r="I259" s="30"/>
      <c r="J259" s="41"/>
      <c r="K259" s="13"/>
      <c r="L259" s="33">
        <v>0</v>
      </c>
      <c r="M259" s="41"/>
      <c r="N259" s="59">
        <f t="shared" si="58"/>
        <v>0</v>
      </c>
      <c r="O259" s="41"/>
      <c r="P259" s="13"/>
      <c r="Q259" s="33">
        <v>0</v>
      </c>
      <c r="R259" s="41"/>
      <c r="S259" s="85">
        <f t="shared" si="6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6"/>
        <v>Carrosserie[...]</v>
      </c>
      <c r="B260" s="11" t="s">
        <v>94</v>
      </c>
      <c r="C260" s="29" t="s">
        <v>19</v>
      </c>
      <c r="D260" s="81"/>
      <c r="E260" s="13"/>
      <c r="F260" s="30">
        <v>0</v>
      </c>
      <c r="G260" s="83"/>
      <c r="H260" s="13"/>
      <c r="I260" s="30"/>
      <c r="J260" s="41"/>
      <c r="K260" s="13"/>
      <c r="L260" s="33">
        <v>0</v>
      </c>
      <c r="M260" s="41"/>
      <c r="N260" s="59">
        <f t="shared" si="58"/>
        <v>0</v>
      </c>
      <c r="O260" s="41"/>
      <c r="P260" s="13"/>
      <c r="Q260" s="33">
        <v>0</v>
      </c>
      <c r="R260" s="41"/>
      <c r="S260" s="85">
        <f t="shared" si="6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6"/>
        <v>Carrosserie[...]</v>
      </c>
      <c r="B261" s="11" t="s">
        <v>94</v>
      </c>
      <c r="C261" s="29" t="s">
        <v>19</v>
      </c>
      <c r="D261" s="81"/>
      <c r="E261" s="13"/>
      <c r="F261" s="30">
        <v>0</v>
      </c>
      <c r="G261" s="83"/>
      <c r="H261" s="13"/>
      <c r="I261" s="30"/>
      <c r="J261" s="41"/>
      <c r="K261" s="13"/>
      <c r="L261" s="33">
        <v>0</v>
      </c>
      <c r="M261" s="41"/>
      <c r="N261" s="59">
        <f t="shared" si="58"/>
        <v>0</v>
      </c>
      <c r="O261" s="41"/>
      <c r="P261" s="13"/>
      <c r="Q261" s="33">
        <v>0</v>
      </c>
      <c r="R261" s="41"/>
      <c r="S261" s="85">
        <f t="shared" si="6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6"/>
        <v>CarrosserieSalaires en absences</v>
      </c>
      <c r="B262" s="11" t="s">
        <v>94</v>
      </c>
      <c r="C262" s="103" t="s">
        <v>44</v>
      </c>
      <c r="D262" s="81"/>
      <c r="E262" s="13"/>
      <c r="F262" s="22">
        <v>0</v>
      </c>
      <c r="G262" s="83"/>
      <c r="H262" s="13"/>
      <c r="I262" s="22"/>
      <c r="J262" s="41"/>
      <c r="K262" s="13"/>
      <c r="L262" s="33">
        <v>0</v>
      </c>
      <c r="M262" s="41"/>
      <c r="N262" s="59">
        <f t="shared" si="58"/>
        <v>0</v>
      </c>
      <c r="O262" s="41"/>
      <c r="P262" s="13"/>
      <c r="Q262" s="33">
        <v>0</v>
      </c>
      <c r="R262" s="41"/>
      <c r="S262" s="85">
        <f t="shared" si="6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6"/>
        <v>CarrosserieDéduction à la source</v>
      </c>
      <c r="B263" s="11" t="s">
        <v>94</v>
      </c>
      <c r="C263" s="102" t="s">
        <v>45</v>
      </c>
      <c r="D263" s="104"/>
      <c r="E263" s="105"/>
      <c r="F263" s="30">
        <v>0</v>
      </c>
      <c r="G263" s="106"/>
      <c r="H263" s="105"/>
      <c r="I263" s="30"/>
      <c r="J263" s="107"/>
      <c r="K263" s="105"/>
      <c r="L263" s="108">
        <v>-0.04</v>
      </c>
      <c r="M263" s="107"/>
      <c r="N263" s="109">
        <f t="shared" si="58"/>
        <v>-0.04</v>
      </c>
      <c r="O263" s="107"/>
      <c r="P263" s="105"/>
      <c r="Q263" s="108">
        <v>0</v>
      </c>
      <c r="R263" s="107"/>
      <c r="S263" s="110">
        <f t="shared" si="60"/>
        <v>-0.04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6"/>
        <v>CarrosserieBénéfices marginaux</v>
      </c>
      <c r="B264" s="11" t="s">
        <v>94</v>
      </c>
      <c r="C264" s="102" t="s">
        <v>46</v>
      </c>
      <c r="D264" s="81"/>
      <c r="E264" s="13"/>
      <c r="F264" s="30">
        <v>0</v>
      </c>
      <c r="G264" s="83"/>
      <c r="H264" s="13"/>
      <c r="I264" s="30"/>
      <c r="J264" s="41"/>
      <c r="K264" s="13"/>
      <c r="L264" s="33">
        <v>0</v>
      </c>
      <c r="M264" s="41"/>
      <c r="N264" s="59">
        <f t="shared" si="58"/>
        <v>0</v>
      </c>
      <c r="O264" s="41"/>
      <c r="P264" s="13"/>
      <c r="Q264" s="33">
        <v>0</v>
      </c>
      <c r="R264" s="41"/>
      <c r="S264" s="85">
        <f t="shared" si="6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6"/>
        <v>CarrosserieCsst</v>
      </c>
      <c r="B265" s="11" t="s">
        <v>94</v>
      </c>
      <c r="C265" s="102" t="s">
        <v>47</v>
      </c>
      <c r="D265" s="81"/>
      <c r="E265" s="13"/>
      <c r="F265" s="30">
        <v>0</v>
      </c>
      <c r="G265" s="83"/>
      <c r="H265" s="13"/>
      <c r="I265" s="30"/>
      <c r="J265" s="41"/>
      <c r="K265" s="13"/>
      <c r="L265" s="33">
        <v>0</v>
      </c>
      <c r="M265" s="462"/>
      <c r="N265" s="145">
        <f t="shared" si="58"/>
        <v>0</v>
      </c>
      <c r="O265" s="41"/>
      <c r="P265" s="13"/>
      <c r="Q265" s="33">
        <v>0</v>
      </c>
      <c r="R265" s="41"/>
      <c r="S265" s="85">
        <f t="shared" si="6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6"/>
        <v>Carrosserie[...]</v>
      </c>
      <c r="B266" s="11" t="s">
        <v>94</v>
      </c>
      <c r="C266" s="29" t="s">
        <v>19</v>
      </c>
      <c r="D266" s="87"/>
      <c r="E266" s="111"/>
      <c r="F266" s="30">
        <v>0</v>
      </c>
      <c r="G266" s="89"/>
      <c r="H266" s="111"/>
      <c r="I266" s="30"/>
      <c r="J266" s="23"/>
      <c r="K266" s="111"/>
      <c r="L266" s="33">
        <v>0</v>
      </c>
      <c r="M266" s="23"/>
      <c r="N266" s="91">
        <f t="shared" si="58"/>
        <v>0</v>
      </c>
      <c r="O266" s="23"/>
      <c r="P266" s="111"/>
      <c r="Q266" s="33">
        <v>0</v>
      </c>
      <c r="R266" s="23"/>
      <c r="S266" s="92">
        <f t="shared" si="60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6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-0.04</v>
      </c>
      <c r="M267" s="146"/>
      <c r="N267" s="113">
        <f t="shared" si="58"/>
        <v>-0.04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60"/>
        <v>-0.04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6"/>
        <v>CarrosseriePublicité 2</v>
      </c>
      <c r="B268" s="11" t="s">
        <v>94</v>
      </c>
      <c r="C268" s="210" t="s">
        <v>49</v>
      </c>
      <c r="D268" s="81"/>
      <c r="E268" s="13"/>
      <c r="F268" s="30">
        <v>0</v>
      </c>
      <c r="G268" s="83"/>
      <c r="H268" s="13"/>
      <c r="I268" s="30"/>
      <c r="J268" s="41"/>
      <c r="K268" s="13"/>
      <c r="L268" s="33">
        <v>0</v>
      </c>
      <c r="M268" s="41"/>
      <c r="N268" s="59">
        <f t="shared" si="58"/>
        <v>0</v>
      </c>
      <c r="O268" s="41"/>
      <c r="P268" s="13"/>
      <c r="Q268" s="33">
        <v>0</v>
      </c>
      <c r="R268" s="41"/>
      <c r="S268" s="85">
        <f t="shared" si="60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6"/>
        <v>CarrosserieService gratuit 2</v>
      </c>
      <c r="B269" s="11" t="s">
        <v>94</v>
      </c>
      <c r="C269" s="102" t="s">
        <v>50</v>
      </c>
      <c r="D269" s="81"/>
      <c r="E269" s="13"/>
      <c r="F269" s="30">
        <v>0</v>
      </c>
      <c r="G269" s="83"/>
      <c r="H269" s="13"/>
      <c r="I269" s="30"/>
      <c r="J269" s="41"/>
      <c r="K269" s="13"/>
      <c r="L269" s="33">
        <v>0</v>
      </c>
      <c r="M269" s="41"/>
      <c r="N269" s="59">
        <f t="shared" si="58"/>
        <v>0</v>
      </c>
      <c r="O269" s="41"/>
      <c r="P269" s="13"/>
      <c r="Q269" s="33">
        <v>0</v>
      </c>
      <c r="R269" s="41"/>
      <c r="S269" s="85">
        <f t="shared" si="60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6"/>
        <v>CarrosserieFrais véhicules de cie</v>
      </c>
      <c r="B270" s="11" t="s">
        <v>94</v>
      </c>
      <c r="C270" s="103" t="s">
        <v>51</v>
      </c>
      <c r="D270" s="87"/>
      <c r="E270" s="111"/>
      <c r="F270" s="22">
        <v>0</v>
      </c>
      <c r="G270" s="89"/>
      <c r="H270" s="111"/>
      <c r="I270" s="22"/>
      <c r="J270" s="23"/>
      <c r="K270" s="111"/>
      <c r="L270" s="33">
        <v>0</v>
      </c>
      <c r="M270" s="23"/>
      <c r="N270" s="91">
        <f t="shared" si="58"/>
        <v>0</v>
      </c>
      <c r="O270" s="23"/>
      <c r="P270" s="111"/>
      <c r="Q270" s="33">
        <v>0</v>
      </c>
      <c r="R270" s="23"/>
      <c r="S270" s="92">
        <f t="shared" si="60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6"/>
        <v>CarrosserieInformatique</v>
      </c>
      <c r="B271" s="11" t="s">
        <v>94</v>
      </c>
      <c r="C271" s="102" t="s">
        <v>52</v>
      </c>
      <c r="D271" s="81"/>
      <c r="E271" s="13"/>
      <c r="F271" s="30">
        <v>0</v>
      </c>
      <c r="G271" s="83"/>
      <c r="H271" s="13"/>
      <c r="I271" s="30"/>
      <c r="J271" s="41"/>
      <c r="K271" s="13"/>
      <c r="L271" s="108">
        <v>0</v>
      </c>
      <c r="M271" s="41"/>
      <c r="N271" s="59">
        <f t="shared" si="58"/>
        <v>0</v>
      </c>
      <c r="O271" s="41"/>
      <c r="P271" s="13"/>
      <c r="Q271" s="108">
        <v>0</v>
      </c>
      <c r="R271" s="41"/>
      <c r="S271" s="85">
        <f t="shared" si="60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6"/>
        <v>CarrosserieFrais de déplacement</v>
      </c>
      <c r="B272" s="11" t="s">
        <v>94</v>
      </c>
      <c r="C272" s="102" t="s">
        <v>53</v>
      </c>
      <c r="D272" s="81"/>
      <c r="E272" s="13"/>
      <c r="F272" s="30">
        <v>0</v>
      </c>
      <c r="G272" s="83"/>
      <c r="H272" s="13"/>
      <c r="I272" s="30"/>
      <c r="J272" s="41"/>
      <c r="K272" s="13"/>
      <c r="L272" s="33">
        <v>0</v>
      </c>
      <c r="M272" s="41"/>
      <c r="N272" s="59">
        <f t="shared" si="58"/>
        <v>0</v>
      </c>
      <c r="O272" s="41"/>
      <c r="P272" s="13"/>
      <c r="Q272" s="33">
        <v>0</v>
      </c>
      <c r="R272" s="41"/>
      <c r="S272" s="85">
        <f t="shared" si="60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6"/>
        <v>CarrosserieServices extérieurs</v>
      </c>
      <c r="B273" s="11" t="s">
        <v>94</v>
      </c>
      <c r="C273" s="102" t="s">
        <v>54</v>
      </c>
      <c r="D273" s="87"/>
      <c r="E273" s="111"/>
      <c r="F273" s="22">
        <v>0</v>
      </c>
      <c r="G273" s="89"/>
      <c r="H273" s="111"/>
      <c r="I273" s="22"/>
      <c r="J273" s="23"/>
      <c r="K273" s="111"/>
      <c r="L273" s="33">
        <v>0</v>
      </c>
      <c r="M273" s="23"/>
      <c r="N273" s="91">
        <f t="shared" si="58"/>
        <v>0</v>
      </c>
      <c r="O273" s="23"/>
      <c r="P273" s="111"/>
      <c r="Q273" s="22">
        <v>0</v>
      </c>
      <c r="R273" s="23"/>
      <c r="S273" s="92">
        <f t="shared" si="60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>+B274&amp;C274</f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v>0</v>
      </c>
      <c r="M274" s="41"/>
      <c r="N274" s="59">
        <f t="shared" si="58"/>
        <v>0</v>
      </c>
      <c r="O274" s="41"/>
      <c r="P274" s="13"/>
      <c r="Q274" s="33"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ref="A275:A320" si="61">+B275&amp;C275</f>
        <v>CarrosserieFournitures autres</v>
      </c>
      <c r="B275" s="11" t="s">
        <v>94</v>
      </c>
      <c r="C275" s="102" t="s">
        <v>55</v>
      </c>
      <c r="D275" s="81"/>
      <c r="E275" s="13"/>
      <c r="F275" s="30">
        <v>0</v>
      </c>
      <c r="G275" s="83"/>
      <c r="H275" s="13"/>
      <c r="I275" s="30"/>
      <c r="J275" s="41"/>
      <c r="K275" s="13"/>
      <c r="L275" s="33">
        <v>0</v>
      </c>
      <c r="M275" s="41"/>
      <c r="N275" s="59">
        <f t="shared" si="58"/>
        <v>0</v>
      </c>
      <c r="O275" s="41"/>
      <c r="P275" s="13"/>
      <c r="Q275" s="33">
        <v>0</v>
      </c>
      <c r="R275" s="41"/>
      <c r="S275" s="85">
        <f t="shared" ref="S275:S293" si="62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61"/>
        <v>CarrosserieUniformes</v>
      </c>
      <c r="B276" s="11" t="s">
        <v>94</v>
      </c>
      <c r="C276" s="102" t="s">
        <v>56</v>
      </c>
      <c r="D276" s="81"/>
      <c r="E276" s="13"/>
      <c r="F276" s="30">
        <v>0</v>
      </c>
      <c r="G276" s="83"/>
      <c r="H276" s="13"/>
      <c r="I276" s="30"/>
      <c r="J276" s="41"/>
      <c r="K276" s="13"/>
      <c r="L276" s="33">
        <v>0</v>
      </c>
      <c r="M276" s="41"/>
      <c r="N276" s="59">
        <f t="shared" si="58"/>
        <v>0</v>
      </c>
      <c r="O276" s="41"/>
      <c r="P276" s="13"/>
      <c r="Q276" s="33">
        <v>0</v>
      </c>
      <c r="R276" s="41"/>
      <c r="S276" s="85">
        <f t="shared" si="62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61"/>
        <v>CarrosseriePapeterie</v>
      </c>
      <c r="B277" s="11" t="s">
        <v>94</v>
      </c>
      <c r="C277" s="102" t="s">
        <v>57</v>
      </c>
      <c r="D277" s="81"/>
      <c r="E277" s="13"/>
      <c r="F277" s="30">
        <v>0</v>
      </c>
      <c r="G277" s="83"/>
      <c r="H277" s="13"/>
      <c r="I277" s="30"/>
      <c r="J277" s="41"/>
      <c r="K277" s="13"/>
      <c r="L277" s="32">
        <v>0</v>
      </c>
      <c r="M277" s="41"/>
      <c r="N277" s="59">
        <f t="shared" si="58"/>
        <v>0</v>
      </c>
      <c r="O277" s="41"/>
      <c r="P277" s="13"/>
      <c r="Q277" s="32">
        <v>0</v>
      </c>
      <c r="R277" s="41"/>
      <c r="S277" s="85">
        <f t="shared" si="62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61"/>
        <v>CarrosserieTéléphone</v>
      </c>
      <c r="B278" s="11" t="s">
        <v>94</v>
      </c>
      <c r="C278" s="102" t="s">
        <v>58</v>
      </c>
      <c r="D278" s="81"/>
      <c r="E278" s="13"/>
      <c r="F278" s="30">
        <v>0</v>
      </c>
      <c r="G278" s="83"/>
      <c r="H278" s="13"/>
      <c r="I278" s="30"/>
      <c r="J278" s="41"/>
      <c r="K278" s="13"/>
      <c r="L278" s="33">
        <v>0</v>
      </c>
      <c r="M278" s="41"/>
      <c r="N278" s="59">
        <f t="shared" si="58"/>
        <v>0</v>
      </c>
      <c r="O278" s="41"/>
      <c r="P278" s="13"/>
      <c r="Q278" s="33">
        <v>0</v>
      </c>
      <c r="R278" s="41"/>
      <c r="S278" s="85">
        <f t="shared" si="62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61"/>
        <v>CarrosserieFrais postaux</v>
      </c>
      <c r="B279" s="11" t="s">
        <v>94</v>
      </c>
      <c r="C279" s="102" t="s">
        <v>59</v>
      </c>
      <c r="D279" s="81"/>
      <c r="E279" s="13"/>
      <c r="F279" s="30">
        <v>0</v>
      </c>
      <c r="G279" s="83"/>
      <c r="H279" s="13"/>
      <c r="I279" s="30"/>
      <c r="J279" s="41"/>
      <c r="K279" s="13"/>
      <c r="L279" s="33">
        <v>0</v>
      </c>
      <c r="M279" s="41"/>
      <c r="N279" s="59">
        <f t="shared" si="58"/>
        <v>0</v>
      </c>
      <c r="O279" s="41"/>
      <c r="P279" s="13"/>
      <c r="Q279" s="33">
        <v>0</v>
      </c>
      <c r="R279" s="41"/>
      <c r="S279" s="85">
        <f t="shared" si="62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61"/>
        <v>CarrosserieDivers</v>
      </c>
      <c r="B280" s="11" t="s">
        <v>94</v>
      </c>
      <c r="C280" s="102" t="s">
        <v>60</v>
      </c>
      <c r="D280" s="81"/>
      <c r="E280" s="13"/>
      <c r="F280" s="30">
        <v>0</v>
      </c>
      <c r="G280" s="83"/>
      <c r="H280" s="13"/>
      <c r="I280" s="30"/>
      <c r="J280" s="41"/>
      <c r="K280" s="13"/>
      <c r="L280" s="33">
        <v>0</v>
      </c>
      <c r="M280" s="41"/>
      <c r="N280" s="59">
        <f t="shared" si="58"/>
        <v>0</v>
      </c>
      <c r="O280" s="41"/>
      <c r="P280" s="13"/>
      <c r="Q280" s="33">
        <v>0</v>
      </c>
      <c r="R280" s="41"/>
      <c r="S280" s="85">
        <f t="shared" si="62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61"/>
        <v>CarrosserieFormation</v>
      </c>
      <c r="B281" s="11" t="s">
        <v>94</v>
      </c>
      <c r="C281" s="102" t="s">
        <v>61</v>
      </c>
      <c r="D281" s="81"/>
      <c r="E281" s="13"/>
      <c r="F281" s="30">
        <v>0</v>
      </c>
      <c r="G281" s="83"/>
      <c r="H281" s="13"/>
      <c r="I281" s="30"/>
      <c r="J281" s="41"/>
      <c r="K281" s="13"/>
      <c r="L281" s="33">
        <v>0</v>
      </c>
      <c r="M281" s="41"/>
      <c r="N281" s="59">
        <f t="shared" si="58"/>
        <v>0</v>
      </c>
      <c r="O281" s="41"/>
      <c r="P281" s="13"/>
      <c r="Q281" s="33">
        <v>0</v>
      </c>
      <c r="R281" s="41"/>
      <c r="S281" s="85">
        <f t="shared" si="62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61"/>
        <v>CarrosserieFrais bancaires</v>
      </c>
      <c r="B282" s="11" t="s">
        <v>94</v>
      </c>
      <c r="C282" s="102" t="s">
        <v>62</v>
      </c>
      <c r="D282" s="81"/>
      <c r="E282" s="13"/>
      <c r="F282" s="30">
        <v>0</v>
      </c>
      <c r="G282" s="83"/>
      <c r="H282" s="13"/>
      <c r="I282" s="30"/>
      <c r="J282" s="41"/>
      <c r="K282" s="13"/>
      <c r="L282" s="33">
        <v>0</v>
      </c>
      <c r="M282" s="41"/>
      <c r="N282" s="59">
        <f t="shared" si="58"/>
        <v>0</v>
      </c>
      <c r="O282" s="41"/>
      <c r="P282" s="13"/>
      <c r="Q282" s="33">
        <v>0</v>
      </c>
      <c r="R282" s="41"/>
      <c r="S282" s="85">
        <f t="shared" si="62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61"/>
        <v>Carrosserie[...]</v>
      </c>
      <c r="B283" s="11" t="s">
        <v>94</v>
      </c>
      <c r="C283" s="102" t="s">
        <v>19</v>
      </c>
      <c r="D283" s="81"/>
      <c r="E283" s="13"/>
      <c r="F283" s="30">
        <v>0</v>
      </c>
      <c r="G283" s="83"/>
      <c r="H283" s="13"/>
      <c r="I283" s="30"/>
      <c r="J283" s="41"/>
      <c r="K283" s="13"/>
      <c r="L283" s="33">
        <v>0</v>
      </c>
      <c r="M283" s="41"/>
      <c r="N283" s="59">
        <f t="shared" si="58"/>
        <v>0</v>
      </c>
      <c r="O283" s="41"/>
      <c r="P283" s="13"/>
      <c r="Q283" s="33">
        <v>0</v>
      </c>
      <c r="R283" s="41"/>
      <c r="S283" s="85">
        <f t="shared" si="62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>+B284&amp;C284</f>
        <v>Carrosserie[...]</v>
      </c>
      <c r="B284" s="11" t="s">
        <v>94</v>
      </c>
      <c r="C284" s="102" t="s">
        <v>19</v>
      </c>
      <c r="D284" s="81"/>
      <c r="E284" s="13"/>
      <c r="F284" s="30">
        <v>0</v>
      </c>
      <c r="G284" s="83"/>
      <c r="H284" s="13"/>
      <c r="I284" s="30"/>
      <c r="J284" s="41"/>
      <c r="K284" s="13"/>
      <c r="L284" s="33">
        <v>0</v>
      </c>
      <c r="M284" s="41"/>
      <c r="N284" s="59">
        <f t="shared" si="58"/>
        <v>0</v>
      </c>
      <c r="O284" s="41"/>
      <c r="P284" s="13"/>
      <c r="Q284" s="33"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ref="A285:A330" si="63">+B285&amp;C285</f>
        <v>Carrosserie[...]</v>
      </c>
      <c r="B285" s="11" t="s">
        <v>94</v>
      </c>
      <c r="C285" s="102" t="s">
        <v>19</v>
      </c>
      <c r="D285" s="81"/>
      <c r="E285" s="13"/>
      <c r="F285" s="30">
        <v>0</v>
      </c>
      <c r="G285" s="83"/>
      <c r="H285" s="13"/>
      <c r="I285" s="30"/>
      <c r="J285" s="41"/>
      <c r="K285" s="13"/>
      <c r="L285" s="33">
        <v>0</v>
      </c>
      <c r="M285" s="41"/>
      <c r="N285" s="59">
        <f t="shared" si="58"/>
        <v>0</v>
      </c>
      <c r="O285" s="41"/>
      <c r="P285" s="13"/>
      <c r="Q285" s="33">
        <v>0</v>
      </c>
      <c r="R285" s="41"/>
      <c r="S285" s="85">
        <f t="shared" ref="S285:S303" si="64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 t="e">
        <f>IF(L263=0,0,L286/L$245)</f>
        <v>#DIV/0!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-0.04</v>
      </c>
      <c r="M288" s="100"/>
      <c r="N288" s="113">
        <f>L288-F288</f>
        <v>-0.04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-0.04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0.04</v>
      </c>
      <c r="M290" s="153"/>
      <c r="N290" s="127">
        <f>L290-F290</f>
        <v>0.04</v>
      </c>
      <c r="O290" s="153"/>
      <c r="P290" s="126"/>
      <c r="Q290" s="127">
        <f>Q251-Q288</f>
        <v>0</v>
      </c>
      <c r="R290" s="153"/>
      <c r="S290" s="129">
        <f>L290-Q290</f>
        <v>0.04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Août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05" t="s">
        <v>5</v>
      </c>
      <c r="E294" s="506"/>
      <c r="F294" s="507"/>
      <c r="G294" s="508"/>
      <c r="H294" s="506"/>
      <c r="I294" s="507"/>
      <c r="J294" s="508" t="s">
        <v>7</v>
      </c>
      <c r="K294" s="506"/>
      <c r="L294" s="507"/>
      <c r="M294" s="508" t="s">
        <v>212</v>
      </c>
      <c r="N294" s="507"/>
      <c r="O294" s="505" t="s">
        <v>8</v>
      </c>
      <c r="P294" s="506"/>
      <c r="Q294" s="507"/>
      <c r="R294" s="503" t="s">
        <v>213</v>
      </c>
      <c r="S294" s="504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44" si="65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65"/>
        <v>PiècesPièces Ro Clients</v>
      </c>
      <c r="B296" s="11" t="s">
        <v>98</v>
      </c>
      <c r="C296" s="29" t="s">
        <v>100</v>
      </c>
      <c r="D296" s="82">
        <v>56223.66746373762</v>
      </c>
      <c r="E296" s="147">
        <f>IF(D296=0,0,F296/D296)</f>
        <v>0.40200000000000002</v>
      </c>
      <c r="F296" s="85">
        <v>22601.914320422526</v>
      </c>
      <c r="G296" s="82"/>
      <c r="H296" s="147"/>
      <c r="I296" s="85"/>
      <c r="J296" s="30">
        <v>78981.430000000008</v>
      </c>
      <c r="K296" s="147">
        <f t="shared" ref="K296:K301" si="66">IF(J296&lt;=0,0,L296/J296)</f>
        <v>0.36376272245260705</v>
      </c>
      <c r="L296" s="33">
        <v>28730.500000000015</v>
      </c>
      <c r="M296" s="156">
        <f t="shared" ref="M296:M302" si="67">(+J296-D296)/D296</f>
        <v>0.40477193258409161</v>
      </c>
      <c r="N296" s="59">
        <f t="shared" ref="N296:N305" si="68">L296-F296</f>
        <v>6128.5856795774889</v>
      </c>
      <c r="O296" s="30">
        <v>59394.13</v>
      </c>
      <c r="P296" s="147">
        <f t="shared" ref="P296:P304" si="69">IF(O296=0,0,Q296/O296)</f>
        <v>0.43643488001255343</v>
      </c>
      <c r="Q296" s="33">
        <v>25921.67</v>
      </c>
      <c r="R296" s="156">
        <f>IF(O296=0,0,(J296-O296)/O296)</f>
        <v>0.32978511512838071</v>
      </c>
      <c r="S296" s="85">
        <f t="shared" ref="S296:S301" si="70">L296-Q296</f>
        <v>2808.8300000000163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65"/>
        <v>PiècesPièces Ro Carrosserie</v>
      </c>
      <c r="B297" s="11" t="s">
        <v>98</v>
      </c>
      <c r="C297" s="29" t="s">
        <v>101</v>
      </c>
      <c r="D297" s="82">
        <v>0</v>
      </c>
      <c r="E297" s="147">
        <f t="shared" ref="E297:E304" si="71">IF(D297=0,0,F297/D297)</f>
        <v>0</v>
      </c>
      <c r="F297" s="85">
        <v>0</v>
      </c>
      <c r="G297" s="82"/>
      <c r="H297" s="147"/>
      <c r="I297" s="85"/>
      <c r="J297" s="30">
        <v>0</v>
      </c>
      <c r="K297" s="147">
        <f t="shared" si="66"/>
        <v>0</v>
      </c>
      <c r="L297" s="33">
        <v>0</v>
      </c>
      <c r="M297" s="156" t="e">
        <f t="shared" si="67"/>
        <v>#DIV/0!</v>
      </c>
      <c r="N297" s="59">
        <f t="shared" si="68"/>
        <v>0</v>
      </c>
      <c r="O297" s="30">
        <v>0</v>
      </c>
      <c r="P297" s="147">
        <f t="shared" si="69"/>
        <v>0</v>
      </c>
      <c r="Q297" s="33">
        <v>0</v>
      </c>
      <c r="R297" s="156">
        <f t="shared" ref="R297:R304" si="72">IF(O297=0,0,(J297-O297)/O297)</f>
        <v>0</v>
      </c>
      <c r="S297" s="85">
        <f t="shared" si="70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65"/>
        <v>PiècesP/A Garantie</v>
      </c>
      <c r="B298" s="11" t="s">
        <v>98</v>
      </c>
      <c r="C298" s="29" t="s">
        <v>102</v>
      </c>
      <c r="D298" s="82">
        <v>69138.033126318929</v>
      </c>
      <c r="E298" s="147">
        <f t="shared" si="71"/>
        <v>0.27700000000000002</v>
      </c>
      <c r="F298" s="85">
        <v>19151.235175990347</v>
      </c>
      <c r="G298" s="82"/>
      <c r="H298" s="147"/>
      <c r="I298" s="85"/>
      <c r="J298" s="30">
        <v>97311.4</v>
      </c>
      <c r="K298" s="147">
        <f t="shared" si="66"/>
        <v>0.28365546071683273</v>
      </c>
      <c r="L298" s="33">
        <v>27602.909999999996</v>
      </c>
      <c r="M298" s="156">
        <f t="shared" si="67"/>
        <v>0.40749448024080753</v>
      </c>
      <c r="N298" s="59">
        <f t="shared" si="68"/>
        <v>8451.6748240096495</v>
      </c>
      <c r="O298" s="30">
        <v>83246.25</v>
      </c>
      <c r="P298" s="147">
        <f t="shared" si="69"/>
        <v>0.26271802033124614</v>
      </c>
      <c r="Q298" s="33">
        <v>21870.29</v>
      </c>
      <c r="R298" s="156">
        <f t="shared" si="72"/>
        <v>0.16895836148775464</v>
      </c>
      <c r="S298" s="85">
        <f t="shared" si="70"/>
        <v>5732.6199999999953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65"/>
        <v>PiècesVentes Internes</v>
      </c>
      <c r="B299" s="11" t="s">
        <v>98</v>
      </c>
      <c r="C299" s="29" t="s">
        <v>103</v>
      </c>
      <c r="D299" s="82">
        <v>27600</v>
      </c>
      <c r="E299" s="147">
        <f t="shared" si="71"/>
        <v>0.33800000000000002</v>
      </c>
      <c r="F299" s="85">
        <v>9328.8000000000011</v>
      </c>
      <c r="G299" s="82"/>
      <c r="H299" s="147"/>
      <c r="I299" s="85"/>
      <c r="J299" s="30">
        <v>25553.87</v>
      </c>
      <c r="K299" s="147">
        <f t="shared" si="66"/>
        <v>0.23594821449745176</v>
      </c>
      <c r="L299" s="33">
        <v>6029.3899999999976</v>
      </c>
      <c r="M299" s="156">
        <f t="shared" si="67"/>
        <v>-7.413514492753627E-2</v>
      </c>
      <c r="N299" s="59">
        <f t="shared" si="68"/>
        <v>-3299.4100000000035</v>
      </c>
      <c r="O299" s="30">
        <v>19834.52</v>
      </c>
      <c r="P299" s="147">
        <f t="shared" si="69"/>
        <v>0.34487297902848169</v>
      </c>
      <c r="Q299" s="33">
        <v>6840.39</v>
      </c>
      <c r="R299" s="156">
        <f t="shared" si="72"/>
        <v>0.28835333549790965</v>
      </c>
      <c r="S299" s="85">
        <f t="shared" si="70"/>
        <v>-811.00000000000273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65"/>
        <v>PiècesVentes Détails</v>
      </c>
      <c r="B300" s="11" t="s">
        <v>98</v>
      </c>
      <c r="C300" s="29" t="s">
        <v>104</v>
      </c>
      <c r="D300" s="82">
        <v>17077.439521491629</v>
      </c>
      <c r="E300" s="147">
        <f t="shared" si="71"/>
        <v>0.33100000000000002</v>
      </c>
      <c r="F300" s="85">
        <v>5652.6324816137294</v>
      </c>
      <c r="G300" s="82"/>
      <c r="H300" s="147"/>
      <c r="I300" s="85"/>
      <c r="J300" s="30">
        <v>23344.18</v>
      </c>
      <c r="K300" s="147">
        <f t="shared" si="66"/>
        <v>0.29028134635699343</v>
      </c>
      <c r="L300" s="33">
        <v>6776.3799999999992</v>
      </c>
      <c r="M300" s="156">
        <f t="shared" si="67"/>
        <v>0.36696019158034776</v>
      </c>
      <c r="N300" s="59">
        <f t="shared" si="68"/>
        <v>1123.7475183862698</v>
      </c>
      <c r="O300" s="30">
        <v>16735.09</v>
      </c>
      <c r="P300" s="147">
        <f t="shared" si="69"/>
        <v>0.38941887973115175</v>
      </c>
      <c r="Q300" s="33">
        <v>6516.96</v>
      </c>
      <c r="R300" s="156">
        <f t="shared" si="72"/>
        <v>0.39492407868735691</v>
      </c>
      <c r="S300" s="85">
        <f t="shared" si="70"/>
        <v>259.41999999999916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>+B301&amp;C301</f>
        <v>PiècesVentes de Gros</v>
      </c>
      <c r="B301" s="11" t="s">
        <v>98</v>
      </c>
      <c r="C301" s="29" t="s">
        <v>105</v>
      </c>
      <c r="D301" s="82">
        <v>106800</v>
      </c>
      <c r="E301" s="147">
        <f t="shared" si="71"/>
        <v>0.2</v>
      </c>
      <c r="F301" s="85">
        <v>21360</v>
      </c>
      <c r="G301" s="82"/>
      <c r="H301" s="147"/>
      <c r="I301" s="85"/>
      <c r="J301" s="30">
        <v>55400.23</v>
      </c>
      <c r="K301" s="147">
        <f t="shared" si="66"/>
        <v>0.22278156606931052</v>
      </c>
      <c r="L301" s="33">
        <v>12342.15</v>
      </c>
      <c r="M301" s="156">
        <f t="shared" si="67"/>
        <v>-0.48127125468164789</v>
      </c>
      <c r="N301" s="59">
        <f t="shared" si="68"/>
        <v>-9017.85</v>
      </c>
      <c r="O301" s="30">
        <v>50297.27</v>
      </c>
      <c r="P301" s="147">
        <f t="shared" si="69"/>
        <v>0.21691256801810319</v>
      </c>
      <c r="Q301" s="33">
        <v>10910.109999999901</v>
      </c>
      <c r="R301" s="156">
        <f t="shared" si="72"/>
        <v>0.1014560034769284</v>
      </c>
      <c r="S301" s="85">
        <f t="shared" si="70"/>
        <v>1432.0400000000991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>+B302&amp;C302</f>
        <v>Pièces[...]</v>
      </c>
      <c r="B302" s="11" t="s">
        <v>98</v>
      </c>
      <c r="C302" s="29" t="s">
        <v>19</v>
      </c>
      <c r="D302" s="82">
        <v>0</v>
      </c>
      <c r="E302" s="147">
        <f>IF(D302=0,0,F302/D302)</f>
        <v>0</v>
      </c>
      <c r="F302" s="85">
        <v>0</v>
      </c>
      <c r="G302" s="82"/>
      <c r="H302" s="147"/>
      <c r="I302" s="85"/>
      <c r="J302" s="30">
        <v>0</v>
      </c>
      <c r="K302" s="147">
        <f>IF(J302&lt;=0,0,L302/J302)</f>
        <v>0</v>
      </c>
      <c r="L302" s="33">
        <v>0</v>
      </c>
      <c r="M302" s="156" t="e">
        <f t="shared" si="67"/>
        <v>#DIV/0!</v>
      </c>
      <c r="N302" s="59">
        <f t="shared" si="68"/>
        <v>0</v>
      </c>
      <c r="O302" s="30">
        <v>0</v>
      </c>
      <c r="P302" s="147">
        <f t="shared" si="69"/>
        <v>0</v>
      </c>
      <c r="Q302" s="33"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ref="A303:A352" si="73">+B303&amp;C303</f>
        <v>PiècesEscomptes</v>
      </c>
      <c r="B303" s="11" t="s">
        <v>98</v>
      </c>
      <c r="C303" s="29" t="s">
        <v>106</v>
      </c>
      <c r="D303" s="82">
        <v>0</v>
      </c>
      <c r="E303" s="147">
        <f t="shared" ref="E303:E310" si="74">IF(D303=0,0,F303/D303)</f>
        <v>0</v>
      </c>
      <c r="F303" s="85">
        <v>10253.301485612896</v>
      </c>
      <c r="G303" s="82"/>
      <c r="H303" s="147"/>
      <c r="I303" s="85"/>
      <c r="J303" s="30">
        <v>0</v>
      </c>
      <c r="K303" s="147">
        <f>IF(J303&lt;=0,0,L303/J303)</f>
        <v>0</v>
      </c>
      <c r="L303" s="33">
        <v>2499.3200000000002</v>
      </c>
      <c r="M303" s="156"/>
      <c r="N303" s="59">
        <f t="shared" si="68"/>
        <v>-7753.981485612896</v>
      </c>
      <c r="O303" s="30">
        <v>0</v>
      </c>
      <c r="P303" s="147">
        <f t="shared" si="69"/>
        <v>0</v>
      </c>
      <c r="Q303" s="33">
        <v>951</v>
      </c>
      <c r="R303" s="156">
        <f t="shared" ref="R303:R310" si="75">IF(O303=0,0,(J303-O303)/O303)</f>
        <v>0</v>
      </c>
      <c r="S303" s="85">
        <f>L303-Q303</f>
        <v>1548.3200000000002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73"/>
        <v>PiècesRectif. Inventaire</v>
      </c>
      <c r="B304" s="11" t="s">
        <v>98</v>
      </c>
      <c r="C304" s="86" t="s">
        <v>107</v>
      </c>
      <c r="D304" s="82">
        <v>0</v>
      </c>
      <c r="E304" s="147">
        <f t="shared" si="74"/>
        <v>0</v>
      </c>
      <c r="F304" s="85">
        <v>0</v>
      </c>
      <c r="G304" s="82"/>
      <c r="H304" s="147"/>
      <c r="I304" s="85"/>
      <c r="J304" s="30">
        <v>0</v>
      </c>
      <c r="K304" s="147">
        <f>IF(J304&lt;=0,0,L304/J304)</f>
        <v>0</v>
      </c>
      <c r="L304" s="33">
        <v>0</v>
      </c>
      <c r="M304" s="156"/>
      <c r="N304" s="59">
        <f t="shared" si="68"/>
        <v>0</v>
      </c>
      <c r="O304" s="30">
        <v>0</v>
      </c>
      <c r="P304" s="147">
        <f t="shared" si="69"/>
        <v>0</v>
      </c>
      <c r="Q304" s="33">
        <v>0</v>
      </c>
      <c r="R304" s="156">
        <f t="shared" si="75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73"/>
        <v>PiècesSous-total Pièces</v>
      </c>
      <c r="B305" s="11" t="s">
        <v>98</v>
      </c>
      <c r="C305" s="53" t="s">
        <v>108</v>
      </c>
      <c r="D305" s="194">
        <f>SUM(D296:D304)</f>
        <v>276839.14011154819</v>
      </c>
      <c r="E305" s="212">
        <f>IF(D305&lt;=0,0,F305/D305)</f>
        <v>0.31913075379457201</v>
      </c>
      <c r="F305" s="198">
        <f>SUM(F296:F304)</f>
        <v>88347.883463639504</v>
      </c>
      <c r="G305" s="194"/>
      <c r="H305" s="212"/>
      <c r="I305" s="198"/>
      <c r="J305" s="194">
        <f>SUM(J296:J304)</f>
        <v>280591.11</v>
      </c>
      <c r="K305" s="212">
        <f>IF(J305&lt;=0,0,L305/J305)</f>
        <v>0.29929904051486167</v>
      </c>
      <c r="L305" s="196">
        <f>SUM(L296:L304)</f>
        <v>83980.650000000009</v>
      </c>
      <c r="M305" s="213">
        <f>(+J305-D305)/D305</f>
        <v>1.3552888102961165E-2</v>
      </c>
      <c r="N305" s="196">
        <f t="shared" si="68"/>
        <v>-4367.2334636394953</v>
      </c>
      <c r="O305" s="194">
        <f>SUM(O296:O304)</f>
        <v>229507.25999999998</v>
      </c>
      <c r="P305" s="212">
        <f>IF(O305&lt;=0,0,Q305/O305)</f>
        <v>0.31811812837641784</v>
      </c>
      <c r="Q305" s="196">
        <f t="shared" ref="Q305" si="76">SUM(Q296:Q304)</f>
        <v>73010.419999999896</v>
      </c>
      <c r="R305" s="213">
        <f>IF(O305=0,0,(J305-O305)/O305)</f>
        <v>0.22258054058943499</v>
      </c>
      <c r="S305" s="198">
        <f>L305-Q305</f>
        <v>10970.230000000112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73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-4.9432236431978319E-2</v>
      </c>
      <c r="O306" s="41"/>
      <c r="P306" s="13"/>
      <c r="Q306" s="40"/>
      <c r="R306" s="41"/>
      <c r="S306" s="44">
        <f>IF(Q305=0,0,S305/Q305)</f>
        <v>0.15025567583367042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73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73"/>
        <v>PiècesVentes Pneus</v>
      </c>
      <c r="B308" s="11" t="s">
        <v>98</v>
      </c>
      <c r="C308" s="29" t="s">
        <v>109</v>
      </c>
      <c r="D308" s="82">
        <v>54675.73415991768</v>
      </c>
      <c r="E308" s="147">
        <f>IF(D308=0,0,F308/D308)</f>
        <v>0.25</v>
      </c>
      <c r="F308" s="110">
        <v>13668.93353997942</v>
      </c>
      <c r="G308" s="82"/>
      <c r="H308" s="147"/>
      <c r="I308" s="110"/>
      <c r="J308" s="30">
        <v>68050.77</v>
      </c>
      <c r="K308" s="147">
        <f>IF(J308&lt;=0,0,L308/J308)</f>
        <v>0.26074282480565625</v>
      </c>
      <c r="L308" s="33">
        <v>17743.750000000007</v>
      </c>
      <c r="M308" s="156">
        <f>(+J308-D308)/D308</f>
        <v>0.24462471415495779</v>
      </c>
      <c r="N308" s="59">
        <f>L308-F308</f>
        <v>4074.8164600205873</v>
      </c>
      <c r="O308" s="30">
        <v>49674.36</v>
      </c>
      <c r="P308" s="147">
        <f t="shared" ref="P308:P309" si="77">IF(O308=0,0,Q308/O308)</f>
        <v>0.25887137750743039</v>
      </c>
      <c r="Q308" s="33">
        <v>12859.27</v>
      </c>
      <c r="R308" s="156">
        <f>IF(O308=0,0,(J308-O308)/O308)</f>
        <v>0.36993752913978162</v>
      </c>
      <c r="S308" s="85">
        <f>L308-Q308</f>
        <v>4884.4800000000068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73"/>
        <v>PiècesHuiles et Graisse</v>
      </c>
      <c r="B309" s="11" t="s">
        <v>98</v>
      </c>
      <c r="C309" s="86" t="s">
        <v>110</v>
      </c>
      <c r="D309" s="82">
        <v>13953.938808466866</v>
      </c>
      <c r="E309" s="147">
        <f>IF(D309=0,0,F309/D309)</f>
        <v>0.35499999999999998</v>
      </c>
      <c r="F309" s="92">
        <v>4953.6482770057373</v>
      </c>
      <c r="G309" s="82"/>
      <c r="H309" s="147"/>
      <c r="I309" s="92"/>
      <c r="J309" s="30">
        <v>15275.95</v>
      </c>
      <c r="K309" s="147">
        <f>IF(J309&lt;=0,0,L309/J309)</f>
        <v>0.32510318507195951</v>
      </c>
      <c r="L309" s="33">
        <v>4966.26</v>
      </c>
      <c r="M309" s="156">
        <f>(+J309-D309)/D309</f>
        <v>9.4741077030592577E-2</v>
      </c>
      <c r="N309" s="59">
        <f>L309-F309</f>
        <v>12.611722994262891</v>
      </c>
      <c r="O309" s="30">
        <v>15950.48</v>
      </c>
      <c r="P309" s="147">
        <f t="shared" si="77"/>
        <v>0.3265274775429956</v>
      </c>
      <c r="Q309" s="33">
        <v>5208.2700000000004</v>
      </c>
      <c r="R309" s="156">
        <f>IF(O309=0,0,(J309-O309)/O309)</f>
        <v>-4.2289009484354004E-2</v>
      </c>
      <c r="S309" s="85">
        <f>L309-Q309</f>
        <v>-242.01000000000022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73"/>
        <v>PiècesSous-total Pièces et Acc.</v>
      </c>
      <c r="B310" s="11" t="s">
        <v>98</v>
      </c>
      <c r="C310" s="53" t="s">
        <v>111</v>
      </c>
      <c r="D310" s="194">
        <f>D305+D308+D309</f>
        <v>345468.81307993276</v>
      </c>
      <c r="E310" s="212">
        <f>IF(D310&lt;=0,0,F310/D310)</f>
        <v>0.30963855847640404</v>
      </c>
      <c r="F310" s="196">
        <f>F305+F308+F309</f>
        <v>106970.46528062466</v>
      </c>
      <c r="G310" s="197"/>
      <c r="H310" s="212"/>
      <c r="I310" s="196"/>
      <c r="J310" s="197">
        <f>J305+J308+J309</f>
        <v>363917.83</v>
      </c>
      <c r="K310" s="212">
        <f>IF(J310&lt;=0,0,L310/J310)</f>
        <v>0.29317239004200485</v>
      </c>
      <c r="L310" s="196">
        <f>L305+L308+L309</f>
        <v>106690.66000000002</v>
      </c>
      <c r="M310" s="213">
        <f>(+J310-D310)/D310</f>
        <v>5.3402843387193435E-2</v>
      </c>
      <c r="N310" s="196">
        <f>L310-F310</f>
        <v>-279.80528062464145</v>
      </c>
      <c r="O310" s="197">
        <f>O305+O308+O309</f>
        <v>295132.09999999998</v>
      </c>
      <c r="P310" s="212">
        <f>IF(O310&lt;=0,0,Q310/O310)</f>
        <v>0.30860065712946816</v>
      </c>
      <c r="Q310" s="196">
        <f t="shared" ref="Q310" si="78">Q305+Q308+Q309</f>
        <v>91077.959999999905</v>
      </c>
      <c r="R310" s="213">
        <f>IF(O310=0,0,(J310-O310)/O310)</f>
        <v>0.23306759922082365</v>
      </c>
      <c r="S310" s="198">
        <f>L310-Q310</f>
        <v>15612.700000000114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73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-2.6157246291357585E-3</v>
      </c>
      <c r="O311" s="41"/>
      <c r="P311" s="13"/>
      <c r="Q311" s="40"/>
      <c r="R311" s="41"/>
      <c r="S311" s="44">
        <f>IF(Q310=0,0,S310/Q310)</f>
        <v>0.17142127469697532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73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73"/>
        <v>PiècesAutostock</v>
      </c>
      <c r="B313" s="11" t="s">
        <v>98</v>
      </c>
      <c r="C313" s="86" t="s">
        <v>112</v>
      </c>
      <c r="D313" s="90">
        <v>0</v>
      </c>
      <c r="E313" s="216">
        <f>IF(D313=0,0,F313/D313)</f>
        <v>0</v>
      </c>
      <c r="F313" s="145">
        <v>0</v>
      </c>
      <c r="G313" s="171"/>
      <c r="H313" s="216"/>
      <c r="I313" s="145"/>
      <c r="J313" s="46">
        <v>0</v>
      </c>
      <c r="K313" s="217">
        <f>IF(J313&lt;=0,0,L313/J313)</f>
        <v>0</v>
      </c>
      <c r="L313" s="22">
        <v>0</v>
      </c>
      <c r="M313" s="217">
        <f>IF(F313=0,0,(+L313-F313)/F313)</f>
        <v>0</v>
      </c>
      <c r="N313" s="91">
        <f>L313-F313</f>
        <v>0</v>
      </c>
      <c r="O313" s="46">
        <v>0</v>
      </c>
      <c r="P313" s="217">
        <f>IF(O313=0,0,Q313/O313)</f>
        <v>0</v>
      </c>
      <c r="Q313" s="22"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73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73"/>
        <v>PiècesTotal Dépt. Pièces</v>
      </c>
      <c r="B315" s="11" t="s">
        <v>98</v>
      </c>
      <c r="C315" s="62" t="s">
        <v>113</v>
      </c>
      <c r="D315" s="63">
        <f>D310+D313</f>
        <v>345468.81307993276</v>
      </c>
      <c r="E315" s="218">
        <f>IF(D315&lt;=0,0,F315/D315)</f>
        <v>0.30963855847640404</v>
      </c>
      <c r="F315" s="65">
        <f>F310+F313</f>
        <v>106970.46528062466</v>
      </c>
      <c r="G315" s="66"/>
      <c r="H315" s="218"/>
      <c r="I315" s="65"/>
      <c r="J315" s="66">
        <f>J310+J313</f>
        <v>363917.83</v>
      </c>
      <c r="K315" s="218">
        <f>IF(J315&lt;=0,0,L315/J315)</f>
        <v>0.29317239004200485</v>
      </c>
      <c r="L315" s="65">
        <f>L310+L313</f>
        <v>106690.66000000002</v>
      </c>
      <c r="M315" s="219">
        <f>(+J315-D315)/D315</f>
        <v>5.3402843387193435E-2</v>
      </c>
      <c r="N315" s="220">
        <f>L315-F315</f>
        <v>-279.80528062464145</v>
      </c>
      <c r="O315" s="66">
        <f>O310+O313</f>
        <v>295132.09999999998</v>
      </c>
      <c r="P315" s="218">
        <f>IF(O315&lt;=0,0,Q315/O315)</f>
        <v>0.30860065712946816</v>
      </c>
      <c r="Q315" s="65">
        <f t="shared" ref="Q315" si="79">Q310+Q313</f>
        <v>91077.959999999905</v>
      </c>
      <c r="R315" s="219">
        <f>IF(O315=0,0,(J315-O315)/O315)</f>
        <v>0.23306759922082365</v>
      </c>
      <c r="S315" s="221">
        <f>L315-Q315</f>
        <v>15612.700000000114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73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-2.6157246291357585E-3</v>
      </c>
      <c r="O316" s="226"/>
      <c r="P316" s="224"/>
      <c r="Q316" s="225"/>
      <c r="R316" s="227"/>
      <c r="S316" s="75">
        <f>IF(Q315=0,0,S315/Q315)</f>
        <v>0.17142127469697532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73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73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73"/>
        <v>PiècesSalaires cadres</v>
      </c>
      <c r="B319" s="11" t="s">
        <v>98</v>
      </c>
      <c r="C319" s="102" t="s">
        <v>40</v>
      </c>
      <c r="D319" s="13"/>
      <c r="E319" s="13"/>
      <c r="F319" s="30">
        <v>4367.6436781609191</v>
      </c>
      <c r="G319" s="41"/>
      <c r="H319" s="13"/>
      <c r="I319" s="30"/>
      <c r="J319" s="41"/>
      <c r="K319" s="13"/>
      <c r="L319" s="33">
        <v>572.84</v>
      </c>
      <c r="M319" s="41"/>
      <c r="N319" s="59">
        <f t="shared" ref="N319:N349" si="80">L319-F319</f>
        <v>-3794.8036781609189</v>
      </c>
      <c r="O319" s="41"/>
      <c r="P319" s="13"/>
      <c r="Q319" s="33">
        <v>4246.05</v>
      </c>
      <c r="R319" s="41"/>
      <c r="S319" s="85">
        <f t="shared" ref="S319:S344" si="81">L319-Q319</f>
        <v>-3673.21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73"/>
        <v>PiècesSalaires commis</v>
      </c>
      <c r="B320" s="11" t="s">
        <v>98</v>
      </c>
      <c r="C320" s="103" t="s">
        <v>41</v>
      </c>
      <c r="D320" s="81"/>
      <c r="E320" s="13"/>
      <c r="F320" s="22">
        <v>2312.9501379310345</v>
      </c>
      <c r="G320" s="83"/>
      <c r="H320" s="13"/>
      <c r="I320" s="22"/>
      <c r="J320" s="41"/>
      <c r="K320" s="13"/>
      <c r="L320" s="33">
        <v>1640.21</v>
      </c>
      <c r="M320" s="41"/>
      <c r="N320" s="59">
        <f t="shared" si="80"/>
        <v>-672.7401379310345</v>
      </c>
      <c r="O320" s="41"/>
      <c r="P320" s="13"/>
      <c r="Q320" s="33">
        <v>2530.29</v>
      </c>
      <c r="R320" s="41"/>
      <c r="S320" s="85">
        <f t="shared" si="81"/>
        <v>-890.07999999999993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73"/>
        <v>PiècesSalaires autres</v>
      </c>
      <c r="B321" s="11" t="s">
        <v>98</v>
      </c>
      <c r="C321" s="102" t="s">
        <v>42</v>
      </c>
      <c r="D321" s="104"/>
      <c r="E321" s="105"/>
      <c r="F321" s="30">
        <v>18163.583483204085</v>
      </c>
      <c r="G321" s="106"/>
      <c r="H321" s="105"/>
      <c r="I321" s="30"/>
      <c r="J321" s="107"/>
      <c r="K321" s="105"/>
      <c r="L321" s="108">
        <v>17367.41</v>
      </c>
      <c r="M321" s="107"/>
      <c r="N321" s="109">
        <f t="shared" si="80"/>
        <v>-796.17348320408564</v>
      </c>
      <c r="O321" s="107"/>
      <c r="P321" s="105"/>
      <c r="Q321" s="108">
        <v>12794.72</v>
      </c>
      <c r="R321" s="107"/>
      <c r="S321" s="110">
        <f t="shared" si="81"/>
        <v>4572.6900000000005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73"/>
        <v>PiècesSalaires spécialistes</v>
      </c>
      <c r="B322" s="11" t="s">
        <v>98</v>
      </c>
      <c r="C322" s="102" t="s">
        <v>43</v>
      </c>
      <c r="D322" s="81"/>
      <c r="E322" s="13"/>
      <c r="F322" s="30">
        <v>0</v>
      </c>
      <c r="G322" s="83"/>
      <c r="H322" s="13"/>
      <c r="I322" s="30"/>
      <c r="J322" s="41"/>
      <c r="K322" s="13"/>
      <c r="L322" s="33">
        <v>0</v>
      </c>
      <c r="M322" s="41"/>
      <c r="N322" s="59">
        <f t="shared" si="80"/>
        <v>0</v>
      </c>
      <c r="O322" s="41"/>
      <c r="P322" s="13"/>
      <c r="Q322" s="33">
        <v>0</v>
      </c>
      <c r="R322" s="41"/>
      <c r="S322" s="85">
        <f t="shared" si="81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>+B323&amp;C323</f>
        <v>Pièces[...]</v>
      </c>
      <c r="B323" s="11" t="s">
        <v>98</v>
      </c>
      <c r="C323" s="228" t="s">
        <v>19</v>
      </c>
      <c r="D323" s="81"/>
      <c r="E323" s="13"/>
      <c r="F323" s="30">
        <v>0</v>
      </c>
      <c r="G323" s="83"/>
      <c r="H323" s="13"/>
      <c r="I323" s="30"/>
      <c r="J323" s="41"/>
      <c r="K323" s="13"/>
      <c r="L323" s="33">
        <v>0</v>
      </c>
      <c r="M323" s="41"/>
      <c r="N323" s="59">
        <f t="shared" si="80"/>
        <v>0</v>
      </c>
      <c r="O323" s="41"/>
      <c r="P323" s="13"/>
      <c r="Q323" s="33"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>+B324&amp;C324</f>
        <v>Pièces[...]</v>
      </c>
      <c r="B324" s="11" t="s">
        <v>98</v>
      </c>
      <c r="C324" s="228" t="s">
        <v>19</v>
      </c>
      <c r="D324" s="81"/>
      <c r="E324" s="13"/>
      <c r="F324" s="30">
        <v>0</v>
      </c>
      <c r="G324" s="83"/>
      <c r="H324" s="13"/>
      <c r="I324" s="30"/>
      <c r="J324" s="41"/>
      <c r="K324" s="13"/>
      <c r="L324" s="33">
        <v>0</v>
      </c>
      <c r="M324" s="41"/>
      <c r="N324" s="59">
        <f t="shared" si="80"/>
        <v>0</v>
      </c>
      <c r="O324" s="41"/>
      <c r="P324" s="13"/>
      <c r="Q324" s="33"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>+B325&amp;C325</f>
        <v>Pièces[...]</v>
      </c>
      <c r="B325" s="11" t="s">
        <v>98</v>
      </c>
      <c r="C325" s="228" t="s">
        <v>19</v>
      </c>
      <c r="D325" s="81"/>
      <c r="E325" s="13"/>
      <c r="F325" s="30">
        <v>0</v>
      </c>
      <c r="G325" s="83"/>
      <c r="H325" s="13"/>
      <c r="I325" s="30"/>
      <c r="J325" s="41"/>
      <c r="K325" s="13"/>
      <c r="L325" s="33">
        <v>0</v>
      </c>
      <c r="M325" s="41"/>
      <c r="N325" s="59">
        <f t="shared" si="80"/>
        <v>0</v>
      </c>
      <c r="O325" s="41"/>
      <c r="P325" s="13"/>
      <c r="Q325" s="33"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ref="A326:A375" si="82">+B326&amp;C326</f>
        <v>PiècesSalaires en absences</v>
      </c>
      <c r="B326" s="11" t="s">
        <v>98</v>
      </c>
      <c r="C326" s="103" t="s">
        <v>44</v>
      </c>
      <c r="D326" s="81"/>
      <c r="E326" s="13"/>
      <c r="F326" s="22">
        <v>2725.0794509052794</v>
      </c>
      <c r="G326" s="83"/>
      <c r="H326" s="13"/>
      <c r="I326" s="22"/>
      <c r="J326" s="41"/>
      <c r="K326" s="13"/>
      <c r="L326" s="33">
        <v>2594.52</v>
      </c>
      <c r="M326" s="41"/>
      <c r="N326" s="59">
        <f t="shared" si="80"/>
        <v>-130.55945090527939</v>
      </c>
      <c r="O326" s="41"/>
      <c r="P326" s="13"/>
      <c r="Q326" s="33">
        <v>3128.05</v>
      </c>
      <c r="R326" s="41"/>
      <c r="S326" s="85">
        <f t="shared" ref="S326:S351" si="83">L326-Q326</f>
        <v>-533.5300000000002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82"/>
        <v>PiècesDéduction à la source</v>
      </c>
      <c r="B327" s="11" t="s">
        <v>98</v>
      </c>
      <c r="C327" s="102" t="s">
        <v>45</v>
      </c>
      <c r="D327" s="104"/>
      <c r="E327" s="105"/>
      <c r="F327" s="30">
        <v>3511.7003233315454</v>
      </c>
      <c r="G327" s="106"/>
      <c r="H327" s="105"/>
      <c r="I327" s="30"/>
      <c r="J327" s="107"/>
      <c r="K327" s="105"/>
      <c r="L327" s="108">
        <v>3082.03</v>
      </c>
      <c r="M327" s="107"/>
      <c r="N327" s="109">
        <f t="shared" si="80"/>
        <v>-429.67032333154521</v>
      </c>
      <c r="O327" s="107"/>
      <c r="P327" s="105"/>
      <c r="Q327" s="108">
        <v>4141.62</v>
      </c>
      <c r="R327" s="107"/>
      <c r="S327" s="110">
        <f t="shared" si="83"/>
        <v>-1059.5899999999997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82"/>
        <v>PiècesBénéfices marginaux</v>
      </c>
      <c r="B328" s="11" t="s">
        <v>98</v>
      </c>
      <c r="C328" s="102" t="s">
        <v>46</v>
      </c>
      <c r="D328" s="81"/>
      <c r="E328" s="13"/>
      <c r="F328" s="30">
        <v>2753.1730534919316</v>
      </c>
      <c r="G328" s="83"/>
      <c r="H328" s="13"/>
      <c r="I328" s="30"/>
      <c r="J328" s="41"/>
      <c r="K328" s="13"/>
      <c r="L328" s="33">
        <v>2505.69</v>
      </c>
      <c r="M328" s="41"/>
      <c r="N328" s="59">
        <f t="shared" si="80"/>
        <v>-247.48305349193151</v>
      </c>
      <c r="O328" s="41"/>
      <c r="P328" s="13"/>
      <c r="Q328" s="33">
        <v>2433.58</v>
      </c>
      <c r="R328" s="41"/>
      <c r="S328" s="85">
        <f t="shared" si="83"/>
        <v>72.110000000000127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82"/>
        <v>PiècesCsst</v>
      </c>
      <c r="B329" s="11" t="s">
        <v>98</v>
      </c>
      <c r="C329" s="102" t="s">
        <v>47</v>
      </c>
      <c r="D329" s="81"/>
      <c r="E329" s="13"/>
      <c r="F329" s="30">
        <v>688.29326337298289</v>
      </c>
      <c r="G329" s="83"/>
      <c r="H329" s="13"/>
      <c r="I329" s="30"/>
      <c r="J329" s="41"/>
      <c r="K329" s="13"/>
      <c r="L329" s="33">
        <v>301.63</v>
      </c>
      <c r="M329" s="462"/>
      <c r="N329" s="145">
        <f t="shared" si="80"/>
        <v>-386.6632633729829</v>
      </c>
      <c r="O329" s="41"/>
      <c r="P329" s="13"/>
      <c r="Q329" s="33">
        <v>529.39</v>
      </c>
      <c r="R329" s="41"/>
      <c r="S329" s="85">
        <f t="shared" si="83"/>
        <v>-227.76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82"/>
        <v>Pièces[...]</v>
      </c>
      <c r="B330" s="11" t="s">
        <v>98</v>
      </c>
      <c r="C330" s="29" t="s">
        <v>19</v>
      </c>
      <c r="D330" s="87"/>
      <c r="E330" s="111"/>
      <c r="F330" s="30">
        <v>0</v>
      </c>
      <c r="G330" s="89"/>
      <c r="H330" s="111"/>
      <c r="I330" s="30"/>
      <c r="J330" s="23"/>
      <c r="K330" s="111"/>
      <c r="L330" s="33">
        <v>0</v>
      </c>
      <c r="M330" s="23"/>
      <c r="N330" s="91">
        <f t="shared" si="80"/>
        <v>0</v>
      </c>
      <c r="O330" s="23"/>
      <c r="P330" s="111"/>
      <c r="Q330" s="33">
        <v>0</v>
      </c>
      <c r="R330" s="23"/>
      <c r="S330" s="92">
        <f t="shared" si="83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82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0.32272855222076657</v>
      </c>
      <c r="F331" s="96">
        <f>+SUM(F319:F330)</f>
        <v>34522.423390397773</v>
      </c>
      <c r="G331" s="97"/>
      <c r="H331" s="95"/>
      <c r="I331" s="96"/>
      <c r="J331" s="97" t="s">
        <v>38</v>
      </c>
      <c r="K331" s="95">
        <f>L331/L$315</f>
        <v>0.26304392530705117</v>
      </c>
      <c r="L331" s="96">
        <f>+SUM(L319:L330)</f>
        <v>28064.329999999998</v>
      </c>
      <c r="M331" s="146"/>
      <c r="N331" s="113">
        <f t="shared" si="80"/>
        <v>-6458.0933903977748</v>
      </c>
      <c r="O331" s="97" t="s">
        <v>38</v>
      </c>
      <c r="P331" s="95">
        <f>Q331/Q$315</f>
        <v>0.32723284535578123</v>
      </c>
      <c r="Q331" s="96">
        <f>+SUM(Q319:Q330)</f>
        <v>29803.699999999997</v>
      </c>
      <c r="R331" s="146"/>
      <c r="S331" s="114">
        <f t="shared" si="83"/>
        <v>-1739.369999999999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82"/>
        <v>PiècesPublicité 2</v>
      </c>
      <c r="B332" s="11" t="s">
        <v>98</v>
      </c>
      <c r="C332" s="210" t="s">
        <v>49</v>
      </c>
      <c r="D332" s="81"/>
      <c r="E332" s="13"/>
      <c r="F332" s="30">
        <v>952.50629272378114</v>
      </c>
      <c r="G332" s="83"/>
      <c r="H332" s="13"/>
      <c r="I332" s="30"/>
      <c r="J332" s="41"/>
      <c r="K332" s="13"/>
      <c r="L332" s="33">
        <v>962.37</v>
      </c>
      <c r="M332" s="41"/>
      <c r="N332" s="59">
        <f t="shared" si="80"/>
        <v>9.8637072762188609</v>
      </c>
      <c r="O332" s="41"/>
      <c r="P332" s="13"/>
      <c r="Q332" s="33">
        <v>2654.79</v>
      </c>
      <c r="R332" s="41"/>
      <c r="S332" s="85">
        <f t="shared" si="83"/>
        <v>-1692.42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82"/>
        <v>PiècesService gratuit 2</v>
      </c>
      <c r="B333" s="11" t="s">
        <v>98</v>
      </c>
      <c r="C333" s="102" t="s">
        <v>50</v>
      </c>
      <c r="D333" s="81"/>
      <c r="E333" s="13"/>
      <c r="F333" s="30">
        <v>625</v>
      </c>
      <c r="G333" s="83"/>
      <c r="H333" s="13"/>
      <c r="I333" s="30"/>
      <c r="J333" s="41"/>
      <c r="K333" s="13"/>
      <c r="L333" s="30">
        <v>479.24</v>
      </c>
      <c r="M333" s="41"/>
      <c r="N333" s="59">
        <f t="shared" si="80"/>
        <v>-145.76</v>
      </c>
      <c r="O333" s="41"/>
      <c r="P333" s="13"/>
      <c r="Q333" s="33">
        <v>631.47</v>
      </c>
      <c r="R333" s="41"/>
      <c r="S333" s="85">
        <f t="shared" si="83"/>
        <v>-152.23000000000002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82"/>
        <v>PiècesFrais véhicules de cie</v>
      </c>
      <c r="B334" s="11" t="s">
        <v>98</v>
      </c>
      <c r="C334" s="103" t="s">
        <v>51</v>
      </c>
      <c r="D334" s="87"/>
      <c r="E334" s="111"/>
      <c r="F334" s="22">
        <v>4823.666666666667</v>
      </c>
      <c r="G334" s="89"/>
      <c r="H334" s="111"/>
      <c r="I334" s="22"/>
      <c r="J334" s="23"/>
      <c r="K334" s="111"/>
      <c r="L334" s="22">
        <v>4762.24</v>
      </c>
      <c r="M334" s="23"/>
      <c r="N334" s="91">
        <f t="shared" si="80"/>
        <v>-61.426666666667188</v>
      </c>
      <c r="O334" s="23"/>
      <c r="P334" s="111"/>
      <c r="Q334" s="33">
        <v>5573.98</v>
      </c>
      <c r="R334" s="23"/>
      <c r="S334" s="92">
        <f t="shared" si="83"/>
        <v>-811.73999999999978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82"/>
        <v>PiècesInformatique</v>
      </c>
      <c r="B335" s="11" t="s">
        <v>98</v>
      </c>
      <c r="C335" s="102" t="s">
        <v>52</v>
      </c>
      <c r="D335" s="81"/>
      <c r="E335" s="13"/>
      <c r="F335" s="30">
        <v>2651.4753333333338</v>
      </c>
      <c r="G335" s="83"/>
      <c r="H335" s="13"/>
      <c r="I335" s="30"/>
      <c r="J335" s="41"/>
      <c r="K335" s="13"/>
      <c r="L335" s="108">
        <v>2667.26</v>
      </c>
      <c r="M335" s="41"/>
      <c r="N335" s="59">
        <f t="shared" si="80"/>
        <v>15.784666666666453</v>
      </c>
      <c r="O335" s="41"/>
      <c r="P335" s="13"/>
      <c r="Q335" s="108">
        <v>1909.51</v>
      </c>
      <c r="R335" s="41"/>
      <c r="S335" s="85">
        <f t="shared" si="83"/>
        <v>757.75000000000023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82"/>
        <v>PiècesFrais de déplacement</v>
      </c>
      <c r="B336" s="11" t="s">
        <v>98</v>
      </c>
      <c r="C336" s="102" t="s">
        <v>53</v>
      </c>
      <c r="D336" s="81"/>
      <c r="E336" s="13"/>
      <c r="F336" s="30">
        <v>998.33333333333326</v>
      </c>
      <c r="G336" s="83"/>
      <c r="H336" s="13"/>
      <c r="I336" s="30"/>
      <c r="J336" s="41"/>
      <c r="K336" s="13"/>
      <c r="L336" s="33">
        <v>1830.66</v>
      </c>
      <c r="M336" s="41"/>
      <c r="N336" s="59">
        <f t="shared" si="80"/>
        <v>832.32666666666682</v>
      </c>
      <c r="O336" s="41"/>
      <c r="P336" s="13"/>
      <c r="Q336" s="33">
        <v>234.69</v>
      </c>
      <c r="R336" s="41"/>
      <c r="S336" s="85">
        <f t="shared" si="83"/>
        <v>1595.97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82"/>
        <v>PiècesServices extérieurs</v>
      </c>
      <c r="B337" s="11" t="s">
        <v>98</v>
      </c>
      <c r="C337" s="229" t="s">
        <v>54</v>
      </c>
      <c r="D337" s="87"/>
      <c r="E337" s="111"/>
      <c r="F337" s="22">
        <v>1318.576</v>
      </c>
      <c r="G337" s="89"/>
      <c r="H337" s="111"/>
      <c r="I337" s="22"/>
      <c r="J337" s="23"/>
      <c r="K337" s="111"/>
      <c r="L337" s="48">
        <v>1143.02</v>
      </c>
      <c r="M337" s="23"/>
      <c r="N337" s="91">
        <f t="shared" si="80"/>
        <v>-175.55600000000004</v>
      </c>
      <c r="O337" s="23"/>
      <c r="P337" s="111"/>
      <c r="Q337" s="48">
        <v>1906.32</v>
      </c>
      <c r="R337" s="23"/>
      <c r="S337" s="92">
        <f t="shared" si="83"/>
        <v>-763.3</v>
      </c>
      <c r="T337" s="13"/>
      <c r="U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>+B338&amp;C338</f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v>0</v>
      </c>
      <c r="M338" s="41"/>
      <c r="N338" s="59">
        <f t="shared" si="80"/>
        <v>0</v>
      </c>
      <c r="O338" s="41"/>
      <c r="P338" s="13"/>
      <c r="Q338" s="33"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ref="A339:A388" si="84">+B339&amp;C339</f>
        <v>PiècesFournitures autres</v>
      </c>
      <c r="B339" s="11" t="s">
        <v>98</v>
      </c>
      <c r="C339" s="102" t="s">
        <v>55</v>
      </c>
      <c r="D339" s="81"/>
      <c r="E339" s="13"/>
      <c r="F339" s="30">
        <v>15</v>
      </c>
      <c r="G339" s="83"/>
      <c r="H339" s="13"/>
      <c r="I339" s="30"/>
      <c r="J339" s="41"/>
      <c r="K339" s="13"/>
      <c r="L339" s="33">
        <v>28.4</v>
      </c>
      <c r="M339" s="41"/>
      <c r="N339" s="59">
        <f t="shared" si="80"/>
        <v>13.399999999999999</v>
      </c>
      <c r="O339" s="41"/>
      <c r="P339" s="13"/>
      <c r="Q339" s="33">
        <v>32.549999999999997</v>
      </c>
      <c r="R339" s="41"/>
      <c r="S339" s="85">
        <f t="shared" ref="S339:S364" si="85">L339-Q339</f>
        <v>-4.1499999999999986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84"/>
        <v>PiècesUniformes</v>
      </c>
      <c r="B340" s="11" t="s">
        <v>98</v>
      </c>
      <c r="C340" s="102" t="s">
        <v>56</v>
      </c>
      <c r="D340" s="81"/>
      <c r="E340" s="13"/>
      <c r="F340" s="30">
        <v>37.5</v>
      </c>
      <c r="G340" s="83"/>
      <c r="H340" s="13"/>
      <c r="I340" s="30"/>
      <c r="J340" s="41"/>
      <c r="K340" s="13"/>
      <c r="L340" s="33">
        <v>0</v>
      </c>
      <c r="M340" s="41"/>
      <c r="N340" s="59">
        <f t="shared" si="80"/>
        <v>-37.5</v>
      </c>
      <c r="O340" s="41"/>
      <c r="P340" s="13"/>
      <c r="Q340" s="33">
        <v>0</v>
      </c>
      <c r="R340" s="41"/>
      <c r="S340" s="85">
        <f t="shared" si="85"/>
        <v>0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84"/>
        <v>PiècesPapeterie</v>
      </c>
      <c r="B341" s="11" t="s">
        <v>98</v>
      </c>
      <c r="C341" s="102" t="s">
        <v>57</v>
      </c>
      <c r="D341" s="81"/>
      <c r="E341" s="13"/>
      <c r="F341" s="30">
        <v>290</v>
      </c>
      <c r="G341" s="83"/>
      <c r="H341" s="13"/>
      <c r="I341" s="30"/>
      <c r="J341" s="41"/>
      <c r="K341" s="13"/>
      <c r="L341" s="32">
        <v>165.4</v>
      </c>
      <c r="M341" s="41"/>
      <c r="N341" s="59">
        <f t="shared" si="80"/>
        <v>-124.6</v>
      </c>
      <c r="O341" s="41"/>
      <c r="P341" s="13"/>
      <c r="Q341" s="32">
        <v>290.27999999999997</v>
      </c>
      <c r="R341" s="41"/>
      <c r="S341" s="85">
        <f t="shared" si="85"/>
        <v>-124.87999999999997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84"/>
        <v>PiècesTéléphone</v>
      </c>
      <c r="B342" s="11" t="s">
        <v>98</v>
      </c>
      <c r="C342" s="102" t="s">
        <v>58</v>
      </c>
      <c r="D342" s="81"/>
      <c r="E342" s="13"/>
      <c r="F342" s="30">
        <v>113.8</v>
      </c>
      <c r="G342" s="83"/>
      <c r="H342" s="13"/>
      <c r="I342" s="30"/>
      <c r="J342" s="41"/>
      <c r="K342" s="13"/>
      <c r="L342" s="33">
        <v>104.26</v>
      </c>
      <c r="M342" s="41"/>
      <c r="N342" s="59">
        <f t="shared" si="80"/>
        <v>-9.539999999999992</v>
      </c>
      <c r="O342" s="41"/>
      <c r="P342" s="13"/>
      <c r="Q342" s="33">
        <v>117.28</v>
      </c>
      <c r="R342" s="41"/>
      <c r="S342" s="85">
        <f t="shared" si="85"/>
        <v>-13.019999999999996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84"/>
        <v>PiècesFrais postaux</v>
      </c>
      <c r="B343" s="11" t="s">
        <v>98</v>
      </c>
      <c r="C343" s="102" t="s">
        <v>59</v>
      </c>
      <c r="D343" s="81"/>
      <c r="E343" s="13"/>
      <c r="F343" s="30">
        <v>2371.666666666667</v>
      </c>
      <c r="G343" s="83"/>
      <c r="H343" s="13"/>
      <c r="I343" s="30"/>
      <c r="J343" s="41"/>
      <c r="K343" s="13"/>
      <c r="L343" s="33">
        <v>476.78</v>
      </c>
      <c r="M343" s="41"/>
      <c r="N343" s="59">
        <f t="shared" si="80"/>
        <v>-1894.886666666667</v>
      </c>
      <c r="O343" s="41"/>
      <c r="P343" s="13"/>
      <c r="Q343" s="33">
        <v>1895.16</v>
      </c>
      <c r="R343" s="41"/>
      <c r="S343" s="85">
        <f t="shared" si="85"/>
        <v>-1418.38</v>
      </c>
      <c r="T343" s="13"/>
      <c r="U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84"/>
        <v>PiècesDivers</v>
      </c>
      <c r="B344" s="11" t="s">
        <v>98</v>
      </c>
      <c r="C344" s="102" t="s">
        <v>60</v>
      </c>
      <c r="D344" s="81"/>
      <c r="E344" s="13"/>
      <c r="F344" s="30">
        <v>305.33333333333331</v>
      </c>
      <c r="G344" s="83"/>
      <c r="H344" s="13"/>
      <c r="I344" s="30"/>
      <c r="J344" s="41"/>
      <c r="K344" s="13"/>
      <c r="L344" s="33">
        <v>270.69</v>
      </c>
      <c r="M344" s="41"/>
      <c r="N344" s="59">
        <f t="shared" si="80"/>
        <v>-34.643333333333317</v>
      </c>
      <c r="O344" s="41"/>
      <c r="P344" s="13"/>
      <c r="Q344" s="33">
        <v>675.71</v>
      </c>
      <c r="R344" s="41"/>
      <c r="S344" s="85">
        <f t="shared" si="85"/>
        <v>-405.02000000000004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>+B345&amp;C345</f>
        <v>PiècesFormation</v>
      </c>
      <c r="B345" s="11" t="s">
        <v>98</v>
      </c>
      <c r="C345" s="102" t="s">
        <v>61</v>
      </c>
      <c r="D345" s="81"/>
      <c r="E345" s="13"/>
      <c r="F345" s="30">
        <v>152.46400000000006</v>
      </c>
      <c r="G345" s="83"/>
      <c r="H345" s="13"/>
      <c r="I345" s="30"/>
      <c r="J345" s="41"/>
      <c r="K345" s="13"/>
      <c r="L345" s="59">
        <v>118.79</v>
      </c>
      <c r="M345" s="41"/>
      <c r="N345" s="59">
        <f t="shared" si="80"/>
        <v>-33.674000000000049</v>
      </c>
      <c r="O345" s="41"/>
      <c r="P345" s="13"/>
      <c r="Q345" s="33">
        <v>174.04</v>
      </c>
      <c r="R345" s="41"/>
      <c r="S345" s="85">
        <f>L345-Q345</f>
        <v>-55.249999999999986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>+B346&amp;C346</f>
        <v>PiècesFrais bancaires</v>
      </c>
      <c r="B346" s="11" t="s">
        <v>98</v>
      </c>
      <c r="C346" s="102" t="s">
        <v>62</v>
      </c>
      <c r="D346" s="81"/>
      <c r="E346" s="13"/>
      <c r="F346" s="30">
        <v>1612.0572123072227</v>
      </c>
      <c r="G346" s="83"/>
      <c r="H346" s="13"/>
      <c r="I346" s="30"/>
      <c r="J346" s="41"/>
      <c r="K346" s="13"/>
      <c r="L346" s="32">
        <v>1248.47</v>
      </c>
      <c r="M346" s="41"/>
      <c r="N346" s="59">
        <f t="shared" si="80"/>
        <v>-363.58721230722267</v>
      </c>
      <c r="O346" s="41"/>
      <c r="P346" s="13"/>
      <c r="Q346" s="33">
        <v>1260.42</v>
      </c>
      <c r="R346" s="41"/>
      <c r="S346" s="85">
        <f>L346-Q346</f>
        <v>-11.950000000000045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>+B347&amp;C347</f>
        <v>Pièces[...]</v>
      </c>
      <c r="B347" s="11" t="s">
        <v>98</v>
      </c>
      <c r="C347" s="102" t="s">
        <v>19</v>
      </c>
      <c r="D347" s="81"/>
      <c r="E347" s="13"/>
      <c r="F347" s="30">
        <v>0</v>
      </c>
      <c r="G347" s="83"/>
      <c r="H347" s="13"/>
      <c r="I347" s="30"/>
      <c r="J347" s="41"/>
      <c r="K347" s="13"/>
      <c r="L347" s="33">
        <v>0</v>
      </c>
      <c r="M347" s="41"/>
      <c r="N347" s="59">
        <f t="shared" si="80"/>
        <v>0</v>
      </c>
      <c r="O347" s="41"/>
      <c r="P347" s="13"/>
      <c r="Q347" s="33"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>+B348&amp;C348</f>
        <v>Pièces[...]</v>
      </c>
      <c r="B348" s="11" t="s">
        <v>98</v>
      </c>
      <c r="C348" s="102" t="s">
        <v>19</v>
      </c>
      <c r="D348" s="81"/>
      <c r="E348" s="13"/>
      <c r="F348" s="30">
        <v>0</v>
      </c>
      <c r="G348" s="83"/>
      <c r="H348" s="13"/>
      <c r="I348" s="30"/>
      <c r="J348" s="41"/>
      <c r="K348" s="13"/>
      <c r="L348" s="33">
        <v>0</v>
      </c>
      <c r="M348" s="41"/>
      <c r="N348" s="59">
        <f t="shared" si="80"/>
        <v>0</v>
      </c>
      <c r="O348" s="41"/>
      <c r="P348" s="13"/>
      <c r="Q348" s="33"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>+B349&amp;C349</f>
        <v>Pièces[...]</v>
      </c>
      <c r="B349" s="11" t="s">
        <v>98</v>
      </c>
      <c r="C349" s="102" t="s">
        <v>19</v>
      </c>
      <c r="D349" s="81"/>
      <c r="E349" s="13"/>
      <c r="F349" s="30">
        <v>0</v>
      </c>
      <c r="G349" s="83"/>
      <c r="H349" s="13"/>
      <c r="I349" s="30"/>
      <c r="J349" s="41"/>
      <c r="K349" s="13"/>
      <c r="L349" s="33">
        <v>0</v>
      </c>
      <c r="M349" s="41"/>
      <c r="N349" s="59">
        <f t="shared" si="80"/>
        <v>0</v>
      </c>
      <c r="O349" s="41"/>
      <c r="P349" s="13"/>
      <c r="Q349" s="33"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0.15207355409447598</v>
      </c>
      <c r="F350" s="96">
        <f>+SUM(F332:F349)</f>
        <v>16267.378838364339</v>
      </c>
      <c r="G350" s="97"/>
      <c r="H350" s="95"/>
      <c r="I350" s="96"/>
      <c r="J350" s="97" t="s">
        <v>38</v>
      </c>
      <c r="K350" s="95">
        <f>L350/L$315</f>
        <v>0.13363475303273969</v>
      </c>
      <c r="L350" s="96">
        <f>+SUM(L332:L349)</f>
        <v>14257.580000000002</v>
      </c>
      <c r="M350" s="100"/>
      <c r="N350" s="96">
        <f>+SUM(N332:N349)</f>
        <v>-2009.7988383643383</v>
      </c>
      <c r="O350" s="97" t="s">
        <v>38</v>
      </c>
      <c r="P350" s="95">
        <f>Q350/Q$315</f>
        <v>0.19056421553578959</v>
      </c>
      <c r="Q350" s="96">
        <f>+SUM(Q332:Q349)</f>
        <v>17356.200000000004</v>
      </c>
      <c r="R350" s="100"/>
      <c r="S350" s="101">
        <f>+SUM(S332:S349)</f>
        <v>-3098.62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0.47480210631524256</v>
      </c>
      <c r="F352" s="96">
        <f>F331+F350</f>
        <v>50789.802228762113</v>
      </c>
      <c r="G352" s="97"/>
      <c r="H352" s="95"/>
      <c r="I352" s="96"/>
      <c r="J352" s="97" t="s">
        <v>38</v>
      </c>
      <c r="K352" s="95">
        <f>L352/L$315</f>
        <v>0.39667867833979092</v>
      </c>
      <c r="L352" s="96">
        <f>L331+L350</f>
        <v>42321.91</v>
      </c>
      <c r="M352" s="100"/>
      <c r="N352" s="113">
        <f>L352-F352</f>
        <v>-8467.8922287621099</v>
      </c>
      <c r="O352" s="97" t="s">
        <v>38</v>
      </c>
      <c r="P352" s="95">
        <f>Q352/Q$315</f>
        <v>0.51779706089157085</v>
      </c>
      <c r="Q352" s="96">
        <f>Q331+Q350</f>
        <v>47159.9</v>
      </c>
      <c r="R352" s="100"/>
      <c r="S352" s="114">
        <f>L352-Q352</f>
        <v>-4837.989999999998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56180.663051862546</v>
      </c>
      <c r="G354" s="152"/>
      <c r="H354" s="125"/>
      <c r="I354" s="127"/>
      <c r="J354" s="153"/>
      <c r="K354" s="126"/>
      <c r="L354" s="127">
        <f>L315-L352</f>
        <v>64368.750000000015</v>
      </c>
      <c r="M354" s="153"/>
      <c r="N354" s="127">
        <f>L354-F354</f>
        <v>8188.0869481374684</v>
      </c>
      <c r="O354" s="153"/>
      <c r="P354" s="126"/>
      <c r="Q354" s="127">
        <f>Q315-Q352</f>
        <v>43918.059999999903</v>
      </c>
      <c r="R354" s="153"/>
      <c r="S354" s="129">
        <f>L354-Q354</f>
        <v>20450.690000000111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Août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05" t="s">
        <v>5</v>
      </c>
      <c r="E359" s="506"/>
      <c r="F359" s="507"/>
      <c r="G359" s="508"/>
      <c r="H359" s="506"/>
      <c r="I359" s="507"/>
      <c r="J359" s="508" t="s">
        <v>7</v>
      </c>
      <c r="K359" s="506"/>
      <c r="L359" s="507"/>
      <c r="M359" s="508"/>
      <c r="N359" s="507"/>
      <c r="O359" s="505" t="s">
        <v>8</v>
      </c>
      <c r="P359" s="506"/>
      <c r="Q359" s="507"/>
      <c r="R359" s="508" t="s">
        <v>9</v>
      </c>
      <c r="S359" s="509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86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86"/>
        <v>BoutiqueBoutique</v>
      </c>
      <c r="B361" s="11" t="s">
        <v>114</v>
      </c>
      <c r="C361" s="62" t="s">
        <v>114</v>
      </c>
      <c r="D361" s="233">
        <v>0</v>
      </c>
      <c r="E361" s="234">
        <f>IFERROR(F361/D361,0)</f>
        <v>0</v>
      </c>
      <c r="F361" s="235">
        <v>0</v>
      </c>
      <c r="G361" s="233"/>
      <c r="H361" s="234"/>
      <c r="I361" s="233"/>
      <c r="J361" s="236">
        <v>0</v>
      </c>
      <c r="K361" s="218">
        <f>IF(J361&lt;=0,0,L361/J361)</f>
        <v>0</v>
      </c>
      <c r="L361" s="237">
        <v>0</v>
      </c>
      <c r="M361" s="219"/>
      <c r="N361" s="220"/>
      <c r="O361" s="236">
        <v>0</v>
      </c>
      <c r="P361" s="218">
        <f>IFERROR(Q361/O361,0)</f>
        <v>0</v>
      </c>
      <c r="Q361" s="237"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86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86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 t="shared" ref="Q363" si="87"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86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86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86"/>
        <v>BoutiqueSalaires cadres</v>
      </c>
      <c r="B366" s="11" t="s">
        <v>114</v>
      </c>
      <c r="C366" s="102" t="s">
        <v>40</v>
      </c>
      <c r="D366" s="13"/>
      <c r="E366" s="13"/>
      <c r="F366" s="30">
        <v>0</v>
      </c>
      <c r="G366" s="41"/>
      <c r="H366" s="13"/>
      <c r="I366" s="30"/>
      <c r="J366" s="41"/>
      <c r="K366" s="13"/>
      <c r="L366" s="33">
        <v>0</v>
      </c>
      <c r="M366" s="41"/>
      <c r="N366" s="40"/>
      <c r="O366" s="41"/>
      <c r="P366" s="13"/>
      <c r="Q366" s="33"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86"/>
        <v>BoutiqueSalaires commis</v>
      </c>
      <c r="B367" s="11" t="s">
        <v>114</v>
      </c>
      <c r="C367" s="103" t="s">
        <v>41</v>
      </c>
      <c r="D367" s="81"/>
      <c r="E367" s="13"/>
      <c r="F367" s="22">
        <v>0</v>
      </c>
      <c r="G367" s="83"/>
      <c r="H367" s="13"/>
      <c r="I367" s="22"/>
      <c r="J367" s="41"/>
      <c r="K367" s="13"/>
      <c r="L367" s="22">
        <v>0</v>
      </c>
      <c r="M367" s="41"/>
      <c r="N367" s="59"/>
      <c r="O367" s="41"/>
      <c r="P367" s="13"/>
      <c r="Q367" s="22">
        <v>0</v>
      </c>
      <c r="R367" s="41"/>
      <c r="S367" s="85">
        <f t="shared" ref="S367:S395" si="88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86"/>
        <v>BoutiqueSalaires autres</v>
      </c>
      <c r="B368" s="11" t="s">
        <v>114</v>
      </c>
      <c r="C368" s="102" t="s">
        <v>42</v>
      </c>
      <c r="D368" s="104"/>
      <c r="E368" s="105"/>
      <c r="F368" s="30">
        <v>0</v>
      </c>
      <c r="G368" s="106"/>
      <c r="H368" s="105"/>
      <c r="I368" s="30"/>
      <c r="J368" s="107"/>
      <c r="K368" s="105"/>
      <c r="L368" s="33">
        <v>0</v>
      </c>
      <c r="M368" s="107"/>
      <c r="N368" s="109"/>
      <c r="O368" s="107"/>
      <c r="P368" s="105"/>
      <c r="Q368" s="33">
        <v>0</v>
      </c>
      <c r="R368" s="107"/>
      <c r="S368" s="110">
        <f t="shared" si="88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86"/>
        <v>BoutiqueSalaires spécialistes</v>
      </c>
      <c r="B369" s="11" t="s">
        <v>114</v>
      </c>
      <c r="C369" s="102" t="s">
        <v>43</v>
      </c>
      <c r="D369" s="81"/>
      <c r="E369" s="13"/>
      <c r="F369" s="30">
        <v>0</v>
      </c>
      <c r="G369" s="83"/>
      <c r="H369" s="13"/>
      <c r="I369" s="30"/>
      <c r="J369" s="41"/>
      <c r="K369" s="13"/>
      <c r="L369" s="33">
        <v>0</v>
      </c>
      <c r="M369" s="41"/>
      <c r="N369" s="59"/>
      <c r="O369" s="41"/>
      <c r="P369" s="13"/>
      <c r="Q369" s="33">
        <v>0</v>
      </c>
      <c r="R369" s="41"/>
      <c r="S369" s="85">
        <f t="shared" si="88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86"/>
        <v>Boutique[...]</v>
      </c>
      <c r="B370" s="11" t="s">
        <v>114</v>
      </c>
      <c r="C370" s="29" t="s">
        <v>19</v>
      </c>
      <c r="D370" s="81"/>
      <c r="E370" s="13"/>
      <c r="F370" s="30">
        <v>0</v>
      </c>
      <c r="G370" s="83"/>
      <c r="H370" s="13"/>
      <c r="I370" s="30"/>
      <c r="J370" s="41"/>
      <c r="K370" s="13"/>
      <c r="L370" s="33">
        <v>0</v>
      </c>
      <c r="M370" s="41"/>
      <c r="N370" s="59"/>
      <c r="O370" s="41"/>
      <c r="P370" s="13"/>
      <c r="Q370" s="33">
        <v>0</v>
      </c>
      <c r="R370" s="41"/>
      <c r="S370" s="85">
        <f t="shared" si="88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86"/>
        <v>Boutique[...]</v>
      </c>
      <c r="B371" s="11" t="s">
        <v>114</v>
      </c>
      <c r="C371" s="29" t="s">
        <v>19</v>
      </c>
      <c r="D371" s="81"/>
      <c r="E371" s="13"/>
      <c r="F371" s="30">
        <v>0</v>
      </c>
      <c r="G371" s="83"/>
      <c r="H371" s="13"/>
      <c r="I371" s="30"/>
      <c r="J371" s="41"/>
      <c r="K371" s="13"/>
      <c r="L371" s="33">
        <v>0</v>
      </c>
      <c r="M371" s="41"/>
      <c r="N371" s="59"/>
      <c r="O371" s="41"/>
      <c r="P371" s="13"/>
      <c r="Q371" s="33">
        <v>0</v>
      </c>
      <c r="R371" s="41"/>
      <c r="S371" s="85">
        <f t="shared" si="88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86"/>
        <v>Boutique[...]</v>
      </c>
      <c r="B372" s="11" t="s">
        <v>114</v>
      </c>
      <c r="C372" s="29" t="s">
        <v>19</v>
      </c>
      <c r="D372" s="81"/>
      <c r="E372" s="13"/>
      <c r="F372" s="30">
        <v>0</v>
      </c>
      <c r="G372" s="83"/>
      <c r="H372" s="13"/>
      <c r="I372" s="30"/>
      <c r="J372" s="41"/>
      <c r="K372" s="13"/>
      <c r="L372" s="33">
        <v>0</v>
      </c>
      <c r="M372" s="41"/>
      <c r="N372" s="59"/>
      <c r="O372" s="41"/>
      <c r="P372" s="13"/>
      <c r="Q372" s="33">
        <v>0</v>
      </c>
      <c r="R372" s="41"/>
      <c r="S372" s="85">
        <f t="shared" si="88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86"/>
        <v>BoutiqueSalaires en absences</v>
      </c>
      <c r="B373" s="11" t="s">
        <v>114</v>
      </c>
      <c r="C373" s="103" t="s">
        <v>44</v>
      </c>
      <c r="D373" s="81"/>
      <c r="E373" s="13"/>
      <c r="F373" s="22">
        <v>0</v>
      </c>
      <c r="G373" s="83"/>
      <c r="H373" s="13"/>
      <c r="I373" s="22"/>
      <c r="J373" s="41"/>
      <c r="K373" s="13"/>
      <c r="L373" s="22">
        <v>0</v>
      </c>
      <c r="M373" s="41"/>
      <c r="N373" s="59"/>
      <c r="O373" s="41"/>
      <c r="P373" s="13"/>
      <c r="Q373" s="22">
        <v>0</v>
      </c>
      <c r="R373" s="41"/>
      <c r="S373" s="85">
        <f t="shared" si="88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86"/>
        <v>BoutiqueDéduction à la source</v>
      </c>
      <c r="B374" s="11" t="s">
        <v>114</v>
      </c>
      <c r="C374" s="102" t="s">
        <v>45</v>
      </c>
      <c r="D374" s="104"/>
      <c r="E374" s="105"/>
      <c r="F374" s="30">
        <v>0</v>
      </c>
      <c r="G374" s="106"/>
      <c r="H374" s="105"/>
      <c r="I374" s="30"/>
      <c r="J374" s="107"/>
      <c r="K374" s="105"/>
      <c r="L374" s="33">
        <v>0</v>
      </c>
      <c r="M374" s="107"/>
      <c r="N374" s="109"/>
      <c r="O374" s="107"/>
      <c r="P374" s="105"/>
      <c r="Q374" s="33">
        <v>0</v>
      </c>
      <c r="R374" s="107"/>
      <c r="S374" s="110">
        <f t="shared" si="88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86"/>
        <v>BoutiqueBénéfices marginaux</v>
      </c>
      <c r="B375" s="11" t="s">
        <v>114</v>
      </c>
      <c r="C375" s="102" t="s">
        <v>46</v>
      </c>
      <c r="D375" s="81"/>
      <c r="E375" s="13"/>
      <c r="F375" s="30">
        <v>0</v>
      </c>
      <c r="G375" s="83"/>
      <c r="H375" s="13"/>
      <c r="I375" s="30"/>
      <c r="J375" s="41"/>
      <c r="K375" s="13"/>
      <c r="L375" s="33">
        <v>0</v>
      </c>
      <c r="M375" s="41"/>
      <c r="N375" s="59"/>
      <c r="O375" s="41"/>
      <c r="P375" s="13"/>
      <c r="Q375" s="33">
        <v>0</v>
      </c>
      <c r="R375" s="41"/>
      <c r="S375" s="85">
        <f t="shared" si="88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86"/>
        <v>BoutiqueCsst</v>
      </c>
      <c r="B376" s="11" t="s">
        <v>114</v>
      </c>
      <c r="C376" s="102" t="s">
        <v>47</v>
      </c>
      <c r="D376" s="81"/>
      <c r="E376" s="13"/>
      <c r="F376" s="30">
        <v>0</v>
      </c>
      <c r="G376" s="83"/>
      <c r="H376" s="13"/>
      <c r="I376" s="30"/>
      <c r="J376" s="41"/>
      <c r="K376" s="13"/>
      <c r="L376" s="33">
        <v>0</v>
      </c>
      <c r="M376" s="41"/>
      <c r="N376" s="59"/>
      <c r="O376" s="41"/>
      <c r="P376" s="13"/>
      <c r="Q376" s="33">
        <v>0</v>
      </c>
      <c r="R376" s="41"/>
      <c r="S376" s="85">
        <f t="shared" si="88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86"/>
        <v>Boutique[...]</v>
      </c>
      <c r="B377" s="11" t="s">
        <v>114</v>
      </c>
      <c r="C377" s="29" t="s">
        <v>19</v>
      </c>
      <c r="D377" s="87"/>
      <c r="E377" s="111"/>
      <c r="F377" s="30">
        <v>0</v>
      </c>
      <c r="G377" s="89"/>
      <c r="H377" s="111"/>
      <c r="I377" s="30"/>
      <c r="J377" s="23"/>
      <c r="K377" s="111"/>
      <c r="L377" s="33">
        <v>0</v>
      </c>
      <c r="M377" s="23"/>
      <c r="N377" s="91"/>
      <c r="O377" s="23"/>
      <c r="P377" s="111"/>
      <c r="Q377" s="33">
        <v>0</v>
      </c>
      <c r="R377" s="23"/>
      <c r="S377" s="92">
        <f t="shared" si="88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86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88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86"/>
        <v>BoutiquePublicité 2</v>
      </c>
      <c r="B379" s="11" t="s">
        <v>114</v>
      </c>
      <c r="C379" s="210" t="s">
        <v>49</v>
      </c>
      <c r="D379" s="81"/>
      <c r="E379" s="13"/>
      <c r="F379" s="30">
        <v>0</v>
      </c>
      <c r="G379" s="83"/>
      <c r="H379" s="13"/>
      <c r="I379" s="30"/>
      <c r="J379" s="41"/>
      <c r="K379" s="13"/>
      <c r="L379" s="33">
        <v>0</v>
      </c>
      <c r="M379" s="41"/>
      <c r="N379" s="59"/>
      <c r="O379" s="41"/>
      <c r="P379" s="13"/>
      <c r="Q379" s="33">
        <v>0</v>
      </c>
      <c r="R379" s="41"/>
      <c r="S379" s="85">
        <f t="shared" si="88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86"/>
        <v>BoutiqueService gratuit 2</v>
      </c>
      <c r="B380" s="11" t="s">
        <v>114</v>
      </c>
      <c r="C380" s="102" t="s">
        <v>50</v>
      </c>
      <c r="D380" s="81"/>
      <c r="E380" s="13"/>
      <c r="F380" s="30">
        <v>0</v>
      </c>
      <c r="G380" s="83"/>
      <c r="H380" s="13"/>
      <c r="I380" s="30"/>
      <c r="J380" s="41"/>
      <c r="K380" s="13"/>
      <c r="L380" s="33">
        <v>0</v>
      </c>
      <c r="M380" s="41"/>
      <c r="N380" s="59"/>
      <c r="O380" s="41"/>
      <c r="P380" s="13"/>
      <c r="Q380" s="33">
        <v>0</v>
      </c>
      <c r="R380" s="41"/>
      <c r="S380" s="85">
        <f t="shared" si="88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86"/>
        <v>BoutiqueFrais véhicules de cie</v>
      </c>
      <c r="B381" s="11" t="s">
        <v>114</v>
      </c>
      <c r="C381" s="103" t="s">
        <v>51</v>
      </c>
      <c r="D381" s="87"/>
      <c r="E381" s="111"/>
      <c r="F381" s="22">
        <v>0</v>
      </c>
      <c r="G381" s="89"/>
      <c r="H381" s="111"/>
      <c r="I381" s="22"/>
      <c r="J381" s="23"/>
      <c r="K381" s="111"/>
      <c r="L381" s="22">
        <v>0</v>
      </c>
      <c r="M381" s="23"/>
      <c r="N381" s="91"/>
      <c r="O381" s="23"/>
      <c r="P381" s="111"/>
      <c r="Q381" s="22">
        <v>0</v>
      </c>
      <c r="R381" s="23"/>
      <c r="S381" s="92">
        <f t="shared" si="88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86"/>
        <v>BoutiqueInformatique</v>
      </c>
      <c r="B382" s="11" t="s">
        <v>114</v>
      </c>
      <c r="C382" s="102" t="s">
        <v>52</v>
      </c>
      <c r="D382" s="81"/>
      <c r="E382" s="13"/>
      <c r="F382" s="30">
        <v>0</v>
      </c>
      <c r="G382" s="83"/>
      <c r="H382" s="13"/>
      <c r="I382" s="30"/>
      <c r="J382" s="41"/>
      <c r="K382" s="13"/>
      <c r="L382" s="33">
        <v>0</v>
      </c>
      <c r="M382" s="41"/>
      <c r="N382" s="59"/>
      <c r="O382" s="41"/>
      <c r="P382" s="13"/>
      <c r="Q382" s="33">
        <v>0</v>
      </c>
      <c r="R382" s="41"/>
      <c r="S382" s="85">
        <f t="shared" si="88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86"/>
        <v>BoutiqueFrais de déplacement</v>
      </c>
      <c r="B383" s="11" t="s">
        <v>114</v>
      </c>
      <c r="C383" s="102" t="s">
        <v>53</v>
      </c>
      <c r="D383" s="81"/>
      <c r="E383" s="13"/>
      <c r="F383" s="30">
        <v>0</v>
      </c>
      <c r="G383" s="83"/>
      <c r="H383" s="13"/>
      <c r="I383" s="30"/>
      <c r="J383" s="41"/>
      <c r="K383" s="13"/>
      <c r="L383" s="33">
        <v>0</v>
      </c>
      <c r="M383" s="41"/>
      <c r="N383" s="59"/>
      <c r="O383" s="41"/>
      <c r="P383" s="13"/>
      <c r="Q383" s="33">
        <v>0</v>
      </c>
      <c r="R383" s="41"/>
      <c r="S383" s="85">
        <f t="shared" si="88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86"/>
        <v>BoutiqueServices extérieurs</v>
      </c>
      <c r="B384" s="11" t="s">
        <v>114</v>
      </c>
      <c r="C384" s="102" t="s">
        <v>54</v>
      </c>
      <c r="D384" s="87"/>
      <c r="E384" s="111"/>
      <c r="F384" s="22">
        <v>0</v>
      </c>
      <c r="G384" s="89"/>
      <c r="H384" s="111"/>
      <c r="I384" s="22"/>
      <c r="J384" s="23"/>
      <c r="K384" s="111"/>
      <c r="L384" s="22">
        <v>0</v>
      </c>
      <c r="M384" s="23"/>
      <c r="N384" s="91"/>
      <c r="O384" s="23"/>
      <c r="P384" s="111"/>
      <c r="Q384" s="22">
        <v>0</v>
      </c>
      <c r="R384" s="23"/>
      <c r="S384" s="92">
        <f t="shared" si="88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86"/>
        <v>BoutiqueFournitures autres</v>
      </c>
      <c r="B385" s="11" t="s">
        <v>114</v>
      </c>
      <c r="C385" s="210" t="s">
        <v>55</v>
      </c>
      <c r="D385" s="81"/>
      <c r="E385" s="13"/>
      <c r="F385" s="30">
        <v>0</v>
      </c>
      <c r="G385" s="83"/>
      <c r="H385" s="13"/>
      <c r="I385" s="30"/>
      <c r="J385" s="41"/>
      <c r="K385" s="13"/>
      <c r="L385" s="33">
        <v>0</v>
      </c>
      <c r="M385" s="41"/>
      <c r="N385" s="59"/>
      <c r="O385" s="41"/>
      <c r="P385" s="13"/>
      <c r="Q385" s="33">
        <v>0</v>
      </c>
      <c r="R385" s="41"/>
      <c r="S385" s="85">
        <f t="shared" si="88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86"/>
        <v>BoutiqueUniformes</v>
      </c>
      <c r="B386" s="11" t="s">
        <v>114</v>
      </c>
      <c r="C386" s="102" t="s">
        <v>56</v>
      </c>
      <c r="D386" s="81"/>
      <c r="E386" s="13"/>
      <c r="F386" s="30">
        <v>0</v>
      </c>
      <c r="G386" s="83"/>
      <c r="H386" s="13"/>
      <c r="I386" s="30"/>
      <c r="J386" s="41"/>
      <c r="K386" s="13"/>
      <c r="L386" s="33">
        <v>0</v>
      </c>
      <c r="M386" s="41"/>
      <c r="N386" s="59"/>
      <c r="O386" s="41"/>
      <c r="P386" s="13"/>
      <c r="Q386" s="33">
        <v>0</v>
      </c>
      <c r="R386" s="41"/>
      <c r="S386" s="85">
        <f t="shared" si="88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86"/>
        <v>BoutiquePapeterie</v>
      </c>
      <c r="B387" s="11" t="s">
        <v>114</v>
      </c>
      <c r="C387" s="102" t="s">
        <v>57</v>
      </c>
      <c r="D387" s="81"/>
      <c r="E387" s="13"/>
      <c r="F387" s="30">
        <v>0</v>
      </c>
      <c r="G387" s="83"/>
      <c r="H387" s="13"/>
      <c r="I387" s="30"/>
      <c r="J387" s="41"/>
      <c r="K387" s="13"/>
      <c r="L387" s="33">
        <v>0</v>
      </c>
      <c r="M387" s="41"/>
      <c r="N387" s="59"/>
      <c r="O387" s="41"/>
      <c r="P387" s="13"/>
      <c r="Q387" s="33">
        <v>0</v>
      </c>
      <c r="R387" s="41"/>
      <c r="S387" s="85">
        <f t="shared" si="88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86"/>
        <v>BoutiqueTéléphone</v>
      </c>
      <c r="B388" s="11" t="s">
        <v>114</v>
      </c>
      <c r="C388" s="102" t="s">
        <v>58</v>
      </c>
      <c r="D388" s="81"/>
      <c r="E388" s="13"/>
      <c r="F388" s="30">
        <v>0</v>
      </c>
      <c r="G388" s="83"/>
      <c r="H388" s="13"/>
      <c r="I388" s="30"/>
      <c r="J388" s="41"/>
      <c r="K388" s="13"/>
      <c r="L388" s="33">
        <v>0</v>
      </c>
      <c r="M388" s="41"/>
      <c r="N388" s="59"/>
      <c r="O388" s="41"/>
      <c r="P388" s="13"/>
      <c r="Q388" s="33">
        <v>0</v>
      </c>
      <c r="R388" s="41"/>
      <c r="S388" s="85">
        <f t="shared" si="88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86"/>
        <v>BoutiqueFrais postaux</v>
      </c>
      <c r="B389" s="11" t="s">
        <v>114</v>
      </c>
      <c r="C389" s="102" t="s">
        <v>59</v>
      </c>
      <c r="D389" s="81"/>
      <c r="E389" s="13"/>
      <c r="F389" s="30">
        <v>0</v>
      </c>
      <c r="G389" s="83"/>
      <c r="H389" s="13"/>
      <c r="I389" s="30"/>
      <c r="J389" s="41"/>
      <c r="K389" s="13"/>
      <c r="L389" s="33">
        <v>0</v>
      </c>
      <c r="M389" s="41"/>
      <c r="N389" s="59"/>
      <c r="O389" s="41"/>
      <c r="P389" s="13"/>
      <c r="Q389" s="33">
        <v>0</v>
      </c>
      <c r="R389" s="41"/>
      <c r="S389" s="85">
        <f t="shared" si="88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86"/>
        <v>BoutiqueDivers</v>
      </c>
      <c r="B390" s="11" t="s">
        <v>114</v>
      </c>
      <c r="C390" s="102" t="s">
        <v>60</v>
      </c>
      <c r="D390" s="81"/>
      <c r="E390" s="13"/>
      <c r="F390" s="30">
        <v>0</v>
      </c>
      <c r="G390" s="83"/>
      <c r="H390" s="13"/>
      <c r="I390" s="30"/>
      <c r="J390" s="41"/>
      <c r="K390" s="13"/>
      <c r="L390" s="33">
        <v>0</v>
      </c>
      <c r="M390" s="41"/>
      <c r="N390" s="59"/>
      <c r="O390" s="41"/>
      <c r="P390" s="13"/>
      <c r="Q390" s="33">
        <v>0</v>
      </c>
      <c r="R390" s="41"/>
      <c r="S390" s="85">
        <f t="shared" si="88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86"/>
        <v>BoutiqueFormation</v>
      </c>
      <c r="B391" s="11" t="s">
        <v>114</v>
      </c>
      <c r="C391" s="102" t="s">
        <v>61</v>
      </c>
      <c r="D391" s="81"/>
      <c r="E391" s="13"/>
      <c r="F391" s="30">
        <v>0</v>
      </c>
      <c r="G391" s="83"/>
      <c r="H391" s="13"/>
      <c r="I391" s="30"/>
      <c r="J391" s="41"/>
      <c r="K391" s="13"/>
      <c r="L391" s="33">
        <v>0</v>
      </c>
      <c r="M391" s="41"/>
      <c r="N391" s="59"/>
      <c r="O391" s="41"/>
      <c r="P391" s="13"/>
      <c r="Q391" s="33">
        <v>0</v>
      </c>
      <c r="R391" s="41"/>
      <c r="S391" s="85">
        <f t="shared" si="88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86"/>
        <v>BoutiqueFrais bancaires</v>
      </c>
      <c r="B392" s="11" t="s">
        <v>114</v>
      </c>
      <c r="C392" s="102" t="s">
        <v>62</v>
      </c>
      <c r="D392" s="81"/>
      <c r="E392" s="13"/>
      <c r="F392" s="30">
        <v>0</v>
      </c>
      <c r="G392" s="83"/>
      <c r="H392" s="13"/>
      <c r="I392" s="30"/>
      <c r="J392" s="41"/>
      <c r="K392" s="13"/>
      <c r="L392" s="33">
        <v>0</v>
      </c>
      <c r="M392" s="41"/>
      <c r="N392" s="59"/>
      <c r="O392" s="41"/>
      <c r="P392" s="13"/>
      <c r="Q392" s="33">
        <v>0</v>
      </c>
      <c r="R392" s="41"/>
      <c r="S392" s="85">
        <f t="shared" si="88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86"/>
        <v>Boutique[...]</v>
      </c>
      <c r="B393" s="11" t="s">
        <v>114</v>
      </c>
      <c r="C393" s="102" t="s">
        <v>19</v>
      </c>
      <c r="D393" s="81"/>
      <c r="E393" s="13"/>
      <c r="F393" s="30">
        <v>0</v>
      </c>
      <c r="G393" s="83"/>
      <c r="H393" s="13"/>
      <c r="I393" s="30"/>
      <c r="J393" s="41"/>
      <c r="K393" s="13"/>
      <c r="L393" s="33">
        <v>0</v>
      </c>
      <c r="M393" s="41"/>
      <c r="N393" s="59"/>
      <c r="O393" s="41"/>
      <c r="P393" s="13"/>
      <c r="Q393" s="33">
        <v>0</v>
      </c>
      <c r="R393" s="41"/>
      <c r="S393" s="85">
        <f t="shared" si="88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86"/>
        <v>Boutique[...]</v>
      </c>
      <c r="B394" s="11" t="s">
        <v>114</v>
      </c>
      <c r="C394" s="102" t="s">
        <v>19</v>
      </c>
      <c r="D394" s="81"/>
      <c r="E394" s="13"/>
      <c r="F394" s="30">
        <v>0</v>
      </c>
      <c r="G394" s="83"/>
      <c r="H394" s="13"/>
      <c r="I394" s="30"/>
      <c r="J394" s="41"/>
      <c r="K394" s="13"/>
      <c r="L394" s="33">
        <v>0</v>
      </c>
      <c r="M394" s="41"/>
      <c r="N394" s="59"/>
      <c r="O394" s="41"/>
      <c r="P394" s="13"/>
      <c r="Q394" s="33">
        <v>0</v>
      </c>
      <c r="R394" s="41"/>
      <c r="S394" s="85">
        <f t="shared" si="88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86"/>
        <v>Boutique[...]</v>
      </c>
      <c r="B395" s="11" t="s">
        <v>114</v>
      </c>
      <c r="C395" s="102" t="s">
        <v>19</v>
      </c>
      <c r="D395" s="87"/>
      <c r="E395" s="111"/>
      <c r="F395" s="30">
        <v>0</v>
      </c>
      <c r="G395" s="89"/>
      <c r="H395" s="111"/>
      <c r="I395" s="30"/>
      <c r="J395" s="23"/>
      <c r="K395" s="111"/>
      <c r="L395" s="33">
        <v>0</v>
      </c>
      <c r="M395" s="23"/>
      <c r="N395" s="91"/>
      <c r="O395" s="23"/>
      <c r="P395" s="111"/>
      <c r="Q395" s="33">
        <v>0</v>
      </c>
      <c r="R395" s="23"/>
      <c r="S395" s="92">
        <f t="shared" si="88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82209.962083287988</v>
      </c>
      <c r="G402" s="13"/>
      <c r="H402" s="13"/>
      <c r="I402" s="13"/>
      <c r="J402" s="13"/>
      <c r="K402" s="13"/>
      <c r="L402" s="82">
        <f>L354+L290+L234</f>
        <v>80726.420000000042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0.98195422980751468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Août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13" t="s">
        <v>117</v>
      </c>
      <c r="Y405" s="511"/>
      <c r="Z405" s="514"/>
      <c r="AA405" s="510"/>
      <c r="AB405" s="511"/>
      <c r="AC405" s="514"/>
      <c r="AD405" s="510" t="s">
        <v>7</v>
      </c>
      <c r="AE405" s="511"/>
      <c r="AF405" s="514"/>
      <c r="AG405" s="510" t="s">
        <v>212</v>
      </c>
      <c r="AH405" s="511"/>
      <c r="AI405" s="514"/>
      <c r="AJ405" s="510" t="s">
        <v>118</v>
      </c>
      <c r="AK405" s="511"/>
      <c r="AL405" s="511"/>
      <c r="AM405" s="510" t="s">
        <v>119</v>
      </c>
      <c r="AN405" s="511"/>
      <c r="AO405" s="512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85" si="89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89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4445529.2934459886</v>
      </c>
      <c r="AA407" s="261"/>
      <c r="AB407" s="261"/>
      <c r="AC407" s="262"/>
      <c r="AD407" s="263"/>
      <c r="AE407" s="264"/>
      <c r="AF407" s="264">
        <f>L5+L93+K195+K251+J315+J363</f>
        <v>4686630.53</v>
      </c>
      <c r="AG407" s="263"/>
      <c r="AH407" s="264"/>
      <c r="AI407" s="265"/>
      <c r="AJ407" s="263"/>
      <c r="AK407" s="264"/>
      <c r="AL407" s="264">
        <f>Q5+Q93+P195+P251+O315+O363</f>
        <v>3709615.7899999898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89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460346.88216392417</v>
      </c>
      <c r="AA408" s="269"/>
      <c r="AB408" s="269"/>
      <c r="AC408" s="270"/>
      <c r="AD408" s="271"/>
      <c r="AE408" s="272"/>
      <c r="AF408" s="272">
        <f>L27+L109+L195+L251+L315+L363</f>
        <v>454857.18000000017</v>
      </c>
      <c r="AG408" s="271"/>
      <c r="AH408" s="272">
        <f>AF408-Z408</f>
        <v>-5489.7021639239974</v>
      </c>
      <c r="AI408" s="273">
        <f>AH408/Z408</f>
        <v>-1.1925142488461948E-2</v>
      </c>
      <c r="AJ408" s="271">
        <f>+AL408/AL407</f>
        <v>0.10318687208305218</v>
      </c>
      <c r="AK408" s="272"/>
      <c r="AL408" s="272">
        <f>Q27+Q109+Q195+Q251+Q315+Q363</f>
        <v>382783.6499999995</v>
      </c>
      <c r="AM408" s="274"/>
      <c r="AN408" s="272">
        <f>AF408-AL408</f>
        <v>72073.530000000668</v>
      </c>
      <c r="AO408" s="275">
        <f>IF(AL408=0,0,AN408/AL408)</f>
        <v>0.18828790101144802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89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89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90">Z410/(D$13+D$97)</f>
        <v>962.85324318613436</v>
      </c>
      <c r="Z410" s="278">
        <f t="shared" ref="Z410:Z416" si="91">+SUMIF($C:$C,$V410,F:F)</f>
        <v>40439.836213817645</v>
      </c>
      <c r="AA410" s="277"/>
      <c r="AB410" s="285"/>
      <c r="AC410" s="278"/>
      <c r="AD410" s="286"/>
      <c r="AE410" s="285">
        <f t="shared" ref="AE410:AE415" si="92">IF(AF410=0,0,AF410/(J$13+J$97))</f>
        <v>1249.5365957446809</v>
      </c>
      <c r="AF410" s="278">
        <f t="shared" ref="AF410:AF416" si="93">+SUMIF($C:$C,$V410,L:L)</f>
        <v>58728.22</v>
      </c>
      <c r="AG410" s="279">
        <f t="shared" ref="AG410:AH425" si="94">AE410-Y410</f>
        <v>286.68335255854652</v>
      </c>
      <c r="AH410" s="280">
        <f t="shared" si="94"/>
        <v>18288.383786182356</v>
      </c>
      <c r="AI410" s="281">
        <f t="shared" ref="AI410:AI419" si="95">IF(Z410=0,0,AH410/Z410)</f>
        <v>0.45223684115549179</v>
      </c>
      <c r="AJ410" s="286"/>
      <c r="AK410" s="280">
        <f t="shared" ref="AK410:AK419" si="96">AL410/(O$13+O$97)</f>
        <v>772.73631578947368</v>
      </c>
      <c r="AL410" s="278">
        <f t="shared" ref="AL410:AL415" si="97">+SUMIF($C:$C,$V410,Q:Q)</f>
        <v>29363.98</v>
      </c>
      <c r="AM410" s="282">
        <f t="shared" ref="AM410:AM415" si="98">AE410-Y410</f>
        <v>286.68335255854652</v>
      </c>
      <c r="AN410" s="280">
        <f t="shared" ref="AN410:AN415" si="99">AF410-AL410</f>
        <v>29364.240000000002</v>
      </c>
      <c r="AO410" s="287">
        <f t="shared" ref="AO410:AO432" si="100">IF(AL410=0,0,AN410/AL410)</f>
        <v>1.0000088543855432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89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90"/>
        <v>479.38095238095241</v>
      </c>
      <c r="Z411" s="262">
        <f t="shared" si="91"/>
        <v>20134</v>
      </c>
      <c r="AA411" s="261"/>
      <c r="AB411" s="289"/>
      <c r="AC411" s="262"/>
      <c r="AD411" s="290"/>
      <c r="AE411" s="289">
        <f t="shared" si="92"/>
        <v>173.03893617021276</v>
      </c>
      <c r="AF411" s="262">
        <f t="shared" si="93"/>
        <v>8132.83</v>
      </c>
      <c r="AG411" s="263">
        <f t="shared" si="94"/>
        <v>-306.34201621073964</v>
      </c>
      <c r="AH411" s="264">
        <f t="shared" si="94"/>
        <v>-12001.17</v>
      </c>
      <c r="AI411" s="291">
        <f t="shared" si="95"/>
        <v>-0.59606486540180792</v>
      </c>
      <c r="AJ411" s="290"/>
      <c r="AK411" s="264">
        <f t="shared" si="96"/>
        <v>258.64</v>
      </c>
      <c r="AL411" s="262">
        <f t="shared" si="97"/>
        <v>9828.32</v>
      </c>
      <c r="AM411" s="266">
        <f t="shared" si="98"/>
        <v>-306.34201621073964</v>
      </c>
      <c r="AN411" s="264">
        <f t="shared" si="99"/>
        <v>-1695.4899999999998</v>
      </c>
      <c r="AO411" s="292">
        <f t="shared" si="100"/>
        <v>-0.17251066306347371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89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90"/>
        <v>110.23809523809524</v>
      </c>
      <c r="Z412" s="278">
        <f t="shared" si="91"/>
        <v>4630</v>
      </c>
      <c r="AA412" s="277"/>
      <c r="AB412" s="285"/>
      <c r="AC412" s="278"/>
      <c r="AD412" s="286"/>
      <c r="AE412" s="285">
        <f t="shared" si="92"/>
        <v>154.55638297872341</v>
      </c>
      <c r="AF412" s="278">
        <f t="shared" si="93"/>
        <v>7264.15</v>
      </c>
      <c r="AG412" s="279">
        <f t="shared" si="94"/>
        <v>44.318287740628165</v>
      </c>
      <c r="AH412" s="280">
        <f t="shared" si="94"/>
        <v>2634.1499999999996</v>
      </c>
      <c r="AI412" s="281">
        <f t="shared" si="95"/>
        <v>0.5689308855291576</v>
      </c>
      <c r="AJ412" s="286"/>
      <c r="AK412" s="280">
        <f t="shared" si="96"/>
        <v>158.74842105263156</v>
      </c>
      <c r="AL412" s="278">
        <f t="shared" si="97"/>
        <v>6032.44</v>
      </c>
      <c r="AM412" s="282">
        <f t="shared" si="98"/>
        <v>44.318287740628165</v>
      </c>
      <c r="AN412" s="280">
        <f t="shared" si="99"/>
        <v>1231.71</v>
      </c>
      <c r="AO412" s="287">
        <f t="shared" si="100"/>
        <v>0.20418106106318507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89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90"/>
        <v>61.071428571428569</v>
      </c>
      <c r="Z413" s="278">
        <f t="shared" si="91"/>
        <v>2565</v>
      </c>
      <c r="AA413" s="277"/>
      <c r="AB413" s="285"/>
      <c r="AC413" s="278"/>
      <c r="AD413" s="286"/>
      <c r="AE413" s="285">
        <f t="shared" si="92"/>
        <v>25.627234042553191</v>
      </c>
      <c r="AF413" s="278">
        <f t="shared" si="93"/>
        <v>1204.48</v>
      </c>
      <c r="AG413" s="279">
        <f t="shared" si="94"/>
        <v>-35.444194528875379</v>
      </c>
      <c r="AH413" s="280">
        <f t="shared" si="94"/>
        <v>-1360.52</v>
      </c>
      <c r="AI413" s="281">
        <f t="shared" si="95"/>
        <v>-0.53041715399610134</v>
      </c>
      <c r="AJ413" s="286"/>
      <c r="AK413" s="280">
        <f t="shared" si="96"/>
        <v>47.939473684210526</v>
      </c>
      <c r="AL413" s="278">
        <f t="shared" si="97"/>
        <v>1821.7</v>
      </c>
      <c r="AM413" s="282">
        <f t="shared" si="98"/>
        <v>-35.444194528875379</v>
      </c>
      <c r="AN413" s="280">
        <f t="shared" si="99"/>
        <v>-617.22</v>
      </c>
      <c r="AO413" s="293">
        <f t="shared" si="100"/>
        <v>-0.33881539221606194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89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90"/>
        <v>79.61904761904762</v>
      </c>
      <c r="Z414" s="262">
        <f t="shared" si="91"/>
        <v>3344</v>
      </c>
      <c r="AA414" s="261"/>
      <c r="AB414" s="289"/>
      <c r="AC414" s="262"/>
      <c r="AD414" s="290"/>
      <c r="AE414" s="289">
        <f t="shared" si="92"/>
        <v>50.334255319148937</v>
      </c>
      <c r="AF414" s="262">
        <f t="shared" si="93"/>
        <v>2365.71</v>
      </c>
      <c r="AG414" s="263">
        <f t="shared" si="94"/>
        <v>-29.284792299898683</v>
      </c>
      <c r="AH414" s="264">
        <f t="shared" si="94"/>
        <v>-978.29</v>
      </c>
      <c r="AI414" s="291">
        <f t="shared" si="95"/>
        <v>-0.29255083732057413</v>
      </c>
      <c r="AJ414" s="290"/>
      <c r="AK414" s="264">
        <f t="shared" si="96"/>
        <v>128.26</v>
      </c>
      <c r="AL414" s="262">
        <f t="shared" si="97"/>
        <v>4873.88</v>
      </c>
      <c r="AM414" s="266">
        <f t="shared" si="98"/>
        <v>-29.284792299898683</v>
      </c>
      <c r="AN414" s="264">
        <f t="shared" si="99"/>
        <v>-2508.17</v>
      </c>
      <c r="AO414" s="292">
        <f t="shared" si="100"/>
        <v>-0.51461463967106291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89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90"/>
        <v>150.95050505050503</v>
      </c>
      <c r="Z415" s="278">
        <f t="shared" si="91"/>
        <v>6339.9212121212113</v>
      </c>
      <c r="AA415" s="281"/>
      <c r="AB415" s="285"/>
      <c r="AC415" s="278"/>
      <c r="AD415" s="286"/>
      <c r="AE415" s="285">
        <f t="shared" si="92"/>
        <v>95.357234042553173</v>
      </c>
      <c r="AF415" s="278">
        <f t="shared" si="93"/>
        <v>4481.7899999999991</v>
      </c>
      <c r="AG415" s="279">
        <f t="shared" si="94"/>
        <v>-55.593271007951856</v>
      </c>
      <c r="AH415" s="280">
        <f t="shared" si="94"/>
        <v>-1858.1312121212122</v>
      </c>
      <c r="AI415" s="281">
        <f t="shared" si="95"/>
        <v>-0.29308427501727874</v>
      </c>
      <c r="AJ415" s="286"/>
      <c r="AK415" s="280">
        <f t="shared" si="96"/>
        <v>477.62394736842106</v>
      </c>
      <c r="AL415" s="278">
        <f t="shared" si="97"/>
        <v>18149.71</v>
      </c>
      <c r="AM415" s="282">
        <f t="shared" si="98"/>
        <v>-55.593271007951856</v>
      </c>
      <c r="AN415" s="280">
        <f t="shared" si="99"/>
        <v>-13667.92</v>
      </c>
      <c r="AO415" s="287">
        <f t="shared" si="100"/>
        <v>-0.75306547597730211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si="89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90"/>
        <v>716.73392424445183</v>
      </c>
      <c r="Z416" s="278">
        <f t="shared" si="91"/>
        <v>30102.824818266978</v>
      </c>
      <c r="AA416" s="277"/>
      <c r="AB416" s="285"/>
      <c r="AC416" s="278"/>
      <c r="AD416" s="286"/>
      <c r="AE416" s="285">
        <f>IF(AF416=0,0,AF416/(J$13+J$13))</f>
        <v>615.83500000000004</v>
      </c>
      <c r="AF416" s="278">
        <f t="shared" si="93"/>
        <v>30791.75</v>
      </c>
      <c r="AG416" s="279">
        <f t="shared" si="94"/>
        <v>-100.89892424445179</v>
      </c>
      <c r="AH416" s="280">
        <f t="shared" si="94"/>
        <v>688.92518173302233</v>
      </c>
      <c r="AI416" s="281">
        <f t="shared" si="95"/>
        <v>2.2885732016583678E-2</v>
      </c>
      <c r="AJ416" s="286"/>
      <c r="AK416" s="280">
        <f t="shared" si="96"/>
        <v>664.06789473684216</v>
      </c>
      <c r="AL416" s="278">
        <f>IFERROR(SUMIF($C:$C,$V416,Q:Q),0)</f>
        <v>25234.58</v>
      </c>
      <c r="AM416" s="282">
        <f>AE416-Y416</f>
        <v>-100.89892424445179</v>
      </c>
      <c r="AN416" s="280">
        <f>AF416-AL416</f>
        <v>5557.1699999999983</v>
      </c>
      <c r="AO416" s="292">
        <f t="shared" si="100"/>
        <v>0.22022042768296513</v>
      </c>
      <c r="AP416" s="244"/>
      <c r="AQ416" s="470">
        <v>30792</v>
      </c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89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90"/>
        <v>0</v>
      </c>
      <c r="Z417" s="278">
        <f>IFERROR(SUMIF($C:$C,$V417,F:F),0)</f>
        <v>0</v>
      </c>
      <c r="AA417" s="277"/>
      <c r="AB417" s="285"/>
      <c r="AC417" s="278"/>
      <c r="AD417" s="286"/>
      <c r="AE417" s="285">
        <f>IF(AF417=0,0,AF417/(J$13+J$13))</f>
        <v>0</v>
      </c>
      <c r="AF417" s="278">
        <f>IFERROR(SUMIF($C:$C,$V417,L:L),0)</f>
        <v>0</v>
      </c>
      <c r="AG417" s="279">
        <f t="shared" si="94"/>
        <v>0</v>
      </c>
      <c r="AH417" s="280">
        <f t="shared" si="94"/>
        <v>0</v>
      </c>
      <c r="AI417" s="281">
        <f t="shared" si="95"/>
        <v>0</v>
      </c>
      <c r="AJ417" s="286"/>
      <c r="AK417" s="280">
        <f t="shared" si="96"/>
        <v>0</v>
      </c>
      <c r="AL417" s="278">
        <f>IFERROR(SUMIF($C:$C,$V417,Q:Q),0)</f>
        <v>0</v>
      </c>
      <c r="AM417" s="282">
        <f>AE417-Y417</f>
        <v>0</v>
      </c>
      <c r="AN417" s="280">
        <f>AF417-AL417</f>
        <v>0</v>
      </c>
      <c r="AO417" s="287">
        <f t="shared" si="100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89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90"/>
        <v>0</v>
      </c>
      <c r="Z418" s="278">
        <f>IFERROR(SUMIF($C:$C,$V418,F:F),0)</f>
        <v>0</v>
      </c>
      <c r="AA418" s="277"/>
      <c r="AB418" s="285"/>
      <c r="AC418" s="278"/>
      <c r="AD418" s="286"/>
      <c r="AE418" s="285">
        <f>IF(AF418=0,0,AF418/(J$13+J$13))</f>
        <v>0</v>
      </c>
      <c r="AF418" s="278">
        <f>IFERROR(SUMIF($C:$C,$V418,L:L),0)</f>
        <v>0</v>
      </c>
      <c r="AG418" s="279">
        <f t="shared" si="94"/>
        <v>0</v>
      </c>
      <c r="AH418" s="280">
        <f t="shared" si="94"/>
        <v>0</v>
      </c>
      <c r="AI418" s="281">
        <f t="shared" si="95"/>
        <v>0</v>
      </c>
      <c r="AJ418" s="286"/>
      <c r="AK418" s="280">
        <f t="shared" si="96"/>
        <v>0</v>
      </c>
      <c r="AL418" s="278">
        <f>IFERROR(SUMIF($C:$C,$V418,Q:Q),0)</f>
        <v>0</v>
      </c>
      <c r="AM418" s="282">
        <f>AE418-Y418</f>
        <v>0</v>
      </c>
      <c r="AN418" s="280">
        <f>AF418-AL418</f>
        <v>0</v>
      </c>
      <c r="AO418" s="287">
        <f t="shared" si="100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89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90"/>
        <v>0</v>
      </c>
      <c r="Z419" s="278">
        <f>IFERROR(SUMIF($C:$C,$V419,F:F),0)</f>
        <v>0</v>
      </c>
      <c r="AA419" s="277"/>
      <c r="AB419" s="285"/>
      <c r="AC419" s="278"/>
      <c r="AD419" s="286"/>
      <c r="AE419" s="285">
        <f>IF(AF419=0,0,AF419/(J$13+J$13))</f>
        <v>0</v>
      </c>
      <c r="AF419" s="278">
        <f>IFERROR(SUMIF($C:$C,$V419,L:L),0)</f>
        <v>0</v>
      </c>
      <c r="AG419" s="279">
        <f t="shared" si="94"/>
        <v>0</v>
      </c>
      <c r="AH419" s="280">
        <f t="shared" si="94"/>
        <v>0</v>
      </c>
      <c r="AI419" s="281">
        <f t="shared" si="95"/>
        <v>0</v>
      </c>
      <c r="AJ419" s="286"/>
      <c r="AK419" s="280">
        <f t="shared" si="96"/>
        <v>0</v>
      </c>
      <c r="AL419" s="278">
        <f>IFERROR(SUMIF($C:$C,$V419,Q:Q),0)</f>
        <v>0</v>
      </c>
      <c r="AM419" s="282">
        <f>AE419-Y419</f>
        <v>0</v>
      </c>
      <c r="AN419" s="280">
        <f>AF419-AL419</f>
        <v>0</v>
      </c>
      <c r="AO419" s="287">
        <f t="shared" si="100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89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0.23364029694005081</v>
      </c>
      <c r="Y420" s="295"/>
      <c r="Z420" s="297">
        <f>SUM(Z410:Z419)</f>
        <v>107555.58224420583</v>
      </c>
      <c r="AA420" s="296"/>
      <c r="AB420" s="295"/>
      <c r="AC420" s="297"/>
      <c r="AD420" s="298">
        <f>AF420/AF408</f>
        <v>0.24836132079964079</v>
      </c>
      <c r="AE420" s="295"/>
      <c r="AF420" s="297">
        <f>SUM(AF410:AF419)</f>
        <v>112968.93</v>
      </c>
      <c r="AG420" s="299"/>
      <c r="AH420" s="300">
        <f t="shared" si="94"/>
        <v>5413.347755794166</v>
      </c>
      <c r="AI420" s="296">
        <f>AH420/Z420</f>
        <v>5.0330700116551046E-2</v>
      </c>
      <c r="AJ420" s="298">
        <f>IF($AL$408=0,0,AL420/$AL$408)</f>
        <v>0.24897774500034189</v>
      </c>
      <c r="AK420" s="295"/>
      <c r="AL420" s="297">
        <f>SUM(AL410:AL419)</f>
        <v>95304.61</v>
      </c>
      <c r="AM420" s="301"/>
      <c r="AN420" s="300">
        <f t="shared" ref="AN420:AN432" si="101">AF420-AL420</f>
        <v>17664.319999999992</v>
      </c>
      <c r="AO420" s="275">
        <f t="shared" si="100"/>
        <v>0.18534591348729082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89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v>16247.126436781609</v>
      </c>
      <c r="AA421" s="277"/>
      <c r="AB421" s="277"/>
      <c r="AC421" s="278"/>
      <c r="AD421" s="286"/>
      <c r="AE421" s="285"/>
      <c r="AF421" s="278">
        <v>9603.9</v>
      </c>
      <c r="AG421" s="279"/>
      <c r="AH421" s="280">
        <f t="shared" si="94"/>
        <v>-6643.2264367816097</v>
      </c>
      <c r="AI421" s="281">
        <f t="shared" ref="AI421:AI433" si="102">IF(Z421=0,0,AH421/Z421)</f>
        <v>-0.40888623983020872</v>
      </c>
      <c r="AJ421" s="286"/>
      <c r="AK421" s="277"/>
      <c r="AL421" s="278">
        <v>12500.18</v>
      </c>
      <c r="AM421" s="282"/>
      <c r="AN421" s="280">
        <f t="shared" si="101"/>
        <v>-2896.2800000000007</v>
      </c>
      <c r="AO421" s="287">
        <f t="shared" si="100"/>
        <v>-0.23169906353348516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89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103">+SUMIF($C:$C,$V422,F:F)</f>
        <v>32860.989152642229</v>
      </c>
      <c r="AA422" s="277"/>
      <c r="AB422" s="277"/>
      <c r="AC422" s="278"/>
      <c r="AD422" s="286"/>
      <c r="AE422" s="285"/>
      <c r="AF422" s="278">
        <f t="shared" ref="AF422:AF433" si="104">+SUMIF($C:$C,$V422,L:L)</f>
        <v>30026.66</v>
      </c>
      <c r="AG422" s="279"/>
      <c r="AH422" s="280">
        <f t="shared" si="94"/>
        <v>-2834.329152642229</v>
      </c>
      <c r="AI422" s="281">
        <f t="shared" si="102"/>
        <v>-8.625209483124556E-2</v>
      </c>
      <c r="AJ422" s="286"/>
      <c r="AK422" s="277"/>
      <c r="AL422" s="278">
        <f t="shared" ref="AL422:AL430" si="105">+SUMIF($C:$C,$V422,Q:Q)</f>
        <v>32100.7</v>
      </c>
      <c r="AM422" s="282"/>
      <c r="AN422" s="280">
        <f t="shared" si="101"/>
        <v>-2074.0400000000009</v>
      </c>
      <c r="AO422" s="287">
        <f t="shared" si="100"/>
        <v>-6.461042905606422E-2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89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103"/>
        <v>14141.770935877239</v>
      </c>
      <c r="AA423" s="261"/>
      <c r="AB423" s="261"/>
      <c r="AC423" s="262"/>
      <c r="AD423" s="290"/>
      <c r="AE423" s="289"/>
      <c r="AF423" s="262">
        <f t="shared" si="104"/>
        <v>8201.18</v>
      </c>
      <c r="AG423" s="263"/>
      <c r="AH423" s="264">
        <f t="shared" si="94"/>
        <v>-5940.5909358772387</v>
      </c>
      <c r="AI423" s="291">
        <f t="shared" si="102"/>
        <v>-0.42007404608754778</v>
      </c>
      <c r="AJ423" s="290"/>
      <c r="AK423" s="261"/>
      <c r="AL423" s="262">
        <f t="shared" si="105"/>
        <v>19887.690000000002</v>
      </c>
      <c r="AM423" s="266"/>
      <c r="AN423" s="264">
        <f t="shared" si="101"/>
        <v>-11686.510000000002</v>
      </c>
      <c r="AO423" s="267">
        <f t="shared" si="100"/>
        <v>-0.58762530992790019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89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103"/>
        <v>31483.971342438854</v>
      </c>
      <c r="AA424" s="277"/>
      <c r="AB424" s="277"/>
      <c r="AC424" s="278"/>
      <c r="AD424" s="286"/>
      <c r="AE424" s="285"/>
      <c r="AF424" s="278">
        <f t="shared" si="104"/>
        <v>28076.059999999998</v>
      </c>
      <c r="AG424" s="279"/>
      <c r="AH424" s="280">
        <f t="shared" si="94"/>
        <v>-3407.9113424388561</v>
      </c>
      <c r="AI424" s="281">
        <f t="shared" si="102"/>
        <v>-0.10824274057971708</v>
      </c>
      <c r="AJ424" s="286"/>
      <c r="AK424" s="277"/>
      <c r="AL424" s="278">
        <f t="shared" si="105"/>
        <v>21364.25</v>
      </c>
      <c r="AM424" s="282"/>
      <c r="AN424" s="280">
        <f t="shared" si="101"/>
        <v>6711.8099999999977</v>
      </c>
      <c r="AO424" s="287">
        <f t="shared" si="100"/>
        <v>0.31416080601940144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89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103"/>
        <v>15048.540229885057</v>
      </c>
      <c r="AA425" s="277"/>
      <c r="AB425" s="277"/>
      <c r="AC425" s="278"/>
      <c r="AD425" s="286"/>
      <c r="AE425" s="285"/>
      <c r="AF425" s="278">
        <f t="shared" si="104"/>
        <v>11464.31</v>
      </c>
      <c r="AG425" s="279"/>
      <c r="AH425" s="280">
        <f t="shared" si="94"/>
        <v>-3584.2302298850573</v>
      </c>
      <c r="AI425" s="281">
        <f t="shared" si="102"/>
        <v>-0.23817793454591005</v>
      </c>
      <c r="AJ425" s="286"/>
      <c r="AK425" s="277"/>
      <c r="AL425" s="278">
        <f t="shared" si="105"/>
        <v>13870.82</v>
      </c>
      <c r="AM425" s="282"/>
      <c r="AN425" s="280">
        <f t="shared" si="101"/>
        <v>-2406.5100000000002</v>
      </c>
      <c r="AO425" s="287">
        <f t="shared" si="100"/>
        <v>-0.17349442931275874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89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103"/>
        <v>0</v>
      </c>
      <c r="AA426" s="277"/>
      <c r="AB426" s="277"/>
      <c r="AC426" s="280"/>
      <c r="AD426" s="286"/>
      <c r="AE426" s="285"/>
      <c r="AF426" s="278">
        <f t="shared" si="104"/>
        <v>0</v>
      </c>
      <c r="AG426" s="279"/>
      <c r="AH426" s="280">
        <f t="shared" ref="AH426:AH458" si="106">AF426-Z426</f>
        <v>0</v>
      </c>
      <c r="AI426" s="281">
        <f t="shared" si="102"/>
        <v>0</v>
      </c>
      <c r="AJ426" s="286"/>
      <c r="AK426" s="277"/>
      <c r="AL426" s="278">
        <f t="shared" si="105"/>
        <v>0</v>
      </c>
      <c r="AM426" s="282"/>
      <c r="AN426" s="280">
        <f t="shared" si="101"/>
        <v>0</v>
      </c>
      <c r="AO426" s="287">
        <f t="shared" si="100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89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103"/>
        <v>0</v>
      </c>
      <c r="AA427" s="277"/>
      <c r="AB427" s="277"/>
      <c r="AC427" s="280"/>
      <c r="AD427" s="286"/>
      <c r="AE427" s="285"/>
      <c r="AF427" s="278">
        <f t="shared" si="104"/>
        <v>0</v>
      </c>
      <c r="AG427" s="279"/>
      <c r="AH427" s="280">
        <f t="shared" si="106"/>
        <v>0</v>
      </c>
      <c r="AI427" s="281">
        <f t="shared" si="102"/>
        <v>0</v>
      </c>
      <c r="AJ427" s="286"/>
      <c r="AK427" s="277"/>
      <c r="AL427" s="278">
        <f t="shared" si="105"/>
        <v>0</v>
      </c>
      <c r="AM427" s="282"/>
      <c r="AN427" s="280">
        <f t="shared" si="101"/>
        <v>0</v>
      </c>
      <c r="AO427" s="287">
        <f t="shared" si="100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89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103"/>
        <v>0</v>
      </c>
      <c r="AA428" s="277"/>
      <c r="AB428" s="277"/>
      <c r="AC428" s="280"/>
      <c r="AD428" s="286"/>
      <c r="AE428" s="285"/>
      <c r="AF428" s="278">
        <f t="shared" si="104"/>
        <v>0</v>
      </c>
      <c r="AG428" s="279"/>
      <c r="AH428" s="280">
        <f t="shared" si="106"/>
        <v>0</v>
      </c>
      <c r="AI428" s="281">
        <f t="shared" si="102"/>
        <v>0</v>
      </c>
      <c r="AJ428" s="286"/>
      <c r="AK428" s="277"/>
      <c r="AL428" s="278">
        <f t="shared" si="105"/>
        <v>0</v>
      </c>
      <c r="AM428" s="282"/>
      <c r="AN428" s="280">
        <f t="shared" si="101"/>
        <v>0</v>
      </c>
      <c r="AO428" s="287">
        <f t="shared" si="100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89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103"/>
        <v>22147.835818209936</v>
      </c>
      <c r="AA429" s="261"/>
      <c r="AB429" s="261"/>
      <c r="AC429" s="262"/>
      <c r="AD429" s="290"/>
      <c r="AE429" s="289"/>
      <c r="AF429" s="262">
        <f t="shared" si="104"/>
        <v>17913.64</v>
      </c>
      <c r="AG429" s="263"/>
      <c r="AH429" s="264">
        <f t="shared" si="106"/>
        <v>-4234.195818209937</v>
      </c>
      <c r="AI429" s="291">
        <f t="shared" si="102"/>
        <v>-0.19117876134554798</v>
      </c>
      <c r="AJ429" s="290"/>
      <c r="AK429" s="261"/>
      <c r="AL429" s="262">
        <f t="shared" si="105"/>
        <v>19758.939999999999</v>
      </c>
      <c r="AM429" s="266"/>
      <c r="AN429" s="264">
        <f t="shared" si="101"/>
        <v>-1845.2999999999993</v>
      </c>
      <c r="AO429" s="292">
        <f t="shared" si="100"/>
        <v>-9.3390637352003675E-2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89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103"/>
        <v>28541.025538930327</v>
      </c>
      <c r="AA430" s="277"/>
      <c r="AB430" s="277"/>
      <c r="AC430" s="278"/>
      <c r="AD430" s="286"/>
      <c r="AE430" s="285"/>
      <c r="AF430" s="278">
        <f t="shared" si="104"/>
        <v>23376.769999999997</v>
      </c>
      <c r="AG430" s="279"/>
      <c r="AH430" s="280">
        <f t="shared" si="106"/>
        <v>-5164.2555389303307</v>
      </c>
      <c r="AI430" s="281">
        <f>IF(Z430=0,0,AH430/Z430)</f>
        <v>-0.18094148480706201</v>
      </c>
      <c r="AJ430" s="286"/>
      <c r="AK430" s="277"/>
      <c r="AL430" s="278">
        <f t="shared" si="105"/>
        <v>27417.38</v>
      </c>
      <c r="AM430" s="282"/>
      <c r="AN430" s="280">
        <f t="shared" si="101"/>
        <v>-4040.6100000000042</v>
      </c>
      <c r="AO430" s="287">
        <f t="shared" si="100"/>
        <v>-0.14737403792776713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89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103"/>
        <v>20782.139714544537</v>
      </c>
      <c r="AA431" s="277"/>
      <c r="AB431" s="277"/>
      <c r="AC431" s="278"/>
      <c r="AD431" s="286"/>
      <c r="AE431" s="285"/>
      <c r="AF431" s="278">
        <f t="shared" si="104"/>
        <v>13859.11</v>
      </c>
      <c r="AG431" s="279"/>
      <c r="AH431" s="280">
        <f t="shared" si="106"/>
        <v>-6923.0297145445365</v>
      </c>
      <c r="AI431" s="281">
        <f t="shared" si="102"/>
        <v>-0.33312400982943069</v>
      </c>
      <c r="AJ431" s="286"/>
      <c r="AK431" s="277"/>
      <c r="AL431" s="278">
        <f>IFERROR(SUMIF($C:$C,$V431,Q:Q),0)</f>
        <v>15793.48</v>
      </c>
      <c r="AM431" s="282"/>
      <c r="AN431" s="280">
        <f t="shared" si="101"/>
        <v>-1934.369999999999</v>
      </c>
      <c r="AO431" s="287">
        <f t="shared" si="100"/>
        <v>-0.12247902298923347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89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103"/>
        <v>5594.0410056303444</v>
      </c>
      <c r="AA432" s="277"/>
      <c r="AB432" s="277"/>
      <c r="AC432" s="278"/>
      <c r="AD432" s="286"/>
      <c r="AE432" s="285"/>
      <c r="AF432" s="278">
        <f t="shared" si="104"/>
        <v>2791.9900000000002</v>
      </c>
      <c r="AG432" s="279"/>
      <c r="AH432" s="280">
        <f t="shared" si="106"/>
        <v>-2802.0510056303442</v>
      </c>
      <c r="AI432" s="304">
        <f t="shared" si="102"/>
        <v>-0.50089926098326931</v>
      </c>
      <c r="AJ432" s="286"/>
      <c r="AK432" s="277"/>
      <c r="AL432" s="278">
        <f>IFERROR(SUMIF($C:$C,$V432,Q:Q),0)</f>
        <v>3496.05</v>
      </c>
      <c r="AM432" s="282"/>
      <c r="AN432" s="280">
        <f t="shared" si="101"/>
        <v>-704.06</v>
      </c>
      <c r="AO432" s="292">
        <f t="shared" si="100"/>
        <v>-0.20138727993020691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89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104"/>
        <v>0</v>
      </c>
      <c r="AG433" s="279"/>
      <c r="AH433" s="280">
        <f t="shared" si="106"/>
        <v>0</v>
      </c>
      <c r="AI433" s="281">
        <f t="shared" si="102"/>
        <v>0</v>
      </c>
      <c r="AJ433" s="286"/>
      <c r="AK433" s="277"/>
      <c r="AL433" s="278">
        <f>IFERROR(SUMIF($C:$C,$V433,Q:Q),0)</f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89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0.40588401358696702</v>
      </c>
      <c r="Y434" s="295"/>
      <c r="Z434" s="297">
        <f>SUM(Z421:Z433)</f>
        <v>186847.4401749401</v>
      </c>
      <c r="AA434" s="296"/>
      <c r="AB434" s="295"/>
      <c r="AC434" s="297"/>
      <c r="AD434" s="298">
        <f>AF434/AF408</f>
        <v>0.3194708721537603</v>
      </c>
      <c r="AE434" s="305"/>
      <c r="AF434" s="297">
        <f>SUM(AF421:AF433)</f>
        <v>145313.62</v>
      </c>
      <c r="AG434" s="306"/>
      <c r="AH434" s="300">
        <f t="shared" si="106"/>
        <v>-41533.820174940105</v>
      </c>
      <c r="AI434" s="296">
        <f>AH434/Z434</f>
        <v>-0.22228733846207974</v>
      </c>
      <c r="AJ434" s="298">
        <f>IF($AL$408=0,0,AL434/$AL$408)</f>
        <v>0.43416036708986977</v>
      </c>
      <c r="AK434" s="295"/>
      <c r="AL434" s="297">
        <f>SUM(AL421:AL433)</f>
        <v>166189.49000000002</v>
      </c>
      <c r="AM434" s="307"/>
      <c r="AN434" s="300">
        <f t="shared" ref="AN434:AN448" si="107">AF434-AL434</f>
        <v>-20875.870000000024</v>
      </c>
      <c r="AO434" s="275">
        <f>IF(AL434=0,0,AN434/AL434)</f>
        <v>-0.12561486288934409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89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108">+SUMIF($C:$C,$V435,F:F)</f>
        <v>2635.137026829851</v>
      </c>
      <c r="AA435" s="310"/>
      <c r="AB435" s="310"/>
      <c r="AC435" s="311"/>
      <c r="AD435" s="312"/>
      <c r="AE435" s="313"/>
      <c r="AF435" s="311">
        <f t="shared" ref="AF435:AF452" si="109">+SUMIF($C:$C,$V435,L:L)</f>
        <v>2325.92</v>
      </c>
      <c r="AG435" s="312"/>
      <c r="AH435" s="314">
        <f t="shared" si="106"/>
        <v>-309.21702682985097</v>
      </c>
      <c r="AI435" s="315">
        <f t="shared" ref="AI435:AI452" si="110">IF(Z435=0,0,AH435/Z435)</f>
        <v>-0.1173438131230118</v>
      </c>
      <c r="AJ435" s="312"/>
      <c r="AK435" s="310"/>
      <c r="AL435" s="311">
        <f t="shared" ref="AL435:AL449" si="111">+SUMIF($C:$C,$V435,Q:Q)</f>
        <v>7841.44</v>
      </c>
      <c r="AM435" s="316"/>
      <c r="AN435" s="314">
        <f t="shared" si="107"/>
        <v>-5515.5199999999995</v>
      </c>
      <c r="AO435" s="283">
        <f t="shared" ref="AO435:AO448" si="112">IF(AL435=0,0,AN435/AL435)</f>
        <v>-0.70338101165092126</v>
      </c>
      <c r="AP435" s="244"/>
      <c r="AQ435" s="244">
        <f>2176+150</f>
        <v>2326</v>
      </c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89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108"/>
        <v>4375</v>
      </c>
      <c r="AA436" s="277"/>
      <c r="AB436" s="277"/>
      <c r="AC436" s="278"/>
      <c r="AD436" s="286"/>
      <c r="AE436" s="285"/>
      <c r="AF436" s="278">
        <f t="shared" si="109"/>
        <v>1619.52</v>
      </c>
      <c r="AG436" s="279"/>
      <c r="AH436" s="280">
        <f t="shared" si="106"/>
        <v>-2755.48</v>
      </c>
      <c r="AI436" s="281">
        <f t="shared" si="110"/>
        <v>-0.62982400000000005</v>
      </c>
      <c r="AJ436" s="286"/>
      <c r="AK436" s="277"/>
      <c r="AL436" s="278">
        <f t="shared" si="111"/>
        <v>3624.7300000000005</v>
      </c>
      <c r="AM436" s="282"/>
      <c r="AN436" s="280">
        <f t="shared" si="107"/>
        <v>-2005.2100000000005</v>
      </c>
      <c r="AO436" s="287">
        <f t="shared" si="112"/>
        <v>-0.55320258336482997</v>
      </c>
      <c r="AP436" s="244"/>
      <c r="AQ436" s="244">
        <v>1620</v>
      </c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89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108"/>
        <v>15077</v>
      </c>
      <c r="AA437" s="261"/>
      <c r="AB437" s="261"/>
      <c r="AC437" s="262"/>
      <c r="AD437" s="290"/>
      <c r="AE437" s="289"/>
      <c r="AF437" s="262">
        <f t="shared" si="109"/>
        <v>13555.59</v>
      </c>
      <c r="AG437" s="263"/>
      <c r="AH437" s="264">
        <f t="shared" si="106"/>
        <v>-1521.4099999999999</v>
      </c>
      <c r="AI437" s="291">
        <f t="shared" si="110"/>
        <v>-0.1009093320952444</v>
      </c>
      <c r="AJ437" s="290"/>
      <c r="AK437" s="261"/>
      <c r="AL437" s="262">
        <f t="shared" si="111"/>
        <v>21230.83</v>
      </c>
      <c r="AM437" s="266"/>
      <c r="AN437" s="264">
        <f t="shared" si="107"/>
        <v>-7675.2400000000016</v>
      </c>
      <c r="AO437" s="267">
        <f t="shared" si="112"/>
        <v>-0.3615138927682055</v>
      </c>
      <c r="AP437" s="244"/>
      <c r="AQ437" s="480">
        <v>13556</v>
      </c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89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108"/>
        <v>22567.753333333334</v>
      </c>
      <c r="AA438" s="277"/>
      <c r="AB438" s="277"/>
      <c r="AC438" s="278"/>
      <c r="AD438" s="286"/>
      <c r="AE438" s="285"/>
      <c r="AF438" s="278">
        <f t="shared" si="109"/>
        <v>23480.29</v>
      </c>
      <c r="AG438" s="279"/>
      <c r="AH438" s="280">
        <f>AF438-Z438</f>
        <v>912.53666666666686</v>
      </c>
      <c r="AI438" s="281">
        <f t="shared" si="110"/>
        <v>4.0435423641343129E-2</v>
      </c>
      <c r="AJ438" s="286"/>
      <c r="AK438" s="277"/>
      <c r="AL438" s="278">
        <f t="shared" si="111"/>
        <v>15117.2</v>
      </c>
      <c r="AM438" s="282"/>
      <c r="AN438" s="280">
        <f t="shared" si="107"/>
        <v>8363.09</v>
      </c>
      <c r="AO438" s="287">
        <f t="shared" si="112"/>
        <v>0.55321686555711369</v>
      </c>
      <c r="AP438" s="480"/>
      <c r="AQ438" s="244">
        <f>17461+5905-585+700</f>
        <v>23481</v>
      </c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89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108"/>
        <v>4158.333333333333</v>
      </c>
      <c r="AA439" s="277"/>
      <c r="AB439" s="277"/>
      <c r="AC439" s="278"/>
      <c r="AD439" s="286"/>
      <c r="AE439" s="285"/>
      <c r="AF439" s="278">
        <f t="shared" si="109"/>
        <v>9019.0400000000009</v>
      </c>
      <c r="AG439" s="279"/>
      <c r="AH439" s="280">
        <f t="shared" si="106"/>
        <v>4860.7066666666678</v>
      </c>
      <c r="AI439" s="281">
        <f t="shared" si="110"/>
        <v>1.1689074148296597</v>
      </c>
      <c r="AJ439" s="286"/>
      <c r="AK439" s="277"/>
      <c r="AL439" s="278">
        <f t="shared" si="111"/>
        <v>1173.47</v>
      </c>
      <c r="AM439" s="282"/>
      <c r="AN439" s="280">
        <f t="shared" si="107"/>
        <v>7845.5700000000006</v>
      </c>
      <c r="AO439" s="287">
        <f t="shared" si="112"/>
        <v>6.6857865987200356</v>
      </c>
      <c r="AP439" s="480"/>
      <c r="AQ439" s="244">
        <f>5019+4000</f>
        <v>9019</v>
      </c>
      <c r="AR439" s="244"/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89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108"/>
        <v>9088.7133333333331</v>
      </c>
      <c r="AA440" s="277"/>
      <c r="AB440" s="277"/>
      <c r="AC440" s="278"/>
      <c r="AD440" s="286"/>
      <c r="AE440" s="285"/>
      <c r="AF440" s="278">
        <f t="shared" si="109"/>
        <v>13826.75</v>
      </c>
      <c r="AG440" s="279"/>
      <c r="AH440" s="280">
        <f t="shared" si="106"/>
        <v>4738.0366666666669</v>
      </c>
      <c r="AI440" s="281">
        <f t="shared" si="110"/>
        <v>0.52130994706254719</v>
      </c>
      <c r="AJ440" s="286"/>
      <c r="AK440" s="277"/>
      <c r="AL440" s="278">
        <f t="shared" si="111"/>
        <v>7369.99</v>
      </c>
      <c r="AM440" s="282"/>
      <c r="AN440" s="280">
        <f t="shared" si="107"/>
        <v>6456.76</v>
      </c>
      <c r="AO440" s="287">
        <f t="shared" si="112"/>
        <v>0.87608802725648205</v>
      </c>
      <c r="AP440" s="244"/>
      <c r="AQ440" s="480">
        <v>13827</v>
      </c>
      <c r="AR440" s="480" t="s">
        <v>264</v>
      </c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108"/>
        <v>0</v>
      </c>
      <c r="AA441" s="318"/>
      <c r="AB441" s="318"/>
      <c r="AC441" s="319"/>
      <c r="AD441" s="320"/>
      <c r="AE441" s="321"/>
      <c r="AF441" s="498">
        <f t="shared" si="109"/>
        <v>0</v>
      </c>
      <c r="AG441" s="322"/>
      <c r="AH441" s="323">
        <f t="shared" si="106"/>
        <v>0</v>
      </c>
      <c r="AI441" s="324">
        <f t="shared" si="110"/>
        <v>0</v>
      </c>
      <c r="AJ441" s="320"/>
      <c r="AK441" s="318"/>
      <c r="AL441" s="319">
        <f t="shared" si="111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si="89"/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108"/>
        <v>3353.75</v>
      </c>
      <c r="AA442" s="277"/>
      <c r="AB442" s="285"/>
      <c r="AC442" s="278"/>
      <c r="AD442" s="286"/>
      <c r="AE442" s="285"/>
      <c r="AF442" s="278">
        <f t="shared" si="109"/>
        <v>1961.98</v>
      </c>
      <c r="AG442" s="279"/>
      <c r="AH442" s="280">
        <f t="shared" si="106"/>
        <v>-1391.77</v>
      </c>
      <c r="AI442" s="281">
        <f t="shared" si="110"/>
        <v>-0.41498919120387623</v>
      </c>
      <c r="AJ442" s="286"/>
      <c r="AK442" s="277"/>
      <c r="AL442" s="278">
        <f t="shared" si="111"/>
        <v>3505.9</v>
      </c>
      <c r="AM442" s="282"/>
      <c r="AN442" s="280">
        <f t="shared" si="107"/>
        <v>-1543.92</v>
      </c>
      <c r="AO442" s="287">
        <f t="shared" si="112"/>
        <v>-0.44037764910579308</v>
      </c>
      <c r="AP442" s="244"/>
      <c r="AQ442" s="244">
        <v>1962</v>
      </c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89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108"/>
        <v>1400</v>
      </c>
      <c r="AA443" s="277"/>
      <c r="AB443" s="277"/>
      <c r="AC443" s="278"/>
      <c r="AD443" s="286"/>
      <c r="AE443" s="285"/>
      <c r="AF443" s="278">
        <f t="shared" si="109"/>
        <v>726</v>
      </c>
      <c r="AG443" s="279"/>
      <c r="AH443" s="280">
        <f t="shared" si="106"/>
        <v>-674</v>
      </c>
      <c r="AI443" s="304">
        <f t="shared" si="110"/>
        <v>-0.48142857142857143</v>
      </c>
      <c r="AJ443" s="286"/>
      <c r="AK443" s="277"/>
      <c r="AL443" s="278">
        <f t="shared" si="111"/>
        <v>459.52</v>
      </c>
      <c r="AM443" s="282"/>
      <c r="AN443" s="280">
        <f t="shared" si="107"/>
        <v>266.48</v>
      </c>
      <c r="AO443" s="287">
        <f t="shared" si="112"/>
        <v>0.57990947075208921</v>
      </c>
      <c r="AP443" s="244"/>
      <c r="AQ443" s="244">
        <f>526+200</f>
        <v>726</v>
      </c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108"/>
        <v>1450</v>
      </c>
      <c r="AA444" s="277"/>
      <c r="AB444" s="277"/>
      <c r="AC444" s="278"/>
      <c r="AD444" s="286"/>
      <c r="AE444" s="285"/>
      <c r="AF444" s="278">
        <f t="shared" si="109"/>
        <v>932.37</v>
      </c>
      <c r="AG444" s="279"/>
      <c r="AH444" s="280">
        <f t="shared" si="106"/>
        <v>-517.63</v>
      </c>
      <c r="AI444" s="281">
        <f t="shared" si="110"/>
        <v>-0.35698620689655169</v>
      </c>
      <c r="AJ444" s="286"/>
      <c r="AK444" s="277"/>
      <c r="AL444" s="278">
        <f t="shared" si="111"/>
        <v>2017.39</v>
      </c>
      <c r="AM444" s="282"/>
      <c r="AN444" s="280">
        <f t="shared" si="107"/>
        <v>-1085.02</v>
      </c>
      <c r="AO444" s="287">
        <f t="shared" si="112"/>
        <v>-0.53783353739237327</v>
      </c>
      <c r="AP444" s="244"/>
      <c r="AQ444" s="244">
        <f>6837-5905</f>
        <v>932</v>
      </c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89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108"/>
        <v>449</v>
      </c>
      <c r="AA445" s="277"/>
      <c r="AB445" s="277"/>
      <c r="AC445" s="278"/>
      <c r="AD445" s="286"/>
      <c r="AE445" s="285"/>
      <c r="AF445" s="278">
        <f t="shared" si="109"/>
        <v>484.36</v>
      </c>
      <c r="AG445" s="279"/>
      <c r="AH445" s="280">
        <f t="shared" si="106"/>
        <v>35.360000000000014</v>
      </c>
      <c r="AI445" s="304">
        <f t="shared" si="110"/>
        <v>7.8752783964365289E-2</v>
      </c>
      <c r="AJ445" s="286"/>
      <c r="AK445" s="277"/>
      <c r="AL445" s="278">
        <f t="shared" si="111"/>
        <v>466.32000000000005</v>
      </c>
      <c r="AM445" s="282"/>
      <c r="AN445" s="280">
        <f t="shared" si="107"/>
        <v>18.039999999999964</v>
      </c>
      <c r="AO445" s="287">
        <f t="shared" si="112"/>
        <v>3.8685880940126871E-2</v>
      </c>
      <c r="AP445" s="244"/>
      <c r="AQ445" s="244">
        <v>484</v>
      </c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89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108"/>
        <v>2825</v>
      </c>
      <c r="AA446" s="277"/>
      <c r="AB446" s="277"/>
      <c r="AC446" s="278"/>
      <c r="AD446" s="286"/>
      <c r="AE446" s="285"/>
      <c r="AF446" s="278">
        <f t="shared" si="109"/>
        <v>1385.35</v>
      </c>
      <c r="AG446" s="279"/>
      <c r="AH446" s="280">
        <f t="shared" si="106"/>
        <v>-1439.65</v>
      </c>
      <c r="AI446" s="281">
        <f t="shared" si="110"/>
        <v>-0.50961061946902653</v>
      </c>
      <c r="AJ446" s="286"/>
      <c r="AK446" s="277"/>
      <c r="AL446" s="278">
        <f t="shared" si="111"/>
        <v>2485.7200000000003</v>
      </c>
      <c r="AM446" s="282"/>
      <c r="AN446" s="280">
        <f t="shared" si="107"/>
        <v>-1100.3700000000003</v>
      </c>
      <c r="AO446" s="287">
        <f t="shared" si="112"/>
        <v>-0.44267656855961263</v>
      </c>
      <c r="AP446" s="244"/>
      <c r="AQ446" s="244">
        <v>1385</v>
      </c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89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108"/>
        <v>1554.9999999999998</v>
      </c>
      <c r="AA447" s="277"/>
      <c r="AB447" s="285"/>
      <c r="AC447" s="278"/>
      <c r="AD447" s="286"/>
      <c r="AE447" s="285"/>
      <c r="AF447" s="278">
        <f t="shared" si="109"/>
        <v>1353.46</v>
      </c>
      <c r="AG447" s="279"/>
      <c r="AH447" s="280">
        <f t="shared" si="106"/>
        <v>-201.53999999999974</v>
      </c>
      <c r="AI447" s="304">
        <f t="shared" si="110"/>
        <v>-0.12960771704180049</v>
      </c>
      <c r="AJ447" s="286"/>
      <c r="AK447" s="277"/>
      <c r="AL447" s="278">
        <f t="shared" si="111"/>
        <v>4378.57</v>
      </c>
      <c r="AM447" s="282"/>
      <c r="AN447" s="280">
        <f t="shared" si="107"/>
        <v>-3025.1099999999997</v>
      </c>
      <c r="AO447" s="287">
        <f t="shared" si="112"/>
        <v>-0.69088994808807436</v>
      </c>
      <c r="AP447" s="244"/>
      <c r="AQ447" s="244">
        <v>1353</v>
      </c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89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108"/>
        <v>2370.6533333333336</v>
      </c>
      <c r="AA448" s="277"/>
      <c r="AB448" s="285"/>
      <c r="AC448" s="278"/>
      <c r="AD448" s="286"/>
      <c r="AE448" s="285"/>
      <c r="AF448" s="278">
        <f t="shared" si="109"/>
        <v>3513.49</v>
      </c>
      <c r="AG448" s="279"/>
      <c r="AH448" s="280">
        <f t="shared" si="106"/>
        <v>1142.8366666666661</v>
      </c>
      <c r="AI448" s="281">
        <f t="shared" si="110"/>
        <v>0.48207667084741729</v>
      </c>
      <c r="AJ448" s="286"/>
      <c r="AK448" s="277"/>
      <c r="AL448" s="278">
        <f t="shared" si="111"/>
        <v>2659.98</v>
      </c>
      <c r="AM448" s="282"/>
      <c r="AN448" s="280">
        <f t="shared" si="107"/>
        <v>853.50999999999976</v>
      </c>
      <c r="AO448" s="287">
        <f t="shared" si="112"/>
        <v>0.32087083361529023</v>
      </c>
      <c r="AP448" s="244"/>
      <c r="AQ448" s="244">
        <v>3513</v>
      </c>
      <c r="AR448" s="244" t="s">
        <v>266</v>
      </c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89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1.8131217970870947E-3</v>
      </c>
      <c r="Z449" s="278">
        <f t="shared" si="108"/>
        <v>8060.2860615361133</v>
      </c>
      <c r="AA449" s="277"/>
      <c r="AB449" s="285"/>
      <c r="AC449" s="278"/>
      <c r="AD449" s="286"/>
      <c r="AE449" s="285"/>
      <c r="AF449" s="278">
        <f t="shared" si="109"/>
        <v>6766.5700000000006</v>
      </c>
      <c r="AG449" s="279"/>
      <c r="AH449" s="280">
        <f t="shared" si="106"/>
        <v>-1293.7160615361126</v>
      </c>
      <c r="AI449" s="281">
        <f t="shared" si="110"/>
        <v>-0.16050498104648644</v>
      </c>
      <c r="AJ449" s="286"/>
      <c r="AK449" s="277"/>
      <c r="AL449" s="278">
        <f t="shared" si="111"/>
        <v>6302.04</v>
      </c>
      <c r="AM449" s="282"/>
      <c r="AN449" s="280">
        <f>AF449-AL449</f>
        <v>464.53000000000065</v>
      </c>
      <c r="AO449" s="287">
        <f>IF(AL449=0,0,AN449/AL449)</f>
        <v>7.3711052294177862E-2</v>
      </c>
      <c r="AP449" s="244"/>
      <c r="AQ449" s="244">
        <v>6767</v>
      </c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89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>IFERROR(SUMIF($C:$C,$V450,F:F),0)</f>
        <v>0</v>
      </c>
      <c r="AA450" s="277"/>
      <c r="AB450" s="277"/>
      <c r="AC450" s="280"/>
      <c r="AD450" s="286"/>
      <c r="AE450" s="285"/>
      <c r="AF450" s="278">
        <f t="shared" si="109"/>
        <v>0</v>
      </c>
      <c r="AG450" s="279"/>
      <c r="AH450" s="280">
        <f t="shared" si="106"/>
        <v>0</v>
      </c>
      <c r="AI450" s="281">
        <f t="shared" si="110"/>
        <v>0</v>
      </c>
      <c r="AJ450" s="286"/>
      <c r="AK450" s="277"/>
      <c r="AL450" s="278">
        <f>IFERROR(SUMIF($C:$C,$V450,Q:Q),0)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89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IFERROR(SUMIF($C:$C,$V451,F:F),0)</f>
        <v>0</v>
      </c>
      <c r="AA451" s="277"/>
      <c r="AB451" s="277"/>
      <c r="AC451" s="280"/>
      <c r="AD451" s="286"/>
      <c r="AE451" s="285"/>
      <c r="AF451" s="278">
        <f t="shared" si="109"/>
        <v>0</v>
      </c>
      <c r="AG451" s="279"/>
      <c r="AH451" s="280">
        <f t="shared" si="106"/>
        <v>0</v>
      </c>
      <c r="AI451" s="281">
        <f t="shared" si="110"/>
        <v>0</v>
      </c>
      <c r="AJ451" s="286"/>
      <c r="AK451" s="277"/>
      <c r="AL451" s="278">
        <f>IFERROR(SUMIF($C:$C,$V451,Q:Q),0)</f>
        <v>0</v>
      </c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89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IFERROR(SUMIF($C:$C,$V452,F:F),0)</f>
        <v>0</v>
      </c>
      <c r="AA452" s="277"/>
      <c r="AB452" s="277"/>
      <c r="AC452" s="280"/>
      <c r="AD452" s="286"/>
      <c r="AE452" s="285"/>
      <c r="AF452" s="278">
        <f t="shared" si="109"/>
        <v>0</v>
      </c>
      <c r="AG452" s="279"/>
      <c r="AH452" s="280">
        <f t="shared" si="106"/>
        <v>0</v>
      </c>
      <c r="AI452" s="281">
        <f t="shared" si="110"/>
        <v>0</v>
      </c>
      <c r="AJ452" s="286"/>
      <c r="AK452" s="277"/>
      <c r="AL452" s="278">
        <f>IFERROR(SUMIF($C:$C,$V452,Q:Q),0)</f>
        <v>0</v>
      </c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89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0.17240396209186906</v>
      </c>
      <c r="Y453" s="295"/>
      <c r="Z453" s="297">
        <f>+SUM(Z435:Z452)</f>
        <v>79365.6264216993</v>
      </c>
      <c r="AA453" s="296"/>
      <c r="AB453" s="295"/>
      <c r="AC453" s="297"/>
      <c r="AD453" s="298">
        <f>AF453/AF408</f>
        <v>0.17796946725123694</v>
      </c>
      <c r="AE453" s="295"/>
      <c r="AF453" s="297">
        <f>+SUM(AF435:AF452)</f>
        <v>80950.690000000017</v>
      </c>
      <c r="AG453" s="306"/>
      <c r="AH453" s="300">
        <f>+SUM(AH435:AH452)</f>
        <v>1585.0635783007037</v>
      </c>
      <c r="AI453" s="296">
        <f>AH453/Z453</f>
        <v>1.9971663423642212E-2</v>
      </c>
      <c r="AJ453" s="298">
        <f>IF($AL$408=0,0,AL453/$AL$408)</f>
        <v>0.20542439573895091</v>
      </c>
      <c r="AK453" s="296"/>
      <c r="AL453" s="297">
        <f>+SUM(AL435:AL452)</f>
        <v>78633.099999999977</v>
      </c>
      <c r="AM453" s="307"/>
      <c r="AN453" s="300">
        <f>+SUM(AN435:AN452)</f>
        <v>2317.59</v>
      </c>
      <c r="AO453" s="329">
        <f>IF(AL453=0,0,AN453/AL453)</f>
        <v>2.9473466008589268E-2</v>
      </c>
      <c r="AP453" s="244"/>
      <c r="AQ453" s="308">
        <f>SUM(AQ435:AQ449)-AF453</f>
        <v>0.30999999998311978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89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v>50000</v>
      </c>
      <c r="AA454" s="277"/>
      <c r="AB454" s="285"/>
      <c r="AC454" s="278"/>
      <c r="AD454" s="286"/>
      <c r="AE454" s="285"/>
      <c r="AF454" s="278">
        <v>50000</v>
      </c>
      <c r="AG454" s="279"/>
      <c r="AH454" s="280">
        <f t="shared" ref="AH454:AH462" si="113">AF454-Z454</f>
        <v>0</v>
      </c>
      <c r="AI454" s="281">
        <f t="shared" ref="AI454:AI462" si="114">IF(Z454=0,0,AH454/Z454)</f>
        <v>0</v>
      </c>
      <c r="AJ454" s="286"/>
      <c r="AK454" s="277"/>
      <c r="AL454" s="278">
        <v>50000</v>
      </c>
      <c r="AM454" s="282"/>
      <c r="AN454" s="280">
        <f>AF454-AL454</f>
        <v>0</v>
      </c>
      <c r="AO454" s="287">
        <f t="shared" ref="AO454:AO462" si="115">IF(AL454=0,0,AN454/AL454)</f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89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v>6346.5300000000007</v>
      </c>
      <c r="AA455" s="277"/>
      <c r="AB455" s="285"/>
      <c r="AC455" s="278"/>
      <c r="AD455" s="286"/>
      <c r="AE455" s="285"/>
      <c r="AF455" s="278">
        <v>6134.99</v>
      </c>
      <c r="AG455" s="279"/>
      <c r="AH455" s="280">
        <f t="shared" si="113"/>
        <v>-211.54000000000087</v>
      </c>
      <c r="AI455" s="281">
        <f t="shared" si="114"/>
        <v>-3.3331600102733436E-2</v>
      </c>
      <c r="AJ455" s="286"/>
      <c r="AK455" s="277"/>
      <c r="AL455" s="278">
        <v>6166.7999999999902</v>
      </c>
      <c r="AM455" s="282"/>
      <c r="AN455" s="280">
        <f t="shared" ref="AN455:AN462" si="116">AF455-AL455</f>
        <v>-31.809999999990396</v>
      </c>
      <c r="AO455" s="287">
        <f t="shared" si="115"/>
        <v>-5.1582668482828119E-3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89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v>2719.9400000000005</v>
      </c>
      <c r="AA456" s="261"/>
      <c r="AB456" s="289"/>
      <c r="AC456" s="262"/>
      <c r="AD456" s="290"/>
      <c r="AE456" s="289"/>
      <c r="AF456" s="262">
        <v>2629.28</v>
      </c>
      <c r="AG456" s="263"/>
      <c r="AH456" s="264">
        <f t="shared" si="113"/>
        <v>-90.660000000000309</v>
      </c>
      <c r="AI456" s="291">
        <f t="shared" si="114"/>
        <v>-3.3331617609212078E-2</v>
      </c>
      <c r="AJ456" s="290"/>
      <c r="AK456" s="261"/>
      <c r="AL456" s="262">
        <v>2642.93</v>
      </c>
      <c r="AM456" s="266"/>
      <c r="AN456" s="264">
        <f t="shared" si="116"/>
        <v>-13.649999999999636</v>
      </c>
      <c r="AO456" s="267">
        <f t="shared" si="115"/>
        <v>-5.1647224860286263E-3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89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v>0</v>
      </c>
      <c r="AA457" s="277"/>
      <c r="AB457" s="285"/>
      <c r="AC457" s="278"/>
      <c r="AD457" s="286"/>
      <c r="AE457" s="285"/>
      <c r="AF457" s="278">
        <v>0</v>
      </c>
      <c r="AG457" s="279"/>
      <c r="AH457" s="280">
        <f t="shared" si="113"/>
        <v>0</v>
      </c>
      <c r="AI457" s="281">
        <f t="shared" si="114"/>
        <v>0</v>
      </c>
      <c r="AJ457" s="286"/>
      <c r="AK457" s="277"/>
      <c r="AL457" s="278">
        <v>0</v>
      </c>
      <c r="AM457" s="282"/>
      <c r="AN457" s="280">
        <f t="shared" si="116"/>
        <v>0</v>
      </c>
      <c r="AO457" s="287">
        <f t="shared" si="115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89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v>3571.166666666667</v>
      </c>
      <c r="AA458" s="261"/>
      <c r="AB458" s="289"/>
      <c r="AC458" s="262"/>
      <c r="AD458" s="290"/>
      <c r="AE458" s="289"/>
      <c r="AF458" s="262">
        <v>3571.16</v>
      </c>
      <c r="AG458" s="263"/>
      <c r="AH458" s="264">
        <f t="shared" si="113"/>
        <v>-6.6666666671153507E-3</v>
      </c>
      <c r="AI458" s="291">
        <f t="shared" si="114"/>
        <v>-1.8668035657204508E-6</v>
      </c>
      <c r="AJ458" s="290"/>
      <c r="AK458" s="261"/>
      <c r="AL458" s="262">
        <v>4853.83</v>
      </c>
      <c r="AM458" s="266"/>
      <c r="AN458" s="264">
        <f t="shared" si="116"/>
        <v>-1282.67</v>
      </c>
      <c r="AO458" s="267">
        <f t="shared" si="115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89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v>6675</v>
      </c>
      <c r="AA459" s="330"/>
      <c r="AB459" s="331"/>
      <c r="AC459" s="278"/>
      <c r="AD459" s="286"/>
      <c r="AE459" s="285"/>
      <c r="AF459" s="278">
        <v>6395.85</v>
      </c>
      <c r="AG459" s="279"/>
      <c r="AH459" s="280">
        <f t="shared" si="113"/>
        <v>-279.14999999999964</v>
      </c>
      <c r="AI459" s="281">
        <f t="shared" si="114"/>
        <v>-4.1820224719101066E-2</v>
      </c>
      <c r="AJ459" s="286"/>
      <c r="AK459" s="277"/>
      <c r="AL459" s="278">
        <v>5506.44</v>
      </c>
      <c r="AM459" s="282"/>
      <c r="AN459" s="280">
        <f t="shared" si="116"/>
        <v>889.41000000000076</v>
      </c>
      <c r="AO459" s="287">
        <f t="shared" si="115"/>
        <v>0.16152178176825696</v>
      </c>
      <c r="AP459" s="244"/>
      <c r="AQ459" s="244">
        <f>4896+1500</f>
        <v>6396</v>
      </c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89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v>1750</v>
      </c>
      <c r="AA460" s="277"/>
      <c r="AB460" s="285"/>
      <c r="AC460" s="278"/>
      <c r="AD460" s="286"/>
      <c r="AE460" s="285"/>
      <c r="AF460" s="278">
        <v>1500</v>
      </c>
      <c r="AG460" s="279"/>
      <c r="AH460" s="280">
        <f t="shared" si="113"/>
        <v>-250</v>
      </c>
      <c r="AI460" s="281">
        <f t="shared" si="114"/>
        <v>-0.14285714285714285</v>
      </c>
      <c r="AJ460" s="286"/>
      <c r="AK460" s="277"/>
      <c r="AL460" s="278">
        <v>6307.33</v>
      </c>
      <c r="AM460" s="282"/>
      <c r="AN460" s="280">
        <f t="shared" si="116"/>
        <v>-4807.33</v>
      </c>
      <c r="AO460" s="287">
        <f t="shared" si="115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89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v>450</v>
      </c>
      <c r="AA461" s="261"/>
      <c r="AB461" s="289"/>
      <c r="AC461" s="262"/>
      <c r="AD461" s="290"/>
      <c r="AE461" s="289"/>
      <c r="AF461" s="262">
        <v>450</v>
      </c>
      <c r="AG461" s="263"/>
      <c r="AH461" s="264">
        <f t="shared" si="113"/>
        <v>0</v>
      </c>
      <c r="AI461" s="291">
        <f t="shared" si="114"/>
        <v>0</v>
      </c>
      <c r="AJ461" s="290"/>
      <c r="AK461" s="261"/>
      <c r="AL461" s="262">
        <v>400</v>
      </c>
      <c r="AM461" s="266"/>
      <c r="AN461" s="264">
        <f t="shared" si="116"/>
        <v>50</v>
      </c>
      <c r="AO461" s="267">
        <f t="shared" si="115"/>
        <v>0.125</v>
      </c>
      <c r="AP461" s="244"/>
      <c r="AQ461" s="244">
        <v>450</v>
      </c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89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v>279</v>
      </c>
      <c r="AA462" s="277"/>
      <c r="AB462" s="285"/>
      <c r="AC462" s="278"/>
      <c r="AD462" s="286"/>
      <c r="AE462" s="285"/>
      <c r="AF462" s="278">
        <v>464</v>
      </c>
      <c r="AG462" s="279"/>
      <c r="AH462" s="280">
        <f t="shared" si="113"/>
        <v>185</v>
      </c>
      <c r="AI462" s="333">
        <f t="shared" si="114"/>
        <v>0.6630824372759857</v>
      </c>
      <c r="AJ462" s="277"/>
      <c r="AK462" s="277"/>
      <c r="AL462" s="278">
        <v>164</v>
      </c>
      <c r="AM462" s="282"/>
      <c r="AN462" s="280">
        <f t="shared" si="116"/>
        <v>300</v>
      </c>
      <c r="AO462" s="287">
        <f t="shared" si="115"/>
        <v>1.8292682926829269</v>
      </c>
      <c r="AP462" s="244"/>
      <c r="AQ462" s="244">
        <f>164+300</f>
        <v>464</v>
      </c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89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89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IFERROR(SUMIF($C:$C,$V464,F:F),0)</f>
        <v>0</v>
      </c>
      <c r="AA464" s="277"/>
      <c r="AB464" s="277"/>
      <c r="AC464" s="280"/>
      <c r="AD464" s="286"/>
      <c r="AE464" s="285"/>
      <c r="AF464" s="278">
        <f>+SUMIF($C:$C,$V464,L:L)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89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IFERROR(SUMIF($C:$C,$V465,F:F),0)</f>
        <v>0</v>
      </c>
      <c r="AA465" s="277"/>
      <c r="AB465" s="277"/>
      <c r="AC465" s="280"/>
      <c r="AD465" s="286"/>
      <c r="AE465" s="285"/>
      <c r="AF465" s="278">
        <f>+SUMIF($C:$C,$V465,L:L)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IFERROR(SUMIF($C:$C,$V465,Q:Q),0)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89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IFERROR(SUMIF($C:$C,$V466,F:F),0)</f>
        <v>0</v>
      </c>
      <c r="AA466" s="277"/>
      <c r="AB466" s="277"/>
      <c r="AC466" s="280"/>
      <c r="AD466" s="286"/>
      <c r="AE466" s="285"/>
      <c r="AF466" s="278">
        <f>+SUMIF($C:$C,$V466,L:L)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IFERROR(SUMIF($C:$C,$V466,Q:Q),0)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89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0.15595117388261684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0.15641234903667997</v>
      </c>
      <c r="AE467" s="295"/>
      <c r="AF467" s="297">
        <f>SUM(AF454:AF466)</f>
        <v>71145.279999999999</v>
      </c>
      <c r="AG467" s="306"/>
      <c r="AH467" s="300">
        <f>SUM(AH454:AH466)</f>
        <v>-646.35666666666793</v>
      </c>
      <c r="AI467" s="296">
        <f>IF(Z467=0,0,AH467/Z467)</f>
        <v>-9.0032306920058789E-3</v>
      </c>
      <c r="AJ467" s="298">
        <f>IF($AL$408=0,0,AL467/$AL$408)</f>
        <v>0.19865354750653558</v>
      </c>
      <c r="AK467" s="296"/>
      <c r="AL467" s="297">
        <f>SUM(AL454:AL466)</f>
        <v>76041.329999999987</v>
      </c>
      <c r="AM467" s="307"/>
      <c r="AN467" s="300">
        <f>SUM(AN454:AN466)</f>
        <v>-4896.0499999999893</v>
      </c>
      <c r="AO467" s="329">
        <f t="shared" ref="AO467:AO484" si="117">IF(AL467=0,0,AN467/AL467)</f>
        <v>-6.4386696024385556E-2</v>
      </c>
      <c r="AP467" s="244"/>
      <c r="AQ467" s="308">
        <f>SUM(AQ454:AQ462)-AF467</f>
        <v>-0.27999999999883585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89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18">AF468-Z468</f>
        <v>0</v>
      </c>
      <c r="AI468" s="281"/>
      <c r="AJ468" s="286"/>
      <c r="AK468" s="277"/>
      <c r="AL468" s="334"/>
      <c r="AM468" s="335"/>
      <c r="AN468" s="280">
        <f t="shared" ref="AN468:AN484" si="119">AF468-AL468</f>
        <v>0</v>
      </c>
      <c r="AO468" s="336">
        <f t="shared" si="117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89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0.9678794465015037</v>
      </c>
      <c r="Y469" s="295"/>
      <c r="Z469" s="297">
        <f>Z420+Z434+Z453+Z467</f>
        <v>445560.28550751187</v>
      </c>
      <c r="AA469" s="296"/>
      <c r="AB469" s="295"/>
      <c r="AC469" s="297"/>
      <c r="AD469" s="298">
        <f>AF469/AF408</f>
        <v>0.902214009241318</v>
      </c>
      <c r="AE469" s="295"/>
      <c r="AF469" s="297">
        <f>AF420+AF434+AF453+AF467</f>
        <v>410378.52</v>
      </c>
      <c r="AG469" s="306"/>
      <c r="AH469" s="300">
        <f t="shared" si="118"/>
        <v>-35181.765507511853</v>
      </c>
      <c r="AI469" s="296">
        <f>AH469/Z469</f>
        <v>-7.8960730235277471E-2</v>
      </c>
      <c r="AJ469" s="298">
        <f>IF($AL$408=0,0,AL469/$AL$408)</f>
        <v>1.0872160553356982</v>
      </c>
      <c r="AK469" s="296"/>
      <c r="AL469" s="297">
        <f>AL420+AL434+AL453+AL467</f>
        <v>416168.53</v>
      </c>
      <c r="AM469" s="307"/>
      <c r="AN469" s="300">
        <f t="shared" si="119"/>
        <v>-5790.0100000000093</v>
      </c>
      <c r="AO469" s="275">
        <f t="shared" si="117"/>
        <v>-1.3912656970963203E-2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89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v>0</v>
      </c>
      <c r="AA470" s="337"/>
      <c r="AB470" s="338"/>
      <c r="AC470" s="311"/>
      <c r="AD470" s="339"/>
      <c r="AE470" s="338"/>
      <c r="AF470" s="278">
        <v>2251.88</v>
      </c>
      <c r="AG470" s="340"/>
      <c r="AH470" s="280">
        <f t="shared" si="118"/>
        <v>2251.88</v>
      </c>
      <c r="AI470" s="333" t="e">
        <f>IF(AH470=0,0,AH470/Z470)</f>
        <v>#DIV/0!</v>
      </c>
      <c r="AJ470" s="339"/>
      <c r="AK470" s="337"/>
      <c r="AL470" s="341">
        <v>9960.7999999999993</v>
      </c>
      <c r="AM470" s="342"/>
      <c r="AN470" s="280">
        <f t="shared" si="119"/>
        <v>-7708.9199999999992</v>
      </c>
      <c r="AO470" s="287">
        <f t="shared" si="117"/>
        <v>-0.7739257890932455</v>
      </c>
      <c r="AP470" s="244" t="s">
        <v>244</v>
      </c>
      <c r="AQ470" s="244">
        <v>2252</v>
      </c>
      <c r="AR470" s="244"/>
      <c r="AS470" s="244">
        <f>AQ470+AR470</f>
        <v>2252</v>
      </c>
      <c r="AT470" s="308">
        <f>AS470-AF470</f>
        <v>0.11999999999989086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89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40105.37142857143</v>
      </c>
      <c r="AA471" s="330"/>
      <c r="AB471" s="331"/>
      <c r="AC471" s="278"/>
      <c r="AD471" s="343"/>
      <c r="AE471" s="331"/>
      <c r="AF471" s="278">
        <f t="shared" ref="AF471:AF477" si="120">+SUMIF($C:$C,$V471,L:L)</f>
        <v>48444</v>
      </c>
      <c r="AG471" s="344"/>
      <c r="AH471" s="280">
        <f t="shared" si="118"/>
        <v>8338.6285714285696</v>
      </c>
      <c r="AI471" s="304">
        <f>IF(Z471=0,0,AH471/Z471)</f>
        <v>0.20791799887154405</v>
      </c>
      <c r="AJ471" s="343"/>
      <c r="AK471" s="330"/>
      <c r="AL471" s="345">
        <f>+SUMIF($C:$C,$V471,Q:Q)</f>
        <v>33389.4</v>
      </c>
      <c r="AM471" s="346"/>
      <c r="AN471" s="280">
        <f t="shared" si="119"/>
        <v>15054.599999999999</v>
      </c>
      <c r="AO471" s="287">
        <f t="shared" si="117"/>
        <v>0.45087962047835534</v>
      </c>
      <c r="AP471" s="244"/>
      <c r="AQ471" s="244">
        <v>48444</v>
      </c>
      <c r="AR471" s="244"/>
      <c r="AS471" s="244">
        <f>AQ471+AR471</f>
        <v>48444</v>
      </c>
      <c r="AT471" s="308">
        <f t="shared" ref="AT471:AT481" si="121">AS471-AF471</f>
        <v>0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89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v>33086.931428571428</v>
      </c>
      <c r="AA472" s="330"/>
      <c r="AB472" s="331"/>
      <c r="AC472" s="278"/>
      <c r="AD472" s="343"/>
      <c r="AE472" s="331"/>
      <c r="AF472" s="278">
        <f t="shared" si="120"/>
        <v>45245.120000000003</v>
      </c>
      <c r="AG472" s="344"/>
      <c r="AH472" s="280">
        <f t="shared" si="118"/>
        <v>12158.188571428575</v>
      </c>
      <c r="AI472" s="304">
        <f t="shared" ref="AI472:AI481" si="122">IF(AH472=0,0,AH472/Z472)</f>
        <v>0.36746195692628242</v>
      </c>
      <c r="AJ472" s="343"/>
      <c r="AK472" s="330"/>
      <c r="AL472" s="345">
        <v>26024.46</v>
      </c>
      <c r="AM472" s="346"/>
      <c r="AN472" s="280">
        <f t="shared" si="119"/>
        <v>19220.660000000003</v>
      </c>
      <c r="AO472" s="287">
        <f t="shared" si="117"/>
        <v>0.73856133806426738</v>
      </c>
      <c r="AP472" s="244"/>
      <c r="AQ472" s="244">
        <v>43761</v>
      </c>
      <c r="AR472" s="244">
        <f>3839.35-2355.5</f>
        <v>1483.85</v>
      </c>
      <c r="AS472" s="244">
        <f>AQ472+AR472</f>
        <v>45244.85</v>
      </c>
      <c r="AT472" s="308">
        <f t="shared" si="121"/>
        <v>-0.27000000000407454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89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+SUMIF($C:$C,$V473,F:F)</f>
        <v>0</v>
      </c>
      <c r="AA473" s="330"/>
      <c r="AB473" s="331"/>
      <c r="AC473" s="278"/>
      <c r="AD473" s="343"/>
      <c r="AE473" s="331"/>
      <c r="AF473" s="278">
        <f t="shared" si="120"/>
        <v>0</v>
      </c>
      <c r="AG473" s="344"/>
      <c r="AH473" s="280">
        <f t="shared" si="118"/>
        <v>0</v>
      </c>
      <c r="AI473" s="304">
        <f t="shared" si="122"/>
        <v>0</v>
      </c>
      <c r="AJ473" s="343"/>
      <c r="AK473" s="330"/>
      <c r="AL473" s="345">
        <f>+SUMIF($C:$C,$V473,Q:Q)</f>
        <v>0</v>
      </c>
      <c r="AM473" s="346"/>
      <c r="AN473" s="280">
        <f t="shared" si="119"/>
        <v>0</v>
      </c>
      <c r="AO473" s="287">
        <f t="shared" si="117"/>
        <v>0</v>
      </c>
      <c r="AP473" s="244"/>
      <c r="AQ473" s="244"/>
      <c r="AR473" s="244"/>
      <c r="AS473" s="244">
        <f t="shared" ref="AS473:AS481" si="123">AQ473+AR473</f>
        <v>0</v>
      </c>
      <c r="AT473" s="308">
        <f t="shared" si="121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89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+SUMIF($C:$C,$V474,F:F)</f>
        <v>0</v>
      </c>
      <c r="AA474" s="330"/>
      <c r="AB474" s="331"/>
      <c r="AC474" s="278"/>
      <c r="AD474" s="343"/>
      <c r="AE474" s="331"/>
      <c r="AF474" s="278">
        <f t="shared" si="120"/>
        <v>0</v>
      </c>
      <c r="AG474" s="344"/>
      <c r="AH474" s="280">
        <f t="shared" si="118"/>
        <v>0</v>
      </c>
      <c r="AI474" s="304">
        <f t="shared" si="122"/>
        <v>0</v>
      </c>
      <c r="AJ474" s="343"/>
      <c r="AK474" s="330"/>
      <c r="AL474" s="345">
        <f>+SUMIF($C:$C,$V474,Q:Q)</f>
        <v>0</v>
      </c>
      <c r="AM474" s="346"/>
      <c r="AN474" s="280">
        <f t="shared" si="119"/>
        <v>0</v>
      </c>
      <c r="AO474" s="287">
        <f t="shared" si="117"/>
        <v>0</v>
      </c>
      <c r="AP474" s="244"/>
      <c r="AQ474" s="244"/>
      <c r="AR474" s="244"/>
      <c r="AS474" s="244">
        <f t="shared" si="123"/>
        <v>0</v>
      </c>
      <c r="AT474" s="308">
        <f t="shared" si="121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89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v>5250</v>
      </c>
      <c r="AA475" s="330"/>
      <c r="AB475" s="331"/>
      <c r="AC475" s="278"/>
      <c r="AD475" s="343"/>
      <c r="AE475" s="331"/>
      <c r="AF475" s="278">
        <f t="shared" si="120"/>
        <v>4675</v>
      </c>
      <c r="AG475" s="344"/>
      <c r="AH475" s="280">
        <f t="shared" si="118"/>
        <v>-575</v>
      </c>
      <c r="AI475" s="304">
        <f t="shared" si="122"/>
        <v>-0.10952380952380952</v>
      </c>
      <c r="AJ475" s="343"/>
      <c r="AK475" s="330"/>
      <c r="AL475" s="345">
        <v>0</v>
      </c>
      <c r="AM475" s="346"/>
      <c r="AN475" s="280">
        <f t="shared" si="119"/>
        <v>4675</v>
      </c>
      <c r="AO475" s="287">
        <f t="shared" si="117"/>
        <v>0</v>
      </c>
      <c r="AP475" s="244"/>
      <c r="AQ475" s="244">
        <v>4675</v>
      </c>
      <c r="AR475" s="244"/>
      <c r="AS475" s="244">
        <f t="shared" si="123"/>
        <v>4675</v>
      </c>
      <c r="AT475" s="308">
        <f t="shared" si="121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89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+SUMIF($C:$C,$V476,F:F)</f>
        <v>0</v>
      </c>
      <c r="AA476" s="330"/>
      <c r="AB476" s="331"/>
      <c r="AC476" s="278"/>
      <c r="AD476" s="343"/>
      <c r="AE476" s="331"/>
      <c r="AF476" s="278">
        <f t="shared" si="120"/>
        <v>2700</v>
      </c>
      <c r="AG476" s="344"/>
      <c r="AH476" s="280">
        <f t="shared" si="118"/>
        <v>2700</v>
      </c>
      <c r="AI476" s="304" t="e">
        <f t="shared" si="122"/>
        <v>#DIV/0!</v>
      </c>
      <c r="AJ476" s="343"/>
      <c r="AK476" s="330"/>
      <c r="AL476" s="345">
        <f>+SUMIF($C:$C,$V476,Q:Q)</f>
        <v>0</v>
      </c>
      <c r="AM476" s="346"/>
      <c r="AN476" s="280">
        <f t="shared" si="119"/>
        <v>2700</v>
      </c>
      <c r="AO476" s="287">
        <f t="shared" si="117"/>
        <v>0</v>
      </c>
      <c r="AP476" s="244"/>
      <c r="AQ476" s="244">
        <v>2700</v>
      </c>
      <c r="AR476" s="244"/>
      <c r="AS476" s="244">
        <f t="shared" si="123"/>
        <v>2700</v>
      </c>
      <c r="AT476" s="308">
        <f t="shared" si="121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89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+SUMIF($C:$C,$V477,F:F)</f>
        <v>0</v>
      </c>
      <c r="AA477" s="330"/>
      <c r="AB477" s="331"/>
      <c r="AC477" s="278"/>
      <c r="AD477" s="343"/>
      <c r="AE477" s="331"/>
      <c r="AF477" s="278">
        <f t="shared" si="120"/>
        <v>0</v>
      </c>
      <c r="AG477" s="344"/>
      <c r="AH477" s="280">
        <f t="shared" si="118"/>
        <v>0</v>
      </c>
      <c r="AI477" s="304">
        <f t="shared" si="122"/>
        <v>0</v>
      </c>
      <c r="AJ477" s="343"/>
      <c r="AK477" s="330"/>
      <c r="AL477" s="345">
        <f>+SUMIF($C:$C,$V477,Q:Q)</f>
        <v>0</v>
      </c>
      <c r="AM477" s="346"/>
      <c r="AN477" s="280">
        <f t="shared" si="119"/>
        <v>0</v>
      </c>
      <c r="AO477" s="287">
        <f t="shared" si="117"/>
        <v>0</v>
      </c>
      <c r="AP477" s="244"/>
      <c r="AQ477" s="244"/>
      <c r="AR477" s="244"/>
      <c r="AS477" s="244">
        <f t="shared" si="123"/>
        <v>0</v>
      </c>
      <c r="AT477" s="308">
        <f t="shared" si="121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89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v>22057.954285714284</v>
      </c>
      <c r="AA478" s="330"/>
      <c r="AB478" s="331"/>
      <c r="AC478" s="278"/>
      <c r="AD478" s="343"/>
      <c r="AE478" s="331"/>
      <c r="AF478" s="278">
        <v>22014.82</v>
      </c>
      <c r="AG478" s="344"/>
      <c r="AH478" s="280">
        <f t="shared" si="118"/>
        <v>-43.134285714284488</v>
      </c>
      <c r="AI478" s="304">
        <f t="shared" si="122"/>
        <v>-1.9554980101767721E-3</v>
      </c>
      <c r="AJ478" s="343"/>
      <c r="AK478" s="330"/>
      <c r="AL478" s="345">
        <v>21204.92</v>
      </c>
      <c r="AM478" s="346"/>
      <c r="AN478" s="280">
        <f t="shared" si="119"/>
        <v>809.90000000000146</v>
      </c>
      <c r="AO478" s="287">
        <f t="shared" si="117"/>
        <v>3.8193966305932844E-2</v>
      </c>
      <c r="AP478" s="244"/>
      <c r="AQ478" s="244">
        <v>20725</v>
      </c>
      <c r="AR478" s="244">
        <f>2541.55-1251.78</f>
        <v>1289.7700000000002</v>
      </c>
      <c r="AS478" s="244">
        <f t="shared" si="123"/>
        <v>22014.77</v>
      </c>
      <c r="AT478" s="308">
        <f t="shared" si="121"/>
        <v>-4.9999999999272404E-2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89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IFERROR(SUMIF($C:$C,$V479,F:F),0)</f>
        <v>0</v>
      </c>
      <c r="AA479" s="277"/>
      <c r="AB479" s="277"/>
      <c r="AC479" s="280"/>
      <c r="AD479" s="286"/>
      <c r="AE479" s="285"/>
      <c r="AF479" s="278">
        <f>+SUMIF($C:$C,$V479,L:L)</f>
        <v>0</v>
      </c>
      <c r="AG479" s="279"/>
      <c r="AH479" s="280">
        <f t="shared" si="118"/>
        <v>0</v>
      </c>
      <c r="AI479" s="281">
        <f t="shared" si="122"/>
        <v>0</v>
      </c>
      <c r="AJ479" s="286"/>
      <c r="AK479" s="277"/>
      <c r="AL479" s="278">
        <f>+SUMIF($C:$C,$V479,Q:Q)</f>
        <v>0</v>
      </c>
      <c r="AM479" s="346"/>
      <c r="AN479" s="280">
        <f t="shared" si="119"/>
        <v>0</v>
      </c>
      <c r="AO479" s="287">
        <f t="shared" si="117"/>
        <v>0</v>
      </c>
      <c r="AP479" s="244"/>
      <c r="AQ479" s="244"/>
      <c r="AR479" s="244"/>
      <c r="AS479" s="244">
        <f t="shared" si="123"/>
        <v>0</v>
      </c>
      <c r="AT479" s="308">
        <f t="shared" si="121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89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IFERROR(SUMIF($C:$C,$V480,F:F),0)</f>
        <v>0</v>
      </c>
      <c r="AA480" s="277"/>
      <c r="AB480" s="277"/>
      <c r="AC480" s="280"/>
      <c r="AD480" s="286"/>
      <c r="AE480" s="285"/>
      <c r="AF480" s="278">
        <f>+SUMIF($C:$C,$V480,L:L)</f>
        <v>0</v>
      </c>
      <c r="AG480" s="279"/>
      <c r="AH480" s="280">
        <f t="shared" si="118"/>
        <v>0</v>
      </c>
      <c r="AI480" s="281">
        <f t="shared" si="122"/>
        <v>0</v>
      </c>
      <c r="AJ480" s="286"/>
      <c r="AK480" s="277"/>
      <c r="AL480" s="278">
        <f>+SUMIF($C:$C,$V480,Q:Q)</f>
        <v>0</v>
      </c>
      <c r="AM480" s="346"/>
      <c r="AN480" s="280">
        <f t="shared" si="119"/>
        <v>0</v>
      </c>
      <c r="AO480" s="287">
        <f t="shared" si="117"/>
        <v>0</v>
      </c>
      <c r="AP480" s="244"/>
      <c r="AQ480" s="244"/>
      <c r="AR480" s="244"/>
      <c r="AS480" s="244">
        <f t="shared" si="123"/>
        <v>0</v>
      </c>
      <c r="AT480" s="308">
        <f t="shared" si="121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89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24537.8</v>
      </c>
      <c r="AA481" s="330"/>
      <c r="AB481" s="331"/>
      <c r="AC481" s="278"/>
      <c r="AD481" s="343"/>
      <c r="AE481" s="331"/>
      <c r="AF481" s="278">
        <f>+SUMIF($C:$C,$V481,L:L)</f>
        <v>29155</v>
      </c>
      <c r="AG481" s="344"/>
      <c r="AH481" s="280">
        <f t="shared" si="118"/>
        <v>4617.2000000000007</v>
      </c>
      <c r="AI481" s="304">
        <f t="shared" si="122"/>
        <v>0.1881668283220175</v>
      </c>
      <c r="AJ481" s="343"/>
      <c r="AK481" s="330"/>
      <c r="AL481" s="345">
        <v>22610</v>
      </c>
      <c r="AM481" s="346"/>
      <c r="AN481" s="280">
        <f t="shared" si="119"/>
        <v>6545</v>
      </c>
      <c r="AO481" s="287">
        <f t="shared" si="117"/>
        <v>0.28947368421052633</v>
      </c>
      <c r="AP481" s="244"/>
      <c r="AQ481" s="244">
        <v>29155</v>
      </c>
      <c r="AR481" s="244"/>
      <c r="AS481" s="244">
        <f t="shared" si="123"/>
        <v>29155</v>
      </c>
      <c r="AT481" s="308">
        <f t="shared" si="121"/>
        <v>0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89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0.2716170392098638</v>
      </c>
      <c r="Y482" s="328"/>
      <c r="Z482" s="297">
        <f>SUM(Z470:Z481)</f>
        <v>125038.05714285714</v>
      </c>
      <c r="AA482" s="296"/>
      <c r="AB482" s="328"/>
      <c r="AC482" s="297"/>
      <c r="AD482" s="296">
        <f>AF482/+AF408</f>
        <v>0.33963588306993409</v>
      </c>
      <c r="AE482" s="328"/>
      <c r="AF482" s="297">
        <f>SUM(AF470:AF481)</f>
        <v>154485.82</v>
      </c>
      <c r="AG482" s="306"/>
      <c r="AH482" s="300">
        <f t="shared" si="118"/>
        <v>29447.762857142865</v>
      </c>
      <c r="AI482" s="296">
        <f>AH482/Z482</f>
        <v>0.23551040003363555</v>
      </c>
      <c r="AJ482" s="347"/>
      <c r="AK482" s="348"/>
      <c r="AL482" s="297">
        <f>SUM(AL470:AL481)</f>
        <v>113189.58</v>
      </c>
      <c r="AM482" s="349"/>
      <c r="AN482" s="300">
        <f t="shared" si="119"/>
        <v>41296.240000000005</v>
      </c>
      <c r="AO482" s="329">
        <f t="shared" si="117"/>
        <v>0.36484135730515127</v>
      </c>
      <c r="AP482" s="244"/>
      <c r="AQ482" s="244">
        <f>SUM(AQ470:AQ481)</f>
        <v>151712</v>
      </c>
      <c r="AR482" s="244">
        <f>SUM(AR470:AR481)</f>
        <v>2773.62</v>
      </c>
      <c r="AS482" s="308">
        <f>SUM(AS470:AS481)-AF482</f>
        <v>-0.20000000001164153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89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19"/>
        <v>0</v>
      </c>
      <c r="AO483" s="362">
        <f t="shared" si="117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89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3.1452869741610275E-2</v>
      </c>
      <c r="Z484" s="367">
        <f>Z408-Z469+Z482</f>
        <v>139824.65379926944</v>
      </c>
      <c r="AA484" s="365"/>
      <c r="AB484" s="366"/>
      <c r="AC484" s="367"/>
      <c r="AD484" s="365" t="s">
        <v>180</v>
      </c>
      <c r="AE484" s="366">
        <f>AF484/AF407</f>
        <v>4.2453630327031595E-2</v>
      </c>
      <c r="AF484" s="368">
        <f>AF408-AF469+AF482</f>
        <v>198964.48000000016</v>
      </c>
      <c r="AG484" s="369"/>
      <c r="AH484" s="368">
        <f>AF484-Z484</f>
        <v>59139.82620073072</v>
      </c>
      <c r="AI484" s="481">
        <f>AH484/Z484</f>
        <v>0.42295707226016904</v>
      </c>
      <c r="AJ484" s="371" t="s">
        <v>180</v>
      </c>
      <c r="AK484" s="366">
        <f>IF($AL$407=0,0,AL484/$AL$407)</f>
        <v>2.1512928701438293E-2</v>
      </c>
      <c r="AL484" s="368">
        <f>AL408-AL469+AL482</f>
        <v>79804.699999999473</v>
      </c>
      <c r="AM484" s="372"/>
      <c r="AN484" s="368">
        <f t="shared" si="119"/>
        <v>119159.78000000068</v>
      </c>
      <c r="AO484" s="373">
        <f t="shared" si="117"/>
        <v>1.493142383844579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89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ref="A486:A499" si="124">+U486&amp;V486</f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Août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2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2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3.8224352467558648E-2</v>
      </c>
      <c r="Z489" s="446">
        <f>Z490+Z416</f>
        <v>169927.47861753643</v>
      </c>
      <c r="AA489" s="443"/>
      <c r="AB489" s="444"/>
      <c r="AC489" s="445"/>
      <c r="AD489" s="443" t="s">
        <v>180</v>
      </c>
      <c r="AE489" s="444">
        <f>AF489/AF407</f>
        <v>4.9023755666099018E-2</v>
      </c>
      <c r="AF489" s="446">
        <f>AF490+AF416</f>
        <v>229756.23000000016</v>
      </c>
      <c r="AG489" s="447"/>
      <c r="AH489" s="446">
        <f t="shared" ref="AH489" si="125">AF489-Z489</f>
        <v>59828.751382463728</v>
      </c>
      <c r="AI489" s="488">
        <f>AH489/Z489</f>
        <v>0.35208402942953709</v>
      </c>
      <c r="AJ489" s="443" t="s">
        <v>180</v>
      </c>
      <c r="AK489" s="444">
        <f>IF($AL$407=0,0,AL489/$AL$407)</f>
        <v>2.8315406755371763E-2</v>
      </c>
      <c r="AL489" s="446">
        <f>AL490+AL416</f>
        <v>105039.27999999947</v>
      </c>
      <c r="AM489" s="448"/>
      <c r="AN489" s="446">
        <f t="shared" ref="AN489" si="126">AF489-AL489</f>
        <v>124716.95000000068</v>
      </c>
      <c r="AO489" s="449">
        <f t="shared" ref="AO489" si="127">IF(AL489=0,0,AN489/AL489)</f>
        <v>1.1873362993348897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12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3.1452869741610275E-2</v>
      </c>
      <c r="Z490" s="379">
        <f>Z484</f>
        <v>139824.65379926944</v>
      </c>
      <c r="AA490" s="377"/>
      <c r="AB490" s="378"/>
      <c r="AC490" s="379"/>
      <c r="AD490" s="377" t="s">
        <v>180</v>
      </c>
      <c r="AE490" s="378">
        <f>AF490/AF407</f>
        <v>4.2453630327031595E-2</v>
      </c>
      <c r="AF490" s="379">
        <f>AF484</f>
        <v>198964.48000000016</v>
      </c>
      <c r="AG490" s="380"/>
      <c r="AH490" s="368">
        <f>AF490-Z490</f>
        <v>59139.82620073072</v>
      </c>
      <c r="AI490" s="481">
        <f>AH490/Z490</f>
        <v>0.42295707226016904</v>
      </c>
      <c r="AJ490" s="377" t="s">
        <v>180</v>
      </c>
      <c r="AK490" s="378">
        <f>IF($AL$407=0,0,AL490/$AL$407)</f>
        <v>2.1512928701438293E-2</v>
      </c>
      <c r="AL490" s="381">
        <f>AL484</f>
        <v>79804.699999999473</v>
      </c>
      <c r="AM490" s="382"/>
      <c r="AN490" s="383">
        <f>AF490-AL490</f>
        <v>119159.78000000068</v>
      </c>
      <c r="AO490" s="384">
        <f>IF(AL490=0,0,AN490/AL490)</f>
        <v>1.493142383844579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2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2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v>4077.75</v>
      </c>
      <c r="AA492" s="277"/>
      <c r="AB492" s="285"/>
      <c r="AC492" s="278"/>
      <c r="AD492" s="277"/>
      <c r="AE492" s="285"/>
      <c r="AF492" s="278">
        <v>4077.75</v>
      </c>
      <c r="AG492" s="277"/>
      <c r="AH492" s="280">
        <f t="shared" ref="AH492:AH499" si="128">AF492-Z492</f>
        <v>0</v>
      </c>
      <c r="AI492" s="304">
        <f t="shared" ref="AI492:AI498" si="129">IF(Z492=0,0,AH492/Z492)</f>
        <v>0</v>
      </c>
      <c r="AJ492" s="277"/>
      <c r="AK492" s="277"/>
      <c r="AL492" s="278">
        <v>19300</v>
      </c>
      <c r="AM492" s="282"/>
      <c r="AN492" s="280">
        <f t="shared" ref="AN492:AN499" si="130">AF492-AL492</f>
        <v>-15222.25</v>
      </c>
      <c r="AO492" s="287">
        <f t="shared" ref="AO492:AO499" si="131">IF(AL492=0,0,AN492/AL492)</f>
        <v>-0.78871761658031092</v>
      </c>
      <c r="AP492" s="244"/>
      <c r="AQ492" s="494">
        <v>4078</v>
      </c>
      <c r="AR492" s="308">
        <f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2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v>0</v>
      </c>
      <c r="AA493" s="10"/>
      <c r="AB493" s="10"/>
      <c r="AC493" s="278"/>
      <c r="AD493" s="10"/>
      <c r="AE493" s="13"/>
      <c r="AF493" s="278">
        <v>0</v>
      </c>
      <c r="AG493" s="10"/>
      <c r="AH493" s="280">
        <f t="shared" si="128"/>
        <v>0</v>
      </c>
      <c r="AI493" s="304">
        <f t="shared" si="129"/>
        <v>0</v>
      </c>
      <c r="AJ493" s="10"/>
      <c r="AK493" s="10"/>
      <c r="AL493" s="278">
        <v>0</v>
      </c>
      <c r="AM493" s="391"/>
      <c r="AN493" s="280">
        <f t="shared" si="130"/>
        <v>0</v>
      </c>
      <c r="AO493" s="287">
        <f t="shared" si="131"/>
        <v>0</v>
      </c>
      <c r="AP493" s="244"/>
      <c r="AQ493" s="244"/>
      <c r="AR493" s="308">
        <f t="shared" ref="AR493:AR497" si="132">AQ493-AF493</f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2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v>0</v>
      </c>
      <c r="AA494" s="10"/>
      <c r="AB494" s="10"/>
      <c r="AC494" s="278"/>
      <c r="AD494" s="10"/>
      <c r="AE494" s="13"/>
      <c r="AF494" s="278">
        <v>0</v>
      </c>
      <c r="AG494" s="10"/>
      <c r="AH494" s="280">
        <f t="shared" si="128"/>
        <v>0</v>
      </c>
      <c r="AI494" s="304">
        <f t="shared" si="129"/>
        <v>0</v>
      </c>
      <c r="AJ494" s="10"/>
      <c r="AK494" s="10"/>
      <c r="AL494" s="278">
        <v>0</v>
      </c>
      <c r="AM494" s="391"/>
      <c r="AN494" s="280">
        <f t="shared" si="130"/>
        <v>0</v>
      </c>
      <c r="AO494" s="287">
        <f t="shared" si="131"/>
        <v>0</v>
      </c>
      <c r="AP494" s="244"/>
      <c r="AQ494" s="244"/>
      <c r="AR494" s="308">
        <f t="shared" si="132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2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v>0</v>
      </c>
      <c r="AA495" s="10"/>
      <c r="AB495" s="10"/>
      <c r="AC495" s="278"/>
      <c r="AD495" s="10"/>
      <c r="AE495" s="13"/>
      <c r="AF495" s="278">
        <v>0</v>
      </c>
      <c r="AG495" s="10"/>
      <c r="AH495" s="280">
        <f t="shared" si="128"/>
        <v>0</v>
      </c>
      <c r="AI495" s="304">
        <f t="shared" si="129"/>
        <v>0</v>
      </c>
      <c r="AJ495" s="10"/>
      <c r="AK495" s="10"/>
      <c r="AL495" s="278">
        <v>0</v>
      </c>
      <c r="AM495" s="391"/>
      <c r="AN495" s="280">
        <f t="shared" si="130"/>
        <v>0</v>
      </c>
      <c r="AO495" s="287">
        <f t="shared" si="131"/>
        <v>0</v>
      </c>
      <c r="AP495" s="244"/>
      <c r="AQ495" s="244"/>
      <c r="AR495" s="308">
        <f t="shared" si="132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2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v>0</v>
      </c>
      <c r="AG496" s="279"/>
      <c r="AH496" s="280">
        <f t="shared" si="128"/>
        <v>0</v>
      </c>
      <c r="AI496" s="281">
        <f t="shared" si="129"/>
        <v>0</v>
      </c>
      <c r="AJ496" s="286"/>
      <c r="AK496" s="277"/>
      <c r="AL496" s="278"/>
      <c r="AM496" s="391"/>
      <c r="AN496" s="280">
        <f t="shared" si="130"/>
        <v>0</v>
      </c>
      <c r="AO496" s="287">
        <f t="shared" si="131"/>
        <v>0</v>
      </c>
      <c r="AP496" s="244"/>
      <c r="AQ496" s="244"/>
      <c r="AR496" s="308">
        <f t="shared" si="132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2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v>0</v>
      </c>
      <c r="AA497" s="277"/>
      <c r="AB497" s="277"/>
      <c r="AC497" s="280"/>
      <c r="AD497" s="286"/>
      <c r="AE497" s="285"/>
      <c r="AF497" s="278">
        <v>-3142.47</v>
      </c>
      <c r="AG497" s="279"/>
      <c r="AH497" s="280">
        <f t="shared" si="128"/>
        <v>-3142.47</v>
      </c>
      <c r="AI497" s="281">
        <f t="shared" si="129"/>
        <v>0</v>
      </c>
      <c r="AJ497" s="286"/>
      <c r="AK497" s="277"/>
      <c r="AL497" s="278">
        <v>-2632.46</v>
      </c>
      <c r="AM497" s="391"/>
      <c r="AN497" s="280">
        <f t="shared" si="130"/>
        <v>-510.00999999999976</v>
      </c>
      <c r="AO497" s="287">
        <f t="shared" si="131"/>
        <v>0.19373893620415875</v>
      </c>
      <c r="AP497" s="244"/>
      <c r="AQ497" s="308">
        <v>-3142</v>
      </c>
      <c r="AR497" s="308">
        <f t="shared" si="132"/>
        <v>0.46999999999979991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2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v>0</v>
      </c>
      <c r="AG498" s="279"/>
      <c r="AH498" s="280">
        <f t="shared" si="128"/>
        <v>0</v>
      </c>
      <c r="AI498" s="281">
        <f t="shared" si="129"/>
        <v>0</v>
      </c>
      <c r="AJ498" s="286"/>
      <c r="AK498" s="277"/>
      <c r="AL498" s="278"/>
      <c r="AM498" s="391"/>
      <c r="AN498" s="280">
        <f t="shared" si="130"/>
        <v>0</v>
      </c>
      <c r="AO498" s="287">
        <f t="shared" si="131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2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3.053559988894913E-2</v>
      </c>
      <c r="Z499" s="367">
        <f>Z490-Z492-Z493-Z494-Z498-Z497-Z495-Z496</f>
        <v>135746.90379926944</v>
      </c>
      <c r="AA499" s="365"/>
      <c r="AB499" s="366"/>
      <c r="AC499" s="367"/>
      <c r="AD499" s="365" t="s">
        <v>180</v>
      </c>
      <c r="AE499" s="366">
        <f>AF499/AF407</f>
        <v>4.2254066910625478E-2</v>
      </c>
      <c r="AF499" s="368">
        <f>AF490-AF492-AF493-AF494-AF498-AF497-AF495-AF496</f>
        <v>198029.20000000016</v>
      </c>
      <c r="AG499" s="369"/>
      <c r="AH499" s="368">
        <f t="shared" si="128"/>
        <v>62282.296200730721</v>
      </c>
      <c r="AI499" s="481">
        <f>AH499/Z499</f>
        <v>0.45881190994107901</v>
      </c>
      <c r="AJ499" s="371" t="s">
        <v>180</v>
      </c>
      <c r="AK499" s="366">
        <f>IF($AL$407=0,0,AL499/$AL$407)</f>
        <v>1.7019865014106933E-2</v>
      </c>
      <c r="AL499" s="368">
        <f>AL490-AL492-AL493-AL494-AL498-AL497-AL495-AL496</f>
        <v>63137.159999999472</v>
      </c>
      <c r="AM499" s="372"/>
      <c r="AN499" s="368">
        <f t="shared" si="130"/>
        <v>134892.04000000068</v>
      </c>
      <c r="AO499" s="392">
        <f t="shared" si="131"/>
        <v>2.1364920436712991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198029.20000000016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267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198029.20000000016</v>
      </c>
      <c r="AG512" s="308">
        <f>AF512-AF506</f>
        <v>198029.20000000016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</sheetData>
  <mergeCells count="42"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O171:Q171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AM405:AO405"/>
    <mergeCell ref="X405:Z405"/>
    <mergeCell ref="AA405:AC405"/>
    <mergeCell ref="AD405:AF405"/>
    <mergeCell ref="AG405:AI405"/>
    <mergeCell ref="AJ405:AL405"/>
  </mergeCells>
  <conditionalFormatting sqref="D113:D114">
    <cfRule type="expression" dxfId="219" priority="26" stopIfTrue="1">
      <formula>"esterreur(reference)"</formula>
    </cfRule>
  </conditionalFormatting>
  <conditionalFormatting sqref="E103:E105">
    <cfRule type="expression" dxfId="218" priority="2" stopIfTrue="1">
      <formula>"esterreur(reference)"</formula>
    </cfRule>
  </conditionalFormatting>
  <conditionalFormatting sqref="F5">
    <cfRule type="expression" dxfId="217" priority="69" stopIfTrue="1">
      <formula>"esterreur(reference)"</formula>
    </cfRule>
  </conditionalFormatting>
  <conditionalFormatting sqref="F185">
    <cfRule type="expression" dxfId="216" priority="78" stopIfTrue="1">
      <formula>"esterreur(reference)"</formula>
    </cfRule>
  </conditionalFormatting>
  <conditionalFormatting sqref="G31:G32">
    <cfRule type="expression" dxfId="215" priority="30" stopIfTrue="1">
      <formula>"esterreur(reference)"</formula>
    </cfRule>
  </conditionalFormatting>
  <conditionalFormatting sqref="G113:G114">
    <cfRule type="expression" dxfId="214" priority="27" stopIfTrue="1">
      <formula>"esterreur(reference)"</formula>
    </cfRule>
  </conditionalFormatting>
  <conditionalFormatting sqref="H137:H153">
    <cfRule type="expression" dxfId="213" priority="35" stopIfTrue="1">
      <formula>"esterreur(reference)"</formula>
    </cfRule>
  </conditionalFormatting>
  <conditionalFormatting sqref="H361">
    <cfRule type="expression" dxfId="212" priority="108" stopIfTrue="1">
      <formula>"esterreur(reference)"</formula>
    </cfRule>
  </conditionalFormatting>
  <conditionalFormatting sqref="H198:L198">
    <cfRule type="expression" dxfId="211" priority="110" stopIfTrue="1">
      <formula>"esterreur(reference)"</formula>
    </cfRule>
  </conditionalFormatting>
  <conditionalFormatting sqref="H397:L400">
    <cfRule type="expression" dxfId="210" priority="106" stopIfTrue="1">
      <formula>"esterreur(reference)"</formula>
    </cfRule>
  </conditionalFormatting>
  <conditionalFormatting sqref="I378:L378 H379:H396">
    <cfRule type="expression" dxfId="20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08" priority="102" stopIfTrue="1">
      <formula>"esterreur(reference)"</formula>
    </cfRule>
  </conditionalFormatting>
  <conditionalFormatting sqref="J49:L72">
    <cfRule type="expression" dxfId="207" priority="36" stopIfTrue="1">
      <formula>"esterreur(reference)"</formula>
    </cfRule>
  </conditionalFormatting>
  <conditionalFormatting sqref="J103:L105">
    <cfRule type="expression" dxfId="206" priority="99" stopIfTrue="1">
      <formula>"esterreur(reference)"</formula>
    </cfRule>
  </conditionalFormatting>
  <conditionalFormatting sqref="J150:L153">
    <cfRule type="expression" dxfId="205" priority="34" stopIfTrue="1">
      <formula>"esterreur(reference)"</formula>
    </cfRule>
  </conditionalFormatting>
  <conditionalFormatting sqref="J296:L304">
    <cfRule type="expression" dxfId="204" priority="95" stopIfTrue="1">
      <formula>"esterreur(reference)"</formula>
    </cfRule>
  </conditionalFormatting>
  <conditionalFormatting sqref="J308:L309">
    <cfRule type="expression" dxfId="203" priority="85" stopIfTrue="1">
      <formula>"esterreur(reference)"</formula>
    </cfRule>
  </conditionalFormatting>
  <conditionalFormatting sqref="J361:L361">
    <cfRule type="expression" dxfId="202" priority="77" stopIfTrue="1">
      <formula>"esterreur(reference)"</formula>
    </cfRule>
  </conditionalFormatting>
  <conditionalFormatting sqref="J366:L377">
    <cfRule type="expression" dxfId="201" priority="82" stopIfTrue="1">
      <formula>"esterreur(reference)"</formula>
    </cfRule>
  </conditionalFormatting>
  <conditionalFormatting sqref="J379:L395">
    <cfRule type="expression" dxfId="200" priority="81" stopIfTrue="1">
      <formula>"esterreur(reference)"</formula>
    </cfRule>
  </conditionalFormatting>
  <conditionalFormatting sqref="J313:M313">
    <cfRule type="expression" dxfId="199" priority="83" stopIfTrue="1">
      <formula>"esterreur(reference)"</formula>
    </cfRule>
  </conditionalFormatting>
  <conditionalFormatting sqref="J113:Q122">
    <cfRule type="expression" dxfId="198" priority="28" stopIfTrue="1">
      <formula>"esterreur(reference)"</formula>
    </cfRule>
  </conditionalFormatting>
  <conditionalFormatting sqref="J124:Q135">
    <cfRule type="expression" dxfId="197" priority="61" stopIfTrue="1">
      <formula>"esterreur(reference)"</formula>
    </cfRule>
  </conditionalFormatting>
  <conditionalFormatting sqref="K5">
    <cfRule type="expression" dxfId="196" priority="92" stopIfTrue="1">
      <formula>"esterreur(reference)"</formula>
    </cfRule>
  </conditionalFormatting>
  <conditionalFormatting sqref="K176">
    <cfRule type="expression" dxfId="195" priority="89" stopIfTrue="1">
      <formula>"esterreur(reference)"</formula>
    </cfRule>
  </conditionalFormatting>
  <conditionalFormatting sqref="K184:K185">
    <cfRule type="expression" dxfId="194" priority="91" stopIfTrue="1">
      <formula>"esterreur(reference)"</formula>
    </cfRule>
  </conditionalFormatting>
  <conditionalFormatting sqref="K288">
    <cfRule type="expression" dxfId="193" priority="75" stopIfTrue="1">
      <formula>"esterreur(reference)"</formula>
    </cfRule>
  </conditionalFormatting>
  <conditionalFormatting sqref="K396">
    <cfRule type="expression" dxfId="192" priority="109" stopIfTrue="1">
      <formula>"esterreur(reference)"</formula>
    </cfRule>
  </conditionalFormatting>
  <conditionalFormatting sqref="K93:L96">
    <cfRule type="expression" dxfId="191" priority="80" stopIfTrue="1">
      <formula>"esterreur(reference)"</formula>
    </cfRule>
  </conditionalFormatting>
  <conditionalFormatting sqref="K100:L101">
    <cfRule type="expression" dxfId="190" priority="100" stopIfTrue="1">
      <formula>"esterreur(reference)"</formula>
    </cfRule>
  </conditionalFormatting>
  <conditionalFormatting sqref="K172:L174">
    <cfRule type="expression" dxfId="189" priority="90" stopIfTrue="1">
      <formula>"esterreur(reference)"</formula>
    </cfRule>
  </conditionalFormatting>
  <conditionalFormatting sqref="K177:L183">
    <cfRule type="expression" dxfId="188" priority="88" stopIfTrue="1">
      <formula>"esterreur(reference)"</formula>
    </cfRule>
  </conditionalFormatting>
  <conditionalFormatting sqref="K186:L197">
    <cfRule type="expression" dxfId="187" priority="84" stopIfTrue="1">
      <formula>"esterreur(reference)"</formula>
    </cfRule>
  </conditionalFormatting>
  <conditionalFormatting sqref="K240:L242">
    <cfRule type="expression" dxfId="186" priority="79" stopIfTrue="1">
      <formula>"esterreur(reference)"</formula>
    </cfRule>
  </conditionalFormatting>
  <conditionalFormatting sqref="K245:L245">
    <cfRule type="expression" dxfId="185" priority="87" stopIfTrue="1">
      <formula>"esterreur(reference)"</formula>
    </cfRule>
  </conditionalFormatting>
  <conditionalFormatting sqref="K248:L248">
    <cfRule type="expression" dxfId="184" priority="86" stopIfTrue="1">
      <formula>"esterreur(reference)"</formula>
    </cfRule>
  </conditionalFormatting>
  <conditionalFormatting sqref="L16:L24 Q16:Q24 O18:O24 D31:D32 L99 O99 Q99">
    <cfRule type="expression" dxfId="183" priority="31" stopIfTrue="1">
      <formula>"esterreur(reference)"</formula>
    </cfRule>
  </conditionalFormatting>
  <conditionalFormatting sqref="L42:L48">
    <cfRule type="expression" dxfId="182" priority="101" stopIfTrue="1">
      <formula>"esterreur(reference)"</formula>
    </cfRule>
  </conditionalFormatting>
  <conditionalFormatting sqref="L75:L82">
    <cfRule type="expression" dxfId="181" priority="70" stopIfTrue="1">
      <formula>"esterreur(reference)"</formula>
    </cfRule>
  </conditionalFormatting>
  <conditionalFormatting sqref="L137:L148">
    <cfRule type="expression" dxfId="180" priority="74" stopIfTrue="1">
      <formula>"esterreur(reference)"</formula>
    </cfRule>
  </conditionalFormatting>
  <conditionalFormatting sqref="L175:L176">
    <cfRule type="expression" dxfId="179" priority="98" stopIfTrue="1">
      <formula>"esterreur(reference)"</formula>
    </cfRule>
  </conditionalFormatting>
  <conditionalFormatting sqref="L199:L210">
    <cfRule type="expression" dxfId="178" priority="97" stopIfTrue="1">
      <formula>"esterreur(reference)"</formula>
    </cfRule>
  </conditionalFormatting>
  <conditionalFormatting sqref="L212:L229">
    <cfRule type="expression" dxfId="177" priority="73" stopIfTrue="1">
      <formula>"esterreur(reference)"</formula>
    </cfRule>
  </conditionalFormatting>
  <conditionalFormatting sqref="L255:L266">
    <cfRule type="expression" dxfId="176" priority="96" stopIfTrue="1">
      <formula>"esterreur(reference)"</formula>
    </cfRule>
  </conditionalFormatting>
  <conditionalFormatting sqref="L268:L285">
    <cfRule type="expression" dxfId="175" priority="72" stopIfTrue="1">
      <formula>"esterreur(reference)"</formula>
    </cfRule>
  </conditionalFormatting>
  <conditionalFormatting sqref="L319:L330">
    <cfRule type="expression" dxfId="174" priority="94" stopIfTrue="1">
      <formula>"esterreur(reference)"</formula>
    </cfRule>
  </conditionalFormatting>
  <conditionalFormatting sqref="L332">
    <cfRule type="expression" dxfId="173" priority="71" stopIfTrue="1">
      <formula>"esterreur(reference)"</formula>
    </cfRule>
  </conditionalFormatting>
  <conditionalFormatting sqref="L335:L344 L346:L349">
    <cfRule type="expression" dxfId="172" priority="93" stopIfTrue="1">
      <formula>"esterreur(reference)"</formula>
    </cfRule>
  </conditionalFormatting>
  <conditionalFormatting sqref="L357:L358 H358:I358 K358 J358:J359 H360:L360">
    <cfRule type="expression" dxfId="171" priority="105" stopIfTrue="1">
      <formula>"esterreur(reference)"</formula>
    </cfRule>
  </conditionalFormatting>
  <conditionalFormatting sqref="L5:Q14">
    <cfRule type="expression" dxfId="170" priority="65" stopIfTrue="1">
      <formula>"esterreur(reference)"</formula>
    </cfRule>
  </conditionalFormatting>
  <conditionalFormatting sqref="L157:Q163">
    <cfRule type="expression" dxfId="169" priority="32" stopIfTrue="1">
      <formula>"esterreur(reference)"</formula>
    </cfRule>
  </conditionalFormatting>
  <conditionalFormatting sqref="M95:M97">
    <cfRule type="expression" dxfId="168" priority="103" stopIfTrue="1">
      <formula>"esterreur(reference)"</formula>
    </cfRule>
  </conditionalFormatting>
  <conditionalFormatting sqref="O13:O14 O16 O83:Q85">
    <cfRule type="expression" dxfId="167" priority="68" stopIfTrue="1">
      <formula>"esterreur(reference)"</formula>
    </cfRule>
  </conditionalFormatting>
  <conditionalFormatting sqref="O173:O197 Q184 O199:P230 O233:Q233 O234:P234">
    <cfRule type="expression" dxfId="166" priority="59" stopIfTrue="1">
      <formula>"esterreur(reference)"</formula>
    </cfRule>
  </conditionalFormatting>
  <conditionalFormatting sqref="O319:P349 O350:Q350 O353:Q353 O354:P354">
    <cfRule type="expression" dxfId="165" priority="43" stopIfTrue="1">
      <formula>"esterreur(reference)"</formula>
    </cfRule>
  </conditionalFormatting>
  <conditionalFormatting sqref="O25:Q72">
    <cfRule type="expression" dxfId="164" priority="29" stopIfTrue="1">
      <formula>"esterreur(reference)"</formula>
    </cfRule>
  </conditionalFormatting>
  <conditionalFormatting sqref="O97:Q99 O123:Q123 O157:P158 O165:Q165 O166:P166">
    <cfRule type="expression" dxfId="163" priority="64" stopIfTrue="1">
      <formula>"esterreur(reference)"</formula>
    </cfRule>
  </conditionalFormatting>
  <conditionalFormatting sqref="O102:Q112">
    <cfRule type="expression" dxfId="162" priority="1" stopIfTrue="1">
      <formula>"esterreur(reference)"</formula>
    </cfRule>
  </conditionalFormatting>
  <conditionalFormatting sqref="O136:Q154">
    <cfRule type="expression" dxfId="161" priority="33" stopIfTrue="1">
      <formula>"esterreur(reference)"</formula>
    </cfRule>
  </conditionalFormatting>
  <conditionalFormatting sqref="O198:Q198">
    <cfRule type="expression" dxfId="160" priority="60" stopIfTrue="1">
      <formula>"esterreur(reference)"</formula>
    </cfRule>
  </conditionalFormatting>
  <conditionalFormatting sqref="O244:Q244 O253:Q254 O255:P285 O286:Q286 O289:Q289 O290:P290">
    <cfRule type="expression" dxfId="159" priority="50" stopIfTrue="1">
      <formula>"esterreur(reference)"</formula>
    </cfRule>
  </conditionalFormatting>
  <conditionalFormatting sqref="O296:Q318">
    <cfRule type="expression" dxfId="158" priority="41" stopIfTrue="1">
      <formula>"esterreur(reference)"</formula>
    </cfRule>
  </conditionalFormatting>
  <conditionalFormatting sqref="O360:Q395">
    <cfRule type="expression" dxfId="157" priority="37" stopIfTrue="1">
      <formula>"esterreur(reference)"</formula>
    </cfRule>
  </conditionalFormatting>
  <conditionalFormatting sqref="O397:Q400">
    <cfRule type="expression" dxfId="156" priority="38" stopIfTrue="1">
      <formula>"esterreur(reference)"</formula>
    </cfRule>
  </conditionalFormatting>
  <conditionalFormatting sqref="P5">
    <cfRule type="expression" dxfId="155" priority="66" stopIfTrue="1">
      <formula>"esterreur(reference)"</formula>
    </cfRule>
  </conditionalFormatting>
  <conditionalFormatting sqref="P176">
    <cfRule type="expression" dxfId="154" priority="54" stopIfTrue="1">
      <formula>"esterreur(reference)"</formula>
    </cfRule>
  </conditionalFormatting>
  <conditionalFormatting sqref="P184:P185">
    <cfRule type="expression" dxfId="153" priority="56" stopIfTrue="1">
      <formula>"esterreur(reference)"</formula>
    </cfRule>
  </conditionalFormatting>
  <conditionalFormatting sqref="P288">
    <cfRule type="expression" dxfId="152" priority="45" stopIfTrue="1">
      <formula>"esterreur(reference)"</formula>
    </cfRule>
  </conditionalFormatting>
  <conditionalFormatting sqref="P396">
    <cfRule type="expression" dxfId="151" priority="39" stopIfTrue="1">
      <formula>"esterreur(reference)"</formula>
    </cfRule>
  </conditionalFormatting>
  <conditionalFormatting sqref="P93:Q96">
    <cfRule type="expression" dxfId="150" priority="62" stopIfTrue="1">
      <formula>"esterreur(reference)"</formula>
    </cfRule>
  </conditionalFormatting>
  <conditionalFormatting sqref="P100:Q101">
    <cfRule type="expression" dxfId="149" priority="63" stopIfTrue="1">
      <formula>"esterreur(reference)"</formula>
    </cfRule>
  </conditionalFormatting>
  <conditionalFormatting sqref="P173:Q174">
    <cfRule type="expression" dxfId="148" priority="55" stopIfTrue="1">
      <formula>"esterreur(reference)"</formula>
    </cfRule>
  </conditionalFormatting>
  <conditionalFormatting sqref="P177:Q183">
    <cfRule type="expression" dxfId="147" priority="53" stopIfTrue="1">
      <formula>"esterreur(reference)"</formula>
    </cfRule>
  </conditionalFormatting>
  <conditionalFormatting sqref="P186:Q197">
    <cfRule type="expression" dxfId="146" priority="52" stopIfTrue="1">
      <formula>"esterreur(reference)"</formula>
    </cfRule>
  </conditionalFormatting>
  <conditionalFormatting sqref="P242:Q242">
    <cfRule type="expression" dxfId="145" priority="46" stopIfTrue="1">
      <formula>"esterreur(reference)"</formula>
    </cfRule>
  </conditionalFormatting>
  <conditionalFormatting sqref="P245:Q245">
    <cfRule type="expression" dxfId="144" priority="48" stopIfTrue="1">
      <formula>"esterreur(reference)"</formula>
    </cfRule>
  </conditionalFormatting>
  <conditionalFormatting sqref="P248:Q248">
    <cfRule type="expression" dxfId="143" priority="47" stopIfTrue="1">
      <formula>"esterreur(reference)"</formula>
    </cfRule>
  </conditionalFormatting>
  <conditionalFormatting sqref="Q75:Q82">
    <cfRule type="expression" dxfId="142" priority="67" stopIfTrue="1">
      <formula>"esterreur(reference)"</formula>
    </cfRule>
  </conditionalFormatting>
  <conditionalFormatting sqref="Q175:Q176">
    <cfRule type="expression" dxfId="141" priority="58" stopIfTrue="1">
      <formula>"esterreur(reference)"</formula>
    </cfRule>
  </conditionalFormatting>
  <conditionalFormatting sqref="Q199:Q210">
    <cfRule type="expression" dxfId="140" priority="57" stopIfTrue="1">
      <formula>"esterreur(reference)"</formula>
    </cfRule>
  </conditionalFormatting>
  <conditionalFormatting sqref="Q212:Q229">
    <cfRule type="expression" dxfId="139" priority="51" stopIfTrue="1">
      <formula>"esterreur(reference)"</formula>
    </cfRule>
  </conditionalFormatting>
  <conditionalFormatting sqref="Q255:Q266">
    <cfRule type="expression" dxfId="138" priority="49" stopIfTrue="1">
      <formula>"esterreur(reference)"</formula>
    </cfRule>
  </conditionalFormatting>
  <conditionalFormatting sqref="Q268:Q285">
    <cfRule type="expression" dxfId="137" priority="44" stopIfTrue="1">
      <formula>"esterreur(reference)"</formula>
    </cfRule>
  </conditionalFormatting>
  <conditionalFormatting sqref="Q319:Q330">
    <cfRule type="expression" dxfId="136" priority="42" stopIfTrue="1">
      <formula>"esterreur(reference)"</formula>
    </cfRule>
  </conditionalFormatting>
  <conditionalFormatting sqref="Q332:Q349">
    <cfRule type="expression" dxfId="135" priority="40" stopIfTrue="1">
      <formula>"esterreur(reference)"</formula>
    </cfRule>
  </conditionalFormatting>
  <conditionalFormatting sqref="R313">
    <cfRule type="expression" dxfId="134" priority="104" stopIfTrue="1">
      <formula>"esterreur(reference)"</formula>
    </cfRule>
  </conditionalFormatting>
  <conditionalFormatting sqref="S187">
    <cfRule type="expression" dxfId="133" priority="76" stopIfTrue="1">
      <formula>"esterreur(reference)"</formula>
    </cfRule>
  </conditionalFormatting>
  <conditionalFormatting sqref="Z426:Z428">
    <cfRule type="cellIs" dxfId="132" priority="20" operator="greaterThan">
      <formula>0</formula>
    </cfRule>
  </conditionalFormatting>
  <conditionalFormatting sqref="Z433">
    <cfRule type="cellIs" dxfId="131" priority="17" operator="greaterThan">
      <formula>0</formula>
    </cfRule>
  </conditionalFormatting>
  <conditionalFormatting sqref="Z450:Z452">
    <cfRule type="cellIs" dxfId="130" priority="13" operator="greaterThan">
      <formula>0</formula>
    </cfRule>
  </conditionalFormatting>
  <conditionalFormatting sqref="Z464:Z466">
    <cfRule type="cellIs" dxfId="129" priority="9" operator="greaterThan">
      <formula>0</formula>
    </cfRule>
  </conditionalFormatting>
  <conditionalFormatting sqref="Z479:Z480">
    <cfRule type="cellIs" dxfId="128" priority="6" operator="greaterThan">
      <formula>0</formula>
    </cfRule>
  </conditionalFormatting>
  <conditionalFormatting sqref="Z496:Z498">
    <cfRule type="cellIs" dxfId="127" priority="3" operator="greaterThan">
      <formula>0</formula>
    </cfRule>
  </conditionalFormatting>
  <conditionalFormatting sqref="AC426:AC428">
    <cfRule type="cellIs" dxfId="126" priority="21" operator="greaterThan">
      <formula>0</formula>
    </cfRule>
  </conditionalFormatting>
  <conditionalFormatting sqref="AC433">
    <cfRule type="cellIs" dxfId="125" priority="18" operator="greaterThan">
      <formula>0</formula>
    </cfRule>
  </conditionalFormatting>
  <conditionalFormatting sqref="AC450:AC452">
    <cfRule type="cellIs" dxfId="124" priority="14" operator="greaterThan">
      <formula>0</formula>
    </cfRule>
  </conditionalFormatting>
  <conditionalFormatting sqref="AC464:AC466">
    <cfRule type="cellIs" dxfId="123" priority="10" operator="greaterThan">
      <formula>0</formula>
    </cfRule>
  </conditionalFormatting>
  <conditionalFormatting sqref="AC479:AC480">
    <cfRule type="cellIs" dxfId="122" priority="7" operator="greaterThan">
      <formula>0</formula>
    </cfRule>
  </conditionalFormatting>
  <conditionalFormatting sqref="AC496:AC498">
    <cfRule type="cellIs" dxfId="121" priority="4" operator="greaterThan">
      <formula>0</formula>
    </cfRule>
  </conditionalFormatting>
  <conditionalFormatting sqref="AG410:AI419">
    <cfRule type="cellIs" dxfId="120" priority="23" operator="greaterThan">
      <formula>0</formula>
    </cfRule>
  </conditionalFormatting>
  <conditionalFormatting sqref="AH450:AH453">
    <cfRule type="cellIs" dxfId="119" priority="15" operator="greaterThan">
      <formula>0</formula>
    </cfRule>
  </conditionalFormatting>
  <conditionalFormatting sqref="AH462:AH467">
    <cfRule type="cellIs" dxfId="118" priority="11" operator="greaterThan">
      <formula>0</formula>
    </cfRule>
  </conditionalFormatting>
  <conditionalFormatting sqref="AH421:AI449">
    <cfRule type="cellIs" dxfId="117" priority="19" operator="greaterThan">
      <formula>0</formula>
    </cfRule>
  </conditionalFormatting>
  <conditionalFormatting sqref="AH454:AI461 AH468:AI469">
    <cfRule type="cellIs" dxfId="116" priority="24" operator="greaterThan">
      <formula>0</formula>
    </cfRule>
  </conditionalFormatting>
  <conditionalFormatting sqref="AH470:AI478 AH481:AI481">
    <cfRule type="cellIs" dxfId="115" priority="25" operator="lessThan">
      <formula>0</formula>
    </cfRule>
  </conditionalFormatting>
  <conditionalFormatting sqref="AH479:AI480">
    <cfRule type="cellIs" dxfId="114" priority="8" operator="greaterThan">
      <formula>0</formula>
    </cfRule>
  </conditionalFormatting>
  <conditionalFormatting sqref="AH492:AI498">
    <cfRule type="cellIs" dxfId="113" priority="5" operator="greaterThan">
      <formula>0</formula>
    </cfRule>
  </conditionalFormatting>
  <conditionalFormatting sqref="AI450:AI452">
    <cfRule type="cellIs" dxfId="112" priority="16" operator="greaterThan">
      <formula>0</formula>
    </cfRule>
  </conditionalFormatting>
  <conditionalFormatting sqref="AI464:AI466">
    <cfRule type="cellIs" dxfId="111" priority="12" operator="greaterThan">
      <formula>0</formula>
    </cfRule>
  </conditionalFormatting>
  <conditionalFormatting sqref="AO410:AO419">
    <cfRule type="cellIs" dxfId="110" priority="22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7">
    <tabColor rgb="FF00B050"/>
    <pageSetUpPr fitToPage="1"/>
  </sheetPr>
  <dimension ref="A1:BJ704"/>
  <sheetViews>
    <sheetView zoomScale="70" zoomScaleNormal="70" workbookViewId="0">
      <selection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">
        <v>271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05" t="s">
        <v>5</v>
      </c>
      <c r="E3" s="506"/>
      <c r="F3" s="507"/>
      <c r="G3" s="508"/>
      <c r="H3" s="506"/>
      <c r="I3" s="507"/>
      <c r="J3" s="508" t="s">
        <v>7</v>
      </c>
      <c r="K3" s="506"/>
      <c r="L3" s="507"/>
      <c r="M3" s="508" t="s">
        <v>212</v>
      </c>
      <c r="N3" s="507"/>
      <c r="O3" s="505" t="s">
        <v>8</v>
      </c>
      <c r="P3" s="506"/>
      <c r="Q3" s="507"/>
      <c r="R3" s="503" t="s">
        <v>213</v>
      </c>
      <c r="S3" s="504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99" si="0">+$K$1</f>
        <v>Véhicules neufs</v>
      </c>
      <c r="C5" s="20" t="s">
        <v>14</v>
      </c>
      <c r="D5" s="21"/>
      <c r="E5" s="21"/>
      <c r="F5" s="22">
        <v>3149600.8823529412</v>
      </c>
      <c r="G5" s="23"/>
      <c r="H5" s="21"/>
      <c r="I5" s="24"/>
      <c r="J5" s="23"/>
      <c r="K5" s="25"/>
      <c r="L5" s="22">
        <v>3374206.3000000007</v>
      </c>
      <c r="M5" s="26"/>
      <c r="N5" s="27"/>
      <c r="O5" s="23"/>
      <c r="P5" s="25"/>
      <c r="Q5" s="22">
        <v>1283561.78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:A85" si="1">+B6&amp;C6</f>
        <v>Véhicules neufsAutos détail</v>
      </c>
      <c r="B6" s="11" t="str">
        <f t="shared" si="0"/>
        <v>Véhicules neufs</v>
      </c>
      <c r="C6" s="29" t="s">
        <v>15</v>
      </c>
      <c r="D6" s="30">
        <v>10</v>
      </c>
      <c r="E6" s="30">
        <f>IF(D6=0,0,F6/D6)</f>
        <v>4701.1764705882351</v>
      </c>
      <c r="F6" s="30">
        <v>47011.76470588235</v>
      </c>
      <c r="G6" s="31"/>
      <c r="H6" s="30"/>
      <c r="I6" s="30"/>
      <c r="J6" s="31">
        <v>11</v>
      </c>
      <c r="K6" s="30">
        <f>IF(J6=0,0,L6/J6)</f>
        <v>5543.4363636363523</v>
      </c>
      <c r="L6" s="32">
        <v>60977.799999999872</v>
      </c>
      <c r="M6" s="31">
        <f t="shared" ref="M6:M12" si="2">J6-D6</f>
        <v>1</v>
      </c>
      <c r="N6" s="33">
        <f t="shared" ref="N6:N12" si="3">L6-F6</f>
        <v>13966.035294117522</v>
      </c>
      <c r="O6" s="31">
        <v>4</v>
      </c>
      <c r="P6" s="30">
        <f t="shared" ref="P6:P12" si="4">IF(O6=0,0,Q6/O6)</f>
        <v>4088.2475000000013</v>
      </c>
      <c r="Q6" s="32">
        <v>16352.990000000005</v>
      </c>
      <c r="R6" s="31">
        <f>J6-O6</f>
        <v>7</v>
      </c>
      <c r="S6" s="34">
        <f>L6-Q6</f>
        <v>44624.809999999867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>+B7&amp;C7</f>
        <v>Véhicules neufsCamions détail</v>
      </c>
      <c r="B7" s="11" t="str">
        <f t="shared" si="0"/>
        <v>Véhicules neufs</v>
      </c>
      <c r="C7" s="29" t="s">
        <v>16</v>
      </c>
      <c r="D7" s="30">
        <v>19</v>
      </c>
      <c r="E7" s="30">
        <f t="shared" ref="E7:E12" si="5">IF(D7=0,0,F7/D7)</f>
        <v>3928.5</v>
      </c>
      <c r="F7" s="30">
        <v>74641.5</v>
      </c>
      <c r="G7" s="31"/>
      <c r="H7" s="30"/>
      <c r="I7" s="30"/>
      <c r="J7" s="31">
        <v>21</v>
      </c>
      <c r="K7" s="30">
        <f t="shared" ref="K7:K12" si="6">IF(J7=0,0,L7/J7)</f>
        <v>4375.6623809523935</v>
      </c>
      <c r="L7" s="32">
        <v>91888.910000000265</v>
      </c>
      <c r="M7" s="31">
        <f t="shared" si="2"/>
        <v>2</v>
      </c>
      <c r="N7" s="33">
        <f t="shared" si="3"/>
        <v>17247.410000000265</v>
      </c>
      <c r="O7" s="31">
        <v>8</v>
      </c>
      <c r="P7" s="30">
        <f t="shared" si="4"/>
        <v>3086.7737500000003</v>
      </c>
      <c r="Q7" s="32">
        <v>24694.190000000002</v>
      </c>
      <c r="R7" s="31">
        <f t="shared" ref="R7:R12" si="7">J7-O7</f>
        <v>13</v>
      </c>
      <c r="S7" s="34">
        <f t="shared" ref="S7:S12" si="8">L7-Q7</f>
        <v>67194.720000000263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>+B8&amp;C8</f>
        <v>Véhicules neufsSprinter</v>
      </c>
      <c r="B8" s="11" t="str">
        <f t="shared" si="0"/>
        <v>Véhicules neufs</v>
      </c>
      <c r="C8" s="29" t="s">
        <v>17</v>
      </c>
      <c r="D8" s="30">
        <v>0</v>
      </c>
      <c r="E8" s="30">
        <f t="shared" si="5"/>
        <v>0</v>
      </c>
      <c r="F8" s="30">
        <v>0</v>
      </c>
      <c r="G8" s="31"/>
      <c r="H8" s="30"/>
      <c r="I8" s="30"/>
      <c r="J8" s="31">
        <v>0</v>
      </c>
      <c r="K8" s="30">
        <f t="shared" si="6"/>
        <v>0</v>
      </c>
      <c r="L8" s="32">
        <v>0</v>
      </c>
      <c r="M8" s="31">
        <f t="shared" si="2"/>
        <v>0</v>
      </c>
      <c r="N8" s="33">
        <f t="shared" si="3"/>
        <v>0</v>
      </c>
      <c r="O8" s="31">
        <v>0</v>
      </c>
      <c r="P8" s="30">
        <f t="shared" si="4"/>
        <v>0</v>
      </c>
      <c r="Q8" s="32"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>+B9&amp;C9</f>
        <v>Véhicules neufsMoto détail</v>
      </c>
      <c r="B9" s="11" t="str">
        <f t="shared" si="0"/>
        <v>Véhicules neufs</v>
      </c>
      <c r="C9" s="29" t="s">
        <v>18</v>
      </c>
      <c r="D9" s="30">
        <v>0</v>
      </c>
      <c r="E9" s="30">
        <f t="shared" si="5"/>
        <v>0</v>
      </c>
      <c r="F9" s="30">
        <v>0</v>
      </c>
      <c r="G9" s="31"/>
      <c r="H9" s="30"/>
      <c r="I9" s="30"/>
      <c r="J9" s="31">
        <v>0</v>
      </c>
      <c r="K9" s="30">
        <f t="shared" si="6"/>
        <v>0</v>
      </c>
      <c r="L9" s="32">
        <v>0</v>
      </c>
      <c r="M9" s="31">
        <f t="shared" si="2"/>
        <v>0</v>
      </c>
      <c r="N9" s="33">
        <f t="shared" si="3"/>
        <v>0</v>
      </c>
      <c r="O9" s="31">
        <v>0</v>
      </c>
      <c r="P9" s="30">
        <f t="shared" si="4"/>
        <v>0</v>
      </c>
      <c r="Q9" s="32"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>+B10&amp;C10</f>
        <v>Véhicules neufs[...]</v>
      </c>
      <c r="B10" s="11" t="str">
        <f t="shared" si="0"/>
        <v>Véhicules neufs</v>
      </c>
      <c r="C10" s="29" t="s">
        <v>19</v>
      </c>
      <c r="D10" s="30">
        <v>0</v>
      </c>
      <c r="E10" s="30">
        <f t="shared" si="5"/>
        <v>0</v>
      </c>
      <c r="F10" s="30">
        <v>0</v>
      </c>
      <c r="G10" s="31"/>
      <c r="H10" s="30"/>
      <c r="I10" s="30"/>
      <c r="J10" s="31">
        <v>0</v>
      </c>
      <c r="K10" s="30">
        <f t="shared" si="6"/>
        <v>0</v>
      </c>
      <c r="L10" s="32">
        <v>0</v>
      </c>
      <c r="M10" s="31">
        <f t="shared" si="2"/>
        <v>0</v>
      </c>
      <c r="N10" s="33">
        <f t="shared" si="3"/>
        <v>0</v>
      </c>
      <c r="O10" s="31">
        <v>0</v>
      </c>
      <c r="P10" s="30">
        <f t="shared" si="4"/>
        <v>0</v>
      </c>
      <c r="Q10" s="32"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>+B11&amp;C11</f>
        <v>Véhicules neufs[...]</v>
      </c>
      <c r="B11" s="11" t="str">
        <f t="shared" si="0"/>
        <v>Véhicules neufs</v>
      </c>
      <c r="C11" s="29" t="s">
        <v>19</v>
      </c>
      <c r="D11" s="30">
        <v>0</v>
      </c>
      <c r="E11" s="30">
        <f t="shared" si="5"/>
        <v>0</v>
      </c>
      <c r="F11" s="30">
        <v>0</v>
      </c>
      <c r="G11" s="31"/>
      <c r="H11" s="30"/>
      <c r="I11" s="30"/>
      <c r="J11" s="31">
        <v>0</v>
      </c>
      <c r="K11" s="30">
        <f t="shared" si="6"/>
        <v>0</v>
      </c>
      <c r="L11" s="32">
        <v>0</v>
      </c>
      <c r="M11" s="31">
        <f t="shared" si="2"/>
        <v>0</v>
      </c>
      <c r="N11" s="33">
        <f t="shared" si="3"/>
        <v>0</v>
      </c>
      <c r="O11" s="31">
        <v>0</v>
      </c>
      <c r="P11" s="30">
        <f t="shared" si="4"/>
        <v>0</v>
      </c>
      <c r="Q11" s="32"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ref="A12:A91" si="9">+B12&amp;C12</f>
        <v>Véhicules neufs[...]</v>
      </c>
      <c r="B12" s="11" t="str">
        <f t="shared" si="0"/>
        <v>Véhicules neufs</v>
      </c>
      <c r="C12" s="29" t="s">
        <v>19</v>
      </c>
      <c r="D12" s="30">
        <v>0</v>
      </c>
      <c r="E12" s="30">
        <f t="shared" si="5"/>
        <v>0</v>
      </c>
      <c r="F12" s="30">
        <v>0</v>
      </c>
      <c r="G12" s="31"/>
      <c r="H12" s="30"/>
      <c r="I12" s="30"/>
      <c r="J12" s="31">
        <v>0</v>
      </c>
      <c r="K12" s="30">
        <f t="shared" si="6"/>
        <v>0</v>
      </c>
      <c r="L12" s="32">
        <v>0</v>
      </c>
      <c r="M12" s="31">
        <f t="shared" si="2"/>
        <v>0</v>
      </c>
      <c r="N12" s="33">
        <f t="shared" si="3"/>
        <v>0</v>
      </c>
      <c r="O12" s="31">
        <v>0</v>
      </c>
      <c r="P12" s="30">
        <f t="shared" si="4"/>
        <v>0</v>
      </c>
      <c r="Q12" s="32"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9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29</v>
      </c>
      <c r="E13" s="36">
        <f>IF(D13&lt;=0,0,F13/D13)</f>
        <v>4194.9401622718051</v>
      </c>
      <c r="F13" s="37">
        <f>+SUM(F6:F12)</f>
        <v>121653.26470588235</v>
      </c>
      <c r="G13" s="38"/>
      <c r="H13" s="36"/>
      <c r="I13" s="37"/>
      <c r="J13" s="38">
        <f>+SUM(J6:J12)</f>
        <v>32</v>
      </c>
      <c r="K13" s="36">
        <f>IF(J13&lt;=0,0,L13/J13)</f>
        <v>4777.0846875000043</v>
      </c>
      <c r="L13" s="37">
        <f>+SUM(L6:L12)</f>
        <v>152866.71000000014</v>
      </c>
      <c r="M13" s="38">
        <f>+SUM(M6:M12)</f>
        <v>3</v>
      </c>
      <c r="N13" s="37">
        <f>+SUM(N6:N12)</f>
        <v>31213.445294117788</v>
      </c>
      <c r="O13" s="38">
        <f>+SUM(O6:O12)</f>
        <v>12</v>
      </c>
      <c r="P13" s="36">
        <f>IF(O13&lt;=0,0,Q13/O13)</f>
        <v>3420.5983333333338</v>
      </c>
      <c r="Q13" s="37">
        <f>+SUM(Q6:Q12)</f>
        <v>41047.180000000008</v>
      </c>
      <c r="R13" s="38">
        <f>+SUM(R6:R12)</f>
        <v>20</v>
      </c>
      <c r="S13" s="39">
        <f>+SUM(S6:S12)</f>
        <v>111819.53000000013</v>
      </c>
      <c r="T13" s="13"/>
      <c r="U13" s="13"/>
      <c r="W13" s="11">
        <v>32</v>
      </c>
      <c r="X13" s="11">
        <v>152867</v>
      </c>
      <c r="Y13" s="515">
        <f>L13-X13</f>
        <v>-0.28999999986262992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9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0.10344827586206896</v>
      </c>
      <c r="N14" s="43">
        <f>IF(F13=0,0,N13/F13)</f>
        <v>0.25657712819776479</v>
      </c>
      <c r="O14" s="41"/>
      <c r="P14" s="30"/>
      <c r="Q14" s="40"/>
      <c r="R14" s="42">
        <f>R13/O13</f>
        <v>1.6666666666666667</v>
      </c>
      <c r="S14" s="44">
        <f>IF(Q13=0,0,(S13/Q13))</f>
        <v>2.7241708200173584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9"/>
        <v>Véhicules neufsEx-Démos et courtoisies</v>
      </c>
      <c r="B15" s="11" t="str">
        <f t="shared" si="0"/>
        <v>Véhicules neufs</v>
      </c>
      <c r="C15" s="45" t="s">
        <v>21</v>
      </c>
      <c r="D15" s="25">
        <v>4</v>
      </c>
      <c r="E15" s="25">
        <f>IF(D15=0,0,F15/D15)</f>
        <v>1200</v>
      </c>
      <c r="F15" s="22">
        <v>4800</v>
      </c>
      <c r="G15" s="46"/>
      <c r="H15" s="47"/>
      <c r="I15" s="48"/>
      <c r="J15" s="49">
        <v>4</v>
      </c>
      <c r="K15" s="50">
        <f>IF(J15=0,0,L15/J15)</f>
        <v>7.8000000000029104</v>
      </c>
      <c r="L15" s="50">
        <v>31.200000000011642</v>
      </c>
      <c r="M15" s="51">
        <f>J15-D15</f>
        <v>0</v>
      </c>
      <c r="N15" s="48">
        <f>L15-F15</f>
        <v>-4768.7999999999884</v>
      </c>
      <c r="O15" s="49">
        <v>4</v>
      </c>
      <c r="P15" s="50">
        <f>IF(O15=0,0,Q15/O15)</f>
        <v>2741.2149999999965</v>
      </c>
      <c r="Q15" s="50">
        <v>10964.859999999986</v>
      </c>
      <c r="R15" s="51">
        <f>J15-O15</f>
        <v>0</v>
      </c>
      <c r="S15" s="52">
        <f>L15-Q15</f>
        <v>-10933.659999999974</v>
      </c>
      <c r="T15" s="13"/>
      <c r="U15" s="13"/>
      <c r="W15" s="453">
        <v>4</v>
      </c>
      <c r="X15" s="11">
        <v>31</v>
      </c>
      <c r="Y15" s="515">
        <f>L15-X15</f>
        <v>0.20000000001164153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9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9"/>
        <v>Véhicules neufsFlottes</v>
      </c>
      <c r="B17" s="11" t="str">
        <f t="shared" si="0"/>
        <v>Véhicules neufs</v>
      </c>
      <c r="C17" s="53" t="s">
        <v>22</v>
      </c>
      <c r="D17" s="30">
        <v>3</v>
      </c>
      <c r="E17" s="30">
        <f>IF(D17=0,0,F17/D17)</f>
        <v>750</v>
      </c>
      <c r="F17" s="30">
        <v>2250</v>
      </c>
      <c r="G17" s="31"/>
      <c r="H17" s="30"/>
      <c r="I17" s="30"/>
      <c r="J17" s="51">
        <v>2</v>
      </c>
      <c r="K17" s="30">
        <f>IF(J17=0,0,L17/J17)</f>
        <v>-2205.0299999999988</v>
      </c>
      <c r="L17" s="33">
        <v>-4410.0599999999977</v>
      </c>
      <c r="M17" s="51">
        <f>J17-D17</f>
        <v>-1</v>
      </c>
      <c r="N17" s="33">
        <f>L17-F17</f>
        <v>-6660.0599999999977</v>
      </c>
      <c r="O17" s="51">
        <v>0</v>
      </c>
      <c r="P17" s="30">
        <f>IF(O17=0,0,Q17/O17)</f>
        <v>0</v>
      </c>
      <c r="Q17" s="33">
        <v>0</v>
      </c>
      <c r="R17" s="31">
        <f>J17-O17</f>
        <v>2</v>
      </c>
      <c r="S17" s="34">
        <f>L17-Q17</f>
        <v>-4410.0599999999977</v>
      </c>
      <c r="T17" s="13"/>
      <c r="U17" s="13"/>
      <c r="W17" s="11">
        <v>2</v>
      </c>
      <c r="X17" s="11">
        <v>-4410</v>
      </c>
      <c r="Y17" s="515">
        <f>L17-X17</f>
        <v>-5.9999999997671694E-2</v>
      </c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9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0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9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9"/>
        <v>Véhicules neufsRev. Finances</v>
      </c>
      <c r="B21" s="11" t="str">
        <f t="shared" si="0"/>
        <v>Véhicules neufs</v>
      </c>
      <c r="C21" s="29" t="s">
        <v>24</v>
      </c>
      <c r="D21" s="30"/>
      <c r="E21" s="30">
        <f>IF(D13=0,0,F21/(D13+D15))</f>
        <v>7</v>
      </c>
      <c r="F21" s="30">
        <v>231</v>
      </c>
      <c r="G21" s="41"/>
      <c r="H21" s="30"/>
      <c r="I21" s="30"/>
      <c r="J21" s="31"/>
      <c r="K21" s="30">
        <f>IF(J13=0,0,L21/(J13+J15))</f>
        <v>0</v>
      </c>
      <c r="L21" s="33">
        <v>0</v>
      </c>
      <c r="M21" s="31"/>
      <c r="N21" s="33">
        <f>L21-F21</f>
        <v>-231</v>
      </c>
      <c r="O21" s="31"/>
      <c r="P21" s="30">
        <f>IF(O13=0,0,Q21/(O13+O15))</f>
        <v>0</v>
      </c>
      <c r="Q21" s="33"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9"/>
        <v>Véhicules neufsRev. Protections</v>
      </c>
      <c r="B22" s="11" t="str">
        <f t="shared" si="0"/>
        <v>Véhicules neufs</v>
      </c>
      <c r="C22" s="29" t="s">
        <v>25</v>
      </c>
      <c r="D22" s="30"/>
      <c r="E22" s="30">
        <f>IF(D13=0,0,F22/(D13+D15))</f>
        <v>1150</v>
      </c>
      <c r="F22" s="30">
        <v>37950</v>
      </c>
      <c r="G22" s="41"/>
      <c r="H22" s="30"/>
      <c r="I22" s="30"/>
      <c r="J22" s="31"/>
      <c r="K22" s="30">
        <f>IF(J13=0,0,L22/(J13+J15))</f>
        <v>470.44444444444446</v>
      </c>
      <c r="L22" s="33">
        <v>16936</v>
      </c>
      <c r="M22" s="31"/>
      <c r="N22" s="33">
        <f>L22-F22</f>
        <v>-21014</v>
      </c>
      <c r="O22" s="31"/>
      <c r="P22" s="30">
        <f>IF(O13=0,0,Q22/(O13+O15))</f>
        <v>805.35124999999994</v>
      </c>
      <c r="Q22" s="33">
        <v>12885.619999999999</v>
      </c>
      <c r="R22" s="31">
        <f>O22-K22</f>
        <v>-470.44444444444446</v>
      </c>
      <c r="S22" s="34">
        <f>L22-Q22</f>
        <v>4050.380000000001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9"/>
        <v>Véhicules neufsRev. Autres</v>
      </c>
      <c r="B23" s="11" t="str">
        <f t="shared" si="0"/>
        <v>Véhicules neufs</v>
      </c>
      <c r="C23" s="29" t="s">
        <v>26</v>
      </c>
      <c r="D23" s="30"/>
      <c r="E23" s="30">
        <f>IF(D13=0,0,F23/(D13+D15))</f>
        <v>443</v>
      </c>
      <c r="F23" s="30">
        <v>14619</v>
      </c>
      <c r="G23" s="41"/>
      <c r="H23" s="30"/>
      <c r="I23" s="30"/>
      <c r="J23" s="31"/>
      <c r="K23" s="30">
        <f>IF(J13=0,0,L23/(J13+J15))</f>
        <v>647.49222222222227</v>
      </c>
      <c r="L23" s="33">
        <v>23309.72</v>
      </c>
      <c r="M23" s="51"/>
      <c r="N23" s="33">
        <f>L23-F23</f>
        <v>8690.7200000000012</v>
      </c>
      <c r="O23" s="31"/>
      <c r="P23" s="30">
        <f>IF(O13=0,0,Q23/(O13+O15))</f>
        <v>498.82749999999999</v>
      </c>
      <c r="Q23" s="33">
        <v>7981.24</v>
      </c>
      <c r="R23" s="31">
        <f>O23-K23</f>
        <v>-647.49222222222227</v>
      </c>
      <c r="S23" s="34">
        <f>L23-Q23</f>
        <v>15328.480000000001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9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33</v>
      </c>
      <c r="E24" s="36">
        <f>IF(D24&lt;=0,0,F24/D24)</f>
        <v>1600</v>
      </c>
      <c r="F24" s="37">
        <f>F21+F22+F23</f>
        <v>52800</v>
      </c>
      <c r="G24" s="38"/>
      <c r="H24" s="36"/>
      <c r="I24" s="37"/>
      <c r="J24" s="38">
        <f>+J15+J13</f>
        <v>36</v>
      </c>
      <c r="K24" s="36">
        <f>IF(J24&lt;=0,0,L24/J24)</f>
        <v>1117.9366666666667</v>
      </c>
      <c r="L24" s="37">
        <f>L21+L22+L23</f>
        <v>40245.72</v>
      </c>
      <c r="M24" s="58">
        <f>J24-D24</f>
        <v>3</v>
      </c>
      <c r="N24" s="37">
        <f>L24-F24</f>
        <v>-12554.279999999999</v>
      </c>
      <c r="O24" s="38">
        <f>+O15+O13</f>
        <v>16</v>
      </c>
      <c r="P24" s="36">
        <f>IF(O24&lt;=0,0,Q24/O24)</f>
        <v>1304.17875</v>
      </c>
      <c r="Q24" s="37">
        <f>Q21+Q22+Q23</f>
        <v>20866.86</v>
      </c>
      <c r="R24" s="56"/>
      <c r="S24" s="39">
        <f>L24-Q24</f>
        <v>19378.86</v>
      </c>
      <c r="T24" s="13"/>
      <c r="U24" s="13"/>
      <c r="W24" s="11"/>
      <c r="X24" s="11">
        <v>40246</v>
      </c>
      <c r="Y24" s="515">
        <f>L24-X24</f>
        <v>-0.27999999999883585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9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-0.23777045454545453</v>
      </c>
      <c r="O25" s="41"/>
      <c r="P25" s="13"/>
      <c r="Q25" s="59"/>
      <c r="R25" s="60"/>
      <c r="S25" s="44">
        <f>IF(Q24=0,0,(S24/Q24))</f>
        <v>0.92869075653931643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9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9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36</v>
      </c>
      <c r="E27" s="64">
        <f>IF(D27&lt;=0,0,F27/D27)</f>
        <v>5041.7573529411766</v>
      </c>
      <c r="F27" s="65">
        <f>F13+F17+F24+F15</f>
        <v>181503.26470588235</v>
      </c>
      <c r="G27" s="66"/>
      <c r="H27" s="67"/>
      <c r="I27" s="65"/>
      <c r="J27" s="66">
        <f>+J13+J15+J17</f>
        <v>38</v>
      </c>
      <c r="K27" s="67">
        <f>IF(J27&lt;=0,0,L27/J27)</f>
        <v>4966.6728947368465</v>
      </c>
      <c r="L27" s="65">
        <f>L13+L17+L24+L15</f>
        <v>188733.57000000015</v>
      </c>
      <c r="M27" s="66">
        <f>J27-D27</f>
        <v>2</v>
      </c>
      <c r="N27" s="65">
        <f>L27-F27</f>
        <v>7230.305294117803</v>
      </c>
      <c r="O27" s="66">
        <f>+O13+O15+O17</f>
        <v>16</v>
      </c>
      <c r="P27" s="67">
        <f>IF(O27&lt;=0,0,Q27/O27)</f>
        <v>4554.9312499999996</v>
      </c>
      <c r="Q27" s="65">
        <f>Q13+Q17+Q24+Q15</f>
        <v>72878.899999999994</v>
      </c>
      <c r="R27" s="66">
        <f>J27-O27</f>
        <v>22</v>
      </c>
      <c r="S27" s="68">
        <f>L27-Q27</f>
        <v>115854.67000000016</v>
      </c>
      <c r="T27" s="13"/>
      <c r="U27" s="13"/>
      <c r="W27" s="11">
        <f>SUM(W13:W26)</f>
        <v>38</v>
      </c>
      <c r="X27" s="11">
        <f>SUM(X13:X26)</f>
        <v>188734</v>
      </c>
      <c r="Y27" s="515">
        <f>L27-X27</f>
        <v>-0.42999999984749593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9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5.5555555555555552E-2</v>
      </c>
      <c r="N28" s="74">
        <f>N27/F27</f>
        <v>3.9835676266397627E-2</v>
      </c>
      <c r="O28" s="72"/>
      <c r="P28" s="70"/>
      <c r="Q28" s="71"/>
      <c r="R28" s="73">
        <f>R27/O27</f>
        <v>1.375</v>
      </c>
      <c r="S28" s="75">
        <f>IF(Q27=0,0,S27/Q27)</f>
        <v>1.5896874129549179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9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9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9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0.27752231321633114</v>
      </c>
      <c r="E31" s="82">
        <f t="shared" ref="E31:E40" si="10">F31/D$24</f>
        <v>1063.4425010585912</v>
      </c>
      <c r="F31" s="30">
        <v>35093.60253493351</v>
      </c>
      <c r="G31" s="156"/>
      <c r="H31" s="82"/>
      <c r="I31" s="30"/>
      <c r="J31" s="156">
        <f>L31/(L13+L15)</f>
        <v>0.24547765237601979</v>
      </c>
      <c r="K31" s="82">
        <f t="shared" ref="K31:K40" si="11">IF(L31=0,0,L31/J$24)</f>
        <v>1042.5838888888889</v>
      </c>
      <c r="L31" s="30">
        <v>37533.019999999997</v>
      </c>
      <c r="M31" s="41"/>
      <c r="N31" s="59">
        <f t="shared" ref="N31:N53" si="12">L31-F31</f>
        <v>2439.4174650664863</v>
      </c>
      <c r="O31" s="156">
        <f>Q31/(Q13+Q15+Q17)</f>
        <v>0.2894879724002366</v>
      </c>
      <c r="P31" s="82">
        <f t="shared" ref="P31:P40" si="13">Q31/O$24</f>
        <v>941.05375000000004</v>
      </c>
      <c r="Q31" s="33">
        <v>15056.86</v>
      </c>
      <c r="R31" s="41"/>
      <c r="S31" s="85">
        <f t="shared" ref="S31:S41" si="14">L31-Q31</f>
        <v>22476.159999999996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9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v>16104</v>
      </c>
      <c r="G32" s="161"/>
      <c r="H32" s="90"/>
      <c r="I32" s="22"/>
      <c r="J32" s="161">
        <f>L32/L24</f>
        <v>0.17138344151875032</v>
      </c>
      <c r="K32" s="88">
        <f t="shared" si="11"/>
        <v>191.59583333333333</v>
      </c>
      <c r="L32" s="22">
        <v>6897.45</v>
      </c>
      <c r="M32" s="23"/>
      <c r="N32" s="91">
        <f t="shared" si="12"/>
        <v>-9206.5499999999993</v>
      </c>
      <c r="O32" s="161">
        <f>Q32/Q24</f>
        <v>0.31548445717276102</v>
      </c>
      <c r="P32" s="88">
        <f t="shared" si="13"/>
        <v>411.448125</v>
      </c>
      <c r="Q32" s="22">
        <v>6583.17</v>
      </c>
      <c r="R32" s="23"/>
      <c r="S32" s="92">
        <f t="shared" si="14"/>
        <v>314.27999999999975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9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v>3960</v>
      </c>
      <c r="G33" s="83"/>
      <c r="H33" s="82"/>
      <c r="I33" s="30"/>
      <c r="J33" s="41"/>
      <c r="K33" s="82">
        <f t="shared" si="11"/>
        <v>97.603611111111107</v>
      </c>
      <c r="L33" s="30">
        <v>3513.73</v>
      </c>
      <c r="M33" s="41"/>
      <c r="N33" s="59">
        <f t="shared" si="12"/>
        <v>-446.27</v>
      </c>
      <c r="O33" s="41"/>
      <c r="P33" s="82">
        <f t="shared" si="13"/>
        <v>235.02500000000001</v>
      </c>
      <c r="Q33" s="33">
        <v>3760.4</v>
      </c>
      <c r="R33" s="41"/>
      <c r="S33" s="85">
        <f t="shared" si="14"/>
        <v>-246.67000000000007</v>
      </c>
      <c r="T33" s="13"/>
      <c r="U33" s="13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9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v>1155</v>
      </c>
      <c r="G34" s="83"/>
      <c r="H34" s="82"/>
      <c r="I34" s="30"/>
      <c r="J34" s="41"/>
      <c r="K34" s="82">
        <f t="shared" si="11"/>
        <v>26.061388888888889</v>
      </c>
      <c r="L34" s="30">
        <v>938.21</v>
      </c>
      <c r="M34" s="41"/>
      <c r="N34" s="59">
        <f t="shared" si="12"/>
        <v>-216.78999999999996</v>
      </c>
      <c r="O34" s="41"/>
      <c r="P34" s="82">
        <f t="shared" si="13"/>
        <v>0</v>
      </c>
      <c r="Q34" s="33">
        <v>0</v>
      </c>
      <c r="R34" s="41"/>
      <c r="S34" s="85">
        <f t="shared" si="14"/>
        <v>938.21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9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96.030303030303031</v>
      </c>
      <c r="F35" s="22">
        <v>3169</v>
      </c>
      <c r="G35" s="89"/>
      <c r="H35" s="90"/>
      <c r="I35" s="22"/>
      <c r="J35" s="23"/>
      <c r="K35" s="88">
        <f t="shared" si="11"/>
        <v>77.356111111111119</v>
      </c>
      <c r="L35" s="22">
        <v>2784.82</v>
      </c>
      <c r="M35" s="23"/>
      <c r="N35" s="91">
        <f t="shared" si="12"/>
        <v>-384.17999999999984</v>
      </c>
      <c r="O35" s="23"/>
      <c r="P35" s="88">
        <f t="shared" si="13"/>
        <v>167.88249999999999</v>
      </c>
      <c r="Q35" s="33">
        <v>2686.12</v>
      </c>
      <c r="R35" s="23"/>
      <c r="S35" s="92">
        <f t="shared" si="14"/>
        <v>98.700000000000273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9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234.88787878787878</v>
      </c>
      <c r="F36" s="30">
        <v>7751.2999999999993</v>
      </c>
      <c r="G36" s="83"/>
      <c r="H36" s="82"/>
      <c r="I36" s="30"/>
      <c r="J36" s="41"/>
      <c r="K36" s="82">
        <f t="shared" si="11"/>
        <v>338.24861111111113</v>
      </c>
      <c r="L36" s="454">
        <v>12176.95</v>
      </c>
      <c r="M36" s="13"/>
      <c r="N36" s="59">
        <f t="shared" si="12"/>
        <v>4425.6500000000015</v>
      </c>
      <c r="O36" s="41"/>
      <c r="P36" s="82">
        <f t="shared" si="13"/>
        <v>740.85312499999998</v>
      </c>
      <c r="Q36" s="55">
        <v>11853.65</v>
      </c>
      <c r="R36" s="41"/>
      <c r="S36" s="85">
        <f t="shared" si="14"/>
        <v>323.30000000000109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>+B37&amp;C37</f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713.73417500532253</v>
      </c>
      <c r="F37" s="30">
        <v>23553.227775175645</v>
      </c>
      <c r="G37" s="83"/>
      <c r="H37" s="82"/>
      <c r="I37" s="30"/>
      <c r="J37" s="41"/>
      <c r="K37" s="82">
        <f t="shared" si="11"/>
        <v>667.88638888888886</v>
      </c>
      <c r="L37" s="455">
        <v>24043.91</v>
      </c>
      <c r="M37" s="13"/>
      <c r="N37" s="59">
        <f t="shared" si="12"/>
        <v>490.68222482435522</v>
      </c>
      <c r="O37" s="41"/>
      <c r="P37" s="82">
        <f t="shared" si="13"/>
        <v>1398.79</v>
      </c>
      <c r="Q37" s="33">
        <v>22380.639999999999</v>
      </c>
      <c r="R37" s="41"/>
      <c r="S37" s="85">
        <f>L37-Q37</f>
        <v>1663.2700000000004</v>
      </c>
      <c r="T37" s="13"/>
      <c r="U37" s="13"/>
      <c r="V37" s="489">
        <v>24044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>+B38&amp;C38</f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v>0</v>
      </c>
      <c r="G38" s="83"/>
      <c r="H38" s="82"/>
      <c r="I38" s="30"/>
      <c r="J38" s="41"/>
      <c r="K38" s="82">
        <f t="shared" si="11"/>
        <v>0</v>
      </c>
      <c r="L38" s="455">
        <v>0</v>
      </c>
      <c r="M38" s="13"/>
      <c r="N38" s="59">
        <f t="shared" si="12"/>
        <v>0</v>
      </c>
      <c r="O38" s="41"/>
      <c r="P38" s="82">
        <f t="shared" si="13"/>
        <v>0</v>
      </c>
      <c r="Q38" s="33"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>+B39&amp;C39</f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v>0</v>
      </c>
      <c r="G39" s="83"/>
      <c r="H39" s="82"/>
      <c r="I39" s="30"/>
      <c r="J39" s="41"/>
      <c r="K39" s="82">
        <f t="shared" si="11"/>
        <v>0</v>
      </c>
      <c r="L39" s="455">
        <v>0</v>
      </c>
      <c r="M39" s="13"/>
      <c r="N39" s="59">
        <f t="shared" si="12"/>
        <v>0</v>
      </c>
      <c r="O39" s="41"/>
      <c r="P39" s="82">
        <f t="shared" si="13"/>
        <v>0</v>
      </c>
      <c r="Q39" s="33"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ref="A40:A119" si="15">+B40&amp;C40</f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v>0</v>
      </c>
      <c r="G40" s="83"/>
      <c r="H40" s="82"/>
      <c r="I40" s="30"/>
      <c r="J40" s="41"/>
      <c r="K40" s="82">
        <f t="shared" si="11"/>
        <v>0</v>
      </c>
      <c r="L40" s="456">
        <v>0</v>
      </c>
      <c r="M40" s="13"/>
      <c r="N40" s="59">
        <f t="shared" si="12"/>
        <v>0</v>
      </c>
      <c r="O40" s="41"/>
      <c r="P40" s="82">
        <f t="shared" si="13"/>
        <v>0</v>
      </c>
      <c r="Q40" s="33"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5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0.50019006797053422</v>
      </c>
      <c r="F41" s="96">
        <f>SUM(F31:F40)</f>
        <v>90786.130310109162</v>
      </c>
      <c r="G41" s="97"/>
      <c r="H41" s="95"/>
      <c r="I41" s="96"/>
      <c r="J41" s="97" t="s">
        <v>38</v>
      </c>
      <c r="K41" s="95">
        <f>L41/L$27</f>
        <v>0.46567280002174455</v>
      </c>
      <c r="L41" s="96">
        <f>SUM(L31:L40)</f>
        <v>87888.09</v>
      </c>
      <c r="M41" s="98"/>
      <c r="N41" s="96">
        <f t="shared" si="12"/>
        <v>-2898.0403101091651</v>
      </c>
      <c r="O41" s="97" t="s">
        <v>38</v>
      </c>
      <c r="P41" s="95">
        <f>Q41/Q$27</f>
        <v>0.85512871352339292</v>
      </c>
      <c r="Q41" s="99">
        <f>SUM(Q31:Q40)</f>
        <v>62320.84</v>
      </c>
      <c r="R41" s="100"/>
      <c r="S41" s="101">
        <f t="shared" ref="S41:S51" si="16">L41-Q41</f>
        <v>25567.25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5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v>13260.139288451013</v>
      </c>
      <c r="G42" s="41"/>
      <c r="H42" s="13"/>
      <c r="I42" s="30"/>
      <c r="J42" s="41"/>
      <c r="K42" s="13"/>
      <c r="L42" s="33">
        <v>6318.64</v>
      </c>
      <c r="M42" s="41"/>
      <c r="N42" s="59">
        <f t="shared" si="12"/>
        <v>-6941.4992884510129</v>
      </c>
      <c r="O42" s="41"/>
      <c r="P42" s="13"/>
      <c r="Q42" s="33">
        <v>8665.3799999999992</v>
      </c>
      <c r="R42" s="41"/>
      <c r="S42" s="85">
        <f t="shared" si="16"/>
        <v>-2346.7399999999989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5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v>5131.0854559386971</v>
      </c>
      <c r="G43" s="83"/>
      <c r="H43" s="13"/>
      <c r="I43" s="22"/>
      <c r="J43" s="41"/>
      <c r="K43" s="13"/>
      <c r="L43" s="33">
        <v>3465.37</v>
      </c>
      <c r="M43" s="41"/>
      <c r="N43" s="59">
        <f t="shared" si="12"/>
        <v>-1665.7154559386972</v>
      </c>
      <c r="O43" s="41"/>
      <c r="P43" s="13"/>
      <c r="Q43" s="33">
        <v>9588.2199999999993</v>
      </c>
      <c r="R43" s="41"/>
      <c r="S43" s="85">
        <f t="shared" si="16"/>
        <v>-6122.8499999999995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5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v>0</v>
      </c>
      <c r="G44" s="106"/>
      <c r="H44" s="105"/>
      <c r="I44" s="30"/>
      <c r="J44" s="107"/>
      <c r="K44" s="105"/>
      <c r="L44" s="108">
        <v>0</v>
      </c>
      <c r="M44" s="107"/>
      <c r="N44" s="109">
        <f t="shared" si="12"/>
        <v>0</v>
      </c>
      <c r="O44" s="107"/>
      <c r="P44" s="105"/>
      <c r="Q44" s="108">
        <v>342</v>
      </c>
      <c r="R44" s="107"/>
      <c r="S44" s="110">
        <f t="shared" si="16"/>
        <v>-342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5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v>0</v>
      </c>
      <c r="G45" s="83"/>
      <c r="H45" s="13"/>
      <c r="I45" s="30"/>
      <c r="J45" s="41"/>
      <c r="K45" s="13"/>
      <c r="L45" s="33">
        <v>0</v>
      </c>
      <c r="M45" s="41"/>
      <c r="N45" s="59">
        <f t="shared" si="12"/>
        <v>0</v>
      </c>
      <c r="O45" s="41"/>
      <c r="P45" s="13"/>
      <c r="Q45" s="33">
        <v>0</v>
      </c>
      <c r="R45" s="41"/>
      <c r="S45" s="85">
        <f t="shared" si="16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>+B46&amp;C46</f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v>0</v>
      </c>
      <c r="G46" s="83"/>
      <c r="H46" s="13"/>
      <c r="I46" s="30"/>
      <c r="J46" s="41"/>
      <c r="K46" s="13"/>
      <c r="L46" s="33">
        <v>0</v>
      </c>
      <c r="M46" s="41"/>
      <c r="N46" s="59">
        <f t="shared" si="12"/>
        <v>0</v>
      </c>
      <c r="O46" s="41"/>
      <c r="P46" s="13"/>
      <c r="Q46" s="33"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>+B47&amp;C47</f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v>0</v>
      </c>
      <c r="G47" s="83"/>
      <c r="H47" s="13"/>
      <c r="I47" s="30"/>
      <c r="J47" s="41"/>
      <c r="K47" s="13"/>
      <c r="L47" s="33">
        <v>0</v>
      </c>
      <c r="M47" s="41"/>
      <c r="N47" s="59">
        <f t="shared" si="12"/>
        <v>0</v>
      </c>
      <c r="O47" s="41"/>
      <c r="P47" s="13"/>
      <c r="Q47" s="33"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>+B48&amp;C48</f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v>0</v>
      </c>
      <c r="G48" s="83"/>
      <c r="H48" s="13"/>
      <c r="I48" s="30"/>
      <c r="J48" s="41"/>
      <c r="K48" s="13"/>
      <c r="L48" s="33">
        <v>0</v>
      </c>
      <c r="M48" s="41"/>
      <c r="N48" s="59">
        <f t="shared" si="12"/>
        <v>0</v>
      </c>
      <c r="O48" s="41"/>
      <c r="P48" s="13"/>
      <c r="Q48" s="33"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ref="A49:A128" si="17">+B49&amp;C49</f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v>9744.4863375119767</v>
      </c>
      <c r="G49" s="83"/>
      <c r="H49" s="13"/>
      <c r="I49" s="22"/>
      <c r="J49" s="41"/>
      <c r="K49" s="13"/>
      <c r="L49" s="22">
        <v>5753.25</v>
      </c>
      <c r="M49" s="41"/>
      <c r="N49" s="59">
        <f t="shared" si="12"/>
        <v>-3991.2363375119767</v>
      </c>
      <c r="O49" s="41"/>
      <c r="P49" s="13"/>
      <c r="Q49" s="22">
        <v>5690.78</v>
      </c>
      <c r="R49" s="41"/>
      <c r="S49" s="85">
        <f t="shared" ref="S49:S60" si="18">L49-Q49</f>
        <v>62.470000000000255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7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v>9162.7052505302818</v>
      </c>
      <c r="G50" s="106"/>
      <c r="H50" s="105"/>
      <c r="I50" s="30"/>
      <c r="J50" s="107"/>
      <c r="K50" s="105"/>
      <c r="L50" s="33">
        <v>4899.49</v>
      </c>
      <c r="M50" s="107"/>
      <c r="N50" s="109">
        <f t="shared" si="12"/>
        <v>-4263.215250530282</v>
      </c>
      <c r="O50" s="107"/>
      <c r="P50" s="105"/>
      <c r="Q50" s="33">
        <v>6290.55</v>
      </c>
      <c r="R50" s="107"/>
      <c r="S50" s="110">
        <f t="shared" si="18"/>
        <v>-1391.0600000000004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7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v>6681.1392451783286</v>
      </c>
      <c r="G51" s="83"/>
      <c r="H51" s="13"/>
      <c r="I51" s="30"/>
      <c r="J51" s="41"/>
      <c r="K51" s="13"/>
      <c r="L51" s="33">
        <v>1779.04</v>
      </c>
      <c r="M51" s="41"/>
      <c r="N51" s="59">
        <f t="shared" si="12"/>
        <v>-4902.0992451783286</v>
      </c>
      <c r="O51" s="41"/>
      <c r="P51" s="13"/>
      <c r="Q51" s="33">
        <v>3662.44</v>
      </c>
      <c r="R51" s="41"/>
      <c r="S51" s="85">
        <f t="shared" si="18"/>
        <v>-1883.4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7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v>1870.7189886499323</v>
      </c>
      <c r="G52" s="83"/>
      <c r="H52" s="13"/>
      <c r="I52" s="30"/>
      <c r="J52" s="41"/>
      <c r="K52" s="13"/>
      <c r="L52" s="33">
        <v>891.39</v>
      </c>
      <c r="M52" s="41"/>
      <c r="N52" s="59">
        <f t="shared" si="12"/>
        <v>-979.32898864993228</v>
      </c>
      <c r="O52" s="41"/>
      <c r="P52" s="13"/>
      <c r="Q52" s="33">
        <v>262.14999999999998</v>
      </c>
      <c r="R52" s="41"/>
      <c r="S52" s="85">
        <f t="shared" si="18"/>
        <v>629.24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7"/>
        <v>Véhicules neufs[...]</v>
      </c>
      <c r="B53" s="11" t="str">
        <f t="shared" si="0"/>
        <v>Véhicules neufs</v>
      </c>
      <c r="C53" s="29" t="s">
        <v>19</v>
      </c>
      <c r="D53" s="87" t="e">
        <f>VLOOKUP(C53,$B$2:$B$46,1,FALSE)</f>
        <v>#N/A</v>
      </c>
      <c r="E53" s="111"/>
      <c r="F53" s="30">
        <v>0</v>
      </c>
      <c r="G53" s="89"/>
      <c r="H53" s="111"/>
      <c r="I53" s="30"/>
      <c r="J53" s="23"/>
      <c r="K53" s="111"/>
      <c r="L53" s="33">
        <v>0</v>
      </c>
      <c r="M53" s="23"/>
      <c r="N53" s="91">
        <f t="shared" si="12"/>
        <v>0</v>
      </c>
      <c r="O53" s="23"/>
      <c r="P53" s="111"/>
      <c r="Q53" s="33">
        <v>0</v>
      </c>
      <c r="R53" s="23"/>
      <c r="S53" s="92">
        <f t="shared" si="18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7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0.25261404879167593</v>
      </c>
      <c r="F54" s="96">
        <f>+SUM(F42:F53)</f>
        <v>45850.274566260232</v>
      </c>
      <c r="G54" s="97"/>
      <c r="H54" s="95"/>
      <c r="I54" s="96"/>
      <c r="J54" s="97" t="s">
        <v>38</v>
      </c>
      <c r="K54" s="95">
        <f>L54/L$27</f>
        <v>0.12243280302492017</v>
      </c>
      <c r="L54" s="96">
        <f>+SUM(L42:L53)</f>
        <v>23107.18</v>
      </c>
      <c r="M54" s="100"/>
      <c r="N54" s="96">
        <f>+SUM(N42:N53)</f>
        <v>-22743.094566260228</v>
      </c>
      <c r="O54" s="97" t="s">
        <v>38</v>
      </c>
      <c r="P54" s="95">
        <f>Q54/Q$27</f>
        <v>0.47340890161624283</v>
      </c>
      <c r="Q54" s="96">
        <f>+SUM(Q42:Q53)</f>
        <v>34501.519999999997</v>
      </c>
      <c r="R54" s="100"/>
      <c r="S54" s="101">
        <f>+SUM(S42:S53)</f>
        <v>-11394.34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7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v>0</v>
      </c>
      <c r="G55" s="83"/>
      <c r="H55" s="13"/>
      <c r="I55" s="30"/>
      <c r="J55" s="41"/>
      <c r="K55" s="13"/>
      <c r="L55" s="33">
        <v>0</v>
      </c>
      <c r="M55" s="41"/>
      <c r="N55" s="59">
        <f t="shared" ref="N55:N71" si="19">L55-F55</f>
        <v>0</v>
      </c>
      <c r="O55" s="41"/>
      <c r="P55" s="13"/>
      <c r="Q55" s="33">
        <v>0</v>
      </c>
      <c r="R55" s="41"/>
      <c r="S55" s="85">
        <f t="shared" ref="S55:S71" si="20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7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v>0</v>
      </c>
      <c r="G56" s="83"/>
      <c r="H56" s="13"/>
      <c r="I56" s="30"/>
      <c r="J56" s="41"/>
      <c r="K56" s="13"/>
      <c r="L56" s="33">
        <v>0</v>
      </c>
      <c r="M56" s="41"/>
      <c r="N56" s="59">
        <f t="shared" si="19"/>
        <v>0</v>
      </c>
      <c r="O56" s="41"/>
      <c r="P56" s="13"/>
      <c r="Q56" s="33">
        <v>0</v>
      </c>
      <c r="R56" s="41"/>
      <c r="S56" s="85">
        <f t="shared" si="20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7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v>2036.5</v>
      </c>
      <c r="G57" s="89"/>
      <c r="H57" s="111"/>
      <c r="I57" s="22"/>
      <c r="J57" s="23"/>
      <c r="K57" s="111"/>
      <c r="L57" s="22">
        <v>1117.04</v>
      </c>
      <c r="M57" s="23"/>
      <c r="N57" s="91">
        <f t="shared" si="19"/>
        <v>-919.46</v>
      </c>
      <c r="O57" s="23"/>
      <c r="P57" s="111"/>
      <c r="Q57" s="22">
        <v>6262.21</v>
      </c>
      <c r="R57" s="23"/>
      <c r="S57" s="92">
        <f t="shared" si="20"/>
        <v>-5145.17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7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v>9195.3521666666675</v>
      </c>
      <c r="G58" s="83"/>
      <c r="H58" s="13"/>
      <c r="I58" s="30"/>
      <c r="J58" s="41"/>
      <c r="K58" s="13"/>
      <c r="L58" s="33">
        <v>8822.27</v>
      </c>
      <c r="M58" s="41"/>
      <c r="N58" s="59">
        <f t="shared" si="19"/>
        <v>-373.08216666666704</v>
      </c>
      <c r="O58" s="41"/>
      <c r="P58" s="13"/>
      <c r="Q58" s="33">
        <v>4134.17</v>
      </c>
      <c r="R58" s="41"/>
      <c r="S58" s="85">
        <f t="shared" si="20"/>
        <v>4688.1000000000004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7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v>1330</v>
      </c>
      <c r="G59" s="83"/>
      <c r="H59" s="13"/>
      <c r="I59" s="30"/>
      <c r="J59" s="41"/>
      <c r="K59" s="13"/>
      <c r="L59" s="33">
        <v>2817.3</v>
      </c>
      <c r="M59" s="41"/>
      <c r="N59" s="59">
        <f t="shared" si="19"/>
        <v>1487.3000000000002</v>
      </c>
      <c r="O59" s="41"/>
      <c r="P59" s="13"/>
      <c r="Q59" s="33">
        <v>-158.94</v>
      </c>
      <c r="R59" s="41"/>
      <c r="S59" s="85">
        <f t="shared" si="20"/>
        <v>2976.2400000000002</v>
      </c>
      <c r="T59" s="13"/>
      <c r="U59" s="13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7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v>2672.3603333333335</v>
      </c>
      <c r="G60" s="89"/>
      <c r="H60" s="111"/>
      <c r="I60" s="22"/>
      <c r="J60" s="23"/>
      <c r="K60" s="111"/>
      <c r="L60" s="22">
        <v>5148.6099999999997</v>
      </c>
      <c r="M60" s="23"/>
      <c r="N60" s="91">
        <f t="shared" si="19"/>
        <v>2476.2496666666661</v>
      </c>
      <c r="O60" s="23"/>
      <c r="P60" s="111"/>
      <c r="Q60" s="22">
        <v>3146.4</v>
      </c>
      <c r="R60" s="23"/>
      <c r="S60" s="92">
        <f t="shared" si="20"/>
        <v>2002.2099999999996</v>
      </c>
      <c r="T60" s="13"/>
      <c r="U60" s="13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7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v>75</v>
      </c>
      <c r="G61" s="83"/>
      <c r="H61" s="13"/>
      <c r="I61" s="30"/>
      <c r="J61" s="41"/>
      <c r="K61" s="13"/>
      <c r="L61" s="33">
        <v>39.6</v>
      </c>
      <c r="M61" s="41"/>
      <c r="N61" s="59">
        <f t="shared" si="19"/>
        <v>-35.4</v>
      </c>
      <c r="O61" s="41"/>
      <c r="P61" s="13"/>
      <c r="Q61" s="33">
        <v>113.9</v>
      </c>
      <c r="R61" s="41"/>
      <c r="S61" s="85">
        <f t="shared" si="20"/>
        <v>-74.300000000000011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7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v>30</v>
      </c>
      <c r="G62" s="83"/>
      <c r="H62" s="13"/>
      <c r="I62" s="30"/>
      <c r="J62" s="41"/>
      <c r="K62" s="13"/>
      <c r="L62" s="33">
        <v>0</v>
      </c>
      <c r="M62" s="41"/>
      <c r="N62" s="59">
        <f t="shared" si="19"/>
        <v>-30</v>
      </c>
      <c r="O62" s="41"/>
      <c r="P62" s="13"/>
      <c r="Q62" s="33">
        <v>0</v>
      </c>
      <c r="R62" s="41"/>
      <c r="S62" s="85">
        <f t="shared" si="20"/>
        <v>0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7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v>580</v>
      </c>
      <c r="G63" s="83"/>
      <c r="H63" s="13"/>
      <c r="I63" s="30"/>
      <c r="J63" s="41"/>
      <c r="K63" s="13"/>
      <c r="L63" s="32">
        <v>502.77</v>
      </c>
      <c r="M63" s="41"/>
      <c r="N63" s="59">
        <f t="shared" si="19"/>
        <v>-77.230000000000018</v>
      </c>
      <c r="O63" s="41"/>
      <c r="P63" s="13"/>
      <c r="Q63" s="32">
        <v>605.9</v>
      </c>
      <c r="R63" s="41"/>
      <c r="S63" s="85">
        <f t="shared" si="20"/>
        <v>-103.13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7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v>157.6</v>
      </c>
      <c r="G64" s="83"/>
      <c r="H64" s="13"/>
      <c r="I64" s="30"/>
      <c r="J64" s="41"/>
      <c r="K64" s="13"/>
      <c r="L64" s="33">
        <v>181.63</v>
      </c>
      <c r="M64" s="41"/>
      <c r="N64" s="59">
        <f t="shared" si="19"/>
        <v>24.03</v>
      </c>
      <c r="O64" s="41"/>
      <c r="P64" s="13"/>
      <c r="Q64" s="33">
        <v>203.51</v>
      </c>
      <c r="R64" s="41"/>
      <c r="S64" s="85">
        <f t="shared" si="20"/>
        <v>-21.879999999999995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7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v>226.66666666666666</v>
      </c>
      <c r="G65" s="83"/>
      <c r="H65" s="13"/>
      <c r="I65" s="30"/>
      <c r="J65" s="41"/>
      <c r="K65" s="13"/>
      <c r="L65" s="33">
        <v>207.83</v>
      </c>
      <c r="M65" s="41"/>
      <c r="N65" s="59">
        <f t="shared" si="19"/>
        <v>-18.836666666666645</v>
      </c>
      <c r="O65" s="41"/>
      <c r="P65" s="13"/>
      <c r="Q65" s="33">
        <v>98.64</v>
      </c>
      <c r="R65" s="41"/>
      <c r="S65" s="85">
        <f t="shared" si="20"/>
        <v>109.19000000000001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7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v>629.08333333333326</v>
      </c>
      <c r="G66" s="83"/>
      <c r="H66" s="13"/>
      <c r="I66" s="30"/>
      <c r="J66" s="41"/>
      <c r="K66" s="13"/>
      <c r="L66" s="33">
        <v>475</v>
      </c>
      <c r="M66" s="41"/>
      <c r="N66" s="59">
        <f t="shared" si="19"/>
        <v>-154.08333333333326</v>
      </c>
      <c r="O66" s="41"/>
      <c r="P66" s="13"/>
      <c r="Q66" s="33">
        <v>761.51</v>
      </c>
      <c r="R66" s="41"/>
      <c r="S66" s="85">
        <f t="shared" si="20"/>
        <v>-286.51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>+B67&amp;C67</f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v>321.5946666666668</v>
      </c>
      <c r="G67" s="83"/>
      <c r="H67" s="13"/>
      <c r="I67" s="30"/>
      <c r="J67" s="41"/>
      <c r="K67" s="13"/>
      <c r="L67" s="33">
        <v>1474.67</v>
      </c>
      <c r="M67" s="41"/>
      <c r="N67" s="59">
        <f t="shared" si="19"/>
        <v>1153.0753333333332</v>
      </c>
      <c r="O67" s="41"/>
      <c r="P67" s="13"/>
      <c r="Q67" s="33">
        <v>-415.81</v>
      </c>
      <c r="R67" s="41"/>
      <c r="S67" s="85">
        <f>L67-Q67</f>
        <v>1890.48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>+B68&amp;C68</f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v>3824.8785829232215</v>
      </c>
      <c r="G68" s="83"/>
      <c r="H68" s="13"/>
      <c r="I68" s="30"/>
      <c r="J68" s="41"/>
      <c r="K68" s="13"/>
      <c r="L68" s="32">
        <v>2788.45</v>
      </c>
      <c r="M68" s="41"/>
      <c r="N68" s="59">
        <f t="shared" si="19"/>
        <v>-1036.4285829232217</v>
      </c>
      <c r="O68" s="41"/>
      <c r="P68" s="13"/>
      <c r="Q68" s="33">
        <v>1522.38</v>
      </c>
      <c r="R68" s="41"/>
      <c r="S68" s="85">
        <f>L68-Q68</f>
        <v>1266.0699999999997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>+B69&amp;C69</f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v>0</v>
      </c>
      <c r="G69" s="83"/>
      <c r="H69" s="13"/>
      <c r="I69" s="30"/>
      <c r="J69" s="41"/>
      <c r="K69" s="13"/>
      <c r="L69" s="33"/>
      <c r="M69" s="41"/>
      <c r="N69" s="59">
        <f t="shared" si="19"/>
        <v>0</v>
      </c>
      <c r="O69" s="41"/>
      <c r="P69" s="13"/>
      <c r="Q69" s="33"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ref="A70:A149" si="21">+B70&amp;C70</f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v>0</v>
      </c>
      <c r="G70" s="83"/>
      <c r="H70" s="13"/>
      <c r="I70" s="30"/>
      <c r="J70" s="41"/>
      <c r="K70" s="13"/>
      <c r="L70" s="33">
        <v>0</v>
      </c>
      <c r="M70" s="41"/>
      <c r="N70" s="59">
        <f t="shared" si="19"/>
        <v>0</v>
      </c>
      <c r="O70" s="41"/>
      <c r="P70" s="13"/>
      <c r="Q70" s="33">
        <v>0</v>
      </c>
      <c r="R70" s="41"/>
      <c r="S70" s="85">
        <f t="shared" ref="S70:S86" si="22">L70-Q70</f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2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v>0</v>
      </c>
      <c r="G71" s="83"/>
      <c r="H71" s="13"/>
      <c r="I71" s="30"/>
      <c r="J71" s="41"/>
      <c r="K71" s="13"/>
      <c r="L71" s="33">
        <v>0</v>
      </c>
      <c r="M71" s="41"/>
      <c r="N71" s="59">
        <f t="shared" si="19"/>
        <v>0</v>
      </c>
      <c r="O71" s="41"/>
      <c r="P71" s="13"/>
      <c r="Q71" s="33"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2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0.11613584903691673</v>
      </c>
      <c r="F72" s="96">
        <f>+SUM(F55:F71)</f>
        <v>21079.03574958989</v>
      </c>
      <c r="G72" s="97"/>
      <c r="H72" s="95"/>
      <c r="I72" s="96"/>
      <c r="J72" s="97" t="s">
        <v>38</v>
      </c>
      <c r="K72" s="95">
        <f>L72/L$27</f>
        <v>0.12491243608648946</v>
      </c>
      <c r="L72" s="96">
        <f>+SUM(L55:L71)</f>
        <v>23575.170000000002</v>
      </c>
      <c r="M72" s="100"/>
      <c r="N72" s="96">
        <f>+SUM(N55:N71)</f>
        <v>2496.1342504101108</v>
      </c>
      <c r="O72" s="97" t="s">
        <v>38</v>
      </c>
      <c r="P72" s="95">
        <f>Q72/Q$27</f>
        <v>0.22330015957979607</v>
      </c>
      <c r="Q72" s="96">
        <f>+SUM(Q55:Q71)</f>
        <v>16273.869999999999</v>
      </c>
      <c r="R72" s="100"/>
      <c r="S72" s="101">
        <f>+SUM(S55:S71)</f>
        <v>7301.2999999999993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2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2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0.86893996579912691</v>
      </c>
      <c r="F74" s="96">
        <f>F41+F54+F72</f>
        <v>157715.44062595928</v>
      </c>
      <c r="G74" s="97"/>
      <c r="H74" s="95"/>
      <c r="I74" s="96"/>
      <c r="J74" s="97" t="s">
        <v>38</v>
      </c>
      <c r="K74" s="95">
        <f>L74/L$27</f>
        <v>0.7130180391331542</v>
      </c>
      <c r="L74" s="96">
        <f>L41+L54+L72</f>
        <v>134570.44</v>
      </c>
      <c r="M74" s="100"/>
      <c r="N74" s="113">
        <f t="shared" ref="N74:N82" si="23">L74-F74</f>
        <v>-23145.000625959277</v>
      </c>
      <c r="O74" s="97" t="s">
        <v>38</v>
      </c>
      <c r="P74" s="95">
        <f>Q74/Q$27</f>
        <v>1.5518377747194316</v>
      </c>
      <c r="Q74" s="96">
        <f>Q41+Q54+Q72</f>
        <v>113096.22999999998</v>
      </c>
      <c r="R74" s="100"/>
      <c r="S74" s="114">
        <f>L74-Q74</f>
        <v>21474.210000000021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2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v>49630.397142857146</v>
      </c>
      <c r="G75" s="83"/>
      <c r="H75" s="13"/>
      <c r="I75" s="30"/>
      <c r="J75" s="41"/>
      <c r="K75" s="13"/>
      <c r="L75" s="32">
        <v>0</v>
      </c>
      <c r="M75" s="41"/>
      <c r="N75" s="59">
        <f t="shared" si="23"/>
        <v>-49630.397142857146</v>
      </c>
      <c r="O75" s="41"/>
      <c r="P75" s="13"/>
      <c r="Q75" s="32">
        <v>28695.24</v>
      </c>
      <c r="R75" s="41"/>
      <c r="S75" s="85">
        <f>L75-Q75</f>
        <v>-28695.24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2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v>0</v>
      </c>
      <c r="G76" s="83"/>
      <c r="H76" s="13"/>
      <c r="I76" s="30"/>
      <c r="J76" s="41"/>
      <c r="K76" s="13"/>
      <c r="L76" s="32">
        <v>0</v>
      </c>
      <c r="M76" s="41"/>
      <c r="N76" s="59">
        <f t="shared" si="23"/>
        <v>0</v>
      </c>
      <c r="O76" s="41"/>
      <c r="P76" s="13"/>
      <c r="Q76" s="32"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2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v>0</v>
      </c>
      <c r="G77" s="83"/>
      <c r="H77" s="13"/>
      <c r="I77" s="30"/>
      <c r="J77" s="41"/>
      <c r="K77" s="13"/>
      <c r="L77" s="32">
        <v>0</v>
      </c>
      <c r="M77" s="41"/>
      <c r="N77" s="59">
        <f t="shared" si="23"/>
        <v>0</v>
      </c>
      <c r="O77" s="41"/>
      <c r="P77" s="13"/>
      <c r="Q77" s="32">
        <v>0</v>
      </c>
      <c r="R77" s="41"/>
      <c r="S77" s="85">
        <f t="shared" ref="S77:S82" si="24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2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v>60158.057142857149</v>
      </c>
      <c r="G78" s="83"/>
      <c r="H78" s="13"/>
      <c r="I78" s="30"/>
      <c r="J78" s="41"/>
      <c r="K78" s="13"/>
      <c r="L78" s="33">
        <v>59259</v>
      </c>
      <c r="M78" s="41"/>
      <c r="N78" s="59">
        <f t="shared" si="23"/>
        <v>-899.0571428571493</v>
      </c>
      <c r="O78" s="41"/>
      <c r="P78" s="13"/>
      <c r="Q78" s="32">
        <v>19545</v>
      </c>
      <c r="R78" s="41"/>
      <c r="S78" s="85">
        <f t="shared" si="24"/>
        <v>39714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>+B79&amp;C79</f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v>0</v>
      </c>
      <c r="G79" s="83"/>
      <c r="H79" s="13"/>
      <c r="I79" s="30"/>
      <c r="J79" s="41"/>
      <c r="K79" s="13"/>
      <c r="L79" s="33">
        <v>0</v>
      </c>
      <c r="M79" s="41"/>
      <c r="N79" s="59">
        <f t="shared" si="23"/>
        <v>0</v>
      </c>
      <c r="O79" s="41"/>
      <c r="P79" s="13"/>
      <c r="Q79" s="32"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>+B80&amp;C80</f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v>0</v>
      </c>
      <c r="G80" s="83"/>
      <c r="H80" s="13"/>
      <c r="I80" s="30"/>
      <c r="J80" s="41"/>
      <c r="K80" s="13"/>
      <c r="L80" s="33">
        <v>0</v>
      </c>
      <c r="M80" s="41"/>
      <c r="N80" s="59">
        <f t="shared" si="23"/>
        <v>0</v>
      </c>
      <c r="O80" s="41"/>
      <c r="P80" s="13"/>
      <c r="Q80" s="32"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>+B81&amp;C81</f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v>0</v>
      </c>
      <c r="G81" s="83"/>
      <c r="H81" s="13"/>
      <c r="I81" s="30"/>
      <c r="J81" s="41"/>
      <c r="K81" s="13"/>
      <c r="L81" s="33">
        <v>0</v>
      </c>
      <c r="M81" s="41"/>
      <c r="N81" s="59">
        <f t="shared" si="23"/>
        <v>0</v>
      </c>
      <c r="O81" s="41"/>
      <c r="P81" s="13"/>
      <c r="Q81" s="32"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ref="A82:A161" si="25">+B82&amp;C82</f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v>19242.3</v>
      </c>
      <c r="G82" s="83"/>
      <c r="H82" s="13"/>
      <c r="I82" s="30"/>
      <c r="J82" s="41"/>
      <c r="K82" s="13"/>
      <c r="L82" s="32">
        <v>22610</v>
      </c>
      <c r="M82" s="41"/>
      <c r="N82" s="59">
        <f t="shared" si="23"/>
        <v>3367.7000000000007</v>
      </c>
      <c r="O82" s="41"/>
      <c r="P82" s="13"/>
      <c r="Q82" s="32">
        <v>9520</v>
      </c>
      <c r="R82" s="41"/>
      <c r="S82" s="85">
        <f t="shared" ref="S82:S87" si="26">L82-Q82</f>
        <v>13090</v>
      </c>
      <c r="T82" s="13"/>
      <c r="U82" s="13"/>
      <c r="V82" s="489">
        <f>L82/595</f>
        <v>38</v>
      </c>
      <c r="W82" s="483">
        <f>V82/J27</f>
        <v>1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25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129030.7542857143</v>
      </c>
      <c r="G83" s="97"/>
      <c r="H83" s="95"/>
      <c r="I83" s="96"/>
      <c r="J83" s="97"/>
      <c r="K83" s="95"/>
      <c r="L83" s="96">
        <f>+SUM(L75:L82)</f>
        <v>81869</v>
      </c>
      <c r="M83" s="100"/>
      <c r="N83" s="96">
        <f>+SUM(N75:N82)</f>
        <v>-47161.754285714298</v>
      </c>
      <c r="O83" s="97"/>
      <c r="P83" s="95"/>
      <c r="Q83" s="96">
        <f>+SUM(Q75:Q82)</f>
        <v>57760.240000000005</v>
      </c>
      <c r="R83" s="100"/>
      <c r="S83" s="101">
        <f>+SUM(S75:S82)</f>
        <v>24108.76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25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25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152818.57836563737</v>
      </c>
      <c r="G85" s="128"/>
      <c r="H85" s="126"/>
      <c r="I85" s="127"/>
      <c r="J85" s="128"/>
      <c r="K85" s="125"/>
      <c r="L85" s="127">
        <f>L27-L74+L83</f>
        <v>136032.13000000015</v>
      </c>
      <c r="M85" s="128"/>
      <c r="N85" s="127">
        <f>N27-N41-N54-N72+N83</f>
        <v>-16786.44836563721</v>
      </c>
      <c r="O85" s="128"/>
      <c r="P85" s="125"/>
      <c r="Q85" s="127">
        <f>Q27-Q74+Q83</f>
        <v>17542.910000000018</v>
      </c>
      <c r="R85" s="128"/>
      <c r="S85" s="129">
        <f>S27-S41-S54-S72+S83</f>
        <v>118489.22000000015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Septembre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05" t="s">
        <v>5</v>
      </c>
      <c r="E91" s="506"/>
      <c r="F91" s="507"/>
      <c r="G91" s="508"/>
      <c r="H91" s="506"/>
      <c r="I91" s="507"/>
      <c r="J91" s="508" t="s">
        <v>7</v>
      </c>
      <c r="K91" s="506"/>
      <c r="L91" s="507"/>
      <c r="M91" s="508" t="s">
        <v>212</v>
      </c>
      <c r="N91" s="507"/>
      <c r="O91" s="505" t="s">
        <v>8</v>
      </c>
      <c r="P91" s="506"/>
      <c r="Q91" s="507"/>
      <c r="R91" s="503" t="s">
        <v>213</v>
      </c>
      <c r="S91" s="504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159" si="27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v>1561050.3017974491</v>
      </c>
      <c r="G93" s="46"/>
      <c r="H93" s="25"/>
      <c r="I93" s="22"/>
      <c r="J93" s="23"/>
      <c r="K93" s="25"/>
      <c r="L93" s="22">
        <v>1432682.2499999998</v>
      </c>
      <c r="M93" s="137"/>
      <c r="N93" s="138"/>
      <c r="O93" s="23"/>
      <c r="P93" s="25"/>
      <c r="Q93" s="22">
        <v>917038.41999999993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7"/>
        <v>Véhicules usagésCertifié</v>
      </c>
      <c r="B94" s="11" t="s">
        <v>70</v>
      </c>
      <c r="C94" s="29" t="s">
        <v>72</v>
      </c>
      <c r="D94" s="30">
        <v>10</v>
      </c>
      <c r="E94" s="30">
        <f>IF(D94=0,0,F94/D94)</f>
        <v>2400</v>
      </c>
      <c r="F94" s="30">
        <v>24000</v>
      </c>
      <c r="G94" s="31"/>
      <c r="H94" s="30"/>
      <c r="I94" s="30"/>
      <c r="J94" s="31">
        <v>11</v>
      </c>
      <c r="K94" s="30">
        <f>IF(J94=0,0,L94/J94)</f>
        <v>2823.0427272727243</v>
      </c>
      <c r="L94" s="33">
        <v>31053.469999999968</v>
      </c>
      <c r="M94" s="31">
        <f>J94-D94</f>
        <v>1</v>
      </c>
      <c r="N94" s="33">
        <f>L94-F94</f>
        <v>7053.4699999999684</v>
      </c>
      <c r="O94" s="31">
        <v>2</v>
      </c>
      <c r="P94" s="30">
        <f>IF(O94=0,0,Q94/O94)</f>
        <v>3489.7299999999959</v>
      </c>
      <c r="Q94" s="33">
        <v>6979.4599999999919</v>
      </c>
      <c r="R94" s="31">
        <f>J94-O94</f>
        <v>9</v>
      </c>
      <c r="S94" s="34">
        <f>L94-Q94</f>
        <v>24074.009999999977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7"/>
        <v>Véhicules usagésNon Certifié</v>
      </c>
      <c r="B95" s="11" t="s">
        <v>70</v>
      </c>
      <c r="C95" s="29" t="s">
        <v>73</v>
      </c>
      <c r="D95" s="30">
        <v>2</v>
      </c>
      <c r="E95" s="30">
        <f>IF(D95=0,0,F95/D95)</f>
        <v>1400</v>
      </c>
      <c r="F95" s="30">
        <v>2800</v>
      </c>
      <c r="G95" s="31"/>
      <c r="H95" s="30"/>
      <c r="I95" s="30"/>
      <c r="J95" s="31">
        <v>2</v>
      </c>
      <c r="K95" s="30">
        <f>IF(J95=0,0,L95/J95)</f>
        <v>2739.1650000000018</v>
      </c>
      <c r="L95" s="32">
        <v>5478.3300000000036</v>
      </c>
      <c r="M95" s="31">
        <f>J95-D95</f>
        <v>0</v>
      </c>
      <c r="N95" s="33">
        <f>L95-F95</f>
        <v>2678.3300000000036</v>
      </c>
      <c r="O95" s="31">
        <v>5</v>
      </c>
      <c r="P95" s="30">
        <f>IF(O95=0,0,Q95/O95)</f>
        <v>1836.2619999999981</v>
      </c>
      <c r="Q95" s="32">
        <v>9181.3099999999904</v>
      </c>
      <c r="R95" s="31">
        <f>J95-O95</f>
        <v>-3</v>
      </c>
      <c r="S95" s="34">
        <f>L95-Q95</f>
        <v>-3702.9799999999868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>+B96&amp;C96</f>
        <v>Véhicules usagésAutres marques</v>
      </c>
      <c r="B96" s="11" t="s">
        <v>70</v>
      </c>
      <c r="C96" s="29" t="s">
        <v>206</v>
      </c>
      <c r="D96" s="30">
        <v>4</v>
      </c>
      <c r="E96" s="25">
        <f>IF(D96=0,0,F96/D96)</f>
        <v>1500</v>
      </c>
      <c r="F96" s="30">
        <v>6000</v>
      </c>
      <c r="G96" s="31"/>
      <c r="H96" s="30"/>
      <c r="I96" s="30"/>
      <c r="J96" s="31">
        <v>1</v>
      </c>
      <c r="K96" s="30">
        <f>IF(J96=0,0,L96/J96)</f>
        <v>1765.77</v>
      </c>
      <c r="L96" s="32">
        <v>1765.77</v>
      </c>
      <c r="M96" s="31">
        <f>J96-D96</f>
        <v>-3</v>
      </c>
      <c r="N96" s="33">
        <f>L96-F96</f>
        <v>-4234.2299999999996</v>
      </c>
      <c r="O96" s="31">
        <v>3</v>
      </c>
      <c r="P96" s="30">
        <f>IF(O96=0,0,Q96/O96)</f>
        <v>1345.849999999996</v>
      </c>
      <c r="Q96" s="32">
        <v>4037.5499999999884</v>
      </c>
      <c r="R96" s="31">
        <f>J96-O96</f>
        <v>-2</v>
      </c>
      <c r="S96" s="34">
        <f>L96-Q96</f>
        <v>-2271.7799999999884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ref="A97:A163" si="28">+B97&amp;C97</f>
        <v>Véhicules usagésTotal Usagés</v>
      </c>
      <c r="B97" s="11" t="s">
        <v>70</v>
      </c>
      <c r="C97" s="35" t="s">
        <v>74</v>
      </c>
      <c r="D97" s="36">
        <f>+D95+D94+D96</f>
        <v>16</v>
      </c>
      <c r="E97" s="30">
        <f>IF(D97=0,0,F97/D97)</f>
        <v>2050</v>
      </c>
      <c r="F97" s="37">
        <f>+F94+F95+F96</f>
        <v>32800</v>
      </c>
      <c r="G97" s="38"/>
      <c r="H97" s="36"/>
      <c r="I97" s="37"/>
      <c r="J97" s="38">
        <f>+J94+J95+J96</f>
        <v>14</v>
      </c>
      <c r="K97" s="36">
        <f>IF(J97&lt;=0,0,L97/J97)</f>
        <v>2735.5407142857121</v>
      </c>
      <c r="L97" s="37">
        <f>+L94+L95+L96</f>
        <v>38297.569999999971</v>
      </c>
      <c r="M97" s="38">
        <f>J97-D97</f>
        <v>-2</v>
      </c>
      <c r="N97" s="37">
        <f>L97-F97</f>
        <v>5497.5699999999706</v>
      </c>
      <c r="O97" s="38">
        <f>+O95+O94+O96</f>
        <v>10</v>
      </c>
      <c r="P97" s="36">
        <f>IF(O97=0,0,Q97/O97)</f>
        <v>2019.8319999999972</v>
      </c>
      <c r="Q97" s="37">
        <f>+Q94+Q95+Q96</f>
        <v>20198.319999999971</v>
      </c>
      <c r="R97" s="38">
        <f>J97-O97</f>
        <v>4</v>
      </c>
      <c r="S97" s="39">
        <f>L97-Q97</f>
        <v>18099.25</v>
      </c>
      <c r="T97" s="13"/>
      <c r="U97" s="13"/>
      <c r="W97" s="457">
        <v>14</v>
      </c>
      <c r="X97" s="13">
        <v>38298</v>
      </c>
      <c r="Y97" s="515">
        <f>L97-X97</f>
        <v>-0.43000000002939487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8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-0.125</v>
      </c>
      <c r="N98" s="43">
        <f>N97/F97</f>
        <v>0.16760884146341373</v>
      </c>
      <c r="O98" s="41"/>
      <c r="P98" s="13"/>
      <c r="Q98" s="40"/>
      <c r="R98" s="42">
        <f>R97/O97</f>
        <v>0.4</v>
      </c>
      <c r="S98" s="44">
        <f>IF(Q97=0,0,(S97/Q97))</f>
        <v>0.89607700046340621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>+B99&amp;C99</f>
        <v>Véhicules neufsRachat bail</v>
      </c>
      <c r="B99" s="11" t="str">
        <f t="shared" ref="B99:B193" si="29">+$K$1</f>
        <v>Véhicules neufs</v>
      </c>
      <c r="C99" s="53" t="s">
        <v>23</v>
      </c>
      <c r="D99" s="30">
        <v>0</v>
      </c>
      <c r="E99" s="30">
        <f>IF(D99=0,0,F99/D99)</f>
        <v>0</v>
      </c>
      <c r="F99" s="30">
        <v>874.16704137020508</v>
      </c>
      <c r="G99" s="31"/>
      <c r="H99" s="30"/>
      <c r="I99" s="30"/>
      <c r="J99" s="31"/>
      <c r="K99" s="30"/>
      <c r="L99" s="33">
        <v>1499</v>
      </c>
      <c r="M99" s="31"/>
      <c r="N99" s="33">
        <f>L99-F99</f>
        <v>624.83295862979492</v>
      </c>
      <c r="O99" s="31"/>
      <c r="P99" s="30"/>
      <c r="Q99" s="33">
        <v>999</v>
      </c>
      <c r="R99" s="31">
        <f>O99-K99</f>
        <v>0</v>
      </c>
      <c r="S99" s="34">
        <f>L99-Q99</f>
        <v>500</v>
      </c>
      <c r="T99" s="13"/>
      <c r="U99" s="13"/>
      <c r="W99" s="11"/>
      <c r="X99" s="11">
        <v>1499</v>
      </c>
      <c r="Y99" s="515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:A166" si="30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30"/>
        <v>Véhicules usagésVentes au Gros</v>
      </c>
      <c r="B101" s="11" t="s">
        <v>70</v>
      </c>
      <c r="C101" s="29" t="s">
        <v>75</v>
      </c>
      <c r="D101" s="30">
        <v>23</v>
      </c>
      <c r="E101" s="30">
        <f>IF(D101=0,0,F101/D101)</f>
        <v>500</v>
      </c>
      <c r="F101" s="30">
        <v>11500</v>
      </c>
      <c r="G101" s="31"/>
      <c r="H101" s="30"/>
      <c r="I101" s="30"/>
      <c r="J101" s="31">
        <v>24</v>
      </c>
      <c r="K101" s="30">
        <f>IF(J101=0,0,L101/J101)</f>
        <v>1011.3583333333348</v>
      </c>
      <c r="L101" s="33">
        <v>24272.600000000035</v>
      </c>
      <c r="M101" s="31">
        <f>J101-D101</f>
        <v>1</v>
      </c>
      <c r="N101" s="33">
        <f>L101-F101</f>
        <v>12772.600000000035</v>
      </c>
      <c r="O101" s="31">
        <v>10</v>
      </c>
      <c r="P101" s="30">
        <f>IF(O101=0,0,Q101/O101)</f>
        <v>566.52200000000016</v>
      </c>
      <c r="Q101" s="33">
        <v>5665.2200000000012</v>
      </c>
      <c r="R101" s="31">
        <f>J101-O101</f>
        <v>14</v>
      </c>
      <c r="S101" s="34">
        <f>L101-Q101</f>
        <v>18607.380000000034</v>
      </c>
      <c r="T101" s="13"/>
      <c r="U101" s="13"/>
      <c r="W101" s="457">
        <v>25</v>
      </c>
      <c r="X101" s="13">
        <v>24273</v>
      </c>
      <c r="Y101" s="515">
        <f>L101-X101</f>
        <v>-0.3999999999650754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30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30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v>5600</v>
      </c>
      <c r="G103" s="31"/>
      <c r="H103" s="30"/>
      <c r="I103" s="30"/>
      <c r="J103" s="31"/>
      <c r="K103" s="30">
        <f>IF(J97=0,0,L103/J97)</f>
        <v>210.08142857142857</v>
      </c>
      <c r="L103" s="33">
        <v>2941.14</v>
      </c>
      <c r="M103" s="31"/>
      <c r="N103" s="33">
        <f>L103-F103</f>
        <v>-2658.86</v>
      </c>
      <c r="O103" s="31"/>
      <c r="P103" s="30">
        <f>IF(O97=0,0,Q103/O97)</f>
        <v>86.942000000000007</v>
      </c>
      <c r="Q103" s="33">
        <v>869.42000000000007</v>
      </c>
      <c r="R103" s="31">
        <f>O103-K103</f>
        <v>-210.08142857142857</v>
      </c>
      <c r="S103" s="34">
        <f>L103-Q103</f>
        <v>2071.7199999999998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30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v>15200</v>
      </c>
      <c r="G104" s="31"/>
      <c r="H104" s="30"/>
      <c r="I104" s="30"/>
      <c r="J104" s="31"/>
      <c r="K104" s="30">
        <f>IF(J97=0,0,L104/J97)</f>
        <v>99.857142857142861</v>
      </c>
      <c r="L104" s="33">
        <v>1398</v>
      </c>
      <c r="M104" s="31"/>
      <c r="N104" s="33">
        <f>L104-F104</f>
        <v>-13802</v>
      </c>
      <c r="O104" s="31"/>
      <c r="P104" s="30">
        <f>IF(O97=0,0,Q104/O97)</f>
        <v>1425.4470000000001</v>
      </c>
      <c r="Q104" s="33">
        <v>14254.470000000001</v>
      </c>
      <c r="R104" s="31">
        <f>O104-K104</f>
        <v>-99.857142857142861</v>
      </c>
      <c r="S104" s="34">
        <f>L104-Q104</f>
        <v>-12856.470000000001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30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v>3200</v>
      </c>
      <c r="G105" s="31"/>
      <c r="H105" s="47"/>
      <c r="I105" s="30"/>
      <c r="J105" s="31"/>
      <c r="K105" s="47">
        <f>IF(J97=0,0,L105/J97)</f>
        <v>0</v>
      </c>
      <c r="L105" s="33">
        <v>0</v>
      </c>
      <c r="M105" s="51"/>
      <c r="N105" s="33">
        <f>L105-F105</f>
        <v>-3200</v>
      </c>
      <c r="O105" s="31"/>
      <c r="P105" s="47">
        <f>IF(O97=0,0,Q105/O97)</f>
        <v>155.5</v>
      </c>
      <c r="Q105" s="33">
        <v>1555</v>
      </c>
      <c r="R105" s="31">
        <f>O105-K105</f>
        <v>0</v>
      </c>
      <c r="S105" s="34">
        <f>L105-Q105</f>
        <v>-1555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30"/>
        <v>Véhicules usagésTotal F&amp;I</v>
      </c>
      <c r="B106" s="11" t="s">
        <v>70</v>
      </c>
      <c r="C106" s="35" t="s">
        <v>27</v>
      </c>
      <c r="D106" s="36">
        <f>D97</f>
        <v>16</v>
      </c>
      <c r="E106" s="30">
        <f>IF(D106=0,0,F106/D106)</f>
        <v>1500</v>
      </c>
      <c r="F106" s="37">
        <f>F103+F104+F105</f>
        <v>24000</v>
      </c>
      <c r="G106" s="38"/>
      <c r="H106" s="36"/>
      <c r="I106" s="37"/>
      <c r="J106" s="38">
        <f>J97</f>
        <v>14</v>
      </c>
      <c r="K106" s="36">
        <f>IF(J106&lt;=0,0,L106/J106)</f>
        <v>309.93857142857138</v>
      </c>
      <c r="L106" s="37">
        <f>L103+L104+L105</f>
        <v>4339.1399999999994</v>
      </c>
      <c r="M106" s="31">
        <f>J106-D106</f>
        <v>-2</v>
      </c>
      <c r="N106" s="37">
        <f>L106-F106</f>
        <v>-19660.86</v>
      </c>
      <c r="O106" s="38">
        <f>O97</f>
        <v>10</v>
      </c>
      <c r="P106" s="36">
        <f>IF(O106=0,0,Q106/O106)</f>
        <v>1667.8889999999999</v>
      </c>
      <c r="Q106" s="37">
        <f>Q103+Q104+Q105</f>
        <v>16678.89</v>
      </c>
      <c r="R106" s="56"/>
      <c r="S106" s="39">
        <f>L106-Q106</f>
        <v>-12339.75</v>
      </c>
      <c r="T106" s="13"/>
      <c r="U106" s="13"/>
      <c r="W106" s="13"/>
      <c r="X106" s="13">
        <v>4339</v>
      </c>
      <c r="Y106" s="515">
        <f>L106-X106</f>
        <v>0.13999999999941792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30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-0.81920250000000006</v>
      </c>
      <c r="O107" s="41"/>
      <c r="P107" s="13"/>
      <c r="Q107" s="59"/>
      <c r="R107" s="60"/>
      <c r="S107" s="44">
        <f>IF(Q106=0,0,(S106/Q106))</f>
        <v>-0.73984239958414499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30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0"/>
        <v>Véhicules usagésTotal Dépt. Usagés</v>
      </c>
      <c r="B109" s="11" t="s">
        <v>70</v>
      </c>
      <c r="C109" s="62" t="s">
        <v>76</v>
      </c>
      <c r="D109" s="63">
        <f>D97+D101</f>
        <v>39</v>
      </c>
      <c r="E109" s="67">
        <f>IF(D109&lt;=0,0,F109/D109)</f>
        <v>1773.6965908043644</v>
      </c>
      <c r="F109" s="65">
        <f>F97+F106+F101+F99</f>
        <v>69174.167041370209</v>
      </c>
      <c r="G109" s="66"/>
      <c r="H109" s="67"/>
      <c r="I109" s="65"/>
      <c r="J109" s="66">
        <f>J97+J101</f>
        <v>38</v>
      </c>
      <c r="K109" s="67">
        <f>IF(J109&lt;=0,0,L109/J109)</f>
        <v>1800.2186842105264</v>
      </c>
      <c r="L109" s="65">
        <f>L97+L106+L101+L99</f>
        <v>68408.31</v>
      </c>
      <c r="M109" s="66">
        <f>J109-D109</f>
        <v>-1</v>
      </c>
      <c r="N109" s="65">
        <f>L109-F109</f>
        <v>-765.85704137021094</v>
      </c>
      <c r="O109" s="66">
        <f>O97+O101</f>
        <v>20</v>
      </c>
      <c r="P109" s="67">
        <f>IF(O109&lt;=0,0,Q109/O109)</f>
        <v>2177.0714999999987</v>
      </c>
      <c r="Q109" s="65">
        <f>Q97+Q106+Q101+Q99</f>
        <v>43541.429999999971</v>
      </c>
      <c r="R109" s="66">
        <f>J109-O109</f>
        <v>18</v>
      </c>
      <c r="S109" s="68">
        <f>L109-Q109</f>
        <v>24866.880000000026</v>
      </c>
      <c r="T109" s="13"/>
      <c r="U109" s="13"/>
      <c r="W109" s="484">
        <f>SUM(W95:W108)</f>
        <v>39</v>
      </c>
      <c r="X109" s="484">
        <f>SUM(X95:X108)</f>
        <v>68409</v>
      </c>
      <c r="Y109" s="515">
        <f>L109-X109</f>
        <v>-0.69000000000232831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0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-2.564102564102564E-2</v>
      </c>
      <c r="N110" s="74">
        <f>N109/F109</f>
        <v>-1.1071431346794296E-2</v>
      </c>
      <c r="O110" s="72"/>
      <c r="P110" s="70"/>
      <c r="Q110" s="71"/>
      <c r="R110" s="73">
        <f>O109/R109</f>
        <v>1.1111111111111112</v>
      </c>
      <c r="S110" s="144">
        <f>IF(Q109=0,0,(S109/Q109))</f>
        <v>0.57110848219730137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30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30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30"/>
        <v>Véhicules usagésComm. vendeurs</v>
      </c>
      <c r="B113" s="11" t="s">
        <v>70</v>
      </c>
      <c r="C113" s="29" t="s">
        <v>30</v>
      </c>
      <c r="D113" s="147">
        <f>F113/(F97+F106)</f>
        <v>0.20507335002491814</v>
      </c>
      <c r="E113" s="82">
        <f t="shared" ref="E113:E122" si="31">F113/D$97</f>
        <v>728.01039258845935</v>
      </c>
      <c r="F113" s="30">
        <v>11648.16628141535</v>
      </c>
      <c r="G113" s="156"/>
      <c r="H113" s="82"/>
      <c r="I113" s="30"/>
      <c r="J113" s="156">
        <f>L113/L97</f>
        <v>0.3919564609451725</v>
      </c>
      <c r="K113" s="82">
        <f>IF($J$97=0,0,L113/(J$94+J$95+J96))</f>
        <v>1072.212857142857</v>
      </c>
      <c r="L113" s="33">
        <v>15010.98</v>
      </c>
      <c r="M113" s="41"/>
      <c r="N113" s="59">
        <f t="shared" ref="N113:N154" si="32">L113-F113</f>
        <v>3362.8137185846499</v>
      </c>
      <c r="O113" s="156">
        <f>Q113/Q97</f>
        <v>0.26600083571306959</v>
      </c>
      <c r="P113" s="82">
        <f t="shared" ref="P113:P122" si="33">Q113/O$97</f>
        <v>537.27700000000004</v>
      </c>
      <c r="Q113" s="33">
        <v>5372.77</v>
      </c>
      <c r="R113" s="41"/>
      <c r="S113" s="85">
        <f t="shared" ref="S113:S123" si="34">L113-Q113</f>
        <v>9638.2099999999991</v>
      </c>
      <c r="T113" s="13"/>
      <c r="U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30"/>
        <v>Véhicules usagésComm. F&amp;I</v>
      </c>
      <c r="B114" s="11" t="s">
        <v>70</v>
      </c>
      <c r="C114" s="86" t="s">
        <v>31</v>
      </c>
      <c r="D114" s="217">
        <f>F114/(F106+F99)</f>
        <v>0.26051123598320286</v>
      </c>
      <c r="E114" s="88">
        <f t="shared" si="31"/>
        <v>405</v>
      </c>
      <c r="F114" s="22">
        <v>6480</v>
      </c>
      <c r="G114" s="161"/>
      <c r="H114" s="88"/>
      <c r="I114" s="22"/>
      <c r="J114" s="161">
        <f>L114/L106</f>
        <v>0.10166991615850147</v>
      </c>
      <c r="K114" s="88">
        <f>IF($J$97=0,0,L114/(J$94+J$95+J96))</f>
        <v>31.511428571428574</v>
      </c>
      <c r="L114" s="33">
        <v>441.16</v>
      </c>
      <c r="M114" s="23"/>
      <c r="N114" s="91">
        <f t="shared" si="32"/>
        <v>-6038.84</v>
      </c>
      <c r="O114" s="161">
        <f>Q114/(Q106+Q99)</f>
        <v>0.22129677240892437</v>
      </c>
      <c r="P114" s="88">
        <f t="shared" si="33"/>
        <v>391.20600000000002</v>
      </c>
      <c r="Q114" s="33">
        <v>3912.06</v>
      </c>
      <c r="R114" s="23"/>
      <c r="S114" s="92">
        <f t="shared" si="34"/>
        <v>-3470.9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30"/>
        <v>Véhicules usagésFrais de livraison</v>
      </c>
      <c r="B115" s="11" t="s">
        <v>70</v>
      </c>
      <c r="C115" s="29" t="s">
        <v>32</v>
      </c>
      <c r="D115" s="81"/>
      <c r="E115" s="82">
        <f t="shared" si="31"/>
        <v>85</v>
      </c>
      <c r="F115" s="30">
        <v>1360</v>
      </c>
      <c r="G115" s="83"/>
      <c r="H115" s="82"/>
      <c r="I115" s="30"/>
      <c r="J115" s="41"/>
      <c r="K115" s="82">
        <f>IF($J$97=0,0,L115/(J$94+J$95+J96))</f>
        <v>-9.6014285714285705</v>
      </c>
      <c r="L115" s="108">
        <v>-134.41999999999999</v>
      </c>
      <c r="M115" s="41"/>
      <c r="N115" s="59">
        <f t="shared" si="32"/>
        <v>-1494.42</v>
      </c>
      <c r="O115" s="41"/>
      <c r="P115" s="82">
        <f t="shared" si="33"/>
        <v>116.10299999999999</v>
      </c>
      <c r="Q115" s="108">
        <v>1161.03</v>
      </c>
      <c r="R115" s="41"/>
      <c r="S115" s="85">
        <f t="shared" si="34"/>
        <v>-1295.45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30"/>
        <v>Véhicules usagésService gratuit 1</v>
      </c>
      <c r="B116" s="11" t="s">
        <v>70</v>
      </c>
      <c r="C116" s="29" t="s">
        <v>33</v>
      </c>
      <c r="D116" s="81"/>
      <c r="E116" s="82">
        <f t="shared" si="31"/>
        <v>80</v>
      </c>
      <c r="F116" s="30">
        <v>1280</v>
      </c>
      <c r="G116" s="83"/>
      <c r="H116" s="82"/>
      <c r="I116" s="30"/>
      <c r="J116" s="41"/>
      <c r="K116" s="82">
        <f>IF($J$97=0,0,L116/(J$94+J$95+J96))</f>
        <v>217.18</v>
      </c>
      <c r="L116" s="33">
        <v>3040.52</v>
      </c>
      <c r="M116" s="41"/>
      <c r="N116" s="59">
        <f t="shared" si="32"/>
        <v>1760.52</v>
      </c>
      <c r="O116" s="41"/>
      <c r="P116" s="82">
        <f t="shared" si="33"/>
        <v>14.586000000000002</v>
      </c>
      <c r="Q116" s="33">
        <v>145.86000000000001</v>
      </c>
      <c r="R116" s="41"/>
      <c r="S116" s="85">
        <f t="shared" si="34"/>
        <v>2894.66</v>
      </c>
      <c r="T116" s="13"/>
      <c r="U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30"/>
        <v>Véhicules usagésEntretien stock</v>
      </c>
      <c r="B117" s="11" t="s">
        <v>70</v>
      </c>
      <c r="C117" s="86" t="s">
        <v>34</v>
      </c>
      <c r="D117" s="87"/>
      <c r="E117" s="88">
        <f t="shared" si="31"/>
        <v>50.9375</v>
      </c>
      <c r="F117" s="22">
        <v>815</v>
      </c>
      <c r="G117" s="89"/>
      <c r="H117" s="88"/>
      <c r="I117" s="22"/>
      <c r="J117" s="23"/>
      <c r="K117" s="88">
        <f>IF($J$97=0,0,L117/(J$94+J$95+J96))</f>
        <v>115.32571428571428</v>
      </c>
      <c r="L117" s="48">
        <v>1614.56</v>
      </c>
      <c r="M117" s="23"/>
      <c r="N117" s="91">
        <f t="shared" si="32"/>
        <v>799.56</v>
      </c>
      <c r="O117" s="23"/>
      <c r="P117" s="88">
        <f t="shared" si="33"/>
        <v>231.38800000000001</v>
      </c>
      <c r="Q117" s="48">
        <v>2313.88</v>
      </c>
      <c r="R117" s="23"/>
      <c r="S117" s="92">
        <f t="shared" si="34"/>
        <v>-699.32000000000016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30"/>
        <v>Véhicules usagésPublicité 1</v>
      </c>
      <c r="B118" s="11" t="s">
        <v>70</v>
      </c>
      <c r="C118" s="29" t="s">
        <v>35</v>
      </c>
      <c r="D118" s="81"/>
      <c r="E118" s="82">
        <f t="shared" si="31"/>
        <v>92.34375</v>
      </c>
      <c r="F118" s="30">
        <v>1477.5</v>
      </c>
      <c r="G118" s="83"/>
      <c r="H118" s="82"/>
      <c r="I118" s="30"/>
      <c r="J118" s="41"/>
      <c r="K118" s="82">
        <f>IF($J$97=0,0,L118/(J$94+J$95+J96))</f>
        <v>274.77785714285716</v>
      </c>
      <c r="L118" s="33">
        <v>3846.89</v>
      </c>
      <c r="M118" s="41"/>
      <c r="N118" s="59">
        <f t="shared" si="32"/>
        <v>2369.39</v>
      </c>
      <c r="O118" s="41"/>
      <c r="P118" s="82">
        <f t="shared" si="33"/>
        <v>328.73500000000001</v>
      </c>
      <c r="Q118" s="33">
        <v>3287.3500000000004</v>
      </c>
      <c r="R118" s="41"/>
      <c r="S118" s="85">
        <f t="shared" si="34"/>
        <v>559.53999999999951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31"/>
        <v>453.64562704918023</v>
      </c>
      <c r="F119" s="30">
        <v>7258.3300327868837</v>
      </c>
      <c r="G119" s="83"/>
      <c r="H119" s="82"/>
      <c r="I119" s="30"/>
      <c r="J119" s="41"/>
      <c r="K119" s="82">
        <f>IF($J$97=0,0,L119/(J$94+J$95+J96))</f>
        <v>478.04214285714289</v>
      </c>
      <c r="L119" s="33">
        <v>6692.59</v>
      </c>
      <c r="M119" s="41"/>
      <c r="N119" s="59">
        <f t="shared" si="32"/>
        <v>-565.7400327868836</v>
      </c>
      <c r="O119" s="41"/>
      <c r="P119" s="82">
        <f t="shared" si="33"/>
        <v>271.08199999999999</v>
      </c>
      <c r="Q119" s="33">
        <v>2710.82</v>
      </c>
      <c r="R119" s="41"/>
      <c r="S119" s="85">
        <f>L119-Q119</f>
        <v>3981.77</v>
      </c>
      <c r="T119" s="13"/>
      <c r="U119" s="13"/>
      <c r="V119" s="489">
        <v>6693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>+B120&amp;C120</f>
        <v>Véhicules usagés[...]</v>
      </c>
      <c r="B120" s="11" t="s">
        <v>70</v>
      </c>
      <c r="C120" s="29" t="s">
        <v>19</v>
      </c>
      <c r="D120" s="81"/>
      <c r="E120" s="82">
        <f t="shared" si="31"/>
        <v>0</v>
      </c>
      <c r="F120" s="30">
        <v>0</v>
      </c>
      <c r="G120" s="83"/>
      <c r="H120" s="82"/>
      <c r="I120" s="30"/>
      <c r="J120" s="41"/>
      <c r="K120" s="82">
        <f>IF($J$97=0,0,L120/(J$94+J$95))</f>
        <v>0</v>
      </c>
      <c r="L120" s="33">
        <v>0</v>
      </c>
      <c r="M120" s="41"/>
      <c r="N120" s="59">
        <f t="shared" si="32"/>
        <v>0</v>
      </c>
      <c r="O120" s="41"/>
      <c r="P120" s="82">
        <f t="shared" si="33"/>
        <v>0</v>
      </c>
      <c r="Q120" s="33"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>+B121&amp;C121</f>
        <v>Véhicules usagés[...]</v>
      </c>
      <c r="B121" s="11" t="s">
        <v>70</v>
      </c>
      <c r="C121" s="29" t="s">
        <v>19</v>
      </c>
      <c r="D121" s="81"/>
      <c r="E121" s="82">
        <f t="shared" si="31"/>
        <v>0</v>
      </c>
      <c r="F121" s="30">
        <v>0</v>
      </c>
      <c r="G121" s="83"/>
      <c r="H121" s="82"/>
      <c r="I121" s="30"/>
      <c r="J121" s="41"/>
      <c r="K121" s="82">
        <f>IF($J$97=0,0,L121/(J$94+J$95))</f>
        <v>0</v>
      </c>
      <c r="L121" s="33">
        <v>0</v>
      </c>
      <c r="M121" s="41"/>
      <c r="N121" s="59">
        <f t="shared" si="32"/>
        <v>0</v>
      </c>
      <c r="O121" s="41"/>
      <c r="P121" s="82">
        <f t="shared" si="33"/>
        <v>0</v>
      </c>
      <c r="Q121" s="33"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>+B122&amp;C122</f>
        <v>Véhicules usagés[...]</v>
      </c>
      <c r="B122" s="11" t="s">
        <v>70</v>
      </c>
      <c r="C122" s="29" t="s">
        <v>19</v>
      </c>
      <c r="D122" s="81"/>
      <c r="E122" s="82">
        <f t="shared" si="31"/>
        <v>0</v>
      </c>
      <c r="F122" s="30">
        <v>0</v>
      </c>
      <c r="G122" s="83"/>
      <c r="H122" s="82"/>
      <c r="I122" s="30"/>
      <c r="J122" s="41"/>
      <c r="K122" s="82">
        <f>IF($J$97=0,0,L122/(J$94+J$95))</f>
        <v>0</v>
      </c>
      <c r="L122" s="33">
        <v>0</v>
      </c>
      <c r="M122" s="41"/>
      <c r="N122" s="59">
        <f t="shared" si="32"/>
        <v>0</v>
      </c>
      <c r="O122" s="41"/>
      <c r="P122" s="82">
        <f t="shared" si="33"/>
        <v>0</v>
      </c>
      <c r="Q122" s="33">
        <v>0</v>
      </c>
      <c r="R122" s="41"/>
      <c r="S122" s="85">
        <f t="shared" ref="S122:S132" si="35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:A189" si="36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0.43829940584712346</v>
      </c>
      <c r="F123" s="96">
        <f>SUM(F113:F122)</f>
        <v>30318.996314202232</v>
      </c>
      <c r="G123" s="97"/>
      <c r="H123" s="95"/>
      <c r="I123" s="96"/>
      <c r="J123" s="97" t="s">
        <v>38</v>
      </c>
      <c r="K123" s="95">
        <f>L123/L$109</f>
        <v>0.44603177596406052</v>
      </c>
      <c r="L123" s="96">
        <f>SUM(L113:L122)</f>
        <v>30512.28</v>
      </c>
      <c r="M123" s="100"/>
      <c r="N123" s="96">
        <f t="shared" si="32"/>
        <v>193.28368579776725</v>
      </c>
      <c r="O123" s="97" t="s">
        <v>38</v>
      </c>
      <c r="P123" s="95">
        <f>Q123/Q$109</f>
        <v>0.43415592919203655</v>
      </c>
      <c r="Q123" s="96">
        <f>SUM(Q113:Q122)</f>
        <v>18903.770000000004</v>
      </c>
      <c r="R123" s="100"/>
      <c r="S123" s="101">
        <f t="shared" si="35"/>
        <v>11608.509999999995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36"/>
        <v>Véhicules usagésSalaires cadres</v>
      </c>
      <c r="B124" s="11" t="s">
        <v>70</v>
      </c>
      <c r="C124" s="102" t="s">
        <v>40</v>
      </c>
      <c r="D124" s="13"/>
      <c r="E124" s="13"/>
      <c r="F124" s="30">
        <v>5966.1677164750954</v>
      </c>
      <c r="G124" s="41"/>
      <c r="H124" s="13"/>
      <c r="I124" s="30"/>
      <c r="J124" s="41"/>
      <c r="K124" s="13"/>
      <c r="L124" s="33">
        <v>3103</v>
      </c>
      <c r="M124" s="41"/>
      <c r="N124" s="59">
        <f t="shared" si="32"/>
        <v>-2863.1677164750954</v>
      </c>
      <c r="O124" s="41"/>
      <c r="P124" s="13"/>
      <c r="Q124" s="33">
        <v>2664.71</v>
      </c>
      <c r="R124" s="41"/>
      <c r="S124" s="85">
        <f t="shared" si="35"/>
        <v>438.28999999999996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36"/>
        <v>Véhicules usagésSalaires commis</v>
      </c>
      <c r="B125" s="11" t="s">
        <v>70</v>
      </c>
      <c r="C125" s="103" t="s">
        <v>41</v>
      </c>
      <c r="D125" s="81"/>
      <c r="E125" s="13"/>
      <c r="F125" s="22">
        <v>1970.7279272030648</v>
      </c>
      <c r="G125" s="83"/>
      <c r="H125" s="13"/>
      <c r="I125" s="22"/>
      <c r="J125" s="41"/>
      <c r="K125" s="13"/>
      <c r="L125" s="22">
        <v>1299.51</v>
      </c>
      <c r="M125" s="41"/>
      <c r="N125" s="59">
        <f t="shared" si="32"/>
        <v>-671.21792720306485</v>
      </c>
      <c r="O125" s="41"/>
      <c r="P125" s="13"/>
      <c r="Q125" s="22">
        <v>3025.53</v>
      </c>
      <c r="R125" s="41"/>
      <c r="S125" s="85">
        <f t="shared" si="35"/>
        <v>-1726.0200000000002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36"/>
        <v>Véhicules usagésSalaires autres</v>
      </c>
      <c r="B126" s="11" t="s">
        <v>70</v>
      </c>
      <c r="C126" s="102" t="s">
        <v>42</v>
      </c>
      <c r="D126" s="104"/>
      <c r="E126" s="105"/>
      <c r="F126" s="30">
        <v>0</v>
      </c>
      <c r="G126" s="106"/>
      <c r="H126" s="105"/>
      <c r="I126" s="30"/>
      <c r="J126" s="107"/>
      <c r="K126" s="105"/>
      <c r="L126" s="33">
        <v>0</v>
      </c>
      <c r="M126" s="107"/>
      <c r="N126" s="109">
        <f t="shared" si="32"/>
        <v>0</v>
      </c>
      <c r="O126" s="107"/>
      <c r="P126" s="105"/>
      <c r="Q126" s="33">
        <v>2809</v>
      </c>
      <c r="R126" s="107"/>
      <c r="S126" s="110">
        <f t="shared" si="35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36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v>0</v>
      </c>
      <c r="G127" s="83"/>
      <c r="H127" s="13"/>
      <c r="I127" s="30"/>
      <c r="J127" s="41"/>
      <c r="K127" s="13"/>
      <c r="L127" s="33">
        <v>0</v>
      </c>
      <c r="M127" s="41"/>
      <c r="N127" s="59">
        <f t="shared" si="32"/>
        <v>0</v>
      </c>
      <c r="O127" s="41"/>
      <c r="P127" s="13"/>
      <c r="Q127" s="33">
        <v>0</v>
      </c>
      <c r="R127" s="41"/>
      <c r="S127" s="85">
        <f t="shared" si="35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v>0</v>
      </c>
      <c r="G128" s="83"/>
      <c r="H128" s="13"/>
      <c r="I128" s="30"/>
      <c r="J128" s="41"/>
      <c r="K128" s="13"/>
      <c r="L128" s="33">
        <v>0</v>
      </c>
      <c r="M128" s="41"/>
      <c r="N128" s="59">
        <f t="shared" si="32"/>
        <v>0</v>
      </c>
      <c r="O128" s="41"/>
      <c r="P128" s="13"/>
      <c r="Q128" s="33"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v>0</v>
      </c>
      <c r="G129" s="83"/>
      <c r="H129" s="13"/>
      <c r="I129" s="30"/>
      <c r="J129" s="41"/>
      <c r="K129" s="13"/>
      <c r="L129" s="33">
        <v>0</v>
      </c>
      <c r="M129" s="41"/>
      <c r="N129" s="59">
        <f t="shared" si="32"/>
        <v>0</v>
      </c>
      <c r="O129" s="41"/>
      <c r="P129" s="13"/>
      <c r="Q129" s="33"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v>0</v>
      </c>
      <c r="G130" s="83"/>
      <c r="H130" s="13"/>
      <c r="I130" s="30"/>
      <c r="J130" s="41"/>
      <c r="K130" s="13"/>
      <c r="L130" s="33">
        <v>0</v>
      </c>
      <c r="M130" s="41"/>
      <c r="N130" s="59">
        <f t="shared" si="32"/>
        <v>0</v>
      </c>
      <c r="O130" s="41"/>
      <c r="P130" s="13"/>
      <c r="Q130" s="33"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:A197" si="37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v>3958.9516920573469</v>
      </c>
      <c r="G131" s="83"/>
      <c r="H131" s="13"/>
      <c r="I131" s="30"/>
      <c r="J131" s="41"/>
      <c r="K131" s="13"/>
      <c r="L131" s="33">
        <v>2917.09</v>
      </c>
      <c r="M131" s="41"/>
      <c r="N131" s="59">
        <f t="shared" si="32"/>
        <v>-1041.8616920573468</v>
      </c>
      <c r="O131" s="41"/>
      <c r="P131" s="13"/>
      <c r="Q131" s="33">
        <v>2624.04</v>
      </c>
      <c r="R131" s="41"/>
      <c r="S131" s="85">
        <f>L131-Q131</f>
        <v>293.05000000000018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37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v>3432.3246723905318</v>
      </c>
      <c r="G132" s="106"/>
      <c r="H132" s="105"/>
      <c r="I132" s="54"/>
      <c r="J132" s="107"/>
      <c r="K132" s="105"/>
      <c r="L132" s="55">
        <v>2506.7600000000002</v>
      </c>
      <c r="M132" s="107"/>
      <c r="N132" s="109">
        <f t="shared" si="32"/>
        <v>-925.56467239053154</v>
      </c>
      <c r="O132" s="107"/>
      <c r="P132" s="105"/>
      <c r="Q132" s="55">
        <v>2138.27</v>
      </c>
      <c r="R132" s="107"/>
      <c r="S132" s="110">
        <f t="shared" ref="S132:S149" si="38">L132-Q132</f>
        <v>368.49000000000024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37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v>2502.7367402847622</v>
      </c>
      <c r="G133" s="83"/>
      <c r="H133" s="13"/>
      <c r="I133" s="30"/>
      <c r="J133" s="41"/>
      <c r="K133" s="13"/>
      <c r="L133" s="33">
        <v>795.19</v>
      </c>
      <c r="M133" s="41"/>
      <c r="N133" s="59">
        <f t="shared" si="32"/>
        <v>-1707.5467402847621</v>
      </c>
      <c r="O133" s="41"/>
      <c r="P133" s="13"/>
      <c r="Q133" s="33">
        <v>1747.32</v>
      </c>
      <c r="R133" s="41"/>
      <c r="S133" s="85">
        <f t="shared" si="38"/>
        <v>-952.12999999999988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37"/>
        <v>Véhicules usagésCsst</v>
      </c>
      <c r="B134" s="11" t="s">
        <v>70</v>
      </c>
      <c r="C134" s="102" t="s">
        <v>47</v>
      </c>
      <c r="D134" s="81"/>
      <c r="E134" s="13"/>
      <c r="F134" s="30">
        <v>700.76628727973355</v>
      </c>
      <c r="G134" s="83"/>
      <c r="H134" s="13"/>
      <c r="I134" s="30"/>
      <c r="J134" s="41"/>
      <c r="K134" s="13"/>
      <c r="L134" s="33">
        <v>429.87</v>
      </c>
      <c r="M134" s="41"/>
      <c r="N134" s="59">
        <f t="shared" si="32"/>
        <v>-270.89628727973354</v>
      </c>
      <c r="O134" s="41"/>
      <c r="P134" s="13"/>
      <c r="Q134" s="33">
        <v>96.94</v>
      </c>
      <c r="R134" s="41"/>
      <c r="S134" s="85">
        <f t="shared" si="38"/>
        <v>332.93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37"/>
        <v>Véhicules usagés[...]</v>
      </c>
      <c r="B135" s="11" t="s">
        <v>70</v>
      </c>
      <c r="C135" s="29" t="s">
        <v>19</v>
      </c>
      <c r="D135" s="87"/>
      <c r="E135" s="111"/>
      <c r="F135" s="30">
        <v>0</v>
      </c>
      <c r="G135" s="89"/>
      <c r="H135" s="111"/>
      <c r="I135" s="30"/>
      <c r="J135" s="23"/>
      <c r="K135" s="111"/>
      <c r="L135" s="33">
        <v>0</v>
      </c>
      <c r="M135" s="41"/>
      <c r="N135" s="59">
        <f t="shared" si="32"/>
        <v>0</v>
      </c>
      <c r="O135" s="23"/>
      <c r="P135" s="111"/>
      <c r="Q135" s="33">
        <v>0</v>
      </c>
      <c r="R135" s="23"/>
      <c r="S135" s="92">
        <f t="shared" si="38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37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0.26789878112457077</v>
      </c>
      <c r="F136" s="96">
        <f>+SUM(F124:F135)</f>
        <v>18531.675035690536</v>
      </c>
      <c r="G136" s="97"/>
      <c r="H136" s="95"/>
      <c r="I136" s="96"/>
      <c r="J136" s="97" t="s">
        <v>38</v>
      </c>
      <c r="K136" s="95">
        <f>L136/L$109</f>
        <v>0.1615508408262096</v>
      </c>
      <c r="L136" s="96">
        <f>SUM(L124:L135)</f>
        <v>11051.420000000002</v>
      </c>
      <c r="M136" s="458"/>
      <c r="N136" s="459">
        <f t="shared" si="32"/>
        <v>-7480.255035690534</v>
      </c>
      <c r="O136" s="97" t="s">
        <v>38</v>
      </c>
      <c r="P136" s="95">
        <f>Q136/Q$109</f>
        <v>0.3469295794832648</v>
      </c>
      <c r="Q136" s="96">
        <f>+SUM(Q124:Q135)</f>
        <v>15105.81</v>
      </c>
      <c r="R136" s="146"/>
      <c r="S136" s="114">
        <f t="shared" si="38"/>
        <v>-4054.3899999999976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37"/>
        <v>Véhicules usagésPublicité 2</v>
      </c>
      <c r="B137" s="11" t="s">
        <v>70</v>
      </c>
      <c r="C137" s="29" t="s">
        <v>49</v>
      </c>
      <c r="D137" s="81"/>
      <c r="E137" s="13"/>
      <c r="F137" s="30">
        <v>0</v>
      </c>
      <c r="G137" s="83"/>
      <c r="H137" s="13"/>
      <c r="I137" s="30"/>
      <c r="J137" s="41"/>
      <c r="K137" s="13"/>
      <c r="L137" s="33">
        <v>0</v>
      </c>
      <c r="M137" s="41"/>
      <c r="N137" s="59">
        <f t="shared" si="32"/>
        <v>0</v>
      </c>
      <c r="O137" s="41"/>
      <c r="P137" s="13"/>
      <c r="Q137" s="33">
        <v>0</v>
      </c>
      <c r="R137" s="41"/>
      <c r="S137" s="85">
        <f t="shared" si="38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37"/>
        <v>Véhicules usagésService gratuit 2</v>
      </c>
      <c r="B138" s="11" t="s">
        <v>70</v>
      </c>
      <c r="C138" s="29" t="s">
        <v>50</v>
      </c>
      <c r="D138" s="81"/>
      <c r="E138" s="13"/>
      <c r="F138" s="30">
        <v>0</v>
      </c>
      <c r="G138" s="83"/>
      <c r="H138" s="13"/>
      <c r="I138" s="30"/>
      <c r="J138" s="41"/>
      <c r="K138" s="13"/>
      <c r="L138" s="33">
        <v>0</v>
      </c>
      <c r="M138" s="41"/>
      <c r="N138" s="59">
        <f t="shared" si="32"/>
        <v>0</v>
      </c>
      <c r="O138" s="41"/>
      <c r="P138" s="13"/>
      <c r="Q138" s="33">
        <v>0</v>
      </c>
      <c r="R138" s="41"/>
      <c r="S138" s="85">
        <f t="shared" si="38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37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v>763.58333333333337</v>
      </c>
      <c r="G139" s="89"/>
      <c r="H139" s="111"/>
      <c r="I139" s="22"/>
      <c r="J139" s="23"/>
      <c r="K139" s="111"/>
      <c r="L139" s="22">
        <v>408.69</v>
      </c>
      <c r="M139" s="23"/>
      <c r="N139" s="91">
        <f t="shared" si="32"/>
        <v>-354.89333333333337</v>
      </c>
      <c r="O139" s="23"/>
      <c r="P139" s="111"/>
      <c r="Q139" s="22">
        <v>1170.1600000000001</v>
      </c>
      <c r="R139" s="23"/>
      <c r="S139" s="92">
        <f t="shared" si="38"/>
        <v>-761.47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37"/>
        <v>Véhicules usagésInformatique</v>
      </c>
      <c r="B140" s="11" t="s">
        <v>70</v>
      </c>
      <c r="C140" s="29" t="s">
        <v>52</v>
      </c>
      <c r="D140" s="81"/>
      <c r="E140" s="13"/>
      <c r="F140" s="30">
        <v>4084.5149999999999</v>
      </c>
      <c r="G140" s="83"/>
      <c r="H140" s="13"/>
      <c r="I140" s="30"/>
      <c r="J140" s="41"/>
      <c r="K140" s="13"/>
      <c r="L140" s="33">
        <v>3947.49</v>
      </c>
      <c r="M140" s="41"/>
      <c r="N140" s="59">
        <f t="shared" si="32"/>
        <v>-137.02500000000009</v>
      </c>
      <c r="O140" s="41"/>
      <c r="P140" s="13"/>
      <c r="Q140" s="33">
        <v>1293.95</v>
      </c>
      <c r="R140" s="41"/>
      <c r="S140" s="85">
        <f t="shared" si="38"/>
        <v>2653.54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37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v>498.75</v>
      </c>
      <c r="G141" s="83"/>
      <c r="H141" s="13"/>
      <c r="I141" s="30"/>
      <c r="J141" s="41"/>
      <c r="K141" s="13"/>
      <c r="L141" s="33">
        <v>602.99</v>
      </c>
      <c r="M141" s="41"/>
      <c r="N141" s="59">
        <f t="shared" si="32"/>
        <v>104.24000000000001</v>
      </c>
      <c r="O141" s="41"/>
      <c r="P141" s="13"/>
      <c r="Q141" s="33">
        <v>115.1</v>
      </c>
      <c r="R141" s="41"/>
      <c r="S141" s="85">
        <f t="shared" si="38"/>
        <v>487.89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37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v>2897.8903333333333</v>
      </c>
      <c r="G142" s="89"/>
      <c r="H142" s="111"/>
      <c r="I142" s="22"/>
      <c r="J142" s="23"/>
      <c r="K142" s="111"/>
      <c r="L142" s="22">
        <v>4434.03</v>
      </c>
      <c r="M142" s="23"/>
      <c r="N142" s="91">
        <f t="shared" si="32"/>
        <v>1536.1396666666665</v>
      </c>
      <c r="O142" s="23"/>
      <c r="P142" s="111"/>
      <c r="Q142" s="22">
        <v>751.99</v>
      </c>
      <c r="R142" s="23"/>
      <c r="S142" s="92">
        <f t="shared" si="38"/>
        <v>3682.04</v>
      </c>
      <c r="T142" s="13"/>
      <c r="U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37"/>
        <v>Véhicules usagésFournitures autres</v>
      </c>
      <c r="B143" s="11" t="s">
        <v>70</v>
      </c>
      <c r="C143" s="29" t="s">
        <v>55</v>
      </c>
      <c r="D143" s="81"/>
      <c r="E143" s="13"/>
      <c r="F143" s="30">
        <v>13.75</v>
      </c>
      <c r="G143" s="83"/>
      <c r="H143" s="13"/>
      <c r="I143" s="30"/>
      <c r="J143" s="41"/>
      <c r="K143" s="13"/>
      <c r="L143" s="33">
        <v>14.85</v>
      </c>
      <c r="M143" s="41"/>
      <c r="N143" s="59">
        <f t="shared" si="32"/>
        <v>1.0999999999999996</v>
      </c>
      <c r="O143" s="41"/>
      <c r="P143" s="13"/>
      <c r="Q143" s="33">
        <v>24.59</v>
      </c>
      <c r="R143" s="41"/>
      <c r="S143" s="85">
        <f t="shared" si="38"/>
        <v>-9.74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37"/>
        <v>Véhicules usagésUniformes</v>
      </c>
      <c r="B144" s="11" t="s">
        <v>70</v>
      </c>
      <c r="C144" s="29" t="s">
        <v>56</v>
      </c>
      <c r="D144" s="81"/>
      <c r="E144" s="13"/>
      <c r="F144" s="30">
        <v>7.5</v>
      </c>
      <c r="G144" s="83"/>
      <c r="H144" s="13"/>
      <c r="I144" s="30"/>
      <c r="J144" s="41"/>
      <c r="K144" s="13"/>
      <c r="L144" s="33">
        <v>0</v>
      </c>
      <c r="M144" s="41"/>
      <c r="N144" s="59">
        <f t="shared" si="32"/>
        <v>-7.5</v>
      </c>
      <c r="O144" s="41"/>
      <c r="P144" s="13"/>
      <c r="Q144" s="33">
        <v>0</v>
      </c>
      <c r="R144" s="41"/>
      <c r="S144" s="85">
        <f t="shared" si="38"/>
        <v>0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37"/>
        <v>Véhicules usagésPapeterie</v>
      </c>
      <c r="B145" s="11" t="s">
        <v>70</v>
      </c>
      <c r="C145" s="29" t="s">
        <v>57</v>
      </c>
      <c r="D145" s="81"/>
      <c r="E145" s="13"/>
      <c r="F145" s="30">
        <v>217.5</v>
      </c>
      <c r="G145" s="83"/>
      <c r="H145" s="13"/>
      <c r="I145" s="30"/>
      <c r="J145" s="41"/>
      <c r="K145" s="13"/>
      <c r="L145" s="32">
        <v>230.61</v>
      </c>
      <c r="M145" s="41"/>
      <c r="N145" s="59">
        <f t="shared" si="32"/>
        <v>13.110000000000014</v>
      </c>
      <c r="O145" s="41"/>
      <c r="P145" s="13"/>
      <c r="Q145" s="32">
        <v>231.32</v>
      </c>
      <c r="R145" s="41"/>
      <c r="S145" s="85">
        <f t="shared" si="38"/>
        <v>-0.70999999999997954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37"/>
        <v>Véhicules usagésTéléphone</v>
      </c>
      <c r="B146" s="11" t="s">
        <v>70</v>
      </c>
      <c r="C146" s="29" t="s">
        <v>58</v>
      </c>
      <c r="D146" s="81"/>
      <c r="E146" s="13"/>
      <c r="F146" s="30">
        <v>63.35</v>
      </c>
      <c r="G146" s="83"/>
      <c r="H146" s="13"/>
      <c r="I146" s="30"/>
      <c r="J146" s="41"/>
      <c r="K146" s="13"/>
      <c r="L146" s="33">
        <v>75.92</v>
      </c>
      <c r="M146" s="41"/>
      <c r="N146" s="59">
        <f t="shared" si="32"/>
        <v>12.57</v>
      </c>
      <c r="O146" s="41"/>
      <c r="P146" s="13"/>
      <c r="Q146" s="33">
        <v>74.739999999999995</v>
      </c>
      <c r="R146" s="41"/>
      <c r="S146" s="85">
        <f t="shared" si="38"/>
        <v>1.1800000000000068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37"/>
        <v>Véhicules usagésFrais postaux</v>
      </c>
      <c r="B147" s="11" t="s">
        <v>70</v>
      </c>
      <c r="C147" s="29" t="s">
        <v>59</v>
      </c>
      <c r="D147" s="81"/>
      <c r="E147" s="13"/>
      <c r="F147" s="30">
        <v>84.999999999999986</v>
      </c>
      <c r="G147" s="83"/>
      <c r="H147" s="13"/>
      <c r="I147" s="30"/>
      <c r="J147" s="41"/>
      <c r="K147" s="13"/>
      <c r="L147" s="33">
        <v>63.43</v>
      </c>
      <c r="M147" s="41"/>
      <c r="N147" s="59">
        <f t="shared" si="32"/>
        <v>-21.569999999999986</v>
      </c>
      <c r="O147" s="41"/>
      <c r="P147" s="13"/>
      <c r="Q147" s="33">
        <v>148.72</v>
      </c>
      <c r="R147" s="41"/>
      <c r="S147" s="85">
        <f t="shared" si="38"/>
        <v>-85.289999999999992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37"/>
        <v>Véhicules usagésDivers</v>
      </c>
      <c r="B148" s="11" t="s">
        <v>70</v>
      </c>
      <c r="C148" s="29" t="s">
        <v>60</v>
      </c>
      <c r="D148" s="81"/>
      <c r="E148" s="13"/>
      <c r="F148" s="30">
        <v>238.91666666666663</v>
      </c>
      <c r="G148" s="83"/>
      <c r="H148" s="13"/>
      <c r="I148" s="30"/>
      <c r="J148" s="41"/>
      <c r="K148" s="13"/>
      <c r="L148" s="33">
        <v>178.13</v>
      </c>
      <c r="M148" s="41"/>
      <c r="N148" s="59">
        <f t="shared" si="32"/>
        <v>-60.786666666666633</v>
      </c>
      <c r="O148" s="41"/>
      <c r="P148" s="13"/>
      <c r="Q148" s="33">
        <v>169.22</v>
      </c>
      <c r="R148" s="41"/>
      <c r="S148" s="85">
        <f t="shared" si="38"/>
        <v>8.9099999999999966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37"/>
        <v>Véhicules usagésFormation</v>
      </c>
      <c r="B149" s="11" t="s">
        <v>70</v>
      </c>
      <c r="C149" s="29" t="s">
        <v>61</v>
      </c>
      <c r="D149" s="81"/>
      <c r="E149" s="13"/>
      <c r="F149" s="30">
        <v>114.34800000000004</v>
      </c>
      <c r="G149" s="83"/>
      <c r="H149" s="13"/>
      <c r="I149" s="30"/>
      <c r="J149" s="41"/>
      <c r="K149" s="13"/>
      <c r="L149" s="59">
        <v>553</v>
      </c>
      <c r="M149" s="41"/>
      <c r="N149" s="59">
        <f t="shared" si="32"/>
        <v>438.65199999999993</v>
      </c>
      <c r="O149" s="41"/>
      <c r="P149" s="13"/>
      <c r="Q149" s="33">
        <v>-33.74</v>
      </c>
      <c r="R149" s="41"/>
      <c r="S149" s="85">
        <f t="shared" si="38"/>
        <v>586.74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v>1434.3294685962078</v>
      </c>
      <c r="G150" s="83"/>
      <c r="H150" s="13"/>
      <c r="I150" s="30"/>
      <c r="J150" s="41"/>
      <c r="K150" s="13"/>
      <c r="L150" s="33">
        <v>1044.3399999999999</v>
      </c>
      <c r="M150" s="41"/>
      <c r="N150" s="59">
        <f t="shared" si="32"/>
        <v>-389.98946859620787</v>
      </c>
      <c r="O150" s="41"/>
      <c r="P150" s="13"/>
      <c r="Q150" s="33">
        <v>338.31</v>
      </c>
      <c r="R150" s="41"/>
      <c r="S150" s="85">
        <f>L150-Q150</f>
        <v>706.03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v>0</v>
      </c>
      <c r="G151" s="83"/>
      <c r="H151" s="13"/>
      <c r="I151" s="30"/>
      <c r="J151" s="41"/>
      <c r="K151" s="13"/>
      <c r="L151" s="33">
        <v>0</v>
      </c>
      <c r="M151" s="41"/>
      <c r="N151" s="59">
        <f t="shared" si="32"/>
        <v>0</v>
      </c>
      <c r="O151" s="41"/>
      <c r="P151" s="13"/>
      <c r="Q151" s="33"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v>0</v>
      </c>
      <c r="G152" s="83"/>
      <c r="H152" s="13"/>
      <c r="I152" s="30"/>
      <c r="J152" s="41"/>
      <c r="K152" s="13"/>
      <c r="L152" s="33">
        <v>0</v>
      </c>
      <c r="M152" s="41"/>
      <c r="N152" s="59">
        <f t="shared" si="32"/>
        <v>0</v>
      </c>
      <c r="O152" s="41"/>
      <c r="P152" s="13"/>
      <c r="Q152" s="33"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v>0</v>
      </c>
      <c r="G153" s="83"/>
      <c r="H153" s="13"/>
      <c r="I153" s="30"/>
      <c r="J153" s="41"/>
      <c r="K153" s="13"/>
      <c r="L153" s="33">
        <v>0</v>
      </c>
      <c r="M153" s="41"/>
      <c r="N153" s="59">
        <f t="shared" si="32"/>
        <v>0</v>
      </c>
      <c r="O153" s="41"/>
      <c r="P153" s="13"/>
      <c r="Q153" s="33"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:A220" si="39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0.15062606819245267</v>
      </c>
      <c r="F154" s="96">
        <f>+SUM(F137:F153)</f>
        <v>10419.432801929541</v>
      </c>
      <c r="G154" s="97"/>
      <c r="H154" s="95"/>
      <c r="I154" s="96"/>
      <c r="J154" s="97" t="s">
        <v>38</v>
      </c>
      <c r="K154" s="95">
        <f>L154/L$109</f>
        <v>0.16889000766134993</v>
      </c>
      <c r="L154" s="96">
        <f>+SUM(L137:L153)</f>
        <v>11553.48</v>
      </c>
      <c r="M154" s="100"/>
      <c r="N154" s="96">
        <f t="shared" si="32"/>
        <v>1134.0471980704588</v>
      </c>
      <c r="O154" s="97" t="s">
        <v>38</v>
      </c>
      <c r="P154" s="95">
        <f>Q154/Q$109</f>
        <v>9.8397319518444909E-2</v>
      </c>
      <c r="Q154" s="96">
        <f>+SUM(Q137:Q153)</f>
        <v>4284.3599999999997</v>
      </c>
      <c r="R154" s="100"/>
      <c r="S154" s="101">
        <f>L154-Q154</f>
        <v>7269.12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39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39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0.85682425516414695</v>
      </c>
      <c r="F156" s="96">
        <f>F123+F136+F154</f>
        <v>59270.104151822314</v>
      </c>
      <c r="G156" s="97"/>
      <c r="H156" s="95"/>
      <c r="I156" s="96"/>
      <c r="J156" s="97" t="s">
        <v>38</v>
      </c>
      <c r="K156" s="95">
        <f>L156/L$109</f>
        <v>0.77647262445161991</v>
      </c>
      <c r="L156" s="96">
        <f>L123+L136+L154</f>
        <v>53117.179999999993</v>
      </c>
      <c r="M156" s="100"/>
      <c r="N156" s="113">
        <f t="shared" ref="N156:N163" si="40">L156-F156</f>
        <v>-6152.9241518223207</v>
      </c>
      <c r="O156" s="97" t="s">
        <v>38</v>
      </c>
      <c r="P156" s="95">
        <f>Q156/Q$109</f>
        <v>0.87948282819374624</v>
      </c>
      <c r="Q156" s="96">
        <f>Q123+Q136+Q154</f>
        <v>38293.94</v>
      </c>
      <c r="R156" s="100"/>
      <c r="S156" s="114">
        <f t="shared" ref="S156:S163" si="41">L156-Q156</f>
        <v>14823.239999999991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39"/>
        <v>Véhicules usagésRBSC used</v>
      </c>
      <c r="B157" s="11" t="s">
        <v>70</v>
      </c>
      <c r="C157" s="29" t="s">
        <v>217</v>
      </c>
      <c r="D157" s="148"/>
      <c r="E157" s="149"/>
      <c r="F157" s="30">
        <v>3750</v>
      </c>
      <c r="G157" s="150"/>
      <c r="H157" s="149"/>
      <c r="I157" s="30"/>
      <c r="J157" s="150"/>
      <c r="K157" s="149"/>
      <c r="L157" s="32">
        <v>0</v>
      </c>
      <c r="M157" s="41"/>
      <c r="N157" s="59">
        <f t="shared" si="40"/>
        <v>-3750</v>
      </c>
      <c r="O157" s="150"/>
      <c r="P157" s="149"/>
      <c r="Q157" s="33">
        <v>0</v>
      </c>
      <c r="R157" s="41"/>
      <c r="S157" s="85">
        <f t="shared" si="41"/>
        <v>0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39"/>
        <v>Véhicules usagésProgramme 360</v>
      </c>
      <c r="B158" s="11" t="s">
        <v>70</v>
      </c>
      <c r="C158" s="29" t="s">
        <v>218</v>
      </c>
      <c r="D158" s="148"/>
      <c r="E158" s="149"/>
      <c r="F158" s="30">
        <v>0</v>
      </c>
      <c r="G158" s="150"/>
      <c r="H158" s="149"/>
      <c r="I158" s="30"/>
      <c r="J158" s="150"/>
      <c r="K158" s="149"/>
      <c r="L158" s="33">
        <v>0</v>
      </c>
      <c r="M158" s="41"/>
      <c r="N158" s="59">
        <f t="shared" si="40"/>
        <v>0</v>
      </c>
      <c r="O158" s="150"/>
      <c r="P158" s="149"/>
      <c r="Q158" s="33">
        <v>100</v>
      </c>
      <c r="R158" s="41"/>
      <c r="S158" s="85">
        <f t="shared" si="41"/>
        <v>-100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39"/>
        <v>Véhicules usagésProgramme used 3</v>
      </c>
      <c r="B159" s="11" t="s">
        <v>70</v>
      </c>
      <c r="C159" s="29" t="s">
        <v>77</v>
      </c>
      <c r="D159" s="81"/>
      <c r="E159" s="13"/>
      <c r="F159" s="30">
        <v>0</v>
      </c>
      <c r="G159" s="83"/>
      <c r="H159" s="13"/>
      <c r="I159" s="30"/>
      <c r="J159" s="41"/>
      <c r="K159" s="13"/>
      <c r="L159" s="33">
        <v>0</v>
      </c>
      <c r="M159" s="41"/>
      <c r="N159" s="59">
        <f t="shared" si="40"/>
        <v>0</v>
      </c>
      <c r="O159" s="41"/>
      <c r="P159" s="13"/>
      <c r="Q159" s="33">
        <v>0</v>
      </c>
      <c r="R159" s="41"/>
      <c r="S159" s="85">
        <f t="shared" si="41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usagés[...]</v>
      </c>
      <c r="B160" s="11" t="s">
        <v>70</v>
      </c>
      <c r="C160" s="29" t="s">
        <v>19</v>
      </c>
      <c r="D160" s="81"/>
      <c r="E160" s="13"/>
      <c r="F160" s="30">
        <v>0</v>
      </c>
      <c r="G160" s="83"/>
      <c r="H160" s="13"/>
      <c r="I160" s="30"/>
      <c r="J160" s="41"/>
      <c r="K160" s="13"/>
      <c r="L160" s="32">
        <v>0</v>
      </c>
      <c r="M160" s="41"/>
      <c r="N160" s="59">
        <f t="shared" si="40"/>
        <v>0</v>
      </c>
      <c r="O160" s="41"/>
      <c r="P160" s="13"/>
      <c r="Q160" s="33">
        <v>0</v>
      </c>
      <c r="R160" s="41"/>
      <c r="S160" s="85">
        <f t="shared" si="41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v>0</v>
      </c>
      <c r="G161" s="83"/>
      <c r="H161" s="13"/>
      <c r="I161" s="30"/>
      <c r="J161" s="41"/>
      <c r="K161" s="13"/>
      <c r="L161" s="32">
        <v>0</v>
      </c>
      <c r="M161" s="41"/>
      <c r="N161" s="59">
        <f t="shared" si="40"/>
        <v>0</v>
      </c>
      <c r="O161" s="41"/>
      <c r="P161" s="13"/>
      <c r="Q161" s="33">
        <v>0</v>
      </c>
      <c r="R161" s="41"/>
      <c r="S161" s="85">
        <f t="shared" si="41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v>0</v>
      </c>
      <c r="G162" s="83"/>
      <c r="H162" s="13"/>
      <c r="I162" s="30"/>
      <c r="J162" s="41"/>
      <c r="K162" s="13"/>
      <c r="L162" s="32">
        <v>0</v>
      </c>
      <c r="M162" s="41"/>
      <c r="N162" s="59">
        <f t="shared" si="40"/>
        <v>0</v>
      </c>
      <c r="O162" s="41"/>
      <c r="P162" s="13"/>
      <c r="Q162" s="33">
        <v>0</v>
      </c>
      <c r="R162" s="41"/>
      <c r="S162" s="85">
        <f t="shared" si="41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usagésFrais administration</v>
      </c>
      <c r="B163" s="11" t="s">
        <v>70</v>
      </c>
      <c r="C163" s="86" t="s">
        <v>67</v>
      </c>
      <c r="D163" s="87"/>
      <c r="E163" s="111"/>
      <c r="F163" s="30">
        <v>8092</v>
      </c>
      <c r="G163" s="83"/>
      <c r="H163" s="13"/>
      <c r="I163" s="30"/>
      <c r="J163" s="41"/>
      <c r="K163" s="13"/>
      <c r="L163" s="32">
        <v>6545</v>
      </c>
      <c r="M163" s="41"/>
      <c r="N163" s="59">
        <f t="shared" si="40"/>
        <v>-1547</v>
      </c>
      <c r="O163" s="41"/>
      <c r="P163" s="13"/>
      <c r="Q163" s="33">
        <v>0</v>
      </c>
      <c r="R163" s="41"/>
      <c r="S163" s="85">
        <f t="shared" si="41"/>
        <v>6545</v>
      </c>
      <c r="T163" s="112"/>
      <c r="U163" s="13"/>
      <c r="V163" s="489">
        <f>L163/595</f>
        <v>11</v>
      </c>
      <c r="W163" s="483">
        <f>V163/J97</f>
        <v>0.7857142857142857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11842</v>
      </c>
      <c r="G164" s="97"/>
      <c r="H164" s="95"/>
      <c r="I164" s="96"/>
      <c r="J164" s="97"/>
      <c r="K164" s="95"/>
      <c r="L164" s="96">
        <f>+SUM(L157:L163)</f>
        <v>6545</v>
      </c>
      <c r="M164" s="100"/>
      <c r="N164" s="96">
        <f>SUM(N157:N160)</f>
        <v>-3750</v>
      </c>
      <c r="O164" s="97"/>
      <c r="P164" s="95"/>
      <c r="Q164" s="96">
        <f>+SUM(Q157:Q163)</f>
        <v>100</v>
      </c>
      <c r="R164" s="100"/>
      <c r="S164" s="101">
        <f>+SUM(S157:S163)</f>
        <v>6445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21746.062889547895</v>
      </c>
      <c r="G166" s="152"/>
      <c r="H166" s="125"/>
      <c r="I166" s="127"/>
      <c r="J166" s="153"/>
      <c r="K166" s="126"/>
      <c r="L166" s="127">
        <f>L109-L156+L164</f>
        <v>21836.130000000005</v>
      </c>
      <c r="M166" s="153"/>
      <c r="N166" s="127">
        <f>L166-F166</f>
        <v>90.067110452109773</v>
      </c>
      <c r="O166" s="153"/>
      <c r="P166" s="126"/>
      <c r="Q166" s="127">
        <f>Q109-Q156+Q164</f>
        <v>5347.4899999999689</v>
      </c>
      <c r="R166" s="153"/>
      <c r="S166" s="129">
        <f>L166-Q166</f>
        <v>16488.640000000036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Septembre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05" t="s">
        <v>5</v>
      </c>
      <c r="E171" s="506"/>
      <c r="F171" s="507"/>
      <c r="G171" s="508"/>
      <c r="H171" s="506"/>
      <c r="I171" s="507"/>
      <c r="J171" s="508" t="s">
        <v>7</v>
      </c>
      <c r="K171" s="506"/>
      <c r="L171" s="507"/>
      <c r="M171" s="508" t="s">
        <v>212</v>
      </c>
      <c r="N171" s="507"/>
      <c r="O171" s="505" t="s">
        <v>8</v>
      </c>
      <c r="P171" s="506"/>
      <c r="Q171" s="507"/>
      <c r="R171" s="503" t="s">
        <v>213</v>
      </c>
      <c r="S171" s="504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29" si="42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2"/>
        <v>ServiceM/O Client</v>
      </c>
      <c r="B173" s="11" t="s">
        <v>78</v>
      </c>
      <c r="C173" s="29" t="s">
        <v>81</v>
      </c>
      <c r="D173" s="485">
        <v>128.9872936878476</v>
      </c>
      <c r="E173" s="82">
        <v>45790.489259185902</v>
      </c>
      <c r="F173" s="82">
        <v>36174.486514756863</v>
      </c>
      <c r="G173" s="155"/>
      <c r="H173" s="82"/>
      <c r="I173" s="82"/>
      <c r="J173" s="60">
        <v>132</v>
      </c>
      <c r="K173" s="30">
        <v>50732.19</v>
      </c>
      <c r="L173" s="33">
        <v>39313.360000000008</v>
      </c>
      <c r="M173" s="156">
        <f>(K173-E173)/E173</f>
        <v>0.10791980650922525</v>
      </c>
      <c r="N173" s="59">
        <f>L173-F173</f>
        <v>3138.8734852431444</v>
      </c>
      <c r="O173" s="60">
        <v>106</v>
      </c>
      <c r="P173" s="30">
        <v>39247.96</v>
      </c>
      <c r="Q173" s="33">
        <v>31146.079999999994</v>
      </c>
      <c r="R173" s="156">
        <f>IF(O173=0,0,J173/O173)</f>
        <v>1.2452830188679245</v>
      </c>
      <c r="S173" s="85">
        <f>L173-Q173</f>
        <v>8167.2800000000134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2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0.77491943478095482</v>
      </c>
      <c r="M174" s="156"/>
      <c r="N174" s="59"/>
      <c r="O174" s="60"/>
      <c r="P174" s="13"/>
      <c r="Q174" s="157">
        <f>Q173/P173</f>
        <v>0.79357194615974935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2"/>
        <v>Service</v>
      </c>
      <c r="B175" s="11" t="s">
        <v>78</v>
      </c>
      <c r="C175" s="86"/>
      <c r="D175" s="486"/>
      <c r="E175" s="158">
        <f>IFERROR(E173/D173,0)</f>
        <v>355.00000000000006</v>
      </c>
      <c r="F175" s="159"/>
      <c r="G175" s="23"/>
      <c r="H175" s="158"/>
      <c r="I175" s="159"/>
      <c r="J175" s="160"/>
      <c r="K175" s="460">
        <f>IFERROR(K173/J173,0)</f>
        <v>384.33477272727276</v>
      </c>
      <c r="L175" s="159"/>
      <c r="M175" s="161"/>
      <c r="N175" s="91"/>
      <c r="O175" s="160"/>
      <c r="P175" s="460">
        <f>IFERROR(P173/O173,0)</f>
        <v>370.26377358490566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2"/>
        <v>ServiceM/O Garantie</v>
      </c>
      <c r="B176" s="11" t="s">
        <v>78</v>
      </c>
      <c r="C176" s="14" t="s">
        <v>83</v>
      </c>
      <c r="D176" s="487">
        <v>230.90603514551307</v>
      </c>
      <c r="E176" s="82">
        <v>43872.146677647484</v>
      </c>
      <c r="F176" s="82">
        <v>29131.105393957932</v>
      </c>
      <c r="G176" s="163"/>
      <c r="H176" s="82"/>
      <c r="I176" s="82"/>
      <c r="J176" s="163">
        <v>167</v>
      </c>
      <c r="K176" s="164">
        <v>28584.71</v>
      </c>
      <c r="L176" s="33">
        <v>19618.310000000001</v>
      </c>
      <c r="M176" s="156">
        <f>(K176-E176)/E176</f>
        <v>-0.34845426621069159</v>
      </c>
      <c r="N176" s="109">
        <f>L176-F176</f>
        <v>-9512.7953939579311</v>
      </c>
      <c r="O176" s="163">
        <v>194</v>
      </c>
      <c r="P176" s="164">
        <v>42719.65</v>
      </c>
      <c r="Q176" s="33">
        <v>27709.489999999998</v>
      </c>
      <c r="R176" s="156">
        <f>IF(O176=0,0,J176/O176)</f>
        <v>0.86082474226804129</v>
      </c>
      <c r="S176" s="85">
        <f>L176-Q176</f>
        <v>-8091.1799999999967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2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0.68632181330508524</v>
      </c>
      <c r="M177" s="42"/>
      <c r="N177" s="43"/>
      <c r="O177" s="41"/>
      <c r="P177" s="13"/>
      <c r="Q177" s="157">
        <f>Q176/P176</f>
        <v>0.64863569809209576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2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220.20438144329898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2"/>
        <v>ServiceM/O Interne</v>
      </c>
      <c r="B179" s="11" t="s">
        <v>78</v>
      </c>
      <c r="C179" s="29" t="s">
        <v>84</v>
      </c>
      <c r="D179" s="485">
        <v>195</v>
      </c>
      <c r="E179" s="82">
        <v>78000</v>
      </c>
      <c r="F179" s="82">
        <v>58734</v>
      </c>
      <c r="G179" s="41"/>
      <c r="H179" s="82"/>
      <c r="I179" s="82"/>
      <c r="J179" s="60">
        <v>220</v>
      </c>
      <c r="K179" s="164">
        <v>59610.819999999992</v>
      </c>
      <c r="L179" s="33">
        <v>45683.289999999986</v>
      </c>
      <c r="M179" s="156">
        <f>(K179-E179)/E179</f>
        <v>-0.23575871794871806</v>
      </c>
      <c r="N179" s="59">
        <f>L179-F179</f>
        <v>-13050.710000000014</v>
      </c>
      <c r="O179" s="60">
        <v>153</v>
      </c>
      <c r="P179" s="164">
        <v>57371.26</v>
      </c>
      <c r="Q179" s="33">
        <v>40919.449999999997</v>
      </c>
      <c r="R179" s="156">
        <f>IF(O179=0,0,J179/O179)</f>
        <v>1.4379084967320261</v>
      </c>
      <c r="S179" s="85">
        <f>L179-Q179</f>
        <v>4763.8399999999892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2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0.76635902676728807</v>
      </c>
      <c r="M180" s="156"/>
      <c r="N180" s="59">
        <f>L180-F180</f>
        <v>1.3359026767288062E-2</v>
      </c>
      <c r="O180" s="60"/>
      <c r="P180" s="143"/>
      <c r="Q180" s="157">
        <f>Q179/P179</f>
        <v>0.71323952097269605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2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374.97555555555556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2"/>
        <v>ServiceM/O Esthétique</v>
      </c>
      <c r="B182" s="11" t="s">
        <v>78</v>
      </c>
      <c r="C182" s="14" t="s">
        <v>85</v>
      </c>
      <c r="D182" s="487">
        <v>34.483411620346281</v>
      </c>
      <c r="E182" s="82">
        <v>9482.9381955952249</v>
      </c>
      <c r="F182" s="82">
        <v>6789.7837480461803</v>
      </c>
      <c r="G182" s="107"/>
      <c r="H182" s="82"/>
      <c r="I182" s="82"/>
      <c r="J182" s="163">
        <v>25</v>
      </c>
      <c r="K182" s="164">
        <v>4866.72</v>
      </c>
      <c r="L182" s="108">
        <v>3537.5200000000004</v>
      </c>
      <c r="M182" s="172">
        <f>IF(E182=0,0,(K182-E182)/E182)</f>
        <v>-0.48679197316074818</v>
      </c>
      <c r="N182" s="109">
        <f>L182-F182</f>
        <v>-3252.2637480461799</v>
      </c>
      <c r="O182" s="163">
        <v>27</v>
      </c>
      <c r="P182" s="164">
        <v>5318.66</v>
      </c>
      <c r="Q182" s="108">
        <v>3709.99</v>
      </c>
      <c r="R182" s="156">
        <f>IF(O182=0,0,J182/O182)</f>
        <v>0.92592592592592593</v>
      </c>
      <c r="S182" s="110">
        <f>L182-Q182</f>
        <v>-172.46999999999935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2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/>
      <c r="J183" s="174"/>
      <c r="K183" s="173"/>
      <c r="L183" s="157">
        <f>IF(L182=0,0,L182/K182)</f>
        <v>0.72687970542788582</v>
      </c>
      <c r="M183" s="60">
        <f>J183-D183</f>
        <v>0</v>
      </c>
      <c r="N183" s="175"/>
      <c r="O183" s="174"/>
      <c r="P183" s="173"/>
      <c r="Q183" s="157">
        <f>IFERROR(Q182/P182,0)</f>
        <v>0.69754223808252447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2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196.9874074074074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2"/>
        <v>ServiceAjustement M/O</v>
      </c>
      <c r="B185" s="11" t="s">
        <v>78</v>
      </c>
      <c r="C185" s="29" t="s">
        <v>86</v>
      </c>
      <c r="D185" s="13"/>
      <c r="E185" s="13"/>
      <c r="F185" s="59">
        <v>-2624.6485717196774</v>
      </c>
      <c r="G185" s="41"/>
      <c r="H185" s="82"/>
      <c r="I185" s="82"/>
      <c r="J185" s="60"/>
      <c r="K185" s="82"/>
      <c r="L185" s="82">
        <v>0</v>
      </c>
      <c r="M185" s="174"/>
      <c r="N185" s="59">
        <f>L185-F185</f>
        <v>2624.6485717196774</v>
      </c>
      <c r="O185" s="60"/>
      <c r="P185" s="82"/>
      <c r="Q185" s="82">
        <v>-2042.71</v>
      </c>
      <c r="R185" s="183"/>
      <c r="S185" s="85">
        <f>L185-Q185</f>
        <v>2042.71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2"/>
        <v>ServiceSous-total M/O</v>
      </c>
      <c r="B186" s="11" t="s">
        <v>78</v>
      </c>
      <c r="C186" s="184" t="s">
        <v>87</v>
      </c>
      <c r="D186" s="185">
        <f>D173+D176+D179+D182+D185</f>
        <v>589.37674045370693</v>
      </c>
      <c r="E186" s="185">
        <f>E173+E176+E179+E182+E185</f>
        <v>177145.57413242862</v>
      </c>
      <c r="F186" s="186">
        <f>F173+F176+F179+F182+F185</f>
        <v>128204.72708504129</v>
      </c>
      <c r="G186" s="187"/>
      <c r="H186" s="185"/>
      <c r="I186" s="186"/>
      <c r="J186" s="187">
        <f>J173+J176+J179+J182+J185</f>
        <v>544</v>
      </c>
      <c r="K186" s="185">
        <f>K173+K176+K179+K182+K185</f>
        <v>143794.43999999997</v>
      </c>
      <c r="L186" s="186">
        <f>L173+L176+L179+L182+L185</f>
        <v>108152.48</v>
      </c>
      <c r="M186" s="188">
        <f>(K186-E186)/E186</f>
        <v>-0.18826964374224986</v>
      </c>
      <c r="N186" s="186">
        <f>L186-F186</f>
        <v>-20052.247085041294</v>
      </c>
      <c r="O186" s="187">
        <f>O173+O176+O179+O182+O185</f>
        <v>480</v>
      </c>
      <c r="P186" s="185">
        <f>P173+P176+P179+P182+P185</f>
        <v>144657.53</v>
      </c>
      <c r="Q186" s="186">
        <f>Q173+Q176+Q179+Q182+Q185</f>
        <v>101442.29999999999</v>
      </c>
      <c r="R186" s="42">
        <f>IF(O186=0,0,J186/O186)</f>
        <v>1.1333333333333333</v>
      </c>
      <c r="S186" s="189">
        <f>L186-Q186</f>
        <v>6710.1800000000076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2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0.72372526219141864</v>
      </c>
      <c r="G187" s="193"/>
      <c r="H187" s="191"/>
      <c r="I187" s="43"/>
      <c r="J187" s="193"/>
      <c r="K187" s="440">
        <f>IF(J186=0,0,K186/J186)</f>
        <v>264.32801470588231</v>
      </c>
      <c r="L187" s="43">
        <f>IF(L186=0,0,L186/K186)</f>
        <v>0.75213255811559898</v>
      </c>
      <c r="M187" s="193"/>
      <c r="N187" s="192">
        <f>N186/F186</f>
        <v>-0.15640801662282042</v>
      </c>
      <c r="O187" s="193"/>
      <c r="P187" s="440">
        <f>IF(O186=0,0,P186/O186)</f>
        <v>301.36985416666664</v>
      </c>
      <c r="Q187" s="43">
        <f>Q186/P186</f>
        <v>0.70125834444981872</v>
      </c>
      <c r="R187" s="193"/>
      <c r="S187" s="44">
        <f>IF(R186=0,0,S186/R186)</f>
        <v>5920.7470588235365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2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2"/>
        <v>ServiceSous-traitement</v>
      </c>
      <c r="B189" s="11" t="s">
        <v>78</v>
      </c>
      <c r="C189" s="29" t="s">
        <v>89</v>
      </c>
      <c r="D189" s="82"/>
      <c r="E189" s="82">
        <v>9623.4514532862595</v>
      </c>
      <c r="F189" s="82">
        <v>1443.517717992939</v>
      </c>
      <c r="G189" s="60"/>
      <c r="H189" s="82"/>
      <c r="I189" s="82"/>
      <c r="J189" s="60"/>
      <c r="K189" s="30">
        <v>12785.39</v>
      </c>
      <c r="L189" s="33">
        <v>2404.7199999999989</v>
      </c>
      <c r="M189" s="84">
        <f>IF(E189=0,0,(K189-E189)/E189)</f>
        <v>0.3285659580725569</v>
      </c>
      <c r="N189" s="59">
        <f>L189-F189</f>
        <v>961.20228200705992</v>
      </c>
      <c r="O189" s="60"/>
      <c r="P189" s="30">
        <v>18681.54</v>
      </c>
      <c r="Q189" s="33">
        <v>2090.4600000000009</v>
      </c>
      <c r="R189" s="156">
        <f>IF(O189=0,0,J189/O189)</f>
        <v>0</v>
      </c>
      <c r="S189" s="85">
        <f>L189-Q189</f>
        <v>314.25999999999794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2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0.18808342960206917</v>
      </c>
      <c r="M190" s="174"/>
      <c r="N190" s="175"/>
      <c r="O190" s="174"/>
      <c r="P190" s="173"/>
      <c r="Q190" s="157">
        <f>IFERROR(Q189/P189,0)</f>
        <v>0.11189976843450812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2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2"/>
        <v>ServiceM.O. Recond. MCPA</v>
      </c>
      <c r="B192" s="11" t="s">
        <v>78</v>
      </c>
      <c r="C192" s="29" t="s">
        <v>90</v>
      </c>
      <c r="D192" s="13"/>
      <c r="E192" s="82">
        <v>0</v>
      </c>
      <c r="F192" s="82">
        <v>0</v>
      </c>
      <c r="G192" s="41"/>
      <c r="H192" s="82"/>
      <c r="I192" s="82"/>
      <c r="J192" s="174"/>
      <c r="K192" s="30">
        <v>0</v>
      </c>
      <c r="L192" s="157"/>
      <c r="M192" s="174"/>
      <c r="N192" s="175"/>
      <c r="O192" s="174"/>
      <c r="P192" s="30">
        <v>0</v>
      </c>
      <c r="Q192" s="157"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2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2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2"/>
        <v>ServiceTotal Mécanique</v>
      </c>
      <c r="B195" s="11" t="s">
        <v>78</v>
      </c>
      <c r="C195" s="62" t="s">
        <v>91</v>
      </c>
      <c r="D195" s="63"/>
      <c r="E195" s="63">
        <f>E186+E189+E192</f>
        <v>186769.02558571487</v>
      </c>
      <c r="F195" s="65">
        <f>F186+F189+F192</f>
        <v>129648.24480303423</v>
      </c>
      <c r="G195" s="66"/>
      <c r="H195" s="63"/>
      <c r="I195" s="65"/>
      <c r="J195" s="66"/>
      <c r="K195" s="63">
        <f>K186+K189+K192</f>
        <v>156579.82999999996</v>
      </c>
      <c r="L195" s="65">
        <f>L186+L189+L192</f>
        <v>110557.2</v>
      </c>
      <c r="M195" s="205">
        <f>L196-F196</f>
        <v>1.1912093426943438E-2</v>
      </c>
      <c r="N195" s="65">
        <f>L195-F195</f>
        <v>-19091.044803034238</v>
      </c>
      <c r="O195" s="66"/>
      <c r="P195" s="63">
        <f>P186+P189+P192</f>
        <v>163339.07</v>
      </c>
      <c r="Q195" s="65">
        <f>Q186+Q189+Q192</f>
        <v>103532.76</v>
      </c>
      <c r="R195" s="205">
        <f>L196-Q196</f>
        <v>7.2223838118626205E-2</v>
      </c>
      <c r="S195" s="68">
        <f>L195-Q195</f>
        <v>7024.4400000000023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2"/>
        <v>Service</v>
      </c>
      <c r="B196" s="11" t="s">
        <v>78</v>
      </c>
      <c r="C196" s="69"/>
      <c r="D196" s="70"/>
      <c r="E196" s="70"/>
      <c r="F196" s="74">
        <f>F195/E195</f>
        <v>0.69416352308126217</v>
      </c>
      <c r="G196" s="72"/>
      <c r="H196" s="70"/>
      <c r="I196" s="74"/>
      <c r="J196" s="72"/>
      <c r="K196" s="70"/>
      <c r="L196" s="74">
        <f>L195/K195</f>
        <v>0.70607561650820561</v>
      </c>
      <c r="M196" s="73"/>
      <c r="N196" s="74">
        <f>N195/F195</f>
        <v>-0.14725262831007058</v>
      </c>
      <c r="O196" s="72"/>
      <c r="P196" s="70"/>
      <c r="Q196" s="74">
        <f>Q195/P195</f>
        <v>0.6338517783895794</v>
      </c>
      <c r="R196" s="73"/>
      <c r="S196" s="75">
        <f>L195/S195</f>
        <v>15.73893434921502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2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2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2"/>
        <v>ServiceSalaires cadres</v>
      </c>
      <c r="B199" s="11" t="s">
        <v>78</v>
      </c>
      <c r="C199" s="102" t="s">
        <v>40</v>
      </c>
      <c r="D199" s="13"/>
      <c r="E199" s="13"/>
      <c r="F199" s="30">
        <v>10830.291555116217</v>
      </c>
      <c r="G199" s="41"/>
      <c r="H199" s="13"/>
      <c r="I199" s="30"/>
      <c r="J199" s="41"/>
      <c r="K199" s="13"/>
      <c r="L199" s="33">
        <v>6873.8</v>
      </c>
      <c r="M199" s="41"/>
      <c r="N199" s="59">
        <f t="shared" ref="N199:N230" si="43">L199-F199</f>
        <v>-3956.4915551162167</v>
      </c>
      <c r="O199" s="41"/>
      <c r="P199" s="13"/>
      <c r="Q199" s="33">
        <v>12817.44</v>
      </c>
      <c r="R199" s="41"/>
      <c r="S199" s="85">
        <f t="shared" ref="S199:S229" si="44">L199-Q199</f>
        <v>-5943.64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2"/>
        <v>ServiceSalaires commis</v>
      </c>
      <c r="B200" s="11" t="s">
        <v>78</v>
      </c>
      <c r="C200" s="103" t="s">
        <v>41</v>
      </c>
      <c r="D200" s="81"/>
      <c r="E200" s="13"/>
      <c r="F200" s="22">
        <v>5290.2845956590227</v>
      </c>
      <c r="G200" s="83"/>
      <c r="H200" s="13"/>
      <c r="I200" s="22"/>
      <c r="J200" s="41"/>
      <c r="K200" s="13"/>
      <c r="L200" s="33">
        <v>2165.85</v>
      </c>
      <c r="M200" s="41"/>
      <c r="N200" s="59">
        <f t="shared" si="43"/>
        <v>-3124.4345956590228</v>
      </c>
      <c r="O200" s="41"/>
      <c r="P200" s="13"/>
      <c r="Q200" s="33">
        <v>5066.99</v>
      </c>
      <c r="R200" s="41"/>
      <c r="S200" s="85">
        <f t="shared" si="44"/>
        <v>-2901.14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2"/>
        <v>ServiceSalaires autres</v>
      </c>
      <c r="B201" s="11" t="s">
        <v>78</v>
      </c>
      <c r="C201" s="102" t="s">
        <v>42</v>
      </c>
      <c r="D201" s="104"/>
      <c r="E201" s="105"/>
      <c r="F201" s="30">
        <v>13883.263471579279</v>
      </c>
      <c r="G201" s="106"/>
      <c r="H201" s="105"/>
      <c r="I201" s="30"/>
      <c r="J201" s="107"/>
      <c r="K201" s="105"/>
      <c r="L201" s="108">
        <v>6272.27</v>
      </c>
      <c r="M201" s="107"/>
      <c r="N201" s="109">
        <f t="shared" si="43"/>
        <v>-7610.9934715792788</v>
      </c>
      <c r="O201" s="107"/>
      <c r="P201" s="105"/>
      <c r="Q201" s="108">
        <v>2985.91</v>
      </c>
      <c r="R201" s="107"/>
      <c r="S201" s="110">
        <f t="shared" si="44"/>
        <v>3286.3600000000006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2"/>
        <v>ServiceSalaires spécialistes</v>
      </c>
      <c r="B202" s="11" t="s">
        <v>78</v>
      </c>
      <c r="C202" s="102" t="s">
        <v>43</v>
      </c>
      <c r="D202" s="81"/>
      <c r="E202" s="13"/>
      <c r="F202" s="30">
        <v>15342.486590038312</v>
      </c>
      <c r="G202" s="83"/>
      <c r="H202" s="13"/>
      <c r="I202" s="30"/>
      <c r="J202" s="41"/>
      <c r="K202" s="13"/>
      <c r="L202" s="33">
        <v>5661.54</v>
      </c>
      <c r="M202" s="41"/>
      <c r="N202" s="59">
        <f t="shared" si="43"/>
        <v>-9680.9465900383111</v>
      </c>
      <c r="O202" s="41"/>
      <c r="P202" s="13"/>
      <c r="Q202" s="33">
        <v>14362.52</v>
      </c>
      <c r="R202" s="41"/>
      <c r="S202" s="85">
        <f t="shared" si="44"/>
        <v>-8700.98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2"/>
        <v>Service[...]</v>
      </c>
      <c r="B203" s="11" t="s">
        <v>78</v>
      </c>
      <c r="C203" s="29" t="s">
        <v>19</v>
      </c>
      <c r="D203" s="81"/>
      <c r="E203" s="13"/>
      <c r="F203" s="30">
        <v>0</v>
      </c>
      <c r="G203" s="83"/>
      <c r="H203" s="13"/>
      <c r="I203" s="30"/>
      <c r="J203" s="41"/>
      <c r="K203" s="13"/>
      <c r="L203" s="33">
        <v>0</v>
      </c>
      <c r="M203" s="41"/>
      <c r="N203" s="59">
        <f t="shared" si="43"/>
        <v>0</v>
      </c>
      <c r="O203" s="41"/>
      <c r="P203" s="13"/>
      <c r="Q203" s="33">
        <v>0</v>
      </c>
      <c r="R203" s="41"/>
      <c r="S203" s="85">
        <f t="shared" si="44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2"/>
        <v>Service[...]</v>
      </c>
      <c r="B204" s="11" t="s">
        <v>78</v>
      </c>
      <c r="C204" s="29" t="s">
        <v>19</v>
      </c>
      <c r="D204" s="81"/>
      <c r="E204" s="13"/>
      <c r="F204" s="30">
        <v>0</v>
      </c>
      <c r="G204" s="83"/>
      <c r="H204" s="13"/>
      <c r="I204" s="30"/>
      <c r="J204" s="41"/>
      <c r="K204" s="13"/>
      <c r="L204" s="33">
        <v>0</v>
      </c>
      <c r="M204" s="41"/>
      <c r="N204" s="59">
        <f t="shared" si="43"/>
        <v>0</v>
      </c>
      <c r="O204" s="41"/>
      <c r="P204" s="13"/>
      <c r="Q204" s="33">
        <v>0</v>
      </c>
      <c r="R204" s="41"/>
      <c r="S204" s="85">
        <f t="shared" si="44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2"/>
        <v>Service[...]</v>
      </c>
      <c r="B205" s="11" t="s">
        <v>78</v>
      </c>
      <c r="C205" s="29" t="s">
        <v>19</v>
      </c>
      <c r="D205" s="81"/>
      <c r="E205" s="13"/>
      <c r="F205" s="30">
        <v>0</v>
      </c>
      <c r="G205" s="83"/>
      <c r="H205" s="13"/>
      <c r="I205" s="30"/>
      <c r="J205" s="41"/>
      <c r="K205" s="13"/>
      <c r="L205" s="33">
        <v>0</v>
      </c>
      <c r="M205" s="41"/>
      <c r="N205" s="59">
        <f t="shared" si="43"/>
        <v>0</v>
      </c>
      <c r="O205" s="41"/>
      <c r="P205" s="13"/>
      <c r="Q205" s="33"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2"/>
        <v>ServiceSalaires en absences</v>
      </c>
      <c r="B206" s="11" t="s">
        <v>78</v>
      </c>
      <c r="C206" s="103" t="s">
        <v>44</v>
      </c>
      <c r="D206" s="81"/>
      <c r="E206" s="13"/>
      <c r="F206" s="30">
        <v>14030.637113696455</v>
      </c>
      <c r="G206" s="83"/>
      <c r="H206" s="13"/>
      <c r="I206" s="30"/>
      <c r="J206" s="41"/>
      <c r="K206" s="13"/>
      <c r="L206" s="33">
        <v>8665.4699999999993</v>
      </c>
      <c r="M206" s="41"/>
      <c r="N206" s="59">
        <f t="shared" si="43"/>
        <v>-5365.167113696456</v>
      </c>
      <c r="O206" s="41"/>
      <c r="P206" s="13"/>
      <c r="Q206" s="33">
        <v>11665.44</v>
      </c>
      <c r="R206" s="41"/>
      <c r="S206" s="85">
        <f>L206-Q206</f>
        <v>-2999.9700000000012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2"/>
        <v>ServiceDéduction à la source</v>
      </c>
      <c r="B207" s="11" t="s">
        <v>78</v>
      </c>
      <c r="C207" s="102" t="s">
        <v>45</v>
      </c>
      <c r="D207" s="104"/>
      <c r="E207" s="105"/>
      <c r="F207" s="55">
        <v>12540.047081119325</v>
      </c>
      <c r="G207" s="106"/>
      <c r="H207" s="105"/>
      <c r="I207" s="55"/>
      <c r="J207" s="107"/>
      <c r="K207" s="105"/>
      <c r="L207" s="108">
        <v>9949.5300000000007</v>
      </c>
      <c r="M207" s="107"/>
      <c r="N207" s="109">
        <f t="shared" si="43"/>
        <v>-2590.5170811193238</v>
      </c>
      <c r="O207" s="107"/>
      <c r="P207" s="105"/>
      <c r="Q207" s="108">
        <v>12106.42</v>
      </c>
      <c r="R207" s="107"/>
      <c r="S207" s="110">
        <f t="shared" ref="S207:S237" si="45">L207-Q207</f>
        <v>-2156.8899999999994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2"/>
        <v>ServiceBénéfices marginaux</v>
      </c>
      <c r="B208" s="11" t="s">
        <v>78</v>
      </c>
      <c r="C208" s="102" t="s">
        <v>46</v>
      </c>
      <c r="D208" s="81"/>
      <c r="E208" s="13"/>
      <c r="F208" s="30">
        <v>9645.3862132276117</v>
      </c>
      <c r="G208" s="83"/>
      <c r="H208" s="13"/>
      <c r="I208" s="30"/>
      <c r="J208" s="41"/>
      <c r="K208" s="13"/>
      <c r="L208" s="33">
        <v>4831.6099999999997</v>
      </c>
      <c r="M208" s="41"/>
      <c r="N208" s="59">
        <f t="shared" si="43"/>
        <v>-4813.7762132276121</v>
      </c>
      <c r="O208" s="41"/>
      <c r="P208" s="13"/>
      <c r="Q208" s="33">
        <v>6554</v>
      </c>
      <c r="R208" s="41"/>
      <c r="S208" s="85">
        <f t="shared" si="45"/>
        <v>-1722.3900000000003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2"/>
        <v>ServiceCsst</v>
      </c>
      <c r="B209" s="11" t="s">
        <v>78</v>
      </c>
      <c r="C209" s="102" t="s">
        <v>47</v>
      </c>
      <c r="D209" s="81"/>
      <c r="E209" s="13"/>
      <c r="F209" s="30">
        <v>2560.2596123951953</v>
      </c>
      <c r="G209" s="83"/>
      <c r="H209" s="13"/>
      <c r="I209" s="30"/>
      <c r="J209" s="41"/>
      <c r="K209" s="13"/>
      <c r="L209" s="33">
        <v>1411.7</v>
      </c>
      <c r="M209" s="462"/>
      <c r="N209" s="145">
        <f t="shared" si="43"/>
        <v>-1148.5596123951952</v>
      </c>
      <c r="O209" s="462"/>
      <c r="P209" s="463"/>
      <c r="Q209" s="22">
        <v>2007.56</v>
      </c>
      <c r="R209" s="462"/>
      <c r="S209" s="464">
        <f t="shared" si="45"/>
        <v>-595.8599999999999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2"/>
        <v>Service[...]</v>
      </c>
      <c r="B210" s="11" t="s">
        <v>78</v>
      </c>
      <c r="C210" s="29" t="s">
        <v>19</v>
      </c>
      <c r="D210" s="87"/>
      <c r="E210" s="111"/>
      <c r="F210" s="30">
        <v>0</v>
      </c>
      <c r="G210" s="89"/>
      <c r="H210" s="111"/>
      <c r="I210" s="30"/>
      <c r="J210" s="23"/>
      <c r="K210" s="111"/>
      <c r="L210" s="33">
        <v>0</v>
      </c>
      <c r="M210" s="23"/>
      <c r="N210" s="91">
        <f t="shared" si="43"/>
        <v>0</v>
      </c>
      <c r="O210" s="23"/>
      <c r="P210" s="111"/>
      <c r="Q210" s="33">
        <v>0</v>
      </c>
      <c r="R210" s="23"/>
      <c r="S210" s="92">
        <f t="shared" si="45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2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0.64885302813496049</v>
      </c>
      <c r="F211" s="96">
        <f>+SUM(F199:F210)</f>
        <v>84122.656232831418</v>
      </c>
      <c r="G211" s="97"/>
      <c r="H211" s="95"/>
      <c r="I211" s="96"/>
      <c r="J211" s="97" t="s">
        <v>92</v>
      </c>
      <c r="K211" s="95">
        <f>L211/L$195</f>
        <v>0.41455255740919633</v>
      </c>
      <c r="L211" s="96">
        <f>+SUM(L199:L210)</f>
        <v>45831.77</v>
      </c>
      <c r="M211" s="146"/>
      <c r="N211" s="113">
        <f t="shared" si="43"/>
        <v>-38290.886232831421</v>
      </c>
      <c r="O211" s="97" t="s">
        <v>92</v>
      </c>
      <c r="P211" s="95">
        <f>Q211/Q$195</f>
        <v>0.65260773498166191</v>
      </c>
      <c r="Q211" s="96">
        <f>+SUM(Q199:Q210)</f>
        <v>67566.28</v>
      </c>
      <c r="R211" s="146"/>
      <c r="S211" s="114">
        <f t="shared" si="45"/>
        <v>-21734.510000000002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2"/>
        <v>ServicePublicité 2</v>
      </c>
      <c r="B212" s="11" t="s">
        <v>78</v>
      </c>
      <c r="C212" s="29" t="s">
        <v>49</v>
      </c>
      <c r="D212" s="81"/>
      <c r="E212" s="13"/>
      <c r="F212" s="30">
        <v>1354.4890372242405</v>
      </c>
      <c r="G212" s="83"/>
      <c r="H212" s="13"/>
      <c r="I212" s="30"/>
      <c r="J212" s="41"/>
      <c r="K212" s="13"/>
      <c r="L212" s="33">
        <v>1649.92</v>
      </c>
      <c r="M212" s="41"/>
      <c r="N212" s="59">
        <f t="shared" si="43"/>
        <v>295.43096277575955</v>
      </c>
      <c r="O212" s="41"/>
      <c r="P212" s="13"/>
      <c r="Q212" s="33">
        <v>3646.98</v>
      </c>
      <c r="R212" s="41"/>
      <c r="S212" s="85">
        <f t="shared" si="45"/>
        <v>-1997.06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2"/>
        <v>ServiceService gratuit 2</v>
      </c>
      <c r="B213" s="11" t="s">
        <v>78</v>
      </c>
      <c r="C213" s="29" t="s">
        <v>50</v>
      </c>
      <c r="D213" s="81"/>
      <c r="E213" s="13"/>
      <c r="F213" s="30">
        <v>3750</v>
      </c>
      <c r="G213" s="83"/>
      <c r="H213" s="13"/>
      <c r="I213" s="30"/>
      <c r="J213" s="41"/>
      <c r="K213" s="13"/>
      <c r="L213" s="33">
        <v>7545.53</v>
      </c>
      <c r="M213" s="41"/>
      <c r="N213" s="59">
        <f t="shared" si="43"/>
        <v>3795.5299999999997</v>
      </c>
      <c r="O213" s="41"/>
      <c r="P213" s="13"/>
      <c r="Q213" s="33">
        <v>2839.97</v>
      </c>
      <c r="R213" s="41"/>
      <c r="S213" s="85">
        <f t="shared" si="45"/>
        <v>4705.5599999999995</v>
      </c>
      <c r="T213" s="13"/>
      <c r="U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2"/>
        <v>ServiceFrais véhicules de cie</v>
      </c>
      <c r="B214" s="11" t="s">
        <v>78</v>
      </c>
      <c r="C214" s="86" t="s">
        <v>51</v>
      </c>
      <c r="D214" s="87"/>
      <c r="E214" s="111"/>
      <c r="F214" s="22">
        <v>7453.2500000000009</v>
      </c>
      <c r="G214" s="89"/>
      <c r="H214" s="111"/>
      <c r="I214" s="22"/>
      <c r="J214" s="23"/>
      <c r="K214" s="111"/>
      <c r="L214" s="33">
        <v>4562.7700000000004</v>
      </c>
      <c r="M214" s="23"/>
      <c r="N214" s="91">
        <f t="shared" si="43"/>
        <v>-2890.4800000000005</v>
      </c>
      <c r="O214" s="23"/>
      <c r="P214" s="111"/>
      <c r="Q214" s="33">
        <v>5632.89</v>
      </c>
      <c r="R214" s="23"/>
      <c r="S214" s="92">
        <f t="shared" si="45"/>
        <v>-1070.1199999999999</v>
      </c>
      <c r="T214" s="13"/>
      <c r="U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2"/>
        <v>ServiceInformatique</v>
      </c>
      <c r="B215" s="11" t="s">
        <v>78</v>
      </c>
      <c r="C215" s="29" t="s">
        <v>52</v>
      </c>
      <c r="D215" s="81"/>
      <c r="E215" s="13"/>
      <c r="F215" s="30">
        <v>6636.4108333333334</v>
      </c>
      <c r="G215" s="83"/>
      <c r="H215" s="13"/>
      <c r="I215" s="30"/>
      <c r="J215" s="41"/>
      <c r="K215" s="13"/>
      <c r="L215" s="108">
        <v>5100.6400000000003</v>
      </c>
      <c r="M215" s="41"/>
      <c r="N215" s="59">
        <f t="shared" si="43"/>
        <v>-1535.770833333333</v>
      </c>
      <c r="O215" s="41"/>
      <c r="P215" s="13"/>
      <c r="Q215" s="108">
        <v>6173.99</v>
      </c>
      <c r="R215" s="41"/>
      <c r="S215" s="85">
        <f t="shared" si="45"/>
        <v>-1073.3499999999995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2"/>
        <v>ServiceFrais de déplacement</v>
      </c>
      <c r="B216" s="11" t="s">
        <v>78</v>
      </c>
      <c r="C216" s="29" t="s">
        <v>53</v>
      </c>
      <c r="D216" s="81"/>
      <c r="E216" s="13"/>
      <c r="F216" s="30">
        <v>1331.25</v>
      </c>
      <c r="G216" s="83"/>
      <c r="H216" s="13"/>
      <c r="I216" s="30"/>
      <c r="J216" s="41"/>
      <c r="K216" s="13"/>
      <c r="L216" s="33">
        <v>1184.99</v>
      </c>
      <c r="M216" s="41"/>
      <c r="N216" s="59">
        <f t="shared" si="43"/>
        <v>-146.26</v>
      </c>
      <c r="O216" s="41"/>
      <c r="P216" s="13"/>
      <c r="Q216" s="33">
        <v>-10.84</v>
      </c>
      <c r="R216" s="41"/>
      <c r="S216" s="85">
        <f t="shared" si="45"/>
        <v>1195.83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2"/>
        <v>ServiceServices extérieurs</v>
      </c>
      <c r="B217" s="11" t="s">
        <v>78</v>
      </c>
      <c r="C217" s="86" t="s">
        <v>54</v>
      </c>
      <c r="D217" s="87"/>
      <c r="E217" s="111"/>
      <c r="F217" s="22">
        <v>2199.8866666666668</v>
      </c>
      <c r="G217" s="89"/>
      <c r="H217" s="111"/>
      <c r="I217" s="22"/>
      <c r="J217" s="23"/>
      <c r="K217" s="111"/>
      <c r="L217" s="22">
        <v>10691.94</v>
      </c>
      <c r="M217" s="462"/>
      <c r="N217" s="145">
        <f t="shared" si="43"/>
        <v>8492.0533333333333</v>
      </c>
      <c r="O217" s="462"/>
      <c r="P217" s="463"/>
      <c r="Q217" s="22">
        <v>3169.86</v>
      </c>
      <c r="R217" s="23"/>
      <c r="S217" s="92">
        <f t="shared" si="45"/>
        <v>7522.08</v>
      </c>
      <c r="T217" s="13"/>
      <c r="U217" s="13"/>
      <c r="V217" s="495" t="s">
        <v>268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>+B218&amp;C218</f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v>0</v>
      </c>
      <c r="M218" s="41"/>
      <c r="N218" s="59">
        <f t="shared" si="43"/>
        <v>0</v>
      </c>
      <c r="O218" s="41"/>
      <c r="P218" s="13"/>
      <c r="Q218" s="33"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ref="A219:A276" si="46">+B219&amp;C219</f>
        <v>ServiceFournitures autres</v>
      </c>
      <c r="B219" s="11" t="s">
        <v>78</v>
      </c>
      <c r="C219" s="29" t="s">
        <v>55</v>
      </c>
      <c r="D219" s="81"/>
      <c r="E219" s="13"/>
      <c r="F219" s="30">
        <v>3250</v>
      </c>
      <c r="G219" s="83"/>
      <c r="H219" s="13"/>
      <c r="I219" s="30"/>
      <c r="J219" s="41"/>
      <c r="K219" s="13"/>
      <c r="L219" s="33">
        <v>1910.11</v>
      </c>
      <c r="M219" s="41"/>
      <c r="N219" s="59">
        <f t="shared" si="43"/>
        <v>-1339.89</v>
      </c>
      <c r="O219" s="41"/>
      <c r="P219" s="13"/>
      <c r="Q219" s="33">
        <v>2667.5</v>
      </c>
      <c r="R219" s="41"/>
      <c r="S219" s="85">
        <f t="shared" ref="S219:S249" si="47">L219-Q219</f>
        <v>-757.3900000000001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46"/>
        <v>ServiceUniformes</v>
      </c>
      <c r="B220" s="11" t="s">
        <v>78</v>
      </c>
      <c r="C220" s="29" t="s">
        <v>56</v>
      </c>
      <c r="D220" s="81"/>
      <c r="E220" s="13"/>
      <c r="F220" s="30">
        <v>1325</v>
      </c>
      <c r="G220" s="83"/>
      <c r="H220" s="13"/>
      <c r="I220" s="30"/>
      <c r="J220" s="41"/>
      <c r="K220" s="13"/>
      <c r="L220" s="33">
        <v>556.23</v>
      </c>
      <c r="M220" s="41"/>
      <c r="N220" s="59">
        <f t="shared" si="43"/>
        <v>-768.77</v>
      </c>
      <c r="O220" s="41"/>
      <c r="P220" s="13"/>
      <c r="Q220" s="33">
        <v>1680.6</v>
      </c>
      <c r="R220" s="41"/>
      <c r="S220" s="85">
        <f t="shared" si="47"/>
        <v>-1124.3699999999999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46"/>
        <v>ServicePapeterie</v>
      </c>
      <c r="B221" s="11" t="s">
        <v>78</v>
      </c>
      <c r="C221" s="29" t="s">
        <v>57</v>
      </c>
      <c r="D221" s="81"/>
      <c r="E221" s="13"/>
      <c r="F221" s="30">
        <v>362.5</v>
      </c>
      <c r="G221" s="83"/>
      <c r="H221" s="13"/>
      <c r="I221" s="30"/>
      <c r="J221" s="41"/>
      <c r="K221" s="13"/>
      <c r="L221" s="32">
        <v>330.91</v>
      </c>
      <c r="M221" s="41"/>
      <c r="N221" s="59">
        <f t="shared" si="43"/>
        <v>-31.589999999999975</v>
      </c>
      <c r="O221" s="41"/>
      <c r="P221" s="13"/>
      <c r="Q221" s="32">
        <v>559.76</v>
      </c>
      <c r="R221" s="41"/>
      <c r="S221" s="85">
        <f t="shared" si="47"/>
        <v>-228.84999999999997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46"/>
        <v>ServiceTéléphone</v>
      </c>
      <c r="B222" s="11" t="s">
        <v>78</v>
      </c>
      <c r="C222" s="29" t="s">
        <v>58</v>
      </c>
      <c r="D222" s="81"/>
      <c r="E222" s="13"/>
      <c r="F222" s="30">
        <v>114.25</v>
      </c>
      <c r="G222" s="83"/>
      <c r="H222" s="13"/>
      <c r="I222" s="30"/>
      <c r="J222" s="41"/>
      <c r="K222" s="13"/>
      <c r="L222" s="33">
        <v>120.43</v>
      </c>
      <c r="M222" s="41"/>
      <c r="N222" s="59">
        <f t="shared" si="43"/>
        <v>6.1800000000000068</v>
      </c>
      <c r="O222" s="41"/>
      <c r="P222" s="13"/>
      <c r="Q222" s="33">
        <v>105.66</v>
      </c>
      <c r="R222" s="41"/>
      <c r="S222" s="85">
        <f t="shared" si="47"/>
        <v>14.77000000000001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46"/>
        <v>ServiceFrais postaux</v>
      </c>
      <c r="B223" s="11" t="s">
        <v>78</v>
      </c>
      <c r="C223" s="29" t="s">
        <v>59</v>
      </c>
      <c r="D223" s="81"/>
      <c r="E223" s="13"/>
      <c r="F223" s="30">
        <v>141.66666666666666</v>
      </c>
      <c r="G223" s="83"/>
      <c r="H223" s="13"/>
      <c r="I223" s="30"/>
      <c r="J223" s="41"/>
      <c r="K223" s="13"/>
      <c r="L223" s="33">
        <v>246.15</v>
      </c>
      <c r="M223" s="41"/>
      <c r="N223" s="59">
        <f t="shared" si="43"/>
        <v>104.48333333333335</v>
      </c>
      <c r="O223" s="41"/>
      <c r="P223" s="13"/>
      <c r="Q223" s="33">
        <v>205.11</v>
      </c>
      <c r="R223" s="41"/>
      <c r="S223" s="85">
        <f t="shared" si="47"/>
        <v>41.039999999999992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46"/>
        <v>ServiceDivers</v>
      </c>
      <c r="B224" s="11" t="s">
        <v>78</v>
      </c>
      <c r="C224" s="29" t="s">
        <v>60</v>
      </c>
      <c r="D224" s="81"/>
      <c r="E224" s="13"/>
      <c r="F224" s="30">
        <v>381.66666666666663</v>
      </c>
      <c r="G224" s="83"/>
      <c r="H224" s="13"/>
      <c r="I224" s="30"/>
      <c r="J224" s="41"/>
      <c r="K224" s="13"/>
      <c r="L224" s="33">
        <v>296.88</v>
      </c>
      <c r="M224" s="41"/>
      <c r="N224" s="59">
        <f t="shared" si="43"/>
        <v>-84.786666666666633</v>
      </c>
      <c r="O224" s="41"/>
      <c r="P224" s="13"/>
      <c r="Q224" s="33">
        <v>423.07</v>
      </c>
      <c r="R224" s="41"/>
      <c r="S224" s="85">
        <f t="shared" si="47"/>
        <v>-126.19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46"/>
        <v>ServiceFormation</v>
      </c>
      <c r="B225" s="11" t="s">
        <v>78</v>
      </c>
      <c r="C225" s="29" t="s">
        <v>61</v>
      </c>
      <c r="D225" s="81"/>
      <c r="E225" s="13"/>
      <c r="F225" s="30">
        <v>1782.2466666666669</v>
      </c>
      <c r="G225" s="83"/>
      <c r="H225" s="13"/>
      <c r="I225" s="30"/>
      <c r="J225" s="41"/>
      <c r="K225" s="13"/>
      <c r="L225" s="33">
        <v>2646.97</v>
      </c>
      <c r="M225" s="41"/>
      <c r="N225" s="59">
        <f t="shared" si="43"/>
        <v>864.7233333333329</v>
      </c>
      <c r="O225" s="41"/>
      <c r="P225" s="13"/>
      <c r="Q225" s="33">
        <v>1191.3399999999999</v>
      </c>
      <c r="R225" s="41"/>
      <c r="S225" s="85">
        <f t="shared" si="47"/>
        <v>1455.6299999999999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46"/>
        <v>ServiceFrais bancaires</v>
      </c>
      <c r="B226" s="11" t="s">
        <v>78</v>
      </c>
      <c r="C226" s="29" t="s">
        <v>62</v>
      </c>
      <c r="D226" s="81"/>
      <c r="E226" s="13"/>
      <c r="F226" s="30">
        <v>2390.5491143270133</v>
      </c>
      <c r="G226" s="83"/>
      <c r="H226" s="13"/>
      <c r="I226" s="30"/>
      <c r="J226" s="41"/>
      <c r="K226" s="13"/>
      <c r="L226" s="33">
        <v>1787.88</v>
      </c>
      <c r="M226" s="41"/>
      <c r="N226" s="59">
        <f t="shared" si="43"/>
        <v>-602.66911432701318</v>
      </c>
      <c r="O226" s="41"/>
      <c r="P226" s="13"/>
      <c r="Q226" s="33">
        <v>845.77</v>
      </c>
      <c r="R226" s="41"/>
      <c r="S226" s="85">
        <f t="shared" si="47"/>
        <v>942.11000000000013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46"/>
        <v>Service[...]</v>
      </c>
      <c r="B227" s="11" t="s">
        <v>78</v>
      </c>
      <c r="C227" s="29" t="s">
        <v>19</v>
      </c>
      <c r="D227" s="81"/>
      <c r="E227" s="13"/>
      <c r="F227" s="30">
        <v>0</v>
      </c>
      <c r="G227" s="83"/>
      <c r="H227" s="13"/>
      <c r="I227" s="30"/>
      <c r="J227" s="41"/>
      <c r="K227" s="13"/>
      <c r="L227" s="33">
        <v>0</v>
      </c>
      <c r="M227" s="41"/>
      <c r="N227" s="59">
        <f t="shared" si="43"/>
        <v>0</v>
      </c>
      <c r="O227" s="41"/>
      <c r="P227" s="13"/>
      <c r="Q227" s="33">
        <v>0</v>
      </c>
      <c r="R227" s="41"/>
      <c r="S227" s="85">
        <f t="shared" si="47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>+B228&amp;C228</f>
        <v>Service[...]</v>
      </c>
      <c r="B228" s="11" t="s">
        <v>78</v>
      </c>
      <c r="C228" s="29" t="s">
        <v>19</v>
      </c>
      <c r="D228" s="81"/>
      <c r="E228" s="13"/>
      <c r="F228" s="30">
        <v>0</v>
      </c>
      <c r="G228" s="83"/>
      <c r="H228" s="13"/>
      <c r="I228" s="30"/>
      <c r="J228" s="41"/>
      <c r="K228" s="13"/>
      <c r="L228" s="33">
        <v>0</v>
      </c>
      <c r="M228" s="41"/>
      <c r="N228" s="59">
        <f t="shared" si="43"/>
        <v>0</v>
      </c>
      <c r="O228" s="41"/>
      <c r="P228" s="13"/>
      <c r="Q228" s="33"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:A286" si="48">+B229&amp;C229</f>
        <v>Service[...]</v>
      </c>
      <c r="B229" s="11" t="s">
        <v>78</v>
      </c>
      <c r="C229" s="29" t="s">
        <v>19</v>
      </c>
      <c r="D229" s="81"/>
      <c r="E229" s="13"/>
      <c r="F229" s="30">
        <v>0</v>
      </c>
      <c r="G229" s="83"/>
      <c r="H229" s="13"/>
      <c r="I229" s="30"/>
      <c r="J229" s="41"/>
      <c r="K229" s="13"/>
      <c r="L229" s="33">
        <v>0</v>
      </c>
      <c r="M229" s="41"/>
      <c r="N229" s="59">
        <f t="shared" si="43"/>
        <v>0</v>
      </c>
      <c r="O229" s="41"/>
      <c r="P229" s="13"/>
      <c r="Q229" s="33">
        <v>0</v>
      </c>
      <c r="R229" s="41"/>
      <c r="S229" s="85">
        <f t="shared" ref="S229:S259" si="49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0.25047130951047986</v>
      </c>
      <c r="F230" s="96">
        <f>+SUM(F212:F229)</f>
        <v>32473.165651551251</v>
      </c>
      <c r="G230" s="97"/>
      <c r="H230" s="95"/>
      <c r="I230" s="96"/>
      <c r="J230" s="97" t="s">
        <v>92</v>
      </c>
      <c r="K230" s="95">
        <f>L230/L$195</f>
        <v>0.34942409901842675</v>
      </c>
      <c r="L230" s="96">
        <f>+SUM(L212:L229)</f>
        <v>38631.350000000006</v>
      </c>
      <c r="M230" s="100"/>
      <c r="N230" s="96">
        <f t="shared" si="43"/>
        <v>6158.1843484487545</v>
      </c>
      <c r="O230" s="97" t="s">
        <v>92</v>
      </c>
      <c r="P230" s="95">
        <f>Q230/Q$195</f>
        <v>0.28137625230893104</v>
      </c>
      <c r="Q230" s="96">
        <f>+SUM(Q212:Q229)</f>
        <v>29131.66</v>
      </c>
      <c r="R230" s="100"/>
      <c r="S230" s="101">
        <f>L230-Q230</f>
        <v>9499.690000000006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0.89932433764544029</v>
      </c>
      <c r="F232" s="96">
        <f>F211+F230</f>
        <v>116595.82188438266</v>
      </c>
      <c r="G232" s="97"/>
      <c r="H232" s="95"/>
      <c r="I232" s="96"/>
      <c r="J232" s="97" t="s">
        <v>38</v>
      </c>
      <c r="K232" s="95">
        <f>L232/L$195</f>
        <v>0.76397665642762291</v>
      </c>
      <c r="L232" s="96">
        <f>L211+L230</f>
        <v>84463.12</v>
      </c>
      <c r="M232" s="100"/>
      <c r="N232" s="113">
        <f>L232-F232</f>
        <v>-32132.701884382666</v>
      </c>
      <c r="O232" s="97" t="s">
        <v>38</v>
      </c>
      <c r="P232" s="95">
        <f>Q232/Q$195</f>
        <v>0.93398398729059295</v>
      </c>
      <c r="Q232" s="96">
        <f>Q211+Q230</f>
        <v>96697.94</v>
      </c>
      <c r="R232" s="100"/>
      <c r="S232" s="114">
        <f>L232-Q232</f>
        <v>-12234.820000000007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13052.422918651573</v>
      </c>
      <c r="G234" s="152"/>
      <c r="H234" s="125"/>
      <c r="I234" s="127"/>
      <c r="J234" s="153"/>
      <c r="K234" s="126"/>
      <c r="L234" s="127">
        <f>L195-L232</f>
        <v>26094.080000000002</v>
      </c>
      <c r="M234" s="153"/>
      <c r="N234" s="127">
        <f>L234-F234</f>
        <v>13041.657081348429</v>
      </c>
      <c r="O234" s="153"/>
      <c r="P234" s="126"/>
      <c r="Q234" s="127">
        <f>Q195-Q232</f>
        <v>6834.8199999999924</v>
      </c>
      <c r="R234" s="153"/>
      <c r="S234" s="129">
        <f>L234-Q234</f>
        <v>19259.260000000009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54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Septembre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05" t="s">
        <v>5</v>
      </c>
      <c r="E239" s="506"/>
      <c r="F239" s="507"/>
      <c r="G239" s="508"/>
      <c r="H239" s="506"/>
      <c r="I239" s="507"/>
      <c r="J239" s="508" t="s">
        <v>7</v>
      </c>
      <c r="K239" s="506"/>
      <c r="L239" s="507"/>
      <c r="M239" s="508" t="s">
        <v>212</v>
      </c>
      <c r="N239" s="507"/>
      <c r="O239" s="505" t="s">
        <v>8</v>
      </c>
      <c r="P239" s="506"/>
      <c r="Q239" s="507"/>
      <c r="R239" s="503" t="s">
        <v>213</v>
      </c>
      <c r="S239" s="504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85" si="50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0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0"/>
        <v>CarrosserieM/O Sous-traitement</v>
      </c>
      <c r="B242" s="11" t="s">
        <v>94</v>
      </c>
      <c r="C242" s="29" t="s">
        <v>95</v>
      </c>
      <c r="D242" s="80">
        <v>0</v>
      </c>
      <c r="E242" s="82">
        <v>0</v>
      </c>
      <c r="F242" s="82">
        <v>0</v>
      </c>
      <c r="G242" s="155"/>
      <c r="H242" s="82"/>
      <c r="I242" s="82"/>
      <c r="J242" s="60">
        <v>0</v>
      </c>
      <c r="K242" s="30">
        <v>0</v>
      </c>
      <c r="L242" s="33">
        <v>0</v>
      </c>
      <c r="M242" s="156">
        <f>IFERROR((K242-E242)/E242,0)</f>
        <v>0</v>
      </c>
      <c r="N242" s="59">
        <f>L242-F242</f>
        <v>0</v>
      </c>
      <c r="O242" s="60">
        <v>0</v>
      </c>
      <c r="P242" s="30">
        <v>0</v>
      </c>
      <c r="Q242" s="33"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0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0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0"/>
        <v>CarrosserieM/O Carrosserie</v>
      </c>
      <c r="B245" s="11" t="s">
        <v>94</v>
      </c>
      <c r="C245" s="14" t="s">
        <v>96</v>
      </c>
      <c r="D245" s="105">
        <v>0</v>
      </c>
      <c r="E245" s="82">
        <v>0</v>
      </c>
      <c r="F245" s="82">
        <v>0</v>
      </c>
      <c r="G245" s="208"/>
      <c r="H245" s="82"/>
      <c r="I245" s="82"/>
      <c r="J245" s="163">
        <v>0</v>
      </c>
      <c r="K245" s="164">
        <v>0</v>
      </c>
      <c r="L245" s="108">
        <v>0</v>
      </c>
      <c r="M245" s="172">
        <f>IFERROR((K245-E245)/E245,0)</f>
        <v>0</v>
      </c>
      <c r="N245" s="109">
        <f>L245-F245</f>
        <v>0</v>
      </c>
      <c r="O245" s="163">
        <v>0</v>
      </c>
      <c r="P245" s="164">
        <v>0</v>
      </c>
      <c r="Q245" s="108"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0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0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0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v>0</v>
      </c>
      <c r="K248" s="30">
        <v>0</v>
      </c>
      <c r="L248" s="33"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0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0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0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/>
      <c r="I251" s="65"/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>P245+P248+P242</f>
        <v>0</v>
      </c>
      <c r="Q251" s="65">
        <f>Q245+Q248+Q242</f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0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0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0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0"/>
        <v>CarrosserieSalaires cadres</v>
      </c>
      <c r="B255" s="11" t="s">
        <v>94</v>
      </c>
      <c r="C255" s="102" t="s">
        <v>40</v>
      </c>
      <c r="D255" s="13"/>
      <c r="E255" s="13"/>
      <c r="F255" s="30">
        <v>0</v>
      </c>
      <c r="G255" s="41"/>
      <c r="H255" s="13"/>
      <c r="I255" s="30"/>
      <c r="J255" s="41"/>
      <c r="K255" s="13"/>
      <c r="L255" s="33">
        <v>0</v>
      </c>
      <c r="M255" s="41"/>
      <c r="N255" s="59">
        <f t="shared" ref="N255:N285" si="51">L255-F255</f>
        <v>0</v>
      </c>
      <c r="O255" s="41"/>
      <c r="P255" s="13"/>
      <c r="Q255" s="33">
        <v>0</v>
      </c>
      <c r="R255" s="41"/>
      <c r="S255" s="85">
        <f t="shared" ref="S255:S266" si="52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0"/>
        <v>CarrosserieSalaires commis</v>
      </c>
      <c r="B256" s="11" t="s">
        <v>94</v>
      </c>
      <c r="C256" s="103" t="s">
        <v>41</v>
      </c>
      <c r="D256" s="81"/>
      <c r="E256" s="13"/>
      <c r="F256" s="22">
        <v>0</v>
      </c>
      <c r="G256" s="83"/>
      <c r="H256" s="13"/>
      <c r="I256" s="22"/>
      <c r="J256" s="41"/>
      <c r="K256" s="13"/>
      <c r="L256" s="33">
        <v>0</v>
      </c>
      <c r="M256" s="41"/>
      <c r="N256" s="59">
        <f t="shared" si="51"/>
        <v>0</v>
      </c>
      <c r="O256" s="41"/>
      <c r="P256" s="13"/>
      <c r="Q256" s="33"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0"/>
        <v>CarrosserieSalaires autres</v>
      </c>
      <c r="B257" s="11" t="s">
        <v>94</v>
      </c>
      <c r="C257" s="102" t="s">
        <v>42</v>
      </c>
      <c r="D257" s="104"/>
      <c r="E257" s="105"/>
      <c r="F257" s="30">
        <v>0</v>
      </c>
      <c r="G257" s="106"/>
      <c r="H257" s="105"/>
      <c r="I257" s="30"/>
      <c r="J257" s="107"/>
      <c r="K257" s="105"/>
      <c r="L257" s="108">
        <v>0</v>
      </c>
      <c r="M257" s="107"/>
      <c r="N257" s="109">
        <f t="shared" si="51"/>
        <v>0</v>
      </c>
      <c r="O257" s="107"/>
      <c r="P257" s="105"/>
      <c r="Q257" s="108">
        <v>0</v>
      </c>
      <c r="R257" s="107"/>
      <c r="S257" s="110">
        <f t="shared" ref="S257:S273" si="53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0"/>
        <v>CarrosserieSalaires spécialistes</v>
      </c>
      <c r="B258" s="11" t="s">
        <v>94</v>
      </c>
      <c r="C258" s="102" t="s">
        <v>43</v>
      </c>
      <c r="D258" s="81"/>
      <c r="E258" s="13"/>
      <c r="F258" s="30">
        <v>0</v>
      </c>
      <c r="G258" s="83"/>
      <c r="H258" s="13"/>
      <c r="I258" s="30"/>
      <c r="J258" s="41"/>
      <c r="K258" s="13"/>
      <c r="L258" s="33">
        <v>0</v>
      </c>
      <c r="M258" s="41"/>
      <c r="N258" s="59">
        <f t="shared" si="51"/>
        <v>0</v>
      </c>
      <c r="O258" s="41"/>
      <c r="P258" s="13"/>
      <c r="Q258" s="33">
        <v>0</v>
      </c>
      <c r="R258" s="41"/>
      <c r="S258" s="85">
        <f t="shared" si="53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0"/>
        <v>Carrosserie[...]</v>
      </c>
      <c r="B259" s="11" t="s">
        <v>94</v>
      </c>
      <c r="C259" s="29" t="s">
        <v>19</v>
      </c>
      <c r="D259" s="81"/>
      <c r="E259" s="13"/>
      <c r="F259" s="30">
        <v>0</v>
      </c>
      <c r="G259" s="83"/>
      <c r="H259" s="13"/>
      <c r="I259" s="30"/>
      <c r="J259" s="41"/>
      <c r="K259" s="13"/>
      <c r="L259" s="33">
        <v>0</v>
      </c>
      <c r="M259" s="41"/>
      <c r="N259" s="59">
        <f t="shared" si="51"/>
        <v>0</v>
      </c>
      <c r="O259" s="41"/>
      <c r="P259" s="13"/>
      <c r="Q259" s="33">
        <v>0</v>
      </c>
      <c r="R259" s="41"/>
      <c r="S259" s="85">
        <f t="shared" si="53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0"/>
        <v>Carrosserie[...]</v>
      </c>
      <c r="B260" s="11" t="s">
        <v>94</v>
      </c>
      <c r="C260" s="29" t="s">
        <v>19</v>
      </c>
      <c r="D260" s="81"/>
      <c r="E260" s="13"/>
      <c r="F260" s="30">
        <v>0</v>
      </c>
      <c r="G260" s="83"/>
      <c r="H260" s="13"/>
      <c r="I260" s="30"/>
      <c r="J260" s="41"/>
      <c r="K260" s="13"/>
      <c r="L260" s="33">
        <v>0</v>
      </c>
      <c r="M260" s="41"/>
      <c r="N260" s="59">
        <f t="shared" si="51"/>
        <v>0</v>
      </c>
      <c r="O260" s="41"/>
      <c r="P260" s="13"/>
      <c r="Q260" s="33">
        <v>0</v>
      </c>
      <c r="R260" s="41"/>
      <c r="S260" s="85">
        <f t="shared" si="53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0"/>
        <v>Carrosserie[...]</v>
      </c>
      <c r="B261" s="11" t="s">
        <v>94</v>
      </c>
      <c r="C261" s="29" t="s">
        <v>19</v>
      </c>
      <c r="D261" s="81"/>
      <c r="E261" s="13"/>
      <c r="F261" s="30">
        <v>0</v>
      </c>
      <c r="G261" s="83"/>
      <c r="H261" s="13"/>
      <c r="I261" s="30"/>
      <c r="J261" s="41"/>
      <c r="K261" s="13"/>
      <c r="L261" s="33">
        <v>0</v>
      </c>
      <c r="M261" s="41"/>
      <c r="N261" s="59">
        <f t="shared" si="51"/>
        <v>0</v>
      </c>
      <c r="O261" s="41"/>
      <c r="P261" s="13"/>
      <c r="Q261" s="33">
        <v>0</v>
      </c>
      <c r="R261" s="41"/>
      <c r="S261" s="85">
        <f t="shared" si="53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0"/>
        <v>CarrosserieSalaires en absences</v>
      </c>
      <c r="B262" s="11" t="s">
        <v>94</v>
      </c>
      <c r="C262" s="103" t="s">
        <v>44</v>
      </c>
      <c r="D262" s="81"/>
      <c r="E262" s="13"/>
      <c r="F262" s="22">
        <v>0</v>
      </c>
      <c r="G262" s="83"/>
      <c r="H262" s="13"/>
      <c r="I262" s="22"/>
      <c r="J262" s="41"/>
      <c r="K262" s="13"/>
      <c r="L262" s="33">
        <v>0</v>
      </c>
      <c r="M262" s="41"/>
      <c r="N262" s="59">
        <f t="shared" si="51"/>
        <v>0</v>
      </c>
      <c r="O262" s="41"/>
      <c r="P262" s="13"/>
      <c r="Q262" s="33">
        <v>0</v>
      </c>
      <c r="R262" s="41"/>
      <c r="S262" s="85">
        <f t="shared" si="53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0"/>
        <v>CarrosserieDéduction à la source</v>
      </c>
      <c r="B263" s="11" t="s">
        <v>94</v>
      </c>
      <c r="C263" s="102" t="s">
        <v>45</v>
      </c>
      <c r="D263" s="104"/>
      <c r="E263" s="105"/>
      <c r="F263" s="30">
        <v>0</v>
      </c>
      <c r="G263" s="106"/>
      <c r="H263" s="105"/>
      <c r="I263" s="30"/>
      <c r="J263" s="107"/>
      <c r="K263" s="105"/>
      <c r="L263" s="108">
        <v>0</v>
      </c>
      <c r="M263" s="107"/>
      <c r="N263" s="109">
        <f t="shared" si="51"/>
        <v>0</v>
      </c>
      <c r="O263" s="107"/>
      <c r="P263" s="105"/>
      <c r="Q263" s="108">
        <v>0</v>
      </c>
      <c r="R263" s="107"/>
      <c r="S263" s="110">
        <f t="shared" si="53"/>
        <v>0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0"/>
        <v>CarrosserieBénéfices marginaux</v>
      </c>
      <c r="B264" s="11" t="s">
        <v>94</v>
      </c>
      <c r="C264" s="102" t="s">
        <v>46</v>
      </c>
      <c r="D264" s="81"/>
      <c r="E264" s="13"/>
      <c r="F264" s="30">
        <v>0</v>
      </c>
      <c r="G264" s="83"/>
      <c r="H264" s="13"/>
      <c r="I264" s="30"/>
      <c r="J264" s="41"/>
      <c r="K264" s="13"/>
      <c r="L264" s="33">
        <v>0</v>
      </c>
      <c r="M264" s="41"/>
      <c r="N264" s="59">
        <f t="shared" si="51"/>
        <v>0</v>
      </c>
      <c r="O264" s="41"/>
      <c r="P264" s="13"/>
      <c r="Q264" s="33">
        <v>0</v>
      </c>
      <c r="R264" s="41"/>
      <c r="S264" s="85">
        <f t="shared" si="53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0"/>
        <v>CarrosserieCsst</v>
      </c>
      <c r="B265" s="11" t="s">
        <v>94</v>
      </c>
      <c r="C265" s="102" t="s">
        <v>47</v>
      </c>
      <c r="D265" s="81"/>
      <c r="E265" s="13"/>
      <c r="F265" s="30">
        <v>0</v>
      </c>
      <c r="G265" s="83"/>
      <c r="H265" s="13"/>
      <c r="I265" s="30"/>
      <c r="J265" s="41"/>
      <c r="K265" s="13"/>
      <c r="L265" s="33">
        <v>0</v>
      </c>
      <c r="M265" s="462"/>
      <c r="N265" s="145">
        <f t="shared" si="51"/>
        <v>0</v>
      </c>
      <c r="O265" s="41"/>
      <c r="P265" s="13"/>
      <c r="Q265" s="33">
        <v>0</v>
      </c>
      <c r="R265" s="41"/>
      <c r="S265" s="85">
        <f t="shared" si="53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0"/>
        <v>Carrosserie[...]</v>
      </c>
      <c r="B266" s="11" t="s">
        <v>94</v>
      </c>
      <c r="C266" s="29" t="s">
        <v>19</v>
      </c>
      <c r="D266" s="87"/>
      <c r="E266" s="111"/>
      <c r="F266" s="30">
        <v>0</v>
      </c>
      <c r="G266" s="89"/>
      <c r="H266" s="111"/>
      <c r="I266" s="30"/>
      <c r="J266" s="23"/>
      <c r="K266" s="111"/>
      <c r="L266" s="33">
        <v>0</v>
      </c>
      <c r="M266" s="23"/>
      <c r="N266" s="91">
        <f t="shared" si="51"/>
        <v>0</v>
      </c>
      <c r="O266" s="23"/>
      <c r="P266" s="111"/>
      <c r="Q266" s="33">
        <v>0</v>
      </c>
      <c r="R266" s="23"/>
      <c r="S266" s="92">
        <f t="shared" si="53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0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0</v>
      </c>
      <c r="M267" s="146"/>
      <c r="N267" s="113">
        <f t="shared" si="51"/>
        <v>0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53"/>
        <v>0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0"/>
        <v>CarrosseriePublicité 2</v>
      </c>
      <c r="B268" s="11" t="s">
        <v>94</v>
      </c>
      <c r="C268" s="210" t="s">
        <v>49</v>
      </c>
      <c r="D268" s="81"/>
      <c r="E268" s="13"/>
      <c r="F268" s="30">
        <v>0</v>
      </c>
      <c r="G268" s="83"/>
      <c r="H268" s="13"/>
      <c r="I268" s="30"/>
      <c r="J268" s="41"/>
      <c r="K268" s="13"/>
      <c r="L268" s="33">
        <v>0</v>
      </c>
      <c r="M268" s="41"/>
      <c r="N268" s="59">
        <f t="shared" si="51"/>
        <v>0</v>
      </c>
      <c r="O268" s="41"/>
      <c r="P268" s="13"/>
      <c r="Q268" s="33">
        <v>0</v>
      </c>
      <c r="R268" s="41"/>
      <c r="S268" s="85">
        <f t="shared" si="53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0"/>
        <v>CarrosserieService gratuit 2</v>
      </c>
      <c r="B269" s="11" t="s">
        <v>94</v>
      </c>
      <c r="C269" s="102" t="s">
        <v>50</v>
      </c>
      <c r="D269" s="81"/>
      <c r="E269" s="13"/>
      <c r="F269" s="30">
        <v>0</v>
      </c>
      <c r="G269" s="83"/>
      <c r="H269" s="13"/>
      <c r="I269" s="30"/>
      <c r="J269" s="41"/>
      <c r="K269" s="13"/>
      <c r="L269" s="33">
        <v>0</v>
      </c>
      <c r="M269" s="41"/>
      <c r="N269" s="59">
        <f t="shared" si="51"/>
        <v>0</v>
      </c>
      <c r="O269" s="41"/>
      <c r="P269" s="13"/>
      <c r="Q269" s="33">
        <v>0</v>
      </c>
      <c r="R269" s="41"/>
      <c r="S269" s="85">
        <f t="shared" si="53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0"/>
        <v>CarrosserieFrais véhicules de cie</v>
      </c>
      <c r="B270" s="11" t="s">
        <v>94</v>
      </c>
      <c r="C270" s="103" t="s">
        <v>51</v>
      </c>
      <c r="D270" s="87"/>
      <c r="E270" s="111"/>
      <c r="F270" s="22">
        <v>0</v>
      </c>
      <c r="G270" s="89"/>
      <c r="H270" s="111"/>
      <c r="I270" s="22"/>
      <c r="J270" s="23"/>
      <c r="K270" s="111"/>
      <c r="L270" s="33">
        <v>0</v>
      </c>
      <c r="M270" s="23"/>
      <c r="N270" s="91">
        <f t="shared" si="51"/>
        <v>0</v>
      </c>
      <c r="O270" s="23"/>
      <c r="P270" s="111"/>
      <c r="Q270" s="33">
        <v>0</v>
      </c>
      <c r="R270" s="23"/>
      <c r="S270" s="92">
        <f t="shared" si="53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0"/>
        <v>CarrosserieInformatique</v>
      </c>
      <c r="B271" s="11" t="s">
        <v>94</v>
      </c>
      <c r="C271" s="102" t="s">
        <v>52</v>
      </c>
      <c r="D271" s="81"/>
      <c r="E271" s="13"/>
      <c r="F271" s="30">
        <v>0</v>
      </c>
      <c r="G271" s="83"/>
      <c r="H271" s="13"/>
      <c r="I271" s="30"/>
      <c r="J271" s="41"/>
      <c r="K271" s="13"/>
      <c r="L271" s="108">
        <v>0</v>
      </c>
      <c r="M271" s="41"/>
      <c r="N271" s="59">
        <f t="shared" si="51"/>
        <v>0</v>
      </c>
      <c r="O271" s="41"/>
      <c r="P271" s="13"/>
      <c r="Q271" s="108">
        <v>0</v>
      </c>
      <c r="R271" s="41"/>
      <c r="S271" s="85">
        <f t="shared" si="53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0"/>
        <v>CarrosserieFrais de déplacement</v>
      </c>
      <c r="B272" s="11" t="s">
        <v>94</v>
      </c>
      <c r="C272" s="102" t="s">
        <v>53</v>
      </c>
      <c r="D272" s="81"/>
      <c r="E272" s="13"/>
      <c r="F272" s="30">
        <v>0</v>
      </c>
      <c r="G272" s="83"/>
      <c r="H272" s="13"/>
      <c r="I272" s="30"/>
      <c r="J272" s="41"/>
      <c r="K272" s="13"/>
      <c r="L272" s="33">
        <v>0</v>
      </c>
      <c r="M272" s="41"/>
      <c r="N272" s="59">
        <f t="shared" si="51"/>
        <v>0</v>
      </c>
      <c r="O272" s="41"/>
      <c r="P272" s="13"/>
      <c r="Q272" s="33">
        <v>0</v>
      </c>
      <c r="R272" s="41"/>
      <c r="S272" s="85">
        <f t="shared" si="53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0"/>
        <v>CarrosserieServices extérieurs</v>
      </c>
      <c r="B273" s="11" t="s">
        <v>94</v>
      </c>
      <c r="C273" s="102" t="s">
        <v>54</v>
      </c>
      <c r="D273" s="87"/>
      <c r="E273" s="111"/>
      <c r="F273" s="22">
        <v>0</v>
      </c>
      <c r="G273" s="89"/>
      <c r="H273" s="111"/>
      <c r="I273" s="22"/>
      <c r="J273" s="23"/>
      <c r="K273" s="111"/>
      <c r="L273" s="33">
        <v>0</v>
      </c>
      <c r="M273" s="23"/>
      <c r="N273" s="91">
        <f t="shared" si="51"/>
        <v>0</v>
      </c>
      <c r="O273" s="23"/>
      <c r="P273" s="111"/>
      <c r="Q273" s="22">
        <v>0</v>
      </c>
      <c r="R273" s="23"/>
      <c r="S273" s="92">
        <f t="shared" si="53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>+B274&amp;C274</f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v>0</v>
      </c>
      <c r="M274" s="41"/>
      <c r="N274" s="59">
        <f t="shared" si="51"/>
        <v>0</v>
      </c>
      <c r="O274" s="41"/>
      <c r="P274" s="13"/>
      <c r="Q274" s="33"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ref="A275:A320" si="54">+B275&amp;C275</f>
        <v>CarrosserieFournitures autres</v>
      </c>
      <c r="B275" s="11" t="s">
        <v>94</v>
      </c>
      <c r="C275" s="102" t="s">
        <v>55</v>
      </c>
      <c r="D275" s="81"/>
      <c r="E275" s="13"/>
      <c r="F275" s="30">
        <v>0</v>
      </c>
      <c r="G275" s="83"/>
      <c r="H275" s="13"/>
      <c r="I275" s="30"/>
      <c r="J275" s="41"/>
      <c r="K275" s="13"/>
      <c r="L275" s="33">
        <v>0</v>
      </c>
      <c r="M275" s="41"/>
      <c r="N275" s="59">
        <f t="shared" si="51"/>
        <v>0</v>
      </c>
      <c r="O275" s="41"/>
      <c r="P275" s="13"/>
      <c r="Q275" s="33">
        <v>0</v>
      </c>
      <c r="R275" s="41"/>
      <c r="S275" s="85">
        <f t="shared" ref="S275:S293" si="55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54"/>
        <v>CarrosserieUniformes</v>
      </c>
      <c r="B276" s="11" t="s">
        <v>94</v>
      </c>
      <c r="C276" s="102" t="s">
        <v>56</v>
      </c>
      <c r="D276" s="81"/>
      <c r="E276" s="13"/>
      <c r="F276" s="30">
        <v>0</v>
      </c>
      <c r="G276" s="83"/>
      <c r="H276" s="13"/>
      <c r="I276" s="30"/>
      <c r="J276" s="41"/>
      <c r="K276" s="13"/>
      <c r="L276" s="33">
        <v>0</v>
      </c>
      <c r="M276" s="41"/>
      <c r="N276" s="59">
        <f t="shared" si="51"/>
        <v>0</v>
      </c>
      <c r="O276" s="41"/>
      <c r="P276" s="13"/>
      <c r="Q276" s="33">
        <v>0</v>
      </c>
      <c r="R276" s="41"/>
      <c r="S276" s="85">
        <f t="shared" si="55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54"/>
        <v>CarrosseriePapeterie</v>
      </c>
      <c r="B277" s="11" t="s">
        <v>94</v>
      </c>
      <c r="C277" s="102" t="s">
        <v>57</v>
      </c>
      <c r="D277" s="81"/>
      <c r="E277" s="13"/>
      <c r="F277" s="30">
        <v>0</v>
      </c>
      <c r="G277" s="83"/>
      <c r="H277" s="13"/>
      <c r="I277" s="30"/>
      <c r="J277" s="41"/>
      <c r="K277" s="13"/>
      <c r="L277" s="32">
        <v>0</v>
      </c>
      <c r="M277" s="41"/>
      <c r="N277" s="59">
        <f t="shared" si="51"/>
        <v>0</v>
      </c>
      <c r="O277" s="41"/>
      <c r="P277" s="13"/>
      <c r="Q277" s="32">
        <v>0</v>
      </c>
      <c r="R277" s="41"/>
      <c r="S277" s="85">
        <f t="shared" si="55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54"/>
        <v>CarrosserieTéléphone</v>
      </c>
      <c r="B278" s="11" t="s">
        <v>94</v>
      </c>
      <c r="C278" s="102" t="s">
        <v>58</v>
      </c>
      <c r="D278" s="81"/>
      <c r="E278" s="13"/>
      <c r="F278" s="30">
        <v>0</v>
      </c>
      <c r="G278" s="83"/>
      <c r="H278" s="13"/>
      <c r="I278" s="30"/>
      <c r="J278" s="41"/>
      <c r="K278" s="13"/>
      <c r="L278" s="33">
        <v>0</v>
      </c>
      <c r="M278" s="41"/>
      <c r="N278" s="59">
        <f t="shared" si="51"/>
        <v>0</v>
      </c>
      <c r="O278" s="41"/>
      <c r="P278" s="13"/>
      <c r="Q278" s="33">
        <v>0</v>
      </c>
      <c r="R278" s="41"/>
      <c r="S278" s="85">
        <f t="shared" si="55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54"/>
        <v>CarrosserieFrais postaux</v>
      </c>
      <c r="B279" s="11" t="s">
        <v>94</v>
      </c>
      <c r="C279" s="102" t="s">
        <v>59</v>
      </c>
      <c r="D279" s="81"/>
      <c r="E279" s="13"/>
      <c r="F279" s="30">
        <v>0</v>
      </c>
      <c r="G279" s="83"/>
      <c r="H279" s="13"/>
      <c r="I279" s="30"/>
      <c r="J279" s="41"/>
      <c r="K279" s="13"/>
      <c r="L279" s="33">
        <v>0</v>
      </c>
      <c r="M279" s="41"/>
      <c r="N279" s="59">
        <f t="shared" si="51"/>
        <v>0</v>
      </c>
      <c r="O279" s="41"/>
      <c r="P279" s="13"/>
      <c r="Q279" s="33">
        <v>0</v>
      </c>
      <c r="R279" s="41"/>
      <c r="S279" s="85">
        <f t="shared" si="55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54"/>
        <v>CarrosserieDivers</v>
      </c>
      <c r="B280" s="11" t="s">
        <v>94</v>
      </c>
      <c r="C280" s="102" t="s">
        <v>60</v>
      </c>
      <c r="D280" s="81"/>
      <c r="E280" s="13"/>
      <c r="F280" s="30">
        <v>0</v>
      </c>
      <c r="G280" s="83"/>
      <c r="H280" s="13"/>
      <c r="I280" s="30"/>
      <c r="J280" s="41"/>
      <c r="K280" s="13"/>
      <c r="L280" s="33">
        <v>0</v>
      </c>
      <c r="M280" s="41"/>
      <c r="N280" s="59">
        <f t="shared" si="51"/>
        <v>0</v>
      </c>
      <c r="O280" s="41"/>
      <c r="P280" s="13"/>
      <c r="Q280" s="33">
        <v>0</v>
      </c>
      <c r="R280" s="41"/>
      <c r="S280" s="85">
        <f t="shared" si="55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54"/>
        <v>CarrosserieFormation</v>
      </c>
      <c r="B281" s="11" t="s">
        <v>94</v>
      </c>
      <c r="C281" s="102" t="s">
        <v>61</v>
      </c>
      <c r="D281" s="81"/>
      <c r="E281" s="13"/>
      <c r="F281" s="30">
        <v>0</v>
      </c>
      <c r="G281" s="83"/>
      <c r="H281" s="13"/>
      <c r="I281" s="30"/>
      <c r="J281" s="41"/>
      <c r="K281" s="13"/>
      <c r="L281" s="33">
        <v>0</v>
      </c>
      <c r="M281" s="41"/>
      <c r="N281" s="59">
        <f t="shared" si="51"/>
        <v>0</v>
      </c>
      <c r="O281" s="41"/>
      <c r="P281" s="13"/>
      <c r="Q281" s="33">
        <v>0</v>
      </c>
      <c r="R281" s="41"/>
      <c r="S281" s="85">
        <f t="shared" si="55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54"/>
        <v>CarrosserieFrais bancaires</v>
      </c>
      <c r="B282" s="11" t="s">
        <v>94</v>
      </c>
      <c r="C282" s="102" t="s">
        <v>62</v>
      </c>
      <c r="D282" s="81"/>
      <c r="E282" s="13"/>
      <c r="F282" s="30">
        <v>0</v>
      </c>
      <c r="G282" s="83"/>
      <c r="H282" s="13"/>
      <c r="I282" s="30"/>
      <c r="J282" s="41"/>
      <c r="K282" s="13"/>
      <c r="L282" s="33">
        <v>0</v>
      </c>
      <c r="M282" s="41"/>
      <c r="N282" s="59">
        <f t="shared" si="51"/>
        <v>0</v>
      </c>
      <c r="O282" s="41"/>
      <c r="P282" s="13"/>
      <c r="Q282" s="33">
        <v>0</v>
      </c>
      <c r="R282" s="41"/>
      <c r="S282" s="85">
        <f t="shared" si="55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54"/>
        <v>Carrosserie[...]</v>
      </c>
      <c r="B283" s="11" t="s">
        <v>94</v>
      </c>
      <c r="C283" s="102" t="s">
        <v>19</v>
      </c>
      <c r="D283" s="81"/>
      <c r="E283" s="13"/>
      <c r="F283" s="30">
        <v>0</v>
      </c>
      <c r="G283" s="83"/>
      <c r="H283" s="13"/>
      <c r="I283" s="30"/>
      <c r="J283" s="41"/>
      <c r="K283" s="13"/>
      <c r="L283" s="33">
        <v>0</v>
      </c>
      <c r="M283" s="41"/>
      <c r="N283" s="59">
        <f t="shared" si="51"/>
        <v>0</v>
      </c>
      <c r="O283" s="41"/>
      <c r="P283" s="13"/>
      <c r="Q283" s="33">
        <v>0</v>
      </c>
      <c r="R283" s="41"/>
      <c r="S283" s="85">
        <f t="shared" si="55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>+B284&amp;C284</f>
        <v>Carrosserie[...]</v>
      </c>
      <c r="B284" s="11" t="s">
        <v>94</v>
      </c>
      <c r="C284" s="102" t="s">
        <v>19</v>
      </c>
      <c r="D284" s="81"/>
      <c r="E284" s="13"/>
      <c r="F284" s="30">
        <v>0</v>
      </c>
      <c r="G284" s="83"/>
      <c r="H284" s="13"/>
      <c r="I284" s="30"/>
      <c r="J284" s="41"/>
      <c r="K284" s="13"/>
      <c r="L284" s="33">
        <v>0</v>
      </c>
      <c r="M284" s="41"/>
      <c r="N284" s="59">
        <f t="shared" si="51"/>
        <v>0</v>
      </c>
      <c r="O284" s="41"/>
      <c r="P284" s="13"/>
      <c r="Q284" s="33"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ref="A285:A330" si="56">+B285&amp;C285</f>
        <v>Carrosserie[...]</v>
      </c>
      <c r="B285" s="11" t="s">
        <v>94</v>
      </c>
      <c r="C285" s="102" t="s">
        <v>19</v>
      </c>
      <c r="D285" s="81"/>
      <c r="E285" s="13"/>
      <c r="F285" s="30">
        <v>0</v>
      </c>
      <c r="G285" s="83"/>
      <c r="H285" s="13"/>
      <c r="I285" s="30"/>
      <c r="J285" s="41"/>
      <c r="K285" s="13"/>
      <c r="L285" s="33">
        <v>0</v>
      </c>
      <c r="M285" s="41"/>
      <c r="N285" s="59">
        <f t="shared" si="51"/>
        <v>0</v>
      </c>
      <c r="O285" s="41"/>
      <c r="P285" s="13"/>
      <c r="Q285" s="33">
        <v>0</v>
      </c>
      <c r="R285" s="41"/>
      <c r="S285" s="85">
        <f t="shared" ref="S285:S303" si="57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>
        <f>IF(L263=0,0,L286/L$245)</f>
        <v>0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0</v>
      </c>
      <c r="M288" s="100"/>
      <c r="N288" s="113">
        <f>L288-F288</f>
        <v>0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0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</v>
      </c>
      <c r="M290" s="153"/>
      <c r="N290" s="127">
        <f>L290-F290</f>
        <v>0</v>
      </c>
      <c r="O290" s="153"/>
      <c r="P290" s="126"/>
      <c r="Q290" s="127">
        <f>Q251-Q288</f>
        <v>0</v>
      </c>
      <c r="R290" s="153"/>
      <c r="S290" s="129">
        <f>L290-Q290</f>
        <v>0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Septembre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05" t="s">
        <v>5</v>
      </c>
      <c r="E294" s="506"/>
      <c r="F294" s="507"/>
      <c r="G294" s="508"/>
      <c r="H294" s="506"/>
      <c r="I294" s="507"/>
      <c r="J294" s="508" t="s">
        <v>7</v>
      </c>
      <c r="K294" s="506"/>
      <c r="L294" s="507"/>
      <c r="M294" s="508" t="s">
        <v>212</v>
      </c>
      <c r="N294" s="507"/>
      <c r="O294" s="505" t="s">
        <v>8</v>
      </c>
      <c r="P294" s="506"/>
      <c r="Q294" s="507"/>
      <c r="R294" s="503" t="s">
        <v>213</v>
      </c>
      <c r="S294" s="504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44" si="58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58"/>
        <v>PiècesPièces Ro Clients</v>
      </c>
      <c r="B296" s="11" t="s">
        <v>98</v>
      </c>
      <c r="C296" s="29" t="s">
        <v>100</v>
      </c>
      <c r="D296" s="82">
        <v>45423.9038577725</v>
      </c>
      <c r="E296" s="147">
        <f>IF(D296=0,0,F296/D296)</f>
        <v>0.40200000000000002</v>
      </c>
      <c r="F296" s="85">
        <v>18260.409350824546</v>
      </c>
      <c r="G296" s="82"/>
      <c r="H296" s="147"/>
      <c r="I296" s="85"/>
      <c r="J296" s="30">
        <v>76569.509999999995</v>
      </c>
      <c r="K296" s="147">
        <f t="shared" ref="K296:K301" si="59">IF(J296&lt;=0,0,L296/J296)</f>
        <v>0.36083083201133193</v>
      </c>
      <c r="L296" s="33">
        <v>27628.639999999999</v>
      </c>
      <c r="M296" s="156">
        <f t="shared" ref="M296:M302" si="60">(+J296-D296)/D296</f>
        <v>0.68566555265148477</v>
      </c>
      <c r="N296" s="59">
        <f t="shared" ref="N296:N305" si="61">L296-F296</f>
        <v>9368.2306491754534</v>
      </c>
      <c r="O296" s="30">
        <v>39550.31</v>
      </c>
      <c r="P296" s="147">
        <f t="shared" ref="P296:P304" si="62">IF(O296=0,0,Q296/O296)</f>
        <v>0.36886714667976045</v>
      </c>
      <c r="Q296" s="33">
        <v>14588.809999999996</v>
      </c>
      <c r="R296" s="156">
        <f>IF(O296=0,0,(J296-O296)/O296)</f>
        <v>0.93600277722222658</v>
      </c>
      <c r="S296" s="85">
        <f t="shared" ref="S296:S301" si="63">L296-Q296</f>
        <v>13039.830000000004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58"/>
        <v>PiècesPièces Ro Carrosserie</v>
      </c>
      <c r="B297" s="11" t="s">
        <v>98</v>
      </c>
      <c r="C297" s="29" t="s">
        <v>101</v>
      </c>
      <c r="D297" s="82">
        <v>0</v>
      </c>
      <c r="E297" s="147">
        <f t="shared" ref="E297:E304" si="64">IF(D297=0,0,F297/D297)</f>
        <v>0</v>
      </c>
      <c r="F297" s="85">
        <v>0</v>
      </c>
      <c r="G297" s="82"/>
      <c r="H297" s="147"/>
      <c r="I297" s="85"/>
      <c r="J297" s="30">
        <v>0</v>
      </c>
      <c r="K297" s="147">
        <f t="shared" si="59"/>
        <v>0</v>
      </c>
      <c r="L297" s="33">
        <v>0</v>
      </c>
      <c r="M297" s="156" t="e">
        <f t="shared" si="60"/>
        <v>#DIV/0!</v>
      </c>
      <c r="N297" s="59">
        <f t="shared" si="61"/>
        <v>0</v>
      </c>
      <c r="O297" s="30">
        <v>0</v>
      </c>
      <c r="P297" s="147">
        <f t="shared" si="62"/>
        <v>0</v>
      </c>
      <c r="Q297" s="33">
        <v>0</v>
      </c>
      <c r="R297" s="156">
        <f t="shared" ref="R297:R304" si="65">IF(O297=0,0,(J297-O297)/O297)</f>
        <v>0</v>
      </c>
      <c r="S297" s="85">
        <f t="shared" si="63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58"/>
        <v>PiècesP/A Garantie</v>
      </c>
      <c r="B298" s="11" t="s">
        <v>98</v>
      </c>
      <c r="C298" s="29" t="s">
        <v>102</v>
      </c>
      <c r="D298" s="82">
        <v>97331.8737320074</v>
      </c>
      <c r="E298" s="147">
        <f t="shared" si="64"/>
        <v>0.27700000000000002</v>
      </c>
      <c r="F298" s="85">
        <v>26960.929023766053</v>
      </c>
      <c r="G298" s="82"/>
      <c r="H298" s="147"/>
      <c r="I298" s="85"/>
      <c r="J298" s="30">
        <v>66769.94</v>
      </c>
      <c r="K298" s="147">
        <f t="shared" si="59"/>
        <v>0.25973649219993311</v>
      </c>
      <c r="L298" s="33">
        <v>17342.590000000004</v>
      </c>
      <c r="M298" s="156">
        <f t="shared" si="60"/>
        <v>-0.313997178520947</v>
      </c>
      <c r="N298" s="59">
        <f t="shared" si="61"/>
        <v>-9618.3390237660496</v>
      </c>
      <c r="O298" s="30">
        <v>102128.39</v>
      </c>
      <c r="P298" s="147">
        <f t="shared" si="62"/>
        <v>0.28571702736134402</v>
      </c>
      <c r="Q298" s="33">
        <v>29179.820000000011</v>
      </c>
      <c r="R298" s="156">
        <f t="shared" si="65"/>
        <v>-0.34621568008660469</v>
      </c>
      <c r="S298" s="85">
        <f t="shared" si="63"/>
        <v>-11837.230000000007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58"/>
        <v>PiècesVentes Internes</v>
      </c>
      <c r="B299" s="11" t="s">
        <v>98</v>
      </c>
      <c r="C299" s="29" t="s">
        <v>103</v>
      </c>
      <c r="D299" s="82">
        <v>31200</v>
      </c>
      <c r="E299" s="147">
        <f t="shared" si="64"/>
        <v>0.33800000000000002</v>
      </c>
      <c r="F299" s="85">
        <v>10545.6</v>
      </c>
      <c r="G299" s="82"/>
      <c r="H299" s="147"/>
      <c r="I299" s="85"/>
      <c r="J299" s="30">
        <v>27085.73</v>
      </c>
      <c r="K299" s="147">
        <f t="shared" si="59"/>
        <v>0.21298558318346977</v>
      </c>
      <c r="L299" s="33">
        <v>5768.8700000000026</v>
      </c>
      <c r="M299" s="156">
        <f t="shared" si="60"/>
        <v>-0.13186762820512821</v>
      </c>
      <c r="N299" s="59">
        <f t="shared" si="61"/>
        <v>-4776.7299999999977</v>
      </c>
      <c r="O299" s="30">
        <v>16277.330000000002</v>
      </c>
      <c r="P299" s="147">
        <f t="shared" si="62"/>
        <v>0.33547270959057784</v>
      </c>
      <c r="Q299" s="33">
        <v>5460.6000000000013</v>
      </c>
      <c r="R299" s="156">
        <f t="shared" si="65"/>
        <v>0.66401553571746696</v>
      </c>
      <c r="S299" s="85">
        <f t="shared" si="63"/>
        <v>308.27000000000135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58"/>
        <v>PiècesVentes Détails</v>
      </c>
      <c r="B300" s="11" t="s">
        <v>98</v>
      </c>
      <c r="C300" s="29" t="s">
        <v>104</v>
      </c>
      <c r="D300" s="82">
        <v>20736.276499888663</v>
      </c>
      <c r="E300" s="147">
        <f t="shared" si="64"/>
        <v>0.33100000000000002</v>
      </c>
      <c r="F300" s="85">
        <v>6863.7075214631477</v>
      </c>
      <c r="G300" s="82"/>
      <c r="H300" s="147"/>
      <c r="I300" s="85"/>
      <c r="J300" s="30">
        <v>34393.5</v>
      </c>
      <c r="K300" s="147">
        <f t="shared" si="59"/>
        <v>0.34244115893991595</v>
      </c>
      <c r="L300" s="33">
        <v>11777.75</v>
      </c>
      <c r="M300" s="156">
        <f t="shared" si="60"/>
        <v>0.65861503631978791</v>
      </c>
      <c r="N300" s="59">
        <f t="shared" si="61"/>
        <v>4914.0424785368523</v>
      </c>
      <c r="O300" s="30">
        <v>16589.210000000003</v>
      </c>
      <c r="P300" s="147">
        <f t="shared" si="62"/>
        <v>0.37189293522717476</v>
      </c>
      <c r="Q300" s="33">
        <v>6169.4100000000008</v>
      </c>
      <c r="R300" s="156">
        <f t="shared" si="65"/>
        <v>1.0732451997412773</v>
      </c>
      <c r="S300" s="85">
        <f t="shared" si="63"/>
        <v>5608.3399999999992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>+B301&amp;C301</f>
        <v>PiècesVentes de Gros</v>
      </c>
      <c r="B301" s="11" t="s">
        <v>98</v>
      </c>
      <c r="C301" s="29" t="s">
        <v>105</v>
      </c>
      <c r="D301" s="82">
        <v>103200</v>
      </c>
      <c r="E301" s="147">
        <f t="shared" si="64"/>
        <v>0.2</v>
      </c>
      <c r="F301" s="85">
        <v>20640</v>
      </c>
      <c r="G301" s="82"/>
      <c r="H301" s="147"/>
      <c r="I301" s="85"/>
      <c r="J301" s="30">
        <v>67095.149999999994</v>
      </c>
      <c r="K301" s="147">
        <f t="shared" si="59"/>
        <v>0.19309115487483067</v>
      </c>
      <c r="L301" s="33">
        <v>12955.479999999994</v>
      </c>
      <c r="M301" s="156">
        <f t="shared" si="60"/>
        <v>-0.34985319767441864</v>
      </c>
      <c r="N301" s="59">
        <f t="shared" si="61"/>
        <v>-7684.5200000000059</v>
      </c>
      <c r="O301" s="30">
        <v>46917.64</v>
      </c>
      <c r="P301" s="147">
        <f t="shared" si="62"/>
        <v>0.19223686442881602</v>
      </c>
      <c r="Q301" s="33">
        <v>9019.2999999999956</v>
      </c>
      <c r="R301" s="156">
        <f t="shared" si="65"/>
        <v>0.43006233902643004</v>
      </c>
      <c r="S301" s="85">
        <f t="shared" si="63"/>
        <v>3936.1799999999985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>+B302&amp;C302</f>
        <v>Pièces[...]</v>
      </c>
      <c r="B302" s="11" t="s">
        <v>98</v>
      </c>
      <c r="C302" s="29" t="s">
        <v>19</v>
      </c>
      <c r="D302" s="82">
        <v>0</v>
      </c>
      <c r="E302" s="147">
        <f>IF(D302=0,0,F302/D302)</f>
        <v>0</v>
      </c>
      <c r="F302" s="85">
        <v>0</v>
      </c>
      <c r="G302" s="82"/>
      <c r="H302" s="147"/>
      <c r="I302" s="85"/>
      <c r="J302" s="30">
        <v>0</v>
      </c>
      <c r="K302" s="147">
        <f>IF(J302&lt;=0,0,L302/J302)</f>
        <v>0</v>
      </c>
      <c r="L302" s="33">
        <v>0</v>
      </c>
      <c r="M302" s="156" t="e">
        <f t="shared" si="60"/>
        <v>#DIV/0!</v>
      </c>
      <c r="N302" s="59">
        <f t="shared" si="61"/>
        <v>0</v>
      </c>
      <c r="O302" s="30">
        <v>0</v>
      </c>
      <c r="P302" s="147">
        <f t="shared" si="62"/>
        <v>0</v>
      </c>
      <c r="Q302" s="33"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ref="A303:A352" si="66">+B303&amp;C303</f>
        <v>PiècesEscomptes</v>
      </c>
      <c r="B303" s="11" t="s">
        <v>98</v>
      </c>
      <c r="C303" s="29" t="s">
        <v>106</v>
      </c>
      <c r="D303" s="82">
        <v>0</v>
      </c>
      <c r="E303" s="147">
        <f t="shared" ref="E303:E310" si="67">IF(D303=0,0,F303/D303)</f>
        <v>0</v>
      </c>
      <c r="F303" s="85">
        <v>11033.039040358095</v>
      </c>
      <c r="G303" s="82"/>
      <c r="H303" s="147"/>
      <c r="I303" s="85"/>
      <c r="J303" s="30">
        <v>0</v>
      </c>
      <c r="K303" s="147">
        <f>IF(J303&lt;=0,0,L303/J303)</f>
        <v>0</v>
      </c>
      <c r="L303" s="33">
        <v>16737.39</v>
      </c>
      <c r="M303" s="156"/>
      <c r="N303" s="59">
        <f t="shared" si="61"/>
        <v>5704.3509596419044</v>
      </c>
      <c r="O303" s="30">
        <v>0</v>
      </c>
      <c r="P303" s="147">
        <f t="shared" si="62"/>
        <v>0</v>
      </c>
      <c r="Q303" s="33">
        <v>6663.95</v>
      </c>
      <c r="R303" s="156">
        <f t="shared" ref="R303:R310" si="68">IF(O303=0,0,(J303-O303)/O303)</f>
        <v>0</v>
      </c>
      <c r="S303" s="85">
        <f>L303-Q303</f>
        <v>10073.439999999999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66"/>
        <v>PiècesRectif. Inventaire</v>
      </c>
      <c r="B304" s="11" t="s">
        <v>98</v>
      </c>
      <c r="C304" s="86" t="s">
        <v>107</v>
      </c>
      <c r="D304" s="82">
        <v>0</v>
      </c>
      <c r="E304" s="147">
        <f t="shared" si="67"/>
        <v>0</v>
      </c>
      <c r="F304" s="85">
        <v>0</v>
      </c>
      <c r="G304" s="82"/>
      <c r="H304" s="147"/>
      <c r="I304" s="85"/>
      <c r="J304" s="30">
        <v>0</v>
      </c>
      <c r="K304" s="147">
        <f>IF(J304&lt;=0,0,L304/J304)</f>
        <v>0</v>
      </c>
      <c r="L304" s="33">
        <v>0</v>
      </c>
      <c r="M304" s="156"/>
      <c r="N304" s="59">
        <f t="shared" si="61"/>
        <v>0</v>
      </c>
      <c r="O304" s="30">
        <v>0</v>
      </c>
      <c r="P304" s="147">
        <f t="shared" si="62"/>
        <v>0</v>
      </c>
      <c r="Q304" s="33">
        <v>0</v>
      </c>
      <c r="R304" s="156">
        <f t="shared" si="68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66"/>
        <v>PiècesSous-total Pièces</v>
      </c>
      <c r="B305" s="11" t="s">
        <v>98</v>
      </c>
      <c r="C305" s="53" t="s">
        <v>108</v>
      </c>
      <c r="D305" s="194">
        <f>SUM(D296:D304)</f>
        <v>297892.05408966856</v>
      </c>
      <c r="E305" s="212">
        <f>IF(D305&lt;=0,0,F305/D305)</f>
        <v>0.31656999118219342</v>
      </c>
      <c r="F305" s="198">
        <f>SUM(F296:F304)</f>
        <v>94303.684936411853</v>
      </c>
      <c r="G305" s="194"/>
      <c r="H305" s="212"/>
      <c r="I305" s="198"/>
      <c r="J305" s="194">
        <f>SUM(J296:J304)</f>
        <v>271913.83</v>
      </c>
      <c r="K305" s="212">
        <f>IF(J305&lt;=0,0,L305/J305)</f>
        <v>0.33911743290144525</v>
      </c>
      <c r="L305" s="196">
        <f>SUM(L296:L304)</f>
        <v>92210.72</v>
      </c>
      <c r="M305" s="213">
        <f>(+J305-D305)/D305</f>
        <v>-8.7206837956976285E-2</v>
      </c>
      <c r="N305" s="196">
        <f t="shared" si="61"/>
        <v>-2092.9649364118522</v>
      </c>
      <c r="O305" s="194">
        <f>SUM(O296:O304)</f>
        <v>221462.88</v>
      </c>
      <c r="P305" s="212">
        <f>IF(O305&lt;=0,0,Q305/O305)</f>
        <v>0.32096525611876808</v>
      </c>
      <c r="Q305" s="196">
        <f>SUM(Q296:Q304)</f>
        <v>71081.89</v>
      </c>
      <c r="R305" s="213">
        <f>IF(O305=0,0,(J305-O305)/O305)</f>
        <v>0.22780770303357389</v>
      </c>
      <c r="S305" s="198">
        <f>L305-Q305</f>
        <v>21128.83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66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-2.2193882856466531E-2</v>
      </c>
      <c r="O306" s="41"/>
      <c r="P306" s="13"/>
      <c r="Q306" s="40"/>
      <c r="R306" s="41"/>
      <c r="S306" s="44">
        <f>IF(Q305=0,0,S305/Q305)</f>
        <v>0.29724631688887282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66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66"/>
        <v>PiècesVentes Pneus</v>
      </c>
      <c r="B308" s="11" t="s">
        <v>98</v>
      </c>
      <c r="C308" s="29" t="s">
        <v>109</v>
      </c>
      <c r="D308" s="82">
        <v>74412.379774359084</v>
      </c>
      <c r="E308" s="147">
        <f>IF(D308=0,0,F308/D308)</f>
        <v>0.25</v>
      </c>
      <c r="F308" s="110">
        <v>18603.094943589771</v>
      </c>
      <c r="G308" s="82"/>
      <c r="H308" s="147"/>
      <c r="I308" s="110"/>
      <c r="J308" s="30">
        <v>97539</v>
      </c>
      <c r="K308" s="147">
        <f>IF(J308&lt;=0,0,L308/J308)</f>
        <v>0.27144301253857428</v>
      </c>
      <c r="L308" s="33">
        <v>26476.28</v>
      </c>
      <c r="M308" s="156">
        <f>(+J308-D308)/D308</f>
        <v>0.31078995586175107</v>
      </c>
      <c r="N308" s="59">
        <f>L308-F308</f>
        <v>7873.1850564102278</v>
      </c>
      <c r="O308" s="30">
        <v>75313.929999999993</v>
      </c>
      <c r="P308" s="147">
        <f>IF(O308=0,0,Q308/O308)</f>
        <v>0.32085910269189244</v>
      </c>
      <c r="Q308" s="33">
        <v>24165.159999999996</v>
      </c>
      <c r="R308" s="156">
        <f>IF(O308=0,0,(J308-O308)/O308)</f>
        <v>0.29509906069169423</v>
      </c>
      <c r="S308" s="85">
        <f>L308-Q308</f>
        <v>2311.1200000000026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66"/>
        <v>PiècesHuiles et Graisse</v>
      </c>
      <c r="B309" s="11" t="s">
        <v>98</v>
      </c>
      <c r="C309" s="86" t="s">
        <v>110</v>
      </c>
      <c r="D309" s="82">
        <v>10199.314163600156</v>
      </c>
      <c r="E309" s="147">
        <f>IF(D309=0,0,F309/D309)</f>
        <v>0.35499999999999998</v>
      </c>
      <c r="F309" s="92">
        <v>3620.7565280780555</v>
      </c>
      <c r="G309" s="82"/>
      <c r="H309" s="147"/>
      <c r="I309" s="92"/>
      <c r="J309" s="30">
        <v>10928.64</v>
      </c>
      <c r="K309" s="147">
        <f>IF(J309&lt;=0,0,L309/J309)</f>
        <v>0.34410137034434291</v>
      </c>
      <c r="L309" s="33">
        <v>3760.5599999999995</v>
      </c>
      <c r="M309" s="156">
        <f>(+J309-D309)/D309</f>
        <v>7.1507341052665971E-2</v>
      </c>
      <c r="N309" s="59">
        <f>L309-F309</f>
        <v>139.80347192194404</v>
      </c>
      <c r="O309" s="30">
        <v>10164.970000000001</v>
      </c>
      <c r="P309" s="147">
        <f>IF(O309=0,0,Q309/O309)</f>
        <v>0.33665519917914183</v>
      </c>
      <c r="Q309" s="33">
        <v>3422.0900000000015</v>
      </c>
      <c r="R309" s="156">
        <f>IF(O309=0,0,(J309-O309)/O309)</f>
        <v>7.5127619658493641E-2</v>
      </c>
      <c r="S309" s="85">
        <f>L309-Q309</f>
        <v>338.46999999999798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66"/>
        <v>PiècesSous-total Pièces et Acc.</v>
      </c>
      <c r="B310" s="11" t="s">
        <v>98</v>
      </c>
      <c r="C310" s="53" t="s">
        <v>111</v>
      </c>
      <c r="D310" s="194">
        <f>D305+D308+D309</f>
        <v>382503.74802762776</v>
      </c>
      <c r="E310" s="212">
        <f>IF(D310&lt;=0,0,F310/D310)</f>
        <v>0.30464416887141987</v>
      </c>
      <c r="F310" s="196">
        <f>F305+F308+F309</f>
        <v>116527.53640807967</v>
      </c>
      <c r="G310" s="197"/>
      <c r="H310" s="212"/>
      <c r="I310" s="196"/>
      <c r="J310" s="197">
        <f>J305+J308+J309</f>
        <v>380381.47000000003</v>
      </c>
      <c r="K310" s="212">
        <f>IF(J310&lt;=0,0,L310/J310)</f>
        <v>0.32190726851126578</v>
      </c>
      <c r="L310" s="196">
        <f>L305+L308+L309</f>
        <v>122447.56</v>
      </c>
      <c r="M310" s="213">
        <f>(+J310-D310)/D310</f>
        <v>-5.5483849205954557E-3</v>
      </c>
      <c r="N310" s="196">
        <f>L310-F310</f>
        <v>5920.023591920326</v>
      </c>
      <c r="O310" s="197">
        <f>O305+O308+O309</f>
        <v>306941.78000000003</v>
      </c>
      <c r="P310" s="212">
        <f>IF(O310&lt;=0,0,Q310/O310)</f>
        <v>0.32145881215649424</v>
      </c>
      <c r="Q310" s="196">
        <f>Q305+Q308+Q309</f>
        <v>98669.139999999985</v>
      </c>
      <c r="R310" s="213">
        <f>IF(O310=0,0,(J310-O310)/O310)</f>
        <v>0.23926260543611885</v>
      </c>
      <c r="S310" s="198">
        <f>L310-Q310</f>
        <v>23778.420000000013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66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5.0803644995877979E-2</v>
      </c>
      <c r="O311" s="41"/>
      <c r="P311" s="13"/>
      <c r="Q311" s="40"/>
      <c r="R311" s="41"/>
      <c r="S311" s="44">
        <f>IF(Q310=0,0,S310/Q310)</f>
        <v>0.24099145893032023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66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66"/>
        <v>PiècesAutostock</v>
      </c>
      <c r="B313" s="11" t="s">
        <v>98</v>
      </c>
      <c r="C313" s="86" t="s">
        <v>112</v>
      </c>
      <c r="D313" s="90">
        <v>0</v>
      </c>
      <c r="E313" s="216">
        <f>IF(D313=0,0,F313/D313)</f>
        <v>0</v>
      </c>
      <c r="F313" s="145">
        <v>0</v>
      </c>
      <c r="G313" s="171"/>
      <c r="H313" s="216"/>
      <c r="I313" s="145"/>
      <c r="J313" s="46">
        <v>0</v>
      </c>
      <c r="K313" s="217">
        <f>IF(J313&lt;=0,0,L313/J313)</f>
        <v>0</v>
      </c>
      <c r="L313" s="22">
        <v>0</v>
      </c>
      <c r="M313" s="217">
        <f>IF(F313=0,0,(+L313-F313)/F313)</f>
        <v>0</v>
      </c>
      <c r="N313" s="91">
        <f>L313-F313</f>
        <v>0</v>
      </c>
      <c r="O313" s="46">
        <v>0</v>
      </c>
      <c r="P313" s="217">
        <f>IF(O313=0,0,Q313/O313)</f>
        <v>0</v>
      </c>
      <c r="Q313" s="22"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66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66"/>
        <v>PiècesTotal Dépt. Pièces</v>
      </c>
      <c r="B315" s="11" t="s">
        <v>98</v>
      </c>
      <c r="C315" s="62" t="s">
        <v>113</v>
      </c>
      <c r="D315" s="63">
        <f>D310+D313</f>
        <v>382503.74802762776</v>
      </c>
      <c r="E315" s="218">
        <f>IF(D315&lt;=0,0,F315/D315)</f>
        <v>0.30464416887141987</v>
      </c>
      <c r="F315" s="65">
        <f>F310+F313</f>
        <v>116527.53640807967</v>
      </c>
      <c r="G315" s="66"/>
      <c r="H315" s="218"/>
      <c r="I315" s="65"/>
      <c r="J315" s="66">
        <f>J310+J313</f>
        <v>380381.47000000003</v>
      </c>
      <c r="K315" s="218">
        <f>IF(J315&lt;=0,0,L315/J315)</f>
        <v>0.32190726851126578</v>
      </c>
      <c r="L315" s="65">
        <f>L310+L313</f>
        <v>122447.56</v>
      </c>
      <c r="M315" s="219">
        <f>(+J315-D315)/D315</f>
        <v>-5.5483849205954557E-3</v>
      </c>
      <c r="N315" s="220">
        <f>L315-F315</f>
        <v>5920.023591920326</v>
      </c>
      <c r="O315" s="66">
        <f>O310+O313</f>
        <v>306941.78000000003</v>
      </c>
      <c r="P315" s="218">
        <f>IF(O315&lt;=0,0,Q315/O315)</f>
        <v>0.32145881215649424</v>
      </c>
      <c r="Q315" s="65">
        <f>Q310+Q313</f>
        <v>98669.139999999985</v>
      </c>
      <c r="R315" s="219">
        <f>IF(O315=0,0,(J315-O315)/O315)</f>
        <v>0.23926260543611885</v>
      </c>
      <c r="S315" s="221">
        <f>L315-Q315</f>
        <v>23778.420000000013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66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5.0803644995877979E-2</v>
      </c>
      <c r="O316" s="226"/>
      <c r="P316" s="224"/>
      <c r="Q316" s="225"/>
      <c r="R316" s="227"/>
      <c r="S316" s="75">
        <f>IF(Q315=0,0,S315/Q315)</f>
        <v>0.24099145893032023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66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66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66"/>
        <v>PiècesSalaires cadres</v>
      </c>
      <c r="B319" s="11" t="s">
        <v>98</v>
      </c>
      <c r="C319" s="102" t="s">
        <v>40</v>
      </c>
      <c r="D319" s="13"/>
      <c r="E319" s="13"/>
      <c r="F319" s="30">
        <v>4527.3187739463601</v>
      </c>
      <c r="G319" s="41"/>
      <c r="H319" s="13"/>
      <c r="I319" s="30"/>
      <c r="J319" s="41"/>
      <c r="K319" s="13"/>
      <c r="L319" s="33">
        <v>1082.3599999999999</v>
      </c>
      <c r="M319" s="41"/>
      <c r="N319" s="59">
        <f t="shared" ref="N319:N349" si="69">L319-F319</f>
        <v>-3444.9587739463605</v>
      </c>
      <c r="O319" s="41"/>
      <c r="P319" s="13"/>
      <c r="Q319" s="33">
        <v>4560.49</v>
      </c>
      <c r="R319" s="41"/>
      <c r="S319" s="85">
        <f t="shared" ref="S319:S344" si="70">L319-Q319</f>
        <v>-3478.13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66"/>
        <v>PiècesSalaires commis</v>
      </c>
      <c r="B320" s="11" t="s">
        <v>98</v>
      </c>
      <c r="C320" s="103" t="s">
        <v>41</v>
      </c>
      <c r="D320" s="81"/>
      <c r="E320" s="13"/>
      <c r="F320" s="22">
        <v>2423.0906206896552</v>
      </c>
      <c r="G320" s="83"/>
      <c r="H320" s="13"/>
      <c r="I320" s="22"/>
      <c r="J320" s="41"/>
      <c r="K320" s="13"/>
      <c r="L320" s="33">
        <v>1732.68</v>
      </c>
      <c r="M320" s="41"/>
      <c r="N320" s="59">
        <f t="shared" si="69"/>
        <v>-690.41062068965516</v>
      </c>
      <c r="O320" s="41"/>
      <c r="P320" s="13"/>
      <c r="Q320" s="33">
        <v>3003.91</v>
      </c>
      <c r="R320" s="41"/>
      <c r="S320" s="85">
        <f t="shared" si="70"/>
        <v>-1271.2299999999998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66"/>
        <v>PiècesSalaires autres</v>
      </c>
      <c r="B321" s="11" t="s">
        <v>98</v>
      </c>
      <c r="C321" s="102" t="s">
        <v>42</v>
      </c>
      <c r="D321" s="104"/>
      <c r="E321" s="105"/>
      <c r="F321" s="30">
        <v>20187.896837376</v>
      </c>
      <c r="G321" s="106"/>
      <c r="H321" s="105"/>
      <c r="I321" s="30"/>
      <c r="J321" s="107"/>
      <c r="K321" s="105"/>
      <c r="L321" s="108">
        <v>14407.76</v>
      </c>
      <c r="M321" s="107"/>
      <c r="N321" s="109">
        <f t="shared" si="69"/>
        <v>-5780.1368373759997</v>
      </c>
      <c r="O321" s="107"/>
      <c r="P321" s="105"/>
      <c r="Q321" s="108">
        <v>15492.59</v>
      </c>
      <c r="R321" s="107"/>
      <c r="S321" s="110">
        <f t="shared" si="70"/>
        <v>-1084.83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66"/>
        <v>PiècesSalaires spécialistes</v>
      </c>
      <c r="B322" s="11" t="s">
        <v>98</v>
      </c>
      <c r="C322" s="102" t="s">
        <v>43</v>
      </c>
      <c r="D322" s="81"/>
      <c r="E322" s="13"/>
      <c r="F322" s="30">
        <v>0</v>
      </c>
      <c r="G322" s="83"/>
      <c r="H322" s="13"/>
      <c r="I322" s="30"/>
      <c r="J322" s="41"/>
      <c r="K322" s="13"/>
      <c r="L322" s="33">
        <v>0</v>
      </c>
      <c r="M322" s="41"/>
      <c r="N322" s="59">
        <f t="shared" si="69"/>
        <v>0</v>
      </c>
      <c r="O322" s="41"/>
      <c r="P322" s="13"/>
      <c r="Q322" s="33">
        <v>0</v>
      </c>
      <c r="R322" s="41"/>
      <c r="S322" s="85">
        <f t="shared" si="70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>+B323&amp;C323</f>
        <v>Pièces[...]</v>
      </c>
      <c r="B323" s="11" t="s">
        <v>98</v>
      </c>
      <c r="C323" s="228" t="s">
        <v>19</v>
      </c>
      <c r="D323" s="81"/>
      <c r="E323" s="13"/>
      <c r="F323" s="30">
        <v>0</v>
      </c>
      <c r="G323" s="83"/>
      <c r="H323" s="13"/>
      <c r="I323" s="30"/>
      <c r="J323" s="41"/>
      <c r="K323" s="13"/>
      <c r="L323" s="33">
        <v>0</v>
      </c>
      <c r="M323" s="41"/>
      <c r="N323" s="59">
        <f t="shared" si="69"/>
        <v>0</v>
      </c>
      <c r="O323" s="41"/>
      <c r="P323" s="13"/>
      <c r="Q323" s="33"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>+B324&amp;C324</f>
        <v>Pièces[...]</v>
      </c>
      <c r="B324" s="11" t="s">
        <v>98</v>
      </c>
      <c r="C324" s="228" t="s">
        <v>19</v>
      </c>
      <c r="D324" s="81"/>
      <c r="E324" s="13"/>
      <c r="F324" s="30">
        <v>0</v>
      </c>
      <c r="G324" s="83"/>
      <c r="H324" s="13"/>
      <c r="I324" s="30"/>
      <c r="J324" s="41"/>
      <c r="K324" s="13"/>
      <c r="L324" s="33">
        <v>0</v>
      </c>
      <c r="M324" s="41"/>
      <c r="N324" s="59">
        <f t="shared" si="69"/>
        <v>0</v>
      </c>
      <c r="O324" s="41"/>
      <c r="P324" s="13"/>
      <c r="Q324" s="33"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>+B325&amp;C325</f>
        <v>Pièces[...]</v>
      </c>
      <c r="B325" s="11" t="s">
        <v>98</v>
      </c>
      <c r="C325" s="228" t="s">
        <v>19</v>
      </c>
      <c r="D325" s="81"/>
      <c r="E325" s="13"/>
      <c r="F325" s="30">
        <v>0</v>
      </c>
      <c r="G325" s="83"/>
      <c r="H325" s="13"/>
      <c r="I325" s="30"/>
      <c r="J325" s="41"/>
      <c r="K325" s="13"/>
      <c r="L325" s="33">
        <v>0</v>
      </c>
      <c r="M325" s="41"/>
      <c r="N325" s="59">
        <f t="shared" si="69"/>
        <v>0</v>
      </c>
      <c r="O325" s="41"/>
      <c r="P325" s="13"/>
      <c r="Q325" s="33"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ref="A326:A375" si="71">+B326&amp;C326</f>
        <v>PiècesSalaires en absences</v>
      </c>
      <c r="B326" s="11" t="s">
        <v>98</v>
      </c>
      <c r="C326" s="103" t="s">
        <v>44</v>
      </c>
      <c r="D326" s="81"/>
      <c r="E326" s="13"/>
      <c r="F326" s="22">
        <v>3996.6918960473113</v>
      </c>
      <c r="G326" s="83"/>
      <c r="H326" s="13"/>
      <c r="I326" s="22"/>
      <c r="J326" s="41"/>
      <c r="K326" s="13"/>
      <c r="L326" s="33">
        <v>2766.47</v>
      </c>
      <c r="M326" s="41"/>
      <c r="N326" s="59">
        <f t="shared" si="69"/>
        <v>-1230.2218960473115</v>
      </c>
      <c r="O326" s="41"/>
      <c r="P326" s="13"/>
      <c r="Q326" s="33">
        <v>3906.46</v>
      </c>
      <c r="R326" s="41"/>
      <c r="S326" s="85">
        <f t="shared" ref="S326:S351" si="72">L326-Q326</f>
        <v>-1139.9900000000002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71"/>
        <v>PiècesDéduction à la source</v>
      </c>
      <c r="B327" s="11" t="s">
        <v>98</v>
      </c>
      <c r="C327" s="102" t="s">
        <v>45</v>
      </c>
      <c r="D327" s="104"/>
      <c r="E327" s="105"/>
      <c r="F327" s="30">
        <v>3662.6197363471892</v>
      </c>
      <c r="G327" s="106"/>
      <c r="H327" s="105"/>
      <c r="I327" s="30"/>
      <c r="J327" s="107"/>
      <c r="K327" s="105"/>
      <c r="L327" s="108">
        <v>3009.21</v>
      </c>
      <c r="M327" s="107"/>
      <c r="N327" s="109">
        <f t="shared" si="69"/>
        <v>-653.40973634718921</v>
      </c>
      <c r="O327" s="107"/>
      <c r="P327" s="105"/>
      <c r="Q327" s="108">
        <v>4131.46</v>
      </c>
      <c r="R327" s="107"/>
      <c r="S327" s="110">
        <f t="shared" si="72"/>
        <v>-1122.25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71"/>
        <v>PiècesBénéfices marginaux</v>
      </c>
      <c r="B328" s="11" t="s">
        <v>98</v>
      </c>
      <c r="C328" s="102" t="s">
        <v>46</v>
      </c>
      <c r="D328" s="81"/>
      <c r="E328" s="13"/>
      <c r="F328" s="30">
        <v>2991.1394513502046</v>
      </c>
      <c r="G328" s="83"/>
      <c r="H328" s="13"/>
      <c r="I328" s="30"/>
      <c r="J328" s="41"/>
      <c r="K328" s="13"/>
      <c r="L328" s="33">
        <v>2413.63</v>
      </c>
      <c r="M328" s="41"/>
      <c r="N328" s="59">
        <f t="shared" si="69"/>
        <v>-577.50945135020447</v>
      </c>
      <c r="O328" s="41"/>
      <c r="P328" s="13"/>
      <c r="Q328" s="33">
        <v>2532.77</v>
      </c>
      <c r="R328" s="41"/>
      <c r="S328" s="85">
        <f t="shared" si="72"/>
        <v>-119.13999999999987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71"/>
        <v>PiècesCsst</v>
      </c>
      <c r="B329" s="11" t="s">
        <v>98</v>
      </c>
      <c r="C329" s="102" t="s">
        <v>47</v>
      </c>
      <c r="D329" s="81"/>
      <c r="E329" s="13"/>
      <c r="F329" s="30">
        <v>747.78486283755115</v>
      </c>
      <c r="G329" s="83"/>
      <c r="H329" s="13"/>
      <c r="I329" s="30"/>
      <c r="J329" s="41"/>
      <c r="K329" s="13"/>
      <c r="L329" s="33">
        <v>482.25</v>
      </c>
      <c r="M329" s="462"/>
      <c r="N329" s="145">
        <f t="shared" si="69"/>
        <v>-265.53486283755115</v>
      </c>
      <c r="O329" s="41"/>
      <c r="P329" s="13"/>
      <c r="Q329" s="33">
        <v>861.79</v>
      </c>
      <c r="R329" s="41"/>
      <c r="S329" s="85">
        <f t="shared" si="72"/>
        <v>-379.53999999999996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71"/>
        <v>Pièces[...]</v>
      </c>
      <c r="B330" s="11" t="s">
        <v>98</v>
      </c>
      <c r="C330" s="29" t="s">
        <v>19</v>
      </c>
      <c r="D330" s="87"/>
      <c r="E330" s="111"/>
      <c r="F330" s="30">
        <v>0</v>
      </c>
      <c r="G330" s="89"/>
      <c r="H330" s="111"/>
      <c r="I330" s="30"/>
      <c r="J330" s="23"/>
      <c r="K330" s="111"/>
      <c r="L330" s="33">
        <v>0</v>
      </c>
      <c r="M330" s="23"/>
      <c r="N330" s="91">
        <f t="shared" si="69"/>
        <v>0</v>
      </c>
      <c r="O330" s="23"/>
      <c r="P330" s="111"/>
      <c r="Q330" s="33">
        <v>0</v>
      </c>
      <c r="R330" s="23"/>
      <c r="S330" s="92">
        <f t="shared" si="72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71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0.33070760239570512</v>
      </c>
      <c r="F331" s="96">
        <f>+SUM(F319:F330)</f>
        <v>38536.542178594267</v>
      </c>
      <c r="G331" s="97"/>
      <c r="H331" s="95"/>
      <c r="I331" s="96"/>
      <c r="J331" s="97" t="s">
        <v>38</v>
      </c>
      <c r="K331" s="95">
        <f>L331/L$315</f>
        <v>0.21147305834432309</v>
      </c>
      <c r="L331" s="96">
        <f>+SUM(L319:L330)</f>
        <v>25894.36</v>
      </c>
      <c r="M331" s="146"/>
      <c r="N331" s="113">
        <f t="shared" si="69"/>
        <v>-12642.182178594267</v>
      </c>
      <c r="O331" s="97" t="s">
        <v>38</v>
      </c>
      <c r="P331" s="95">
        <f>Q331/Q$315</f>
        <v>0.34954667690424784</v>
      </c>
      <c r="Q331" s="96">
        <f>+SUM(Q319:Q330)</f>
        <v>34489.469999999994</v>
      </c>
      <c r="R331" s="146"/>
      <c r="S331" s="114">
        <f t="shared" si="72"/>
        <v>-8595.1099999999933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71"/>
        <v>PiècesPublicité 2</v>
      </c>
      <c r="B332" s="11" t="s">
        <v>98</v>
      </c>
      <c r="C332" s="210" t="s">
        <v>49</v>
      </c>
      <c r="D332" s="81"/>
      <c r="E332" s="13"/>
      <c r="F332" s="30">
        <v>775.81460978741154</v>
      </c>
      <c r="G332" s="83"/>
      <c r="H332" s="13"/>
      <c r="I332" s="30"/>
      <c r="J332" s="41"/>
      <c r="K332" s="13"/>
      <c r="L332" s="33">
        <v>1099.94</v>
      </c>
      <c r="M332" s="41"/>
      <c r="N332" s="59">
        <f t="shared" si="69"/>
        <v>324.12539021258851</v>
      </c>
      <c r="O332" s="41"/>
      <c r="P332" s="13"/>
      <c r="Q332" s="33">
        <v>1914.43</v>
      </c>
      <c r="R332" s="41"/>
      <c r="S332" s="85">
        <f t="shared" si="72"/>
        <v>-814.49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71"/>
        <v>PiècesService gratuit 2</v>
      </c>
      <c r="B333" s="11" t="s">
        <v>98</v>
      </c>
      <c r="C333" s="102" t="s">
        <v>50</v>
      </c>
      <c r="D333" s="81"/>
      <c r="E333" s="13"/>
      <c r="F333" s="30">
        <v>625</v>
      </c>
      <c r="G333" s="83"/>
      <c r="H333" s="13"/>
      <c r="I333" s="30"/>
      <c r="J333" s="41"/>
      <c r="K333" s="13"/>
      <c r="L333" s="30">
        <v>762.62</v>
      </c>
      <c r="M333" s="41"/>
      <c r="N333" s="59">
        <f t="shared" si="69"/>
        <v>137.62</v>
      </c>
      <c r="O333" s="41"/>
      <c r="P333" s="13"/>
      <c r="Q333" s="33">
        <v>371</v>
      </c>
      <c r="R333" s="41"/>
      <c r="S333" s="85">
        <f t="shared" si="72"/>
        <v>391.62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71"/>
        <v>PiècesFrais véhicules de cie</v>
      </c>
      <c r="B334" s="11" t="s">
        <v>98</v>
      </c>
      <c r="C334" s="103" t="s">
        <v>51</v>
      </c>
      <c r="D334" s="87"/>
      <c r="E334" s="111"/>
      <c r="F334" s="22">
        <v>4823.666666666667</v>
      </c>
      <c r="G334" s="89"/>
      <c r="H334" s="111"/>
      <c r="I334" s="22"/>
      <c r="J334" s="23"/>
      <c r="K334" s="111"/>
      <c r="L334" s="22">
        <v>2751.59</v>
      </c>
      <c r="M334" s="23"/>
      <c r="N334" s="91">
        <f t="shared" si="69"/>
        <v>-2072.0766666666668</v>
      </c>
      <c r="O334" s="23"/>
      <c r="P334" s="111"/>
      <c r="Q334" s="33">
        <v>4817.5599999999995</v>
      </c>
      <c r="R334" s="23"/>
      <c r="S334" s="92">
        <f t="shared" si="72"/>
        <v>-2065.9699999999993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71"/>
        <v>PiècesInformatique</v>
      </c>
      <c r="B335" s="11" t="s">
        <v>98</v>
      </c>
      <c r="C335" s="102" t="s">
        <v>52</v>
      </c>
      <c r="D335" s="81"/>
      <c r="E335" s="13"/>
      <c r="F335" s="30">
        <v>2651.4753333333338</v>
      </c>
      <c r="G335" s="83"/>
      <c r="H335" s="13"/>
      <c r="I335" s="30"/>
      <c r="J335" s="41"/>
      <c r="K335" s="13"/>
      <c r="L335" s="108">
        <v>2567.3200000000002</v>
      </c>
      <c r="M335" s="41"/>
      <c r="N335" s="59">
        <f t="shared" si="69"/>
        <v>-84.155333333333601</v>
      </c>
      <c r="O335" s="41"/>
      <c r="P335" s="13"/>
      <c r="Q335" s="108">
        <v>1487.64</v>
      </c>
      <c r="R335" s="41"/>
      <c r="S335" s="85">
        <f t="shared" si="72"/>
        <v>1079.68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71"/>
        <v>PiècesFrais de déplacement</v>
      </c>
      <c r="B336" s="11" t="s">
        <v>98</v>
      </c>
      <c r="C336" s="102" t="s">
        <v>53</v>
      </c>
      <c r="D336" s="81"/>
      <c r="E336" s="13"/>
      <c r="F336" s="30">
        <v>998.33333333333326</v>
      </c>
      <c r="G336" s="83"/>
      <c r="H336" s="13"/>
      <c r="I336" s="30"/>
      <c r="J336" s="41"/>
      <c r="K336" s="13"/>
      <c r="L336" s="33">
        <v>923.99</v>
      </c>
      <c r="M336" s="41"/>
      <c r="N336" s="59">
        <f t="shared" si="69"/>
        <v>-74.343333333333248</v>
      </c>
      <c r="O336" s="41"/>
      <c r="P336" s="13"/>
      <c r="Q336" s="33">
        <v>-149</v>
      </c>
      <c r="R336" s="41"/>
      <c r="S336" s="85">
        <f t="shared" si="72"/>
        <v>1072.99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71"/>
        <v>PiècesServices extérieurs</v>
      </c>
      <c r="B337" s="11" t="s">
        <v>98</v>
      </c>
      <c r="C337" s="229" t="s">
        <v>54</v>
      </c>
      <c r="D337" s="87"/>
      <c r="E337" s="111"/>
      <c r="F337" s="22">
        <v>1318.576</v>
      </c>
      <c r="G337" s="89"/>
      <c r="H337" s="111"/>
      <c r="I337" s="22"/>
      <c r="J337" s="23"/>
      <c r="K337" s="111"/>
      <c r="L337" s="48">
        <v>2574.25</v>
      </c>
      <c r="M337" s="23"/>
      <c r="N337" s="91">
        <f t="shared" si="69"/>
        <v>1255.674</v>
      </c>
      <c r="O337" s="23"/>
      <c r="P337" s="111"/>
      <c r="Q337" s="48">
        <v>1975.6</v>
      </c>
      <c r="R337" s="23"/>
      <c r="S337" s="92">
        <f t="shared" si="72"/>
        <v>598.65000000000009</v>
      </c>
      <c r="T337" s="13"/>
      <c r="U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>+B338&amp;C338</f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v>0</v>
      </c>
      <c r="M338" s="41"/>
      <c r="N338" s="59">
        <f t="shared" si="69"/>
        <v>0</v>
      </c>
      <c r="O338" s="41"/>
      <c r="P338" s="13"/>
      <c r="Q338" s="33"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ref="A339:A388" si="73">+B339&amp;C339</f>
        <v>PiècesFournitures autres</v>
      </c>
      <c r="B339" s="11" t="s">
        <v>98</v>
      </c>
      <c r="C339" s="102" t="s">
        <v>55</v>
      </c>
      <c r="D339" s="81"/>
      <c r="E339" s="13"/>
      <c r="F339" s="30">
        <v>15</v>
      </c>
      <c r="G339" s="83"/>
      <c r="H339" s="13"/>
      <c r="I339" s="30"/>
      <c r="J339" s="41"/>
      <c r="K339" s="13"/>
      <c r="L339" s="33">
        <v>19.8</v>
      </c>
      <c r="M339" s="41"/>
      <c r="N339" s="59">
        <f t="shared" si="69"/>
        <v>4.8000000000000007</v>
      </c>
      <c r="O339" s="41"/>
      <c r="P339" s="13"/>
      <c r="Q339" s="33">
        <v>49.16</v>
      </c>
      <c r="R339" s="41"/>
      <c r="S339" s="85">
        <f t="shared" ref="S339:S364" si="74">L339-Q339</f>
        <v>-29.359999999999996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73"/>
        <v>PiècesUniformes</v>
      </c>
      <c r="B340" s="11" t="s">
        <v>98</v>
      </c>
      <c r="C340" s="102" t="s">
        <v>56</v>
      </c>
      <c r="D340" s="81"/>
      <c r="E340" s="13"/>
      <c r="F340" s="30">
        <v>37.5</v>
      </c>
      <c r="G340" s="83"/>
      <c r="H340" s="13"/>
      <c r="I340" s="30"/>
      <c r="J340" s="41"/>
      <c r="K340" s="13"/>
      <c r="L340" s="33">
        <v>0</v>
      </c>
      <c r="M340" s="41"/>
      <c r="N340" s="59">
        <f t="shared" si="69"/>
        <v>-37.5</v>
      </c>
      <c r="O340" s="41"/>
      <c r="P340" s="13"/>
      <c r="Q340" s="33">
        <v>0</v>
      </c>
      <c r="R340" s="41"/>
      <c r="S340" s="85">
        <f t="shared" si="74"/>
        <v>0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73"/>
        <v>PiècesPapeterie</v>
      </c>
      <c r="B341" s="11" t="s">
        <v>98</v>
      </c>
      <c r="C341" s="102" t="s">
        <v>57</v>
      </c>
      <c r="D341" s="81"/>
      <c r="E341" s="13"/>
      <c r="F341" s="30">
        <v>290</v>
      </c>
      <c r="G341" s="83"/>
      <c r="H341" s="13"/>
      <c r="I341" s="30"/>
      <c r="J341" s="41"/>
      <c r="K341" s="13"/>
      <c r="L341" s="32">
        <v>162.22999999999999</v>
      </c>
      <c r="M341" s="41"/>
      <c r="N341" s="59">
        <f t="shared" si="69"/>
        <v>-127.77000000000001</v>
      </c>
      <c r="O341" s="41"/>
      <c r="P341" s="13"/>
      <c r="Q341" s="32">
        <v>277.62</v>
      </c>
      <c r="R341" s="41"/>
      <c r="S341" s="85">
        <f t="shared" si="74"/>
        <v>-115.39000000000001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73"/>
        <v>PiècesTéléphone</v>
      </c>
      <c r="B342" s="11" t="s">
        <v>98</v>
      </c>
      <c r="C342" s="102" t="s">
        <v>58</v>
      </c>
      <c r="D342" s="81"/>
      <c r="E342" s="13"/>
      <c r="F342" s="30">
        <v>113.8</v>
      </c>
      <c r="G342" s="83"/>
      <c r="H342" s="13"/>
      <c r="I342" s="30"/>
      <c r="J342" s="41"/>
      <c r="K342" s="13"/>
      <c r="L342" s="33">
        <v>103.73</v>
      </c>
      <c r="M342" s="41"/>
      <c r="N342" s="59">
        <f t="shared" si="69"/>
        <v>-10.069999999999993</v>
      </c>
      <c r="O342" s="41"/>
      <c r="P342" s="13"/>
      <c r="Q342" s="33">
        <v>105.23</v>
      </c>
      <c r="R342" s="41"/>
      <c r="S342" s="85">
        <f t="shared" si="74"/>
        <v>-1.5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73"/>
        <v>PiècesFrais postaux</v>
      </c>
      <c r="B343" s="11" t="s">
        <v>98</v>
      </c>
      <c r="C343" s="102" t="s">
        <v>59</v>
      </c>
      <c r="D343" s="81"/>
      <c r="E343" s="13"/>
      <c r="F343" s="30">
        <v>2371.666666666667</v>
      </c>
      <c r="G343" s="83"/>
      <c r="H343" s="13"/>
      <c r="I343" s="30"/>
      <c r="J343" s="41"/>
      <c r="K343" s="13"/>
      <c r="L343" s="33">
        <v>-486.71</v>
      </c>
      <c r="M343" s="41"/>
      <c r="N343" s="59">
        <f t="shared" si="69"/>
        <v>-2858.376666666667</v>
      </c>
      <c r="O343" s="41"/>
      <c r="P343" s="13"/>
      <c r="Q343" s="33">
        <v>394.99</v>
      </c>
      <c r="R343" s="41"/>
      <c r="S343" s="85">
        <f t="shared" si="74"/>
        <v>-881.7</v>
      </c>
      <c r="T343" s="13"/>
      <c r="U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73"/>
        <v>PiècesDivers</v>
      </c>
      <c r="B344" s="11" t="s">
        <v>98</v>
      </c>
      <c r="C344" s="102" t="s">
        <v>60</v>
      </c>
      <c r="D344" s="81"/>
      <c r="E344" s="13"/>
      <c r="F344" s="30">
        <v>305.33333333333331</v>
      </c>
      <c r="G344" s="83"/>
      <c r="H344" s="13"/>
      <c r="I344" s="30"/>
      <c r="J344" s="41"/>
      <c r="K344" s="13"/>
      <c r="L344" s="33">
        <v>237.49</v>
      </c>
      <c r="M344" s="41"/>
      <c r="N344" s="59">
        <f t="shared" si="69"/>
        <v>-67.843333333333305</v>
      </c>
      <c r="O344" s="41"/>
      <c r="P344" s="13"/>
      <c r="Q344" s="33">
        <v>338.44</v>
      </c>
      <c r="R344" s="41"/>
      <c r="S344" s="85">
        <f t="shared" si="74"/>
        <v>-100.94999999999999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>+B345&amp;C345</f>
        <v>PiècesFormation</v>
      </c>
      <c r="B345" s="11" t="s">
        <v>98</v>
      </c>
      <c r="C345" s="102" t="s">
        <v>61</v>
      </c>
      <c r="D345" s="81"/>
      <c r="E345" s="13"/>
      <c r="F345" s="30">
        <v>152.46400000000006</v>
      </c>
      <c r="G345" s="83"/>
      <c r="H345" s="13"/>
      <c r="I345" s="30"/>
      <c r="J345" s="41"/>
      <c r="K345" s="13"/>
      <c r="L345" s="59">
        <v>737.33</v>
      </c>
      <c r="M345" s="41"/>
      <c r="N345" s="59">
        <f t="shared" si="69"/>
        <v>584.86599999999999</v>
      </c>
      <c r="O345" s="41"/>
      <c r="P345" s="13"/>
      <c r="Q345" s="33">
        <v>-67.47</v>
      </c>
      <c r="R345" s="41"/>
      <c r="S345" s="85">
        <f>L345-Q345</f>
        <v>804.80000000000007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>+B346&amp;C346</f>
        <v>PiècesFrais bancaires</v>
      </c>
      <c r="B346" s="11" t="s">
        <v>98</v>
      </c>
      <c r="C346" s="102" t="s">
        <v>62</v>
      </c>
      <c r="D346" s="81"/>
      <c r="E346" s="13"/>
      <c r="F346" s="30">
        <v>1912.4392914616108</v>
      </c>
      <c r="G346" s="83"/>
      <c r="H346" s="13"/>
      <c r="I346" s="30"/>
      <c r="J346" s="41"/>
      <c r="K346" s="13"/>
      <c r="L346" s="32">
        <v>1345.77</v>
      </c>
      <c r="M346" s="41"/>
      <c r="N346" s="59">
        <f t="shared" si="69"/>
        <v>-566.66929146161078</v>
      </c>
      <c r="O346" s="41"/>
      <c r="P346" s="13"/>
      <c r="Q346" s="33">
        <v>676.59</v>
      </c>
      <c r="R346" s="41"/>
      <c r="S346" s="85">
        <f>L346-Q346</f>
        <v>669.18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>+B347&amp;C347</f>
        <v>Pièces[...]</v>
      </c>
      <c r="B347" s="11" t="s">
        <v>98</v>
      </c>
      <c r="C347" s="102" t="s">
        <v>19</v>
      </c>
      <c r="D347" s="81"/>
      <c r="E347" s="13"/>
      <c r="F347" s="30">
        <v>0</v>
      </c>
      <c r="G347" s="83"/>
      <c r="H347" s="13"/>
      <c r="I347" s="30"/>
      <c r="J347" s="41"/>
      <c r="K347" s="13"/>
      <c r="L347" s="33">
        <v>0</v>
      </c>
      <c r="M347" s="41"/>
      <c r="N347" s="59">
        <f t="shared" si="69"/>
        <v>0</v>
      </c>
      <c r="O347" s="41"/>
      <c r="P347" s="13"/>
      <c r="Q347" s="33"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>+B348&amp;C348</f>
        <v>Pièces[...]</v>
      </c>
      <c r="B348" s="11" t="s">
        <v>98</v>
      </c>
      <c r="C348" s="102" t="s">
        <v>19</v>
      </c>
      <c r="D348" s="81"/>
      <c r="E348" s="13"/>
      <c r="F348" s="30">
        <v>0</v>
      </c>
      <c r="G348" s="83"/>
      <c r="H348" s="13"/>
      <c r="I348" s="30"/>
      <c r="J348" s="41"/>
      <c r="K348" s="13"/>
      <c r="L348" s="33">
        <v>0</v>
      </c>
      <c r="M348" s="41"/>
      <c r="N348" s="59">
        <f t="shared" si="69"/>
        <v>0</v>
      </c>
      <c r="O348" s="41"/>
      <c r="P348" s="13"/>
      <c r="Q348" s="33"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>+B349&amp;C349</f>
        <v>Pièces[...]</v>
      </c>
      <c r="B349" s="11" t="s">
        <v>98</v>
      </c>
      <c r="C349" s="102" t="s">
        <v>19</v>
      </c>
      <c r="D349" s="81"/>
      <c r="E349" s="13"/>
      <c r="F349" s="30">
        <v>0</v>
      </c>
      <c r="G349" s="83"/>
      <c r="H349" s="13"/>
      <c r="I349" s="30"/>
      <c r="J349" s="41"/>
      <c r="K349" s="13"/>
      <c r="L349" s="33">
        <v>0</v>
      </c>
      <c r="M349" s="41"/>
      <c r="N349" s="59">
        <f t="shared" si="69"/>
        <v>0</v>
      </c>
      <c r="O349" s="41"/>
      <c r="P349" s="13"/>
      <c r="Q349" s="33"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0.14066262567485163</v>
      </c>
      <c r="F350" s="96">
        <f>+SUM(F332:F349)</f>
        <v>16391.069234582355</v>
      </c>
      <c r="G350" s="97"/>
      <c r="H350" s="95"/>
      <c r="I350" s="96"/>
      <c r="J350" s="97" t="s">
        <v>38</v>
      </c>
      <c r="K350" s="95">
        <f>L350/L$315</f>
        <v>0.10452923684228578</v>
      </c>
      <c r="L350" s="96">
        <f>+SUM(L332:L349)</f>
        <v>12799.349999999999</v>
      </c>
      <c r="M350" s="100"/>
      <c r="N350" s="96">
        <f>+SUM(N332:N349)</f>
        <v>-3591.719234582356</v>
      </c>
      <c r="O350" s="97" t="s">
        <v>38</v>
      </c>
      <c r="P350" s="95">
        <f>Q350/Q$315</f>
        <v>0.1235623417818378</v>
      </c>
      <c r="Q350" s="96">
        <f>+SUM(Q332:Q349)</f>
        <v>12191.79</v>
      </c>
      <c r="R350" s="100"/>
      <c r="S350" s="101">
        <f>+SUM(S332:S349)</f>
        <v>607.56000000000085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0.47137022807055678</v>
      </c>
      <c r="F352" s="96">
        <f>F331+F350</f>
        <v>54927.611413176623</v>
      </c>
      <c r="G352" s="97"/>
      <c r="H352" s="95"/>
      <c r="I352" s="96"/>
      <c r="J352" s="97" t="s">
        <v>38</v>
      </c>
      <c r="K352" s="95">
        <f>L352/L$315</f>
        <v>0.31600229518660888</v>
      </c>
      <c r="L352" s="96">
        <f>L331+L350</f>
        <v>38693.71</v>
      </c>
      <c r="M352" s="100"/>
      <c r="N352" s="113">
        <f>L352-F352</f>
        <v>-16233.901413176623</v>
      </c>
      <c r="O352" s="97" t="s">
        <v>38</v>
      </c>
      <c r="P352" s="95">
        <f>Q352/Q$315</f>
        <v>0.47310901868608568</v>
      </c>
      <c r="Q352" s="96">
        <f>Q331+Q350</f>
        <v>46681.259999999995</v>
      </c>
      <c r="R352" s="100"/>
      <c r="S352" s="114">
        <f>L352-Q352</f>
        <v>-7987.5499999999956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61599.924994903049</v>
      </c>
      <c r="G354" s="152"/>
      <c r="H354" s="125"/>
      <c r="I354" s="127"/>
      <c r="J354" s="153"/>
      <c r="K354" s="126"/>
      <c r="L354" s="127">
        <f>L315-L352</f>
        <v>83753.850000000006</v>
      </c>
      <c r="M354" s="153"/>
      <c r="N354" s="127">
        <f>L354-F354</f>
        <v>22153.925005096957</v>
      </c>
      <c r="O354" s="153"/>
      <c r="P354" s="126"/>
      <c r="Q354" s="127">
        <f>Q315-Q352</f>
        <v>51987.87999999999</v>
      </c>
      <c r="R354" s="153"/>
      <c r="S354" s="129">
        <f>L354-Q354</f>
        <v>31765.970000000016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Septembre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05" t="s">
        <v>5</v>
      </c>
      <c r="E359" s="506"/>
      <c r="F359" s="507"/>
      <c r="G359" s="508"/>
      <c r="H359" s="506"/>
      <c r="I359" s="507"/>
      <c r="J359" s="508" t="s">
        <v>7</v>
      </c>
      <c r="K359" s="506"/>
      <c r="L359" s="507"/>
      <c r="M359" s="508"/>
      <c r="N359" s="507"/>
      <c r="O359" s="505" t="s">
        <v>8</v>
      </c>
      <c r="P359" s="506"/>
      <c r="Q359" s="507"/>
      <c r="R359" s="508" t="s">
        <v>9</v>
      </c>
      <c r="S359" s="509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75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75"/>
        <v>BoutiqueBoutique</v>
      </c>
      <c r="B361" s="11" t="s">
        <v>114</v>
      </c>
      <c r="C361" s="62" t="s">
        <v>114</v>
      </c>
      <c r="D361" s="233">
        <v>0</v>
      </c>
      <c r="E361" s="234">
        <f>IFERROR(F361/D361,0)</f>
        <v>0</v>
      </c>
      <c r="F361" s="235">
        <v>0</v>
      </c>
      <c r="G361" s="233"/>
      <c r="H361" s="234"/>
      <c r="I361" s="233"/>
      <c r="J361" s="236">
        <v>0</v>
      </c>
      <c r="K361" s="218">
        <f>IF(J361&lt;=0,0,L361/J361)</f>
        <v>0</v>
      </c>
      <c r="L361" s="237">
        <v>0</v>
      </c>
      <c r="M361" s="219"/>
      <c r="N361" s="220"/>
      <c r="O361" s="236">
        <v>0</v>
      </c>
      <c r="P361" s="218">
        <f>IFERROR(Q361/O361,0)</f>
        <v>0</v>
      </c>
      <c r="Q361" s="237"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75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75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75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75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75"/>
        <v>BoutiqueSalaires cadres</v>
      </c>
      <c r="B366" s="11" t="s">
        <v>114</v>
      </c>
      <c r="C366" s="102" t="s">
        <v>40</v>
      </c>
      <c r="D366" s="13"/>
      <c r="E366" s="13"/>
      <c r="F366" s="30">
        <v>0</v>
      </c>
      <c r="G366" s="41"/>
      <c r="H366" s="13"/>
      <c r="I366" s="30"/>
      <c r="J366" s="41"/>
      <c r="K366" s="13"/>
      <c r="L366" s="33">
        <v>0</v>
      </c>
      <c r="M366" s="41"/>
      <c r="N366" s="40"/>
      <c r="O366" s="41"/>
      <c r="P366" s="13"/>
      <c r="Q366" s="33"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75"/>
        <v>BoutiqueSalaires commis</v>
      </c>
      <c r="B367" s="11" t="s">
        <v>114</v>
      </c>
      <c r="C367" s="103" t="s">
        <v>41</v>
      </c>
      <c r="D367" s="81"/>
      <c r="E367" s="13"/>
      <c r="F367" s="22">
        <v>0</v>
      </c>
      <c r="G367" s="83"/>
      <c r="H367" s="13"/>
      <c r="I367" s="22"/>
      <c r="J367" s="41"/>
      <c r="K367" s="13"/>
      <c r="L367" s="22">
        <v>0</v>
      </c>
      <c r="M367" s="41"/>
      <c r="N367" s="59"/>
      <c r="O367" s="41"/>
      <c r="P367" s="13"/>
      <c r="Q367" s="22">
        <v>0</v>
      </c>
      <c r="R367" s="41"/>
      <c r="S367" s="85">
        <f t="shared" ref="S367:S395" si="76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75"/>
        <v>BoutiqueSalaires autres</v>
      </c>
      <c r="B368" s="11" t="s">
        <v>114</v>
      </c>
      <c r="C368" s="102" t="s">
        <v>42</v>
      </c>
      <c r="D368" s="104"/>
      <c r="E368" s="105"/>
      <c r="F368" s="30">
        <v>0</v>
      </c>
      <c r="G368" s="106"/>
      <c r="H368" s="105"/>
      <c r="I368" s="30"/>
      <c r="J368" s="107"/>
      <c r="K368" s="105"/>
      <c r="L368" s="33">
        <v>0</v>
      </c>
      <c r="M368" s="107"/>
      <c r="N368" s="109"/>
      <c r="O368" s="107"/>
      <c r="P368" s="105"/>
      <c r="Q368" s="33">
        <v>0</v>
      </c>
      <c r="R368" s="107"/>
      <c r="S368" s="110">
        <f t="shared" si="76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75"/>
        <v>BoutiqueSalaires spécialistes</v>
      </c>
      <c r="B369" s="11" t="s">
        <v>114</v>
      </c>
      <c r="C369" s="102" t="s">
        <v>43</v>
      </c>
      <c r="D369" s="81"/>
      <c r="E369" s="13"/>
      <c r="F369" s="30">
        <v>0</v>
      </c>
      <c r="G369" s="83"/>
      <c r="H369" s="13"/>
      <c r="I369" s="30"/>
      <c r="J369" s="41"/>
      <c r="K369" s="13"/>
      <c r="L369" s="33">
        <v>0</v>
      </c>
      <c r="M369" s="41"/>
      <c r="N369" s="59"/>
      <c r="O369" s="41"/>
      <c r="P369" s="13"/>
      <c r="Q369" s="33">
        <v>0</v>
      </c>
      <c r="R369" s="41"/>
      <c r="S369" s="85">
        <f t="shared" si="76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75"/>
        <v>Boutique[...]</v>
      </c>
      <c r="B370" s="11" t="s">
        <v>114</v>
      </c>
      <c r="C370" s="29" t="s">
        <v>19</v>
      </c>
      <c r="D370" s="81"/>
      <c r="E370" s="13"/>
      <c r="F370" s="30">
        <v>0</v>
      </c>
      <c r="G370" s="83"/>
      <c r="H370" s="13"/>
      <c r="I370" s="30"/>
      <c r="J370" s="41"/>
      <c r="K370" s="13"/>
      <c r="L370" s="33">
        <v>0</v>
      </c>
      <c r="M370" s="41"/>
      <c r="N370" s="59"/>
      <c r="O370" s="41"/>
      <c r="P370" s="13"/>
      <c r="Q370" s="33">
        <v>0</v>
      </c>
      <c r="R370" s="41"/>
      <c r="S370" s="85">
        <f t="shared" si="76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75"/>
        <v>Boutique[...]</v>
      </c>
      <c r="B371" s="11" t="s">
        <v>114</v>
      </c>
      <c r="C371" s="29" t="s">
        <v>19</v>
      </c>
      <c r="D371" s="81"/>
      <c r="E371" s="13"/>
      <c r="F371" s="30">
        <v>0</v>
      </c>
      <c r="G371" s="83"/>
      <c r="H371" s="13"/>
      <c r="I371" s="30"/>
      <c r="J371" s="41"/>
      <c r="K371" s="13"/>
      <c r="L371" s="33">
        <v>0</v>
      </c>
      <c r="M371" s="41"/>
      <c r="N371" s="59"/>
      <c r="O371" s="41"/>
      <c r="P371" s="13"/>
      <c r="Q371" s="33">
        <v>0</v>
      </c>
      <c r="R371" s="41"/>
      <c r="S371" s="85">
        <f t="shared" si="76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75"/>
        <v>Boutique[...]</v>
      </c>
      <c r="B372" s="11" t="s">
        <v>114</v>
      </c>
      <c r="C372" s="29" t="s">
        <v>19</v>
      </c>
      <c r="D372" s="81"/>
      <c r="E372" s="13"/>
      <c r="F372" s="30">
        <v>0</v>
      </c>
      <c r="G372" s="83"/>
      <c r="H372" s="13"/>
      <c r="I372" s="30"/>
      <c r="J372" s="41"/>
      <c r="K372" s="13"/>
      <c r="L372" s="33">
        <v>0</v>
      </c>
      <c r="M372" s="41"/>
      <c r="N372" s="59"/>
      <c r="O372" s="41"/>
      <c r="P372" s="13"/>
      <c r="Q372" s="33">
        <v>0</v>
      </c>
      <c r="R372" s="41"/>
      <c r="S372" s="85">
        <f t="shared" si="76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75"/>
        <v>BoutiqueSalaires en absences</v>
      </c>
      <c r="B373" s="11" t="s">
        <v>114</v>
      </c>
      <c r="C373" s="103" t="s">
        <v>44</v>
      </c>
      <c r="D373" s="81"/>
      <c r="E373" s="13"/>
      <c r="F373" s="22">
        <v>0</v>
      </c>
      <c r="G373" s="83"/>
      <c r="H373" s="13"/>
      <c r="I373" s="22"/>
      <c r="J373" s="41"/>
      <c r="K373" s="13"/>
      <c r="L373" s="22">
        <v>0</v>
      </c>
      <c r="M373" s="41"/>
      <c r="N373" s="59"/>
      <c r="O373" s="41"/>
      <c r="P373" s="13"/>
      <c r="Q373" s="22">
        <v>0</v>
      </c>
      <c r="R373" s="41"/>
      <c r="S373" s="85">
        <f t="shared" si="76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75"/>
        <v>BoutiqueDéduction à la source</v>
      </c>
      <c r="B374" s="11" t="s">
        <v>114</v>
      </c>
      <c r="C374" s="102" t="s">
        <v>45</v>
      </c>
      <c r="D374" s="104"/>
      <c r="E374" s="105"/>
      <c r="F374" s="30">
        <v>0</v>
      </c>
      <c r="G374" s="106"/>
      <c r="H374" s="105"/>
      <c r="I374" s="30"/>
      <c r="J374" s="107"/>
      <c r="K374" s="105"/>
      <c r="L374" s="33">
        <v>0</v>
      </c>
      <c r="M374" s="107"/>
      <c r="N374" s="109"/>
      <c r="O374" s="107"/>
      <c r="P374" s="105"/>
      <c r="Q374" s="33">
        <v>0</v>
      </c>
      <c r="R374" s="107"/>
      <c r="S374" s="110">
        <f t="shared" si="76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75"/>
        <v>BoutiqueBénéfices marginaux</v>
      </c>
      <c r="B375" s="11" t="s">
        <v>114</v>
      </c>
      <c r="C375" s="102" t="s">
        <v>46</v>
      </c>
      <c r="D375" s="81"/>
      <c r="E375" s="13"/>
      <c r="F375" s="30">
        <v>0</v>
      </c>
      <c r="G375" s="83"/>
      <c r="H375" s="13"/>
      <c r="I375" s="30"/>
      <c r="J375" s="41"/>
      <c r="K375" s="13"/>
      <c r="L375" s="33">
        <v>0</v>
      </c>
      <c r="M375" s="41"/>
      <c r="N375" s="59"/>
      <c r="O375" s="41"/>
      <c r="P375" s="13"/>
      <c r="Q375" s="33">
        <v>0</v>
      </c>
      <c r="R375" s="41"/>
      <c r="S375" s="85">
        <f t="shared" si="76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75"/>
        <v>BoutiqueCsst</v>
      </c>
      <c r="B376" s="11" t="s">
        <v>114</v>
      </c>
      <c r="C376" s="102" t="s">
        <v>47</v>
      </c>
      <c r="D376" s="81"/>
      <c r="E376" s="13"/>
      <c r="F376" s="30">
        <v>0</v>
      </c>
      <c r="G376" s="83"/>
      <c r="H376" s="13"/>
      <c r="I376" s="30"/>
      <c r="J376" s="41"/>
      <c r="K376" s="13"/>
      <c r="L376" s="33">
        <v>0</v>
      </c>
      <c r="M376" s="41"/>
      <c r="N376" s="59"/>
      <c r="O376" s="41"/>
      <c r="P376" s="13"/>
      <c r="Q376" s="33">
        <v>0</v>
      </c>
      <c r="R376" s="41"/>
      <c r="S376" s="85">
        <f t="shared" si="76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75"/>
        <v>Boutique[...]</v>
      </c>
      <c r="B377" s="11" t="s">
        <v>114</v>
      </c>
      <c r="C377" s="29" t="s">
        <v>19</v>
      </c>
      <c r="D377" s="87"/>
      <c r="E377" s="111"/>
      <c r="F377" s="30">
        <v>0</v>
      </c>
      <c r="G377" s="89"/>
      <c r="H377" s="111"/>
      <c r="I377" s="30"/>
      <c r="J377" s="23"/>
      <c r="K377" s="111"/>
      <c r="L377" s="33">
        <v>0</v>
      </c>
      <c r="M377" s="23"/>
      <c r="N377" s="91"/>
      <c r="O377" s="23"/>
      <c r="P377" s="111"/>
      <c r="Q377" s="33">
        <v>0</v>
      </c>
      <c r="R377" s="23"/>
      <c r="S377" s="92">
        <f t="shared" si="76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75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76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75"/>
        <v>BoutiquePublicité 2</v>
      </c>
      <c r="B379" s="11" t="s">
        <v>114</v>
      </c>
      <c r="C379" s="210" t="s">
        <v>49</v>
      </c>
      <c r="D379" s="81"/>
      <c r="E379" s="13"/>
      <c r="F379" s="30">
        <v>0</v>
      </c>
      <c r="G379" s="83"/>
      <c r="H379" s="13"/>
      <c r="I379" s="30"/>
      <c r="J379" s="41"/>
      <c r="K379" s="13"/>
      <c r="L379" s="33">
        <v>0</v>
      </c>
      <c r="M379" s="41"/>
      <c r="N379" s="59"/>
      <c r="O379" s="41"/>
      <c r="P379" s="13"/>
      <c r="Q379" s="33">
        <v>0</v>
      </c>
      <c r="R379" s="41"/>
      <c r="S379" s="85">
        <f t="shared" si="76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75"/>
        <v>BoutiqueService gratuit 2</v>
      </c>
      <c r="B380" s="11" t="s">
        <v>114</v>
      </c>
      <c r="C380" s="102" t="s">
        <v>50</v>
      </c>
      <c r="D380" s="81"/>
      <c r="E380" s="13"/>
      <c r="F380" s="30">
        <v>0</v>
      </c>
      <c r="G380" s="83"/>
      <c r="H380" s="13"/>
      <c r="I380" s="30"/>
      <c r="J380" s="41"/>
      <c r="K380" s="13"/>
      <c r="L380" s="33">
        <v>0</v>
      </c>
      <c r="M380" s="41"/>
      <c r="N380" s="59"/>
      <c r="O380" s="41"/>
      <c r="P380" s="13"/>
      <c r="Q380" s="33">
        <v>0</v>
      </c>
      <c r="R380" s="41"/>
      <c r="S380" s="85">
        <f t="shared" si="76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75"/>
        <v>BoutiqueFrais véhicules de cie</v>
      </c>
      <c r="B381" s="11" t="s">
        <v>114</v>
      </c>
      <c r="C381" s="103" t="s">
        <v>51</v>
      </c>
      <c r="D381" s="87"/>
      <c r="E381" s="111"/>
      <c r="F381" s="22">
        <v>0</v>
      </c>
      <c r="G381" s="89"/>
      <c r="H381" s="111"/>
      <c r="I381" s="22"/>
      <c r="J381" s="23"/>
      <c r="K381" s="111"/>
      <c r="L381" s="22">
        <v>0</v>
      </c>
      <c r="M381" s="23"/>
      <c r="N381" s="91"/>
      <c r="O381" s="23"/>
      <c r="P381" s="111"/>
      <c r="Q381" s="22">
        <v>0</v>
      </c>
      <c r="R381" s="23"/>
      <c r="S381" s="92">
        <f t="shared" si="76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75"/>
        <v>BoutiqueInformatique</v>
      </c>
      <c r="B382" s="11" t="s">
        <v>114</v>
      </c>
      <c r="C382" s="102" t="s">
        <v>52</v>
      </c>
      <c r="D382" s="81"/>
      <c r="E382" s="13"/>
      <c r="F382" s="30">
        <v>0</v>
      </c>
      <c r="G382" s="83"/>
      <c r="H382" s="13"/>
      <c r="I382" s="30"/>
      <c r="J382" s="41"/>
      <c r="K382" s="13"/>
      <c r="L382" s="33">
        <v>0</v>
      </c>
      <c r="M382" s="41"/>
      <c r="N382" s="59"/>
      <c r="O382" s="41"/>
      <c r="P382" s="13"/>
      <c r="Q382" s="33">
        <v>0</v>
      </c>
      <c r="R382" s="41"/>
      <c r="S382" s="85">
        <f t="shared" si="76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75"/>
        <v>BoutiqueFrais de déplacement</v>
      </c>
      <c r="B383" s="11" t="s">
        <v>114</v>
      </c>
      <c r="C383" s="102" t="s">
        <v>53</v>
      </c>
      <c r="D383" s="81"/>
      <c r="E383" s="13"/>
      <c r="F383" s="30">
        <v>0</v>
      </c>
      <c r="G383" s="83"/>
      <c r="H383" s="13"/>
      <c r="I383" s="30"/>
      <c r="J383" s="41"/>
      <c r="K383" s="13"/>
      <c r="L383" s="33">
        <v>0</v>
      </c>
      <c r="M383" s="41"/>
      <c r="N383" s="59"/>
      <c r="O383" s="41"/>
      <c r="P383" s="13"/>
      <c r="Q383" s="33">
        <v>0</v>
      </c>
      <c r="R383" s="41"/>
      <c r="S383" s="85">
        <f t="shared" si="76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75"/>
        <v>BoutiqueServices extérieurs</v>
      </c>
      <c r="B384" s="11" t="s">
        <v>114</v>
      </c>
      <c r="C384" s="102" t="s">
        <v>54</v>
      </c>
      <c r="D384" s="87"/>
      <c r="E384" s="111"/>
      <c r="F384" s="22">
        <v>0</v>
      </c>
      <c r="G384" s="89"/>
      <c r="H384" s="111"/>
      <c r="I384" s="22"/>
      <c r="J384" s="23"/>
      <c r="K384" s="111"/>
      <c r="L384" s="22">
        <v>0</v>
      </c>
      <c r="M384" s="23"/>
      <c r="N384" s="91"/>
      <c r="O384" s="23"/>
      <c r="P384" s="111"/>
      <c r="Q384" s="22">
        <v>0</v>
      </c>
      <c r="R384" s="23"/>
      <c r="S384" s="92">
        <f t="shared" si="76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75"/>
        <v>BoutiqueFournitures autres</v>
      </c>
      <c r="B385" s="11" t="s">
        <v>114</v>
      </c>
      <c r="C385" s="210" t="s">
        <v>55</v>
      </c>
      <c r="D385" s="81"/>
      <c r="E385" s="13"/>
      <c r="F385" s="30">
        <v>0</v>
      </c>
      <c r="G385" s="83"/>
      <c r="H385" s="13"/>
      <c r="I385" s="30"/>
      <c r="J385" s="41"/>
      <c r="K385" s="13"/>
      <c r="L385" s="33">
        <v>0</v>
      </c>
      <c r="M385" s="41"/>
      <c r="N385" s="59"/>
      <c r="O385" s="41"/>
      <c r="P385" s="13"/>
      <c r="Q385" s="33">
        <v>0</v>
      </c>
      <c r="R385" s="41"/>
      <c r="S385" s="85">
        <f t="shared" si="76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75"/>
        <v>BoutiqueUniformes</v>
      </c>
      <c r="B386" s="11" t="s">
        <v>114</v>
      </c>
      <c r="C386" s="102" t="s">
        <v>56</v>
      </c>
      <c r="D386" s="81"/>
      <c r="E386" s="13"/>
      <c r="F386" s="30">
        <v>0</v>
      </c>
      <c r="G386" s="83"/>
      <c r="H386" s="13"/>
      <c r="I386" s="30"/>
      <c r="J386" s="41"/>
      <c r="K386" s="13"/>
      <c r="L386" s="33">
        <v>0</v>
      </c>
      <c r="M386" s="41"/>
      <c r="N386" s="59"/>
      <c r="O386" s="41"/>
      <c r="P386" s="13"/>
      <c r="Q386" s="33">
        <v>0</v>
      </c>
      <c r="R386" s="41"/>
      <c r="S386" s="85">
        <f t="shared" si="76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75"/>
        <v>BoutiquePapeterie</v>
      </c>
      <c r="B387" s="11" t="s">
        <v>114</v>
      </c>
      <c r="C387" s="102" t="s">
        <v>57</v>
      </c>
      <c r="D387" s="81"/>
      <c r="E387" s="13"/>
      <c r="F387" s="30">
        <v>0</v>
      </c>
      <c r="G387" s="83"/>
      <c r="H387" s="13"/>
      <c r="I387" s="30"/>
      <c r="J387" s="41"/>
      <c r="K387" s="13"/>
      <c r="L387" s="33">
        <v>0</v>
      </c>
      <c r="M387" s="41"/>
      <c r="N387" s="59"/>
      <c r="O387" s="41"/>
      <c r="P387" s="13"/>
      <c r="Q387" s="33">
        <v>0</v>
      </c>
      <c r="R387" s="41"/>
      <c r="S387" s="85">
        <f t="shared" si="76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75"/>
        <v>BoutiqueTéléphone</v>
      </c>
      <c r="B388" s="11" t="s">
        <v>114</v>
      </c>
      <c r="C388" s="102" t="s">
        <v>58</v>
      </c>
      <c r="D388" s="81"/>
      <c r="E388" s="13"/>
      <c r="F388" s="30">
        <v>0</v>
      </c>
      <c r="G388" s="83"/>
      <c r="H388" s="13"/>
      <c r="I388" s="30"/>
      <c r="J388" s="41"/>
      <c r="K388" s="13"/>
      <c r="L388" s="33">
        <v>0</v>
      </c>
      <c r="M388" s="41"/>
      <c r="N388" s="59"/>
      <c r="O388" s="41"/>
      <c r="P388" s="13"/>
      <c r="Q388" s="33">
        <v>0</v>
      </c>
      <c r="R388" s="41"/>
      <c r="S388" s="85">
        <f t="shared" si="76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75"/>
        <v>BoutiqueFrais postaux</v>
      </c>
      <c r="B389" s="11" t="s">
        <v>114</v>
      </c>
      <c r="C389" s="102" t="s">
        <v>59</v>
      </c>
      <c r="D389" s="81"/>
      <c r="E389" s="13"/>
      <c r="F389" s="30">
        <v>0</v>
      </c>
      <c r="G389" s="83"/>
      <c r="H389" s="13"/>
      <c r="I389" s="30"/>
      <c r="J389" s="41"/>
      <c r="K389" s="13"/>
      <c r="L389" s="33">
        <v>0</v>
      </c>
      <c r="M389" s="41"/>
      <c r="N389" s="59"/>
      <c r="O389" s="41"/>
      <c r="P389" s="13"/>
      <c r="Q389" s="33">
        <v>0</v>
      </c>
      <c r="R389" s="41"/>
      <c r="S389" s="85">
        <f t="shared" si="76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75"/>
        <v>BoutiqueDivers</v>
      </c>
      <c r="B390" s="11" t="s">
        <v>114</v>
      </c>
      <c r="C390" s="102" t="s">
        <v>60</v>
      </c>
      <c r="D390" s="81"/>
      <c r="E390" s="13"/>
      <c r="F390" s="30">
        <v>0</v>
      </c>
      <c r="G390" s="83"/>
      <c r="H390" s="13"/>
      <c r="I390" s="30"/>
      <c r="J390" s="41"/>
      <c r="K390" s="13"/>
      <c r="L390" s="33">
        <v>0</v>
      </c>
      <c r="M390" s="41"/>
      <c r="N390" s="59"/>
      <c r="O390" s="41"/>
      <c r="P390" s="13"/>
      <c r="Q390" s="33">
        <v>0</v>
      </c>
      <c r="R390" s="41"/>
      <c r="S390" s="85">
        <f t="shared" si="76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75"/>
        <v>BoutiqueFormation</v>
      </c>
      <c r="B391" s="11" t="s">
        <v>114</v>
      </c>
      <c r="C391" s="102" t="s">
        <v>61</v>
      </c>
      <c r="D391" s="81"/>
      <c r="E391" s="13"/>
      <c r="F391" s="30">
        <v>0</v>
      </c>
      <c r="G391" s="83"/>
      <c r="H391" s="13"/>
      <c r="I391" s="30"/>
      <c r="J391" s="41"/>
      <c r="K391" s="13"/>
      <c r="L391" s="33">
        <v>0</v>
      </c>
      <c r="M391" s="41"/>
      <c r="N391" s="59"/>
      <c r="O391" s="41"/>
      <c r="P391" s="13"/>
      <c r="Q391" s="33">
        <v>0</v>
      </c>
      <c r="R391" s="41"/>
      <c r="S391" s="85">
        <f t="shared" si="76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75"/>
        <v>BoutiqueFrais bancaires</v>
      </c>
      <c r="B392" s="11" t="s">
        <v>114</v>
      </c>
      <c r="C392" s="102" t="s">
        <v>62</v>
      </c>
      <c r="D392" s="81"/>
      <c r="E392" s="13"/>
      <c r="F392" s="30">
        <v>0</v>
      </c>
      <c r="G392" s="83"/>
      <c r="H392" s="13"/>
      <c r="I392" s="30"/>
      <c r="J392" s="41"/>
      <c r="K392" s="13"/>
      <c r="L392" s="33">
        <v>0</v>
      </c>
      <c r="M392" s="41"/>
      <c r="N392" s="59"/>
      <c r="O392" s="41"/>
      <c r="P392" s="13"/>
      <c r="Q392" s="33">
        <v>0</v>
      </c>
      <c r="R392" s="41"/>
      <c r="S392" s="85">
        <f t="shared" si="76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75"/>
        <v>Boutique[...]</v>
      </c>
      <c r="B393" s="11" t="s">
        <v>114</v>
      </c>
      <c r="C393" s="102" t="s">
        <v>19</v>
      </c>
      <c r="D393" s="81"/>
      <c r="E393" s="13"/>
      <c r="F393" s="30">
        <v>0</v>
      </c>
      <c r="G393" s="83"/>
      <c r="H393" s="13"/>
      <c r="I393" s="30"/>
      <c r="J393" s="41"/>
      <c r="K393" s="13"/>
      <c r="L393" s="33">
        <v>0</v>
      </c>
      <c r="M393" s="41"/>
      <c r="N393" s="59"/>
      <c r="O393" s="41"/>
      <c r="P393" s="13"/>
      <c r="Q393" s="33">
        <v>0</v>
      </c>
      <c r="R393" s="41"/>
      <c r="S393" s="85">
        <f t="shared" si="76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75"/>
        <v>Boutique[...]</v>
      </c>
      <c r="B394" s="11" t="s">
        <v>114</v>
      </c>
      <c r="C394" s="102" t="s">
        <v>19</v>
      </c>
      <c r="D394" s="81"/>
      <c r="E394" s="13"/>
      <c r="F394" s="30">
        <v>0</v>
      </c>
      <c r="G394" s="83"/>
      <c r="H394" s="13"/>
      <c r="I394" s="30"/>
      <c r="J394" s="41"/>
      <c r="K394" s="13"/>
      <c r="L394" s="33">
        <v>0</v>
      </c>
      <c r="M394" s="41"/>
      <c r="N394" s="59"/>
      <c r="O394" s="41"/>
      <c r="P394" s="13"/>
      <c r="Q394" s="33">
        <v>0</v>
      </c>
      <c r="R394" s="41"/>
      <c r="S394" s="85">
        <f t="shared" si="76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75"/>
        <v>Boutique[...]</v>
      </c>
      <c r="B395" s="11" t="s">
        <v>114</v>
      </c>
      <c r="C395" s="102" t="s">
        <v>19</v>
      </c>
      <c r="D395" s="87"/>
      <c r="E395" s="111"/>
      <c r="F395" s="30">
        <v>0</v>
      </c>
      <c r="G395" s="89"/>
      <c r="H395" s="111"/>
      <c r="I395" s="30"/>
      <c r="J395" s="23"/>
      <c r="K395" s="111"/>
      <c r="L395" s="33">
        <v>0</v>
      </c>
      <c r="M395" s="23"/>
      <c r="N395" s="91"/>
      <c r="O395" s="23"/>
      <c r="P395" s="111"/>
      <c r="Q395" s="33">
        <v>0</v>
      </c>
      <c r="R395" s="23"/>
      <c r="S395" s="92">
        <f t="shared" si="76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74652.347913554622</v>
      </c>
      <c r="G402" s="13"/>
      <c r="H402" s="13"/>
      <c r="I402" s="13"/>
      <c r="J402" s="13"/>
      <c r="K402" s="13"/>
      <c r="L402" s="82">
        <f>L354+L290+L234</f>
        <v>109847.93000000001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1.4714598143276205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Septembre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13" t="s">
        <v>117</v>
      </c>
      <c r="Y405" s="511"/>
      <c r="Z405" s="514"/>
      <c r="AA405" s="510"/>
      <c r="AB405" s="511"/>
      <c r="AC405" s="514"/>
      <c r="AD405" s="510" t="s">
        <v>7</v>
      </c>
      <c r="AE405" s="511"/>
      <c r="AF405" s="514"/>
      <c r="AG405" s="510" t="s">
        <v>212</v>
      </c>
      <c r="AH405" s="511"/>
      <c r="AI405" s="514"/>
      <c r="AJ405" s="510" t="s">
        <v>118</v>
      </c>
      <c r="AK405" s="511"/>
      <c r="AL405" s="511"/>
      <c r="AM405" s="510" t="s">
        <v>119</v>
      </c>
      <c r="AN405" s="511"/>
      <c r="AO405" s="512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85" si="77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77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5279923.9577637324</v>
      </c>
      <c r="AA407" s="261"/>
      <c r="AB407" s="261"/>
      <c r="AC407" s="262"/>
      <c r="AD407" s="263"/>
      <c r="AE407" s="264"/>
      <c r="AF407" s="264">
        <f>L5+L93+K195+K251+J315+J363</f>
        <v>5343849.8500000006</v>
      </c>
      <c r="AG407" s="263"/>
      <c r="AH407" s="264"/>
      <c r="AI407" s="265"/>
      <c r="AJ407" s="263"/>
      <c r="AK407" s="264"/>
      <c r="AL407" s="264">
        <f>Q5+Q93+P195+P251+O315+O363</f>
        <v>2670881.0499999998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77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496853.21295836649</v>
      </c>
      <c r="AA408" s="269"/>
      <c r="AB408" s="269"/>
      <c r="AC408" s="270"/>
      <c r="AD408" s="271"/>
      <c r="AE408" s="272"/>
      <c r="AF408" s="272">
        <f>L27+L109+L195+L251+L315+L363</f>
        <v>490146.64000000013</v>
      </c>
      <c r="AG408" s="271"/>
      <c r="AH408" s="272">
        <f>AF408-Z408</f>
        <v>-6706.5729583663633</v>
      </c>
      <c r="AI408" s="273">
        <f>AH408/Z408</f>
        <v>-1.3498097191389877E-2</v>
      </c>
      <c r="AJ408" s="271">
        <f>+AL408/AL407</f>
        <v>0.11929480348815984</v>
      </c>
      <c r="AK408" s="272"/>
      <c r="AL408" s="272">
        <f>Q27+Q109+Q195+Q251+Q315+Q363</f>
        <v>318622.23</v>
      </c>
      <c r="AM408" s="274"/>
      <c r="AN408" s="272">
        <f>AF408-AL408</f>
        <v>171524.41000000015</v>
      </c>
      <c r="AO408" s="275">
        <f>IF(AL408=0,0,AN408/AL408)</f>
        <v>0.53833158471083498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77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77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78">Z410/(D$13+D$97)</f>
        <v>1038.7059736966414</v>
      </c>
      <c r="Z410" s="278">
        <f t="shared" ref="Z410:Z416" si="79">+SUMIF($C:$C,$V410,F:F)</f>
        <v>46741.768816348864</v>
      </c>
      <c r="AA410" s="277"/>
      <c r="AB410" s="285"/>
      <c r="AC410" s="278"/>
      <c r="AD410" s="286"/>
      <c r="AE410" s="285">
        <f t="shared" ref="AE410:AE415" si="80">IF(AF410=0,0,AF410/(J$13+J$97))</f>
        <v>1142.2608695652175</v>
      </c>
      <c r="AF410" s="278">
        <f t="shared" ref="AF410:AF416" si="81">+SUMIF($C:$C,$V410,L:L)</f>
        <v>52544</v>
      </c>
      <c r="AG410" s="279">
        <f t="shared" ref="AG410:AH425" si="82">AE410-Y410</f>
        <v>103.55489586857607</v>
      </c>
      <c r="AH410" s="280">
        <f t="shared" si="82"/>
        <v>5802.2311836511362</v>
      </c>
      <c r="AI410" s="281">
        <f t="shared" ref="AI410:AI419" si="83">IF(Z410=0,0,AH410/Z410)</f>
        <v>0.1241337529704629</v>
      </c>
      <c r="AJ410" s="286"/>
      <c r="AK410" s="280">
        <f t="shared" ref="AK410:AK419" si="84">AL410/(O$13+O$97)</f>
        <v>928.61954545454546</v>
      </c>
      <c r="AL410" s="278">
        <f t="shared" ref="AL410:AL415" si="85">+SUMIF($C:$C,$V410,Q:Q)</f>
        <v>20429.63</v>
      </c>
      <c r="AM410" s="282">
        <f t="shared" ref="AM410:AM415" si="86">AE410-Y410</f>
        <v>103.55489586857607</v>
      </c>
      <c r="AN410" s="280">
        <f t="shared" ref="AN410:AN415" si="87">AF410-AL410</f>
        <v>32114.37</v>
      </c>
      <c r="AO410" s="287">
        <f t="shared" ref="AO410:AO432" si="88">IF(AL410=0,0,AN410/AL410)</f>
        <v>1.571950642277907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77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78"/>
        <v>501.86666666666667</v>
      </c>
      <c r="Z411" s="262">
        <f t="shared" si="79"/>
        <v>22584</v>
      </c>
      <c r="AA411" s="261"/>
      <c r="AB411" s="289"/>
      <c r="AC411" s="262"/>
      <c r="AD411" s="290"/>
      <c r="AE411" s="289">
        <f t="shared" si="80"/>
        <v>159.535</v>
      </c>
      <c r="AF411" s="262">
        <f t="shared" si="81"/>
        <v>7338.61</v>
      </c>
      <c r="AG411" s="263">
        <f t="shared" si="82"/>
        <v>-342.33166666666671</v>
      </c>
      <c r="AH411" s="264">
        <f t="shared" si="82"/>
        <v>-15245.39</v>
      </c>
      <c r="AI411" s="291">
        <f t="shared" si="83"/>
        <v>-0.67505269217144881</v>
      </c>
      <c r="AJ411" s="290"/>
      <c r="AK411" s="264">
        <f t="shared" si="84"/>
        <v>477.0559090909091</v>
      </c>
      <c r="AL411" s="262">
        <f t="shared" si="85"/>
        <v>10495.23</v>
      </c>
      <c r="AM411" s="266">
        <f t="shared" si="86"/>
        <v>-342.33166666666671</v>
      </c>
      <c r="AN411" s="264">
        <f t="shared" si="87"/>
        <v>-3156.62</v>
      </c>
      <c r="AO411" s="292">
        <f t="shared" si="88"/>
        <v>-0.30076711039205428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77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78"/>
        <v>118.22222222222223</v>
      </c>
      <c r="Z412" s="278">
        <f t="shared" si="79"/>
        <v>5320</v>
      </c>
      <c r="AA412" s="277"/>
      <c r="AB412" s="285"/>
      <c r="AC412" s="278"/>
      <c r="AD412" s="286"/>
      <c r="AE412" s="285">
        <f t="shared" si="80"/>
        <v>73.463260869565218</v>
      </c>
      <c r="AF412" s="278">
        <f t="shared" si="81"/>
        <v>3379.31</v>
      </c>
      <c r="AG412" s="279">
        <f t="shared" si="82"/>
        <v>-44.75896135265701</v>
      </c>
      <c r="AH412" s="280">
        <f t="shared" si="82"/>
        <v>-1940.69</v>
      </c>
      <c r="AI412" s="281">
        <f t="shared" si="83"/>
        <v>-0.36479135338345864</v>
      </c>
      <c r="AJ412" s="286"/>
      <c r="AK412" s="280">
        <f t="shared" si="84"/>
        <v>223.70136363636365</v>
      </c>
      <c r="AL412" s="278">
        <f t="shared" si="85"/>
        <v>4921.43</v>
      </c>
      <c r="AM412" s="282">
        <f t="shared" si="86"/>
        <v>-44.75896135265701</v>
      </c>
      <c r="AN412" s="280">
        <f t="shared" si="87"/>
        <v>-1542.1200000000003</v>
      </c>
      <c r="AO412" s="287">
        <f t="shared" si="88"/>
        <v>-0.31334794968129187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77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78"/>
        <v>54.111111111111114</v>
      </c>
      <c r="Z413" s="278">
        <f t="shared" si="79"/>
        <v>2435</v>
      </c>
      <c r="AA413" s="277"/>
      <c r="AB413" s="285"/>
      <c r="AC413" s="278"/>
      <c r="AD413" s="286"/>
      <c r="AE413" s="285">
        <f t="shared" si="80"/>
        <v>86.494130434782605</v>
      </c>
      <c r="AF413" s="278">
        <f t="shared" si="81"/>
        <v>3978.73</v>
      </c>
      <c r="AG413" s="279">
        <f t="shared" si="82"/>
        <v>32.38301932367149</v>
      </c>
      <c r="AH413" s="280">
        <f t="shared" si="82"/>
        <v>1543.73</v>
      </c>
      <c r="AI413" s="281">
        <f t="shared" si="83"/>
        <v>0.63397535934291582</v>
      </c>
      <c r="AJ413" s="286"/>
      <c r="AK413" s="280">
        <f t="shared" si="84"/>
        <v>6.6300000000000008</v>
      </c>
      <c r="AL413" s="278">
        <f t="shared" si="85"/>
        <v>145.86000000000001</v>
      </c>
      <c r="AM413" s="282">
        <f t="shared" si="86"/>
        <v>32.38301932367149</v>
      </c>
      <c r="AN413" s="280">
        <f t="shared" si="87"/>
        <v>3832.87</v>
      </c>
      <c r="AO413" s="293">
        <f t="shared" si="88"/>
        <v>26.277732071849716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77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78"/>
        <v>88.533333333333331</v>
      </c>
      <c r="Z414" s="262">
        <f t="shared" si="79"/>
        <v>3984</v>
      </c>
      <c r="AA414" s="261"/>
      <c r="AB414" s="289"/>
      <c r="AC414" s="262"/>
      <c r="AD414" s="290"/>
      <c r="AE414" s="289">
        <f t="shared" si="80"/>
        <v>95.638695652173922</v>
      </c>
      <c r="AF414" s="262">
        <f t="shared" si="81"/>
        <v>4399.38</v>
      </c>
      <c r="AG414" s="263">
        <f t="shared" si="82"/>
        <v>7.1053623188405908</v>
      </c>
      <c r="AH414" s="264">
        <f t="shared" si="82"/>
        <v>415.38000000000011</v>
      </c>
      <c r="AI414" s="291">
        <f t="shared" si="83"/>
        <v>0.10426204819277111</v>
      </c>
      <c r="AJ414" s="290"/>
      <c r="AK414" s="264">
        <f t="shared" si="84"/>
        <v>227.27272727272728</v>
      </c>
      <c r="AL414" s="262">
        <f t="shared" si="85"/>
        <v>5000</v>
      </c>
      <c r="AM414" s="266">
        <f t="shared" si="86"/>
        <v>7.1053623188405908</v>
      </c>
      <c r="AN414" s="264">
        <f t="shared" si="87"/>
        <v>-600.61999999999989</v>
      </c>
      <c r="AO414" s="292">
        <f t="shared" si="88"/>
        <v>-0.12012399999999998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77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78"/>
        <v>205.08444444444442</v>
      </c>
      <c r="Z415" s="278">
        <f t="shared" si="79"/>
        <v>9228.7999999999993</v>
      </c>
      <c r="AA415" s="281"/>
      <c r="AB415" s="285"/>
      <c r="AC415" s="278"/>
      <c r="AD415" s="286"/>
      <c r="AE415" s="285">
        <f t="shared" si="80"/>
        <v>348.34434782608696</v>
      </c>
      <c r="AF415" s="278">
        <f t="shared" si="81"/>
        <v>16023.84</v>
      </c>
      <c r="AG415" s="279">
        <f t="shared" si="82"/>
        <v>143.25990338164254</v>
      </c>
      <c r="AH415" s="280">
        <f t="shared" si="82"/>
        <v>6795.0400000000009</v>
      </c>
      <c r="AI415" s="281">
        <f t="shared" si="83"/>
        <v>0.73628640776699039</v>
      </c>
      <c r="AJ415" s="286"/>
      <c r="AK415" s="280">
        <f t="shared" si="84"/>
        <v>688.22727272727275</v>
      </c>
      <c r="AL415" s="278">
        <f t="shared" si="85"/>
        <v>15141</v>
      </c>
      <c r="AM415" s="282">
        <f t="shared" si="86"/>
        <v>143.25990338164254</v>
      </c>
      <c r="AN415" s="280">
        <f t="shared" si="87"/>
        <v>882.84000000000015</v>
      </c>
      <c r="AO415" s="287">
        <f t="shared" si="88"/>
        <v>5.8307905686546473E-2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18">
      <c r="A416" t="str">
        <f t="shared" si="77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78"/>
        <v>684.7012846213895</v>
      </c>
      <c r="Z416" s="278">
        <f t="shared" si="79"/>
        <v>30811.557807962527</v>
      </c>
      <c r="AA416" s="277"/>
      <c r="AB416" s="285"/>
      <c r="AC416" s="278"/>
      <c r="AD416" s="286"/>
      <c r="AE416" s="285">
        <f>IF(AF416=0,0,AF416/(J$13+J$13))</f>
        <v>480.2578125</v>
      </c>
      <c r="AF416" s="278">
        <f t="shared" si="81"/>
        <v>30736.5</v>
      </c>
      <c r="AG416" s="279">
        <f t="shared" si="82"/>
        <v>-204.4434721213895</v>
      </c>
      <c r="AH416" s="280">
        <f t="shared" si="82"/>
        <v>-75.057807962526567</v>
      </c>
      <c r="AI416" s="281">
        <f t="shared" si="83"/>
        <v>-2.436027689035886E-3</v>
      </c>
      <c r="AJ416" s="286"/>
      <c r="AK416" s="280">
        <f t="shared" si="84"/>
        <v>1140.5209090909091</v>
      </c>
      <c r="AL416" s="278">
        <f>IFERROR(SUMIF($C:$C,$V416,Q:Q),0)</f>
        <v>25091.46</v>
      </c>
      <c r="AM416" s="282">
        <f>AE416-Y416</f>
        <v>-204.4434721213895</v>
      </c>
      <c r="AN416" s="280">
        <f>AF416-AL416</f>
        <v>5645.0400000000009</v>
      </c>
      <c r="AO416" s="292">
        <f t="shared" si="88"/>
        <v>0.22497853851469787</v>
      </c>
      <c r="AP416" s="244"/>
      <c r="AQ416" s="470">
        <v>30736.5</v>
      </c>
      <c r="AR416" s="308">
        <f t="shared" ref="AR416" si="89">AQ416-AF416</f>
        <v>0</v>
      </c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77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78"/>
        <v>0</v>
      </c>
      <c r="Z417" s="278">
        <f>IFERROR(SUMIF($C:$C,$V417,F:F),0)</f>
        <v>0</v>
      </c>
      <c r="AA417" s="277"/>
      <c r="AB417" s="285"/>
      <c r="AC417" s="278"/>
      <c r="AD417" s="286"/>
      <c r="AE417" s="285">
        <f>IF(AF417=0,0,AF417/(J$13+J$13))</f>
        <v>0</v>
      </c>
      <c r="AF417" s="278">
        <f>IFERROR(SUMIF($C:$C,$V417,L:L),0)</f>
        <v>0</v>
      </c>
      <c r="AG417" s="279">
        <f t="shared" si="82"/>
        <v>0</v>
      </c>
      <c r="AH417" s="280">
        <f t="shared" si="82"/>
        <v>0</v>
      </c>
      <c r="AI417" s="281">
        <f t="shared" si="83"/>
        <v>0</v>
      </c>
      <c r="AJ417" s="286"/>
      <c r="AK417" s="280">
        <f t="shared" si="84"/>
        <v>0</v>
      </c>
      <c r="AL417" s="278">
        <f>IFERROR(SUMIF($C:$C,$V417,Q:Q),0)</f>
        <v>0</v>
      </c>
      <c r="AM417" s="282">
        <f>AE417-Y417</f>
        <v>0</v>
      </c>
      <c r="AN417" s="280">
        <f>AF417-AL417</f>
        <v>0</v>
      </c>
      <c r="AO417" s="287">
        <f t="shared" si="88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77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78"/>
        <v>0</v>
      </c>
      <c r="Z418" s="278">
        <f>IFERROR(SUMIF($C:$C,$V418,F:F),0)</f>
        <v>0</v>
      </c>
      <c r="AA418" s="277"/>
      <c r="AB418" s="285"/>
      <c r="AC418" s="278"/>
      <c r="AD418" s="286"/>
      <c r="AE418" s="285">
        <f>IF(AF418=0,0,AF418/(J$13+J$13))</f>
        <v>0</v>
      </c>
      <c r="AF418" s="278">
        <f>IFERROR(SUMIF($C:$C,$V418,L:L),0)</f>
        <v>0</v>
      </c>
      <c r="AG418" s="279">
        <f t="shared" si="82"/>
        <v>0</v>
      </c>
      <c r="AH418" s="280">
        <f t="shared" si="82"/>
        <v>0</v>
      </c>
      <c r="AI418" s="281">
        <f t="shared" si="83"/>
        <v>0</v>
      </c>
      <c r="AJ418" s="286"/>
      <c r="AK418" s="280">
        <f t="shared" si="84"/>
        <v>0</v>
      </c>
      <c r="AL418" s="278">
        <f>IFERROR(SUMIF($C:$C,$V418,Q:Q),0)</f>
        <v>0</v>
      </c>
      <c r="AM418" s="282">
        <f>AE418-Y418</f>
        <v>0</v>
      </c>
      <c r="AN418" s="280">
        <f>AF418-AL418</f>
        <v>0</v>
      </c>
      <c r="AO418" s="287">
        <f t="shared" si="88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77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78"/>
        <v>0</v>
      </c>
      <c r="Z419" s="278">
        <f>IFERROR(SUMIF($C:$C,$V419,F:F),0)</f>
        <v>0</v>
      </c>
      <c r="AA419" s="277"/>
      <c r="AB419" s="285"/>
      <c r="AC419" s="278"/>
      <c r="AD419" s="286"/>
      <c r="AE419" s="285">
        <f>IF(AF419=0,0,AF419/(J$13+J$13))</f>
        <v>0</v>
      </c>
      <c r="AF419" s="278">
        <f>IFERROR(SUMIF($C:$C,$V419,L:L),0)</f>
        <v>0</v>
      </c>
      <c r="AG419" s="279">
        <f t="shared" si="82"/>
        <v>0</v>
      </c>
      <c r="AH419" s="280">
        <f t="shared" si="82"/>
        <v>0</v>
      </c>
      <c r="AI419" s="281">
        <f t="shared" si="83"/>
        <v>0</v>
      </c>
      <c r="AJ419" s="286"/>
      <c r="AK419" s="280">
        <f t="shared" si="84"/>
        <v>0</v>
      </c>
      <c r="AL419" s="278">
        <f>IFERROR(SUMIF($C:$C,$V419,Q:Q),0)</f>
        <v>0</v>
      </c>
      <c r="AM419" s="282">
        <f>AE419-Y419</f>
        <v>0</v>
      </c>
      <c r="AN419" s="280">
        <f>AF419-AL419</f>
        <v>0</v>
      </c>
      <c r="AO419" s="287">
        <f t="shared" si="88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77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0.24374427590641207</v>
      </c>
      <c r="Y420" s="295"/>
      <c r="Z420" s="297">
        <f>SUM(Z410:Z419)</f>
        <v>121105.12662431139</v>
      </c>
      <c r="AA420" s="296"/>
      <c r="AB420" s="295"/>
      <c r="AC420" s="297"/>
      <c r="AD420" s="298">
        <f>AF420/AF408</f>
        <v>0.24156111730154869</v>
      </c>
      <c r="AE420" s="295"/>
      <c r="AF420" s="297">
        <f>SUM(AF410:AF419)</f>
        <v>118400.37</v>
      </c>
      <c r="AG420" s="299"/>
      <c r="AH420" s="300">
        <f t="shared" si="82"/>
        <v>-2704.7566243113979</v>
      </c>
      <c r="AI420" s="296">
        <f>AH420/Z420</f>
        <v>-2.2333956453404413E-2</v>
      </c>
      <c r="AJ420" s="298">
        <f>IF($AL$408=0,0,AL420/$AL$408)</f>
        <v>0.25492449161503894</v>
      </c>
      <c r="AK420" s="295"/>
      <c r="AL420" s="297">
        <f>SUM(AL410:AL419)</f>
        <v>81224.61</v>
      </c>
      <c r="AM420" s="301"/>
      <c r="AN420" s="300">
        <f t="shared" ref="AN420:AN432" si="90">AF420-AL420</f>
        <v>37175.759999999995</v>
      </c>
      <c r="AO420" s="275">
        <f t="shared" si="88"/>
        <v>0.45769084025149515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77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v>16917.624521072798</v>
      </c>
      <c r="AA421" s="277"/>
      <c r="AB421" s="277"/>
      <c r="AC421" s="278"/>
      <c r="AD421" s="286"/>
      <c r="AE421" s="285"/>
      <c r="AF421" s="278">
        <v>14988.439999999999</v>
      </c>
      <c r="AG421" s="279"/>
      <c r="AH421" s="280">
        <f t="shared" si="82"/>
        <v>-1929.1845210727988</v>
      </c>
      <c r="AI421" s="281">
        <f t="shared" ref="AI421:AI433" si="91">IF(Z421=0,0,AH421/Z421)</f>
        <v>-0.1140340074736724</v>
      </c>
      <c r="AJ421" s="286"/>
      <c r="AK421" s="277"/>
      <c r="AL421" s="278">
        <v>15408.03</v>
      </c>
      <c r="AM421" s="282"/>
      <c r="AN421" s="280">
        <f t="shared" si="90"/>
        <v>-419.59000000000196</v>
      </c>
      <c r="AO421" s="287">
        <f t="shared" si="88"/>
        <v>-2.7231904403093837E-2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77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92">+SUMIF($C:$C,$V422,F:F)</f>
        <v>34583.917333988684</v>
      </c>
      <c r="AA422" s="277"/>
      <c r="AB422" s="277"/>
      <c r="AC422" s="278"/>
      <c r="AD422" s="286"/>
      <c r="AE422" s="285"/>
      <c r="AF422" s="278">
        <f t="shared" ref="AF422:AF433" si="93">+SUMIF($C:$C,$V422,L:L)</f>
        <v>17377.8</v>
      </c>
      <c r="AG422" s="279"/>
      <c r="AH422" s="280">
        <f t="shared" si="82"/>
        <v>-17206.117333988685</v>
      </c>
      <c r="AI422" s="281">
        <f t="shared" si="91"/>
        <v>-0.4975178828882611</v>
      </c>
      <c r="AJ422" s="286"/>
      <c r="AK422" s="277"/>
      <c r="AL422" s="278">
        <f t="shared" ref="AL422:AL430" si="94">+SUMIF($C:$C,$V422,Q:Q)</f>
        <v>28708.019999999997</v>
      </c>
      <c r="AM422" s="282"/>
      <c r="AN422" s="280">
        <f t="shared" si="90"/>
        <v>-11330.219999999998</v>
      </c>
      <c r="AO422" s="287">
        <f t="shared" si="88"/>
        <v>-0.39467089684346041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77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92"/>
        <v>14815.188599490441</v>
      </c>
      <c r="AA423" s="261"/>
      <c r="AB423" s="261"/>
      <c r="AC423" s="262"/>
      <c r="AD423" s="290"/>
      <c r="AE423" s="289"/>
      <c r="AF423" s="262">
        <f t="shared" si="93"/>
        <v>8663.41</v>
      </c>
      <c r="AG423" s="263"/>
      <c r="AH423" s="264">
        <f t="shared" si="82"/>
        <v>-6151.7785994904407</v>
      </c>
      <c r="AI423" s="291">
        <f t="shared" si="91"/>
        <v>-0.4152345789038438</v>
      </c>
      <c r="AJ423" s="290"/>
      <c r="AK423" s="261"/>
      <c r="AL423" s="262">
        <f t="shared" si="94"/>
        <v>20684.649999999998</v>
      </c>
      <c r="AM423" s="266"/>
      <c r="AN423" s="264">
        <f t="shared" si="90"/>
        <v>-12021.239999999998</v>
      </c>
      <c r="AO423" s="267">
        <f t="shared" si="88"/>
        <v>-0.58116719403035577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77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92"/>
        <v>34071.160308955281</v>
      </c>
      <c r="AA424" s="277"/>
      <c r="AB424" s="277"/>
      <c r="AC424" s="278"/>
      <c r="AD424" s="286"/>
      <c r="AE424" s="285"/>
      <c r="AF424" s="278">
        <f t="shared" si="93"/>
        <v>20680.03</v>
      </c>
      <c r="AG424" s="279"/>
      <c r="AH424" s="280">
        <f t="shared" si="82"/>
        <v>-13391.130308955282</v>
      </c>
      <c r="AI424" s="281">
        <f t="shared" si="91"/>
        <v>-0.39303417281728298</v>
      </c>
      <c r="AJ424" s="286"/>
      <c r="AK424" s="277"/>
      <c r="AL424" s="278">
        <f t="shared" si="94"/>
        <v>21629.5</v>
      </c>
      <c r="AM424" s="282"/>
      <c r="AN424" s="280">
        <f t="shared" si="90"/>
        <v>-949.47000000000116</v>
      </c>
      <c r="AO424" s="287">
        <f t="shared" si="88"/>
        <v>-4.3896992533345718E-2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77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92"/>
        <v>15342.486590038312</v>
      </c>
      <c r="AA425" s="277"/>
      <c r="AB425" s="277"/>
      <c r="AC425" s="278"/>
      <c r="AD425" s="286"/>
      <c r="AE425" s="285"/>
      <c r="AF425" s="278">
        <f t="shared" si="93"/>
        <v>5661.54</v>
      </c>
      <c r="AG425" s="279"/>
      <c r="AH425" s="280">
        <f t="shared" si="82"/>
        <v>-9680.9465900383111</v>
      </c>
      <c r="AI425" s="281">
        <f t="shared" si="91"/>
        <v>-0.63098941186782787</v>
      </c>
      <c r="AJ425" s="286"/>
      <c r="AK425" s="277"/>
      <c r="AL425" s="278">
        <f t="shared" si="94"/>
        <v>14362.52</v>
      </c>
      <c r="AM425" s="282"/>
      <c r="AN425" s="280">
        <f t="shared" si="90"/>
        <v>-8700.98</v>
      </c>
      <c r="AO425" s="287">
        <f t="shared" si="88"/>
        <v>-0.60581151497091035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77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92"/>
        <v>0</v>
      </c>
      <c r="AA426" s="277"/>
      <c r="AB426" s="277"/>
      <c r="AC426" s="280"/>
      <c r="AD426" s="286"/>
      <c r="AE426" s="285"/>
      <c r="AF426" s="278">
        <f t="shared" si="93"/>
        <v>0</v>
      </c>
      <c r="AG426" s="279"/>
      <c r="AH426" s="280">
        <f t="shared" ref="AH426:AH458" si="95">AF426-Z426</f>
        <v>0</v>
      </c>
      <c r="AI426" s="281">
        <f t="shared" si="91"/>
        <v>0</v>
      </c>
      <c r="AJ426" s="286"/>
      <c r="AK426" s="277"/>
      <c r="AL426" s="278">
        <f t="shared" si="94"/>
        <v>0</v>
      </c>
      <c r="AM426" s="282"/>
      <c r="AN426" s="280">
        <f t="shared" si="90"/>
        <v>0</v>
      </c>
      <c r="AO426" s="287">
        <f t="shared" si="88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77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92"/>
        <v>0</v>
      </c>
      <c r="AA427" s="277"/>
      <c r="AB427" s="277"/>
      <c r="AC427" s="280"/>
      <c r="AD427" s="286"/>
      <c r="AE427" s="285"/>
      <c r="AF427" s="278">
        <f t="shared" si="93"/>
        <v>0</v>
      </c>
      <c r="AG427" s="279"/>
      <c r="AH427" s="280">
        <f t="shared" si="95"/>
        <v>0</v>
      </c>
      <c r="AI427" s="281">
        <f t="shared" si="91"/>
        <v>0</v>
      </c>
      <c r="AJ427" s="286"/>
      <c r="AK427" s="277"/>
      <c r="AL427" s="278">
        <f t="shared" si="94"/>
        <v>0</v>
      </c>
      <c r="AM427" s="282"/>
      <c r="AN427" s="280">
        <f t="shared" si="90"/>
        <v>0</v>
      </c>
      <c r="AO427" s="287">
        <f t="shared" si="88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77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92"/>
        <v>0</v>
      </c>
      <c r="AA428" s="277"/>
      <c r="AB428" s="277"/>
      <c r="AC428" s="280"/>
      <c r="AD428" s="286"/>
      <c r="AE428" s="285"/>
      <c r="AF428" s="278">
        <f t="shared" si="93"/>
        <v>0</v>
      </c>
      <c r="AG428" s="279"/>
      <c r="AH428" s="280">
        <f t="shared" si="95"/>
        <v>0</v>
      </c>
      <c r="AI428" s="281">
        <f t="shared" si="91"/>
        <v>0</v>
      </c>
      <c r="AJ428" s="286"/>
      <c r="AK428" s="277"/>
      <c r="AL428" s="278">
        <f t="shared" si="94"/>
        <v>0</v>
      </c>
      <c r="AM428" s="282"/>
      <c r="AN428" s="280">
        <f t="shared" si="90"/>
        <v>0</v>
      </c>
      <c r="AO428" s="287">
        <f t="shared" si="88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77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92"/>
        <v>31730.76703931309</v>
      </c>
      <c r="AA429" s="261"/>
      <c r="AB429" s="261"/>
      <c r="AC429" s="262"/>
      <c r="AD429" s="290"/>
      <c r="AE429" s="289"/>
      <c r="AF429" s="262">
        <f t="shared" si="93"/>
        <v>20102.28</v>
      </c>
      <c r="AG429" s="263"/>
      <c r="AH429" s="264">
        <f t="shared" si="95"/>
        <v>-11628.487039313091</v>
      </c>
      <c r="AI429" s="291">
        <f t="shared" si="91"/>
        <v>-0.36647355624608391</v>
      </c>
      <c r="AJ429" s="290"/>
      <c r="AK429" s="261"/>
      <c r="AL429" s="262">
        <f t="shared" si="94"/>
        <v>23886.720000000001</v>
      </c>
      <c r="AM429" s="266"/>
      <c r="AN429" s="264">
        <f t="shared" si="90"/>
        <v>-3784.4400000000023</v>
      </c>
      <c r="AO429" s="292">
        <f t="shared" si="88"/>
        <v>-0.15843280282935465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77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92"/>
        <v>28797.696740387328</v>
      </c>
      <c r="AA430" s="277"/>
      <c r="AB430" s="277"/>
      <c r="AC430" s="278"/>
      <c r="AD430" s="286"/>
      <c r="AE430" s="285"/>
      <c r="AF430" s="278">
        <f t="shared" si="93"/>
        <v>20364.989999999998</v>
      </c>
      <c r="AG430" s="279"/>
      <c r="AH430" s="280">
        <f t="shared" si="95"/>
        <v>-8432.7067403873298</v>
      </c>
      <c r="AI430" s="281">
        <f>IF(Z430=0,0,AH430/Z430)</f>
        <v>-0.29282573590549971</v>
      </c>
      <c r="AJ430" s="286"/>
      <c r="AK430" s="277"/>
      <c r="AL430" s="278">
        <f t="shared" si="94"/>
        <v>24666.699999999997</v>
      </c>
      <c r="AM430" s="282"/>
      <c r="AN430" s="280">
        <f t="shared" si="90"/>
        <v>-4301.7099999999991</v>
      </c>
      <c r="AO430" s="287">
        <f t="shared" si="88"/>
        <v>-0.17439341298187433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77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92"/>
        <v>21820.401650040909</v>
      </c>
      <c r="AA431" s="277"/>
      <c r="AB431" s="277"/>
      <c r="AC431" s="278"/>
      <c r="AD431" s="286"/>
      <c r="AE431" s="285"/>
      <c r="AF431" s="278">
        <f t="shared" si="93"/>
        <v>9819.4700000000012</v>
      </c>
      <c r="AG431" s="279"/>
      <c r="AH431" s="280">
        <f t="shared" si="95"/>
        <v>-12000.931650040908</v>
      </c>
      <c r="AI431" s="281">
        <f t="shared" si="91"/>
        <v>-0.5499867437141519</v>
      </c>
      <c r="AJ431" s="286"/>
      <c r="AK431" s="277"/>
      <c r="AL431" s="278">
        <f>IFERROR(SUMIF($C:$C,$V431,Q:Q),0)</f>
        <v>14496.53</v>
      </c>
      <c r="AM431" s="282"/>
      <c r="AN431" s="280">
        <f t="shared" si="90"/>
        <v>-4677.0599999999995</v>
      </c>
      <c r="AO431" s="287">
        <f t="shared" si="88"/>
        <v>-0.32263307150055903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77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92"/>
        <v>5879.529751162413</v>
      </c>
      <c r="AA432" s="277"/>
      <c r="AB432" s="277"/>
      <c r="AC432" s="278"/>
      <c r="AD432" s="286"/>
      <c r="AE432" s="285"/>
      <c r="AF432" s="278">
        <f t="shared" si="93"/>
        <v>3215.21</v>
      </c>
      <c r="AG432" s="279"/>
      <c r="AH432" s="280">
        <f t="shared" si="95"/>
        <v>-2664.319751162413</v>
      </c>
      <c r="AI432" s="304">
        <f t="shared" si="91"/>
        <v>-0.45315184443716156</v>
      </c>
      <c r="AJ432" s="286"/>
      <c r="AK432" s="277"/>
      <c r="AL432" s="278">
        <f>IFERROR(SUMIF($C:$C,$V432,Q:Q),0)</f>
        <v>3228.44</v>
      </c>
      <c r="AM432" s="282"/>
      <c r="AN432" s="280">
        <f t="shared" si="90"/>
        <v>-13.230000000000018</v>
      </c>
      <c r="AO432" s="292">
        <f t="shared" si="88"/>
        <v>-4.0979544300033506E-3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77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93"/>
        <v>0</v>
      </c>
      <c r="AG433" s="279"/>
      <c r="AH433" s="280">
        <f t="shared" si="95"/>
        <v>0</v>
      </c>
      <c r="AI433" s="281">
        <f t="shared" si="91"/>
        <v>0</v>
      </c>
      <c r="AJ433" s="286"/>
      <c r="AK433" s="277"/>
      <c r="AL433" s="278">
        <f>IFERROR(SUMIF($C:$C,$V433,Q:Q),0)</f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77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0.41050106392597657</v>
      </c>
      <c r="Y434" s="295"/>
      <c r="Z434" s="297">
        <f>SUM(Z421:Z433)</f>
        <v>203958.77253444926</v>
      </c>
      <c r="AA434" s="296"/>
      <c r="AB434" s="295"/>
      <c r="AC434" s="297"/>
      <c r="AD434" s="298">
        <f>AF434/AF408</f>
        <v>0.24660613811409574</v>
      </c>
      <c r="AE434" s="305"/>
      <c r="AF434" s="297">
        <f>SUM(AF421:AF433)</f>
        <v>120873.17</v>
      </c>
      <c r="AG434" s="306"/>
      <c r="AH434" s="300">
        <f t="shared" si="95"/>
        <v>-83085.602534449266</v>
      </c>
      <c r="AI434" s="296">
        <f>AH434/Z434</f>
        <v>-0.40736469190319258</v>
      </c>
      <c r="AJ434" s="298">
        <f>IF($AL$408=0,0,AL434/$AL$408)</f>
        <v>0.5243548449208959</v>
      </c>
      <c r="AK434" s="295"/>
      <c r="AL434" s="297">
        <f>SUM(AL421:AL433)</f>
        <v>167071.11000000002</v>
      </c>
      <c r="AM434" s="307"/>
      <c r="AN434" s="300">
        <f t="shared" ref="AN434:AN448" si="96">AF434-AL434</f>
        <v>-46197.940000000017</v>
      </c>
      <c r="AO434" s="275">
        <f>IF(AL434=0,0,AN434/AL434)</f>
        <v>-0.27651662815911149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77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97">+SUMIF($C:$C,$V435,F:F)</f>
        <v>2130.3036470116522</v>
      </c>
      <c r="AA435" s="310"/>
      <c r="AB435" s="310"/>
      <c r="AC435" s="311"/>
      <c r="AD435" s="312"/>
      <c r="AE435" s="313"/>
      <c r="AF435" s="311">
        <f t="shared" ref="AF435:AF452" si="98">+SUMIF($C:$C,$V435,L:L)</f>
        <v>2749.86</v>
      </c>
      <c r="AG435" s="312"/>
      <c r="AH435" s="314">
        <f t="shared" si="95"/>
        <v>619.55635298834795</v>
      </c>
      <c r="AI435" s="315">
        <f t="shared" ref="AI435:AI452" si="99">IF(Z435=0,0,AH435/Z435)</f>
        <v>0.29083006728052563</v>
      </c>
      <c r="AJ435" s="312"/>
      <c r="AK435" s="310"/>
      <c r="AL435" s="311">
        <f t="shared" ref="AL435:AL449" si="100">+SUMIF($C:$C,$V435,Q:Q)</f>
        <v>5561.41</v>
      </c>
      <c r="AM435" s="316"/>
      <c r="AN435" s="314">
        <f t="shared" si="96"/>
        <v>-2811.5499999999997</v>
      </c>
      <c r="AO435" s="283">
        <f t="shared" ref="AO435:AO448" si="101">IF(AL435=0,0,AN435/AL435)</f>
        <v>-0.50554625535610564</v>
      </c>
      <c r="AP435" s="244"/>
      <c r="AQ435" s="244"/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77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97"/>
        <v>4375</v>
      </c>
      <c r="AA436" s="277"/>
      <c r="AB436" s="277"/>
      <c r="AC436" s="278"/>
      <c r="AD436" s="286"/>
      <c r="AE436" s="285"/>
      <c r="AF436" s="278">
        <f t="shared" si="98"/>
        <v>8308.15</v>
      </c>
      <c r="AG436" s="279"/>
      <c r="AH436" s="280">
        <f t="shared" si="95"/>
        <v>3933.1499999999996</v>
      </c>
      <c r="AI436" s="281">
        <f t="shared" si="99"/>
        <v>0.89900571428571419</v>
      </c>
      <c r="AJ436" s="286"/>
      <c r="AK436" s="277"/>
      <c r="AL436" s="278">
        <f t="shared" si="100"/>
        <v>3210.97</v>
      </c>
      <c r="AM436" s="282"/>
      <c r="AN436" s="280">
        <f t="shared" si="96"/>
        <v>5097.18</v>
      </c>
      <c r="AO436" s="287">
        <f t="shared" si="101"/>
        <v>1.5874268523218842</v>
      </c>
      <c r="AP436" s="244"/>
      <c r="AQ436" s="244"/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77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97"/>
        <v>15077</v>
      </c>
      <c r="AA437" s="261"/>
      <c r="AB437" s="261"/>
      <c r="AC437" s="262"/>
      <c r="AD437" s="290"/>
      <c r="AE437" s="289"/>
      <c r="AF437" s="262">
        <f t="shared" si="98"/>
        <v>8840.09</v>
      </c>
      <c r="AG437" s="263"/>
      <c r="AH437" s="264">
        <f t="shared" si="95"/>
        <v>-6236.91</v>
      </c>
      <c r="AI437" s="291">
        <f t="shared" si="99"/>
        <v>-0.41367049147708429</v>
      </c>
      <c r="AJ437" s="290"/>
      <c r="AK437" s="261"/>
      <c r="AL437" s="262">
        <f t="shared" si="100"/>
        <v>17882.82</v>
      </c>
      <c r="AM437" s="266"/>
      <c r="AN437" s="264">
        <f t="shared" si="96"/>
        <v>-9042.73</v>
      </c>
      <c r="AO437" s="267">
        <f t="shared" si="101"/>
        <v>-0.50566577307158489</v>
      </c>
      <c r="AP437" s="244"/>
      <c r="AQ437" s="480"/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77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97"/>
        <v>22567.753333333334</v>
      </c>
      <c r="AA438" s="277"/>
      <c r="AB438" s="277"/>
      <c r="AC438" s="278"/>
      <c r="AD438" s="286"/>
      <c r="AE438" s="285"/>
      <c r="AF438" s="278">
        <f t="shared" si="98"/>
        <v>20437.72</v>
      </c>
      <c r="AG438" s="279"/>
      <c r="AH438" s="280">
        <f>AF438-Z438</f>
        <v>-2130.0333333333328</v>
      </c>
      <c r="AI438" s="281">
        <f t="shared" si="99"/>
        <v>-9.4383933654007185E-2</v>
      </c>
      <c r="AJ438" s="286"/>
      <c r="AK438" s="277"/>
      <c r="AL438" s="278">
        <f t="shared" si="100"/>
        <v>13089.75</v>
      </c>
      <c r="AM438" s="282"/>
      <c r="AN438" s="280">
        <f t="shared" si="96"/>
        <v>7347.9700000000012</v>
      </c>
      <c r="AO438" s="287">
        <f t="shared" si="101"/>
        <v>0.56135296701617687</v>
      </c>
      <c r="AP438" s="480"/>
      <c r="AQ438" s="244"/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77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97"/>
        <v>4158.333333333333</v>
      </c>
      <c r="AA439" s="277"/>
      <c r="AB439" s="277"/>
      <c r="AC439" s="278"/>
      <c r="AD439" s="286"/>
      <c r="AE439" s="285"/>
      <c r="AF439" s="278">
        <f t="shared" si="98"/>
        <v>5529.2699999999995</v>
      </c>
      <c r="AG439" s="279"/>
      <c r="AH439" s="280">
        <f t="shared" si="95"/>
        <v>1370.9366666666665</v>
      </c>
      <c r="AI439" s="281">
        <f t="shared" si="99"/>
        <v>0.32968416833667336</v>
      </c>
      <c r="AJ439" s="286"/>
      <c r="AK439" s="277"/>
      <c r="AL439" s="278">
        <f t="shared" si="100"/>
        <v>-203.68</v>
      </c>
      <c r="AM439" s="282"/>
      <c r="AN439" s="280">
        <f t="shared" si="96"/>
        <v>5732.95</v>
      </c>
      <c r="AO439" s="287">
        <f t="shared" si="101"/>
        <v>-28.146847996857815</v>
      </c>
      <c r="AP439" s="480"/>
      <c r="AQ439" s="244"/>
      <c r="AR439" s="244"/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77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97"/>
        <v>9088.7133333333331</v>
      </c>
      <c r="AA440" s="277"/>
      <c r="AB440" s="277"/>
      <c r="AC440" s="278"/>
      <c r="AD440" s="286"/>
      <c r="AE440" s="285"/>
      <c r="AF440" s="278">
        <f t="shared" si="98"/>
        <v>22848.83</v>
      </c>
      <c r="AG440" s="279"/>
      <c r="AH440" s="280">
        <f t="shared" si="95"/>
        <v>13760.116666666669</v>
      </c>
      <c r="AI440" s="281">
        <f t="shared" si="99"/>
        <v>1.5139785096093545</v>
      </c>
      <c r="AJ440" s="286"/>
      <c r="AK440" s="277"/>
      <c r="AL440" s="278">
        <f t="shared" si="100"/>
        <v>9043.85</v>
      </c>
      <c r="AM440" s="282"/>
      <c r="AN440" s="280">
        <f t="shared" si="96"/>
        <v>13804.980000000001</v>
      </c>
      <c r="AO440" s="287">
        <f t="shared" si="101"/>
        <v>1.5264494656589838</v>
      </c>
      <c r="AP440" s="244"/>
      <c r="AQ440" s="480"/>
      <c r="AR440" s="480"/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97"/>
        <v>0</v>
      </c>
      <c r="AA441" s="318"/>
      <c r="AB441" s="318"/>
      <c r="AC441" s="319"/>
      <c r="AD441" s="320"/>
      <c r="AE441" s="321"/>
      <c r="AF441" s="498">
        <f t="shared" si="98"/>
        <v>0</v>
      </c>
      <c r="AG441" s="322"/>
      <c r="AH441" s="323">
        <f t="shared" si="95"/>
        <v>0</v>
      </c>
      <c r="AI441" s="324">
        <f t="shared" si="99"/>
        <v>0</v>
      </c>
      <c r="AJ441" s="320"/>
      <c r="AK441" s="318"/>
      <c r="AL441" s="319">
        <f t="shared" si="100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si="77"/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97"/>
        <v>3353.75</v>
      </c>
      <c r="AA442" s="277"/>
      <c r="AB442" s="285"/>
      <c r="AC442" s="278"/>
      <c r="AD442" s="286"/>
      <c r="AE442" s="285"/>
      <c r="AF442" s="278">
        <f t="shared" si="98"/>
        <v>1984.36</v>
      </c>
      <c r="AG442" s="279"/>
      <c r="AH442" s="280">
        <f t="shared" si="95"/>
        <v>-1369.39</v>
      </c>
      <c r="AI442" s="281">
        <f t="shared" si="99"/>
        <v>-0.40831606410734256</v>
      </c>
      <c r="AJ442" s="286"/>
      <c r="AK442" s="277"/>
      <c r="AL442" s="278">
        <f t="shared" si="100"/>
        <v>2855.1499999999996</v>
      </c>
      <c r="AM442" s="282"/>
      <c r="AN442" s="280">
        <f t="shared" si="96"/>
        <v>-870.78999999999974</v>
      </c>
      <c r="AO442" s="287">
        <f t="shared" si="101"/>
        <v>-0.3049892299879165</v>
      </c>
      <c r="AP442" s="244"/>
      <c r="AQ442" s="244"/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77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97"/>
        <v>1400</v>
      </c>
      <c r="AA443" s="277"/>
      <c r="AB443" s="277"/>
      <c r="AC443" s="278"/>
      <c r="AD443" s="286"/>
      <c r="AE443" s="285"/>
      <c r="AF443" s="278">
        <f t="shared" si="98"/>
        <v>556.23</v>
      </c>
      <c r="AG443" s="279"/>
      <c r="AH443" s="280">
        <f t="shared" si="95"/>
        <v>-843.77</v>
      </c>
      <c r="AI443" s="304">
        <f t="shared" si="99"/>
        <v>-0.60269285714285714</v>
      </c>
      <c r="AJ443" s="286"/>
      <c r="AK443" s="277"/>
      <c r="AL443" s="278">
        <f t="shared" si="100"/>
        <v>1680.6</v>
      </c>
      <c r="AM443" s="282"/>
      <c r="AN443" s="280">
        <f t="shared" si="96"/>
        <v>-1124.3699999999999</v>
      </c>
      <c r="AO443" s="287">
        <f t="shared" si="101"/>
        <v>-0.66902891824348443</v>
      </c>
      <c r="AP443" s="244"/>
      <c r="AQ443" s="244"/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97"/>
        <v>1450</v>
      </c>
      <c r="AA444" s="277"/>
      <c r="AB444" s="277"/>
      <c r="AC444" s="278"/>
      <c r="AD444" s="286"/>
      <c r="AE444" s="285"/>
      <c r="AF444" s="278">
        <f t="shared" si="98"/>
        <v>1226.52</v>
      </c>
      <c r="AG444" s="279"/>
      <c r="AH444" s="280">
        <f t="shared" si="95"/>
        <v>-223.48000000000002</v>
      </c>
      <c r="AI444" s="281">
        <f t="shared" si="99"/>
        <v>-0.15412413793103449</v>
      </c>
      <c r="AJ444" s="286"/>
      <c r="AK444" s="277"/>
      <c r="AL444" s="278">
        <f t="shared" si="100"/>
        <v>1674.6</v>
      </c>
      <c r="AM444" s="282"/>
      <c r="AN444" s="280">
        <f t="shared" si="96"/>
        <v>-448.07999999999993</v>
      </c>
      <c r="AO444" s="287">
        <f t="shared" si="101"/>
        <v>-0.26757434611250447</v>
      </c>
      <c r="AP444" s="244"/>
      <c r="AQ444" s="244"/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77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97"/>
        <v>449</v>
      </c>
      <c r="AA445" s="277"/>
      <c r="AB445" s="277"/>
      <c r="AC445" s="278"/>
      <c r="AD445" s="286"/>
      <c r="AE445" s="285"/>
      <c r="AF445" s="278">
        <f t="shared" si="98"/>
        <v>481.71000000000004</v>
      </c>
      <c r="AG445" s="279"/>
      <c r="AH445" s="280">
        <f t="shared" si="95"/>
        <v>32.710000000000036</v>
      </c>
      <c r="AI445" s="304">
        <f t="shared" si="99"/>
        <v>7.2850779510022348E-2</v>
      </c>
      <c r="AJ445" s="286"/>
      <c r="AK445" s="277"/>
      <c r="AL445" s="278">
        <f t="shared" si="100"/>
        <v>489.14</v>
      </c>
      <c r="AM445" s="282"/>
      <c r="AN445" s="280">
        <f t="shared" si="96"/>
        <v>-7.42999999999995</v>
      </c>
      <c r="AO445" s="287">
        <f t="shared" si="101"/>
        <v>-1.5189925174796479E-2</v>
      </c>
      <c r="AP445" s="244"/>
      <c r="AQ445" s="244"/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77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97"/>
        <v>2825</v>
      </c>
      <c r="AA446" s="277"/>
      <c r="AB446" s="277"/>
      <c r="AC446" s="278"/>
      <c r="AD446" s="286"/>
      <c r="AE446" s="285"/>
      <c r="AF446" s="278">
        <f t="shared" si="98"/>
        <v>30.699999999999989</v>
      </c>
      <c r="AG446" s="279"/>
      <c r="AH446" s="280">
        <f t="shared" si="95"/>
        <v>-2794.3</v>
      </c>
      <c r="AI446" s="281">
        <f t="shared" si="99"/>
        <v>-0.98913274336283197</v>
      </c>
      <c r="AJ446" s="286"/>
      <c r="AK446" s="277"/>
      <c r="AL446" s="278">
        <f t="shared" si="100"/>
        <v>847.46</v>
      </c>
      <c r="AM446" s="282"/>
      <c r="AN446" s="280">
        <f t="shared" si="96"/>
        <v>-816.76</v>
      </c>
      <c r="AO446" s="287">
        <f t="shared" si="101"/>
        <v>-0.96377410143251596</v>
      </c>
      <c r="AP446" s="244"/>
      <c r="AQ446" s="244"/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77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97"/>
        <v>1554.9999999999998</v>
      </c>
      <c r="AA447" s="277"/>
      <c r="AB447" s="285"/>
      <c r="AC447" s="278"/>
      <c r="AD447" s="286"/>
      <c r="AE447" s="285"/>
      <c r="AF447" s="278">
        <f t="shared" si="98"/>
        <v>1187.5</v>
      </c>
      <c r="AG447" s="279"/>
      <c r="AH447" s="280">
        <f t="shared" si="95"/>
        <v>-367.49999999999977</v>
      </c>
      <c r="AI447" s="304">
        <f t="shared" si="99"/>
        <v>-0.23633440514469442</v>
      </c>
      <c r="AJ447" s="286"/>
      <c r="AK447" s="277"/>
      <c r="AL447" s="278">
        <f t="shared" si="100"/>
        <v>1692.24</v>
      </c>
      <c r="AM447" s="282"/>
      <c r="AN447" s="280">
        <f t="shared" si="96"/>
        <v>-504.74</v>
      </c>
      <c r="AO447" s="287">
        <f t="shared" si="101"/>
        <v>-0.29826738524086416</v>
      </c>
      <c r="AP447" s="244"/>
      <c r="AQ447" s="244"/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77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97"/>
        <v>2370.6533333333336</v>
      </c>
      <c r="AA448" s="277"/>
      <c r="AB448" s="285"/>
      <c r="AC448" s="278"/>
      <c r="AD448" s="286"/>
      <c r="AE448" s="285"/>
      <c r="AF448" s="278">
        <f t="shared" si="98"/>
        <v>5411.9699999999993</v>
      </c>
      <c r="AG448" s="279"/>
      <c r="AH448" s="280">
        <f t="shared" si="95"/>
        <v>3041.3166666666657</v>
      </c>
      <c r="AI448" s="281">
        <f t="shared" si="99"/>
        <v>1.2829023222852767</v>
      </c>
      <c r="AJ448" s="286"/>
      <c r="AK448" s="277"/>
      <c r="AL448" s="278">
        <f t="shared" si="100"/>
        <v>674.31999999999994</v>
      </c>
      <c r="AM448" s="282"/>
      <c r="AN448" s="280">
        <f t="shared" si="96"/>
        <v>4737.6499999999996</v>
      </c>
      <c r="AO448" s="287">
        <f t="shared" si="101"/>
        <v>7.0258186024439437</v>
      </c>
      <c r="AP448" s="244"/>
      <c r="AQ448" s="244"/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77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1.8110481389125993E-3</v>
      </c>
      <c r="Z449" s="278">
        <f t="shared" si="97"/>
        <v>9562.1964573080531</v>
      </c>
      <c r="AA449" s="277"/>
      <c r="AB449" s="285"/>
      <c r="AC449" s="278"/>
      <c r="AD449" s="286"/>
      <c r="AE449" s="285"/>
      <c r="AF449" s="278">
        <f t="shared" si="98"/>
        <v>6966.4400000000005</v>
      </c>
      <c r="AG449" s="279"/>
      <c r="AH449" s="280">
        <f t="shared" si="95"/>
        <v>-2595.7564573080526</v>
      </c>
      <c r="AI449" s="281">
        <f t="shared" si="99"/>
        <v>-0.27146027263685912</v>
      </c>
      <c r="AJ449" s="286"/>
      <c r="AK449" s="277"/>
      <c r="AL449" s="278">
        <f t="shared" si="100"/>
        <v>3383.05</v>
      </c>
      <c r="AM449" s="282"/>
      <c r="AN449" s="280">
        <f>AF449-AL449</f>
        <v>3583.3900000000003</v>
      </c>
      <c r="AO449" s="287">
        <f>IF(AL449=0,0,AN449/AL449)</f>
        <v>1.0592187523093066</v>
      </c>
      <c r="AP449" s="244"/>
      <c r="AQ449" s="244"/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77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>IFERROR(SUMIF($C:$C,$V450,F:F),0)</f>
        <v>0</v>
      </c>
      <c r="AA450" s="277"/>
      <c r="AB450" s="277"/>
      <c r="AC450" s="280"/>
      <c r="AD450" s="286"/>
      <c r="AE450" s="285"/>
      <c r="AF450" s="278">
        <f t="shared" si="98"/>
        <v>0</v>
      </c>
      <c r="AG450" s="279"/>
      <c r="AH450" s="280">
        <f t="shared" si="95"/>
        <v>0</v>
      </c>
      <c r="AI450" s="281">
        <f t="shared" si="99"/>
        <v>0</v>
      </c>
      <c r="AJ450" s="286"/>
      <c r="AK450" s="277"/>
      <c r="AL450" s="278">
        <f>IFERROR(SUMIF($C:$C,$V450,Q:Q),0)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77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IFERROR(SUMIF($C:$C,$V451,F:F),0)</f>
        <v>0</v>
      </c>
      <c r="AA451" s="277"/>
      <c r="AB451" s="277"/>
      <c r="AC451" s="280"/>
      <c r="AD451" s="286"/>
      <c r="AE451" s="285"/>
      <c r="AF451" s="278">
        <f t="shared" si="98"/>
        <v>0</v>
      </c>
      <c r="AG451" s="279"/>
      <c r="AH451" s="280">
        <f t="shared" si="95"/>
        <v>0</v>
      </c>
      <c r="AI451" s="281">
        <f t="shared" si="99"/>
        <v>0</v>
      </c>
      <c r="AJ451" s="286"/>
      <c r="AK451" s="277"/>
      <c r="AL451" s="278">
        <f>IFERROR(SUMIF($C:$C,$V451,Q:Q),0)</f>
        <v>0</v>
      </c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77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IFERROR(SUMIF($C:$C,$V452,F:F),0)</f>
        <v>0</v>
      </c>
      <c r="AA452" s="277"/>
      <c r="AB452" s="277"/>
      <c r="AC452" s="280"/>
      <c r="AD452" s="286"/>
      <c r="AE452" s="285"/>
      <c r="AF452" s="278">
        <f t="shared" si="98"/>
        <v>0</v>
      </c>
      <c r="AG452" s="279"/>
      <c r="AH452" s="280">
        <f t="shared" si="95"/>
        <v>0</v>
      </c>
      <c r="AI452" s="281">
        <f t="shared" si="99"/>
        <v>0</v>
      </c>
      <c r="AJ452" s="286"/>
      <c r="AK452" s="277"/>
      <c r="AL452" s="278">
        <f>IFERROR(SUMIF($C:$C,$V452,Q:Q),0)</f>
        <v>0</v>
      </c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77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0.16174335063500331</v>
      </c>
      <c r="Y453" s="295"/>
      <c r="Z453" s="297">
        <f>+SUM(Z435:Z452)</f>
        <v>80362.703437653036</v>
      </c>
      <c r="AA453" s="296"/>
      <c r="AB453" s="295"/>
      <c r="AC453" s="297"/>
      <c r="AD453" s="298">
        <f>AF453/AF408</f>
        <v>0.17659888477456456</v>
      </c>
      <c r="AE453" s="295"/>
      <c r="AF453" s="297">
        <f>+SUM(AF435:AF452)</f>
        <v>86559.35</v>
      </c>
      <c r="AG453" s="306"/>
      <c r="AH453" s="300">
        <f>+SUM(AH435:AH452)</f>
        <v>6196.646562346963</v>
      </c>
      <c r="AI453" s="296">
        <f>AH453/Z453</f>
        <v>7.710848810797466E-2</v>
      </c>
      <c r="AJ453" s="298">
        <f>IF($AL$408=0,0,AL453/$AL$408)</f>
        <v>0.19421645501633705</v>
      </c>
      <c r="AK453" s="296"/>
      <c r="AL453" s="297">
        <f>+SUM(AL435:AL452)</f>
        <v>61881.679999999993</v>
      </c>
      <c r="AM453" s="307"/>
      <c r="AN453" s="300">
        <f>+SUM(AN435:AN452)</f>
        <v>24677.670000000006</v>
      </c>
      <c r="AO453" s="329">
        <f>IF(AL453=0,0,AN453/AL453)</f>
        <v>0.39878797731412607</v>
      </c>
      <c r="AP453" s="244"/>
      <c r="AQ453" s="308">
        <f>SUM(AQ435:AQ449)-AF453</f>
        <v>-86559.35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77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v>50000</v>
      </c>
      <c r="AA454" s="277"/>
      <c r="AB454" s="285"/>
      <c r="AC454" s="278"/>
      <c r="AD454" s="286"/>
      <c r="AE454" s="285"/>
      <c r="AF454" s="278">
        <v>50000</v>
      </c>
      <c r="AG454" s="279"/>
      <c r="AH454" s="280">
        <f t="shared" ref="AH454:AH462" si="102">AF454-Z454</f>
        <v>0</v>
      </c>
      <c r="AI454" s="281">
        <f t="shared" ref="AI454:AI462" si="103">IF(Z454=0,0,AH454/Z454)</f>
        <v>0</v>
      </c>
      <c r="AJ454" s="286"/>
      <c r="AK454" s="277"/>
      <c r="AL454" s="278">
        <v>50000</v>
      </c>
      <c r="AM454" s="282"/>
      <c r="AN454" s="280">
        <f>AF454-AL454</f>
        <v>0</v>
      </c>
      <c r="AO454" s="287">
        <f t="shared" ref="AO454:AO462" si="104">IF(AL454=0,0,AN454/AL454)</f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77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v>6346.5300000000007</v>
      </c>
      <c r="AA455" s="277"/>
      <c r="AB455" s="285"/>
      <c r="AC455" s="278"/>
      <c r="AD455" s="286"/>
      <c r="AE455" s="285"/>
      <c r="AF455" s="278">
        <v>6134.99</v>
      </c>
      <c r="AG455" s="279"/>
      <c r="AH455" s="280">
        <f t="shared" si="102"/>
        <v>-211.54000000000087</v>
      </c>
      <c r="AI455" s="281">
        <f t="shared" si="103"/>
        <v>-3.3331600102733436E-2</v>
      </c>
      <c r="AJ455" s="286"/>
      <c r="AK455" s="277"/>
      <c r="AL455" s="278">
        <v>6166.7999999999993</v>
      </c>
      <c r="AM455" s="282"/>
      <c r="AN455" s="280">
        <f t="shared" ref="AN455:AN462" si="105">AF455-AL455</f>
        <v>-31.809999999999491</v>
      </c>
      <c r="AO455" s="287">
        <f t="shared" si="104"/>
        <v>-5.1582668482842795E-3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77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v>2719.9400000000005</v>
      </c>
      <c r="AA456" s="261"/>
      <c r="AB456" s="289"/>
      <c r="AC456" s="262"/>
      <c r="AD456" s="290"/>
      <c r="AE456" s="289"/>
      <c r="AF456" s="262">
        <v>2629.28</v>
      </c>
      <c r="AG456" s="263"/>
      <c r="AH456" s="264">
        <f t="shared" si="102"/>
        <v>-90.660000000000309</v>
      </c>
      <c r="AI456" s="291">
        <f t="shared" si="103"/>
        <v>-3.3331617609212078E-2</v>
      </c>
      <c r="AJ456" s="290"/>
      <c r="AK456" s="261"/>
      <c r="AL456" s="262">
        <v>2642.92</v>
      </c>
      <c r="AM456" s="266"/>
      <c r="AN456" s="264">
        <f t="shared" si="105"/>
        <v>-13.639999999999873</v>
      </c>
      <c r="AO456" s="267">
        <f t="shared" si="104"/>
        <v>-5.160958333963901E-3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77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v>0</v>
      </c>
      <c r="AA457" s="277"/>
      <c r="AB457" s="285"/>
      <c r="AC457" s="278"/>
      <c r="AD457" s="286"/>
      <c r="AE457" s="285"/>
      <c r="AF457" s="278">
        <v>0</v>
      </c>
      <c r="AG457" s="279"/>
      <c r="AH457" s="280">
        <f t="shared" si="102"/>
        <v>0</v>
      </c>
      <c r="AI457" s="281">
        <f t="shared" si="103"/>
        <v>0</v>
      </c>
      <c r="AJ457" s="286"/>
      <c r="AK457" s="277"/>
      <c r="AL457" s="278">
        <v>0</v>
      </c>
      <c r="AM457" s="282"/>
      <c r="AN457" s="280">
        <f t="shared" si="105"/>
        <v>0</v>
      </c>
      <c r="AO457" s="287">
        <f t="shared" si="104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77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v>3571.166666666667</v>
      </c>
      <c r="AA458" s="261"/>
      <c r="AB458" s="289"/>
      <c r="AC458" s="262"/>
      <c r="AD458" s="290"/>
      <c r="AE458" s="289"/>
      <c r="AF458" s="262">
        <v>3571.16</v>
      </c>
      <c r="AG458" s="263"/>
      <c r="AH458" s="264">
        <f t="shared" si="102"/>
        <v>-6.6666666671153507E-3</v>
      </c>
      <c r="AI458" s="291">
        <f t="shared" si="103"/>
        <v>-1.8668035657204508E-6</v>
      </c>
      <c r="AJ458" s="290"/>
      <c r="AK458" s="261"/>
      <c r="AL458" s="262">
        <v>4853.83</v>
      </c>
      <c r="AM458" s="266"/>
      <c r="AN458" s="264">
        <f t="shared" si="105"/>
        <v>-1282.67</v>
      </c>
      <c r="AO458" s="267">
        <f t="shared" si="104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77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v>6675</v>
      </c>
      <c r="AA459" s="330"/>
      <c r="AB459" s="331"/>
      <c r="AC459" s="278"/>
      <c r="AD459" s="286"/>
      <c r="AE459" s="285"/>
      <c r="AF459" s="278">
        <v>4760.71</v>
      </c>
      <c r="AG459" s="279"/>
      <c r="AH459" s="280">
        <f t="shared" si="102"/>
        <v>-1914.29</v>
      </c>
      <c r="AI459" s="281">
        <f t="shared" si="103"/>
        <v>-0.28678501872659173</v>
      </c>
      <c r="AJ459" s="286"/>
      <c r="AK459" s="277"/>
      <c r="AL459" s="278">
        <v>4994.3599999999997</v>
      </c>
      <c r="AM459" s="282"/>
      <c r="AN459" s="280">
        <f t="shared" si="105"/>
        <v>-233.64999999999964</v>
      </c>
      <c r="AO459" s="287">
        <f t="shared" si="104"/>
        <v>-4.678277096564918E-2</v>
      </c>
      <c r="AP459" s="244"/>
      <c r="AQ459" s="244"/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77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v>1750</v>
      </c>
      <c r="AA460" s="277"/>
      <c r="AB460" s="285"/>
      <c r="AC460" s="278"/>
      <c r="AD460" s="286"/>
      <c r="AE460" s="285"/>
      <c r="AF460" s="278">
        <v>1500</v>
      </c>
      <c r="AG460" s="279"/>
      <c r="AH460" s="280">
        <f t="shared" si="102"/>
        <v>-250</v>
      </c>
      <c r="AI460" s="281">
        <f t="shared" si="103"/>
        <v>-0.14285714285714285</v>
      </c>
      <c r="AJ460" s="286"/>
      <c r="AK460" s="277"/>
      <c r="AL460" s="278">
        <v>6307.33</v>
      </c>
      <c r="AM460" s="282"/>
      <c r="AN460" s="280">
        <f t="shared" si="105"/>
        <v>-4807.33</v>
      </c>
      <c r="AO460" s="287">
        <f t="shared" si="104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77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v>450</v>
      </c>
      <c r="AA461" s="261"/>
      <c r="AB461" s="289"/>
      <c r="AC461" s="262"/>
      <c r="AD461" s="290"/>
      <c r="AE461" s="289"/>
      <c r="AF461" s="262">
        <v>0</v>
      </c>
      <c r="AG461" s="263"/>
      <c r="AH461" s="264">
        <f t="shared" si="102"/>
        <v>-450</v>
      </c>
      <c r="AI461" s="291">
        <f t="shared" si="103"/>
        <v>-1</v>
      </c>
      <c r="AJ461" s="290"/>
      <c r="AK461" s="261"/>
      <c r="AL461" s="262">
        <v>0</v>
      </c>
      <c r="AM461" s="266"/>
      <c r="AN461" s="264">
        <f t="shared" si="105"/>
        <v>0</v>
      </c>
      <c r="AO461" s="267">
        <f t="shared" si="104"/>
        <v>0</v>
      </c>
      <c r="AP461" s="244"/>
      <c r="AQ461" s="244"/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77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v>279</v>
      </c>
      <c r="AA462" s="277"/>
      <c r="AB462" s="285"/>
      <c r="AC462" s="278"/>
      <c r="AD462" s="286"/>
      <c r="AE462" s="285"/>
      <c r="AF462" s="278">
        <v>164</v>
      </c>
      <c r="AG462" s="279"/>
      <c r="AH462" s="280">
        <f t="shared" si="102"/>
        <v>-115</v>
      </c>
      <c r="AI462" s="333">
        <f t="shared" si="103"/>
        <v>-0.41218637992831542</v>
      </c>
      <c r="AJ462" s="277"/>
      <c r="AK462" s="277"/>
      <c r="AL462" s="278">
        <v>164</v>
      </c>
      <c r="AM462" s="282"/>
      <c r="AN462" s="280">
        <f t="shared" si="105"/>
        <v>0</v>
      </c>
      <c r="AO462" s="287">
        <f t="shared" si="104"/>
        <v>0</v>
      </c>
      <c r="AP462" s="244"/>
      <c r="AQ462" s="244"/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77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77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IFERROR(SUMIF($C:$C,$V464,F:F),0)</f>
        <v>0</v>
      </c>
      <c r="AA464" s="277"/>
      <c r="AB464" s="277"/>
      <c r="AC464" s="280"/>
      <c r="AD464" s="286"/>
      <c r="AE464" s="285"/>
      <c r="AF464" s="278">
        <f>+SUMIF($C:$C,$V464,L:L)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77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IFERROR(SUMIF($C:$C,$V465,F:F),0)</f>
        <v>0</v>
      </c>
      <c r="AA465" s="277"/>
      <c r="AB465" s="277"/>
      <c r="AC465" s="280"/>
      <c r="AD465" s="286"/>
      <c r="AE465" s="285"/>
      <c r="AF465" s="278">
        <f>+SUMIF($C:$C,$V465,L:L)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IFERROR(SUMIF($C:$C,$V465,Q:Q),0)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77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IFERROR(SUMIF($C:$C,$V466,F:F),0)</f>
        <v>0</v>
      </c>
      <c r="AA466" s="277"/>
      <c r="AB466" s="277"/>
      <c r="AC466" s="280"/>
      <c r="AD466" s="286"/>
      <c r="AE466" s="285"/>
      <c r="AF466" s="278">
        <f>+SUMIF($C:$C,$V466,L:L)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IFERROR(SUMIF($C:$C,$V466,Q:Q),0)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77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0.14449264852128951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0.14028483394275637</v>
      </c>
      <c r="AE467" s="295"/>
      <c r="AF467" s="297">
        <f>SUM(AF454:AF466)</f>
        <v>68760.14</v>
      </c>
      <c r="AG467" s="306"/>
      <c r="AH467" s="300">
        <f>SUM(AH454:AH466)</f>
        <v>-3031.4966666666683</v>
      </c>
      <c r="AI467" s="296">
        <f>IF(Z467=0,0,AH467/Z467)</f>
        <v>-4.2226320605311014E-2</v>
      </c>
      <c r="AJ467" s="298">
        <f>IF($AL$408=0,0,AL467/$AL$408)</f>
        <v>0.23579409383959182</v>
      </c>
      <c r="AK467" s="296"/>
      <c r="AL467" s="297">
        <f>SUM(AL454:AL466)</f>
        <v>75129.240000000005</v>
      </c>
      <c r="AM467" s="307"/>
      <c r="AN467" s="300">
        <f>SUM(AN454:AN466)</f>
        <v>-6369.0999999999985</v>
      </c>
      <c r="AO467" s="329">
        <f t="shared" ref="AO467:AO484" si="106">IF(AL467=0,0,AN467/AL467)</f>
        <v>-8.4775248624902877E-2</v>
      </c>
      <c r="AP467" s="244"/>
      <c r="AQ467" s="308">
        <f>SUM(AQ454:AQ462)-AF467</f>
        <v>-4925.1399999999994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77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07">AF468-Z468</f>
        <v>0</v>
      </c>
      <c r="AI468" s="281"/>
      <c r="AJ468" s="286"/>
      <c r="AK468" s="277"/>
      <c r="AL468" s="334"/>
      <c r="AM468" s="335"/>
      <c r="AN468" s="280">
        <f t="shared" ref="AN468:AN484" si="108">AF468-AL468</f>
        <v>0</v>
      </c>
      <c r="AO468" s="336">
        <f t="shared" si="106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77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0.96048133898868149</v>
      </c>
      <c r="Y469" s="295"/>
      <c r="Z469" s="297">
        <f>Z420+Z434+Z453+Z467</f>
        <v>477218.23926308035</v>
      </c>
      <c r="AA469" s="296"/>
      <c r="AB469" s="295"/>
      <c r="AC469" s="297"/>
      <c r="AD469" s="298">
        <f>AF469/AF408</f>
        <v>0.80505097413296545</v>
      </c>
      <c r="AE469" s="295"/>
      <c r="AF469" s="297">
        <f>AF420+AF434+AF453+AF467</f>
        <v>394593.03</v>
      </c>
      <c r="AG469" s="306"/>
      <c r="AH469" s="300">
        <f t="shared" si="107"/>
        <v>-82625.209263080324</v>
      </c>
      <c r="AI469" s="296">
        <f>AH469/Z469</f>
        <v>-0.17313925257900881</v>
      </c>
      <c r="AJ469" s="298">
        <f>IF($AL$408=0,0,AL469/$AL$408)</f>
        <v>1.2092898853918637</v>
      </c>
      <c r="AK469" s="296"/>
      <c r="AL469" s="297">
        <f>AL420+AL434+AL453+AL467</f>
        <v>385306.64</v>
      </c>
      <c r="AM469" s="307"/>
      <c r="AN469" s="300">
        <f t="shared" si="108"/>
        <v>9286.390000000014</v>
      </c>
      <c r="AO469" s="275">
        <f t="shared" si="106"/>
        <v>2.4101297605460457E-2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77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v>0</v>
      </c>
      <c r="AA470" s="337"/>
      <c r="AB470" s="338"/>
      <c r="AC470" s="311"/>
      <c r="AD470" s="339"/>
      <c r="AE470" s="338"/>
      <c r="AF470" s="278">
        <v>16.18</v>
      </c>
      <c r="AG470" s="340"/>
      <c r="AH470" s="280">
        <f t="shared" si="107"/>
        <v>16.18</v>
      </c>
      <c r="AI470" s="333" t="e">
        <f>IF(AH470=0,0,AH470/Z470)</f>
        <v>#DIV/0!</v>
      </c>
      <c r="AJ470" s="339"/>
      <c r="AK470" s="337"/>
      <c r="AL470" s="341">
        <v>1777.17</v>
      </c>
      <c r="AM470" s="342"/>
      <c r="AN470" s="280">
        <f t="shared" si="108"/>
        <v>-1760.99</v>
      </c>
      <c r="AO470" s="287">
        <f t="shared" si="106"/>
        <v>-0.9908956374460518</v>
      </c>
      <c r="AP470" s="244" t="s">
        <v>244</v>
      </c>
      <c r="AQ470" s="244"/>
      <c r="AR470" s="244"/>
      <c r="AS470" s="244">
        <f>AQ470+AR470</f>
        <v>0</v>
      </c>
      <c r="AT470" s="308">
        <f>AS470-AF470</f>
        <v>-16.18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77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60158.057142857149</v>
      </c>
      <c r="AA471" s="330"/>
      <c r="AB471" s="331"/>
      <c r="AC471" s="278"/>
      <c r="AD471" s="343"/>
      <c r="AE471" s="331"/>
      <c r="AF471" s="278">
        <f t="shared" ref="AF471:AF477" si="109">+SUMIF($C:$C,$V471,L:L)</f>
        <v>59259</v>
      </c>
      <c r="AG471" s="344"/>
      <c r="AH471" s="280">
        <f t="shared" si="107"/>
        <v>-899.0571428571493</v>
      </c>
      <c r="AI471" s="304">
        <f>IF(Z471=0,0,AH471/Z471)</f>
        <v>-1.4944916534158694E-2</v>
      </c>
      <c r="AJ471" s="343"/>
      <c r="AK471" s="330"/>
      <c r="AL471" s="345">
        <f>+SUMIF($C:$C,$V471,Q:Q)</f>
        <v>19545</v>
      </c>
      <c r="AM471" s="346"/>
      <c r="AN471" s="280">
        <f t="shared" si="108"/>
        <v>39714</v>
      </c>
      <c r="AO471" s="287">
        <f t="shared" si="106"/>
        <v>2.0319263238679968</v>
      </c>
      <c r="AP471" s="244"/>
      <c r="AQ471" s="244"/>
      <c r="AR471" s="244"/>
      <c r="AS471" s="244">
        <f>AQ471+AR471</f>
        <v>0</v>
      </c>
      <c r="AT471" s="308">
        <f t="shared" ref="AT471:AT481" si="110">AS471-AF471</f>
        <v>-59259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77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v>49630.397142857146</v>
      </c>
      <c r="AA472" s="330"/>
      <c r="AB472" s="331"/>
      <c r="AC472" s="278"/>
      <c r="AD472" s="343"/>
      <c r="AE472" s="331"/>
      <c r="AF472" s="278">
        <f t="shared" si="109"/>
        <v>0</v>
      </c>
      <c r="AG472" s="344"/>
      <c r="AH472" s="280">
        <f t="shared" si="107"/>
        <v>-49630.397142857146</v>
      </c>
      <c r="AI472" s="304">
        <f t="shared" ref="AI472:AI481" si="111">IF(AH472=0,0,AH472/Z472)</f>
        <v>-1</v>
      </c>
      <c r="AJ472" s="343"/>
      <c r="AK472" s="330"/>
      <c r="AL472" s="345">
        <v>28695.24</v>
      </c>
      <c r="AM472" s="346"/>
      <c r="AN472" s="280">
        <f t="shared" si="108"/>
        <v>-28695.24</v>
      </c>
      <c r="AO472" s="287">
        <f t="shared" si="106"/>
        <v>-1</v>
      </c>
      <c r="AP472" s="244"/>
      <c r="AQ472" s="244"/>
      <c r="AR472" s="244"/>
      <c r="AS472" s="244">
        <f>AQ472+AR472</f>
        <v>0</v>
      </c>
      <c r="AT472" s="308">
        <f t="shared" si="110"/>
        <v>0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77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+SUMIF($C:$C,$V473,F:F)</f>
        <v>0</v>
      </c>
      <c r="AA473" s="330"/>
      <c r="AB473" s="331"/>
      <c r="AC473" s="278"/>
      <c r="AD473" s="343"/>
      <c r="AE473" s="331"/>
      <c r="AF473" s="278">
        <f t="shared" si="109"/>
        <v>0</v>
      </c>
      <c r="AG473" s="344"/>
      <c r="AH473" s="280">
        <f t="shared" si="107"/>
        <v>0</v>
      </c>
      <c r="AI473" s="304">
        <f t="shared" si="111"/>
        <v>0</v>
      </c>
      <c r="AJ473" s="343"/>
      <c r="AK473" s="330"/>
      <c r="AL473" s="345">
        <f>+SUMIF($C:$C,$V473,Q:Q)</f>
        <v>0</v>
      </c>
      <c r="AM473" s="346"/>
      <c r="AN473" s="280">
        <f t="shared" si="108"/>
        <v>0</v>
      </c>
      <c r="AO473" s="287">
        <f t="shared" si="106"/>
        <v>0</v>
      </c>
      <c r="AP473" s="244"/>
      <c r="AQ473" s="244"/>
      <c r="AR473" s="244"/>
      <c r="AS473" s="244">
        <f t="shared" ref="AS473:AS481" si="112">AQ473+AR473</f>
        <v>0</v>
      </c>
      <c r="AT473" s="308">
        <f t="shared" si="110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77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+SUMIF($C:$C,$V474,F:F)</f>
        <v>0</v>
      </c>
      <c r="AA474" s="330"/>
      <c r="AB474" s="331"/>
      <c r="AC474" s="278"/>
      <c r="AD474" s="343"/>
      <c r="AE474" s="331"/>
      <c r="AF474" s="278">
        <f t="shared" si="109"/>
        <v>0</v>
      </c>
      <c r="AG474" s="344"/>
      <c r="AH474" s="280">
        <f t="shared" si="107"/>
        <v>0</v>
      </c>
      <c r="AI474" s="304">
        <f t="shared" si="111"/>
        <v>0</v>
      </c>
      <c r="AJ474" s="343"/>
      <c r="AK474" s="330"/>
      <c r="AL474" s="345">
        <f>+SUMIF($C:$C,$V474,Q:Q)</f>
        <v>0</v>
      </c>
      <c r="AM474" s="346"/>
      <c r="AN474" s="280">
        <f t="shared" si="108"/>
        <v>0</v>
      </c>
      <c r="AO474" s="287">
        <f t="shared" si="106"/>
        <v>0</v>
      </c>
      <c r="AP474" s="244"/>
      <c r="AQ474" s="244"/>
      <c r="AR474" s="244"/>
      <c r="AS474" s="244">
        <f t="shared" si="112"/>
        <v>0</v>
      </c>
      <c r="AT474" s="308">
        <f t="shared" si="110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77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v>3750</v>
      </c>
      <c r="AA475" s="330"/>
      <c r="AB475" s="331"/>
      <c r="AC475" s="278"/>
      <c r="AD475" s="343"/>
      <c r="AE475" s="331"/>
      <c r="AF475" s="278">
        <f t="shared" si="109"/>
        <v>0</v>
      </c>
      <c r="AG475" s="344"/>
      <c r="AH475" s="280">
        <f t="shared" si="107"/>
        <v>-3750</v>
      </c>
      <c r="AI475" s="304">
        <f t="shared" si="111"/>
        <v>-1</v>
      </c>
      <c r="AJ475" s="343"/>
      <c r="AK475" s="330"/>
      <c r="AL475" s="345">
        <v>0</v>
      </c>
      <c r="AM475" s="346"/>
      <c r="AN475" s="280">
        <f t="shared" si="108"/>
        <v>0</v>
      </c>
      <c r="AO475" s="287">
        <f t="shared" si="106"/>
        <v>0</v>
      </c>
      <c r="AP475" s="244"/>
      <c r="AQ475" s="244"/>
      <c r="AR475" s="244"/>
      <c r="AS475" s="244">
        <f t="shared" si="112"/>
        <v>0</v>
      </c>
      <c r="AT475" s="308">
        <f t="shared" si="110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77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+SUMIF($C:$C,$V476,F:F)</f>
        <v>0</v>
      </c>
      <c r="AA476" s="330"/>
      <c r="AB476" s="331"/>
      <c r="AC476" s="278"/>
      <c r="AD476" s="343"/>
      <c r="AE476" s="331"/>
      <c r="AF476" s="278">
        <f t="shared" si="109"/>
        <v>0</v>
      </c>
      <c r="AG476" s="344"/>
      <c r="AH476" s="280">
        <f t="shared" si="107"/>
        <v>0</v>
      </c>
      <c r="AI476" s="304">
        <f t="shared" si="111"/>
        <v>0</v>
      </c>
      <c r="AJ476" s="343"/>
      <c r="AK476" s="330"/>
      <c r="AL476" s="345">
        <f>+SUMIF($C:$C,$V476,Q:Q)</f>
        <v>100</v>
      </c>
      <c r="AM476" s="346"/>
      <c r="AN476" s="280">
        <f t="shared" si="108"/>
        <v>-100</v>
      </c>
      <c r="AO476" s="287">
        <f t="shared" si="106"/>
        <v>-1</v>
      </c>
      <c r="AP476" s="244"/>
      <c r="AQ476" s="244"/>
      <c r="AR476" s="244"/>
      <c r="AS476" s="244">
        <f t="shared" si="112"/>
        <v>0</v>
      </c>
      <c r="AT476" s="308">
        <f t="shared" si="110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77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+SUMIF($C:$C,$V477,F:F)</f>
        <v>0</v>
      </c>
      <c r="AA477" s="330"/>
      <c r="AB477" s="331"/>
      <c r="AC477" s="278"/>
      <c r="AD477" s="343"/>
      <c r="AE477" s="331"/>
      <c r="AF477" s="278">
        <f t="shared" si="109"/>
        <v>0</v>
      </c>
      <c r="AG477" s="344"/>
      <c r="AH477" s="280">
        <f t="shared" si="107"/>
        <v>0</v>
      </c>
      <c r="AI477" s="304">
        <f t="shared" si="111"/>
        <v>0</v>
      </c>
      <c r="AJ477" s="343"/>
      <c r="AK477" s="330"/>
      <c r="AL477" s="345">
        <f>+SUMIF($C:$C,$V477,Q:Q)</f>
        <v>0</v>
      </c>
      <c r="AM477" s="346"/>
      <c r="AN477" s="280">
        <f t="shared" si="108"/>
        <v>0</v>
      </c>
      <c r="AO477" s="287">
        <f t="shared" si="106"/>
        <v>0</v>
      </c>
      <c r="AP477" s="244"/>
      <c r="AQ477" s="244"/>
      <c r="AR477" s="244"/>
      <c r="AS477" s="244">
        <f t="shared" si="112"/>
        <v>0</v>
      </c>
      <c r="AT477" s="308">
        <f t="shared" si="110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77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v>33086.931428571428</v>
      </c>
      <c r="AA478" s="330"/>
      <c r="AB478" s="331"/>
      <c r="AC478" s="278"/>
      <c r="AD478" s="343"/>
      <c r="AE478" s="331"/>
      <c r="AF478" s="278">
        <v>0</v>
      </c>
      <c r="AG478" s="344"/>
      <c r="AH478" s="280">
        <f t="shared" si="107"/>
        <v>-33086.931428571428</v>
      </c>
      <c r="AI478" s="304">
        <f t="shared" si="111"/>
        <v>-1</v>
      </c>
      <c r="AJ478" s="343"/>
      <c r="AK478" s="330"/>
      <c r="AL478" s="345">
        <v>15393.29</v>
      </c>
      <c r="AM478" s="346"/>
      <c r="AN478" s="280">
        <f t="shared" si="108"/>
        <v>-15393.29</v>
      </c>
      <c r="AO478" s="287">
        <f t="shared" si="106"/>
        <v>-1</v>
      </c>
      <c r="AP478" s="244"/>
      <c r="AQ478" s="244"/>
      <c r="AR478" s="244"/>
      <c r="AS478" s="244">
        <f t="shared" si="112"/>
        <v>0</v>
      </c>
      <c r="AT478" s="308">
        <f t="shared" si="110"/>
        <v>0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77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IFERROR(SUMIF($C:$C,$V479,F:F),0)</f>
        <v>0</v>
      </c>
      <c r="AA479" s="277"/>
      <c r="AB479" s="277"/>
      <c r="AC479" s="280"/>
      <c r="AD479" s="286"/>
      <c r="AE479" s="285"/>
      <c r="AF479" s="278">
        <f>+SUMIF($C:$C,$V479,L:L)</f>
        <v>0</v>
      </c>
      <c r="AG479" s="279"/>
      <c r="AH479" s="280">
        <f t="shared" si="107"/>
        <v>0</v>
      </c>
      <c r="AI479" s="281">
        <f t="shared" si="111"/>
        <v>0</v>
      </c>
      <c r="AJ479" s="286"/>
      <c r="AK479" s="277"/>
      <c r="AL479" s="278">
        <f>+SUMIF($C:$C,$V479,Q:Q)</f>
        <v>0</v>
      </c>
      <c r="AM479" s="346"/>
      <c r="AN479" s="280">
        <f t="shared" si="108"/>
        <v>0</v>
      </c>
      <c r="AO479" s="287">
        <f t="shared" si="106"/>
        <v>0</v>
      </c>
      <c r="AP479" s="244"/>
      <c r="AQ479" s="244"/>
      <c r="AR479" s="244"/>
      <c r="AS479" s="244">
        <f t="shared" si="112"/>
        <v>0</v>
      </c>
      <c r="AT479" s="308">
        <f t="shared" si="110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77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IFERROR(SUMIF($C:$C,$V480,F:F),0)</f>
        <v>0</v>
      </c>
      <c r="AA480" s="277"/>
      <c r="AB480" s="277"/>
      <c r="AC480" s="280"/>
      <c r="AD480" s="286"/>
      <c r="AE480" s="285"/>
      <c r="AF480" s="278">
        <f>+SUMIF($C:$C,$V480,L:L)</f>
        <v>0</v>
      </c>
      <c r="AG480" s="279"/>
      <c r="AH480" s="280">
        <f t="shared" si="107"/>
        <v>0</v>
      </c>
      <c r="AI480" s="281">
        <f t="shared" si="111"/>
        <v>0</v>
      </c>
      <c r="AJ480" s="286"/>
      <c r="AK480" s="277"/>
      <c r="AL480" s="278">
        <f>+SUMIF($C:$C,$V480,Q:Q)</f>
        <v>0</v>
      </c>
      <c r="AM480" s="346"/>
      <c r="AN480" s="280">
        <f t="shared" si="108"/>
        <v>0</v>
      </c>
      <c r="AO480" s="287">
        <f t="shared" si="106"/>
        <v>0</v>
      </c>
      <c r="AP480" s="244"/>
      <c r="AQ480" s="244"/>
      <c r="AR480" s="244"/>
      <c r="AS480" s="244">
        <f t="shared" si="112"/>
        <v>0</v>
      </c>
      <c r="AT480" s="308">
        <f t="shared" si="110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77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27334.3</v>
      </c>
      <c r="AA481" s="330"/>
      <c r="AB481" s="331"/>
      <c r="AC481" s="278"/>
      <c r="AD481" s="343"/>
      <c r="AE481" s="331"/>
      <c r="AF481" s="278">
        <f>+SUMIF($C:$C,$V481,L:L)</f>
        <v>29155</v>
      </c>
      <c r="AG481" s="344"/>
      <c r="AH481" s="280">
        <f t="shared" si="107"/>
        <v>1820.7000000000007</v>
      </c>
      <c r="AI481" s="304">
        <f t="shared" si="111"/>
        <v>6.660861993905097E-2</v>
      </c>
      <c r="AJ481" s="343"/>
      <c r="AK481" s="330"/>
      <c r="AL481" s="345">
        <v>15470</v>
      </c>
      <c r="AM481" s="346"/>
      <c r="AN481" s="280">
        <f t="shared" si="108"/>
        <v>13685</v>
      </c>
      <c r="AO481" s="287">
        <f t="shared" si="106"/>
        <v>0.88461538461538458</v>
      </c>
      <c r="AP481" s="244"/>
      <c r="AQ481" s="244"/>
      <c r="AR481" s="244"/>
      <c r="AS481" s="244">
        <f t="shared" si="112"/>
        <v>0</v>
      </c>
      <c r="AT481" s="308">
        <f t="shared" si="110"/>
        <v>-29155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77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0.35012289581160977</v>
      </c>
      <c r="Y482" s="328"/>
      <c r="Z482" s="297">
        <f>SUM(Z470:Z481)</f>
        <v>173959.6857142857</v>
      </c>
      <c r="AA482" s="296"/>
      <c r="AB482" s="328"/>
      <c r="AC482" s="297"/>
      <c r="AD482" s="296">
        <f>AF482/+AF408</f>
        <v>0.18041576292352013</v>
      </c>
      <c r="AE482" s="328"/>
      <c r="AF482" s="297">
        <f>SUM(AF470:AF481)</f>
        <v>88430.18</v>
      </c>
      <c r="AG482" s="306"/>
      <c r="AH482" s="300">
        <f t="shared" si="107"/>
        <v>-85529.505714285711</v>
      </c>
      <c r="AI482" s="296">
        <f>AH482/Z482</f>
        <v>-0.4916627974067555</v>
      </c>
      <c r="AJ482" s="347"/>
      <c r="AK482" s="348"/>
      <c r="AL482" s="297">
        <f>SUM(AL470:AL481)</f>
        <v>80980.700000000012</v>
      </c>
      <c r="AM482" s="349"/>
      <c r="AN482" s="300">
        <f t="shared" si="108"/>
        <v>7449.4799999999814</v>
      </c>
      <c r="AO482" s="329">
        <f t="shared" si="106"/>
        <v>9.1990807686275627E-2</v>
      </c>
      <c r="AP482" s="244"/>
      <c r="AQ482" s="244">
        <f>SUM(AQ470:AQ481)</f>
        <v>0</v>
      </c>
      <c r="AR482" s="244">
        <f>SUM(AR470:AR481)</f>
        <v>0</v>
      </c>
      <c r="AS482" s="308">
        <f>SUM(AS470:AS481)-AF482</f>
        <v>-88430.18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77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08"/>
        <v>0</v>
      </c>
      <c r="AO483" s="362">
        <f t="shared" si="106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77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3.6666183255329922E-2</v>
      </c>
      <c r="Z484" s="367">
        <f>Z408-Z469+Z482</f>
        <v>193594.65940957185</v>
      </c>
      <c r="AA484" s="365"/>
      <c r="AB484" s="366"/>
      <c r="AC484" s="367"/>
      <c r="AD484" s="365" t="s">
        <v>180</v>
      </c>
      <c r="AE484" s="366">
        <f>AF484/AF407</f>
        <v>3.4429071767426267E-2</v>
      </c>
      <c r="AF484" s="368">
        <f>AF408-AF469+AF482</f>
        <v>183983.7900000001</v>
      </c>
      <c r="AG484" s="369"/>
      <c r="AH484" s="368">
        <f>AF484-Z484</f>
        <v>-9610.869409571751</v>
      </c>
      <c r="AI484" s="481">
        <f>AH484/Z484</f>
        <v>-4.9644289976196333E-2</v>
      </c>
      <c r="AJ484" s="371" t="s">
        <v>180</v>
      </c>
      <c r="AK484" s="366">
        <f>IF($AL$407=0,0,AL484/$AL$407)</f>
        <v>5.3526494562533885E-3</v>
      </c>
      <c r="AL484" s="368">
        <f>AL408-AL469+AL482</f>
        <v>14296.289999999979</v>
      </c>
      <c r="AM484" s="372"/>
      <c r="AN484" s="368">
        <f t="shared" si="108"/>
        <v>169687.50000000012</v>
      </c>
      <c r="AO484" s="373">
        <f t="shared" si="106"/>
        <v>11.86933812898314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77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ref="A486:A499" si="113">+U486&amp;V486</f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Septembre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13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13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4.2501789611488976E-2</v>
      </c>
      <c r="Z489" s="446">
        <f>Z490+Z416</f>
        <v>224406.21721753437</v>
      </c>
      <c r="AA489" s="443"/>
      <c r="AB489" s="444"/>
      <c r="AC489" s="445"/>
      <c r="AD489" s="443" t="s">
        <v>180</v>
      </c>
      <c r="AE489" s="444">
        <f>AF489/AF407</f>
        <v>4.0180823942873332E-2</v>
      </c>
      <c r="AF489" s="446">
        <f>AF490+AF416</f>
        <v>214720.2900000001</v>
      </c>
      <c r="AG489" s="447"/>
      <c r="AH489" s="446">
        <f>AF489-Z489</f>
        <v>-9685.9272175342776</v>
      </c>
      <c r="AI489" s="488">
        <f>AH489/Z489</f>
        <v>-4.3162472669573841E-2</v>
      </c>
      <c r="AJ489" s="443" t="s">
        <v>180</v>
      </c>
      <c r="AK489" s="444">
        <f>IF($AL$407=0,0,AL489/$AL$407)</f>
        <v>1.47471000252894E-2</v>
      </c>
      <c r="AL489" s="446">
        <f>AL490+AL416</f>
        <v>39387.749999999978</v>
      </c>
      <c r="AM489" s="448"/>
      <c r="AN489" s="446">
        <f>AF489-AL489</f>
        <v>175332.54000000012</v>
      </c>
      <c r="AO489" s="449">
        <f>IF(AL489=0,0,AN489/AL489)</f>
        <v>4.4514484833482548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113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3.6666183255329922E-2</v>
      </c>
      <c r="Z490" s="379">
        <f>Z484</f>
        <v>193594.65940957185</v>
      </c>
      <c r="AA490" s="377"/>
      <c r="AB490" s="378"/>
      <c r="AC490" s="379"/>
      <c r="AD490" s="377" t="s">
        <v>180</v>
      </c>
      <c r="AE490" s="378">
        <f>AF490/AF407</f>
        <v>3.4429071767426267E-2</v>
      </c>
      <c r="AF490" s="379">
        <f>AF484</f>
        <v>183983.7900000001</v>
      </c>
      <c r="AG490" s="380"/>
      <c r="AH490" s="368">
        <f>AF490-Z490</f>
        <v>-9610.869409571751</v>
      </c>
      <c r="AI490" s="481">
        <f>AH490/Z490</f>
        <v>-4.9644289976196333E-2</v>
      </c>
      <c r="AJ490" s="377" t="s">
        <v>180</v>
      </c>
      <c r="AK490" s="378">
        <f>IF($AL$407=0,0,AL490/$AL$407)</f>
        <v>5.3526494562533885E-3</v>
      </c>
      <c r="AL490" s="381">
        <f>AL484</f>
        <v>14296.289999999979</v>
      </c>
      <c r="AM490" s="382"/>
      <c r="AN490" s="383">
        <f>AF490-AL490</f>
        <v>169687.50000000012</v>
      </c>
      <c r="AO490" s="384">
        <f>IF(AL490=0,0,AN490/AL490)</f>
        <v>11.86933812898314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13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13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v>4077.75</v>
      </c>
      <c r="AA492" s="277"/>
      <c r="AB492" s="285"/>
      <c r="AC492" s="278"/>
      <c r="AD492" s="277"/>
      <c r="AE492" s="285"/>
      <c r="AF492" s="278">
        <v>4077.75</v>
      </c>
      <c r="AG492" s="277"/>
      <c r="AH492" s="280">
        <f t="shared" ref="AH492:AH499" si="114">AF492-Z492</f>
        <v>0</v>
      </c>
      <c r="AI492" s="304">
        <f t="shared" ref="AI492:AI498" si="115">IF(Z492=0,0,AH492/Z492)</f>
        <v>0</v>
      </c>
      <c r="AJ492" s="277"/>
      <c r="AK492" s="277"/>
      <c r="AL492" s="278">
        <v>15300</v>
      </c>
      <c r="AM492" s="282"/>
      <c r="AN492" s="280">
        <f t="shared" ref="AN492:AN499" si="116">AF492-AL492</f>
        <v>-11222.25</v>
      </c>
      <c r="AO492" s="287">
        <f t="shared" ref="AO492:AO499" si="117">IF(AL492=0,0,AN492/AL492)</f>
        <v>-0.73348039215686278</v>
      </c>
      <c r="AP492" s="244"/>
      <c r="AQ492" s="494">
        <v>4078</v>
      </c>
      <c r="AR492" s="308">
        <f t="shared" ref="AR492:AR497" si="118"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13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v>0</v>
      </c>
      <c r="AA493" s="10"/>
      <c r="AB493" s="10"/>
      <c r="AC493" s="278"/>
      <c r="AD493" s="10"/>
      <c r="AE493" s="13"/>
      <c r="AF493" s="278">
        <v>0</v>
      </c>
      <c r="AG493" s="10"/>
      <c r="AH493" s="280">
        <f t="shared" si="114"/>
        <v>0</v>
      </c>
      <c r="AI493" s="304">
        <f t="shared" si="115"/>
        <v>0</v>
      </c>
      <c r="AJ493" s="10"/>
      <c r="AK493" s="10"/>
      <c r="AL493" s="278">
        <v>0</v>
      </c>
      <c r="AM493" s="391"/>
      <c r="AN493" s="280">
        <f t="shared" si="116"/>
        <v>0</v>
      </c>
      <c r="AO493" s="287">
        <f t="shared" si="117"/>
        <v>0</v>
      </c>
      <c r="AP493" s="244"/>
      <c r="AQ493" s="244"/>
      <c r="AR493" s="308">
        <f t="shared" si="118"/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13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v>0</v>
      </c>
      <c r="AA494" s="10"/>
      <c r="AB494" s="10"/>
      <c r="AC494" s="278"/>
      <c r="AD494" s="10"/>
      <c r="AE494" s="13"/>
      <c r="AF494" s="278">
        <v>0</v>
      </c>
      <c r="AG494" s="10"/>
      <c r="AH494" s="280">
        <f t="shared" si="114"/>
        <v>0</v>
      </c>
      <c r="AI494" s="304">
        <f t="shared" si="115"/>
        <v>0</v>
      </c>
      <c r="AJ494" s="10"/>
      <c r="AK494" s="10"/>
      <c r="AL494" s="278">
        <v>0</v>
      </c>
      <c r="AM494" s="391"/>
      <c r="AN494" s="280">
        <f t="shared" si="116"/>
        <v>0</v>
      </c>
      <c r="AO494" s="287">
        <f t="shared" si="117"/>
        <v>0</v>
      </c>
      <c r="AP494" s="244"/>
      <c r="AQ494" s="244"/>
      <c r="AR494" s="308">
        <f t="shared" si="118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13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v>0</v>
      </c>
      <c r="AA495" s="10"/>
      <c r="AB495" s="10"/>
      <c r="AC495" s="278"/>
      <c r="AD495" s="10"/>
      <c r="AE495" s="13"/>
      <c r="AF495" s="278">
        <v>0</v>
      </c>
      <c r="AG495" s="10"/>
      <c r="AH495" s="280">
        <f t="shared" si="114"/>
        <v>0</v>
      </c>
      <c r="AI495" s="304">
        <f t="shared" si="115"/>
        <v>0</v>
      </c>
      <c r="AJ495" s="10"/>
      <c r="AK495" s="10"/>
      <c r="AL495" s="278">
        <v>0</v>
      </c>
      <c r="AM495" s="391"/>
      <c r="AN495" s="280">
        <f t="shared" si="116"/>
        <v>0</v>
      </c>
      <c r="AO495" s="287">
        <f t="shared" si="117"/>
        <v>0</v>
      </c>
      <c r="AP495" s="244"/>
      <c r="AQ495" s="244"/>
      <c r="AR495" s="308">
        <f t="shared" si="118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13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v>0</v>
      </c>
      <c r="AG496" s="279"/>
      <c r="AH496" s="280">
        <f t="shared" si="114"/>
        <v>0</v>
      </c>
      <c r="AI496" s="281">
        <f t="shared" si="115"/>
        <v>0</v>
      </c>
      <c r="AJ496" s="286"/>
      <c r="AK496" s="277"/>
      <c r="AL496" s="278"/>
      <c r="AM496" s="391"/>
      <c r="AN496" s="280">
        <f t="shared" si="116"/>
        <v>0</v>
      </c>
      <c r="AO496" s="287">
        <f t="shared" si="117"/>
        <v>0</v>
      </c>
      <c r="AP496" s="244"/>
      <c r="AQ496" s="244"/>
      <c r="AR496" s="308">
        <f t="shared" si="118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13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v>0</v>
      </c>
      <c r="AA497" s="277"/>
      <c r="AB497" s="277"/>
      <c r="AC497" s="280"/>
      <c r="AD497" s="286"/>
      <c r="AE497" s="285"/>
      <c r="AF497" s="278">
        <v>-4510.96</v>
      </c>
      <c r="AG497" s="279"/>
      <c r="AH497" s="280">
        <f t="shared" si="114"/>
        <v>-4510.96</v>
      </c>
      <c r="AI497" s="281">
        <f t="shared" si="115"/>
        <v>0</v>
      </c>
      <c r="AJ497" s="286"/>
      <c r="AK497" s="277"/>
      <c r="AL497" s="278">
        <v>-2547.54</v>
      </c>
      <c r="AM497" s="391"/>
      <c r="AN497" s="280">
        <f t="shared" si="116"/>
        <v>-1963.42</v>
      </c>
      <c r="AO497" s="287">
        <f t="shared" si="117"/>
        <v>0.77071213798409455</v>
      </c>
      <c r="AP497" s="244"/>
      <c r="AQ497" s="308">
        <v>-4511</v>
      </c>
      <c r="AR497" s="308">
        <f t="shared" si="118"/>
        <v>-3.999999999996362E-2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13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v>0</v>
      </c>
      <c r="AG498" s="279"/>
      <c r="AH498" s="280">
        <f t="shared" si="114"/>
        <v>0</v>
      </c>
      <c r="AI498" s="281">
        <f t="shared" si="115"/>
        <v>0</v>
      </c>
      <c r="AJ498" s="286"/>
      <c r="AK498" s="277"/>
      <c r="AL498" s="278"/>
      <c r="AM498" s="391"/>
      <c r="AN498" s="280">
        <f t="shared" si="116"/>
        <v>0</v>
      </c>
      <c r="AO498" s="287">
        <f t="shared" si="117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13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3.5893870996172479E-2</v>
      </c>
      <c r="Z499" s="367">
        <f>Z490-Z492-Z493-Z494-Z498-Z497-Z495-Z496</f>
        <v>189516.90940957185</v>
      </c>
      <c r="AA499" s="365"/>
      <c r="AB499" s="366"/>
      <c r="AC499" s="367"/>
      <c r="AD499" s="365" t="s">
        <v>180</v>
      </c>
      <c r="AE499" s="366">
        <f>AF499/AF407</f>
        <v>3.4510138790669817E-2</v>
      </c>
      <c r="AF499" s="368">
        <f>AF490-AF492-AF493-AF494-AF498-AF497-AF495-AF496</f>
        <v>184417.00000000009</v>
      </c>
      <c r="AG499" s="369"/>
      <c r="AH499" s="368">
        <f t="shared" si="114"/>
        <v>-5099.9094095717592</v>
      </c>
      <c r="AI499" s="481">
        <f>AH499/Z499</f>
        <v>-2.6910049480335079E-2</v>
      </c>
      <c r="AJ499" s="371" t="s">
        <v>180</v>
      </c>
      <c r="AK499" s="366">
        <f>IF($AL$407=0,0,AL499/$AL$407)</f>
        <v>5.7802274646412248E-4</v>
      </c>
      <c r="AL499" s="368">
        <f>AL490-AL492-AL493-AL494-AL498-AL497-AL495-AL496</f>
        <v>1543.829999999979</v>
      </c>
      <c r="AM499" s="372"/>
      <c r="AN499" s="368">
        <f t="shared" si="116"/>
        <v>182873.1700000001</v>
      </c>
      <c r="AO499" s="392">
        <f t="shared" si="117"/>
        <v>118.45421451843958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184417.00000000009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267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184417.00000000009</v>
      </c>
      <c r="AG512" s="308">
        <f>AF512-AF506</f>
        <v>184417.00000000009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</sheetData>
  <mergeCells count="42"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  <mergeCell ref="M91:N91"/>
    <mergeCell ref="O91:Q91"/>
    <mergeCell ref="M171:N171"/>
    <mergeCell ref="O171:Q17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AM405:AO405"/>
    <mergeCell ref="X405:Z405"/>
    <mergeCell ref="AA405:AC405"/>
    <mergeCell ref="AD405:AF405"/>
    <mergeCell ref="AG405:AI405"/>
    <mergeCell ref="AJ405:AL405"/>
  </mergeCells>
  <conditionalFormatting sqref="D113:D114">
    <cfRule type="expression" dxfId="109" priority="26" stopIfTrue="1">
      <formula>"esterreur(reference)"</formula>
    </cfRule>
  </conditionalFormatting>
  <conditionalFormatting sqref="E103:E105">
    <cfRule type="expression" dxfId="108" priority="2" stopIfTrue="1">
      <formula>"esterreur(reference)"</formula>
    </cfRule>
  </conditionalFormatting>
  <conditionalFormatting sqref="F5">
    <cfRule type="expression" dxfId="107" priority="69" stopIfTrue="1">
      <formula>"esterreur(reference)"</formula>
    </cfRule>
  </conditionalFormatting>
  <conditionalFormatting sqref="F185">
    <cfRule type="expression" dxfId="106" priority="78" stopIfTrue="1">
      <formula>"esterreur(reference)"</formula>
    </cfRule>
  </conditionalFormatting>
  <conditionalFormatting sqref="G31:G32">
    <cfRule type="expression" dxfId="105" priority="30" stopIfTrue="1">
      <formula>"esterreur(reference)"</formula>
    </cfRule>
  </conditionalFormatting>
  <conditionalFormatting sqref="G113:G114">
    <cfRule type="expression" dxfId="104" priority="27" stopIfTrue="1">
      <formula>"esterreur(reference)"</formula>
    </cfRule>
  </conditionalFormatting>
  <conditionalFormatting sqref="H137:H153">
    <cfRule type="expression" dxfId="103" priority="35" stopIfTrue="1">
      <formula>"esterreur(reference)"</formula>
    </cfRule>
  </conditionalFormatting>
  <conditionalFormatting sqref="H361">
    <cfRule type="expression" dxfId="102" priority="108" stopIfTrue="1">
      <formula>"esterreur(reference)"</formula>
    </cfRule>
  </conditionalFormatting>
  <conditionalFormatting sqref="H198:L198">
    <cfRule type="expression" dxfId="101" priority="110" stopIfTrue="1">
      <formula>"esterreur(reference)"</formula>
    </cfRule>
  </conditionalFormatting>
  <conditionalFormatting sqref="H397:L400">
    <cfRule type="expression" dxfId="100" priority="106" stopIfTrue="1">
      <formula>"esterreur(reference)"</formula>
    </cfRule>
  </conditionalFormatting>
  <conditionalFormatting sqref="I378:L378 H379:H396">
    <cfRule type="expression" dxfId="9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8" priority="102" stopIfTrue="1">
      <formula>"esterreur(reference)"</formula>
    </cfRule>
  </conditionalFormatting>
  <conditionalFormatting sqref="J49:L72">
    <cfRule type="expression" dxfId="97" priority="36" stopIfTrue="1">
      <formula>"esterreur(reference)"</formula>
    </cfRule>
  </conditionalFormatting>
  <conditionalFormatting sqref="J103:L105">
    <cfRule type="expression" dxfId="96" priority="99" stopIfTrue="1">
      <formula>"esterreur(reference)"</formula>
    </cfRule>
  </conditionalFormatting>
  <conditionalFormatting sqref="J150:L153">
    <cfRule type="expression" dxfId="95" priority="34" stopIfTrue="1">
      <formula>"esterreur(reference)"</formula>
    </cfRule>
  </conditionalFormatting>
  <conditionalFormatting sqref="J296:L304">
    <cfRule type="expression" dxfId="94" priority="95" stopIfTrue="1">
      <formula>"esterreur(reference)"</formula>
    </cfRule>
  </conditionalFormatting>
  <conditionalFormatting sqref="J308:L309">
    <cfRule type="expression" dxfId="93" priority="85" stopIfTrue="1">
      <formula>"esterreur(reference)"</formula>
    </cfRule>
  </conditionalFormatting>
  <conditionalFormatting sqref="J361:L361">
    <cfRule type="expression" dxfId="92" priority="77" stopIfTrue="1">
      <formula>"esterreur(reference)"</formula>
    </cfRule>
  </conditionalFormatting>
  <conditionalFormatting sqref="J366:L377">
    <cfRule type="expression" dxfId="91" priority="82" stopIfTrue="1">
      <formula>"esterreur(reference)"</formula>
    </cfRule>
  </conditionalFormatting>
  <conditionalFormatting sqref="J379:L395">
    <cfRule type="expression" dxfId="90" priority="81" stopIfTrue="1">
      <formula>"esterreur(reference)"</formula>
    </cfRule>
  </conditionalFormatting>
  <conditionalFormatting sqref="J313:M313">
    <cfRule type="expression" dxfId="89" priority="83" stopIfTrue="1">
      <formula>"esterreur(reference)"</formula>
    </cfRule>
  </conditionalFormatting>
  <conditionalFormatting sqref="J113:Q122">
    <cfRule type="expression" dxfId="88" priority="28" stopIfTrue="1">
      <formula>"esterreur(reference)"</formula>
    </cfRule>
  </conditionalFormatting>
  <conditionalFormatting sqref="J124:Q135">
    <cfRule type="expression" dxfId="87" priority="61" stopIfTrue="1">
      <formula>"esterreur(reference)"</formula>
    </cfRule>
  </conditionalFormatting>
  <conditionalFormatting sqref="K5">
    <cfRule type="expression" dxfId="86" priority="92" stopIfTrue="1">
      <formula>"esterreur(reference)"</formula>
    </cfRule>
  </conditionalFormatting>
  <conditionalFormatting sqref="K176">
    <cfRule type="expression" dxfId="85" priority="89" stopIfTrue="1">
      <formula>"esterreur(reference)"</formula>
    </cfRule>
  </conditionalFormatting>
  <conditionalFormatting sqref="K184:K185">
    <cfRule type="expression" dxfId="84" priority="91" stopIfTrue="1">
      <formula>"esterreur(reference)"</formula>
    </cfRule>
  </conditionalFormatting>
  <conditionalFormatting sqref="K288">
    <cfRule type="expression" dxfId="83" priority="75" stopIfTrue="1">
      <formula>"esterreur(reference)"</formula>
    </cfRule>
  </conditionalFormatting>
  <conditionalFormatting sqref="K396">
    <cfRule type="expression" dxfId="82" priority="109" stopIfTrue="1">
      <formula>"esterreur(reference)"</formula>
    </cfRule>
  </conditionalFormatting>
  <conditionalFormatting sqref="K93:L96">
    <cfRule type="expression" dxfId="81" priority="80" stopIfTrue="1">
      <formula>"esterreur(reference)"</formula>
    </cfRule>
  </conditionalFormatting>
  <conditionalFormatting sqref="K100:L101">
    <cfRule type="expression" dxfId="80" priority="100" stopIfTrue="1">
      <formula>"esterreur(reference)"</formula>
    </cfRule>
  </conditionalFormatting>
  <conditionalFormatting sqref="K172:L174">
    <cfRule type="expression" dxfId="79" priority="90" stopIfTrue="1">
      <formula>"esterreur(reference)"</formula>
    </cfRule>
  </conditionalFormatting>
  <conditionalFormatting sqref="K177:L183">
    <cfRule type="expression" dxfId="78" priority="88" stopIfTrue="1">
      <formula>"esterreur(reference)"</formula>
    </cfRule>
  </conditionalFormatting>
  <conditionalFormatting sqref="K186:L197">
    <cfRule type="expression" dxfId="77" priority="84" stopIfTrue="1">
      <formula>"esterreur(reference)"</formula>
    </cfRule>
  </conditionalFormatting>
  <conditionalFormatting sqref="K240:L242">
    <cfRule type="expression" dxfId="76" priority="79" stopIfTrue="1">
      <formula>"esterreur(reference)"</formula>
    </cfRule>
  </conditionalFormatting>
  <conditionalFormatting sqref="K245:L245">
    <cfRule type="expression" dxfId="75" priority="87" stopIfTrue="1">
      <formula>"esterreur(reference)"</formula>
    </cfRule>
  </conditionalFormatting>
  <conditionalFormatting sqref="K248:L248">
    <cfRule type="expression" dxfId="74" priority="86" stopIfTrue="1">
      <formula>"esterreur(reference)"</formula>
    </cfRule>
  </conditionalFormatting>
  <conditionalFormatting sqref="L16:L24 Q16:Q24 O18:O24 D31:D32 L99 O99 Q99">
    <cfRule type="expression" dxfId="73" priority="31" stopIfTrue="1">
      <formula>"esterreur(reference)"</formula>
    </cfRule>
  </conditionalFormatting>
  <conditionalFormatting sqref="L42:L48">
    <cfRule type="expression" dxfId="72" priority="101" stopIfTrue="1">
      <formula>"esterreur(reference)"</formula>
    </cfRule>
  </conditionalFormatting>
  <conditionalFormatting sqref="L75:L82">
    <cfRule type="expression" dxfId="71" priority="70" stopIfTrue="1">
      <formula>"esterreur(reference)"</formula>
    </cfRule>
  </conditionalFormatting>
  <conditionalFormatting sqref="L137:L148">
    <cfRule type="expression" dxfId="70" priority="74" stopIfTrue="1">
      <formula>"esterreur(reference)"</formula>
    </cfRule>
  </conditionalFormatting>
  <conditionalFormatting sqref="L175:L176">
    <cfRule type="expression" dxfId="69" priority="98" stopIfTrue="1">
      <formula>"esterreur(reference)"</formula>
    </cfRule>
  </conditionalFormatting>
  <conditionalFormatting sqref="L199:L210">
    <cfRule type="expression" dxfId="68" priority="97" stopIfTrue="1">
      <formula>"esterreur(reference)"</formula>
    </cfRule>
  </conditionalFormatting>
  <conditionalFormatting sqref="L212:L229">
    <cfRule type="expression" dxfId="67" priority="73" stopIfTrue="1">
      <formula>"esterreur(reference)"</formula>
    </cfRule>
  </conditionalFormatting>
  <conditionalFormatting sqref="L255:L266">
    <cfRule type="expression" dxfId="66" priority="96" stopIfTrue="1">
      <formula>"esterreur(reference)"</formula>
    </cfRule>
  </conditionalFormatting>
  <conditionalFormatting sqref="L268:L285">
    <cfRule type="expression" dxfId="65" priority="72" stopIfTrue="1">
      <formula>"esterreur(reference)"</formula>
    </cfRule>
  </conditionalFormatting>
  <conditionalFormatting sqref="L319:L330">
    <cfRule type="expression" dxfId="64" priority="94" stopIfTrue="1">
      <formula>"esterreur(reference)"</formula>
    </cfRule>
  </conditionalFormatting>
  <conditionalFormatting sqref="L332">
    <cfRule type="expression" dxfId="63" priority="71" stopIfTrue="1">
      <formula>"esterreur(reference)"</formula>
    </cfRule>
  </conditionalFormatting>
  <conditionalFormatting sqref="L335:L344 L346:L349">
    <cfRule type="expression" dxfId="62" priority="93" stopIfTrue="1">
      <formula>"esterreur(reference)"</formula>
    </cfRule>
  </conditionalFormatting>
  <conditionalFormatting sqref="L357:L358 H358:I358 K358 J358:J359 H360:L360">
    <cfRule type="expression" dxfId="61" priority="105" stopIfTrue="1">
      <formula>"esterreur(reference)"</formula>
    </cfRule>
  </conditionalFormatting>
  <conditionalFormatting sqref="L5:Q14">
    <cfRule type="expression" dxfId="60" priority="65" stopIfTrue="1">
      <formula>"esterreur(reference)"</formula>
    </cfRule>
  </conditionalFormatting>
  <conditionalFormatting sqref="L157:Q163">
    <cfRule type="expression" dxfId="59" priority="32" stopIfTrue="1">
      <formula>"esterreur(reference)"</formula>
    </cfRule>
  </conditionalFormatting>
  <conditionalFormatting sqref="M95:M97">
    <cfRule type="expression" dxfId="58" priority="103" stopIfTrue="1">
      <formula>"esterreur(reference)"</formula>
    </cfRule>
  </conditionalFormatting>
  <conditionalFormatting sqref="O13:O14 O16 O83:Q85">
    <cfRule type="expression" dxfId="57" priority="68" stopIfTrue="1">
      <formula>"esterreur(reference)"</formula>
    </cfRule>
  </conditionalFormatting>
  <conditionalFormatting sqref="O173:O197 Q184 O199:P230 O233:Q233 O234:P234">
    <cfRule type="expression" dxfId="56" priority="59" stopIfTrue="1">
      <formula>"esterreur(reference)"</formula>
    </cfRule>
  </conditionalFormatting>
  <conditionalFormatting sqref="O319:P349 O350:Q350 O353:Q353 O354:P354">
    <cfRule type="expression" dxfId="55" priority="43" stopIfTrue="1">
      <formula>"esterreur(reference)"</formula>
    </cfRule>
  </conditionalFormatting>
  <conditionalFormatting sqref="O25:Q72">
    <cfRule type="expression" dxfId="54" priority="29" stopIfTrue="1">
      <formula>"esterreur(reference)"</formula>
    </cfRule>
  </conditionalFormatting>
  <conditionalFormatting sqref="O97:Q99 O123:Q123 O157:P158 O165:Q165 O166:P166">
    <cfRule type="expression" dxfId="53" priority="64" stopIfTrue="1">
      <formula>"esterreur(reference)"</formula>
    </cfRule>
  </conditionalFormatting>
  <conditionalFormatting sqref="O102:Q112">
    <cfRule type="expression" dxfId="52" priority="1" stopIfTrue="1">
      <formula>"esterreur(reference)"</formula>
    </cfRule>
  </conditionalFormatting>
  <conditionalFormatting sqref="O136:Q154">
    <cfRule type="expression" dxfId="51" priority="33" stopIfTrue="1">
      <formula>"esterreur(reference)"</formula>
    </cfRule>
  </conditionalFormatting>
  <conditionalFormatting sqref="O198:Q198">
    <cfRule type="expression" dxfId="50" priority="60" stopIfTrue="1">
      <formula>"esterreur(reference)"</formula>
    </cfRule>
  </conditionalFormatting>
  <conditionalFormatting sqref="O244:Q244 O253:Q254 O255:P285 O286:Q286 O289:Q289 O290:P290">
    <cfRule type="expression" dxfId="49" priority="50" stopIfTrue="1">
      <formula>"esterreur(reference)"</formula>
    </cfRule>
  </conditionalFormatting>
  <conditionalFormatting sqref="O296:Q318">
    <cfRule type="expression" dxfId="48" priority="41" stopIfTrue="1">
      <formula>"esterreur(reference)"</formula>
    </cfRule>
  </conditionalFormatting>
  <conditionalFormatting sqref="O360:Q395">
    <cfRule type="expression" dxfId="47" priority="37" stopIfTrue="1">
      <formula>"esterreur(reference)"</formula>
    </cfRule>
  </conditionalFormatting>
  <conditionalFormatting sqref="O397:Q400">
    <cfRule type="expression" dxfId="46" priority="38" stopIfTrue="1">
      <formula>"esterreur(reference)"</formula>
    </cfRule>
  </conditionalFormatting>
  <conditionalFormatting sqref="P5">
    <cfRule type="expression" dxfId="45" priority="66" stopIfTrue="1">
      <formula>"esterreur(reference)"</formula>
    </cfRule>
  </conditionalFormatting>
  <conditionalFormatting sqref="P176">
    <cfRule type="expression" dxfId="44" priority="54" stopIfTrue="1">
      <formula>"esterreur(reference)"</formula>
    </cfRule>
  </conditionalFormatting>
  <conditionalFormatting sqref="P184:P185">
    <cfRule type="expression" dxfId="43" priority="56" stopIfTrue="1">
      <formula>"esterreur(reference)"</formula>
    </cfRule>
  </conditionalFormatting>
  <conditionalFormatting sqref="P288">
    <cfRule type="expression" dxfId="42" priority="45" stopIfTrue="1">
      <formula>"esterreur(reference)"</formula>
    </cfRule>
  </conditionalFormatting>
  <conditionalFormatting sqref="P396">
    <cfRule type="expression" dxfId="41" priority="39" stopIfTrue="1">
      <formula>"esterreur(reference)"</formula>
    </cfRule>
  </conditionalFormatting>
  <conditionalFormatting sqref="P93:Q96">
    <cfRule type="expression" dxfId="40" priority="62" stopIfTrue="1">
      <formula>"esterreur(reference)"</formula>
    </cfRule>
  </conditionalFormatting>
  <conditionalFormatting sqref="P100:Q101">
    <cfRule type="expression" dxfId="39" priority="63" stopIfTrue="1">
      <formula>"esterreur(reference)"</formula>
    </cfRule>
  </conditionalFormatting>
  <conditionalFormatting sqref="P173:Q174">
    <cfRule type="expression" dxfId="38" priority="55" stopIfTrue="1">
      <formula>"esterreur(reference)"</formula>
    </cfRule>
  </conditionalFormatting>
  <conditionalFormatting sqref="P177:Q183">
    <cfRule type="expression" dxfId="37" priority="53" stopIfTrue="1">
      <formula>"esterreur(reference)"</formula>
    </cfRule>
  </conditionalFormatting>
  <conditionalFormatting sqref="P186:Q197">
    <cfRule type="expression" dxfId="36" priority="52" stopIfTrue="1">
      <formula>"esterreur(reference)"</formula>
    </cfRule>
  </conditionalFormatting>
  <conditionalFormatting sqref="P242:Q242">
    <cfRule type="expression" dxfId="35" priority="46" stopIfTrue="1">
      <formula>"esterreur(reference)"</formula>
    </cfRule>
  </conditionalFormatting>
  <conditionalFormatting sqref="P245:Q245">
    <cfRule type="expression" dxfId="34" priority="48" stopIfTrue="1">
      <formula>"esterreur(reference)"</formula>
    </cfRule>
  </conditionalFormatting>
  <conditionalFormatting sqref="P248:Q248">
    <cfRule type="expression" dxfId="33" priority="47" stopIfTrue="1">
      <formula>"esterreur(reference)"</formula>
    </cfRule>
  </conditionalFormatting>
  <conditionalFormatting sqref="Q75:Q82">
    <cfRule type="expression" dxfId="32" priority="67" stopIfTrue="1">
      <formula>"esterreur(reference)"</formula>
    </cfRule>
  </conditionalFormatting>
  <conditionalFormatting sqref="Q175:Q176">
    <cfRule type="expression" dxfId="31" priority="58" stopIfTrue="1">
      <formula>"esterreur(reference)"</formula>
    </cfRule>
  </conditionalFormatting>
  <conditionalFormatting sqref="Q199:Q210">
    <cfRule type="expression" dxfId="30" priority="57" stopIfTrue="1">
      <formula>"esterreur(reference)"</formula>
    </cfRule>
  </conditionalFormatting>
  <conditionalFormatting sqref="Q212:Q229">
    <cfRule type="expression" dxfId="29" priority="51" stopIfTrue="1">
      <formula>"esterreur(reference)"</formula>
    </cfRule>
  </conditionalFormatting>
  <conditionalFormatting sqref="Q255:Q266">
    <cfRule type="expression" dxfId="28" priority="49" stopIfTrue="1">
      <formula>"esterreur(reference)"</formula>
    </cfRule>
  </conditionalFormatting>
  <conditionalFormatting sqref="Q268:Q285">
    <cfRule type="expression" dxfId="27" priority="44" stopIfTrue="1">
      <formula>"esterreur(reference)"</formula>
    </cfRule>
  </conditionalFormatting>
  <conditionalFormatting sqref="Q319:Q330">
    <cfRule type="expression" dxfId="26" priority="42" stopIfTrue="1">
      <formula>"esterreur(reference)"</formula>
    </cfRule>
  </conditionalFormatting>
  <conditionalFormatting sqref="Q332:Q349">
    <cfRule type="expression" dxfId="25" priority="40" stopIfTrue="1">
      <formula>"esterreur(reference)"</formula>
    </cfRule>
  </conditionalFormatting>
  <conditionalFormatting sqref="R313">
    <cfRule type="expression" dxfId="24" priority="104" stopIfTrue="1">
      <formula>"esterreur(reference)"</formula>
    </cfRule>
  </conditionalFormatting>
  <conditionalFormatting sqref="S187">
    <cfRule type="expression" dxfId="23" priority="76" stopIfTrue="1">
      <formula>"esterreur(reference)"</formula>
    </cfRule>
  </conditionalFormatting>
  <conditionalFormatting sqref="Z426:Z428">
    <cfRule type="cellIs" dxfId="22" priority="20" operator="greaterThan">
      <formula>0</formula>
    </cfRule>
  </conditionalFormatting>
  <conditionalFormatting sqref="Z433">
    <cfRule type="cellIs" dxfId="21" priority="17" operator="greaterThan">
      <formula>0</formula>
    </cfRule>
  </conditionalFormatting>
  <conditionalFormatting sqref="Z450:Z452">
    <cfRule type="cellIs" dxfId="20" priority="13" operator="greaterThan">
      <formula>0</formula>
    </cfRule>
  </conditionalFormatting>
  <conditionalFormatting sqref="Z464:Z466">
    <cfRule type="cellIs" dxfId="19" priority="9" operator="greaterThan">
      <formula>0</formula>
    </cfRule>
  </conditionalFormatting>
  <conditionalFormatting sqref="Z479:Z480">
    <cfRule type="cellIs" dxfId="18" priority="6" operator="greaterThan">
      <formula>0</formula>
    </cfRule>
  </conditionalFormatting>
  <conditionalFormatting sqref="Z496:Z498">
    <cfRule type="cellIs" dxfId="17" priority="3" operator="greaterThan">
      <formula>0</formula>
    </cfRule>
  </conditionalFormatting>
  <conditionalFormatting sqref="AC426:AC428">
    <cfRule type="cellIs" dxfId="16" priority="21" operator="greaterThan">
      <formula>0</formula>
    </cfRule>
  </conditionalFormatting>
  <conditionalFormatting sqref="AC433">
    <cfRule type="cellIs" dxfId="15" priority="18" operator="greaterThan">
      <formula>0</formula>
    </cfRule>
  </conditionalFormatting>
  <conditionalFormatting sqref="AC450:AC452">
    <cfRule type="cellIs" dxfId="14" priority="14" operator="greaterThan">
      <formula>0</formula>
    </cfRule>
  </conditionalFormatting>
  <conditionalFormatting sqref="AC464:AC466">
    <cfRule type="cellIs" dxfId="13" priority="10" operator="greaterThan">
      <formula>0</formula>
    </cfRule>
  </conditionalFormatting>
  <conditionalFormatting sqref="AC479:AC480">
    <cfRule type="cellIs" dxfId="12" priority="7" operator="greaterThan">
      <formula>0</formula>
    </cfRule>
  </conditionalFormatting>
  <conditionalFormatting sqref="AC496:AC498">
    <cfRule type="cellIs" dxfId="11" priority="4" operator="greaterThan">
      <formula>0</formula>
    </cfRule>
  </conditionalFormatting>
  <conditionalFormatting sqref="AG410:AI419">
    <cfRule type="cellIs" dxfId="10" priority="23" operator="greaterThan">
      <formula>0</formula>
    </cfRule>
  </conditionalFormatting>
  <conditionalFormatting sqref="AH450:AH453">
    <cfRule type="cellIs" dxfId="9" priority="15" operator="greaterThan">
      <formula>0</formula>
    </cfRule>
  </conditionalFormatting>
  <conditionalFormatting sqref="AH462:AH467">
    <cfRule type="cellIs" dxfId="8" priority="11" operator="greaterThan">
      <formula>0</formula>
    </cfRule>
  </conditionalFormatting>
  <conditionalFormatting sqref="AH421:AI449">
    <cfRule type="cellIs" dxfId="7" priority="19" operator="greaterThan">
      <formula>0</formula>
    </cfRule>
  </conditionalFormatting>
  <conditionalFormatting sqref="AH454:AI461 AH468:AI469">
    <cfRule type="cellIs" dxfId="6" priority="24" operator="greaterThan">
      <formula>0</formula>
    </cfRule>
  </conditionalFormatting>
  <conditionalFormatting sqref="AH470:AI478 AH481:AI481">
    <cfRule type="cellIs" dxfId="5" priority="25" operator="lessThan">
      <formula>0</formula>
    </cfRule>
  </conditionalFormatting>
  <conditionalFormatting sqref="AH479:AI480">
    <cfRule type="cellIs" dxfId="4" priority="8" operator="greaterThan">
      <formula>0</formula>
    </cfRule>
  </conditionalFormatting>
  <conditionalFormatting sqref="AH492:AI498">
    <cfRule type="cellIs" dxfId="3" priority="5" operator="greaterThan">
      <formula>0</formula>
    </cfRule>
  </conditionalFormatting>
  <conditionalFormatting sqref="AI450:AI452">
    <cfRule type="cellIs" dxfId="2" priority="16" operator="greaterThan">
      <formula>0</formula>
    </cfRule>
  </conditionalFormatting>
  <conditionalFormatting sqref="AI464:AI466">
    <cfRule type="cellIs" dxfId="1" priority="12" operator="greaterThan">
      <formula>0</formula>
    </cfRule>
  </conditionalFormatting>
  <conditionalFormatting sqref="AO410:AO419">
    <cfRule type="cellIs" dxfId="0" priority="22" operator="greaterThan">
      <formula>0</formula>
    </cfRule>
  </conditionalFormatting>
  <printOptions horizontalCentered="1"/>
  <pageMargins left="0.25" right="0.25" top="0.75" bottom="0.75" header="0.3" footer="0.3"/>
  <pageSetup scale="41" fitToHeight="0" orientation="landscape" r:id="rId1"/>
  <rowBreaks count="6" manualBreakCount="6">
    <brk id="86" min="2" max="19" man="1"/>
    <brk id="166" max="16383" man="1"/>
    <brk id="234" max="16383" man="1"/>
    <brk id="290" min="2" max="19" man="1"/>
    <brk id="354" max="16383" man="1"/>
    <brk id="499" max="16383" man="1"/>
  </rowBreaks>
  <colBreaks count="2" manualBreakCount="2">
    <brk id="2" max="1048575" man="1"/>
    <brk id="21" max="696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8"/>
  <dimension ref="A1"/>
  <sheetViews>
    <sheetView workbookViewId="0">
      <selection sqref="A1:XFD1048576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2</vt:i4>
      </vt:variant>
    </vt:vector>
  </HeadingPairs>
  <TitlesOfParts>
    <vt:vector size="9" baseType="lpstr">
      <vt:lpstr>Paramètre</vt:lpstr>
      <vt:lpstr>Conso</vt:lpstr>
      <vt:lpstr>START</vt:lpstr>
      <vt:lpstr>Mois 1</vt:lpstr>
      <vt:lpstr>Mois 2</vt:lpstr>
      <vt:lpstr>Mois 3</vt:lpstr>
      <vt:lpstr>END</vt:lpstr>
      <vt:lpstr>Conso!Zone_d_impression</vt:lpstr>
      <vt:lpstr>'Mois 3'!Zone_d_impression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2026-07-14T16:58:44Z</cp:lastPrinted>
  <dcterms:created xsi:type="dcterms:W3CDTF">2021-02-12T03:12:48Z</dcterms:created>
  <dcterms:modified xsi:type="dcterms:W3CDTF">2026-10-06T19:59:51Z</dcterms:modified>
</cp:coreProperties>
</file>