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pager" sheetId="1" r:id="rId4"/>
  </sheets>
  <definedNames>
    <definedName name="_Order1">0</definedName>
    <definedName localSheetId="0" name="a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nscount">1</definedName>
    <definedName localSheetId="0"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localSheetId="0" name="Compco1">{"Page1",#N/A,FALSE,"CompCo";"Page2",#N/A,FALSE,"CompCo"}</definedName>
    <definedName name="Compco1">{"Page1",#N/A,FALSE,"CompCo";"Page2",#N/A,FALSE,"CompCo"}</definedName>
    <definedName localSheetId="0" name="Compco2">{"Page1",#N/A,FALSE,"CompCo";"Page2",#N/A,FALSE,"CompCo"}</definedName>
    <definedName name="Compco2">{"Page1",#N/A,FALSE,"CompCo";"Page2",#N/A,FALSE,"CompCo"}</definedName>
    <definedName name="DateRangePr">OFFSET(#REF!,5,0,COUNTA(#REF!)-COUNTA(#REF!),1)</definedName>
    <definedName name="DateRangePrice">OFFSET(#REF!,5,0,COUNTA(#REF!)-COUNTA(#REF!),1)</definedName>
    <definedName name="DateRangePrice1">OFFSET(#REF!,5,0,COUNTA(#REF!)-COUNTA(#REF!),1)</definedName>
    <definedName name="DateRangePrice2">OFFSET(#REF!,5,0,COUNTA(#REF!)-COUNTA(#REF!),1)</definedName>
    <definedName localSheetId="0" name="ERT">{"execsum",#N/A,FALSE,"ExecSum";"finstatement",#N/A,FALSE,"Fin_St"}</definedName>
    <definedName name="ERT">{"execsum",#N/A,FALSE,"ExecSum";"finstatement",#N/A,FALSE,"Fin_St"}</definedName>
    <definedName name="ev.Calculation">-4135</definedName>
    <definedName name="ev.Initialized">FALSE</definedName>
    <definedName name="hn.Delete015">#REF!,#REF!,#REF!,#REF!,#REF!</definedName>
    <definedName name="hn.ModelVersion">1</definedName>
    <definedName name="hn.NoUpload">0</definedName>
    <definedName name="IQ_ADDIN">"AUTO"</definedName>
    <definedName name="IQ_CH">110000</definedName>
    <definedName name="IQ_CQ">5000</definedName>
    <definedName name="IQ_CY">10000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MONTH">15000</definedName>
    <definedName name="IQ_NAMES_REVISION_DATE_">40239.5241087963</definedName>
    <definedName name="IQ_NTM">6000</definedName>
    <definedName name="IQ_SHAREOUTSTANDING">"c1347"</definedName>
    <definedName name="IQ_TODAY">0</definedName>
    <definedName name="IQ_WEEK">50000</definedName>
    <definedName name="IQ_YTD">3000</definedName>
    <definedName localSheetId="0" name="kjjkghkhj">{"finana",#N/A,FALSE,"Fin"}</definedName>
    <definedName name="kjjkghkhj">{"finana",#N/A,FALSE,"Fin"}</definedName>
    <definedName name="limcount">1</definedName>
    <definedName localSheetId="0" name="lkhkhj">{"sub1",#N/A,FALSE,"Subs";"pac1",#N/A,FALSE,"Packages";"rev1",#N/A,FALSE,"2. Revenues"}</definedName>
    <definedName name="lkhkhj">{"sub1",#N/A,FALSE,"Subs";"pac1",#N/A,FALSE,"Packages";"rev1",#N/A,FALSE,"2. Revenues"}</definedName>
    <definedName localSheetId="0" name="m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Outpu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Output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>OFFSET(#REF!,5,0,COUNTA(#REF!)-COUNTA(#REF!),1)</definedName>
    <definedName name="PriceRange2">OFFSET(#REF!,5,0,COUNTA(#REF!)-COUNTA(#REF!),1)</definedName>
    <definedName name="sencount">1</definedName>
    <definedName localSheetId="0"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test">{"execsum",#N/A,FALSE,"ExecSum";"finstatement",#N/A,FALSE,"Fin_St"}</definedName>
    <definedName name="test">{"execsum",#N/A,FALSE,"ExecSum";"finstatement",#N/A,FALSE,"Fin_St"}</definedName>
    <definedName name="test21">OFFSET(#REF!,5,0,COUNTA(#REF!)-COUNTA(#REF!),1)</definedName>
    <definedName name="value">OFFSET(#REF!,5,0,COUNTA(#REF!)-COUNTA(#REF!),1)</definedName>
    <definedName name="value2">OFFSET(#REF!,5,0,COUNTA(#REF!)-COUNTA(#REF!),1)</definedName>
    <definedName localSheetId="0" name="wrn.amendement.">{#N/A,#N/A,FALSE,"amendement"}</definedName>
    <definedName name="wrn.amendement.">{#N/A,#N/A,FALSE,"amendement"}</definedName>
    <definedName localSheetId="0" name="wrn.amendement..">{#N/A,#N/A,FALSE,"amendement"}</definedName>
    <definedName name="wrn.amendement..">{#N/A,#N/A,FALSE,"amendement"}</definedName>
    <definedName localSheetId="0" name="wrn.COMPCO.">{"Page1",#N/A,FALSE,"CompCo";"Page2",#N/A,FALSE,"CompCo"}</definedName>
    <definedName name="wrn.COMPCO.">{"Page1",#N/A,FALSE,"CompCo";"Page2",#N/A,FALSE,"CompCo"}</definedName>
    <definedName localSheetId="0"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localSheetId="0" name="wrn.detail.">{"Build1",#N/A,FALSE,"Buildup";"Build2",#N/A,FALSE,"Buildup";"Build3",#N/A,FALSE,"Buildup"}</definedName>
    <definedName name="wrn.detail.">{"Build1",#N/A,FALSE,"Buildup";"Build2",#N/A,FALSE,"Buildup";"Build3",#N/A,FALSE,"Buildup"}</definedName>
    <definedName localSheetId="0" name="wrn.execsum.">{"execsum",#N/A,FALSE,"ExecSum";"finstatement",#N/A,FALSE,"Fin_St"}</definedName>
    <definedName name="wrn.execsum.">{"execsum",#N/A,FALSE,"ExecSum";"finstatement",#N/A,FALSE,"Fin_St"}</definedName>
    <definedName localSheetId="0" name="wrn.Finanalysis.">{"finana",#N/A,FALSE,"Fin"}</definedName>
    <definedName name="wrn.Finanalysis.">{"finana",#N/A,FALSE,"Fin"}</definedName>
    <definedName localSheetId="0"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localSheetId="0" name="wrn.magicrep.">{"sub1",#N/A,FALSE,"Subs";"pac1",#N/A,FALSE,"Packages";"rev1",#N/A,FALSE,"2. Revenues"}</definedName>
    <definedName name="wrn.magicrep.">{"sub1",#N/A,FALSE,"Subs";"pac1",#N/A,FALSE,"Packages";"rev1",#N/A,FALSE,"2. Revenues"}</definedName>
    <definedName localSheetId="0" name="wrn.persrep.">{"volu1",#N/A,FALSE,"Volumes";"headcount",#N/A,FALSE,"Headcount";"emprpt",#N/A,FALSE,"Output"}</definedName>
    <definedName name="wrn.persrep.">{"volu1",#N/A,FALSE,"Volumes";"headcount",#N/A,FALSE,"Headcount";"emprpt",#N/A,FALSE,"Output"}</definedName>
    <definedName localSheetId="0" name="wrn.PrintAll.">{"PA1",#N/A,FALSE,"BORDMW";"pa2",#N/A,FALSE,"BORDMW";"PA3",#N/A,FALSE,"BORDMW";"PA4",#N/A,FALSE,"BORDMW"}</definedName>
    <definedName name="wrn.PrintAll.">{"PA1",#N/A,FALSE,"BORDMW";"pa2",#N/A,FALSE,"BORDMW";"PA3",#N/A,FALSE,"BORDMW";"PA4",#N/A,FALSE,"BORDMW"}</definedName>
    <definedName localSheetId="0" name="wrn.prospectus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.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_amendement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PROSPECTUS_amendement.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localSheetId="0" name="wrn.sales.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localSheetId="0"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z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localSheetId="0" name="zb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sensRes7">#REF!</definedName>
    <definedName name="_Sens1">#REF!</definedName>
    <definedName name="Rng_Dealers_Names">#REF!</definedName>
    <definedName name="_sensRes4">#REF!</definedName>
    <definedName name="_Sens2">#REF!</definedName>
    <definedName name="Titre">#REF!</definedName>
    <definedName name="Months">#REF!</definedName>
    <definedName name="_scen2">#REF!</definedName>
    <definedName name="_SCenarios">#REF!</definedName>
    <definedName name="_scen1">#REF!</definedName>
    <definedName name="_sensRes5">#REF!</definedName>
    <definedName name="_sensRes3">#REF!</definedName>
    <definedName name="Ticker">#REF!</definedName>
    <definedName name="_sensRes2">#REF!</definedName>
    <definedName name="_scen">#REF!</definedName>
    <definedName name="_sensRes1">#REF!</definedName>
    <definedName name="Monetary_Unit">#REF!</definedName>
    <definedName name="_Dates_Conc">#REF!</definedName>
    <definedName name="Rng_Dlr_Dates">#REF!</definedName>
    <definedName name="_sensRes6">#REF!</definedName>
    <definedName name="DateRange">#REF!</definedName>
  </definedNames>
  <calcPr/>
  <extLst>
    <ext uri="GoogleSheetsCustomDataVersion2">
      <go:sheetsCustomData xmlns:go="http://customooxmlschemas.google.com/" r:id="rId5" roundtripDataChecksum="+6hhVEzxBRS0CSeyQFbYFx/9UrRxd9RcpD1KE/qFzps="/>
    </ext>
  </extLst>
</workbook>
</file>

<file path=xl/sharedStrings.xml><?xml version="1.0" encoding="utf-8"?>
<sst xmlns="http://schemas.openxmlformats.org/spreadsheetml/2006/main" count="110" uniqueCount="65">
  <si>
    <t>BMW Sherbrooke 2 pager Avril 2024</t>
  </si>
  <si>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</si>
  <si>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</si>
  <si>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</si>
  <si>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</si>
  <si>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</si>
  <si>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</si>
  <si>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</si>
  <si>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</si>
  <si>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</si>
  <si>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</si>
  <si>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 xml:space="preserve"> - 
 - 
 - 
 - Dép. Variable : Intérêts floor plan supérieur au budget dû à un inventaire plus élevé.
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</si>
  <si>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</si>
  <si>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</si>
  <si>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</si>
  <si>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</si>
  <si>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</si>
  <si>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</si>
  <si>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</si>
  <si>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</si>
  <si>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</si>
  <si>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</si>
  <si>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</si>
  <si>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</si>
  <si>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</si>
  <si>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</si>
  <si>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 xml:space="preserve"> - 
 -  
 - 
 - </t>
  </si>
  <si>
    <t>Service</t>
  </si>
  <si>
    <t>Revenus</t>
  </si>
  <si>
    <t xml:space="preserve"> - 
 - 
 - 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</si>
  <si>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</si>
  <si>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</si>
  <si>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</si>
  <si>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</si>
  <si>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</si>
  <si>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</si>
  <si>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</si>
  <si>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</si>
  <si>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</si>
  <si>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</si>
  <si>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 xml:space="preserve"> - 
 - Salaires autres : Commis pièces temps partiel non budgeté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</si>
  <si>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</si>
  <si>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</si>
  <si>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</si>
  <si>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</si>
  <si>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</si>
  <si>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</si>
  <si>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</si>
  <si>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</si>
  <si>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Salaire/profits brut : Manque de bruts, salaire sous budget.
 - Int. F.P. : Inventaire neuf un peu plus élevé que budgeté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</si>
  <si>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</si>
  <si>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</si>
  <si>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</si>
  <si>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</si>
  <si>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</si>
  <si>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</si>
  <si>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</si>
  <si>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 xml:space="preserve"> - 
 - 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</si>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</sst>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"/>
    <numFmt numFmtId="166" formatCode="0.0%"/>
  </numFmts>
  <fonts count="5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3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/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Alignment="1" applyFont="1">
      <alignment horizontal="center"/>
    </xf>
    <xf borderId="2" fillId="0" fontId="1" numFmtId="0" xfId="0" applyBorder="1" applyFont="1"/>
    <xf borderId="3" fillId="2" fontId="4" numFmtId="0" xfId="0" applyAlignment="1" applyBorder="1" applyFill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/>
    </xf>
    <xf borderId="9" fillId="0" fontId="4" numFmtId="0" xfId="0" applyBorder="1" applyFont="1"/>
    <xf borderId="10" fillId="0" fontId="4" numFmtId="37" xfId="0" applyAlignment="1" applyBorder="1" applyFont="1" applyNumberFormat="1">
      <alignment horizontal="center"/>
    </xf>
    <xf borderId="11" fillId="0" fontId="4" numFmtId="1" xfId="0" applyAlignment="1" applyBorder="1" applyFont="1" applyNumberFormat="1">
      <alignment horizontal="center"/>
    </xf>
    <xf borderId="12" fillId="0" fontId="4" numFmtId="1" xfId="0" applyAlignment="1" applyBorder="1" applyFont="1" applyNumberFormat="1">
      <alignment horizontal="center"/>
    </xf>
    <xf borderId="13" fillId="3" fontId="4" numFmtId="9" xfId="0" applyAlignment="1" applyBorder="1" applyFill="1" applyFont="1" applyNumberFormat="1">
      <alignment horizontal="center"/>
    </xf>
    <xf borderId="14" fillId="3" fontId="4" numFmtId="9" xfId="0" applyAlignment="1" applyBorder="1" applyFont="1" applyNumberFormat="1">
      <alignment horizontal="center"/>
    </xf>
    <xf borderId="9" fillId="4" fontId="1" numFmtId="0" xfId="0" applyAlignment="1" applyBorder="1" applyFill="1" applyFont="1">
      <alignment shrinkToFit="0" vertical="center" wrapText="1"/>
    </xf>
    <xf borderId="15" fillId="0" fontId="1" numFmtId="0" xfId="0" applyBorder="1" applyFont="1"/>
    <xf borderId="16" fillId="0" fontId="1" numFmtId="164" xfId="0" applyAlignment="1" applyBorder="1" applyFont="1" applyNumberFormat="1">
      <alignment horizontal="center"/>
    </xf>
    <xf borderId="17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7" fillId="0" fontId="1" numFmtId="9" xfId="0" applyAlignment="1" applyBorder="1" applyFont="1" applyNumberFormat="1">
      <alignment horizontal="center"/>
    </xf>
    <xf borderId="18" fillId="0" fontId="1" numFmtId="9" xfId="0" applyAlignment="1" applyBorder="1" applyFont="1" applyNumberFormat="1">
      <alignment horizontal="center"/>
    </xf>
    <xf borderId="15" fillId="0" fontId="3" numFmtId="0" xfId="0" applyBorder="1" applyFont="1"/>
    <xf borderId="19" fillId="3" fontId="1" numFmtId="9" xfId="0" applyAlignment="1" applyBorder="1" applyFont="1" applyNumberFormat="1">
      <alignment horizontal="center"/>
    </xf>
    <xf borderId="20" fillId="3" fontId="1" numFmtId="9" xfId="0" applyAlignment="1" applyBorder="1" applyFont="1" applyNumberFormat="1">
      <alignment horizontal="center"/>
    </xf>
    <xf borderId="16" fillId="0" fontId="1" numFmtId="9" xfId="0" applyAlignment="1" applyBorder="1" applyFont="1" applyNumberFormat="1">
      <alignment horizontal="center"/>
    </xf>
    <xf borderId="21" fillId="0" fontId="1" numFmtId="9" xfId="0" applyAlignment="1" applyBorder="1" applyFont="1" applyNumberFormat="1">
      <alignment horizontal="center"/>
    </xf>
    <xf borderId="2" fillId="0" fontId="1" numFmtId="9" xfId="0" applyAlignment="1" applyBorder="1" applyFont="1" applyNumberFormat="1">
      <alignment horizontal="center"/>
    </xf>
    <xf borderId="22" fillId="0" fontId="4" numFmtId="0" xfId="0" applyBorder="1" applyFont="1"/>
    <xf borderId="23" fillId="0" fontId="1" numFmtId="0" xfId="0" applyBorder="1" applyFont="1"/>
    <xf borderId="24" fillId="0" fontId="1" numFmtId="164" xfId="0" applyAlignment="1" applyBorder="1" applyFont="1" applyNumberFormat="1">
      <alignment horizontal="center"/>
    </xf>
    <xf borderId="25" fillId="0" fontId="1" numFmtId="164" xfId="0" applyAlignment="1" applyBorder="1" applyFont="1" applyNumberFormat="1">
      <alignment horizontal="center"/>
    </xf>
    <xf borderId="24" fillId="0" fontId="1" numFmtId="9" xfId="0" applyAlignment="1" applyBorder="1" applyFont="1" applyNumberFormat="1">
      <alignment horizontal="center"/>
    </xf>
    <xf borderId="26" fillId="0" fontId="1" numFmtId="9" xfId="0" applyAlignment="1" applyBorder="1" applyFont="1" applyNumberFormat="1">
      <alignment horizontal="center"/>
    </xf>
    <xf borderId="27" fillId="5" fontId="1" numFmtId="0" xfId="0" applyAlignment="1" applyBorder="1" applyFill="1" applyFont="1">
      <alignment horizontal="left"/>
    </xf>
    <xf borderId="27" fillId="5" fontId="1" numFmtId="37" xfId="0" applyAlignment="1" applyBorder="1" applyFont="1" applyNumberFormat="1">
      <alignment horizontal="center"/>
    </xf>
    <xf borderId="28" fillId="5" fontId="1" numFmtId="37" xfId="0" applyAlignment="1" applyBorder="1" applyFont="1" applyNumberFormat="1">
      <alignment horizontal="center"/>
    </xf>
    <xf borderId="17" fillId="0" fontId="1" numFmtId="1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29" fillId="5" fontId="1" numFmtId="0" xfId="0" applyAlignment="1" applyBorder="1" applyFont="1">
      <alignment horizontal="left"/>
    </xf>
    <xf borderId="30" fillId="5" fontId="1" numFmtId="164" xfId="0" applyAlignment="1" applyBorder="1" applyFont="1" applyNumberFormat="1">
      <alignment horizontal="center"/>
    </xf>
    <xf borderId="31" fillId="0" fontId="1" numFmtId="164" xfId="0" applyAlignment="1" applyBorder="1" applyFont="1" applyNumberFormat="1">
      <alignment horizontal="center"/>
    </xf>
    <xf borderId="32" fillId="0" fontId="1" numFmtId="164" xfId="0" applyAlignment="1" applyBorder="1" applyFont="1" applyNumberFormat="1">
      <alignment horizontal="center"/>
    </xf>
    <xf borderId="31" fillId="0" fontId="1" numFmtId="9" xfId="0" applyAlignment="1" applyBorder="1" applyFont="1" applyNumberFormat="1">
      <alignment horizontal="center"/>
    </xf>
    <xf borderId="33" fillId="0" fontId="1" numFmtId="9" xfId="0" applyAlignment="1" applyBorder="1" applyFont="1" applyNumberFormat="1">
      <alignment horizontal="center"/>
    </xf>
    <xf borderId="34" fillId="0" fontId="3" numFmtId="0" xfId="0" applyBorder="1" applyFont="1"/>
    <xf borderId="3" fillId="6" fontId="4" numFmtId="0" xfId="0" applyAlignment="1" applyBorder="1" applyFill="1" applyFont="1">
      <alignment horizontal="center"/>
    </xf>
    <xf borderId="4" fillId="6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8" fillId="6" fontId="4" numFmtId="0" xfId="0" applyAlignment="1" applyBorder="1" applyFont="1">
      <alignment horizontal="center"/>
    </xf>
    <xf borderId="15" fillId="0" fontId="4" numFmtId="0" xfId="0" applyBorder="1" applyFont="1"/>
    <xf borderId="16" fillId="0" fontId="4" numFmtId="37" xfId="0" applyAlignment="1" applyBorder="1" applyFont="1" applyNumberFormat="1">
      <alignment horizontal="center"/>
    </xf>
    <xf borderId="17" fillId="0" fontId="4" numFmtId="1" xfId="0" applyAlignment="1" applyBorder="1" applyFont="1" applyNumberFormat="1">
      <alignment horizontal="center"/>
    </xf>
    <xf borderId="2" fillId="0" fontId="4" numFmtId="1" xfId="0" applyAlignment="1" applyBorder="1" applyFont="1" applyNumberFormat="1">
      <alignment horizontal="center"/>
    </xf>
    <xf borderId="3" fillId="7" fontId="4" numFmtId="0" xfId="0" applyAlignment="1" applyBorder="1" applyFill="1" applyFont="1">
      <alignment horizontal="center"/>
    </xf>
    <xf borderId="4" fillId="7" fontId="4" numFmtId="0" xfId="0" applyAlignment="1" applyBorder="1" applyFont="1">
      <alignment horizontal="center"/>
    </xf>
    <xf borderId="5" fillId="7" fontId="4" numFmtId="0" xfId="0" applyAlignment="1" applyBorder="1" applyFont="1">
      <alignment horizontal="center"/>
    </xf>
    <xf borderId="7" fillId="7" fontId="4" numFmtId="0" xfId="0" applyAlignment="1" applyBorder="1" applyFont="1">
      <alignment horizontal="center"/>
    </xf>
    <xf borderId="8" fillId="7" fontId="4" numFmtId="0" xfId="0" applyAlignment="1" applyBorder="1" applyFont="1">
      <alignment horizontal="center"/>
    </xf>
    <xf borderId="16" fillId="0" fontId="4" numFmtId="164" xfId="0" applyAlignment="1" applyBorder="1" applyFont="1" applyNumberFormat="1">
      <alignment horizontal="center"/>
    </xf>
    <xf borderId="17" fillId="0" fontId="4" numFmtId="164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/>
    </xf>
    <xf borderId="19" fillId="3" fontId="4" numFmtId="9" xfId="0" applyAlignment="1" applyBorder="1" applyFont="1" applyNumberFormat="1">
      <alignment horizontal="center"/>
    </xf>
    <xf borderId="20" fillId="3" fontId="4" numFmtId="9" xfId="0" applyAlignment="1" applyBorder="1" applyFont="1" applyNumberFormat="1">
      <alignment horizontal="center"/>
    </xf>
    <xf borderId="35" fillId="5" fontId="1" numFmtId="164" xfId="0" applyAlignment="1" applyBorder="1" applyFont="1" applyNumberFormat="1">
      <alignment horizontal="center"/>
    </xf>
    <xf borderId="15" fillId="0" fontId="1" numFmtId="0" xfId="0" applyAlignment="1" applyBorder="1" applyFont="1">
      <alignment horizontal="left"/>
    </xf>
    <xf borderId="34" fillId="0" fontId="1" numFmtId="0" xfId="0" applyBorder="1" applyFont="1"/>
    <xf borderId="36" fillId="0" fontId="1" numFmtId="164" xfId="0" applyAlignment="1" applyBorder="1" applyFont="1" applyNumberFormat="1">
      <alignment horizontal="center"/>
    </xf>
    <xf borderId="3" fillId="8" fontId="4" numFmtId="0" xfId="0" applyAlignment="1" applyBorder="1" applyFill="1" applyFont="1">
      <alignment horizontal="center"/>
    </xf>
    <xf borderId="4" fillId="8" fontId="4" numFmtId="0" xfId="0" applyAlignment="1" applyBorder="1" applyFont="1">
      <alignment horizontal="center"/>
    </xf>
    <xf borderId="5" fillId="8" fontId="4" numFmtId="0" xfId="0" applyAlignment="1" applyBorder="1" applyFont="1">
      <alignment horizontal="center"/>
    </xf>
    <xf borderId="7" fillId="8" fontId="4" numFmtId="0" xfId="0" applyAlignment="1" applyBorder="1" applyFont="1">
      <alignment horizontal="center"/>
    </xf>
    <xf borderId="8" fillId="8" fontId="4" numFmtId="0" xfId="0" applyAlignment="1" applyBorder="1" applyFont="1">
      <alignment horizontal="center"/>
    </xf>
    <xf borderId="15" fillId="0" fontId="4" numFmtId="0" xfId="0" applyAlignment="1" applyBorder="1" applyFont="1">
      <alignment horizontal="left"/>
    </xf>
    <xf borderId="3" fillId="9" fontId="4" numFmtId="0" xfId="0" applyAlignment="1" applyBorder="1" applyFill="1" applyFont="1">
      <alignment horizontal="center"/>
    </xf>
    <xf borderId="4" fillId="9" fontId="4" numFmtId="0" xfId="0" applyAlignment="1" applyBorder="1" applyFont="1">
      <alignment horizontal="center"/>
    </xf>
    <xf borderId="5" fillId="9" fontId="4" numFmtId="0" xfId="0" applyAlignment="1" applyBorder="1" applyFont="1">
      <alignment horizontal="center"/>
    </xf>
    <xf borderId="7" fillId="9" fontId="4" numFmtId="0" xfId="0" applyAlignment="1" applyBorder="1" applyFont="1">
      <alignment horizontal="center"/>
    </xf>
    <xf borderId="8" fillId="9" fontId="4" numFmtId="0" xfId="0" applyAlignment="1" applyBorder="1" applyFont="1">
      <alignment horizontal="center"/>
    </xf>
    <xf borderId="35" fillId="5" fontId="1" numFmtId="165" xfId="0" applyAlignment="1" applyBorder="1" applyFont="1" applyNumberFormat="1">
      <alignment horizontal="center"/>
    </xf>
    <xf borderId="17" fillId="0" fontId="1" numFmtId="165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34" fillId="0" fontId="1" numFmtId="0" xfId="0" applyAlignment="1" applyBorder="1" applyFont="1">
      <alignment horizontal="left"/>
    </xf>
    <xf borderId="3" fillId="10" fontId="4" numFmtId="0" xfId="0" applyAlignment="1" applyBorder="1" applyFill="1" applyFont="1">
      <alignment horizontal="center"/>
    </xf>
    <xf borderId="4" fillId="10" fontId="4" numFmtId="0" xfId="0" applyAlignment="1" applyBorder="1" applyFont="1">
      <alignment horizontal="center"/>
    </xf>
    <xf borderId="5" fillId="10" fontId="4" numFmtId="0" xfId="0" applyAlignment="1" applyBorder="1" applyFont="1">
      <alignment horizontal="center"/>
    </xf>
    <xf borderId="7" fillId="10" fontId="4" numFmtId="0" xfId="0" applyAlignment="1" applyBorder="1" applyFont="1">
      <alignment horizontal="center"/>
    </xf>
    <xf borderId="8" fillId="10" fontId="4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center"/>
    </xf>
    <xf borderId="12" fillId="0" fontId="1" numFmtId="164" xfId="0" applyAlignment="1" applyBorder="1" applyFont="1" applyNumberFormat="1">
      <alignment horizontal="center"/>
    </xf>
    <xf borderId="0" fillId="0" fontId="4" numFmtId="0" xfId="0" applyFont="1"/>
    <xf borderId="16" fillId="0" fontId="1" numFmtId="166" xfId="0" applyAlignment="1" applyBorder="1" applyFont="1" applyNumberFormat="1">
      <alignment horizontal="center"/>
    </xf>
    <xf borderId="17" fillId="0" fontId="1" numFmtId="166" xfId="0" applyAlignment="1" applyBorder="1" applyFont="1" applyNumberFormat="1">
      <alignment horizontal="center"/>
    </xf>
    <xf borderId="21" fillId="0" fontId="1" numFmtId="166" xfId="0" applyAlignment="1" applyBorder="1" applyFont="1" applyNumberFormat="1">
      <alignment horizontal="center"/>
    </xf>
    <xf borderId="36" fillId="0" fontId="1" numFmtId="166" xfId="0" applyAlignment="1" applyBorder="1" applyFont="1" applyNumberFormat="1">
      <alignment horizontal="center"/>
    </xf>
    <xf borderId="31" fillId="0" fontId="1" numFmtId="166" xfId="0" applyAlignment="1" applyBorder="1" applyFont="1" applyNumberFormat="1">
      <alignment horizontal="center"/>
    </xf>
    <xf borderId="37" fillId="0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3.25"/>
    <col customWidth="1" min="3" max="9" width="11.75"/>
    <col customWidth="1" min="10" max="10" width="58.88"/>
    <col customWidth="1" min="11" max="13" width="3.13"/>
    <col customWidth="1" min="14" max="26" width="11.0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/>
      <c r="B3" s="6" t="s">
        <v>1</v>
      </c>
      <c r="C3" s="7" t="s">
        <v>2</v>
      </c>
      <c r="D3" s="8" t="s">
        <v>3</v>
      </c>
      <c r="E3" s="9">
        <v>2023.0</v>
      </c>
      <c r="F3" s="8" t="s">
        <v>4</v>
      </c>
      <c r="G3" s="10" t="s">
        <v>5</v>
      </c>
      <c r="H3" s="8" t="s">
        <v>6</v>
      </c>
      <c r="I3" s="10" t="s">
        <v>7</v>
      </c>
      <c r="J3" s="11" t="s">
        <v>8</v>
      </c>
      <c r="K3" s="1"/>
      <c r="L3" s="1"/>
      <c r="M3" s="1"/>
      <c r="N3" s="1" t="s">
        <v>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5"/>
      <c r="B4" s="12" t="s">
        <v>10</v>
      </c>
      <c r="C4" s="13">
        <v>30.0</v>
      </c>
      <c r="D4" s="13">
        <v>32.0</v>
      </c>
      <c r="E4" s="13">
        <v>23.0</v>
      </c>
      <c r="F4" s="14">
        <f t="shared" ref="F4:G4" si="1">+IFERROR($C4-D4,"")</f>
        <v>-2</v>
      </c>
      <c r="G4" s="15">
        <f t="shared" si="1"/>
        <v>7</v>
      </c>
      <c r="H4" s="16">
        <f t="shared" ref="H4:H15" si="3">+IFERROR(F4/ABS($D4),"")</f>
        <v>-0.0625</v>
      </c>
      <c r="I4" s="17">
        <f t="shared" ref="I4:I15" si="4">+IFERROR(G4/ABS($E4),"")</f>
        <v>0.3043478261</v>
      </c>
      <c r="J4" s="18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/>
      <c r="B5" s="19" t="s">
        <v>12</v>
      </c>
      <c r="C5" s="20">
        <v>140490.95000000022</v>
      </c>
      <c r="D5" s="20">
        <v>161291.43569618184</v>
      </c>
      <c r="E5" s="20">
        <v>142451.87</v>
      </c>
      <c r="F5" s="21">
        <f t="shared" ref="F5:G5" si="2">+IFERROR($C5-D5,"")</f>
        <v>-20800.4857</v>
      </c>
      <c r="G5" s="22">
        <f t="shared" si="2"/>
        <v>-1960.92</v>
      </c>
      <c r="H5" s="23">
        <f t="shared" si="3"/>
        <v>-0.1289621213</v>
      </c>
      <c r="I5" s="24">
        <f t="shared" si="4"/>
        <v>-0.01376549146</v>
      </c>
      <c r="J5" s="2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"/>
      <c r="B6" s="19" t="s">
        <v>13</v>
      </c>
      <c r="C6" s="20">
        <f t="shared" ref="C6:E6" si="5">+C5/C4</f>
        <v>4683.031667</v>
      </c>
      <c r="D6" s="20">
        <f t="shared" si="5"/>
        <v>5040.357366</v>
      </c>
      <c r="E6" s="20">
        <f t="shared" si="5"/>
        <v>6193.559565</v>
      </c>
      <c r="F6" s="21">
        <f t="shared" ref="F6:G6" si="6">+IFERROR($C6-D6,"")</f>
        <v>-357.3256988</v>
      </c>
      <c r="G6" s="22">
        <f t="shared" si="6"/>
        <v>-1510.527899</v>
      </c>
      <c r="H6" s="26">
        <f t="shared" si="3"/>
        <v>-0.0708929294</v>
      </c>
      <c r="I6" s="27">
        <f t="shared" si="4"/>
        <v>-0.2438868768</v>
      </c>
      <c r="J6" s="2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"/>
      <c r="B7" s="19" t="s">
        <v>14</v>
      </c>
      <c r="C7" s="20">
        <v>37232.95</v>
      </c>
      <c r="D7" s="20">
        <v>46810.64202283243</v>
      </c>
      <c r="E7" s="20">
        <v>41291.44</v>
      </c>
      <c r="F7" s="21">
        <f t="shared" ref="F7:G7" si="7">+IFERROR($C7-D7,"")</f>
        <v>-9577.692023</v>
      </c>
      <c r="G7" s="22">
        <f t="shared" si="7"/>
        <v>-4058.49</v>
      </c>
      <c r="H7" s="23">
        <f t="shared" si="3"/>
        <v>-0.2046050131</v>
      </c>
      <c r="I7" s="24">
        <f t="shared" si="4"/>
        <v>-0.09828889474</v>
      </c>
      <c r="J7" s="2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/>
      <c r="B8" s="19" t="s">
        <v>15</v>
      </c>
      <c r="C8" s="28">
        <f t="shared" ref="C8:E8" si="8">+C7/C5</f>
        <v>0.2650202735</v>
      </c>
      <c r="D8" s="28">
        <f t="shared" si="8"/>
        <v>0.2902239776</v>
      </c>
      <c r="E8" s="28">
        <f t="shared" si="8"/>
        <v>0.2898623935</v>
      </c>
      <c r="F8" s="23">
        <f t="shared" ref="F8:G8" si="9">+IFERROR($C8-D8,"")</f>
        <v>-0.02520370407</v>
      </c>
      <c r="G8" s="29">
        <f t="shared" si="9"/>
        <v>-0.02484211997</v>
      </c>
      <c r="H8" s="23">
        <f t="shared" si="3"/>
        <v>-0.08684225292</v>
      </c>
      <c r="I8" s="24">
        <f t="shared" si="4"/>
        <v>-0.08570314925</v>
      </c>
      <c r="J8" s="2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/>
      <c r="B9" s="19" t="s">
        <v>16</v>
      </c>
      <c r="C9" s="20">
        <v>52259.280000000006</v>
      </c>
      <c r="D9" s="20">
        <v>51200.0</v>
      </c>
      <c r="E9" s="20">
        <v>43807.2799999998</v>
      </c>
      <c r="F9" s="21">
        <f t="shared" ref="F9:G9" si="10">+IFERROR($C9-D9,"")</f>
        <v>1059.28</v>
      </c>
      <c r="G9" s="22">
        <f t="shared" si="10"/>
        <v>8452</v>
      </c>
      <c r="H9" s="23">
        <f t="shared" si="3"/>
        <v>0.0206890625</v>
      </c>
      <c r="I9" s="24">
        <f t="shared" si="4"/>
        <v>0.1929359686</v>
      </c>
      <c r="J9" s="2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/>
      <c r="B10" s="19" t="s">
        <v>17</v>
      </c>
      <c r="C10" s="20">
        <f t="shared" ref="C10:E10" si="11">+C9/C4</f>
        <v>1741.976</v>
      </c>
      <c r="D10" s="20">
        <f t="shared" si="11"/>
        <v>1600</v>
      </c>
      <c r="E10" s="20">
        <f t="shared" si="11"/>
        <v>1904.664348</v>
      </c>
      <c r="F10" s="21">
        <f t="shared" ref="F10:G10" si="12">+IFERROR($C10-D10,"")</f>
        <v>141.976</v>
      </c>
      <c r="G10" s="22">
        <f t="shared" si="12"/>
        <v>-162.6883478</v>
      </c>
      <c r="H10" s="26">
        <f t="shared" si="3"/>
        <v>0.088735</v>
      </c>
      <c r="I10" s="27">
        <f t="shared" si="4"/>
        <v>-0.08541575738</v>
      </c>
      <c r="J10" s="2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"/>
      <c r="B11" s="19" t="s">
        <v>18</v>
      </c>
      <c r="C11" s="20">
        <v>21287.41</v>
      </c>
      <c r="D11" s="20">
        <v>12800.0</v>
      </c>
      <c r="E11" s="20">
        <v>10844.58</v>
      </c>
      <c r="F11" s="21">
        <f t="shared" ref="F11:G11" si="13">+IFERROR($C11-D11,"")</f>
        <v>8487.41</v>
      </c>
      <c r="G11" s="22">
        <f t="shared" si="13"/>
        <v>10442.83</v>
      </c>
      <c r="H11" s="23">
        <f t="shared" si="3"/>
        <v>0.6630789063</v>
      </c>
      <c r="I11" s="24">
        <f t="shared" si="4"/>
        <v>0.9629538442</v>
      </c>
      <c r="J11" s="2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"/>
      <c r="B12" s="19" t="s">
        <v>19</v>
      </c>
      <c r="C12" s="28">
        <f t="shared" ref="C12:E12" si="14">+C11/C9</f>
        <v>0.4073421984</v>
      </c>
      <c r="D12" s="28">
        <f t="shared" si="14"/>
        <v>0.25</v>
      </c>
      <c r="E12" s="28">
        <f t="shared" si="14"/>
        <v>0.2475520051</v>
      </c>
      <c r="F12" s="23">
        <f t="shared" ref="F12:G12" si="15">+IFERROR($C12-D12,"")</f>
        <v>0.1573421984</v>
      </c>
      <c r="G12" s="30">
        <f t="shared" si="15"/>
        <v>0.1597901933</v>
      </c>
      <c r="H12" s="23">
        <f t="shared" si="3"/>
        <v>0.6293687934</v>
      </c>
      <c r="I12" s="24">
        <f t="shared" si="4"/>
        <v>0.6454813132</v>
      </c>
      <c r="J12" s="2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"/>
      <c r="B13" s="19" t="s">
        <v>20</v>
      </c>
      <c r="C13" s="20">
        <v>56553.08</v>
      </c>
      <c r="D13" s="20">
        <v>52697.51953656999</v>
      </c>
      <c r="E13" s="20">
        <v>25307.810000000012</v>
      </c>
      <c r="F13" s="21">
        <f t="shared" ref="F13:G13" si="16">+IFERROR($C13-D13,"")</f>
        <v>3855.560463</v>
      </c>
      <c r="G13" s="22">
        <f t="shared" si="16"/>
        <v>31245.27</v>
      </c>
      <c r="H13" s="23">
        <f t="shared" si="3"/>
        <v>0.07316398376</v>
      </c>
      <c r="I13" s="24">
        <f t="shared" si="4"/>
        <v>1.23460979</v>
      </c>
      <c r="J13" s="2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5"/>
      <c r="B14" s="19" t="s">
        <v>21</v>
      </c>
      <c r="C14" s="20">
        <f t="shared" ref="C14:E14" si="17">+C13/C4</f>
        <v>1885.102667</v>
      </c>
      <c r="D14" s="20">
        <f t="shared" si="17"/>
        <v>1646.797486</v>
      </c>
      <c r="E14" s="20">
        <f t="shared" si="17"/>
        <v>1100.339565</v>
      </c>
      <c r="F14" s="21">
        <f t="shared" ref="F14:G14" si="18">+IFERROR($C14-D14,"")</f>
        <v>238.3051811</v>
      </c>
      <c r="G14" s="22">
        <f t="shared" si="18"/>
        <v>784.7631014</v>
      </c>
      <c r="H14" s="23">
        <f t="shared" si="3"/>
        <v>0.1447082493</v>
      </c>
      <c r="I14" s="24">
        <f t="shared" si="4"/>
        <v>0.7132008393</v>
      </c>
      <c r="J14" s="2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5"/>
      <c r="B15" s="19" t="s">
        <v>22</v>
      </c>
      <c r="C15" s="20">
        <v>121271.42</v>
      </c>
      <c r="D15" s="20">
        <v>121812.72230769234</v>
      </c>
      <c r="E15" s="20">
        <v>105807.28</v>
      </c>
      <c r="F15" s="21">
        <f t="shared" ref="F15:G15" si="19">+IFERROR($C15-D15,"")</f>
        <v>-541.3023077</v>
      </c>
      <c r="G15" s="22">
        <f t="shared" si="19"/>
        <v>15464.14</v>
      </c>
      <c r="H15" s="23">
        <f t="shared" si="3"/>
        <v>-0.00444372556</v>
      </c>
      <c r="I15" s="24">
        <f t="shared" si="4"/>
        <v>0.1461538374</v>
      </c>
      <c r="J15" s="2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5"/>
      <c r="B16" s="31" t="s">
        <v>23</v>
      </c>
      <c r="C16" s="32"/>
      <c r="D16" s="32"/>
      <c r="E16" s="32"/>
      <c r="F16" s="33"/>
      <c r="G16" s="34"/>
      <c r="H16" s="35"/>
      <c r="I16" s="36"/>
      <c r="J16" s="2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5"/>
      <c r="B17" s="37" t="s">
        <v>10</v>
      </c>
      <c r="C17" s="38">
        <v>73.0</v>
      </c>
      <c r="D17" s="38">
        <v>67.0</v>
      </c>
      <c r="E17" s="39">
        <v>43.0</v>
      </c>
      <c r="F17" s="40">
        <f t="shared" ref="F17:G17" si="20">+IFERROR($C17-D17,"")</f>
        <v>6</v>
      </c>
      <c r="G17" s="41">
        <f t="shared" si="20"/>
        <v>30</v>
      </c>
      <c r="H17" s="23">
        <f t="shared" ref="H17:H18" si="22">+IFERROR(F17/ABS($D17),"")</f>
        <v>0.08955223881</v>
      </c>
      <c r="I17" s="24">
        <f t="shared" ref="I17:I18" si="23">+IFERROR(G17/ABS($E17),"")</f>
        <v>0.6976744186</v>
      </c>
      <c r="J17" s="2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5"/>
      <c r="B18" s="42" t="s">
        <v>24</v>
      </c>
      <c r="C18" s="43">
        <v>6062509.0</v>
      </c>
      <c r="D18" s="43">
        <v>5239546.0</v>
      </c>
      <c r="E18" s="43">
        <v>3493530.870000001</v>
      </c>
      <c r="F18" s="44">
        <f t="shared" ref="F18:G18" si="21">+IFERROR($C18-D18,"")</f>
        <v>822963</v>
      </c>
      <c r="G18" s="45">
        <f t="shared" si="21"/>
        <v>2568978.13</v>
      </c>
      <c r="H18" s="46">
        <f t="shared" si="22"/>
        <v>0.1570676162</v>
      </c>
      <c r="I18" s="47">
        <f t="shared" si="23"/>
        <v>0.735352921</v>
      </c>
      <c r="J18" s="4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9" t="s">
        <v>25</v>
      </c>
      <c r="C20" s="50" t="s">
        <v>2</v>
      </c>
      <c r="D20" s="50" t="s">
        <v>3</v>
      </c>
      <c r="E20" s="50">
        <f>$E$3</f>
        <v>2023</v>
      </c>
      <c r="F20" s="51" t="s">
        <v>4</v>
      </c>
      <c r="G20" s="52" t="str">
        <f>$G$3</f>
        <v>▲2023</v>
      </c>
      <c r="H20" s="51" t="s">
        <v>6</v>
      </c>
      <c r="I20" s="52" t="str">
        <f>$I$3</f>
        <v>% ▲ 2023</v>
      </c>
      <c r="J20" s="53" t="s">
        <v>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4" t="s">
        <v>10</v>
      </c>
      <c r="C21" s="55">
        <v>28.0</v>
      </c>
      <c r="D21" s="55">
        <v>21.0</v>
      </c>
      <c r="E21" s="55">
        <v>17.0</v>
      </c>
      <c r="F21" s="56">
        <f t="shared" ref="F21:G21" si="24">+IFERROR($C21-D21,"")</f>
        <v>7</v>
      </c>
      <c r="G21" s="57">
        <f t="shared" si="24"/>
        <v>11</v>
      </c>
      <c r="H21" s="16">
        <f t="shared" ref="H21:H32" si="26">+IFERROR(F21/ABS($D21),"")</f>
        <v>0.3333333333</v>
      </c>
      <c r="I21" s="17">
        <f t="shared" ref="I21:I32" si="27">+IFERROR(G21/ABS($E21),"")</f>
        <v>0.6470588235</v>
      </c>
      <c r="J21" s="18" t="s">
        <v>26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9" t="s">
        <v>12</v>
      </c>
      <c r="C22" s="20">
        <v>38589.13999999999</v>
      </c>
      <c r="D22" s="20">
        <v>48650.0</v>
      </c>
      <c r="E22" s="20">
        <v>42786.98999999981</v>
      </c>
      <c r="F22" s="21">
        <f t="shared" ref="F22:G22" si="25">+IFERROR($C22-D22,"")</f>
        <v>-10060.86</v>
      </c>
      <c r="G22" s="22">
        <f t="shared" si="25"/>
        <v>-4197.85</v>
      </c>
      <c r="H22" s="23">
        <f t="shared" si="26"/>
        <v>-0.2068008222</v>
      </c>
      <c r="I22" s="24">
        <f t="shared" si="27"/>
        <v>-0.0981104303</v>
      </c>
      <c r="J22" s="2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9" t="s">
        <v>13</v>
      </c>
      <c r="C23" s="20">
        <f t="shared" ref="C23:E23" si="28">+C22/C21</f>
        <v>1378.183571</v>
      </c>
      <c r="D23" s="20">
        <f t="shared" si="28"/>
        <v>2316.666667</v>
      </c>
      <c r="E23" s="20">
        <f t="shared" si="28"/>
        <v>2516.881765</v>
      </c>
      <c r="F23" s="21">
        <f t="shared" ref="F23:G23" si="29">+IFERROR($C23-D23,"")</f>
        <v>-938.4830952</v>
      </c>
      <c r="G23" s="22">
        <f t="shared" si="29"/>
        <v>-1138.698193</v>
      </c>
      <c r="H23" s="26">
        <f t="shared" si="26"/>
        <v>-0.4051006166</v>
      </c>
      <c r="I23" s="27">
        <f t="shared" si="27"/>
        <v>-0.4524241898</v>
      </c>
      <c r="J23" s="2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9" t="s">
        <v>14</v>
      </c>
      <c r="C24" s="20">
        <v>19262.32</v>
      </c>
      <c r="D24" s="20">
        <v>16123.24427480916</v>
      </c>
      <c r="E24" s="20">
        <v>12057.56</v>
      </c>
      <c r="F24" s="21">
        <f t="shared" ref="F24:G24" si="30">+IFERROR($C24-D24,"")</f>
        <v>3139.075725</v>
      </c>
      <c r="G24" s="22">
        <f t="shared" si="30"/>
        <v>7204.76</v>
      </c>
      <c r="H24" s="23">
        <f t="shared" si="26"/>
        <v>0.1946925614</v>
      </c>
      <c r="I24" s="24">
        <f t="shared" si="27"/>
        <v>0.597530512</v>
      </c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9" t="s">
        <v>15</v>
      </c>
      <c r="C25" s="28">
        <f t="shared" ref="C25:E25" si="31">+C24/C22</f>
        <v>0.4991642726</v>
      </c>
      <c r="D25" s="28">
        <f t="shared" si="31"/>
        <v>0.3314130375</v>
      </c>
      <c r="E25" s="28">
        <f t="shared" si="31"/>
        <v>0.2818043522</v>
      </c>
      <c r="F25" s="23">
        <f t="shared" ref="F25:G25" si="32">+IFERROR($C25-D25,"")</f>
        <v>0.1677512351</v>
      </c>
      <c r="G25" s="29">
        <f t="shared" si="32"/>
        <v>0.2173599204</v>
      </c>
      <c r="H25" s="23">
        <f t="shared" si="26"/>
        <v>0.506169692</v>
      </c>
      <c r="I25" s="24">
        <f t="shared" si="27"/>
        <v>0.7713149876</v>
      </c>
      <c r="J25" s="2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9" t="s">
        <v>16</v>
      </c>
      <c r="C26" s="20">
        <v>35736.79</v>
      </c>
      <c r="D26" s="20">
        <v>34650.0</v>
      </c>
      <c r="E26" s="20">
        <v>29264.08</v>
      </c>
      <c r="F26" s="21">
        <f t="shared" ref="F26:G26" si="33">+IFERROR($C26-D26,"")</f>
        <v>1086.79</v>
      </c>
      <c r="G26" s="22">
        <f t="shared" si="33"/>
        <v>6472.71</v>
      </c>
      <c r="H26" s="23">
        <f t="shared" si="26"/>
        <v>0.03136479076</v>
      </c>
      <c r="I26" s="24">
        <f t="shared" si="27"/>
        <v>0.2211827606</v>
      </c>
      <c r="J26" s="2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9" t="s">
        <v>17</v>
      </c>
      <c r="C27" s="20">
        <f t="shared" ref="C27:E27" si="34">+C26/C21</f>
        <v>1276.313929</v>
      </c>
      <c r="D27" s="20">
        <f t="shared" si="34"/>
        <v>1650</v>
      </c>
      <c r="E27" s="20">
        <f t="shared" si="34"/>
        <v>1721.416471</v>
      </c>
      <c r="F27" s="21">
        <f t="shared" ref="F27:G27" si="35">+IFERROR($C27-D27,"")</f>
        <v>-373.6860714</v>
      </c>
      <c r="G27" s="22">
        <f t="shared" si="35"/>
        <v>-445.102542</v>
      </c>
      <c r="H27" s="26">
        <f t="shared" si="26"/>
        <v>-0.2264764069</v>
      </c>
      <c r="I27" s="27">
        <f t="shared" si="27"/>
        <v>-0.2585676097</v>
      </c>
      <c r="J27" s="2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9" t="s">
        <v>18</v>
      </c>
      <c r="C28" s="20">
        <v>10323.24</v>
      </c>
      <c r="D28" s="20">
        <v>8662.5</v>
      </c>
      <c r="E28" s="20">
        <v>7030.53</v>
      </c>
      <c r="F28" s="21">
        <f t="shared" ref="F28:G28" si="36">+IFERROR($C28-D28,"")</f>
        <v>1660.74</v>
      </c>
      <c r="G28" s="22">
        <f t="shared" si="36"/>
        <v>3292.71</v>
      </c>
      <c r="H28" s="23">
        <f t="shared" si="26"/>
        <v>0.1917160173</v>
      </c>
      <c r="I28" s="24">
        <f t="shared" si="27"/>
        <v>0.4683444918</v>
      </c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9" t="s">
        <v>19</v>
      </c>
      <c r="C29" s="28">
        <f t="shared" ref="C29:E29" si="37">+C28/C26</f>
        <v>0.2888686981</v>
      </c>
      <c r="D29" s="28">
        <f t="shared" si="37"/>
        <v>0.25</v>
      </c>
      <c r="E29" s="28">
        <f t="shared" si="37"/>
        <v>0.2402443542</v>
      </c>
      <c r="F29" s="23">
        <f t="shared" ref="F29:G29" si="38">+IFERROR($C29-D29,"")</f>
        <v>0.03886869806</v>
      </c>
      <c r="G29" s="30">
        <f t="shared" si="38"/>
        <v>0.04862434389</v>
      </c>
      <c r="H29" s="23">
        <f t="shared" si="26"/>
        <v>0.1554747922</v>
      </c>
      <c r="I29" s="24">
        <f t="shared" si="27"/>
        <v>0.2023953656</v>
      </c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9" t="s">
        <v>20</v>
      </c>
      <c r="C30" s="20">
        <v>18396.350000000006</v>
      </c>
      <c r="D30" s="20">
        <v>21356.009100771455</v>
      </c>
      <c r="E30" s="20">
        <v>18969.34999999999</v>
      </c>
      <c r="F30" s="21">
        <f t="shared" ref="F30:G30" si="39">+IFERROR($C30-D30,"")</f>
        <v>-2959.659101</v>
      </c>
      <c r="G30" s="22">
        <f t="shared" si="39"/>
        <v>-573</v>
      </c>
      <c r="H30" s="23">
        <f t="shared" si="26"/>
        <v>-0.1385867128</v>
      </c>
      <c r="I30" s="24">
        <f t="shared" si="27"/>
        <v>-0.03020662279</v>
      </c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9" t="s">
        <v>21</v>
      </c>
      <c r="C31" s="20">
        <f t="shared" ref="C31:E31" si="40">+C30/C21</f>
        <v>657.0125</v>
      </c>
      <c r="D31" s="20">
        <f t="shared" si="40"/>
        <v>1016.952814</v>
      </c>
      <c r="E31" s="20">
        <f t="shared" si="40"/>
        <v>1115.844118</v>
      </c>
      <c r="F31" s="21">
        <f t="shared" ref="F31:G31" si="41">+IFERROR($C31-D31,"")</f>
        <v>-359.9403143</v>
      </c>
      <c r="G31" s="22">
        <f t="shared" si="41"/>
        <v>-458.8316176</v>
      </c>
      <c r="H31" s="23">
        <f t="shared" si="26"/>
        <v>-0.3539400346</v>
      </c>
      <c r="I31" s="24">
        <f t="shared" si="27"/>
        <v>-0.4111968781</v>
      </c>
      <c r="J31" s="2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9" t="s">
        <v>22</v>
      </c>
      <c r="C32" s="20">
        <v>15715.0</v>
      </c>
      <c r="D32" s="20">
        <v>15067.808823529413</v>
      </c>
      <c r="E32" s="20">
        <v>9235.0</v>
      </c>
      <c r="F32" s="21">
        <f t="shared" ref="F32:G32" si="42">+IFERROR($C32-D32,"")</f>
        <v>647.1911765</v>
      </c>
      <c r="G32" s="22">
        <f t="shared" si="42"/>
        <v>6480</v>
      </c>
      <c r="H32" s="23">
        <f t="shared" si="26"/>
        <v>0.04295191053</v>
      </c>
      <c r="I32" s="24">
        <f t="shared" si="27"/>
        <v>0.7016783974</v>
      </c>
      <c r="J32" s="2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31" t="s">
        <v>23</v>
      </c>
      <c r="C33" s="32"/>
      <c r="D33" s="32"/>
      <c r="E33" s="32"/>
      <c r="F33" s="33"/>
      <c r="G33" s="34"/>
      <c r="H33" s="35"/>
      <c r="I33" s="36"/>
      <c r="J33" s="2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37" t="s">
        <v>10</v>
      </c>
      <c r="C34" s="38">
        <v>58.0</v>
      </c>
      <c r="D34" s="38">
        <v>64.0</v>
      </c>
      <c r="E34" s="39">
        <v>47.0</v>
      </c>
      <c r="F34" s="40">
        <f t="shared" ref="F34:G34" si="43">+IFERROR($C34-D34,"")</f>
        <v>-6</v>
      </c>
      <c r="G34" s="41">
        <f t="shared" si="43"/>
        <v>11</v>
      </c>
      <c r="H34" s="23">
        <f t="shared" ref="H34:H35" si="45">+IFERROR(F34/ABS($D34),"")</f>
        <v>-0.09375</v>
      </c>
      <c r="I34" s="24">
        <f t="shared" ref="I34:I35" si="46">+IFERROR(G34/ABS($E34),"")</f>
        <v>0.2340425532</v>
      </c>
      <c r="J34" s="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42" t="s">
        <v>24</v>
      </c>
      <c r="C35" s="43">
        <v>2086887.0</v>
      </c>
      <c r="D35" s="43">
        <v>2421616.0</v>
      </c>
      <c r="E35" s="43">
        <v>1745041.5599999996</v>
      </c>
      <c r="F35" s="44">
        <f t="shared" ref="F35:G35" si="44">+IFERROR($C35-D35,"")</f>
        <v>-334729</v>
      </c>
      <c r="G35" s="45">
        <f t="shared" si="44"/>
        <v>341845.44</v>
      </c>
      <c r="H35" s="46">
        <f t="shared" si="45"/>
        <v>-0.138225466</v>
      </c>
      <c r="I35" s="47">
        <f t="shared" si="46"/>
        <v>0.1958953001</v>
      </c>
      <c r="J35" s="4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8" t="s">
        <v>27</v>
      </c>
      <c r="C37" s="59" t="s">
        <v>2</v>
      </c>
      <c r="D37" s="59" t="s">
        <v>3</v>
      </c>
      <c r="E37" s="59">
        <f>$E$3</f>
        <v>2023</v>
      </c>
      <c r="F37" s="60" t="s">
        <v>4</v>
      </c>
      <c r="G37" s="61" t="str">
        <f>$G$3</f>
        <v>▲2023</v>
      </c>
      <c r="H37" s="60" t="s">
        <v>6</v>
      </c>
      <c r="I37" s="61" t="str">
        <f>$I$3</f>
        <v>% ▲ 2023</v>
      </c>
      <c r="J37" s="62" t="s">
        <v>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28</v>
      </c>
      <c r="C38" s="63">
        <v>176508.71</v>
      </c>
      <c r="D38" s="63">
        <v>190219.4155546288</v>
      </c>
      <c r="E38" s="63">
        <v>167165.6099999998</v>
      </c>
      <c r="F38" s="64">
        <f t="shared" ref="F38:G38" si="47">+IFERROR($C38-D38,"")</f>
        <v>-13710.70555</v>
      </c>
      <c r="G38" s="65">
        <f t="shared" si="47"/>
        <v>9343.1</v>
      </c>
      <c r="H38" s="16">
        <f t="shared" ref="H38:H47" si="49">+IFERROR(F38/ABS($D38),"")</f>
        <v>-0.07207837073</v>
      </c>
      <c r="I38" s="17">
        <f t="shared" ref="I38:I47" si="50">+IFERROR(G38/ABS($E38),"")</f>
        <v>0.05589128051</v>
      </c>
      <c r="J38" s="18" t="s">
        <v>29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54" t="s">
        <v>30</v>
      </c>
      <c r="C39" s="63">
        <v>109999.12</v>
      </c>
      <c r="D39" s="63">
        <v>128027.04512800829</v>
      </c>
      <c r="E39" s="63">
        <v>112827.52</v>
      </c>
      <c r="F39" s="64">
        <f t="shared" ref="F39:G39" si="48">+IFERROR($C39-D39,"")</f>
        <v>-18027.92513</v>
      </c>
      <c r="G39" s="65">
        <f t="shared" si="48"/>
        <v>-2828.4</v>
      </c>
      <c r="H39" s="66">
        <f t="shared" si="49"/>
        <v>-0.1408134126</v>
      </c>
      <c r="I39" s="67">
        <f t="shared" si="50"/>
        <v>-0.02506835212</v>
      </c>
      <c r="J39" s="2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9" t="s">
        <v>31</v>
      </c>
      <c r="C40" s="20">
        <v>285.7878716216216</v>
      </c>
      <c r="D40" s="68">
        <v>324.0</v>
      </c>
      <c r="E40" s="20">
        <v>257.81374613003095</v>
      </c>
      <c r="F40" s="21">
        <f t="shared" ref="F40:G40" si="51">+IFERROR($C40-D40,"")</f>
        <v>-38.21212838</v>
      </c>
      <c r="G40" s="22">
        <f t="shared" si="51"/>
        <v>27.97412549</v>
      </c>
      <c r="H40" s="23">
        <f t="shared" si="49"/>
        <v>-0.1179386678</v>
      </c>
      <c r="I40" s="24">
        <f t="shared" si="50"/>
        <v>0.1085051744</v>
      </c>
      <c r="J40" s="2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9" t="s">
        <v>32</v>
      </c>
      <c r="C41" s="20">
        <v>132.3667549668874</v>
      </c>
      <c r="D41" s="68">
        <v>145.0</v>
      </c>
      <c r="E41" s="20">
        <v>136.76661111111056</v>
      </c>
      <c r="F41" s="21">
        <f t="shared" ref="F41:G41" si="52">+IFERROR($C41-D41,"")</f>
        <v>-12.63324503</v>
      </c>
      <c r="G41" s="22">
        <f t="shared" si="52"/>
        <v>-4.399856144</v>
      </c>
      <c r="H41" s="23">
        <f t="shared" si="49"/>
        <v>-0.08712582781</v>
      </c>
      <c r="I41" s="24">
        <f t="shared" si="50"/>
        <v>-0.032170543</v>
      </c>
      <c r="J41" s="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9" t="s">
        <v>33</v>
      </c>
      <c r="C42" s="20">
        <v>-4926.28</v>
      </c>
      <c r="D42" s="20">
        <v>-2814.568245090377</v>
      </c>
      <c r="E42" s="20">
        <v>-2221.81</v>
      </c>
      <c r="F42" s="21">
        <f t="shared" ref="F42:G42" si="53">+IFERROR($C42-D42,"")</f>
        <v>-2111.711755</v>
      </c>
      <c r="G42" s="22">
        <f t="shared" si="53"/>
        <v>-2704.47</v>
      </c>
      <c r="H42" s="23">
        <f t="shared" si="49"/>
        <v>-0.7502791089</v>
      </c>
      <c r="I42" s="24">
        <f t="shared" si="50"/>
        <v>-1.217237298</v>
      </c>
      <c r="J42" s="2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9" t="s">
        <v>34</v>
      </c>
      <c r="C43" s="20">
        <v>52574.67999999999</v>
      </c>
      <c r="D43" s="20">
        <v>56562.81621737349</v>
      </c>
      <c r="E43" s="20">
        <v>50489.58999999999</v>
      </c>
      <c r="F43" s="21">
        <f t="shared" ref="F43:G43" si="54">+IFERROR($C43-D43,"")</f>
        <v>-3988.136217</v>
      </c>
      <c r="G43" s="22">
        <f t="shared" si="54"/>
        <v>2085.09</v>
      </c>
      <c r="H43" s="23">
        <f t="shared" si="49"/>
        <v>-0.07050809143</v>
      </c>
      <c r="I43" s="24">
        <f t="shared" si="50"/>
        <v>0.04129742388</v>
      </c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69" t="s">
        <v>35</v>
      </c>
      <c r="C44" s="20">
        <v>33431.899999999994</v>
      </c>
      <c r="D44" s="20">
        <v>32809.51104317045</v>
      </c>
      <c r="E44" s="20">
        <v>30514.449999999997</v>
      </c>
      <c r="F44" s="21">
        <f t="shared" ref="F44:G44" si="55">+IFERROR($C44-D44,"")</f>
        <v>622.3889568</v>
      </c>
      <c r="G44" s="22">
        <f t="shared" si="55"/>
        <v>2917.45</v>
      </c>
      <c r="H44" s="23">
        <f t="shared" si="49"/>
        <v>0.01896977239</v>
      </c>
      <c r="I44" s="24">
        <f t="shared" si="50"/>
        <v>0.09560880173</v>
      </c>
      <c r="J44" s="2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69" t="s">
        <v>36</v>
      </c>
      <c r="C45" s="20">
        <v>19142.78</v>
      </c>
      <c r="D45" s="20">
        <v>23753.30517420304</v>
      </c>
      <c r="E45" s="20">
        <v>19975.14</v>
      </c>
      <c r="F45" s="21">
        <f t="shared" ref="F45:G45" si="56">+IFERROR($C45-D45,"")</f>
        <v>-4610.525174</v>
      </c>
      <c r="G45" s="22">
        <f t="shared" si="56"/>
        <v>-832.36</v>
      </c>
      <c r="H45" s="23">
        <f t="shared" si="49"/>
        <v>-0.1941003637</v>
      </c>
      <c r="I45" s="24">
        <f t="shared" si="50"/>
        <v>-0.04166979556</v>
      </c>
      <c r="J45" s="2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9" t="s">
        <v>37</v>
      </c>
      <c r="C46" s="28">
        <f t="shared" ref="C46:E46" si="57">+C43/C38</f>
        <v>0.2978588422</v>
      </c>
      <c r="D46" s="28">
        <f t="shared" si="57"/>
        <v>0.2973556409</v>
      </c>
      <c r="E46" s="28">
        <f t="shared" si="57"/>
        <v>0.3020333548</v>
      </c>
      <c r="F46" s="23">
        <f t="shared" ref="F46:G46" si="58">+IFERROR($C46-D46,"")</f>
        <v>0.0005032013409</v>
      </c>
      <c r="G46" s="29">
        <f t="shared" si="58"/>
        <v>-0.00417451262</v>
      </c>
      <c r="H46" s="23">
        <f t="shared" si="49"/>
        <v>0.001692254229</v>
      </c>
      <c r="I46" s="24">
        <f t="shared" si="50"/>
        <v>-0.01382136295</v>
      </c>
      <c r="J46" s="2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70" t="s">
        <v>38</v>
      </c>
      <c r="C47" s="71">
        <v>4922.049999999999</v>
      </c>
      <c r="D47" s="71">
        <v>4822.708333333334</v>
      </c>
      <c r="E47" s="71">
        <v>6115.07</v>
      </c>
      <c r="F47" s="44">
        <f t="shared" ref="F47:G47" si="59">+IFERROR($C47-D47,"")</f>
        <v>99.34166667</v>
      </c>
      <c r="G47" s="45">
        <f t="shared" si="59"/>
        <v>-1193.02</v>
      </c>
      <c r="H47" s="46">
        <f t="shared" si="49"/>
        <v>0.02059872997</v>
      </c>
      <c r="I47" s="47">
        <f t="shared" si="50"/>
        <v>-0.1950950684</v>
      </c>
      <c r="J47" s="4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72" t="s">
        <v>39</v>
      </c>
      <c r="C49" s="73" t="s">
        <v>2</v>
      </c>
      <c r="D49" s="73" t="s">
        <v>3</v>
      </c>
      <c r="E49" s="73">
        <f>$E$3</f>
        <v>2023</v>
      </c>
      <c r="F49" s="74" t="s">
        <v>4</v>
      </c>
      <c r="G49" s="75" t="str">
        <f>$G$3</f>
        <v>▲2023</v>
      </c>
      <c r="H49" s="74" t="s">
        <v>6</v>
      </c>
      <c r="I49" s="75" t="str">
        <f>$I$3</f>
        <v>% ▲ 2023</v>
      </c>
      <c r="J49" s="76" t="s">
        <v>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77" t="s">
        <v>28</v>
      </c>
      <c r="C50" s="63">
        <v>307892.45999999996</v>
      </c>
      <c r="D50" s="63">
        <v>300624.77693636785</v>
      </c>
      <c r="E50" s="63">
        <v>302658.33</v>
      </c>
      <c r="F50" s="64">
        <f t="shared" ref="F50:G50" si="60">+IFERROR($C50-D50,"")</f>
        <v>7267.683064</v>
      </c>
      <c r="G50" s="65">
        <f t="shared" si="60"/>
        <v>5234.13</v>
      </c>
      <c r="H50" s="16">
        <f t="shared" ref="H50:H59" si="62">+IFERROR(F50/ABS($D50),"")</f>
        <v>0.02417526306</v>
      </c>
      <c r="I50" s="17">
        <f t="shared" ref="I50:I59" si="63">+IFERROR(G50/ABS($E50),"")</f>
        <v>0.0172938574</v>
      </c>
      <c r="J50" s="18" t="s">
        <v>40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69" t="s">
        <v>41</v>
      </c>
      <c r="C51" s="20">
        <v>49147.909999999996</v>
      </c>
      <c r="D51" s="20">
        <v>50580.02815435739</v>
      </c>
      <c r="E51" s="20">
        <v>44515.22</v>
      </c>
      <c r="F51" s="21">
        <f t="shared" ref="F51:G51" si="61">+IFERROR($C51-D51,"")</f>
        <v>-1432.118154</v>
      </c>
      <c r="G51" s="22">
        <f t="shared" si="61"/>
        <v>4632.69</v>
      </c>
      <c r="H51" s="23">
        <f t="shared" si="62"/>
        <v>-0.02831390584</v>
      </c>
      <c r="I51" s="24">
        <f t="shared" si="63"/>
        <v>0.104069799</v>
      </c>
      <c r="J51" s="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69" t="s">
        <v>42</v>
      </c>
      <c r="C52" s="20">
        <v>37284.38</v>
      </c>
      <c r="D52" s="20">
        <v>55629.30453724087</v>
      </c>
      <c r="E52" s="20">
        <v>69999.13</v>
      </c>
      <c r="F52" s="21">
        <f t="shared" ref="F52:G52" si="64">+IFERROR($C52-D52,"")</f>
        <v>-18344.92454</v>
      </c>
      <c r="G52" s="22">
        <f t="shared" si="64"/>
        <v>-32714.75</v>
      </c>
      <c r="H52" s="23">
        <f t="shared" si="62"/>
        <v>-0.3297708769</v>
      </c>
      <c r="I52" s="24">
        <f t="shared" si="63"/>
        <v>-0.46735938</v>
      </c>
      <c r="J52" s="2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69" t="s">
        <v>43</v>
      </c>
      <c r="C53" s="20">
        <v>50271.28</v>
      </c>
      <c r="D53" s="20">
        <v>49868.27963335423</v>
      </c>
      <c r="E53" s="20">
        <v>49642.34</v>
      </c>
      <c r="F53" s="21">
        <f t="shared" ref="F53:G53" si="65">+IFERROR($C53-D53,"")</f>
        <v>403.0003666</v>
      </c>
      <c r="G53" s="22">
        <f t="shared" si="65"/>
        <v>628.94</v>
      </c>
      <c r="H53" s="23">
        <f t="shared" si="62"/>
        <v>0.00808129676</v>
      </c>
      <c r="I53" s="24">
        <f t="shared" si="63"/>
        <v>0.01266942694</v>
      </c>
      <c r="J53" s="2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69" t="s">
        <v>44</v>
      </c>
      <c r="C54" s="20">
        <v>112823.72</v>
      </c>
      <c r="D54" s="20">
        <v>85168.8536964047</v>
      </c>
      <c r="E54" s="20">
        <v>84600.62</v>
      </c>
      <c r="F54" s="21">
        <f t="shared" ref="F54:G54" si="66">+IFERROR($C54-D54,"")</f>
        <v>27654.8663</v>
      </c>
      <c r="G54" s="22">
        <f t="shared" si="66"/>
        <v>28223.1</v>
      </c>
      <c r="H54" s="23">
        <f t="shared" si="62"/>
        <v>0.3247063346</v>
      </c>
      <c r="I54" s="24">
        <f t="shared" si="63"/>
        <v>0.3336039381</v>
      </c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69" t="s">
        <v>45</v>
      </c>
      <c r="C55" s="20">
        <f t="shared" ref="C55:E55" si="67">+C50-SUM(C51:C54)</f>
        <v>58365.17</v>
      </c>
      <c r="D55" s="20">
        <f t="shared" si="67"/>
        <v>59378.31092</v>
      </c>
      <c r="E55" s="20">
        <f t="shared" si="67"/>
        <v>53901.02</v>
      </c>
      <c r="F55" s="21">
        <f t="shared" ref="F55:G55" si="68">+IFERROR($C55-D55,"")</f>
        <v>-1013.140915</v>
      </c>
      <c r="G55" s="22">
        <f t="shared" si="68"/>
        <v>4464.15</v>
      </c>
      <c r="H55" s="23">
        <f t="shared" si="62"/>
        <v>-0.01706247449</v>
      </c>
      <c r="I55" s="24">
        <f t="shared" si="63"/>
        <v>0.08282125273</v>
      </c>
      <c r="J55" s="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54" t="s">
        <v>30</v>
      </c>
      <c r="C56" s="63">
        <v>83252.09</v>
      </c>
      <c r="D56" s="63">
        <v>94267.00598746898</v>
      </c>
      <c r="E56" s="63">
        <v>93235.88999999988</v>
      </c>
      <c r="F56" s="64">
        <f t="shared" ref="F56:G56" si="69">+IFERROR($C56-D56,"")</f>
        <v>-11014.91599</v>
      </c>
      <c r="G56" s="65">
        <f t="shared" si="69"/>
        <v>-9983.8</v>
      </c>
      <c r="H56" s="66">
        <f t="shared" si="62"/>
        <v>-0.1168480517</v>
      </c>
      <c r="I56" s="67">
        <f t="shared" si="63"/>
        <v>-0.1070810822</v>
      </c>
      <c r="J56" s="2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9" t="s">
        <v>31</v>
      </c>
      <c r="C57" s="20">
        <v>166.04023648648646</v>
      </c>
      <c r="D57" s="68">
        <v>301.0</v>
      </c>
      <c r="E57" s="20">
        <v>137.8180185758514</v>
      </c>
      <c r="F57" s="21">
        <f t="shared" ref="F57:G57" si="70">+IFERROR($C57-D57,"")</f>
        <v>-134.9597635</v>
      </c>
      <c r="G57" s="22">
        <f t="shared" si="70"/>
        <v>28.22221791</v>
      </c>
      <c r="H57" s="23">
        <f t="shared" si="62"/>
        <v>-0.4483713074</v>
      </c>
      <c r="I57" s="24">
        <f t="shared" si="63"/>
        <v>0.2047788686</v>
      </c>
      <c r="J57" s="2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9" t="s">
        <v>32</v>
      </c>
      <c r="C58" s="20">
        <v>246.91642384105958</v>
      </c>
      <c r="D58" s="68">
        <v>306.0</v>
      </c>
      <c r="E58" s="20">
        <v>388.88405555555556</v>
      </c>
      <c r="F58" s="21">
        <f t="shared" ref="F58:G58" si="71">+IFERROR($C58-D58,"")</f>
        <v>-59.08357616</v>
      </c>
      <c r="G58" s="22">
        <f t="shared" si="71"/>
        <v>-141.9676317</v>
      </c>
      <c r="H58" s="23">
        <f t="shared" si="62"/>
        <v>-0.1930835822</v>
      </c>
      <c r="I58" s="24">
        <f t="shared" si="63"/>
        <v>-0.3650641616</v>
      </c>
      <c r="J58" s="2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70" t="s">
        <v>46</v>
      </c>
      <c r="C59" s="71">
        <v>14885.99</v>
      </c>
      <c r="D59" s="71">
        <v>13513.435114503816</v>
      </c>
      <c r="E59" s="71">
        <v>11542.53</v>
      </c>
      <c r="F59" s="44">
        <f t="shared" ref="F59:G59" si="72">+IFERROR($C59-D59,"")</f>
        <v>1372.554885</v>
      </c>
      <c r="G59" s="45">
        <f t="shared" si="72"/>
        <v>3343.46</v>
      </c>
      <c r="H59" s="46">
        <f t="shared" si="62"/>
        <v>0.1015696508</v>
      </c>
      <c r="I59" s="47">
        <f t="shared" si="63"/>
        <v>0.2896643977</v>
      </c>
      <c r="J59" s="4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78" t="s">
        <v>47</v>
      </c>
      <c r="C61" s="79" t="s">
        <v>2</v>
      </c>
      <c r="D61" s="79" t="s">
        <v>3</v>
      </c>
      <c r="E61" s="79">
        <f>$E$3</f>
        <v>2023</v>
      </c>
      <c r="F61" s="80" t="s">
        <v>4</v>
      </c>
      <c r="G61" s="81" t="str">
        <f>$G$3</f>
        <v>▲2023</v>
      </c>
      <c r="H61" s="80" t="s">
        <v>6</v>
      </c>
      <c r="I61" s="81" t="str">
        <f>$I$3</f>
        <v>% ▲ 2023</v>
      </c>
      <c r="J61" s="82" t="s">
        <v>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1"/>
      <c r="B62" s="69" t="s">
        <v>48</v>
      </c>
      <c r="C62" s="28">
        <v>0.3259121173082038</v>
      </c>
      <c r="D62" s="28">
        <v>0.3215467022737509</v>
      </c>
      <c r="E62" s="28">
        <v>0.3134510384417688</v>
      </c>
      <c r="F62" s="23">
        <f t="shared" ref="F62:G62" si="73">+IFERROR($C62-D62,"")</f>
        <v>0.004365415034</v>
      </c>
      <c r="G62" s="29">
        <f t="shared" si="73"/>
        <v>0.01246107887</v>
      </c>
      <c r="H62" s="23">
        <f t="shared" ref="H62:H67" si="75">+IFERROR(F62/ABS($D62),"")</f>
        <v>0.01357630168</v>
      </c>
      <c r="I62" s="24">
        <f t="shared" ref="I62:I67" si="76">+IFERROR(G62/ABS($E62),"")</f>
        <v>0.03975446669</v>
      </c>
      <c r="J62" s="18" t="s">
        <v>49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7" t="s">
        <v>50</v>
      </c>
      <c r="C63" s="83">
        <v>22.5</v>
      </c>
      <c r="D63" s="83">
        <v>23.5</v>
      </c>
      <c r="E63" s="83">
        <v>23.0</v>
      </c>
      <c r="F63" s="84">
        <f t="shared" ref="F63:G63" si="74">+IFERROR($C63-D63,"")</f>
        <v>-1</v>
      </c>
      <c r="G63" s="85">
        <f t="shared" si="74"/>
        <v>-0.5</v>
      </c>
      <c r="H63" s="23">
        <f t="shared" si="75"/>
        <v>-0.04255319149</v>
      </c>
      <c r="I63" s="24">
        <f t="shared" si="76"/>
        <v>-0.02173913043</v>
      </c>
      <c r="J63" s="2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69" t="s">
        <v>51</v>
      </c>
      <c r="C64" s="20">
        <v>31894.160000000003</v>
      </c>
      <c r="D64" s="20">
        <v>31314.971021849113</v>
      </c>
      <c r="E64" s="20">
        <v>34449.15999999999</v>
      </c>
      <c r="F64" s="21">
        <f t="shared" ref="F64:G64" si="77">+IFERROR($C64-D64,"")</f>
        <v>579.1889782</v>
      </c>
      <c r="G64" s="22">
        <f t="shared" si="77"/>
        <v>-2555</v>
      </c>
      <c r="H64" s="23">
        <f t="shared" si="75"/>
        <v>0.01849559362</v>
      </c>
      <c r="I64" s="24">
        <f t="shared" si="76"/>
        <v>-0.07416726562</v>
      </c>
      <c r="J64" s="2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69" t="s">
        <v>52</v>
      </c>
      <c r="C65" s="20">
        <v>65426.579999999994</v>
      </c>
      <c r="D65" s="20">
        <v>64004.62950065566</v>
      </c>
      <c r="E65" s="20">
        <v>66013.59000000001</v>
      </c>
      <c r="F65" s="21">
        <f t="shared" ref="F65:G65" si="78">+IFERROR($C65-D65,"")</f>
        <v>1421.950499</v>
      </c>
      <c r="G65" s="22">
        <f t="shared" si="78"/>
        <v>-587.01</v>
      </c>
      <c r="H65" s="23">
        <f t="shared" si="75"/>
        <v>0.02221636951</v>
      </c>
      <c r="I65" s="24">
        <f t="shared" si="76"/>
        <v>-0.008892259912</v>
      </c>
      <c r="J65" s="2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69" t="s">
        <v>53</v>
      </c>
      <c r="C66" s="20">
        <v>44625.990000000005</v>
      </c>
      <c r="D66" s="20">
        <v>39430.94530400812</v>
      </c>
      <c r="E66" s="20">
        <v>11653.95</v>
      </c>
      <c r="F66" s="21">
        <f t="shared" ref="F66:G66" si="79">+IFERROR($C66-D66,"")</f>
        <v>5195.044696</v>
      </c>
      <c r="G66" s="22">
        <f t="shared" si="79"/>
        <v>32972.04</v>
      </c>
      <c r="H66" s="23">
        <f t="shared" si="75"/>
        <v>0.1317504477</v>
      </c>
      <c r="I66" s="24">
        <f t="shared" si="76"/>
        <v>2.829258749</v>
      </c>
      <c r="J66" s="2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86" t="s">
        <v>54</v>
      </c>
      <c r="C67" s="71">
        <v>27619.780000000013</v>
      </c>
      <c r="D67" s="71">
        <v>29729.674246153852</v>
      </c>
      <c r="E67" s="71">
        <v>28224.899999999994</v>
      </c>
      <c r="F67" s="44">
        <f t="shared" ref="F67:G67" si="80">+IFERROR($C67-D67,"")</f>
        <v>-2109.894246</v>
      </c>
      <c r="G67" s="45">
        <f t="shared" si="80"/>
        <v>-605.12</v>
      </c>
      <c r="H67" s="46">
        <f t="shared" si="75"/>
        <v>-0.07096930255</v>
      </c>
      <c r="I67" s="47">
        <f t="shared" si="76"/>
        <v>-0.02143922565</v>
      </c>
      <c r="J67" s="4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87" t="s">
        <v>55</v>
      </c>
      <c r="C69" s="88" t="s">
        <v>2</v>
      </c>
      <c r="D69" s="88" t="s">
        <v>3</v>
      </c>
      <c r="E69" s="88">
        <f>$E$3</f>
        <v>2023</v>
      </c>
      <c r="F69" s="89" t="s">
        <v>4</v>
      </c>
      <c r="G69" s="90" t="str">
        <f>$G$3</f>
        <v>▲2023</v>
      </c>
      <c r="H69" s="89" t="s">
        <v>6</v>
      </c>
      <c r="I69" s="90" t="str">
        <f>$I$3</f>
        <v>% ▲ 2023</v>
      </c>
      <c r="J69" s="91" t="s">
        <v>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69" t="s">
        <v>56</v>
      </c>
      <c r="C70" s="20">
        <v>149926.31999999995</v>
      </c>
      <c r="D70" s="20">
        <v>147374.69065282404</v>
      </c>
      <c r="E70" s="20">
        <v>133707.56</v>
      </c>
      <c r="F70" s="92">
        <f t="shared" ref="F70:G70" si="81">+IFERROR($C70-D70,"")</f>
        <v>2551.629347</v>
      </c>
      <c r="G70" s="93">
        <f t="shared" si="81"/>
        <v>16218.76</v>
      </c>
      <c r="H70" s="23">
        <f t="shared" ref="H70:H77" si="83">+IFERROR(F70/ABS($D70),"")</f>
        <v>0.01731389112</v>
      </c>
      <c r="I70" s="24">
        <f t="shared" ref="I70:I77" si="84">+IFERROR(G70/ABS($E70),"")</f>
        <v>0.1213002466</v>
      </c>
      <c r="J70" s="18" t="s">
        <v>57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69" t="s">
        <v>58</v>
      </c>
      <c r="C71" s="28">
        <v>0.31814495021035555</v>
      </c>
      <c r="D71" s="28">
        <v>0.27544655847107974</v>
      </c>
      <c r="E71" s="28">
        <v>0.2732530288702379</v>
      </c>
      <c r="F71" s="23">
        <f t="shared" ref="F71:G71" si="82">+IFERROR($C71-D71,"")</f>
        <v>0.04269839174</v>
      </c>
      <c r="G71" s="29">
        <f t="shared" si="82"/>
        <v>0.04489192134</v>
      </c>
      <c r="H71" s="23">
        <f t="shared" si="83"/>
        <v>0.1550151578</v>
      </c>
      <c r="I71" s="24">
        <f t="shared" si="84"/>
        <v>0.1642870036</v>
      </c>
      <c r="J71" s="2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69" t="s">
        <v>59</v>
      </c>
      <c r="C72" s="20">
        <v>273728.73</v>
      </c>
      <c r="D72" s="20">
        <v>291532.88826357684</v>
      </c>
      <c r="E72" s="20">
        <v>274879.9700000001</v>
      </c>
      <c r="F72" s="21">
        <f t="shared" ref="F72:G72" si="85">+IFERROR($C72-D72,"")</f>
        <v>-17804.15826</v>
      </c>
      <c r="G72" s="22">
        <f t="shared" si="85"/>
        <v>-1151.24</v>
      </c>
      <c r="H72" s="23">
        <f t="shared" si="83"/>
        <v>-0.06107083962</v>
      </c>
      <c r="I72" s="24">
        <f t="shared" si="84"/>
        <v>-0.004188155288</v>
      </c>
      <c r="J72" s="2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69" t="s">
        <v>60</v>
      </c>
      <c r="C73" s="28">
        <v>0.5808547370267867</v>
      </c>
      <c r="D73" s="28">
        <v>0.54488142026032</v>
      </c>
      <c r="E73" s="28">
        <v>0.5617616863119793</v>
      </c>
      <c r="F73" s="23">
        <f t="shared" ref="F73:G73" si="86">+IFERROR($C73-D73,"")</f>
        <v>0.03597331677</v>
      </c>
      <c r="G73" s="29">
        <f t="shared" si="86"/>
        <v>0.01909305071</v>
      </c>
      <c r="H73" s="23">
        <f t="shared" si="83"/>
        <v>0.06602045037</v>
      </c>
      <c r="I73" s="24">
        <f t="shared" si="84"/>
        <v>0.03398781223</v>
      </c>
      <c r="J73" s="2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94"/>
      <c r="B74" s="77" t="s">
        <v>61</v>
      </c>
      <c r="C74" s="63">
        <v>212202.7600000003</v>
      </c>
      <c r="D74" s="63">
        <v>262741.76970115973</v>
      </c>
      <c r="E74" s="63">
        <v>223997.40999999945</v>
      </c>
      <c r="F74" s="64">
        <f t="shared" ref="F74:G74" si="87">+IFERROR($C74-D74,"")</f>
        <v>-50539.0097</v>
      </c>
      <c r="G74" s="65">
        <f t="shared" si="87"/>
        <v>-11794.65</v>
      </c>
      <c r="H74" s="66">
        <f t="shared" si="83"/>
        <v>-0.1923523989</v>
      </c>
      <c r="I74" s="67">
        <f t="shared" si="84"/>
        <v>-0.05265529633</v>
      </c>
      <c r="J74" s="25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4.25" customHeight="1">
      <c r="A75" s="1"/>
      <c r="B75" s="19" t="s">
        <v>62</v>
      </c>
      <c r="C75" s="95">
        <v>0.0413141445710499</v>
      </c>
      <c r="D75" s="95">
        <v>0.05065824401483436</v>
      </c>
      <c r="E75" s="95">
        <v>0.049563573856890614</v>
      </c>
      <c r="F75" s="96">
        <f t="shared" ref="F75:G75" si="88">+IFERROR($C75-D75,"")</f>
        <v>-0.009344099444</v>
      </c>
      <c r="G75" s="97">
        <f t="shared" si="88"/>
        <v>-0.008249429286</v>
      </c>
      <c r="H75" s="23">
        <f t="shared" si="83"/>
        <v>-0.1844536783</v>
      </c>
      <c r="I75" s="24">
        <f t="shared" si="84"/>
        <v>-0.166441373</v>
      </c>
      <c r="J75" s="2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94"/>
      <c r="B76" s="77" t="s">
        <v>63</v>
      </c>
      <c r="C76" s="63">
        <v>153682.1800000003</v>
      </c>
      <c r="D76" s="63">
        <v>211234.26702010244</v>
      </c>
      <c r="E76" s="63">
        <v>192823.45999999944</v>
      </c>
      <c r="F76" s="64">
        <f t="shared" ref="F76:G76" si="89">+IFERROR($C76-D76,"")</f>
        <v>-57552.08702</v>
      </c>
      <c r="G76" s="65">
        <f t="shared" si="89"/>
        <v>-39141.28</v>
      </c>
      <c r="H76" s="66">
        <f t="shared" si="83"/>
        <v>-0.2724562062</v>
      </c>
      <c r="I76" s="67">
        <f t="shared" si="84"/>
        <v>-0.2029902378</v>
      </c>
      <c r="J76" s="25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4.25" customHeight="1">
      <c r="A77" s="1"/>
      <c r="B77" s="86" t="s">
        <v>64</v>
      </c>
      <c r="C77" s="98">
        <v>0.02992066551120314</v>
      </c>
      <c r="D77" s="98">
        <v>0.04072727779511411</v>
      </c>
      <c r="E77" s="98">
        <v>0.042665760291831896</v>
      </c>
      <c r="F77" s="99">
        <f t="shared" ref="F77:G77" si="90">+IFERROR($C77-D77,"")</f>
        <v>-0.01080661228</v>
      </c>
      <c r="G77" s="100">
        <f t="shared" si="90"/>
        <v>-0.01274509478</v>
      </c>
      <c r="H77" s="46">
        <f t="shared" si="83"/>
        <v>-0.2653408936</v>
      </c>
      <c r="I77" s="47">
        <f t="shared" si="84"/>
        <v>-0.2987195047</v>
      </c>
      <c r="J77" s="4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J1"/>
    <mergeCell ref="J4:J18"/>
    <mergeCell ref="J21:J35"/>
    <mergeCell ref="J38:J47"/>
    <mergeCell ref="J50:J59"/>
    <mergeCell ref="J62:J67"/>
    <mergeCell ref="J70:J7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bottom="0.3937007874015748" footer="0.0" header="0.0" left="0.5905511811023623" right="0.5905511811023623" top="0.3937007874015748"/>
  <pageSetup fitToHeight="0"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2024-05-10T01:17:33Z</dcterms:created>
  <dc:creator>User</dc:creator>
</cp:coreProperties>
</file>