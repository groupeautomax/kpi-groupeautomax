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Réalisé BMW Sh\"/>
    </mc:Choice>
  </mc:AlternateContent>
  <xr:revisionPtr revIDLastSave="0" documentId="13_ncr:1_{DFA9F065-AEB4-45DC-8398-2C8C0709CF0F}" xr6:coauthVersionLast="47" xr6:coauthVersionMax="47" xr10:uidLastSave="{00000000-0000-0000-0000-000000000000}"/>
  <bookViews>
    <workbookView xWindow="28680" yWindow="-120" windowWidth="29040" windowHeight="15720" xr2:uid="{D5FA2857-B89E-4F00-80C8-E9B08596A2C6}"/>
  </bookViews>
  <sheets>
    <sheet name="2pager" sheetId="1" r:id="rId1"/>
  </sheets>
  <definedNames>
    <definedName name="_Dates_Conc">#REF!</definedName>
    <definedName name="_Order1" hidden="1">0</definedName>
    <definedName name="_scen">#REF!</definedName>
    <definedName name="_scen1">#REF!</definedName>
    <definedName name="_scen2">#REF!</definedName>
    <definedName name="_SCenarios">#REF!</definedName>
    <definedName name="_Sens1">#REF!</definedName>
    <definedName name="_Sens2">#REF!</definedName>
    <definedName name="_sensRes1">#REF!</definedName>
    <definedName name="_sensRes2">#REF!</definedName>
    <definedName name="_sensRes3">#REF!</definedName>
    <definedName name="_sensRes4">#REF!</definedName>
    <definedName name="_sensRes5">#REF!</definedName>
    <definedName name="_sensRes6">#REF!</definedName>
    <definedName name="_sensRes7">#REF!</definedName>
    <definedName name="a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0" hidden="1">{"Page1",#N/A,FALSE,"CompCo";"Page2",#N/A,FALSE,"CompCo"}</definedName>
    <definedName name="Compco1" hidden="1">{"Page1",#N/A,FALSE,"CompCo";"Page2",#N/A,FALSE,"CompCo"}</definedName>
    <definedName name="Compco2" localSheetId="0" hidden="1">{"Page1",#N/A,FALSE,"CompCo";"Page2",#N/A,FALSE,"CompCo"}</definedName>
    <definedName name="Compco2" hidden="1">{"Page1",#N/A,FALSE,"CompCo";"Page2",#N/A,FALSE,"CompCo"}</definedName>
    <definedName name="DateRange">#REF!</definedName>
    <definedName name="DateRangePr" hidden="1">OFFSET(#REF!,5,0,COUNTA(#REF!)-COUNTA(#REF!),1)</definedName>
    <definedName name="DateRangePrice" hidden="1">OFFSET(#REF!,5,0,COUNTA(#REF!)-COUNTA(#REF!),1)</definedName>
    <definedName name="DateRangePrice1" hidden="1">OFFSET(#REF!,5,0,COUNTA(#REF!)-COUNTA(#REF!),1)</definedName>
    <definedName name="DateRangePrice2" hidden="1">OFFSET(#REF!,5,0,COUNTA(#REF!)-COUNTA(#REF!),1)</definedName>
    <definedName name="ERT" localSheetId="0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0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0" hidden="1">{"finana",#N/A,FALSE,"Fin"}</definedName>
    <definedName name="kjjkghkhj" hidden="1">{"finana",#N/A,FALSE,"Fin"}</definedName>
    <definedName name="limcount" hidden="1">1</definedName>
    <definedName name="lkhkhj" localSheetId="0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#REF!</definedName>
    <definedName name="Months">#REF!</definedName>
    <definedName name="Output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OFFSET(#REF!,5,0,COUNTA(#REF!)-COUNTA(#REF!),1)</definedName>
    <definedName name="PriceRange2" hidden="1">OFFSET(#REF!,5,0,COUNTA(#REF!)-COUNTA(#REF!),1)</definedName>
    <definedName name="Rng_Dealers_Names">#REF!</definedName>
    <definedName name="Rng_Dlr_Dates">#REF!</definedName>
    <definedName name="sencount" hidden="1">1</definedName>
    <definedName name="SLEVI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0" hidden="1">{"execsum",#N/A,FALSE,"ExecSum";"finstatement",#N/A,FALSE,"Fin_St"}</definedName>
    <definedName name="test" hidden="1">{"execsum",#N/A,FALSE,"ExecSum";"finstatement",#N/A,FALSE,"Fin_St"}</definedName>
    <definedName name="test21" hidden="1">OFFSET(#REF!,5,0,COUNTA(#REF!)-COUNTA(#REF!),1)</definedName>
    <definedName name="Ticker" hidden="1">#N/A</definedName>
    <definedName name="Titre">#REF!</definedName>
    <definedName name="value" hidden="1">OFFSET(#REF!,5,0,COUNTA(#REF!)-COUNTA(#REF!),1)</definedName>
    <definedName name="value2" hidden="1">OFFSET(#REF!,5,0,COUNTA(#REF!)-COUNTA(#REF!),1)</definedName>
    <definedName name="wrn.amendement." localSheetId="0" hidden="1">{#N/A,#N/A,FALSE,"amendement"}</definedName>
    <definedName name="wrn.amendement." hidden="1">{#N/A,#N/A,FALSE,"amendement"}</definedName>
    <definedName name="wrn.amendement.." localSheetId="0" hidden="1">{#N/A,#N/A,FALSE,"amendement"}</definedName>
    <definedName name="wrn.amendement.." hidden="1">{#N/A,#N/A,FALSE,"amendement"}</definedName>
    <definedName name="wrn.COMPCO." localSheetId="0" hidden="1">{"Page1",#N/A,FALSE,"CompCo";"Page2",#N/A,FALSE,"CompCo"}</definedName>
    <definedName name="wrn.COMPCO." hidden="1">{"Page1",#N/A,FALSE,"CompCo";"Page2",#N/A,FALSE,"CompCo"}</definedName>
    <definedName name="wrn.Delchamps.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0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0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0" hidden="1">{"finana",#N/A,FALSE,"Fin"}</definedName>
    <definedName name="wrn.Finanalysis." hidden="1">{"finana",#N/A,FALSE,"Fin"}</definedName>
    <definedName name="wrn.full._.report.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0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0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0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0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0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0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0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0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0">'2pager'!$A$1:$K$78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6" i="1" l="1"/>
  <c r="F76" i="1"/>
  <c r="G77" i="1"/>
  <c r="I77" i="1" s="1"/>
  <c r="F77" i="1"/>
  <c r="H77" i="1" s="1"/>
  <c r="G74" i="1"/>
  <c r="I74" i="1" s="1"/>
  <c r="F74" i="1"/>
  <c r="H74" i="1" s="1"/>
  <c r="F72" i="1"/>
  <c r="H72" i="1" s="1"/>
  <c r="G72" i="1"/>
  <c r="I72" i="1" s="1"/>
  <c r="G70" i="1"/>
  <c r="I70" i="1" s="1"/>
  <c r="I69" i="1"/>
  <c r="G69" i="1"/>
  <c r="E69" i="1"/>
  <c r="G66" i="1"/>
  <c r="I66" i="1" s="1"/>
  <c r="F66" i="1"/>
  <c r="H66" i="1" s="1"/>
  <c r="G65" i="1"/>
  <c r="I65" i="1" s="1"/>
  <c r="F65" i="1"/>
  <c r="H65" i="1" s="1"/>
  <c r="F64" i="1"/>
  <c r="H64" i="1" s="1"/>
  <c r="G64" i="1"/>
  <c r="I64" i="1" s="1"/>
  <c r="I63" i="1"/>
  <c r="G63" i="1"/>
  <c r="F63" i="1"/>
  <c r="H63" i="1" s="1"/>
  <c r="H62" i="1"/>
  <c r="F62" i="1"/>
  <c r="G62" i="1"/>
  <c r="I62" i="1" s="1"/>
  <c r="I61" i="1"/>
  <c r="G61" i="1"/>
  <c r="E61" i="1"/>
  <c r="G59" i="1"/>
  <c r="I59" i="1" s="1"/>
  <c r="G58" i="1"/>
  <c r="I58" i="1" s="1"/>
  <c r="F58" i="1"/>
  <c r="H58" i="1" s="1"/>
  <c r="G57" i="1"/>
  <c r="I57" i="1" s="1"/>
  <c r="G56" i="1"/>
  <c r="I56" i="1" s="1"/>
  <c r="F56" i="1"/>
  <c r="H56" i="1" s="1"/>
  <c r="E55" i="1"/>
  <c r="G54" i="1"/>
  <c r="I54" i="1" s="1"/>
  <c r="G53" i="1"/>
  <c r="I53" i="1" s="1"/>
  <c r="F53" i="1"/>
  <c r="H53" i="1" s="1"/>
  <c r="G52" i="1"/>
  <c r="I52" i="1" s="1"/>
  <c r="F51" i="1"/>
  <c r="H51" i="1" s="1"/>
  <c r="G51" i="1"/>
  <c r="I51" i="1" s="1"/>
  <c r="G50" i="1"/>
  <c r="I50" i="1" s="1"/>
  <c r="D55" i="1"/>
  <c r="C55" i="1"/>
  <c r="I49" i="1"/>
  <c r="G49" i="1"/>
  <c r="E49" i="1"/>
  <c r="G47" i="1"/>
  <c r="I47" i="1" s="1"/>
  <c r="E46" i="1"/>
  <c r="G45" i="1"/>
  <c r="I45" i="1" s="1"/>
  <c r="F45" i="1"/>
  <c r="H45" i="1" s="1"/>
  <c r="G44" i="1"/>
  <c r="I44" i="1" s="1"/>
  <c r="F44" i="1"/>
  <c r="H44" i="1" s="1"/>
  <c r="F43" i="1"/>
  <c r="H43" i="1" s="1"/>
  <c r="C46" i="1"/>
  <c r="G42" i="1"/>
  <c r="I42" i="1" s="1"/>
  <c r="G41" i="1"/>
  <c r="I41" i="1" s="1"/>
  <c r="G40" i="1"/>
  <c r="I40" i="1" s="1"/>
  <c r="G39" i="1"/>
  <c r="I39" i="1" s="1"/>
  <c r="D46" i="1"/>
  <c r="G38" i="1"/>
  <c r="I38" i="1" s="1"/>
  <c r="I37" i="1"/>
  <c r="G37" i="1"/>
  <c r="E37" i="1"/>
  <c r="I35" i="1"/>
  <c r="G35" i="1"/>
  <c r="F35" i="1"/>
  <c r="H35" i="1" s="1"/>
  <c r="H34" i="1"/>
  <c r="G34" i="1"/>
  <c r="I34" i="1" s="1"/>
  <c r="F34" i="1"/>
  <c r="F32" i="1"/>
  <c r="H32" i="1" s="1"/>
  <c r="G32" i="1"/>
  <c r="I32" i="1" s="1"/>
  <c r="E29" i="1"/>
  <c r="D29" i="1"/>
  <c r="C29" i="1"/>
  <c r="D27" i="1"/>
  <c r="E27" i="1"/>
  <c r="C27" i="1"/>
  <c r="H24" i="1"/>
  <c r="F24" i="1"/>
  <c r="E25" i="1"/>
  <c r="G22" i="1"/>
  <c r="I22" i="1" s="1"/>
  <c r="D25" i="1"/>
  <c r="F22" i="1"/>
  <c r="H22" i="1" s="1"/>
  <c r="E23" i="1"/>
  <c r="G21" i="1"/>
  <c r="I21" i="1" s="1"/>
  <c r="I20" i="1"/>
  <c r="G20" i="1"/>
  <c r="E20" i="1"/>
  <c r="I18" i="1"/>
  <c r="H18" i="1"/>
  <c r="G18" i="1"/>
  <c r="F18" i="1"/>
  <c r="G17" i="1"/>
  <c r="I17" i="1" s="1"/>
  <c r="F17" i="1"/>
  <c r="H17" i="1" s="1"/>
  <c r="G15" i="1"/>
  <c r="I15" i="1" s="1"/>
  <c r="E12" i="1"/>
  <c r="D12" i="1"/>
  <c r="C12" i="1"/>
  <c r="C10" i="1"/>
  <c r="E10" i="1"/>
  <c r="G10" i="1" s="1"/>
  <c r="I10" i="1" s="1"/>
  <c r="D10" i="1"/>
  <c r="G9" i="1"/>
  <c r="I9" i="1" s="1"/>
  <c r="E8" i="1"/>
  <c r="G7" i="1"/>
  <c r="I7" i="1" s="1"/>
  <c r="E14" i="1"/>
  <c r="D8" i="1"/>
  <c r="E6" i="1"/>
  <c r="F5" i="1"/>
  <c r="H5" i="1" s="1"/>
  <c r="C8" i="1"/>
  <c r="D6" i="1"/>
  <c r="G4" i="1"/>
  <c r="I4" i="1" s="1"/>
  <c r="G27" i="1" l="1"/>
  <c r="I27" i="1" s="1"/>
  <c r="F27" i="1"/>
  <c r="H27" i="1" s="1"/>
  <c r="G29" i="1"/>
  <c r="I29" i="1" s="1"/>
  <c r="F29" i="1"/>
  <c r="H29" i="1" s="1"/>
  <c r="G55" i="1"/>
  <c r="I55" i="1" s="1"/>
  <c r="F55" i="1"/>
  <c r="H55" i="1" s="1"/>
  <c r="F10" i="1"/>
  <c r="H10" i="1" s="1"/>
  <c r="G71" i="1"/>
  <c r="I71" i="1" s="1"/>
  <c r="F71" i="1"/>
  <c r="H71" i="1" s="1"/>
  <c r="F8" i="1"/>
  <c r="H8" i="1" s="1"/>
  <c r="G8" i="1"/>
  <c r="I8" i="1" s="1"/>
  <c r="G12" i="1"/>
  <c r="I12" i="1" s="1"/>
  <c r="F12" i="1"/>
  <c r="H12" i="1" s="1"/>
  <c r="F46" i="1"/>
  <c r="H46" i="1" s="1"/>
  <c r="G46" i="1"/>
  <c r="I46" i="1" s="1"/>
  <c r="G5" i="1"/>
  <c r="I5" i="1" s="1"/>
  <c r="G43" i="1"/>
  <c r="I43" i="1" s="1"/>
  <c r="G76" i="1"/>
  <c r="I76" i="1" s="1"/>
  <c r="F50" i="1"/>
  <c r="H50" i="1" s="1"/>
  <c r="F38" i="1"/>
  <c r="H38" i="1" s="1"/>
  <c r="F59" i="1"/>
  <c r="H59" i="1" s="1"/>
  <c r="C6" i="1"/>
  <c r="F9" i="1"/>
  <c r="H9" i="1" s="1"/>
  <c r="F21" i="1"/>
  <c r="H21" i="1" s="1"/>
  <c r="D23" i="1"/>
  <c r="G26" i="1"/>
  <c r="I26" i="1" s="1"/>
  <c r="F40" i="1"/>
  <c r="H40" i="1" s="1"/>
  <c r="F47" i="1"/>
  <c r="H47" i="1" s="1"/>
  <c r="F52" i="1"/>
  <c r="H52" i="1" s="1"/>
  <c r="G24" i="1"/>
  <c r="I24" i="1" s="1"/>
  <c r="F57" i="1"/>
  <c r="H57" i="1" s="1"/>
  <c r="F26" i="1"/>
  <c r="H26" i="1" s="1"/>
  <c r="F4" i="1"/>
  <c r="H4" i="1" s="1"/>
  <c r="C25" i="1"/>
  <c r="F28" i="1"/>
  <c r="H28" i="1" s="1"/>
  <c r="D31" i="1"/>
  <c r="F42" i="1"/>
  <c r="H42" i="1" s="1"/>
  <c r="F11" i="1"/>
  <c r="H11" i="1" s="1"/>
  <c r="E31" i="1"/>
  <c r="F54" i="1"/>
  <c r="H54" i="1" s="1"/>
  <c r="F7" i="1"/>
  <c r="H7" i="1" s="1"/>
  <c r="C23" i="1"/>
  <c r="D14" i="1"/>
  <c r="G28" i="1"/>
  <c r="I28" i="1" s="1"/>
  <c r="G11" i="1"/>
  <c r="I11" i="1" s="1"/>
  <c r="F70" i="1"/>
  <c r="H70" i="1" s="1"/>
  <c r="F15" i="1"/>
  <c r="H15" i="1" s="1"/>
  <c r="F39" i="1"/>
  <c r="H39" i="1" s="1"/>
  <c r="F41" i="1"/>
  <c r="H41" i="1" s="1"/>
  <c r="G75" i="1" l="1"/>
  <c r="I75" i="1" s="1"/>
  <c r="F75" i="1"/>
  <c r="H75" i="1" s="1"/>
  <c r="G67" i="1"/>
  <c r="I67" i="1" s="1"/>
  <c r="F67" i="1"/>
  <c r="H67" i="1" s="1"/>
  <c r="G73" i="1"/>
  <c r="I73" i="1" s="1"/>
  <c r="F73" i="1"/>
  <c r="H73" i="1" s="1"/>
  <c r="G6" i="1"/>
  <c r="I6" i="1" s="1"/>
  <c r="F6" i="1"/>
  <c r="H6" i="1" s="1"/>
  <c r="G23" i="1"/>
  <c r="I23" i="1" s="1"/>
  <c r="F23" i="1"/>
  <c r="H23" i="1" s="1"/>
  <c r="C31" i="1"/>
  <c r="G30" i="1"/>
  <c r="I30" i="1" s="1"/>
  <c r="F30" i="1"/>
  <c r="H30" i="1" s="1"/>
  <c r="G25" i="1"/>
  <c r="I25" i="1" s="1"/>
  <c r="F25" i="1"/>
  <c r="H25" i="1" s="1"/>
  <c r="G13" i="1"/>
  <c r="I13" i="1" s="1"/>
  <c r="F13" i="1"/>
  <c r="H13" i="1" s="1"/>
  <c r="C14" i="1"/>
  <c r="G31" i="1" l="1"/>
  <c r="I31" i="1" s="1"/>
  <c r="F31" i="1"/>
  <c r="H31" i="1" s="1"/>
  <c r="F14" i="1"/>
  <c r="H14" i="1" s="1"/>
  <c r="G14" i="1"/>
  <c r="I14" i="1" s="1"/>
</calcChain>
</file>

<file path=xl/sharedStrings.xml><?xml version="1.0" encoding="utf-8"?>
<sst xmlns="http://schemas.openxmlformats.org/spreadsheetml/2006/main" count="104" uniqueCount="59">
  <si>
    <t>New</t>
  </si>
  <si>
    <t>Actual</t>
  </si>
  <si>
    <t>Budget</t>
  </si>
  <si>
    <t>▲ Budget</t>
  </si>
  <si>
    <t>▲2023</t>
  </si>
  <si>
    <t>% ▲ Budget</t>
  </si>
  <si>
    <t>% ▲ 2023</t>
  </si>
  <si>
    <t>Commentaires</t>
  </si>
  <si>
    <t>Alt + Enter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</si>
  <si>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</si>
  <si>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</si>
  <si>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</si>
  <si>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</si>
  <si>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</si>
  <si>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</si>
  <si>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</si>
  <si>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</si>
  <si>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</si>
  <si>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</si>
  <si>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</si>
  <si>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</si>
  <si>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</si>
  <si>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$</t>
  </si>
  <si>
    <t>Used</t>
  </si>
  <si>
    <t>Service</t>
  </si>
  <si>
    <t>Revenus</t>
  </si>
  <si>
    <t>Gross margin</t>
  </si>
  <si>
    <t>$ Revenus / #WO client</t>
  </si>
  <si>
    <t>$ Revenus / #WO garantie</t>
  </si>
  <si>
    <t>Lost time</t>
  </si>
  <si>
    <t>Total salaries</t>
  </si>
  <si>
    <t>Salaries</t>
  </si>
  <si>
    <t>Fringes</t>
  </si>
  <si>
    <t>Total salaries / Revenus</t>
  </si>
  <si>
    <t>Frais véhicules de cie</t>
  </si>
  <si>
    <t>Pieces</t>
  </si>
  <si>
    <t>Clients</t>
  </si>
  <si>
    <t>Garantie</t>
  </si>
  <si>
    <t>Wholesale</t>
  </si>
  <si>
    <t>Tires</t>
  </si>
  <si>
    <t>All others</t>
  </si>
  <si>
    <t>Salaires autres</t>
  </si>
  <si>
    <t>Others</t>
  </si>
  <si>
    <t>Total salaries / Gross profits</t>
  </si>
  <si>
    <t>Headcounts</t>
  </si>
  <si>
    <t>Marketing</t>
  </si>
  <si>
    <t>Other semi-fixed expenses</t>
  </si>
  <si>
    <t>Floor plan interest</t>
  </si>
  <si>
    <t>Others Revenues</t>
  </si>
  <si>
    <t>P&amp;L</t>
  </si>
  <si>
    <t>Selling and Marketing</t>
  </si>
  <si>
    <t>S&amp;M / Brut</t>
  </si>
  <si>
    <t>General &amp; administrative</t>
  </si>
  <si>
    <t>G&amp;A / Brut</t>
  </si>
  <si>
    <t>EBITDA</t>
  </si>
  <si>
    <t>EBITDA %</t>
  </si>
  <si>
    <t>EBIT</t>
  </si>
  <si>
    <t>EBIT %</t>
  </si>
  <si>
    <t>BMW Sherbrooke 2 pager Mai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</si>
</sst>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"/>
    <numFmt numFmtId="166" formatCode="0.0%"/>
  </numFmts>
  <fonts count="7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18">
    <xf numFmtId="0" fontId="0" fillId="0" borderId="0" xfId="0"/>
    <xf numFmtId="0" fontId="2" fillId="0" borderId="0" xfId="2"/>
    <xf numFmtId="0" fontId="4" fillId="0" borderId="1" xfId="2" applyFont="1" applyBorder="1" applyAlignment="1">
      <alignment horizontal="center"/>
    </xf>
    <xf numFmtId="0" fontId="2" fillId="0" borderId="0" xfId="2" applyAlignment="1">
      <alignment horizontal="center"/>
    </xf>
    <xf numFmtId="0" fontId="2" fillId="0" borderId="2" xfId="2" applyBorder="1"/>
    <xf numFmtId="0" fontId="3" fillId="2" borderId="3" xfId="2" applyFont="1" applyFill="1" applyBorder="1" applyAlignment="1">
      <alignment horizontal="center"/>
    </xf>
    <xf numFmtId="0" fontId="3" fillId="2" borderId="4" xfId="2" applyFont="1" applyFill="1" applyBorder="1" applyAlignment="1">
      <alignment horizontal="center"/>
    </xf>
    <xf numFmtId="0" fontId="3" fillId="2" borderId="5" xfId="2" applyFont="1" applyFill="1" applyBorder="1" applyAlignment="1">
      <alignment horizontal="center"/>
    </xf>
    <xf numFmtId="0" fontId="3" fillId="2" borderId="6" xfId="2" applyFont="1" applyFill="1" applyBorder="1" applyAlignment="1">
      <alignment horizontal="center"/>
    </xf>
    <xf numFmtId="0" fontId="3" fillId="2" borderId="7" xfId="2" applyFont="1" applyFill="1" applyBorder="1" applyAlignment="1">
      <alignment horizontal="center"/>
    </xf>
    <xf numFmtId="0" fontId="3" fillId="2" borderId="8" xfId="2" applyFont="1" applyFill="1" applyBorder="1" applyAlignment="1">
      <alignment horizontal="center"/>
    </xf>
    <xf numFmtId="0" fontId="3" fillId="0" borderId="8" xfId="2" applyFont="1" applyBorder="1"/>
    <xf numFmtId="37" fontId="3" fillId="0" borderId="9" xfId="2" applyNumberFormat="1" applyFont="1" applyBorder="1" applyAlignment="1">
      <alignment horizontal="center"/>
    </xf>
    <xf numFmtId="1" fontId="3" fillId="0" borderId="10" xfId="2" applyNumberFormat="1" applyFont="1" applyBorder="1" applyAlignment="1">
      <alignment horizontal="center"/>
    </xf>
    <xf numFmtId="1" fontId="3" fillId="0" borderId="11" xfId="2" applyNumberFormat="1" applyFont="1" applyBorder="1" applyAlignment="1">
      <alignment horizontal="center"/>
    </xf>
    <xf numFmtId="9" fontId="3" fillId="3" borderId="10" xfId="3" applyFont="1" applyFill="1" applyBorder="1" applyAlignment="1">
      <alignment horizontal="center"/>
    </xf>
    <xf numFmtId="9" fontId="3" fillId="3" borderId="12" xfId="3" applyFont="1" applyFill="1" applyBorder="1" applyAlignment="1">
      <alignment horizontal="center"/>
    </xf>
    <xf numFmtId="0" fontId="5" fillId="4" borderId="8" xfId="0" quotePrefix="1" applyFont="1" applyFill="1" applyBorder="1" applyAlignment="1">
      <alignment vertical="center" wrapText="1"/>
    </xf>
    <xf numFmtId="0" fontId="2" fillId="0" borderId="13" xfId="2" applyBorder="1"/>
    <xf numFmtId="164" fontId="1" fillId="0" borderId="14" xfId="2" applyNumberFormat="1" applyFont="1" applyBorder="1" applyAlignment="1">
      <alignment horizontal="center"/>
    </xf>
    <xf numFmtId="164" fontId="1" fillId="0" borderId="15" xfId="2" applyNumberFormat="1" applyFont="1" applyBorder="1" applyAlignment="1">
      <alignment horizontal="center"/>
    </xf>
    <xf numFmtId="164" fontId="1" fillId="0" borderId="2" xfId="2" applyNumberFormat="1" applyFont="1" applyBorder="1" applyAlignment="1">
      <alignment horizontal="center"/>
    </xf>
    <xf numFmtId="9" fontId="1" fillId="0" borderId="15" xfId="3" applyFont="1" applyFill="1" applyBorder="1" applyAlignment="1">
      <alignment horizontal="center"/>
    </xf>
    <xf numFmtId="9" fontId="1" fillId="0" borderId="16" xfId="3" applyFont="1" applyFill="1" applyBorder="1" applyAlignment="1">
      <alignment horizontal="center"/>
    </xf>
    <xf numFmtId="0" fontId="5" fillId="4" borderId="13" xfId="0" applyFont="1" applyFill="1" applyBorder="1" applyAlignment="1">
      <alignment vertical="center" wrapText="1"/>
    </xf>
    <xf numFmtId="9" fontId="1" fillId="3" borderId="15" xfId="3" applyFont="1" applyFill="1" applyBorder="1" applyAlignment="1">
      <alignment horizontal="center"/>
    </xf>
    <xf numFmtId="9" fontId="1" fillId="3" borderId="16" xfId="3" applyFont="1" applyFill="1" applyBorder="1" applyAlignment="1">
      <alignment horizontal="center"/>
    </xf>
    <xf numFmtId="9" fontId="1" fillId="0" borderId="14" xfId="3" applyFont="1" applyFill="1" applyBorder="1" applyAlignment="1">
      <alignment horizontal="center"/>
    </xf>
    <xf numFmtId="9" fontId="1" fillId="0" borderId="15" xfId="3" applyFont="1" applyBorder="1" applyAlignment="1">
      <alignment horizontal="center"/>
    </xf>
    <xf numFmtId="9" fontId="1" fillId="0" borderId="17" xfId="3" applyFont="1" applyBorder="1" applyAlignment="1">
      <alignment horizontal="center"/>
    </xf>
    <xf numFmtId="9" fontId="1" fillId="0" borderId="2" xfId="3" applyFont="1" applyBorder="1" applyAlignment="1">
      <alignment horizontal="center"/>
    </xf>
    <xf numFmtId="0" fontId="3" fillId="0" borderId="18" xfId="2" applyFont="1" applyBorder="1"/>
    <xf numFmtId="0" fontId="1" fillId="0" borderId="19" xfId="2" applyFont="1" applyBorder="1"/>
    <xf numFmtId="164" fontId="1" fillId="0" borderId="20" xfId="2" applyNumberFormat="1" applyFont="1" applyBorder="1" applyAlignment="1">
      <alignment horizontal="center"/>
    </xf>
    <xf numFmtId="164" fontId="1" fillId="0" borderId="21" xfId="2" applyNumberFormat="1" applyFont="1" applyBorder="1" applyAlignment="1">
      <alignment horizontal="center"/>
    </xf>
    <xf numFmtId="9" fontId="1" fillId="0" borderId="20" xfId="3" applyFont="1" applyFill="1" applyBorder="1" applyAlignment="1">
      <alignment horizontal="center"/>
    </xf>
    <xf numFmtId="9" fontId="1" fillId="0" borderId="22" xfId="3" applyFont="1" applyFill="1" applyBorder="1" applyAlignment="1">
      <alignment horizontal="center"/>
    </xf>
    <xf numFmtId="0" fontId="2" fillId="5" borderId="13" xfId="2" applyFill="1" applyBorder="1" applyAlignment="1">
      <alignment horizontal="left" indent="1"/>
    </xf>
    <xf numFmtId="37" fontId="1" fillId="5" borderId="13" xfId="2" applyNumberFormat="1" applyFont="1" applyFill="1" applyBorder="1" applyAlignment="1">
      <alignment horizontal="center"/>
    </xf>
    <xf numFmtId="37" fontId="1" fillId="5" borderId="23" xfId="2" applyNumberFormat="1" applyFont="1" applyFill="1" applyBorder="1" applyAlignment="1">
      <alignment horizontal="center"/>
    </xf>
    <xf numFmtId="1" fontId="1" fillId="0" borderId="15" xfId="2" applyNumberFormat="1" applyFont="1" applyBorder="1" applyAlignment="1">
      <alignment horizontal="center"/>
    </xf>
    <xf numFmtId="1" fontId="1" fillId="0" borderId="2" xfId="2" applyNumberFormat="1" applyFont="1" applyBorder="1" applyAlignment="1">
      <alignment horizontal="center"/>
    </xf>
    <xf numFmtId="9" fontId="1" fillId="0" borderId="16" xfId="3" applyFont="1" applyBorder="1" applyAlignment="1">
      <alignment horizontal="center"/>
    </xf>
    <xf numFmtId="0" fontId="1" fillId="5" borderId="24" xfId="2" applyFont="1" applyFill="1" applyBorder="1" applyAlignment="1">
      <alignment horizontal="left" indent="1"/>
    </xf>
    <xf numFmtId="164" fontId="1" fillId="5" borderId="25" xfId="2" applyNumberFormat="1" applyFont="1" applyFill="1" applyBorder="1" applyAlignment="1">
      <alignment horizontal="center"/>
    </xf>
    <xf numFmtId="164" fontId="1" fillId="0" borderId="26" xfId="2" applyNumberFormat="1" applyFont="1" applyBorder="1" applyAlignment="1">
      <alignment horizontal="center"/>
    </xf>
    <xf numFmtId="164" fontId="1" fillId="0" borderId="27" xfId="2" applyNumberFormat="1" applyFont="1" applyBorder="1" applyAlignment="1">
      <alignment horizontal="center"/>
    </xf>
    <xf numFmtId="9" fontId="1" fillId="0" borderId="26" xfId="3" applyFont="1" applyBorder="1" applyAlignment="1">
      <alignment horizontal="center"/>
    </xf>
    <xf numFmtId="9" fontId="1" fillId="0" borderId="28" xfId="3" applyFont="1" applyBorder="1" applyAlignment="1">
      <alignment horizontal="center"/>
    </xf>
    <xf numFmtId="0" fontId="5" fillId="4" borderId="24" xfId="0" applyFont="1" applyFill="1" applyBorder="1" applyAlignment="1">
      <alignment vertical="center" wrapText="1"/>
    </xf>
    <xf numFmtId="0" fontId="1" fillId="0" borderId="0" xfId="2" applyFont="1"/>
    <xf numFmtId="0" fontId="3" fillId="6" borderId="3" xfId="2" applyFont="1" applyFill="1" applyBorder="1" applyAlignment="1">
      <alignment horizontal="center"/>
    </xf>
    <xf numFmtId="0" fontId="3" fillId="6" borderId="4" xfId="2" applyFont="1" applyFill="1" applyBorder="1" applyAlignment="1">
      <alignment horizontal="center"/>
    </xf>
    <xf numFmtId="0" fontId="3" fillId="6" borderId="5" xfId="2" applyFont="1" applyFill="1" applyBorder="1" applyAlignment="1">
      <alignment horizontal="center"/>
    </xf>
    <xf numFmtId="0" fontId="3" fillId="6" borderId="7" xfId="2" applyFont="1" applyFill="1" applyBorder="1" applyAlignment="1">
      <alignment horizontal="center"/>
    </xf>
    <xf numFmtId="0" fontId="3" fillId="6" borderId="8" xfId="2" applyFont="1" applyFill="1" applyBorder="1" applyAlignment="1">
      <alignment horizontal="center"/>
    </xf>
    <xf numFmtId="0" fontId="3" fillId="0" borderId="13" xfId="2" applyFont="1" applyBorder="1"/>
    <xf numFmtId="37" fontId="3" fillId="0" borderId="14" xfId="2" applyNumberFormat="1" applyFont="1" applyBorder="1" applyAlignment="1">
      <alignment horizontal="center"/>
    </xf>
    <xf numFmtId="1" fontId="3" fillId="0" borderId="15" xfId="2" applyNumberFormat="1" applyFont="1" applyBorder="1" applyAlignment="1">
      <alignment horizontal="center"/>
    </xf>
    <xf numFmtId="1" fontId="3" fillId="0" borderId="2" xfId="2" applyNumberFormat="1" applyFont="1" applyBorder="1" applyAlignment="1">
      <alignment horizontal="center"/>
    </xf>
    <xf numFmtId="9" fontId="1" fillId="0" borderId="20" xfId="3" applyFont="1" applyBorder="1" applyAlignment="1">
      <alignment horizontal="center"/>
    </xf>
    <xf numFmtId="9" fontId="1" fillId="0" borderId="22" xfId="3" applyFont="1" applyBorder="1" applyAlignment="1">
      <alignment horizontal="center"/>
    </xf>
    <xf numFmtId="0" fontId="3" fillId="7" borderId="3" xfId="2" applyFont="1" applyFill="1" applyBorder="1" applyAlignment="1">
      <alignment horizontal="center"/>
    </xf>
    <xf numFmtId="0" fontId="3" fillId="7" borderId="4" xfId="2" applyFont="1" applyFill="1" applyBorder="1" applyAlignment="1">
      <alignment horizontal="center"/>
    </xf>
    <xf numFmtId="0" fontId="3" fillId="7" borderId="5" xfId="2" applyFont="1" applyFill="1" applyBorder="1" applyAlignment="1">
      <alignment horizontal="center"/>
    </xf>
    <xf numFmtId="0" fontId="3" fillId="7" borderId="7" xfId="2" applyFont="1" applyFill="1" applyBorder="1" applyAlignment="1">
      <alignment horizontal="center"/>
    </xf>
    <xf numFmtId="0" fontId="3" fillId="7" borderId="8" xfId="2" applyFont="1" applyFill="1" applyBorder="1" applyAlignment="1">
      <alignment horizontal="center"/>
    </xf>
    <xf numFmtId="164" fontId="3" fillId="0" borderId="14" xfId="2" applyNumberFormat="1" applyFont="1" applyBorder="1" applyAlignment="1">
      <alignment horizontal="center"/>
    </xf>
    <xf numFmtId="164" fontId="3" fillId="0" borderId="15" xfId="2" applyNumberFormat="1" applyFont="1" applyBorder="1" applyAlignment="1">
      <alignment horizontal="center"/>
    </xf>
    <xf numFmtId="164" fontId="3" fillId="0" borderId="2" xfId="2" applyNumberFormat="1" applyFont="1" applyBorder="1" applyAlignment="1">
      <alignment horizontal="center"/>
    </xf>
    <xf numFmtId="9" fontId="3" fillId="3" borderId="15" xfId="3" applyFont="1" applyFill="1" applyBorder="1" applyAlignment="1">
      <alignment horizontal="center"/>
    </xf>
    <xf numFmtId="9" fontId="3" fillId="3" borderId="16" xfId="3" applyFont="1" applyFill="1" applyBorder="1" applyAlignment="1">
      <alignment horizontal="center"/>
    </xf>
    <xf numFmtId="164" fontId="1" fillId="5" borderId="14" xfId="2" applyNumberFormat="1" applyFont="1" applyFill="1" applyBorder="1" applyAlignment="1">
      <alignment horizontal="center"/>
    </xf>
    <xf numFmtId="164" fontId="1" fillId="0" borderId="14" xfId="3" applyNumberFormat="1" applyFont="1" applyFill="1" applyBorder="1" applyAlignment="1">
      <alignment horizontal="center"/>
    </xf>
    <xf numFmtId="0" fontId="2" fillId="0" borderId="13" xfId="2" applyBorder="1" applyAlignment="1">
      <alignment horizontal="left" indent="1"/>
    </xf>
    <xf numFmtId="9" fontId="1" fillId="0" borderId="14" xfId="1" applyFont="1" applyFill="1" applyBorder="1" applyAlignment="1">
      <alignment horizontal="center"/>
    </xf>
    <xf numFmtId="0" fontId="2" fillId="0" borderId="24" xfId="2" applyBorder="1"/>
    <xf numFmtId="164" fontId="1" fillId="0" borderId="25" xfId="2" applyNumberFormat="1" applyFont="1" applyBorder="1" applyAlignment="1">
      <alignment horizontal="center"/>
    </xf>
    <xf numFmtId="9" fontId="1" fillId="0" borderId="26" xfId="3" applyFont="1" applyFill="1" applyBorder="1" applyAlignment="1">
      <alignment horizontal="center"/>
    </xf>
    <xf numFmtId="0" fontId="3" fillId="8" borderId="3" xfId="2" applyFont="1" applyFill="1" applyBorder="1" applyAlignment="1">
      <alignment horizontal="center"/>
    </xf>
    <xf numFmtId="0" fontId="3" fillId="8" borderId="4" xfId="2" applyFont="1" applyFill="1" applyBorder="1" applyAlignment="1">
      <alignment horizontal="center"/>
    </xf>
    <xf numFmtId="0" fontId="3" fillId="8" borderId="5" xfId="2" applyFont="1" applyFill="1" applyBorder="1" applyAlignment="1">
      <alignment horizontal="center"/>
    </xf>
    <xf numFmtId="0" fontId="3" fillId="8" borderId="7" xfId="2" applyFont="1" applyFill="1" applyBorder="1" applyAlignment="1">
      <alignment horizontal="center"/>
    </xf>
    <xf numFmtId="0" fontId="3" fillId="8" borderId="8" xfId="2" applyFont="1" applyFill="1" applyBorder="1" applyAlignment="1">
      <alignment horizontal="center"/>
    </xf>
    <xf numFmtId="0" fontId="3" fillId="0" borderId="13" xfId="2" applyFont="1" applyBorder="1" applyAlignment="1">
      <alignment horizontal="left"/>
    </xf>
    <xf numFmtId="0" fontId="1" fillId="0" borderId="13" xfId="2" applyFont="1" applyBorder="1" applyAlignment="1">
      <alignment horizontal="left" indent="1"/>
    </xf>
    <xf numFmtId="9" fontId="1" fillId="0" borderId="28" xfId="3" applyFont="1" applyFill="1" applyBorder="1" applyAlignment="1">
      <alignment horizontal="center"/>
    </xf>
    <xf numFmtId="0" fontId="3" fillId="9" borderId="3" xfId="2" applyFont="1" applyFill="1" applyBorder="1" applyAlignment="1">
      <alignment horizontal="center"/>
    </xf>
    <xf numFmtId="0" fontId="3" fillId="9" borderId="4" xfId="2" applyFont="1" applyFill="1" applyBorder="1" applyAlignment="1">
      <alignment horizontal="center"/>
    </xf>
    <xf numFmtId="0" fontId="3" fillId="9" borderId="5" xfId="2" applyFont="1" applyFill="1" applyBorder="1" applyAlignment="1">
      <alignment horizontal="center"/>
    </xf>
    <xf numFmtId="0" fontId="3" fillId="9" borderId="7" xfId="2" applyFont="1" applyFill="1" applyBorder="1" applyAlignment="1">
      <alignment horizontal="center"/>
    </xf>
    <xf numFmtId="0" fontId="1" fillId="0" borderId="13" xfId="2" applyFont="1" applyBorder="1" applyAlignment="1">
      <alignment horizontal="left"/>
    </xf>
    <xf numFmtId="9" fontId="1" fillId="0" borderId="14" xfId="1" applyFont="1" applyBorder="1" applyAlignment="1">
      <alignment horizontal="center"/>
    </xf>
    <xf numFmtId="0" fontId="5" fillId="4" borderId="8" xfId="0" applyFont="1" applyFill="1" applyBorder="1" applyAlignment="1">
      <alignment vertical="center" wrapText="1"/>
    </xf>
    <xf numFmtId="0" fontId="1" fillId="5" borderId="13" xfId="2" applyFont="1" applyFill="1" applyBorder="1" applyAlignment="1">
      <alignment horizontal="left"/>
    </xf>
    <xf numFmtId="165" fontId="1" fillId="5" borderId="14" xfId="2" applyNumberFormat="1" applyFont="1" applyFill="1" applyBorder="1" applyAlignment="1">
      <alignment horizontal="center"/>
    </xf>
    <xf numFmtId="165" fontId="1" fillId="0" borderId="15" xfId="2" applyNumberFormat="1" applyFont="1" applyBorder="1" applyAlignment="1">
      <alignment horizontal="center"/>
    </xf>
    <xf numFmtId="165" fontId="1" fillId="0" borderId="2" xfId="2" applyNumberFormat="1" applyFont="1" applyBorder="1" applyAlignment="1">
      <alignment horizontal="center"/>
    </xf>
    <xf numFmtId="0" fontId="1" fillId="0" borderId="24" xfId="2" applyFont="1" applyBorder="1" applyAlignment="1">
      <alignment horizontal="left"/>
    </xf>
    <xf numFmtId="0" fontId="3" fillId="10" borderId="3" xfId="2" applyFont="1" applyFill="1" applyBorder="1" applyAlignment="1">
      <alignment horizontal="center"/>
    </xf>
    <xf numFmtId="0" fontId="3" fillId="10" borderId="4" xfId="2" applyFont="1" applyFill="1" applyBorder="1" applyAlignment="1">
      <alignment horizontal="center"/>
    </xf>
    <xf numFmtId="0" fontId="3" fillId="10" borderId="5" xfId="2" applyFont="1" applyFill="1" applyBorder="1" applyAlignment="1">
      <alignment horizontal="center"/>
    </xf>
    <xf numFmtId="0" fontId="3" fillId="10" borderId="7" xfId="2" applyFont="1" applyFill="1" applyBorder="1" applyAlignment="1">
      <alignment horizontal="center"/>
    </xf>
    <xf numFmtId="0" fontId="3" fillId="10" borderId="8" xfId="2" applyFont="1" applyFill="1" applyBorder="1" applyAlignment="1">
      <alignment horizontal="center"/>
    </xf>
    <xf numFmtId="0" fontId="2" fillId="0" borderId="13" xfId="2" applyBorder="1" applyAlignment="1">
      <alignment horizontal="left"/>
    </xf>
    <xf numFmtId="164" fontId="1" fillId="0" borderId="14" xfId="1" applyNumberFormat="1" applyFont="1" applyBorder="1" applyAlignment="1">
      <alignment horizontal="center"/>
    </xf>
    <xf numFmtId="164" fontId="2" fillId="0" borderId="10" xfId="2" applyNumberFormat="1" applyBorder="1" applyAlignment="1">
      <alignment horizontal="center"/>
    </xf>
    <xf numFmtId="164" fontId="2" fillId="0" borderId="11" xfId="2" applyNumberFormat="1" applyBorder="1" applyAlignment="1">
      <alignment horizontal="center"/>
    </xf>
    <xf numFmtId="164" fontId="2" fillId="0" borderId="15" xfId="2" applyNumberFormat="1" applyBorder="1" applyAlignment="1">
      <alignment horizontal="center"/>
    </xf>
    <xf numFmtId="164" fontId="2" fillId="0" borderId="2" xfId="2" applyNumberFormat="1" applyBorder="1" applyAlignment="1">
      <alignment horizontal="center"/>
    </xf>
    <xf numFmtId="0" fontId="3" fillId="0" borderId="0" xfId="2" applyFont="1"/>
    <xf numFmtId="166" fontId="1" fillId="0" borderId="14" xfId="1" applyNumberFormat="1" applyFont="1" applyBorder="1" applyAlignment="1">
      <alignment horizontal="center"/>
    </xf>
    <xf numFmtId="166" fontId="1" fillId="0" borderId="15" xfId="3" applyNumberFormat="1" applyFont="1" applyBorder="1" applyAlignment="1">
      <alignment horizontal="center"/>
    </xf>
    <xf numFmtId="166" fontId="1" fillId="0" borderId="17" xfId="3" applyNumberFormat="1" applyFont="1" applyBorder="1" applyAlignment="1">
      <alignment horizontal="center"/>
    </xf>
    <xf numFmtId="0" fontId="2" fillId="0" borderId="24" xfId="2" applyBorder="1" applyAlignment="1">
      <alignment horizontal="left"/>
    </xf>
    <xf numFmtId="166" fontId="1" fillId="0" borderId="25" xfId="1" applyNumberFormat="1" applyFont="1" applyBorder="1" applyAlignment="1">
      <alignment horizontal="center"/>
    </xf>
    <xf numFmtId="166" fontId="1" fillId="0" borderId="26" xfId="3" applyNumberFormat="1" applyFont="1" applyBorder="1" applyAlignment="1">
      <alignment horizontal="center"/>
    </xf>
    <xf numFmtId="166" fontId="1" fillId="0" borderId="29" xfId="3" applyNumberFormat="1" applyFont="1" applyBorder="1" applyAlignment="1">
      <alignment horizontal="center"/>
    </xf>
  </cellXfs>
  <cellStyles count="4">
    <cellStyle name="Normal" xfId="0" builtinId="0"/>
    <cellStyle name="Normal 3" xfId="2" xr:uid="{973216B1-E9DC-417D-A052-337BB8F516CE}"/>
    <cellStyle name="Pourcentage" xfId="1" builtinId="5"/>
    <cellStyle name="Pourcentage 2" xfId="3" xr:uid="{F36B2355-76B5-4E7E-8769-A5255293E273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E8CB-C34F-487E-8601-D99237AA6275}">
  <sheetPr>
    <tabColor rgb="FF00B0F0"/>
    <pageSetUpPr fitToPage="1"/>
  </sheetPr>
  <dimension ref="A1:N77"/>
  <sheetViews>
    <sheetView tabSelected="1" zoomScale="110" zoomScaleNormal="110" workbookViewId="0">
      <selection activeCell="E22" sqref="E22"/>
    </sheetView>
  </sheetViews>
  <sheetFormatPr baseColWidth="10" defaultColWidth="11" defaultRowHeight="15" x14ac:dyDescent="0.25"/>
  <cols>
    <col min="1" max="1" width="2.25" style="1" customWidth="1"/>
    <col min="2" max="2" width="23.25" style="1" customWidth="1"/>
    <col min="3" max="9" width="11.75" style="1" customWidth="1"/>
    <col min="10" max="10" width="58.875" style="1" customWidth="1"/>
    <col min="11" max="13" width="3.125" style="1" customWidth="1"/>
    <col min="14" max="16384" width="11" style="1"/>
  </cols>
  <sheetData>
    <row r="1" spans="1:14" ht="15.75" x14ac:dyDescent="0.25">
      <c r="B1" s="2" t="s">
        <v>58</v>
      </c>
      <c r="C1" s="2"/>
      <c r="D1" s="2"/>
      <c r="E1" s="2"/>
      <c r="F1" s="2"/>
      <c r="G1" s="2"/>
      <c r="H1" s="2"/>
      <c r="I1" s="2"/>
      <c r="J1" s="2"/>
    </row>
    <row r="2" spans="1:14" x14ac:dyDescent="0.25">
      <c r="B2" s="3"/>
    </row>
    <row r="3" spans="1:14" x14ac:dyDescent="0.25">
      <c r="A3" s="4"/>
      <c r="B3" s="5" t="s">
        <v>0</v>
      </c>
      <c r="C3" s="6" t="s">
        <v>1</v>
      </c>
      <c r="D3" s="7" t="s">
        <v>2</v>
      </c>
      <c r="E3" s="8">
        <v>2023</v>
      </c>
      <c r="F3" s="7" t="s">
        <v>3</v>
      </c>
      <c r="G3" s="9" t="s">
        <v>4</v>
      </c>
      <c r="H3" s="7" t="s">
        <v>5</v>
      </c>
      <c r="I3" s="9" t="s">
        <v>6</v>
      </c>
      <c r="J3" s="10" t="s">
        <v>7</v>
      </c>
      <c r="N3" s="1" t="s">
        <v>8</v>
      </c>
    </row>
    <row r="4" spans="1:14" ht="15" customHeight="1" x14ac:dyDescent="0.25">
      <c r="A4" s="4"/>
      <c r="B4" s="11" t="s">
        <v>9</v>
      </c>
      <c r="C4" s="12">
        <v>39</v>
      </c>
      <c r="D4" s="12">
        <v>29</v>
      </c>
      <c r="E4" s="12">
        <v>32</v>
      </c>
      <c r="F4" s="13">
        <f t="shared" ref="F4:G15" si="0">+IFERROR($C4-D4,"")</f>
        <v>10</v>
      </c>
      <c r="G4" s="14">
        <f t="shared" si="0"/>
        <v>7</v>
      </c>
      <c r="H4" s="15">
        <f t="shared" ref="H4:H15" si="1">+IFERROR(F4/ABS($D4),"")</f>
        <v>0.34482758620689657</v>
      </c>
      <c r="I4" s="16">
        <f t="shared" ref="I4:I14" si="2">+IFERROR(G4/ABS($E4),"")</f>
        <v>0.21875</v>
      </c>
      <c r="J4" s="17"/>
    </row>
    <row r="5" spans="1:14" x14ac:dyDescent="0.25">
      <c r="A5" s="4"/>
      <c r="B5" s="18" t="s">
        <v>10</v>
      </c>
      <c r="C5" s="19">
        <v>161264.20000000013</v>
      </c>
      <c r="D5" s="19">
        <v>145373.6497424577</v>
      </c>
      <c r="E5" s="19">
        <v>159468.24999999971</v>
      </c>
      <c r="F5" s="20">
        <f t="shared" si="0"/>
        <v>15890.550257542433</v>
      </c>
      <c r="G5" s="21">
        <f t="shared" si="0"/>
        <v>1795.9500000004191</v>
      </c>
      <c r="H5" s="22">
        <f t="shared" si="1"/>
        <v>0.10930832572267361</v>
      </c>
      <c r="I5" s="23">
        <f t="shared" si="2"/>
        <v>1.1262116440109065E-2</v>
      </c>
      <c r="J5" s="24"/>
    </row>
    <row r="6" spans="1:14" x14ac:dyDescent="0.25">
      <c r="A6" s="4"/>
      <c r="B6" s="18" t="s">
        <v>11</v>
      </c>
      <c r="C6" s="19">
        <f>+C5/C4</f>
        <v>4134.9794871794902</v>
      </c>
      <c r="D6" s="19">
        <f>+D5/D4</f>
        <v>5012.8844738778516</v>
      </c>
      <c r="E6" s="19">
        <f>+E5/E4</f>
        <v>4983.3828124999909</v>
      </c>
      <c r="F6" s="20">
        <f t="shared" si="0"/>
        <v>-877.90498669836143</v>
      </c>
      <c r="G6" s="21">
        <f t="shared" si="0"/>
        <v>-848.4033253205007</v>
      </c>
      <c r="H6" s="25">
        <f>+IFERROR(F6/ABS($D6),"")</f>
        <v>-0.17512970651390944</v>
      </c>
      <c r="I6" s="26">
        <f t="shared" si="2"/>
        <v>-0.17024646856196185</v>
      </c>
      <c r="J6" s="24"/>
    </row>
    <row r="7" spans="1:14" x14ac:dyDescent="0.25">
      <c r="A7" s="4"/>
      <c r="B7" s="18" t="s">
        <v>12</v>
      </c>
      <c r="C7" s="19">
        <v>51971.21</v>
      </c>
      <c r="D7" s="19">
        <v>43071.588595893118</v>
      </c>
      <c r="E7" s="19">
        <v>50456.81</v>
      </c>
      <c r="F7" s="20">
        <f t="shared" si="0"/>
        <v>8899.6214041068815</v>
      </c>
      <c r="G7" s="21">
        <f t="shared" si="0"/>
        <v>1514.4000000000015</v>
      </c>
      <c r="H7" s="22">
        <f t="shared" si="1"/>
        <v>0.20662394154079244</v>
      </c>
      <c r="I7" s="23">
        <f t="shared" si="2"/>
        <v>3.0013788029802153E-2</v>
      </c>
      <c r="J7" s="24"/>
    </row>
    <row r="8" spans="1:14" x14ac:dyDescent="0.25">
      <c r="A8" s="4"/>
      <c r="B8" s="18" t="s">
        <v>13</v>
      </c>
      <c r="C8" s="27">
        <f>+C7/C5</f>
        <v>0.32227369744803841</v>
      </c>
      <c r="D8" s="27">
        <f>+D7/D5</f>
        <v>0.29628195118027412</v>
      </c>
      <c r="E8" s="27">
        <f>+E7/E5</f>
        <v>0.3164066201265775</v>
      </c>
      <c r="F8" s="28">
        <f t="shared" si="0"/>
        <v>2.5991746267764293E-2</v>
      </c>
      <c r="G8" s="29">
        <f t="shared" si="0"/>
        <v>5.8670773214609118E-3</v>
      </c>
      <c r="H8" s="22">
        <f t="shared" si="1"/>
        <v>8.7726390906442672E-2</v>
      </c>
      <c r="I8" s="23">
        <f>+IFERROR(G8/ABS($E8),"")</f>
        <v>1.8542839966855958E-2</v>
      </c>
      <c r="J8" s="24"/>
    </row>
    <row r="9" spans="1:14" x14ac:dyDescent="0.25">
      <c r="A9" s="4"/>
      <c r="B9" s="18" t="s">
        <v>14</v>
      </c>
      <c r="C9" s="19">
        <v>61157.540000000008</v>
      </c>
      <c r="D9" s="19">
        <v>46400</v>
      </c>
      <c r="E9" s="19">
        <v>58185.97</v>
      </c>
      <c r="F9" s="20">
        <f t="shared" si="0"/>
        <v>14757.540000000008</v>
      </c>
      <c r="G9" s="21">
        <f t="shared" si="0"/>
        <v>2971.570000000007</v>
      </c>
      <c r="H9" s="22">
        <f t="shared" si="1"/>
        <v>0.31805043103448294</v>
      </c>
      <c r="I9" s="23">
        <f t="shared" si="2"/>
        <v>5.107021503637401E-2</v>
      </c>
      <c r="J9" s="24"/>
    </row>
    <row r="10" spans="1:14" x14ac:dyDescent="0.25">
      <c r="A10" s="4"/>
      <c r="B10" s="18" t="s">
        <v>15</v>
      </c>
      <c r="C10" s="19">
        <f>+C9/C4</f>
        <v>1568.1420512820514</v>
      </c>
      <c r="D10" s="19">
        <f>+D9/D4</f>
        <v>1600</v>
      </c>
      <c r="E10" s="19">
        <f>+E9/E4</f>
        <v>1818.3115625</v>
      </c>
      <c r="F10" s="20">
        <f t="shared" si="0"/>
        <v>-31.857948717948602</v>
      </c>
      <c r="G10" s="21">
        <f t="shared" si="0"/>
        <v>-250.16951121794864</v>
      </c>
      <c r="H10" s="25">
        <f t="shared" si="1"/>
        <v>-1.9911217948717877E-2</v>
      </c>
      <c r="I10" s="26">
        <f t="shared" si="2"/>
        <v>-0.13758341330348806</v>
      </c>
      <c r="J10" s="24"/>
    </row>
    <row r="11" spans="1:14" x14ac:dyDescent="0.25">
      <c r="A11" s="4"/>
      <c r="B11" s="18" t="s">
        <v>16</v>
      </c>
      <c r="C11" s="19">
        <v>23043.279999999999</v>
      </c>
      <c r="D11" s="19">
        <v>11600</v>
      </c>
      <c r="E11" s="19">
        <v>14538.46</v>
      </c>
      <c r="F11" s="20">
        <f t="shared" si="0"/>
        <v>11443.279999999999</v>
      </c>
      <c r="G11" s="21">
        <f t="shared" si="0"/>
        <v>8504.82</v>
      </c>
      <c r="H11" s="22">
        <f t="shared" si="1"/>
        <v>0.98648965517241372</v>
      </c>
      <c r="I11" s="23">
        <f t="shared" si="2"/>
        <v>0.58498768095107734</v>
      </c>
      <c r="J11" s="24"/>
    </row>
    <row r="12" spans="1:14" x14ac:dyDescent="0.25">
      <c r="A12" s="4"/>
      <c r="B12" s="18" t="s">
        <v>17</v>
      </c>
      <c r="C12" s="27">
        <f>+C11/C9</f>
        <v>0.37678559340352791</v>
      </c>
      <c r="D12" s="27">
        <f>+D11/D9</f>
        <v>0.25</v>
      </c>
      <c r="E12" s="27">
        <f>+E11/E9</f>
        <v>0.24986195125732197</v>
      </c>
      <c r="F12" s="28">
        <f t="shared" si="0"/>
        <v>0.12678559340352791</v>
      </c>
      <c r="G12" s="30">
        <f t="shared" si="0"/>
        <v>0.12692364214620594</v>
      </c>
      <c r="H12" s="22">
        <f t="shared" si="1"/>
        <v>0.50714237361411163</v>
      </c>
      <c r="I12" s="23">
        <f t="shared" si="2"/>
        <v>0.5079750698636496</v>
      </c>
      <c r="J12" s="24"/>
    </row>
    <row r="13" spans="1:14" x14ac:dyDescent="0.25">
      <c r="A13" s="4"/>
      <c r="B13" s="18" t="s">
        <v>18</v>
      </c>
      <c r="C13" s="19">
        <v>55020.859999999986</v>
      </c>
      <c r="D13" s="19">
        <v>49127.107960119814</v>
      </c>
      <c r="E13" s="19">
        <v>26092.69000000001</v>
      </c>
      <c r="F13" s="20">
        <f t="shared" si="0"/>
        <v>5893.7520398801717</v>
      </c>
      <c r="G13" s="21">
        <f t="shared" si="0"/>
        <v>28928.169999999976</v>
      </c>
      <c r="H13" s="22">
        <f t="shared" si="1"/>
        <v>0.11996944832707383</v>
      </c>
      <c r="I13" s="23">
        <f t="shared" si="2"/>
        <v>1.1086695162514852</v>
      </c>
      <c r="J13" s="24"/>
    </row>
    <row r="14" spans="1:14" x14ac:dyDescent="0.25">
      <c r="A14" s="4"/>
      <c r="B14" s="18" t="s">
        <v>19</v>
      </c>
      <c r="C14" s="19">
        <f>+C13/C4</f>
        <v>1410.7912820512818</v>
      </c>
      <c r="D14" s="19">
        <f>+D13/D4</f>
        <v>1694.0382055213729</v>
      </c>
      <c r="E14" s="19">
        <f>+E13/E4</f>
        <v>815.3965625000003</v>
      </c>
      <c r="F14" s="20">
        <f t="shared" si="0"/>
        <v>-283.24692347009113</v>
      </c>
      <c r="G14" s="21">
        <f t="shared" si="0"/>
        <v>595.39471955128147</v>
      </c>
      <c r="H14" s="22">
        <f t="shared" si="1"/>
        <v>-0.16720220509012454</v>
      </c>
      <c r="I14" s="23">
        <f t="shared" si="2"/>
        <v>0.73019037230891104</v>
      </c>
      <c r="J14" s="24"/>
    </row>
    <row r="15" spans="1:14" x14ac:dyDescent="0.25">
      <c r="A15" s="4"/>
      <c r="B15" s="18" t="s">
        <v>20</v>
      </c>
      <c r="C15" s="19">
        <v>139548.99</v>
      </c>
      <c r="D15" s="19">
        <v>110685.28846153848</v>
      </c>
      <c r="E15" s="19">
        <v>114905.76999999999</v>
      </c>
      <c r="F15" s="20">
        <f t="shared" si="0"/>
        <v>28863.701538461508</v>
      </c>
      <c r="G15" s="21">
        <f t="shared" si="0"/>
        <v>24643.22</v>
      </c>
      <c r="H15" s="22">
        <f t="shared" si="1"/>
        <v>0.26077270014516174</v>
      </c>
      <c r="I15" s="23">
        <f>+IFERROR(G15/ABS($E15),"")</f>
        <v>0.21446459999354256</v>
      </c>
      <c r="J15" s="24"/>
    </row>
    <row r="16" spans="1:14" x14ac:dyDescent="0.25">
      <c r="A16" s="4"/>
      <c r="B16" s="31" t="s">
        <v>21</v>
      </c>
      <c r="C16" s="32"/>
      <c r="D16" s="32"/>
      <c r="E16" s="32"/>
      <c r="F16" s="33"/>
      <c r="G16" s="34"/>
      <c r="H16" s="35"/>
      <c r="I16" s="36"/>
      <c r="J16" s="24"/>
    </row>
    <row r="17" spans="1:10" x14ac:dyDescent="0.25">
      <c r="A17" s="4"/>
      <c r="B17" s="37" t="s">
        <v>9</v>
      </c>
      <c r="C17" s="38">
        <v>65</v>
      </c>
      <c r="D17" s="38">
        <v>59</v>
      </c>
      <c r="E17" s="39">
        <v>33</v>
      </c>
      <c r="F17" s="40">
        <f>+IFERROR($C17-D17,"")</f>
        <v>6</v>
      </c>
      <c r="G17" s="41">
        <f>+IFERROR($C17-E17,"")</f>
        <v>32</v>
      </c>
      <c r="H17" s="28">
        <f>+IFERROR(F17/ABS($D17),"")</f>
        <v>0.10169491525423729</v>
      </c>
      <c r="I17" s="42">
        <f>+IFERROR(G17/ABS($E17),"")</f>
        <v>0.96969696969696972</v>
      </c>
      <c r="J17" s="24"/>
    </row>
    <row r="18" spans="1:10" x14ac:dyDescent="0.25">
      <c r="A18" s="4"/>
      <c r="B18" s="43" t="s">
        <v>22</v>
      </c>
      <c r="C18" s="44">
        <v>5706388</v>
      </c>
      <c r="D18" s="44">
        <v>4613928</v>
      </c>
      <c r="E18" s="44">
        <v>2633395</v>
      </c>
      <c r="F18" s="45">
        <f>+IFERROR($C18-D18,"")</f>
        <v>1092460</v>
      </c>
      <c r="G18" s="46">
        <f>+IFERROR($C18-E18,"")</f>
        <v>3072993</v>
      </c>
      <c r="H18" s="47">
        <f>+IFERROR(F18/ABS($D18),"")</f>
        <v>0.23677439266499173</v>
      </c>
      <c r="I18" s="48">
        <f>+IFERROR(G18/ABS($E18),"")</f>
        <v>1.1669320401990586</v>
      </c>
      <c r="J18" s="49"/>
    </row>
    <row r="19" spans="1:10" x14ac:dyDescent="0.25">
      <c r="C19" s="50"/>
      <c r="D19" s="50"/>
      <c r="E19" s="50"/>
      <c r="F19" s="50"/>
      <c r="G19" s="50"/>
      <c r="H19" s="50"/>
      <c r="I19" s="50"/>
    </row>
    <row r="20" spans="1:10" x14ac:dyDescent="0.25">
      <c r="B20" s="51" t="s">
        <v>23</v>
      </c>
      <c r="C20" s="52" t="s">
        <v>1</v>
      </c>
      <c r="D20" s="52" t="s">
        <v>2</v>
      </c>
      <c r="E20" s="52">
        <f>$E$3</f>
        <v>2023</v>
      </c>
      <c r="F20" s="53" t="s">
        <v>3</v>
      </c>
      <c r="G20" s="54" t="str">
        <f>$G$3</f>
        <v>▲2023</v>
      </c>
      <c r="H20" s="53" t="s">
        <v>5</v>
      </c>
      <c r="I20" s="54" t="str">
        <f>$I$3</f>
        <v>% ▲ 2023</v>
      </c>
      <c r="J20" s="55" t="s">
        <v>7</v>
      </c>
    </row>
    <row r="21" spans="1:10" ht="15" customHeight="1" x14ac:dyDescent="0.25">
      <c r="B21" s="56" t="s">
        <v>9</v>
      </c>
      <c r="C21" s="57">
        <v>24</v>
      </c>
      <c r="D21" s="57">
        <v>24</v>
      </c>
      <c r="E21" s="57">
        <v>20</v>
      </c>
      <c r="F21" s="58">
        <f t="shared" ref="F21:G32" si="3">+IFERROR($C21-D21,"")</f>
        <v>0</v>
      </c>
      <c r="G21" s="59">
        <f t="shared" si="3"/>
        <v>4</v>
      </c>
      <c r="H21" s="15">
        <f t="shared" ref="H21:H32" si="4">+IFERROR(F21/ABS($D21),"")</f>
        <v>0</v>
      </c>
      <c r="I21" s="16">
        <f t="shared" ref="I21:I32" si="5">+IFERROR(G21/ABS($E21),"")</f>
        <v>0.2</v>
      </c>
      <c r="J21" s="17"/>
    </row>
    <row r="22" spans="1:10" x14ac:dyDescent="0.25">
      <c r="B22" s="18" t="s">
        <v>10</v>
      </c>
      <c r="C22" s="19">
        <v>41770.770000000026</v>
      </c>
      <c r="D22" s="19">
        <v>55700</v>
      </c>
      <c r="E22" s="19">
        <v>51682.719999999899</v>
      </c>
      <c r="F22" s="20">
        <f t="shared" si="3"/>
        <v>-13929.229999999974</v>
      </c>
      <c r="G22" s="21">
        <f t="shared" si="3"/>
        <v>-9911.9499999998734</v>
      </c>
      <c r="H22" s="22">
        <f t="shared" si="4"/>
        <v>-0.25007594254937116</v>
      </c>
      <c r="I22" s="23">
        <f t="shared" si="5"/>
        <v>-0.19178460421587512</v>
      </c>
      <c r="J22" s="24"/>
    </row>
    <row r="23" spans="1:10" x14ac:dyDescent="0.25">
      <c r="B23" s="18" t="s">
        <v>11</v>
      </c>
      <c r="C23" s="19">
        <f>+C22/C21</f>
        <v>1740.4487500000012</v>
      </c>
      <c r="D23" s="19">
        <f>+D22/D21</f>
        <v>2320.8333333333335</v>
      </c>
      <c r="E23" s="19">
        <f>+E22/E21</f>
        <v>2584.135999999995</v>
      </c>
      <c r="F23" s="20">
        <f t="shared" si="3"/>
        <v>-580.38458333333233</v>
      </c>
      <c r="G23" s="21">
        <f t="shared" si="3"/>
        <v>-843.68724999999381</v>
      </c>
      <c r="H23" s="25">
        <f t="shared" si="4"/>
        <v>-0.25007594254937121</v>
      </c>
      <c r="I23" s="26">
        <f t="shared" si="5"/>
        <v>-0.32648717017989587</v>
      </c>
      <c r="J23" s="24"/>
    </row>
    <row r="24" spans="1:10" x14ac:dyDescent="0.25">
      <c r="B24" s="18" t="s">
        <v>12</v>
      </c>
      <c r="C24" s="19">
        <v>14806.3</v>
      </c>
      <c r="D24" s="19">
        <v>18307.709923664122</v>
      </c>
      <c r="E24" s="19">
        <v>13837.08</v>
      </c>
      <c r="F24" s="20">
        <f t="shared" si="3"/>
        <v>-3501.4099236641232</v>
      </c>
      <c r="G24" s="21">
        <f t="shared" si="3"/>
        <v>969.21999999999935</v>
      </c>
      <c r="H24" s="22">
        <f t="shared" si="4"/>
        <v>-0.19125329919818546</v>
      </c>
      <c r="I24" s="23">
        <f t="shared" si="5"/>
        <v>7.0045125127555771E-2</v>
      </c>
      <c r="J24" s="24"/>
    </row>
    <row r="25" spans="1:10" x14ac:dyDescent="0.25">
      <c r="B25" s="18" t="s">
        <v>13</v>
      </c>
      <c r="C25" s="27">
        <f>+C24/C22</f>
        <v>0.35446557485054719</v>
      </c>
      <c r="D25" s="27">
        <f>+D24/D22</f>
        <v>0.32868419970671675</v>
      </c>
      <c r="E25" s="27">
        <f>+E24/E22</f>
        <v>0.26773126491794602</v>
      </c>
      <c r="F25" s="28">
        <f t="shared" si="3"/>
        <v>2.5781375143830443E-2</v>
      </c>
      <c r="G25" s="29">
        <f t="shared" si="3"/>
        <v>8.6734309932601172E-2</v>
      </c>
      <c r="H25" s="22">
        <f t="shared" si="4"/>
        <v>7.8438133524017989E-2</v>
      </c>
      <c r="I25" s="23">
        <f t="shared" si="5"/>
        <v>0.32396033372935884</v>
      </c>
      <c r="J25" s="24"/>
    </row>
    <row r="26" spans="1:10" x14ac:dyDescent="0.25">
      <c r="B26" s="18" t="s">
        <v>14</v>
      </c>
      <c r="C26" s="19">
        <v>38730.630000000005</v>
      </c>
      <c r="D26" s="19">
        <v>39600</v>
      </c>
      <c r="E26" s="19">
        <v>37970.89</v>
      </c>
      <c r="F26" s="20">
        <f t="shared" si="3"/>
        <v>-869.36999999999534</v>
      </c>
      <c r="G26" s="21">
        <f t="shared" si="3"/>
        <v>759.74000000000524</v>
      </c>
      <c r="H26" s="22">
        <f t="shared" si="4"/>
        <v>-2.195378787878776E-2</v>
      </c>
      <c r="I26" s="23">
        <f t="shared" si="5"/>
        <v>2.0008485447668076E-2</v>
      </c>
      <c r="J26" s="24"/>
    </row>
    <row r="27" spans="1:10" x14ac:dyDescent="0.25">
      <c r="B27" s="18" t="s">
        <v>15</v>
      </c>
      <c r="C27" s="19">
        <f>+C26/C21</f>
        <v>1613.7762500000001</v>
      </c>
      <c r="D27" s="19">
        <f>+D26/D21</f>
        <v>1650</v>
      </c>
      <c r="E27" s="19">
        <f>+E26/E21</f>
        <v>1898.5445</v>
      </c>
      <c r="F27" s="20">
        <f t="shared" si="3"/>
        <v>-36.223749999999882</v>
      </c>
      <c r="G27" s="21">
        <f t="shared" si="3"/>
        <v>-284.76824999999985</v>
      </c>
      <c r="H27" s="25">
        <f t="shared" si="4"/>
        <v>-2.1953787878787809E-2</v>
      </c>
      <c r="I27" s="26">
        <f t="shared" si="5"/>
        <v>-0.14999292879360998</v>
      </c>
      <c r="J27" s="24"/>
    </row>
    <row r="28" spans="1:10" x14ac:dyDescent="0.25">
      <c r="B28" s="18" t="s">
        <v>16</v>
      </c>
      <c r="C28" s="19">
        <v>14774.66</v>
      </c>
      <c r="D28" s="19">
        <v>9900</v>
      </c>
      <c r="E28" s="19">
        <v>9096.11</v>
      </c>
      <c r="F28" s="20">
        <f t="shared" si="3"/>
        <v>4874.66</v>
      </c>
      <c r="G28" s="21">
        <f t="shared" si="3"/>
        <v>5678.5499999999993</v>
      </c>
      <c r="H28" s="22">
        <f t="shared" si="4"/>
        <v>0.49238989898989899</v>
      </c>
      <c r="I28" s="23">
        <f t="shared" si="5"/>
        <v>0.62428334749689696</v>
      </c>
      <c r="J28" s="24"/>
    </row>
    <row r="29" spans="1:10" x14ac:dyDescent="0.25">
      <c r="B29" s="18" t="s">
        <v>17</v>
      </c>
      <c r="C29" s="27">
        <f>+C28/C26</f>
        <v>0.38147223528251406</v>
      </c>
      <c r="D29" s="27">
        <f>+D28/D26</f>
        <v>0.25</v>
      </c>
      <c r="E29" s="27">
        <f>+E28/E26</f>
        <v>0.2395548273954074</v>
      </c>
      <c r="F29" s="28">
        <f t="shared" si="3"/>
        <v>0.13147223528251406</v>
      </c>
      <c r="G29" s="30">
        <f t="shared" si="3"/>
        <v>0.14191740788710666</v>
      </c>
      <c r="H29" s="22">
        <f t="shared" si="4"/>
        <v>0.52588894113005624</v>
      </c>
      <c r="I29" s="23">
        <f t="shared" si="5"/>
        <v>0.59242140694939471</v>
      </c>
      <c r="J29" s="24"/>
    </row>
    <row r="30" spans="1:10" x14ac:dyDescent="0.25">
      <c r="B30" s="18" t="s">
        <v>18</v>
      </c>
      <c r="C30" s="19">
        <v>24075.320000000011</v>
      </c>
      <c r="D30" s="19">
        <v>22020.839959686062</v>
      </c>
      <c r="E30" s="19">
        <v>18425.229999999996</v>
      </c>
      <c r="F30" s="20">
        <f t="shared" si="3"/>
        <v>2054.4800403139488</v>
      </c>
      <c r="G30" s="21">
        <f t="shared" si="3"/>
        <v>5650.0900000000147</v>
      </c>
      <c r="H30" s="22">
        <f t="shared" si="4"/>
        <v>9.3297078770615535E-2</v>
      </c>
      <c r="I30" s="23">
        <f t="shared" si="5"/>
        <v>0.30664963205344065</v>
      </c>
      <c r="J30" s="24"/>
    </row>
    <row r="31" spans="1:10" x14ac:dyDescent="0.25">
      <c r="B31" s="18" t="s">
        <v>19</v>
      </c>
      <c r="C31" s="19">
        <f>+C30/C21</f>
        <v>1003.1383333333338</v>
      </c>
      <c r="D31" s="19">
        <f>+D30/D21</f>
        <v>917.53499832025261</v>
      </c>
      <c r="E31" s="19">
        <f>+E30/E21</f>
        <v>921.26149999999984</v>
      </c>
      <c r="F31" s="20">
        <f t="shared" si="3"/>
        <v>85.603335013081164</v>
      </c>
      <c r="G31" s="21">
        <f t="shared" si="3"/>
        <v>81.876833333333934</v>
      </c>
      <c r="H31" s="22">
        <f t="shared" si="4"/>
        <v>9.3297078770615494E-2</v>
      </c>
      <c r="I31" s="23">
        <f>+IFERROR(G31/ABS($E31),"")</f>
        <v>8.8874693377867145E-2</v>
      </c>
      <c r="J31" s="24"/>
    </row>
    <row r="32" spans="1:10" x14ac:dyDescent="0.25">
      <c r="B32" s="18" t="s">
        <v>20</v>
      </c>
      <c r="C32" s="19">
        <v>12960</v>
      </c>
      <c r="D32" s="19">
        <v>17220.352941176468</v>
      </c>
      <c r="E32" s="19">
        <v>13335</v>
      </c>
      <c r="F32" s="20">
        <f t="shared" si="3"/>
        <v>-4260.3529411764684</v>
      </c>
      <c r="G32" s="21">
        <f t="shared" si="3"/>
        <v>-375</v>
      </c>
      <c r="H32" s="22">
        <f t="shared" si="4"/>
        <v>-0.24740218482916923</v>
      </c>
      <c r="I32" s="23">
        <f t="shared" si="5"/>
        <v>-2.81214848143982E-2</v>
      </c>
      <c r="J32" s="24"/>
    </row>
    <row r="33" spans="2:10" x14ac:dyDescent="0.25">
      <c r="B33" s="31" t="s">
        <v>21</v>
      </c>
      <c r="C33" s="32"/>
      <c r="D33" s="32"/>
      <c r="E33" s="32"/>
      <c r="F33" s="33"/>
      <c r="G33" s="34"/>
      <c r="H33" s="60"/>
      <c r="I33" s="61"/>
      <c r="J33" s="24"/>
    </row>
    <row r="34" spans="2:10" x14ac:dyDescent="0.25">
      <c r="B34" s="37" t="s">
        <v>9</v>
      </c>
      <c r="C34" s="38">
        <v>66</v>
      </c>
      <c r="D34" s="38">
        <v>61</v>
      </c>
      <c r="E34" s="39">
        <v>48</v>
      </c>
      <c r="F34" s="40">
        <f>+IFERROR($C34-D34,"")</f>
        <v>5</v>
      </c>
      <c r="G34" s="41">
        <f>+IFERROR($C34-E34,"")</f>
        <v>18</v>
      </c>
      <c r="H34" s="28">
        <f>+IFERROR(F34/ABS($D34),"")</f>
        <v>8.1967213114754092E-2</v>
      </c>
      <c r="I34" s="42">
        <f>+IFERROR(G34/ABS($E34),"")</f>
        <v>0.375</v>
      </c>
      <c r="J34" s="24"/>
    </row>
    <row r="35" spans="2:10" x14ac:dyDescent="0.25">
      <c r="B35" s="43" t="s">
        <v>22</v>
      </c>
      <c r="C35" s="44">
        <v>2318382</v>
      </c>
      <c r="D35" s="44">
        <v>2308102</v>
      </c>
      <c r="E35" s="44">
        <v>1900953</v>
      </c>
      <c r="F35" s="45">
        <f>+IFERROR($C35-D35,"")</f>
        <v>10280</v>
      </c>
      <c r="G35" s="46">
        <f>+IFERROR($C35-E35,"")</f>
        <v>417429</v>
      </c>
      <c r="H35" s="47">
        <f>+IFERROR(F35/ABS($D35),"")</f>
        <v>4.4538759552220832E-3</v>
      </c>
      <c r="I35" s="48">
        <f>+IFERROR(G35/ABS($E35),"")</f>
        <v>0.21958933229806313</v>
      </c>
      <c r="J35" s="49"/>
    </row>
    <row r="36" spans="2:10" x14ac:dyDescent="0.25">
      <c r="C36" s="50"/>
      <c r="D36" s="50"/>
      <c r="E36" s="50"/>
      <c r="F36" s="50"/>
      <c r="G36" s="50"/>
      <c r="H36" s="50"/>
      <c r="I36" s="50"/>
    </row>
    <row r="37" spans="2:10" x14ac:dyDescent="0.25">
      <c r="B37" s="62" t="s">
        <v>24</v>
      </c>
      <c r="C37" s="63" t="s">
        <v>1</v>
      </c>
      <c r="D37" s="63" t="s">
        <v>2</v>
      </c>
      <c r="E37" s="63">
        <f>$E$3</f>
        <v>2023</v>
      </c>
      <c r="F37" s="64" t="s">
        <v>3</v>
      </c>
      <c r="G37" s="65" t="str">
        <f>$G$3</f>
        <v>▲2023</v>
      </c>
      <c r="H37" s="64" t="s">
        <v>5</v>
      </c>
      <c r="I37" s="65" t="str">
        <f>$I$3</f>
        <v>% ▲ 2023</v>
      </c>
      <c r="J37" s="66" t="s">
        <v>7</v>
      </c>
    </row>
    <row r="38" spans="2:10" ht="28.15" customHeight="1" x14ac:dyDescent="0.25">
      <c r="B38" s="56" t="s">
        <v>25</v>
      </c>
      <c r="C38" s="67">
        <v>210555.72</v>
      </c>
      <c r="D38" s="67">
        <v>207362.44284018263</v>
      </c>
      <c r="E38" s="67">
        <v>191011.81000000003</v>
      </c>
      <c r="F38" s="68">
        <f t="shared" ref="F38:G47" si="6">+IFERROR($C38-D38,"")</f>
        <v>3193.2771598173713</v>
      </c>
      <c r="G38" s="69">
        <f t="shared" si="6"/>
        <v>19543.909999999974</v>
      </c>
      <c r="H38" s="15">
        <f t="shared" ref="H38:H47" si="7">+IFERROR(F38/ABS($D38),"")</f>
        <v>1.5399496244739354E-2</v>
      </c>
      <c r="I38" s="16">
        <f t="shared" ref="I38:I47" si="8">+IFERROR(G38/ABS($E38),"")</f>
        <v>0.10231780956371217</v>
      </c>
      <c r="J38" s="17"/>
    </row>
    <row r="39" spans="2:10" x14ac:dyDescent="0.25">
      <c r="B39" s="56" t="s">
        <v>26</v>
      </c>
      <c r="C39" s="67">
        <v>141830.43999999997</v>
      </c>
      <c r="D39" s="67">
        <v>140229.20782210614</v>
      </c>
      <c r="E39" s="67">
        <v>129123.92999999991</v>
      </c>
      <c r="F39" s="68">
        <f t="shared" si="6"/>
        <v>1601.2321778938349</v>
      </c>
      <c r="G39" s="69">
        <f t="shared" si="6"/>
        <v>12706.510000000068</v>
      </c>
      <c r="H39" s="70">
        <f t="shared" si="7"/>
        <v>1.1418678054040978E-2</v>
      </c>
      <c r="I39" s="71">
        <f t="shared" si="8"/>
        <v>9.8405539546388324E-2</v>
      </c>
      <c r="J39" s="24"/>
    </row>
    <row r="40" spans="2:10" x14ac:dyDescent="0.25">
      <c r="B40" s="18" t="s">
        <v>27</v>
      </c>
      <c r="C40" s="19">
        <v>359.90007168458777</v>
      </c>
      <c r="D40" s="72">
        <v>324</v>
      </c>
      <c r="E40" s="19">
        <v>332.66799319727892</v>
      </c>
      <c r="F40" s="20">
        <f t="shared" si="6"/>
        <v>35.900071684587772</v>
      </c>
      <c r="G40" s="21">
        <f t="shared" si="6"/>
        <v>27.232078487308854</v>
      </c>
      <c r="H40" s="22">
        <f t="shared" si="7"/>
        <v>0.11080269038453017</v>
      </c>
      <c r="I40" s="23">
        <f t="shared" si="8"/>
        <v>8.1859628951919269E-2</v>
      </c>
      <c r="J40" s="24"/>
    </row>
    <row r="41" spans="2:10" x14ac:dyDescent="0.25">
      <c r="B41" s="18" t="s">
        <v>28</v>
      </c>
      <c r="C41" s="19">
        <v>119.96446601941747</v>
      </c>
      <c r="D41" s="72">
        <v>145</v>
      </c>
      <c r="E41" s="19">
        <v>138.94418410041843</v>
      </c>
      <c r="F41" s="20">
        <f t="shared" si="6"/>
        <v>-25.035533980582528</v>
      </c>
      <c r="G41" s="21">
        <f t="shared" si="6"/>
        <v>-18.979718081000954</v>
      </c>
      <c r="H41" s="22">
        <f t="shared" si="7"/>
        <v>-0.1726588550385002</v>
      </c>
      <c r="I41" s="23">
        <f t="shared" si="8"/>
        <v>-0.1365995864014275</v>
      </c>
      <c r="J41" s="24"/>
    </row>
    <row r="42" spans="2:10" x14ac:dyDescent="0.25">
      <c r="B42" s="18" t="s">
        <v>29</v>
      </c>
      <c r="C42" s="73">
        <v>-2669.26</v>
      </c>
      <c r="D42" s="73">
        <v>-2991.7260967391708</v>
      </c>
      <c r="E42" s="73">
        <v>-4394.6499999999996</v>
      </c>
      <c r="F42" s="20">
        <f t="shared" si="6"/>
        <v>322.46609673917055</v>
      </c>
      <c r="G42" s="21">
        <f t="shared" si="6"/>
        <v>1725.3899999999994</v>
      </c>
      <c r="H42" s="22">
        <f t="shared" si="7"/>
        <v>0.10778596914023721</v>
      </c>
      <c r="I42" s="23">
        <f t="shared" si="8"/>
        <v>0.39261147076558989</v>
      </c>
      <c r="J42" s="24"/>
    </row>
    <row r="43" spans="2:10" x14ac:dyDescent="0.25">
      <c r="B43" s="18" t="s">
        <v>30</v>
      </c>
      <c r="C43" s="19">
        <v>66729.09</v>
      </c>
      <c r="D43" s="19">
        <v>58039.320037283695</v>
      </c>
      <c r="E43" s="19">
        <v>57025.069999999992</v>
      </c>
      <c r="F43" s="20">
        <f t="shared" si="6"/>
        <v>8689.769962716302</v>
      </c>
      <c r="G43" s="21">
        <f t="shared" si="6"/>
        <v>9704.0200000000041</v>
      </c>
      <c r="H43" s="22">
        <f t="shared" si="7"/>
        <v>0.14972211867978655</v>
      </c>
      <c r="I43" s="23">
        <f t="shared" si="8"/>
        <v>0.17017111947429447</v>
      </c>
      <c r="J43" s="24"/>
    </row>
    <row r="44" spans="2:10" x14ac:dyDescent="0.25">
      <c r="B44" s="74" t="s">
        <v>31</v>
      </c>
      <c r="C44" s="19">
        <v>40563.589999999997</v>
      </c>
      <c r="D44" s="19">
        <v>33518.127817590139</v>
      </c>
      <c r="E44" s="19">
        <v>32078.46</v>
      </c>
      <c r="F44" s="20">
        <f t="shared" si="6"/>
        <v>7045.4621824098576</v>
      </c>
      <c r="G44" s="21">
        <f t="shared" si="6"/>
        <v>8485.1299999999974</v>
      </c>
      <c r="H44" s="22">
        <f t="shared" si="7"/>
        <v>0.21019855944079419</v>
      </c>
      <c r="I44" s="23">
        <f t="shared" si="8"/>
        <v>0.26451176272177646</v>
      </c>
      <c r="J44" s="24"/>
    </row>
    <row r="45" spans="2:10" x14ac:dyDescent="0.25">
      <c r="B45" s="74" t="s">
        <v>32</v>
      </c>
      <c r="C45" s="19">
        <v>26165.5</v>
      </c>
      <c r="D45" s="19">
        <v>24521.192219693556</v>
      </c>
      <c r="E45" s="19">
        <v>24946.610000000004</v>
      </c>
      <c r="F45" s="20">
        <f t="shared" si="6"/>
        <v>1644.3077803064443</v>
      </c>
      <c r="G45" s="21">
        <f t="shared" si="6"/>
        <v>1218.8899999999958</v>
      </c>
      <c r="H45" s="22">
        <f t="shared" si="7"/>
        <v>6.7056600085939597E-2</v>
      </c>
      <c r="I45" s="23">
        <f t="shared" si="8"/>
        <v>4.8859945299180751E-2</v>
      </c>
      <c r="J45" s="24"/>
    </row>
    <row r="46" spans="2:10" x14ac:dyDescent="0.25">
      <c r="B46" s="18" t="s">
        <v>33</v>
      </c>
      <c r="C46" s="75">
        <f>+C43/C38</f>
        <v>0.31691891343536044</v>
      </c>
      <c r="D46" s="75">
        <f>+D43/D38</f>
        <v>0.27989311488780771</v>
      </c>
      <c r="E46" s="75">
        <f>+E43/E38</f>
        <v>0.29854211632254563</v>
      </c>
      <c r="F46" s="28">
        <f t="shared" si="6"/>
        <v>3.7025798547552724E-2</v>
      </c>
      <c r="G46" s="29">
        <f t="shared" si="6"/>
        <v>1.8376797112814813E-2</v>
      </c>
      <c r="H46" s="22">
        <f t="shared" si="7"/>
        <v>0.13228549249021054</v>
      </c>
      <c r="I46" s="23">
        <f t="shared" si="8"/>
        <v>6.1555124413201642E-2</v>
      </c>
      <c r="J46" s="24"/>
    </row>
    <row r="47" spans="2:10" x14ac:dyDescent="0.25">
      <c r="B47" s="76" t="s">
        <v>34</v>
      </c>
      <c r="C47" s="77">
        <v>5216.07</v>
      </c>
      <c r="D47" s="77">
        <v>4822.7083333333339</v>
      </c>
      <c r="E47" s="77">
        <v>4706.79</v>
      </c>
      <c r="F47" s="45">
        <f t="shared" si="6"/>
        <v>393.36166666666577</v>
      </c>
      <c r="G47" s="46">
        <f t="shared" si="6"/>
        <v>509.27999999999975</v>
      </c>
      <c r="H47" s="78">
        <f t="shared" si="7"/>
        <v>8.1564473627370321E-2</v>
      </c>
      <c r="I47" s="48">
        <f t="shared" si="8"/>
        <v>0.10820113070691485</v>
      </c>
      <c r="J47" s="49"/>
    </row>
    <row r="48" spans="2:10" x14ac:dyDescent="0.25">
      <c r="C48" s="50"/>
      <c r="D48" s="50"/>
      <c r="E48" s="50"/>
      <c r="F48" s="50"/>
      <c r="G48" s="50"/>
      <c r="H48" s="50"/>
      <c r="I48" s="50"/>
    </row>
    <row r="49" spans="2:10" x14ac:dyDescent="0.25">
      <c r="B49" s="79" t="s">
        <v>35</v>
      </c>
      <c r="C49" s="80" t="s">
        <v>1</v>
      </c>
      <c r="D49" s="80" t="s">
        <v>2</v>
      </c>
      <c r="E49" s="80">
        <f>$E$3</f>
        <v>2023</v>
      </c>
      <c r="F49" s="81" t="s">
        <v>3</v>
      </c>
      <c r="G49" s="82" t="str">
        <f>$G$3</f>
        <v>▲2023</v>
      </c>
      <c r="H49" s="81" t="s">
        <v>5</v>
      </c>
      <c r="I49" s="82" t="str">
        <f>$I$3</f>
        <v>% ▲ 2023</v>
      </c>
      <c r="J49" s="83" t="s">
        <v>7</v>
      </c>
    </row>
    <row r="50" spans="2:10" ht="14.45" customHeight="1" x14ac:dyDescent="0.25">
      <c r="B50" s="84" t="s">
        <v>25</v>
      </c>
      <c r="C50" s="67">
        <v>357619.24</v>
      </c>
      <c r="D50" s="67">
        <v>375657.74545837811</v>
      </c>
      <c r="E50" s="67">
        <v>371365.54999999987</v>
      </c>
      <c r="F50" s="68">
        <f t="shared" ref="F50:G59" si="9">+IFERROR($C50-D50,"")</f>
        <v>-18038.505458378117</v>
      </c>
      <c r="G50" s="69">
        <f t="shared" si="9"/>
        <v>-13746.309999999881</v>
      </c>
      <c r="H50" s="15">
        <f t="shared" ref="H50:H59" si="10">+IFERROR(F50/ABS($D50),"")</f>
        <v>-4.8018457429561331E-2</v>
      </c>
      <c r="I50" s="16">
        <f t="shared" ref="I50:I59" si="11">+IFERROR(G50/ABS($E50),"")</f>
        <v>-3.7015576700638729E-2</v>
      </c>
      <c r="J50" s="17"/>
    </row>
    <row r="51" spans="2:10" x14ac:dyDescent="0.25">
      <c r="B51" s="85" t="s">
        <v>36</v>
      </c>
      <c r="C51" s="19">
        <v>101379.69</v>
      </c>
      <c r="D51" s="19">
        <v>94141.149728135875</v>
      </c>
      <c r="E51" s="19">
        <v>88627.3</v>
      </c>
      <c r="F51" s="20">
        <f t="shared" si="9"/>
        <v>7238.5402718641271</v>
      </c>
      <c r="G51" s="21">
        <f t="shared" si="9"/>
        <v>12752.39</v>
      </c>
      <c r="H51" s="22">
        <f t="shared" si="10"/>
        <v>7.6890289663636341E-2</v>
      </c>
      <c r="I51" s="23">
        <f t="shared" si="11"/>
        <v>0.14388783140183667</v>
      </c>
      <c r="J51" s="24"/>
    </row>
    <row r="52" spans="2:10" x14ac:dyDescent="0.25">
      <c r="B52" s="85" t="s">
        <v>37</v>
      </c>
      <c r="C52" s="19">
        <v>45144.229999999996</v>
      </c>
      <c r="D52" s="19">
        <v>61884.44844450643</v>
      </c>
      <c r="E52" s="19">
        <v>63475.66</v>
      </c>
      <c r="F52" s="20">
        <f t="shared" si="9"/>
        <v>-16740.218444506434</v>
      </c>
      <c r="G52" s="21">
        <f t="shared" si="9"/>
        <v>-18331.430000000008</v>
      </c>
      <c r="H52" s="22">
        <f t="shared" si="10"/>
        <v>-0.27050767786219942</v>
      </c>
      <c r="I52" s="23">
        <f t="shared" si="11"/>
        <v>-0.28879463403767691</v>
      </c>
      <c r="J52" s="24"/>
    </row>
    <row r="53" spans="2:10" x14ac:dyDescent="0.25">
      <c r="B53" s="85" t="s">
        <v>38</v>
      </c>
      <c r="C53" s="19">
        <v>66902.58</v>
      </c>
      <c r="D53" s="19">
        <v>81115.349672371303</v>
      </c>
      <c r="E53" s="19">
        <v>81331.16</v>
      </c>
      <c r="F53" s="20">
        <f t="shared" si="9"/>
        <v>-14212.769672371302</v>
      </c>
      <c r="G53" s="21">
        <f t="shared" si="9"/>
        <v>-14428.580000000002</v>
      </c>
      <c r="H53" s="22">
        <f t="shared" si="10"/>
        <v>-0.17521677129886445</v>
      </c>
      <c r="I53" s="23">
        <f t="shared" si="11"/>
        <v>-0.1774053142731519</v>
      </c>
      <c r="J53" s="24"/>
    </row>
    <row r="54" spans="2:10" x14ac:dyDescent="0.25">
      <c r="B54" s="85" t="s">
        <v>39</v>
      </c>
      <c r="C54" s="19">
        <v>77451.34</v>
      </c>
      <c r="D54" s="19">
        <v>70806.631658636878</v>
      </c>
      <c r="E54" s="19">
        <v>76330.100000000006</v>
      </c>
      <c r="F54" s="20">
        <f t="shared" si="9"/>
        <v>6644.708341363119</v>
      </c>
      <c r="G54" s="21">
        <f t="shared" si="9"/>
        <v>1121.2399999999907</v>
      </c>
      <c r="H54" s="22">
        <f t="shared" si="10"/>
        <v>9.3843022690270964E-2</v>
      </c>
      <c r="I54" s="23">
        <f t="shared" si="11"/>
        <v>1.4689355837343205E-2</v>
      </c>
      <c r="J54" s="24"/>
    </row>
    <row r="55" spans="2:10" x14ac:dyDescent="0.25">
      <c r="B55" s="85" t="s">
        <v>40</v>
      </c>
      <c r="C55" s="19">
        <f>+C50-SUM(C51:C54)</f>
        <v>66741.400000000023</v>
      </c>
      <c r="D55" s="19">
        <f>+D50-SUM(D51:D54)</f>
        <v>67710.165954727679</v>
      </c>
      <c r="E55" s="19">
        <f>+E50-SUM(E51:E54)</f>
        <v>61601.329999999842</v>
      </c>
      <c r="F55" s="20">
        <f t="shared" si="9"/>
        <v>-968.76595472765621</v>
      </c>
      <c r="G55" s="21">
        <f t="shared" si="9"/>
        <v>5140.0700000001816</v>
      </c>
      <c r="H55" s="22">
        <f t="shared" si="10"/>
        <v>-1.4307540693008962E-2</v>
      </c>
      <c r="I55" s="23">
        <f t="shared" si="11"/>
        <v>8.3440893240457545E-2</v>
      </c>
      <c r="J55" s="24"/>
    </row>
    <row r="56" spans="2:10" x14ac:dyDescent="0.25">
      <c r="B56" s="56" t="s">
        <v>26</v>
      </c>
      <c r="C56" s="67">
        <v>114107.92</v>
      </c>
      <c r="D56" s="67">
        <v>122731.5619127017</v>
      </c>
      <c r="E56" s="67">
        <v>118468.21999999988</v>
      </c>
      <c r="F56" s="68">
        <f t="shared" si="9"/>
        <v>-8623.6419127016998</v>
      </c>
      <c r="G56" s="69">
        <f t="shared" si="9"/>
        <v>-4360.2999999998865</v>
      </c>
      <c r="H56" s="70">
        <f t="shared" si="10"/>
        <v>-7.0264256221522298E-2</v>
      </c>
      <c r="I56" s="71">
        <f t="shared" si="11"/>
        <v>-3.6805651338391768E-2</v>
      </c>
      <c r="J56" s="24"/>
    </row>
    <row r="57" spans="2:10" x14ac:dyDescent="0.25">
      <c r="B57" s="18" t="s">
        <v>27</v>
      </c>
      <c r="C57" s="19">
        <v>363.36806451612904</v>
      </c>
      <c r="D57" s="72">
        <v>301</v>
      </c>
      <c r="E57" s="19">
        <v>301.45340136054421</v>
      </c>
      <c r="F57" s="20">
        <f t="shared" si="9"/>
        <v>62.368064516129039</v>
      </c>
      <c r="G57" s="21">
        <f t="shared" si="9"/>
        <v>61.914663155584833</v>
      </c>
      <c r="H57" s="22">
        <f t="shared" si="10"/>
        <v>0.2072028721466081</v>
      </c>
      <c r="I57" s="23">
        <f t="shared" si="11"/>
        <v>0.20538717717612903</v>
      </c>
      <c r="J57" s="24"/>
    </row>
    <row r="58" spans="2:10" x14ac:dyDescent="0.25">
      <c r="B58" s="18" t="s">
        <v>28</v>
      </c>
      <c r="C58" s="19">
        <v>219.14674757281551</v>
      </c>
      <c r="D58" s="72">
        <v>306</v>
      </c>
      <c r="E58" s="19">
        <v>265.58853556485354</v>
      </c>
      <c r="F58" s="20">
        <f t="shared" si="9"/>
        <v>-86.853252427184486</v>
      </c>
      <c r="G58" s="21">
        <f t="shared" si="9"/>
        <v>-46.44178799203803</v>
      </c>
      <c r="H58" s="22">
        <f t="shared" si="10"/>
        <v>-0.28383415825877284</v>
      </c>
      <c r="I58" s="23">
        <f t="shared" si="11"/>
        <v>-0.17486367735439207</v>
      </c>
      <c r="J58" s="24"/>
    </row>
    <row r="59" spans="2:10" x14ac:dyDescent="0.25">
      <c r="B59" s="76" t="s">
        <v>41</v>
      </c>
      <c r="C59" s="77">
        <v>13222.15</v>
      </c>
      <c r="D59" s="77">
        <v>13970.545801526718</v>
      </c>
      <c r="E59" s="77">
        <v>14079.07</v>
      </c>
      <c r="F59" s="45">
        <f t="shared" si="9"/>
        <v>-748.39580152671806</v>
      </c>
      <c r="G59" s="46">
        <f t="shared" si="9"/>
        <v>-856.92000000000007</v>
      </c>
      <c r="H59" s="78">
        <f t="shared" si="10"/>
        <v>-5.3569546398461572E-2</v>
      </c>
      <c r="I59" s="86">
        <f t="shared" si="11"/>
        <v>-6.0864815644783361E-2</v>
      </c>
      <c r="J59" s="49"/>
    </row>
    <row r="61" spans="2:10" x14ac:dyDescent="0.25">
      <c r="B61" s="87" t="s">
        <v>42</v>
      </c>
      <c r="C61" s="88" t="s">
        <v>1</v>
      </c>
      <c r="D61" s="88" t="s">
        <v>2</v>
      </c>
      <c r="E61" s="88">
        <f>$E$3</f>
        <v>2023</v>
      </c>
      <c r="F61" s="89" t="s">
        <v>3</v>
      </c>
      <c r="G61" s="90" t="str">
        <f>$G$3</f>
        <v>▲2023</v>
      </c>
      <c r="H61" s="89" t="s">
        <v>5</v>
      </c>
      <c r="I61" s="90" t="str">
        <f>$I$3</f>
        <v>% ▲ 2023</v>
      </c>
      <c r="J61" s="87" t="s">
        <v>7</v>
      </c>
    </row>
    <row r="62" spans="2:10" ht="29.25" customHeight="1" x14ac:dyDescent="0.25">
      <c r="B62" s="91" t="s">
        <v>43</v>
      </c>
      <c r="C62" s="92">
        <v>0.33450279571531089</v>
      </c>
      <c r="D62" s="92">
        <v>0.3074874644929344</v>
      </c>
      <c r="E62" s="92">
        <v>0.31915575190543244</v>
      </c>
      <c r="F62" s="28">
        <f t="shared" ref="F62:G67" si="12">+IFERROR($C62-D62,"")</f>
        <v>2.7015331222376482E-2</v>
      </c>
      <c r="G62" s="29">
        <f t="shared" si="12"/>
        <v>1.5347043809878447E-2</v>
      </c>
      <c r="H62" s="22">
        <f t="shared" ref="H62:H67" si="13">+IFERROR(F62/ABS($D62),"")</f>
        <v>8.7858317303849812E-2</v>
      </c>
      <c r="I62" s="23">
        <f t="shared" ref="I62:I67" si="14">+IFERROR(G62/ABS($E62),"")</f>
        <v>4.8086377006377308E-2</v>
      </c>
      <c r="J62" s="93"/>
    </row>
    <row r="63" spans="2:10" x14ac:dyDescent="0.25">
      <c r="B63" s="94" t="s">
        <v>44</v>
      </c>
      <c r="C63" s="95">
        <v>22.5</v>
      </c>
      <c r="D63" s="95">
        <v>23.5</v>
      </c>
      <c r="E63" s="95">
        <v>23.5</v>
      </c>
      <c r="F63" s="96">
        <f t="shared" si="12"/>
        <v>-1</v>
      </c>
      <c r="G63" s="97">
        <f t="shared" si="12"/>
        <v>-1</v>
      </c>
      <c r="H63" s="22">
        <f t="shared" si="13"/>
        <v>-4.2553191489361701E-2</v>
      </c>
      <c r="I63" s="23">
        <f t="shared" si="14"/>
        <v>-4.2553191489361701E-2</v>
      </c>
      <c r="J63" s="24"/>
    </row>
    <row r="64" spans="2:10" x14ac:dyDescent="0.25">
      <c r="B64" s="91" t="s">
        <v>45</v>
      </c>
      <c r="C64" s="19">
        <v>33101.909999999996</v>
      </c>
      <c r="D64" s="19">
        <v>27047.908808957553</v>
      </c>
      <c r="E64" s="19">
        <v>29117.210000000003</v>
      </c>
      <c r="F64" s="20">
        <f t="shared" si="12"/>
        <v>6054.0011910424437</v>
      </c>
      <c r="G64" s="21">
        <f t="shared" si="12"/>
        <v>3984.6999999999935</v>
      </c>
      <c r="H64" s="22">
        <f t="shared" si="13"/>
        <v>0.22382511098371932</v>
      </c>
      <c r="I64" s="23">
        <f t="shared" si="14"/>
        <v>0.1368503369656637</v>
      </c>
      <c r="J64" s="24"/>
    </row>
    <row r="65" spans="2:10" x14ac:dyDescent="0.25">
      <c r="B65" s="91" t="s">
        <v>46</v>
      </c>
      <c r="C65" s="19">
        <v>70340.689999999973</v>
      </c>
      <c r="D65" s="19">
        <v>64084.762667362411</v>
      </c>
      <c r="E65" s="19">
        <v>62683.92</v>
      </c>
      <c r="F65" s="20">
        <f t="shared" si="12"/>
        <v>6255.9273326375624</v>
      </c>
      <c r="G65" s="21">
        <f t="shared" si="12"/>
        <v>7656.769999999975</v>
      </c>
      <c r="H65" s="22">
        <f t="shared" si="13"/>
        <v>9.7619575578511586E-2</v>
      </c>
      <c r="I65" s="23">
        <f t="shared" si="14"/>
        <v>0.12214887007704647</v>
      </c>
      <c r="J65" s="24"/>
    </row>
    <row r="66" spans="2:10" x14ac:dyDescent="0.25">
      <c r="B66" s="91" t="s">
        <v>47</v>
      </c>
      <c r="C66" s="19">
        <v>44371.22</v>
      </c>
      <c r="D66" s="19">
        <v>38195.192711472533</v>
      </c>
      <c r="E66" s="19">
        <v>12656.43</v>
      </c>
      <c r="F66" s="20">
        <f t="shared" si="12"/>
        <v>6176.027288527468</v>
      </c>
      <c r="G66" s="21">
        <f t="shared" si="12"/>
        <v>31714.79</v>
      </c>
      <c r="H66" s="22">
        <f t="shared" si="13"/>
        <v>0.16169645576031877</v>
      </c>
      <c r="I66" s="23">
        <f t="shared" si="14"/>
        <v>2.5058243122270656</v>
      </c>
      <c r="J66" s="24"/>
    </row>
    <row r="67" spans="2:10" x14ac:dyDescent="0.25">
      <c r="B67" s="98" t="s">
        <v>48</v>
      </c>
      <c r="C67" s="77">
        <v>32226.960000000021</v>
      </c>
      <c r="D67" s="77">
        <v>27108.794769230779</v>
      </c>
      <c r="E67" s="77">
        <v>27187.300000000017</v>
      </c>
      <c r="F67" s="45">
        <f t="shared" si="12"/>
        <v>5118.165230769242</v>
      </c>
      <c r="G67" s="46">
        <f t="shared" si="12"/>
        <v>5039.6600000000035</v>
      </c>
      <c r="H67" s="47">
        <f t="shared" si="13"/>
        <v>0.18880091403320148</v>
      </c>
      <c r="I67" s="48">
        <f t="shared" si="14"/>
        <v>0.18536816822560534</v>
      </c>
      <c r="J67" s="49"/>
    </row>
    <row r="69" spans="2:10" x14ac:dyDescent="0.25">
      <c r="B69" s="99" t="s">
        <v>49</v>
      </c>
      <c r="C69" s="100" t="s">
        <v>1</v>
      </c>
      <c r="D69" s="100" t="s">
        <v>2</v>
      </c>
      <c r="E69" s="100">
        <f>$E$3</f>
        <v>2023</v>
      </c>
      <c r="F69" s="101" t="s">
        <v>3</v>
      </c>
      <c r="G69" s="102" t="str">
        <f>$G$3</f>
        <v>▲2023</v>
      </c>
      <c r="H69" s="101" t="s">
        <v>5</v>
      </c>
      <c r="I69" s="102" t="str">
        <f>$I$3</f>
        <v>% ▲ 2023</v>
      </c>
      <c r="J69" s="103" t="s">
        <v>7</v>
      </c>
    </row>
    <row r="70" spans="2:10" ht="15" customHeight="1" x14ac:dyDescent="0.25">
      <c r="B70" s="104" t="s">
        <v>50</v>
      </c>
      <c r="C70" s="105">
        <v>174409.84</v>
      </c>
      <c r="D70" s="105">
        <v>141710.54066184812</v>
      </c>
      <c r="E70" s="105">
        <v>148978.02000000002</v>
      </c>
      <c r="F70" s="106">
        <f t="shared" ref="F70:G77" si="15">+IFERROR($C70-D70,"")</f>
        <v>32699.299338151875</v>
      </c>
      <c r="G70" s="107">
        <f t="shared" si="15"/>
        <v>25431.819999999978</v>
      </c>
      <c r="H70" s="28">
        <f t="shared" ref="H70:H77" si="16">+IFERROR(F70/ABS($D70),"")</f>
        <v>0.23074712145922474</v>
      </c>
      <c r="I70" s="42">
        <f t="shared" ref="I70:I77" si="17">+IFERROR(G70/ABS($E70),"")</f>
        <v>0.17070853807830158</v>
      </c>
      <c r="J70" s="17"/>
    </row>
    <row r="71" spans="2:10" x14ac:dyDescent="0.25">
      <c r="B71" s="104" t="s">
        <v>51</v>
      </c>
      <c r="C71" s="92">
        <v>0.30592414645839455</v>
      </c>
      <c r="D71" s="92">
        <v>0.24872163956261079</v>
      </c>
      <c r="E71" s="92">
        <v>0.26429391747618797</v>
      </c>
      <c r="F71" s="28">
        <f t="shared" si="15"/>
        <v>5.7202506895783767E-2</v>
      </c>
      <c r="G71" s="29">
        <f t="shared" si="15"/>
        <v>4.1630228982206585E-2</v>
      </c>
      <c r="H71" s="28">
        <f t="shared" si="16"/>
        <v>0.22998604784198587</v>
      </c>
      <c r="I71" s="42">
        <f t="shared" si="17"/>
        <v>0.15751489621760717</v>
      </c>
      <c r="J71" s="24"/>
    </row>
    <row r="72" spans="2:10" x14ac:dyDescent="0.25">
      <c r="B72" s="104" t="s">
        <v>52</v>
      </c>
      <c r="C72" s="19">
        <v>311178.76999999996</v>
      </c>
      <c r="D72" s="19">
        <v>294765.64634528215</v>
      </c>
      <c r="E72" s="19">
        <v>298421.52999999991</v>
      </c>
      <c r="F72" s="108">
        <f t="shared" si="15"/>
        <v>16413.123654717812</v>
      </c>
      <c r="G72" s="109">
        <f t="shared" si="15"/>
        <v>12757.240000000049</v>
      </c>
      <c r="H72" s="28">
        <f>+IFERROR(F72/ABS($D72),"")</f>
        <v>5.5681942106278665E-2</v>
      </c>
      <c r="I72" s="42">
        <f t="shared" si="17"/>
        <v>4.274906036437804E-2</v>
      </c>
      <c r="J72" s="24"/>
    </row>
    <row r="73" spans="2:10" x14ac:dyDescent="0.25">
      <c r="B73" s="104" t="s">
        <v>53</v>
      </c>
      <c r="C73" s="92">
        <v>0.54582413244701711</v>
      </c>
      <c r="D73" s="92">
        <v>0.51735456306440664</v>
      </c>
      <c r="E73" s="92">
        <v>0.52941363580303813</v>
      </c>
      <c r="F73" s="28">
        <f t="shared" si="15"/>
        <v>2.8469569382610471E-2</v>
      </c>
      <c r="G73" s="29">
        <f t="shared" si="15"/>
        <v>1.6410496643978978E-2</v>
      </c>
      <c r="H73" s="28">
        <f t="shared" si="16"/>
        <v>5.5029125893814201E-2</v>
      </c>
      <c r="I73" s="42">
        <f t="shared" si="17"/>
        <v>3.0997495217679475E-2</v>
      </c>
      <c r="J73" s="24"/>
    </row>
    <row r="74" spans="2:10" s="110" customFormat="1" x14ac:dyDescent="0.25">
      <c r="B74" s="84" t="s">
        <v>54</v>
      </c>
      <c r="C74" s="67">
        <v>269255.46000000008</v>
      </c>
      <c r="D74" s="67">
        <v>288293.82375435682</v>
      </c>
      <c r="E74" s="67">
        <v>271711.63999999955</v>
      </c>
      <c r="F74" s="68">
        <f t="shared" si="15"/>
        <v>-19038.363754356746</v>
      </c>
      <c r="G74" s="69">
        <f t="shared" si="15"/>
        <v>-2456.1799999994691</v>
      </c>
      <c r="H74" s="70">
        <f t="shared" si="16"/>
        <v>-6.6038056266437897E-2</v>
      </c>
      <c r="I74" s="71">
        <f t="shared" si="17"/>
        <v>-9.0396568950799217E-3</v>
      </c>
      <c r="J74" s="24"/>
    </row>
    <row r="75" spans="2:10" x14ac:dyDescent="0.25">
      <c r="B75" s="18" t="s">
        <v>55</v>
      </c>
      <c r="C75" s="111">
        <v>4.8951428753875599E-2</v>
      </c>
      <c r="D75" s="111">
        <v>5.4587757031107152E-2</v>
      </c>
      <c r="E75" s="111">
        <v>5.1969056374958023E-2</v>
      </c>
      <c r="F75" s="112">
        <f t="shared" si="15"/>
        <v>-5.6363282772315532E-3</v>
      </c>
      <c r="G75" s="113">
        <f t="shared" si="15"/>
        <v>-3.0176276210824235E-3</v>
      </c>
      <c r="H75" s="22">
        <f t="shared" si="16"/>
        <v>-0.10325260797983801</v>
      </c>
      <c r="I75" s="23">
        <f t="shared" si="17"/>
        <v>-5.8065853636251656E-2</v>
      </c>
      <c r="J75" s="24"/>
    </row>
    <row r="76" spans="2:10" s="110" customFormat="1" x14ac:dyDescent="0.25">
      <c r="B76" s="84" t="s">
        <v>56</v>
      </c>
      <c r="C76" s="67">
        <v>211225.49000000005</v>
      </c>
      <c r="D76" s="67">
        <v>238318.5217532668</v>
      </c>
      <c r="E76" s="67">
        <v>239535.20999999956</v>
      </c>
      <c r="F76" s="68">
        <f t="shared" si="15"/>
        <v>-27093.031753266754</v>
      </c>
      <c r="G76" s="69">
        <f t="shared" si="15"/>
        <v>-28309.719999999506</v>
      </c>
      <c r="H76" s="70">
        <f t="shared" si="16"/>
        <v>-0.11368412137650133</v>
      </c>
      <c r="I76" s="71">
        <f t="shared" si="17"/>
        <v>-0.11818604872327354</v>
      </c>
      <c r="J76" s="24"/>
    </row>
    <row r="77" spans="2:10" x14ac:dyDescent="0.25">
      <c r="B77" s="114" t="s">
        <v>57</v>
      </c>
      <c r="C77" s="115">
        <v>3.8401410781929782E-2</v>
      </c>
      <c r="D77" s="115">
        <v>4.5125051213600095E-2</v>
      </c>
      <c r="E77" s="115">
        <v>4.5814816149493655E-2</v>
      </c>
      <c r="F77" s="116">
        <f t="shared" si="15"/>
        <v>-6.7236404316703136E-3</v>
      </c>
      <c r="G77" s="117">
        <f t="shared" si="15"/>
        <v>-7.4134053675638731E-3</v>
      </c>
      <c r="H77" s="78">
        <f t="shared" si="16"/>
        <v>-0.14900017287169076</v>
      </c>
      <c r="I77" s="86">
        <f t="shared" si="17"/>
        <v>-0.16181240023694402</v>
      </c>
      <c r="J77" s="49"/>
    </row>
  </sheetData>
  <mergeCells count="7">
    <mergeCell ref="J70:J77"/>
    <mergeCell ref="B1:J1"/>
    <mergeCell ref="J4:J18"/>
    <mergeCell ref="J21:J35"/>
    <mergeCell ref="J38:J47"/>
    <mergeCell ref="J50:J59"/>
    <mergeCell ref="J62:J67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2pager</vt:lpstr>
      <vt:lpstr>'2pager'!Impression_des_titres</vt:lpstr>
      <vt:lpstr>'2pager'!Zone_d_impression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2024-06-10T19:35:36Z</dcterms:created>
  <dcterms:modified xsi:type="dcterms:W3CDTF">2024-06-10T19:36:25Z</dcterms:modified>
</cp:coreProperties>
</file>