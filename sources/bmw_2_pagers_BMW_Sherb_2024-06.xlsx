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isques partagés\BMW Sherbrooke - Contrôleurs\1- Dossier de fin de mois\a) BV ; ÉF réalisé\2024 Réalisé BMW Sh\"/>
    </mc:Choice>
  </mc:AlternateContent>
  <xr:revisionPtr revIDLastSave="0" documentId="8_{436AED03-B017-48C9-8D31-5A1D2AF51B84}" xr6:coauthVersionLast="47" xr6:coauthVersionMax="47" xr10:uidLastSave="{00000000-0000-0000-0000-000000000000}"/>
  <bookViews>
    <workbookView xWindow="28680" yWindow="-120" windowWidth="29040" windowHeight="15720" xr2:uid="{2FAD571E-B02D-4EE2-B353-536A34AA8014}"/>
  </bookViews>
  <sheets>
    <sheet name="2pager" sheetId="1" r:id="rId1"/>
  </sheets>
  <definedNames>
    <definedName name="_Dates_Conc">#REF!</definedName>
    <definedName name="_Order1" hidden="1">0</definedName>
    <definedName name="_scen">#REF!</definedName>
    <definedName name="_scen1">#REF!</definedName>
    <definedName name="_scen2">#REF!</definedName>
    <definedName name="_SCenarios">#REF!</definedName>
    <definedName name="_Sens1">#REF!</definedName>
    <definedName name="_Sens2">#REF!</definedName>
    <definedName name="_sensRes1">#REF!</definedName>
    <definedName name="_sensRes2">#REF!</definedName>
    <definedName name="_sensRes3">#REF!</definedName>
    <definedName name="_sensRes4">#REF!</definedName>
    <definedName name="_sensRes5">#REF!</definedName>
    <definedName name="_sensRes6">#REF!</definedName>
    <definedName name="_sensRes7">#REF!</definedName>
    <definedName name="a" localSheetId="0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nscount" hidden="1">1</definedName>
    <definedName name="BLANK" localSheetId="0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0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cb_sChart12595BBC_opts" hidden="1">"1, 1, 1, False, 2, True, False, , 0, False, False, 2, 2"</definedName>
    <definedName name="cb_sChart12595E44_opts" hidden="1">"1, 3, 1, False, 2, True, False, , 0, True, False, 2, 2"</definedName>
    <definedName name="cb_sChart19550B88_opts" hidden="1">"1, 1, 1, False, 2, False, False, , 0, False, False, 1, 1"</definedName>
    <definedName name="cb_sChart1955183C_opts" hidden="1">"2, 1, 1, True, 2, False, False, , 0, False, False, 1, 1"</definedName>
    <definedName name="cb_sChart19551C4E_opts" hidden="1">"2, 1, 1, True, 2, True, False, , 0, False, False, 1, 1"</definedName>
    <definedName name="cb_sChart1955C01A_opts" hidden="1">"2, 1, 1, False, 2, False, False, , 0, False, True, 1, 1"</definedName>
    <definedName name="cb_sChart1955C1C7_opts" hidden="1">"2, 1, 1, True, 2, False, False, , 0, False, True, 1, 1"</definedName>
    <definedName name="cb_sChart1B9A4AFE_opts" hidden="1">"1, 9, 1, False, 2, False, False, , 0, False, False, 1, 2"</definedName>
    <definedName name="cb_sChart1BA1DC3F_opts" hidden="1">"1, 9, 1, False, 2, False, False, , 0, False, False, 1, 2"</definedName>
    <definedName name="cb_sChart1C94B61D_opts" hidden="1">"1, 9, 3, False, 2, False, False, , 0, False, True, 1, 1"</definedName>
    <definedName name="cb_sChart1C94BA0C_opts" hidden="1">"1, 1, 1, False, 2, True, False, , 0, False, True, 1, 1"</definedName>
    <definedName name="cb_sChart1C94BFE1_opts" hidden="1">"1, 9, 1, False, 2, False, False, , 0, False, True, 1, 1"</definedName>
    <definedName name="Compco1" localSheetId="0" hidden="1">{"Page1",#N/A,FALSE,"CompCo";"Page2",#N/A,FALSE,"CompCo"}</definedName>
    <definedName name="Compco1" hidden="1">{"Page1",#N/A,FALSE,"CompCo";"Page2",#N/A,FALSE,"CompCo"}</definedName>
    <definedName name="Compco2" localSheetId="0" hidden="1">{"Page1",#N/A,FALSE,"CompCo";"Page2",#N/A,FALSE,"CompCo"}</definedName>
    <definedName name="Compco2" hidden="1">{"Page1",#N/A,FALSE,"CompCo";"Page2",#N/A,FALSE,"CompCo"}</definedName>
    <definedName name="DateRange">#REF!</definedName>
    <definedName name="DateRangePr" hidden="1">OFFSET(#REF!,5,0,COUNTA(#REF!)-COUNTA(#REF!),1)</definedName>
    <definedName name="DateRangePrice" hidden="1">OFFSET(#REF!,5,0,COUNTA(#REF!)-COUNTA(#REF!),1)</definedName>
    <definedName name="DateRangePrice1" hidden="1">OFFSET(#REF!,5,0,COUNTA(#REF!)-COUNTA(#REF!),1)</definedName>
    <definedName name="DateRangePrice2" hidden="1">OFFSET(#REF!,5,0,COUNTA(#REF!)-COUNTA(#REF!),1)</definedName>
    <definedName name="ERT" localSheetId="0" hidden="1">{"execsum",#N/A,FALSE,"ExecSum";"finstatement",#N/A,FALSE,"Fin_St"}</definedName>
    <definedName name="ERT" hidden="1">{"execsum",#N/A,FALSE,"ExecSum";"finstatement",#N/A,FALSE,"Fin_St"}</definedName>
    <definedName name="ev.Calculation" hidden="1">-4135</definedName>
    <definedName name="ev.Initialized" hidden="1">FALSE</definedName>
    <definedName name="hn.Delete015" hidden="1">#REF!,#REF!,#REF!,#REF!,#REF!</definedName>
    <definedName name="hn.ModelVersion" hidden="1">1</definedName>
    <definedName name="hn.NoUpload" hidden="1">0</definedName>
    <definedName name="_xlnm.Print_Titles" localSheetId="0">'2pager'!$1:$1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MONTH" hidden="1">15000</definedName>
    <definedName name="IQ_NAMES_REVISION_DATE_" hidden="1">40239.5241087963</definedName>
    <definedName name="IQ_NTM" hidden="1">6000</definedName>
    <definedName name="IQ_SHAREOUTSTANDING" hidden="1">"c1347"</definedName>
    <definedName name="IQ_TODAY" hidden="1">0</definedName>
    <definedName name="IQ_WEEK" hidden="1">50000</definedName>
    <definedName name="IQ_YTD" hidden="1">3000</definedName>
    <definedName name="kjjkghkhj" localSheetId="0" hidden="1">{"finana",#N/A,FALSE,"Fin"}</definedName>
    <definedName name="kjjkghkhj" hidden="1">{"finana",#N/A,FALSE,"Fin"}</definedName>
    <definedName name="limcount" hidden="1">1</definedName>
    <definedName name="lkhkhj" localSheetId="0" hidden="1">{"sub1",#N/A,FALSE,"Subs";"pac1",#N/A,FALSE,"Packages";"rev1",#N/A,FALSE,"2. Revenues"}</definedName>
    <definedName name="lkhkhj" hidden="1">{"sub1",#N/A,FALSE,"Subs";"pac1",#N/A,FALSE,"Packages";"rev1",#N/A,FALSE,"2. Revenues"}</definedName>
    <definedName name="m" localSheetId="0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onetary_Unit">#REF!</definedName>
    <definedName name="Months">#REF!</definedName>
    <definedName name="Output" localSheetId="0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0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PriceRange" hidden="1">OFFSET(#REF!,5,0,COUNTA(#REF!)-COUNTA(#REF!),1)</definedName>
    <definedName name="PriceRange2" hidden="1">OFFSET(#REF!,5,0,COUNTA(#REF!)-COUNTA(#REF!),1)</definedName>
    <definedName name="Rng_Dealers_Names">#REF!</definedName>
    <definedName name="Rng_Dlr_Dates">#REF!</definedName>
    <definedName name="sencount" hidden="1">1</definedName>
    <definedName name="SLEVIN" localSheetId="0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test" localSheetId="0" hidden="1">{"execsum",#N/A,FALSE,"ExecSum";"finstatement",#N/A,FALSE,"Fin_St"}</definedName>
    <definedName name="test" hidden="1">{"execsum",#N/A,FALSE,"ExecSum";"finstatement",#N/A,FALSE,"Fin_St"}</definedName>
    <definedName name="test21" hidden="1">OFFSET(#REF!,5,0,COUNTA(#REF!)-COUNTA(#REF!),1)</definedName>
    <definedName name="Ticker" hidden="1">#N/A</definedName>
    <definedName name="Titre">#REF!</definedName>
    <definedName name="value" hidden="1">OFFSET(#REF!,5,0,COUNTA(#REF!)-COUNTA(#REF!),1)</definedName>
    <definedName name="value2" hidden="1">OFFSET(#REF!,5,0,COUNTA(#REF!)-COUNTA(#REF!),1)</definedName>
    <definedName name="wrn.amendement." localSheetId="0" hidden="1">{#N/A,#N/A,FALSE,"amendement"}</definedName>
    <definedName name="wrn.amendement." hidden="1">{#N/A,#N/A,FALSE,"amendement"}</definedName>
    <definedName name="wrn.amendement.." localSheetId="0" hidden="1">{#N/A,#N/A,FALSE,"amendement"}</definedName>
    <definedName name="wrn.amendement.." hidden="1">{#N/A,#N/A,FALSE,"amendement"}</definedName>
    <definedName name="wrn.COMPCO." localSheetId="0" hidden="1">{"Page1",#N/A,FALSE,"CompCo";"Page2",#N/A,FALSE,"CompCo"}</definedName>
    <definedName name="wrn.COMPCO." hidden="1">{"Page1",#N/A,FALSE,"CompCo";"Page2",#N/A,FALSE,"CompCo"}</definedName>
    <definedName name="wrn.Delchamps." localSheetId="0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tail." localSheetId="0" hidden="1">{"Build1",#N/A,FALSE,"Buildup";"Build2",#N/A,FALSE,"Buildup";"Build3",#N/A,FALSE,"Buildup"}</definedName>
    <definedName name="wrn.detail." hidden="1">{"Build1",#N/A,FALSE,"Buildup";"Build2",#N/A,FALSE,"Buildup";"Build3",#N/A,FALSE,"Buildup"}</definedName>
    <definedName name="wrn.execsum." localSheetId="0" hidden="1">{"execsum",#N/A,FALSE,"ExecSum";"finstatement",#N/A,FALSE,"Fin_St"}</definedName>
    <definedName name="wrn.execsum." hidden="1">{"execsum",#N/A,FALSE,"ExecSum";"finstatement",#N/A,FALSE,"Fin_St"}</definedName>
    <definedName name="wrn.Finanalysis." localSheetId="0" hidden="1">{"finana",#N/A,FALSE,"Fin"}</definedName>
    <definedName name="wrn.Finanalysis." hidden="1">{"finana",#N/A,FALSE,"Fin"}</definedName>
    <definedName name="wrn.full._.report." localSheetId="0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magicrep." localSheetId="0" hidden="1">{"sub1",#N/A,FALSE,"Subs";"pac1",#N/A,FALSE,"Packages";"rev1",#N/A,FALSE,"2. Revenues"}</definedName>
    <definedName name="wrn.magicrep." hidden="1">{"sub1",#N/A,FALSE,"Subs";"pac1",#N/A,FALSE,"Packages";"rev1",#N/A,FALSE,"2. Revenues"}</definedName>
    <definedName name="wrn.persrep." localSheetId="0" hidden="1">{"volu1",#N/A,FALSE,"Volumes";"headcount",#N/A,FALSE,"Headcount";"emprpt",#N/A,FALSE,"Output"}</definedName>
    <definedName name="wrn.persrep." hidden="1">{"volu1",#N/A,FALSE,"Volumes";"headcount",#N/A,FALSE,"Headcount";"emprpt",#N/A,FALSE,"Output"}</definedName>
    <definedName name="wrn.PrintAll." localSheetId="0" hidden="1">{"PA1",#N/A,FALSE,"BORDMW";"pa2",#N/A,FALSE,"BORDMW";"PA3",#N/A,FALSE,"BORDMW";"PA4",#N/A,FALSE,"BORDMW"}</definedName>
    <definedName name="wrn.PrintAll." hidden="1">{"PA1",#N/A,FALSE,"BORDMW";"pa2",#N/A,FALSE,"BORDMW";"PA3",#N/A,FALSE,"BORDMW";"PA4",#N/A,FALSE,"BORDMW"}</definedName>
    <definedName name="wrn.prospectus." localSheetId="0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0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0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0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sales." localSheetId="0" hidden="1">{"sales",#N/A,FALSE,"Sales";"sales existing",#N/A,FALSE,"Sales";"sales rd1",#N/A,FALSE,"Sales";"sales rd2",#N/A,FALSE,"Sales"}</definedName>
    <definedName name="wrn.sales." hidden="1">{"sales",#N/A,FALSE,"Sales";"sales existing",#N/A,FALSE,"Sales";"sales rd1",#N/A,FALSE,"Sales";"sales rd2",#N/A,FALSE,"Sales"}</definedName>
    <definedName name="wrn.SUMMARY." localSheetId="0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0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0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_xlnm.Print_Area" localSheetId="0">'2pager'!$A$1:$K$78</definedName>
    <definedName name="_xlnm.Print_Area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76" i="1" l="1"/>
  <c r="H76" i="1" s="1"/>
  <c r="G76" i="1"/>
  <c r="I76" i="1" s="1"/>
  <c r="F75" i="1"/>
  <c r="H75" i="1" s="1"/>
  <c r="G74" i="1"/>
  <c r="I74" i="1" s="1"/>
  <c r="F74" i="1"/>
  <c r="H74" i="1" s="1"/>
  <c r="G73" i="1"/>
  <c r="I73" i="1" s="1"/>
  <c r="G72" i="1"/>
  <c r="I72" i="1" s="1"/>
  <c r="I69" i="1"/>
  <c r="G69" i="1"/>
  <c r="E69" i="1"/>
  <c r="G66" i="1"/>
  <c r="I66" i="1" s="1"/>
  <c r="F66" i="1"/>
  <c r="H66" i="1" s="1"/>
  <c r="F65" i="1"/>
  <c r="H65" i="1" s="1"/>
  <c r="G64" i="1"/>
  <c r="I64" i="1" s="1"/>
  <c r="F64" i="1"/>
  <c r="H64" i="1" s="1"/>
  <c r="G63" i="1"/>
  <c r="I63" i="1" s="1"/>
  <c r="F63" i="1"/>
  <c r="H63" i="1" s="1"/>
  <c r="F62" i="1"/>
  <c r="H62" i="1" s="1"/>
  <c r="G62" i="1"/>
  <c r="I62" i="1" s="1"/>
  <c r="I61" i="1"/>
  <c r="G61" i="1"/>
  <c r="E61" i="1"/>
  <c r="F59" i="1"/>
  <c r="H59" i="1" s="1"/>
  <c r="G58" i="1"/>
  <c r="I58" i="1" s="1"/>
  <c r="G57" i="1"/>
  <c r="I57" i="1" s="1"/>
  <c r="G56" i="1"/>
  <c r="I56" i="1" s="1"/>
  <c r="E55" i="1"/>
  <c r="F54" i="1"/>
  <c r="H54" i="1" s="1"/>
  <c r="G53" i="1"/>
  <c r="I53" i="1" s="1"/>
  <c r="F53" i="1"/>
  <c r="H53" i="1" s="1"/>
  <c r="F52" i="1"/>
  <c r="H52" i="1" s="1"/>
  <c r="G51" i="1"/>
  <c r="I51" i="1" s="1"/>
  <c r="G50" i="1"/>
  <c r="I50" i="1" s="1"/>
  <c r="D55" i="1"/>
  <c r="C55" i="1"/>
  <c r="I49" i="1"/>
  <c r="G49" i="1"/>
  <c r="E49" i="1"/>
  <c r="F47" i="1"/>
  <c r="H47" i="1" s="1"/>
  <c r="G45" i="1"/>
  <c r="I45" i="1" s="1"/>
  <c r="F45" i="1"/>
  <c r="H45" i="1" s="1"/>
  <c r="F44" i="1"/>
  <c r="H44" i="1" s="1"/>
  <c r="G43" i="1"/>
  <c r="I43" i="1" s="1"/>
  <c r="F43" i="1"/>
  <c r="H43" i="1" s="1"/>
  <c r="G42" i="1"/>
  <c r="I42" i="1" s="1"/>
  <c r="G41" i="1"/>
  <c r="I41" i="1" s="1"/>
  <c r="F40" i="1"/>
  <c r="H40" i="1" s="1"/>
  <c r="G39" i="1"/>
  <c r="I39" i="1" s="1"/>
  <c r="E46" i="1"/>
  <c r="D46" i="1"/>
  <c r="G38" i="1"/>
  <c r="I38" i="1" s="1"/>
  <c r="I37" i="1"/>
  <c r="G37" i="1"/>
  <c r="E37" i="1"/>
  <c r="G35" i="1"/>
  <c r="I35" i="1" s="1"/>
  <c r="F35" i="1"/>
  <c r="H35" i="1" s="1"/>
  <c r="G34" i="1"/>
  <c r="I34" i="1" s="1"/>
  <c r="F34" i="1"/>
  <c r="H34" i="1" s="1"/>
  <c r="G32" i="1"/>
  <c r="I32" i="1" s="1"/>
  <c r="E29" i="1"/>
  <c r="D29" i="1"/>
  <c r="C29" i="1"/>
  <c r="E27" i="1"/>
  <c r="D27" i="1"/>
  <c r="G26" i="1"/>
  <c r="I26" i="1" s="1"/>
  <c r="D25" i="1"/>
  <c r="C25" i="1"/>
  <c r="F24" i="1"/>
  <c r="H24" i="1" s="1"/>
  <c r="E25" i="1"/>
  <c r="G22" i="1"/>
  <c r="I22" i="1" s="1"/>
  <c r="F22" i="1"/>
  <c r="H22" i="1" s="1"/>
  <c r="E23" i="1"/>
  <c r="D23" i="1"/>
  <c r="G21" i="1"/>
  <c r="I21" i="1" s="1"/>
  <c r="I20" i="1"/>
  <c r="G20" i="1"/>
  <c r="E20" i="1"/>
  <c r="G18" i="1"/>
  <c r="I18" i="1" s="1"/>
  <c r="F18" i="1"/>
  <c r="H18" i="1" s="1"/>
  <c r="G17" i="1"/>
  <c r="I17" i="1" s="1"/>
  <c r="F17" i="1"/>
  <c r="H17" i="1" s="1"/>
  <c r="G15" i="1"/>
  <c r="I15" i="1" s="1"/>
  <c r="E12" i="1"/>
  <c r="D12" i="1"/>
  <c r="G11" i="1"/>
  <c r="I11" i="1" s="1"/>
  <c r="E10" i="1"/>
  <c r="D10" i="1"/>
  <c r="G9" i="1"/>
  <c r="I9" i="1" s="1"/>
  <c r="C8" i="1"/>
  <c r="E8" i="1"/>
  <c r="D8" i="1"/>
  <c r="G5" i="1"/>
  <c r="I5" i="1" s="1"/>
  <c r="F5" i="1"/>
  <c r="H5" i="1" s="1"/>
  <c r="E6" i="1"/>
  <c r="D6" i="1"/>
  <c r="C6" i="1"/>
  <c r="F8" i="1" l="1"/>
  <c r="H8" i="1" s="1"/>
  <c r="G29" i="1"/>
  <c r="I29" i="1" s="1"/>
  <c r="F29" i="1"/>
  <c r="H29" i="1" s="1"/>
  <c r="F71" i="1"/>
  <c r="H71" i="1" s="1"/>
  <c r="G71" i="1"/>
  <c r="I71" i="1" s="1"/>
  <c r="G6" i="1"/>
  <c r="I6" i="1" s="1"/>
  <c r="F6" i="1"/>
  <c r="H6" i="1" s="1"/>
  <c r="G25" i="1"/>
  <c r="I25" i="1" s="1"/>
  <c r="G55" i="1"/>
  <c r="I55" i="1" s="1"/>
  <c r="F55" i="1"/>
  <c r="H55" i="1" s="1"/>
  <c r="G77" i="1"/>
  <c r="I77" i="1" s="1"/>
  <c r="G7" i="1"/>
  <c r="I7" i="1" s="1"/>
  <c r="F7" i="1"/>
  <c r="H7" i="1" s="1"/>
  <c r="G24" i="1"/>
  <c r="I24" i="1" s="1"/>
  <c r="C23" i="1"/>
  <c r="F26" i="1"/>
  <c r="H26" i="1" s="1"/>
  <c r="F9" i="1"/>
  <c r="H9" i="1" s="1"/>
  <c r="F21" i="1"/>
  <c r="H21" i="1" s="1"/>
  <c r="D31" i="1"/>
  <c r="F42" i="1"/>
  <c r="H42" i="1" s="1"/>
  <c r="G47" i="1"/>
  <c r="I47" i="1" s="1"/>
  <c r="G52" i="1"/>
  <c r="I52" i="1" s="1"/>
  <c r="F11" i="1"/>
  <c r="H11" i="1" s="1"/>
  <c r="C27" i="1"/>
  <c r="G54" i="1"/>
  <c r="I54" i="1" s="1"/>
  <c r="G75" i="1"/>
  <c r="I75" i="1" s="1"/>
  <c r="G59" i="1"/>
  <c r="I59" i="1" s="1"/>
  <c r="F73" i="1"/>
  <c r="H73" i="1" s="1"/>
  <c r="G40" i="1"/>
  <c r="I40" i="1" s="1"/>
  <c r="G4" i="1"/>
  <c r="I4" i="1" s="1"/>
  <c r="E14" i="1"/>
  <c r="C10" i="1"/>
  <c r="F77" i="1"/>
  <c r="H77" i="1" s="1"/>
  <c r="F57" i="1"/>
  <c r="H57" i="1" s="1"/>
  <c r="F4" i="1"/>
  <c r="H4" i="1" s="1"/>
  <c r="F28" i="1"/>
  <c r="H28" i="1" s="1"/>
  <c r="C46" i="1"/>
  <c r="F70" i="1"/>
  <c r="H70" i="1" s="1"/>
  <c r="G44" i="1"/>
  <c r="I44" i="1" s="1"/>
  <c r="F56" i="1"/>
  <c r="H56" i="1" s="1"/>
  <c r="F58" i="1"/>
  <c r="H58" i="1" s="1"/>
  <c r="G65" i="1"/>
  <c r="I65" i="1" s="1"/>
  <c r="G70" i="1"/>
  <c r="I70" i="1" s="1"/>
  <c r="F32" i="1"/>
  <c r="H32" i="1" s="1"/>
  <c r="F51" i="1"/>
  <c r="H51" i="1" s="1"/>
  <c r="F72" i="1"/>
  <c r="H72" i="1" s="1"/>
  <c r="F50" i="1"/>
  <c r="H50" i="1" s="1"/>
  <c r="D14" i="1"/>
  <c r="G28" i="1"/>
  <c r="I28" i="1" s="1"/>
  <c r="F25" i="1"/>
  <c r="H25" i="1" s="1"/>
  <c r="G8" i="1"/>
  <c r="I8" i="1" s="1"/>
  <c r="C12" i="1"/>
  <c r="F15" i="1"/>
  <c r="H15" i="1" s="1"/>
  <c r="F39" i="1"/>
  <c r="H39" i="1" s="1"/>
  <c r="F41" i="1"/>
  <c r="H41" i="1" s="1"/>
  <c r="F38" i="1"/>
  <c r="H38" i="1" s="1"/>
  <c r="E31" i="1"/>
  <c r="G27" i="1" l="1"/>
  <c r="I27" i="1" s="1"/>
  <c r="F27" i="1"/>
  <c r="H27" i="1" s="1"/>
  <c r="F10" i="1"/>
  <c r="H10" i="1" s="1"/>
  <c r="G10" i="1"/>
  <c r="I10" i="1" s="1"/>
  <c r="F13" i="1"/>
  <c r="H13" i="1" s="1"/>
  <c r="G13" i="1"/>
  <c r="I13" i="1" s="1"/>
  <c r="C14" i="1"/>
  <c r="G67" i="1"/>
  <c r="I67" i="1" s="1"/>
  <c r="F67" i="1"/>
  <c r="H67" i="1" s="1"/>
  <c r="C31" i="1"/>
  <c r="F30" i="1"/>
  <c r="H30" i="1" s="1"/>
  <c r="G30" i="1"/>
  <c r="I30" i="1" s="1"/>
  <c r="G46" i="1"/>
  <c r="I46" i="1" s="1"/>
  <c r="F46" i="1"/>
  <c r="H46" i="1" s="1"/>
  <c r="G23" i="1"/>
  <c r="I23" i="1" s="1"/>
  <c r="F23" i="1"/>
  <c r="H23" i="1" s="1"/>
  <c r="F12" i="1"/>
  <c r="H12" i="1" s="1"/>
  <c r="G12" i="1"/>
  <c r="I12" i="1" s="1"/>
  <c r="F31" i="1" l="1"/>
  <c r="H31" i="1" s="1"/>
  <c r="G31" i="1"/>
  <c r="I31" i="1" s="1"/>
  <c r="G14" i="1"/>
  <c r="I14" i="1" s="1"/>
  <c r="F14" i="1"/>
  <c r="H14" i="1" s="1"/>
</calcChain>
</file>

<file path=xl/sharedStrings.xml><?xml version="1.0" encoding="utf-8"?>
<sst xmlns="http://schemas.openxmlformats.org/spreadsheetml/2006/main" count="105" uniqueCount="60">
  <si>
    <t>New</t>
  </si>
  <si>
    <t>Actual</t>
  </si>
  <si>
    <t>Budget</t>
  </si>
  <si>
    <t>▲ Budget</t>
  </si>
  <si>
    <t>▲2023</t>
  </si>
  <si>
    <t>% ▲ Budget</t>
  </si>
  <si>
    <t>% ▲ 2023</t>
  </si>
  <si>
    <t>Commentaires</t>
  </si>
  <si>
    <t>Alt + Enter</t>
  </si>
  <si>
    <t>Units</t>
  </si>
  <si>
    <t>Front Margin</t>
  </si>
  <si>
    <t>Front margin / unit</t>
  </si>
  <si>
    <t>$ Salaires et commission</t>
  </si>
  <si>
    <t>% Salaires et commission</t>
  </si>
  <si>
    <t>Back Margin</t>
  </si>
  <si>
    <t>Back Margin / unit</t>
  </si>
  <si>
    <t>$ commission FI</t>
  </si>
  <si>
    <t>% commission FI</t>
  </si>
  <si>
    <t>Variable fees</t>
  </si>
  <si>
    <t>Variable fees / units</t>
  </si>
  <si>
    <t>Other Revenues</t>
  </si>
  <si>
    <t>Inventory</t>
  </si>
  <si>
    <t>$</t>
  </si>
  <si>
    <t>Used</t>
  </si>
  <si>
    <t>Service</t>
  </si>
  <si>
    <t>Revenus</t>
  </si>
  <si>
    <t>Gross margin</t>
  </si>
  <si>
    <t>$ Revenus / #WO client</t>
  </si>
  <si>
    <t>$ Revenus / #WO garantie</t>
  </si>
  <si>
    <t>Lost time</t>
  </si>
  <si>
    <t>Total salaries</t>
  </si>
  <si>
    <t>Salaries</t>
  </si>
  <si>
    <t>Fringes</t>
  </si>
  <si>
    <t>Total salaries / Revenus</t>
  </si>
  <si>
    <t>Frais véhicules de cie</t>
  </si>
  <si>
    <t>Pieces</t>
  </si>
  <si>
    <t>Clients</t>
  </si>
  <si>
    <t>Garantie</t>
  </si>
  <si>
    <t>Wholesale</t>
  </si>
  <si>
    <t>Tires</t>
  </si>
  <si>
    <t>All others</t>
  </si>
  <si>
    <t>Salaires autres</t>
  </si>
  <si>
    <t>Others</t>
  </si>
  <si>
    <t>Total salaries / Gross profits</t>
  </si>
  <si>
    <t xml:space="preserve"> - Salaire : Dépense sous le budget, mais manque de profit brut
 - Semi-fixe : Entretien bâtisse plus élevé suite à une réparation du système de climatisation et dépréciation de 2 démos ventes non budgeté
 -Int F.P. : Inventaire neuf plus élevé que prévu</t>
  </si>
  <si>
    <t>Headcounts</t>
  </si>
  <si>
    <t>Marketing</t>
  </si>
  <si>
    <t>Other semi-fixed expenses</t>
  </si>
  <si>
    <t>Floor plan interest</t>
  </si>
  <si>
    <t>Others Revenues</t>
  </si>
  <si>
    <t>P&amp;L</t>
  </si>
  <si>
    <t>Selling and Marketing</t>
  </si>
  <si>
    <t>S&amp;M / Brut</t>
  </si>
  <si>
    <t>General &amp; administrative</t>
  </si>
  <si>
    <t>G&amp;A / Brut</t>
  </si>
  <si>
    <t>EBITDA</t>
  </si>
  <si>
    <t>EBITDA %</t>
  </si>
  <si>
    <t>EBIT</t>
  </si>
  <si>
    <t>EBIT %</t>
  </si>
  <si>
    <t>BMW Sherbrooke 2 pager Juin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</si>
</sst>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"/>
    <numFmt numFmtId="165" formatCode="0.0"/>
    <numFmt numFmtId="166" formatCode="0.0%"/>
  </numFmts>
  <fonts count="7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9" fontId="6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</cellStyleXfs>
  <cellXfs count="118">
    <xf numFmtId="0" fontId="0" fillId="0" borderId="0" xfId="0"/>
    <xf numFmtId="0" fontId="2" fillId="0" borderId="0" xfId="2"/>
    <xf numFmtId="0" fontId="4" fillId="0" borderId="1" xfId="2" applyFont="1" applyBorder="1" applyAlignment="1">
      <alignment horizontal="center"/>
    </xf>
    <xf numFmtId="0" fontId="2" fillId="0" borderId="0" xfId="2" applyAlignment="1">
      <alignment horizontal="center"/>
    </xf>
    <xf numFmtId="0" fontId="2" fillId="0" borderId="2" xfId="2" applyBorder="1"/>
    <xf numFmtId="0" fontId="3" fillId="2" borderId="3" xfId="2" applyFont="1" applyFill="1" applyBorder="1" applyAlignment="1">
      <alignment horizontal="center"/>
    </xf>
    <xf numFmtId="0" fontId="3" fillId="2" borderId="4" xfId="2" applyFont="1" applyFill="1" applyBorder="1" applyAlignment="1">
      <alignment horizontal="center"/>
    </xf>
    <xf numFmtId="0" fontId="3" fillId="2" borderId="5" xfId="2" applyFont="1" applyFill="1" applyBorder="1" applyAlignment="1">
      <alignment horizontal="center"/>
    </xf>
    <xf numFmtId="0" fontId="3" fillId="2" borderId="6" xfId="2" applyFont="1" applyFill="1" applyBorder="1" applyAlignment="1">
      <alignment horizontal="center"/>
    </xf>
    <xf numFmtId="0" fontId="3" fillId="2" borderId="7" xfId="2" applyFont="1" applyFill="1" applyBorder="1" applyAlignment="1">
      <alignment horizontal="center"/>
    </xf>
    <xf numFmtId="0" fontId="3" fillId="2" borderId="8" xfId="2" applyFont="1" applyFill="1" applyBorder="1" applyAlignment="1">
      <alignment horizontal="center"/>
    </xf>
    <xf numFmtId="0" fontId="3" fillId="0" borderId="8" xfId="2" applyFont="1" applyBorder="1"/>
    <xf numFmtId="37" fontId="3" fillId="0" borderId="9" xfId="2" applyNumberFormat="1" applyFont="1" applyBorder="1" applyAlignment="1">
      <alignment horizontal="center"/>
    </xf>
    <xf numFmtId="1" fontId="3" fillId="0" borderId="10" xfId="2" applyNumberFormat="1" applyFont="1" applyBorder="1" applyAlignment="1">
      <alignment horizontal="center"/>
    </xf>
    <xf numFmtId="1" fontId="3" fillId="0" borderId="11" xfId="2" applyNumberFormat="1" applyFont="1" applyBorder="1" applyAlignment="1">
      <alignment horizontal="center"/>
    </xf>
    <xf numFmtId="9" fontId="3" fillId="3" borderId="10" xfId="3" applyFont="1" applyFill="1" applyBorder="1" applyAlignment="1">
      <alignment horizontal="center"/>
    </xf>
    <xf numFmtId="9" fontId="3" fillId="3" borderId="12" xfId="3" applyFont="1" applyFill="1" applyBorder="1" applyAlignment="1">
      <alignment horizontal="center"/>
    </xf>
    <xf numFmtId="0" fontId="5" fillId="4" borderId="8" xfId="0" applyFont="1" applyFill="1" applyBorder="1" applyAlignment="1">
      <alignment vertical="center" wrapText="1"/>
    </xf>
    <xf numFmtId="0" fontId="2" fillId="0" borderId="13" xfId="2" applyBorder="1"/>
    <xf numFmtId="164" fontId="1" fillId="0" borderId="14" xfId="2" applyNumberFormat="1" applyFont="1" applyBorder="1" applyAlignment="1">
      <alignment horizontal="center"/>
    </xf>
    <xf numFmtId="164" fontId="1" fillId="0" borderId="15" xfId="2" applyNumberFormat="1" applyFont="1" applyBorder="1" applyAlignment="1">
      <alignment horizontal="center"/>
    </xf>
    <xf numFmtId="164" fontId="1" fillId="0" borderId="2" xfId="2" applyNumberFormat="1" applyFont="1" applyBorder="1" applyAlignment="1">
      <alignment horizontal="center"/>
    </xf>
    <xf numFmtId="9" fontId="1" fillId="0" borderId="15" xfId="3" applyFont="1" applyFill="1" applyBorder="1" applyAlignment="1">
      <alignment horizontal="center"/>
    </xf>
    <xf numFmtId="9" fontId="1" fillId="0" borderId="16" xfId="3" applyFont="1" applyFill="1" applyBorder="1" applyAlignment="1">
      <alignment horizontal="center"/>
    </xf>
    <xf numFmtId="0" fontId="5" fillId="4" borderId="13" xfId="0" applyFont="1" applyFill="1" applyBorder="1" applyAlignment="1">
      <alignment vertical="center" wrapText="1"/>
    </xf>
    <xf numFmtId="9" fontId="1" fillId="3" borderId="15" xfId="3" applyFont="1" applyFill="1" applyBorder="1" applyAlignment="1">
      <alignment horizontal="center"/>
    </xf>
    <xf numFmtId="9" fontId="1" fillId="3" borderId="16" xfId="3" applyFont="1" applyFill="1" applyBorder="1" applyAlignment="1">
      <alignment horizontal="center"/>
    </xf>
    <xf numFmtId="9" fontId="1" fillId="0" borderId="14" xfId="3" applyFont="1" applyFill="1" applyBorder="1" applyAlignment="1">
      <alignment horizontal="center"/>
    </xf>
    <xf numFmtId="9" fontId="1" fillId="0" borderId="15" xfId="3" applyFont="1" applyBorder="1" applyAlignment="1">
      <alignment horizontal="center"/>
    </xf>
    <xf numFmtId="9" fontId="1" fillId="0" borderId="17" xfId="3" applyFont="1" applyBorder="1" applyAlignment="1">
      <alignment horizontal="center"/>
    </xf>
    <xf numFmtId="9" fontId="1" fillId="0" borderId="2" xfId="3" applyFont="1" applyBorder="1" applyAlignment="1">
      <alignment horizontal="center"/>
    </xf>
    <xf numFmtId="0" fontId="3" fillId="0" borderId="18" xfId="2" applyFont="1" applyBorder="1"/>
    <xf numFmtId="0" fontId="1" fillId="0" borderId="19" xfId="2" applyFont="1" applyBorder="1"/>
    <xf numFmtId="164" fontId="1" fillId="0" borderId="20" xfId="2" applyNumberFormat="1" applyFont="1" applyBorder="1" applyAlignment="1">
      <alignment horizontal="center"/>
    </xf>
    <xf numFmtId="164" fontId="1" fillId="0" borderId="21" xfId="2" applyNumberFormat="1" applyFont="1" applyBorder="1" applyAlignment="1">
      <alignment horizontal="center"/>
    </xf>
    <xf numFmtId="9" fontId="1" fillId="0" borderId="20" xfId="3" applyFont="1" applyFill="1" applyBorder="1" applyAlignment="1">
      <alignment horizontal="center"/>
    </xf>
    <xf numFmtId="9" fontId="1" fillId="0" borderId="22" xfId="3" applyFont="1" applyFill="1" applyBorder="1" applyAlignment="1">
      <alignment horizontal="center"/>
    </xf>
    <xf numFmtId="0" fontId="2" fillId="5" borderId="13" xfId="2" applyFill="1" applyBorder="1" applyAlignment="1">
      <alignment horizontal="left" indent="1"/>
    </xf>
    <xf numFmtId="37" fontId="1" fillId="5" borderId="13" xfId="2" applyNumberFormat="1" applyFont="1" applyFill="1" applyBorder="1" applyAlignment="1">
      <alignment horizontal="center"/>
    </xf>
    <xf numFmtId="37" fontId="1" fillId="5" borderId="23" xfId="2" applyNumberFormat="1" applyFont="1" applyFill="1" applyBorder="1" applyAlignment="1">
      <alignment horizontal="center"/>
    </xf>
    <xf numFmtId="1" fontId="1" fillId="0" borderId="15" xfId="2" applyNumberFormat="1" applyFont="1" applyBorder="1" applyAlignment="1">
      <alignment horizontal="center"/>
    </xf>
    <xf numFmtId="1" fontId="1" fillId="0" borderId="2" xfId="2" applyNumberFormat="1" applyFont="1" applyBorder="1" applyAlignment="1">
      <alignment horizontal="center"/>
    </xf>
    <xf numFmtId="9" fontId="1" fillId="0" borderId="16" xfId="3" applyFont="1" applyBorder="1" applyAlignment="1">
      <alignment horizontal="center"/>
    </xf>
    <xf numFmtId="0" fontId="1" fillId="5" borderId="24" xfId="2" applyFont="1" applyFill="1" applyBorder="1" applyAlignment="1">
      <alignment horizontal="left" indent="1"/>
    </xf>
    <xf numFmtId="164" fontId="1" fillId="5" borderId="25" xfId="2" applyNumberFormat="1" applyFont="1" applyFill="1" applyBorder="1" applyAlignment="1">
      <alignment horizontal="center"/>
    </xf>
    <xf numFmtId="164" fontId="1" fillId="0" borderId="26" xfId="2" applyNumberFormat="1" applyFont="1" applyBorder="1" applyAlignment="1">
      <alignment horizontal="center"/>
    </xf>
    <xf numFmtId="164" fontId="1" fillId="0" borderId="27" xfId="2" applyNumberFormat="1" applyFont="1" applyBorder="1" applyAlignment="1">
      <alignment horizontal="center"/>
    </xf>
    <xf numFmtId="9" fontId="1" fillId="0" borderId="26" xfId="3" applyFont="1" applyBorder="1" applyAlignment="1">
      <alignment horizontal="center"/>
    </xf>
    <xf numFmtId="9" fontId="1" fillId="0" borderId="28" xfId="3" applyFont="1" applyBorder="1" applyAlignment="1">
      <alignment horizontal="center"/>
    </xf>
    <xf numFmtId="0" fontId="5" fillId="4" borderId="24" xfId="0" applyFont="1" applyFill="1" applyBorder="1" applyAlignment="1">
      <alignment vertical="center" wrapText="1"/>
    </xf>
    <xf numFmtId="0" fontId="1" fillId="0" borderId="0" xfId="2" applyFont="1"/>
    <xf numFmtId="0" fontId="3" fillId="6" borderId="3" xfId="2" applyFont="1" applyFill="1" applyBorder="1" applyAlignment="1">
      <alignment horizontal="center"/>
    </xf>
    <xf numFmtId="0" fontId="3" fillId="6" borderId="4" xfId="2" applyFont="1" applyFill="1" applyBorder="1" applyAlignment="1">
      <alignment horizontal="center"/>
    </xf>
    <xf numFmtId="0" fontId="3" fillId="6" borderId="5" xfId="2" applyFont="1" applyFill="1" applyBorder="1" applyAlignment="1">
      <alignment horizontal="center"/>
    </xf>
    <xf numFmtId="0" fontId="3" fillId="6" borderId="7" xfId="2" applyFont="1" applyFill="1" applyBorder="1" applyAlignment="1">
      <alignment horizontal="center"/>
    </xf>
    <xf numFmtId="0" fontId="3" fillId="6" borderId="8" xfId="2" applyFont="1" applyFill="1" applyBorder="1" applyAlignment="1">
      <alignment horizontal="center"/>
    </xf>
    <xf numFmtId="0" fontId="3" fillId="0" borderId="13" xfId="2" applyFont="1" applyBorder="1"/>
    <xf numFmtId="37" fontId="3" fillId="0" borderId="14" xfId="2" applyNumberFormat="1" applyFont="1" applyBorder="1" applyAlignment="1">
      <alignment horizontal="center"/>
    </xf>
    <xf numFmtId="1" fontId="3" fillId="0" borderId="15" xfId="2" applyNumberFormat="1" applyFont="1" applyBorder="1" applyAlignment="1">
      <alignment horizontal="center"/>
    </xf>
    <xf numFmtId="1" fontId="3" fillId="0" borderId="2" xfId="2" applyNumberFormat="1" applyFont="1" applyBorder="1" applyAlignment="1">
      <alignment horizontal="center"/>
    </xf>
    <xf numFmtId="9" fontId="1" fillId="0" borderId="20" xfId="3" applyFont="1" applyBorder="1" applyAlignment="1">
      <alignment horizontal="center"/>
    </xf>
    <xf numFmtId="9" fontId="1" fillId="0" borderId="22" xfId="3" applyFont="1" applyBorder="1" applyAlignment="1">
      <alignment horizontal="center"/>
    </xf>
    <xf numFmtId="0" fontId="3" fillId="7" borderId="3" xfId="2" applyFont="1" applyFill="1" applyBorder="1" applyAlignment="1">
      <alignment horizontal="center"/>
    </xf>
    <xf numFmtId="0" fontId="3" fillId="7" borderId="4" xfId="2" applyFont="1" applyFill="1" applyBorder="1" applyAlignment="1">
      <alignment horizontal="center"/>
    </xf>
    <xf numFmtId="0" fontId="3" fillId="7" borderId="5" xfId="2" applyFont="1" applyFill="1" applyBorder="1" applyAlignment="1">
      <alignment horizontal="center"/>
    </xf>
    <xf numFmtId="0" fontId="3" fillId="7" borderId="7" xfId="2" applyFont="1" applyFill="1" applyBorder="1" applyAlignment="1">
      <alignment horizontal="center"/>
    </xf>
    <xf numFmtId="0" fontId="3" fillId="7" borderId="8" xfId="2" applyFont="1" applyFill="1" applyBorder="1" applyAlignment="1">
      <alignment horizontal="center"/>
    </xf>
    <xf numFmtId="164" fontId="3" fillId="0" borderId="14" xfId="2" applyNumberFormat="1" applyFont="1" applyBorder="1" applyAlignment="1">
      <alignment horizontal="center"/>
    </xf>
    <xf numFmtId="164" fontId="3" fillId="0" borderId="15" xfId="2" applyNumberFormat="1" applyFont="1" applyBorder="1" applyAlignment="1">
      <alignment horizontal="center"/>
    </xf>
    <xf numFmtId="164" fontId="3" fillId="0" borderId="2" xfId="2" applyNumberFormat="1" applyFont="1" applyBorder="1" applyAlignment="1">
      <alignment horizontal="center"/>
    </xf>
    <xf numFmtId="9" fontId="3" fillId="3" borderId="15" xfId="3" applyFont="1" applyFill="1" applyBorder="1" applyAlignment="1">
      <alignment horizontal="center"/>
    </xf>
    <xf numFmtId="9" fontId="3" fillId="3" borderId="16" xfId="3" applyFont="1" applyFill="1" applyBorder="1" applyAlignment="1">
      <alignment horizontal="center"/>
    </xf>
    <xf numFmtId="164" fontId="1" fillId="5" borderId="14" xfId="2" applyNumberFormat="1" applyFont="1" applyFill="1" applyBorder="1" applyAlignment="1">
      <alignment horizontal="center"/>
    </xf>
    <xf numFmtId="164" fontId="1" fillId="0" borderId="14" xfId="3" applyNumberFormat="1" applyFont="1" applyFill="1" applyBorder="1" applyAlignment="1">
      <alignment horizontal="center"/>
    </xf>
    <xf numFmtId="0" fontId="2" fillId="0" borderId="13" xfId="2" applyBorder="1" applyAlignment="1">
      <alignment horizontal="left" indent="1"/>
    </xf>
    <xf numFmtId="9" fontId="1" fillId="0" borderId="14" xfId="1" applyFont="1" applyFill="1" applyBorder="1" applyAlignment="1">
      <alignment horizontal="center"/>
    </xf>
    <xf numFmtId="0" fontId="2" fillId="0" borderId="24" xfId="2" applyBorder="1"/>
    <xf numFmtId="164" fontId="1" fillId="0" borderId="25" xfId="2" applyNumberFormat="1" applyFont="1" applyBorder="1" applyAlignment="1">
      <alignment horizontal="center"/>
    </xf>
    <xf numFmtId="9" fontId="1" fillId="0" borderId="26" xfId="3" applyFont="1" applyFill="1" applyBorder="1" applyAlignment="1">
      <alignment horizontal="center"/>
    </xf>
    <xf numFmtId="0" fontId="3" fillId="8" borderId="3" xfId="2" applyFont="1" applyFill="1" applyBorder="1" applyAlignment="1">
      <alignment horizontal="center"/>
    </xf>
    <xf numFmtId="0" fontId="3" fillId="8" borderId="4" xfId="2" applyFont="1" applyFill="1" applyBorder="1" applyAlignment="1">
      <alignment horizontal="center"/>
    </xf>
    <xf numFmtId="0" fontId="3" fillId="8" borderId="5" xfId="2" applyFont="1" applyFill="1" applyBorder="1" applyAlignment="1">
      <alignment horizontal="center"/>
    </xf>
    <xf numFmtId="0" fontId="3" fillId="8" borderId="7" xfId="2" applyFont="1" applyFill="1" applyBorder="1" applyAlignment="1">
      <alignment horizontal="center"/>
    </xf>
    <xf numFmtId="0" fontId="3" fillId="8" borderId="8" xfId="2" applyFont="1" applyFill="1" applyBorder="1" applyAlignment="1">
      <alignment horizontal="center"/>
    </xf>
    <xf numFmtId="0" fontId="3" fillId="0" borderId="13" xfId="2" applyFont="1" applyBorder="1" applyAlignment="1">
      <alignment horizontal="left"/>
    </xf>
    <xf numFmtId="0" fontId="1" fillId="0" borderId="13" xfId="2" applyFont="1" applyBorder="1" applyAlignment="1">
      <alignment horizontal="left" indent="1"/>
    </xf>
    <xf numFmtId="9" fontId="1" fillId="0" borderId="28" xfId="3" applyFont="1" applyFill="1" applyBorder="1" applyAlignment="1">
      <alignment horizontal="center"/>
    </xf>
    <xf numFmtId="0" fontId="3" fillId="9" borderId="3" xfId="2" applyFont="1" applyFill="1" applyBorder="1" applyAlignment="1">
      <alignment horizontal="center"/>
    </xf>
    <xf numFmtId="0" fontId="3" fillId="9" borderId="4" xfId="2" applyFont="1" applyFill="1" applyBorder="1" applyAlignment="1">
      <alignment horizontal="center"/>
    </xf>
    <xf numFmtId="0" fontId="3" fillId="9" borderId="5" xfId="2" applyFont="1" applyFill="1" applyBorder="1" applyAlignment="1">
      <alignment horizontal="center"/>
    </xf>
    <xf numFmtId="0" fontId="3" fillId="9" borderId="7" xfId="2" applyFont="1" applyFill="1" applyBorder="1" applyAlignment="1">
      <alignment horizontal="center"/>
    </xf>
    <xf numFmtId="0" fontId="3" fillId="9" borderId="8" xfId="2" applyFont="1" applyFill="1" applyBorder="1" applyAlignment="1">
      <alignment horizontal="center"/>
    </xf>
    <xf numFmtId="0" fontId="1" fillId="0" borderId="13" xfId="2" applyFont="1" applyBorder="1" applyAlignment="1">
      <alignment horizontal="left"/>
    </xf>
    <xf numFmtId="9" fontId="1" fillId="0" borderId="14" xfId="1" applyFont="1" applyBorder="1" applyAlignment="1">
      <alignment horizontal="center"/>
    </xf>
    <xf numFmtId="0" fontId="1" fillId="5" borderId="13" xfId="2" applyFont="1" applyFill="1" applyBorder="1" applyAlignment="1">
      <alignment horizontal="left"/>
    </xf>
    <xf numFmtId="165" fontId="1" fillId="5" borderId="14" xfId="2" applyNumberFormat="1" applyFont="1" applyFill="1" applyBorder="1" applyAlignment="1">
      <alignment horizontal="center"/>
    </xf>
    <xf numFmtId="165" fontId="1" fillId="0" borderId="15" xfId="2" applyNumberFormat="1" applyFont="1" applyBorder="1" applyAlignment="1">
      <alignment horizontal="center"/>
    </xf>
    <xf numFmtId="165" fontId="1" fillId="0" borderId="2" xfId="2" applyNumberFormat="1" applyFont="1" applyBorder="1" applyAlignment="1">
      <alignment horizontal="center"/>
    </xf>
    <xf numFmtId="0" fontId="1" fillId="0" borderId="24" xfId="2" applyFont="1" applyBorder="1" applyAlignment="1">
      <alignment horizontal="left"/>
    </xf>
    <xf numFmtId="0" fontId="3" fillId="10" borderId="3" xfId="2" applyFont="1" applyFill="1" applyBorder="1" applyAlignment="1">
      <alignment horizontal="center"/>
    </xf>
    <xf numFmtId="0" fontId="3" fillId="10" borderId="4" xfId="2" applyFont="1" applyFill="1" applyBorder="1" applyAlignment="1">
      <alignment horizontal="center"/>
    </xf>
    <xf numFmtId="0" fontId="3" fillId="10" borderId="5" xfId="2" applyFont="1" applyFill="1" applyBorder="1" applyAlignment="1">
      <alignment horizontal="center"/>
    </xf>
    <xf numFmtId="0" fontId="3" fillId="10" borderId="7" xfId="2" applyFont="1" applyFill="1" applyBorder="1" applyAlignment="1">
      <alignment horizontal="center"/>
    </xf>
    <xf numFmtId="0" fontId="3" fillId="10" borderId="8" xfId="2" applyFont="1" applyFill="1" applyBorder="1" applyAlignment="1">
      <alignment horizontal="center"/>
    </xf>
    <xf numFmtId="0" fontId="2" fillId="0" borderId="13" xfId="2" applyBorder="1" applyAlignment="1">
      <alignment horizontal="left"/>
    </xf>
    <xf numFmtId="164" fontId="1" fillId="0" borderId="14" xfId="1" applyNumberFormat="1" applyFont="1" applyBorder="1" applyAlignment="1">
      <alignment horizontal="center"/>
    </xf>
    <xf numFmtId="164" fontId="2" fillId="0" borderId="10" xfId="2" applyNumberFormat="1" applyBorder="1" applyAlignment="1">
      <alignment horizontal="center"/>
    </xf>
    <xf numFmtId="164" fontId="2" fillId="0" borderId="11" xfId="2" applyNumberFormat="1" applyBorder="1" applyAlignment="1">
      <alignment horizontal="center"/>
    </xf>
    <xf numFmtId="164" fontId="2" fillId="0" borderId="15" xfId="2" applyNumberFormat="1" applyBorder="1" applyAlignment="1">
      <alignment horizontal="center"/>
    </xf>
    <xf numFmtId="164" fontId="2" fillId="0" borderId="2" xfId="2" applyNumberFormat="1" applyBorder="1" applyAlignment="1">
      <alignment horizontal="center"/>
    </xf>
    <xf numFmtId="0" fontId="3" fillId="0" borderId="0" xfId="2" applyFont="1"/>
    <xf numFmtId="166" fontId="1" fillId="0" borderId="14" xfId="1" applyNumberFormat="1" applyFont="1" applyBorder="1" applyAlignment="1">
      <alignment horizontal="center"/>
    </xf>
    <xf numFmtId="166" fontId="1" fillId="0" borderId="15" xfId="3" applyNumberFormat="1" applyFont="1" applyBorder="1" applyAlignment="1">
      <alignment horizontal="center"/>
    </xf>
    <xf numFmtId="166" fontId="1" fillId="0" borderId="17" xfId="3" applyNumberFormat="1" applyFont="1" applyBorder="1" applyAlignment="1">
      <alignment horizontal="center"/>
    </xf>
    <xf numFmtId="0" fontId="2" fillId="0" borderId="24" xfId="2" applyBorder="1" applyAlignment="1">
      <alignment horizontal="left"/>
    </xf>
    <xf numFmtId="166" fontId="1" fillId="0" borderId="25" xfId="1" applyNumberFormat="1" applyFont="1" applyBorder="1" applyAlignment="1">
      <alignment horizontal="center"/>
    </xf>
    <xf numFmtId="166" fontId="1" fillId="0" borderId="26" xfId="3" applyNumberFormat="1" applyFont="1" applyBorder="1" applyAlignment="1">
      <alignment horizontal="center"/>
    </xf>
    <xf numFmtId="166" fontId="1" fillId="0" borderId="29" xfId="3" applyNumberFormat="1" applyFont="1" applyBorder="1" applyAlignment="1">
      <alignment horizontal="center"/>
    </xf>
  </cellXfs>
  <cellStyles count="4">
    <cellStyle name="Normal" xfId="0" builtinId="0"/>
    <cellStyle name="Normal 3" xfId="2" xr:uid="{00418C69-0C65-44D1-A6E8-810D5A716A29}"/>
    <cellStyle name="Pourcentage" xfId="1" builtinId="5"/>
    <cellStyle name="Pourcentage 2" xfId="3" xr:uid="{6BAEC34D-C7C6-4EBF-B54E-90A88C47F9A8}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0E516-A0B2-4ED9-9427-F63F747D2331}">
  <sheetPr>
    <tabColor rgb="FF00B0F0"/>
    <pageSetUpPr fitToPage="1"/>
  </sheetPr>
  <dimension ref="A1:N77"/>
  <sheetViews>
    <sheetView tabSelected="1" topLeftCell="A46" zoomScale="110" zoomScaleNormal="110" workbookViewId="0">
      <selection activeCell="J68" sqref="J68"/>
    </sheetView>
  </sheetViews>
  <sheetFormatPr baseColWidth="10" defaultColWidth="11" defaultRowHeight="15" x14ac:dyDescent="0.25"/>
  <cols>
    <col min="1" max="1" width="2.25" style="1" customWidth="1"/>
    <col min="2" max="2" width="23.25" style="1" customWidth="1"/>
    <col min="3" max="9" width="11.75" style="1" customWidth="1"/>
    <col min="10" max="10" width="58.875" style="1" customWidth="1"/>
    <col min="11" max="13" width="3.125" style="1" customWidth="1"/>
    <col min="14" max="16384" width="11" style="1"/>
  </cols>
  <sheetData>
    <row r="1" spans="1:14" ht="15.75" x14ac:dyDescent="0.25">
      <c r="B1" s="2" t="s">
        <v>59</v>
      </c>
      <c r="C1" s="2"/>
      <c r="D1" s="2"/>
      <c r="E1" s="2"/>
      <c r="F1" s="2"/>
      <c r="G1" s="2"/>
      <c r="H1" s="2"/>
      <c r="I1" s="2"/>
      <c r="J1" s="2"/>
    </row>
    <row r="2" spans="1:14" x14ac:dyDescent="0.25">
      <c r="B2" s="3"/>
    </row>
    <row r="3" spans="1:14" x14ac:dyDescent="0.25">
      <c r="A3" s="4"/>
      <c r="B3" s="5" t="s">
        <v>0</v>
      </c>
      <c r="C3" s="6" t="s">
        <v>1</v>
      </c>
      <c r="D3" s="7" t="s">
        <v>2</v>
      </c>
      <c r="E3" s="8">
        <v>2023</v>
      </c>
      <c r="F3" s="7" t="s">
        <v>3</v>
      </c>
      <c r="G3" s="9" t="s">
        <v>4</v>
      </c>
      <c r="H3" s="7" t="s">
        <v>5</v>
      </c>
      <c r="I3" s="9" t="s">
        <v>6</v>
      </c>
      <c r="J3" s="10" t="s">
        <v>7</v>
      </c>
      <c r="N3" s="1" t="s">
        <v>8</v>
      </c>
    </row>
    <row r="4" spans="1:14" ht="15" customHeight="1" x14ac:dyDescent="0.25">
      <c r="A4" s="4"/>
      <c r="B4" s="11" t="s">
        <v>9</v>
      </c>
      <c r="C4" s="12">
        <v>18</v>
      </c>
      <c r="D4" s="12">
        <v>22</v>
      </c>
      <c r="E4" s="12">
        <v>20</v>
      </c>
      <c r="F4" s="13">
        <f t="shared" ref="F4:G15" si="0">+IFERROR($C4-D4,"")</f>
        <v>-4</v>
      </c>
      <c r="G4" s="14">
        <f t="shared" si="0"/>
        <v>-2</v>
      </c>
      <c r="H4" s="15">
        <f t="shared" ref="H4:H15" si="1">+IFERROR(F4/ABS($D4),"")</f>
        <v>-0.18181818181818182</v>
      </c>
      <c r="I4" s="16">
        <f t="shared" ref="I4:I14" si="2">+IFERROR(G4/ABS($E4),"")</f>
        <v>-0.1</v>
      </c>
      <c r="J4" s="17"/>
    </row>
    <row r="5" spans="1:14" x14ac:dyDescent="0.25">
      <c r="A5" s="4"/>
      <c r="B5" s="18" t="s">
        <v>10</v>
      </c>
      <c r="C5" s="19">
        <v>74641.190000000046</v>
      </c>
      <c r="D5" s="19">
        <v>111038.0778350094</v>
      </c>
      <c r="E5" s="19">
        <v>110487.3899999999</v>
      </c>
      <c r="F5" s="20">
        <f t="shared" si="0"/>
        <v>-36396.887835009358</v>
      </c>
      <c r="G5" s="21">
        <f t="shared" si="0"/>
        <v>-35846.199999999852</v>
      </c>
      <c r="H5" s="22">
        <f t="shared" si="1"/>
        <v>-0.3277874450338667</v>
      </c>
      <c r="I5" s="23">
        <f t="shared" si="2"/>
        <v>-0.32443702398979546</v>
      </c>
      <c r="J5" s="24"/>
    </row>
    <row r="6" spans="1:14" x14ac:dyDescent="0.25">
      <c r="A6" s="4"/>
      <c r="B6" s="18" t="s">
        <v>11</v>
      </c>
      <c r="C6" s="19">
        <f>+C5/C4</f>
        <v>4146.73277777778</v>
      </c>
      <c r="D6" s="19">
        <f>+D5/D4</f>
        <v>5047.1853561367907</v>
      </c>
      <c r="E6" s="19">
        <f>+E5/E4</f>
        <v>5524.3694999999952</v>
      </c>
      <c r="F6" s="20">
        <f t="shared" si="0"/>
        <v>-900.45257835901066</v>
      </c>
      <c r="G6" s="21">
        <f t="shared" si="0"/>
        <v>-1377.6367222222152</v>
      </c>
      <c r="H6" s="25">
        <f>+IFERROR(F6/ABS($D6),"")</f>
        <v>-0.17840687726361484</v>
      </c>
      <c r="I6" s="26">
        <f t="shared" si="2"/>
        <v>-0.24937447109977282</v>
      </c>
      <c r="J6" s="24"/>
    </row>
    <row r="7" spans="1:14" x14ac:dyDescent="0.25">
      <c r="A7" s="4"/>
      <c r="B7" s="18" t="s">
        <v>12</v>
      </c>
      <c r="C7" s="19">
        <v>19709.240000000002</v>
      </c>
      <c r="D7" s="19">
        <v>32197.055025818365</v>
      </c>
      <c r="E7" s="19">
        <v>30569</v>
      </c>
      <c r="F7" s="20">
        <f t="shared" si="0"/>
        <v>-12487.815025818363</v>
      </c>
      <c r="G7" s="21">
        <f t="shared" si="0"/>
        <v>-10859.759999999998</v>
      </c>
      <c r="H7" s="22">
        <f t="shared" si="1"/>
        <v>-0.38785581525405227</v>
      </c>
      <c r="I7" s="23">
        <f t="shared" si="2"/>
        <v>-0.35525401550590463</v>
      </c>
      <c r="J7" s="24"/>
    </row>
    <row r="8" spans="1:14" x14ac:dyDescent="0.25">
      <c r="A8" s="4"/>
      <c r="B8" s="18" t="s">
        <v>13</v>
      </c>
      <c r="C8" s="27">
        <f>+C7/C5</f>
        <v>0.26405313205751396</v>
      </c>
      <c r="D8" s="27">
        <f>+D7/D5</f>
        <v>0.28996408847836608</v>
      </c>
      <c r="E8" s="27">
        <f>+E7/E5</f>
        <v>0.27667410733478298</v>
      </c>
      <c r="F8" s="28">
        <f t="shared" si="0"/>
        <v>-2.5910956420852116E-2</v>
      </c>
      <c r="G8" s="29">
        <f t="shared" si="0"/>
        <v>-1.262097527726902E-2</v>
      </c>
      <c r="H8" s="22">
        <f t="shared" si="1"/>
        <v>-8.9359191190964693E-2</v>
      </c>
      <c r="I8" s="23">
        <f>+IFERROR(G8/ABS($E8),"")</f>
        <v>-4.5616756113709279E-2</v>
      </c>
      <c r="J8" s="24"/>
    </row>
    <row r="9" spans="1:14" x14ac:dyDescent="0.25">
      <c r="A9" s="4"/>
      <c r="B9" s="18" t="s">
        <v>14</v>
      </c>
      <c r="C9" s="19">
        <v>29787.799999999996</v>
      </c>
      <c r="D9" s="19">
        <v>35200</v>
      </c>
      <c r="E9" s="19">
        <v>30054</v>
      </c>
      <c r="F9" s="20">
        <f t="shared" si="0"/>
        <v>-5412.2000000000044</v>
      </c>
      <c r="G9" s="21">
        <f t="shared" si="0"/>
        <v>-266.20000000000437</v>
      </c>
      <c r="H9" s="22">
        <f t="shared" si="1"/>
        <v>-0.15375568181818194</v>
      </c>
      <c r="I9" s="23">
        <f t="shared" si="2"/>
        <v>-8.8573900312771802E-3</v>
      </c>
      <c r="J9" s="24"/>
    </row>
    <row r="10" spans="1:14" x14ac:dyDescent="0.25">
      <c r="A10" s="4"/>
      <c r="B10" s="18" t="s">
        <v>15</v>
      </c>
      <c r="C10" s="19">
        <f>+C9/C4</f>
        <v>1654.8777777777775</v>
      </c>
      <c r="D10" s="19">
        <f>+D9/D4</f>
        <v>1600</v>
      </c>
      <c r="E10" s="19">
        <f>+E9/E4</f>
        <v>1502.7</v>
      </c>
      <c r="F10" s="20">
        <f t="shared" si="0"/>
        <v>54.87777777777751</v>
      </c>
      <c r="G10" s="21">
        <f t="shared" si="0"/>
        <v>152.17777777777746</v>
      </c>
      <c r="H10" s="25">
        <f t="shared" si="1"/>
        <v>3.4298611111110947E-2</v>
      </c>
      <c r="I10" s="26">
        <f t="shared" si="2"/>
        <v>0.10126956663191419</v>
      </c>
      <c r="J10" s="24"/>
    </row>
    <row r="11" spans="1:14" x14ac:dyDescent="0.25">
      <c r="A11" s="4"/>
      <c r="B11" s="18" t="s">
        <v>16</v>
      </c>
      <c r="C11" s="19">
        <v>10496.95</v>
      </c>
      <c r="D11" s="19">
        <v>8800</v>
      </c>
      <c r="E11" s="19">
        <v>7508.5</v>
      </c>
      <c r="F11" s="20">
        <f t="shared" si="0"/>
        <v>1696.9500000000007</v>
      </c>
      <c r="G11" s="21">
        <f t="shared" si="0"/>
        <v>2988.4500000000007</v>
      </c>
      <c r="H11" s="22">
        <f t="shared" si="1"/>
        <v>0.19283522727272737</v>
      </c>
      <c r="I11" s="23">
        <f t="shared" si="2"/>
        <v>0.39800892322035036</v>
      </c>
      <c r="J11" s="24"/>
    </row>
    <row r="12" spans="1:14" x14ac:dyDescent="0.25">
      <c r="A12" s="4"/>
      <c r="B12" s="18" t="s">
        <v>17</v>
      </c>
      <c r="C12" s="27">
        <f>+C11/C9</f>
        <v>0.3523909117155346</v>
      </c>
      <c r="D12" s="27">
        <f>+D11/D9</f>
        <v>0.25</v>
      </c>
      <c r="E12" s="27">
        <f>+E11/E9</f>
        <v>0.2498336327943036</v>
      </c>
      <c r="F12" s="28">
        <f t="shared" si="0"/>
        <v>0.1023909117155346</v>
      </c>
      <c r="G12" s="30">
        <f t="shared" si="0"/>
        <v>0.10255727892123101</v>
      </c>
      <c r="H12" s="22">
        <f t="shared" si="1"/>
        <v>0.40956364686213842</v>
      </c>
      <c r="I12" s="23">
        <f t="shared" si="2"/>
        <v>0.41050229216203993</v>
      </c>
      <c r="J12" s="24"/>
    </row>
    <row r="13" spans="1:14" x14ac:dyDescent="0.25">
      <c r="A13" s="4"/>
      <c r="B13" s="18" t="s">
        <v>18</v>
      </c>
      <c r="C13" s="19">
        <v>48444.709999999992</v>
      </c>
      <c r="D13" s="19">
        <v>40721.364112547293</v>
      </c>
      <c r="E13" s="19">
        <v>19714.370000000003</v>
      </c>
      <c r="F13" s="20">
        <f t="shared" si="0"/>
        <v>7723.3458874526987</v>
      </c>
      <c r="G13" s="21">
        <f t="shared" si="0"/>
        <v>28730.339999999989</v>
      </c>
      <c r="H13" s="22">
        <f t="shared" si="1"/>
        <v>0.189663240801723</v>
      </c>
      <c r="I13" s="23">
        <f t="shared" si="2"/>
        <v>1.457329856343367</v>
      </c>
      <c r="J13" s="24"/>
    </row>
    <row r="14" spans="1:14" x14ac:dyDescent="0.25">
      <c r="A14" s="4"/>
      <c r="B14" s="18" t="s">
        <v>19</v>
      </c>
      <c r="C14" s="19">
        <f>+C13/C4</f>
        <v>2691.3727777777772</v>
      </c>
      <c r="D14" s="19">
        <f>+D13/D4</f>
        <v>1850.9710960248769</v>
      </c>
      <c r="E14" s="19">
        <f>+E13/E4</f>
        <v>985.71850000000018</v>
      </c>
      <c r="F14" s="20">
        <f t="shared" si="0"/>
        <v>840.40168175290023</v>
      </c>
      <c r="G14" s="21">
        <f t="shared" si="0"/>
        <v>1705.654277777777</v>
      </c>
      <c r="H14" s="22">
        <f t="shared" si="1"/>
        <v>0.45403284986877251</v>
      </c>
      <c r="I14" s="23">
        <f t="shared" si="2"/>
        <v>1.7303665070481853</v>
      </c>
      <c r="J14" s="24"/>
    </row>
    <row r="15" spans="1:14" x14ac:dyDescent="0.25">
      <c r="A15" s="4"/>
      <c r="B15" s="18" t="s">
        <v>20</v>
      </c>
      <c r="C15" s="19">
        <v>75635.23</v>
      </c>
      <c r="D15" s="19">
        <v>81601.181538461562</v>
      </c>
      <c r="E15" s="19">
        <v>73394.62</v>
      </c>
      <c r="F15" s="20">
        <f t="shared" si="0"/>
        <v>-5965.9515384615661</v>
      </c>
      <c r="G15" s="21">
        <f t="shared" si="0"/>
        <v>2240.6100000000006</v>
      </c>
      <c r="H15" s="22">
        <f t="shared" si="1"/>
        <v>-7.3111092584481743E-2</v>
      </c>
      <c r="I15" s="23">
        <f>+IFERROR(G15/ABS($E15),"")</f>
        <v>3.0528259428279629E-2</v>
      </c>
      <c r="J15" s="24"/>
    </row>
    <row r="16" spans="1:14" x14ac:dyDescent="0.25">
      <c r="A16" s="4"/>
      <c r="B16" s="31" t="s">
        <v>21</v>
      </c>
      <c r="C16" s="32"/>
      <c r="D16" s="32"/>
      <c r="E16" s="32"/>
      <c r="F16" s="33"/>
      <c r="G16" s="34"/>
      <c r="H16" s="35"/>
      <c r="I16" s="36"/>
      <c r="J16" s="24"/>
    </row>
    <row r="17" spans="1:10" x14ac:dyDescent="0.25">
      <c r="A17" s="4"/>
      <c r="B17" s="37" t="s">
        <v>9</v>
      </c>
      <c r="C17" s="38">
        <v>71</v>
      </c>
      <c r="D17" s="38">
        <v>55</v>
      </c>
      <c r="E17" s="39">
        <v>26</v>
      </c>
      <c r="F17" s="40">
        <f>+IFERROR($C17-D17,"")</f>
        <v>16</v>
      </c>
      <c r="G17" s="41">
        <f>+IFERROR($C17-E17,"")</f>
        <v>45</v>
      </c>
      <c r="H17" s="28">
        <f>+IFERROR(F17/ABS($D17),"")</f>
        <v>0.29090909090909089</v>
      </c>
      <c r="I17" s="42">
        <f>+IFERROR(G17/ABS($E17),"")</f>
        <v>1.7307692307692308</v>
      </c>
      <c r="J17" s="24"/>
    </row>
    <row r="18" spans="1:10" x14ac:dyDescent="0.25">
      <c r="A18" s="4"/>
      <c r="B18" s="43" t="s">
        <v>22</v>
      </c>
      <c r="C18" s="44">
        <v>6217893</v>
      </c>
      <c r="D18" s="44">
        <v>4301120</v>
      </c>
      <c r="E18" s="44">
        <v>2141123.9199999995</v>
      </c>
      <c r="F18" s="45">
        <f>+IFERROR($C18-D18,"")</f>
        <v>1916773</v>
      </c>
      <c r="G18" s="46">
        <f>+IFERROR($C18-E18,"")</f>
        <v>4076769.0800000005</v>
      </c>
      <c r="H18" s="47">
        <f>+IFERROR(F18/ABS($D18),"")</f>
        <v>0.44564508779108697</v>
      </c>
      <c r="I18" s="48">
        <f>+IFERROR(G18/ABS($E18),"")</f>
        <v>1.9040322897331423</v>
      </c>
      <c r="J18" s="49"/>
    </row>
    <row r="19" spans="1:10" x14ac:dyDescent="0.25">
      <c r="C19" s="50"/>
      <c r="D19" s="50"/>
      <c r="E19" s="50"/>
      <c r="F19" s="50"/>
      <c r="G19" s="50"/>
      <c r="H19" s="50"/>
      <c r="I19" s="50"/>
    </row>
    <row r="20" spans="1:10" x14ac:dyDescent="0.25">
      <c r="B20" s="51" t="s">
        <v>23</v>
      </c>
      <c r="C20" s="52" t="s">
        <v>1</v>
      </c>
      <c r="D20" s="52" t="s">
        <v>2</v>
      </c>
      <c r="E20" s="52">
        <f>$E$3</f>
        <v>2023</v>
      </c>
      <c r="F20" s="53" t="s">
        <v>3</v>
      </c>
      <c r="G20" s="54" t="str">
        <f>$G$3</f>
        <v>▲2023</v>
      </c>
      <c r="H20" s="53" t="s">
        <v>5</v>
      </c>
      <c r="I20" s="54" t="str">
        <f>$I$3</f>
        <v>% ▲ 2023</v>
      </c>
      <c r="J20" s="55" t="s">
        <v>7</v>
      </c>
    </row>
    <row r="21" spans="1:10" ht="15" customHeight="1" x14ac:dyDescent="0.25">
      <c r="B21" s="56" t="s">
        <v>9</v>
      </c>
      <c r="C21" s="57">
        <v>19</v>
      </c>
      <c r="D21" s="57">
        <v>21</v>
      </c>
      <c r="E21" s="57">
        <v>22</v>
      </c>
      <c r="F21" s="58">
        <f t="shared" ref="F21:G32" si="3">+IFERROR($C21-D21,"")</f>
        <v>-2</v>
      </c>
      <c r="G21" s="59">
        <f t="shared" si="3"/>
        <v>-3</v>
      </c>
      <c r="H21" s="15">
        <f t="shared" ref="H21:H32" si="4">+IFERROR(F21/ABS($D21),"")</f>
        <v>-9.5238095238095233E-2</v>
      </c>
      <c r="I21" s="16">
        <f t="shared" ref="I21:I32" si="5">+IFERROR(G21/ABS($E21),"")</f>
        <v>-0.13636363636363635</v>
      </c>
      <c r="J21" s="17"/>
    </row>
    <row r="22" spans="1:10" x14ac:dyDescent="0.25">
      <c r="B22" s="18" t="s">
        <v>10</v>
      </c>
      <c r="C22" s="19">
        <v>34436.999999999942</v>
      </c>
      <c r="D22" s="19">
        <v>48650</v>
      </c>
      <c r="E22" s="19">
        <v>65243.359999999797</v>
      </c>
      <c r="F22" s="20">
        <f t="shared" si="3"/>
        <v>-14213.000000000058</v>
      </c>
      <c r="G22" s="21">
        <f t="shared" si="3"/>
        <v>-30806.359999999855</v>
      </c>
      <c r="H22" s="22">
        <f t="shared" si="4"/>
        <v>-0.29214799588900425</v>
      </c>
      <c r="I22" s="23">
        <f t="shared" si="5"/>
        <v>-0.47217617241049437</v>
      </c>
      <c r="J22" s="24"/>
    </row>
    <row r="23" spans="1:10" x14ac:dyDescent="0.25">
      <c r="B23" s="18" t="s">
        <v>11</v>
      </c>
      <c r="C23" s="19">
        <f>+C22/C21</f>
        <v>1812.4736842105233</v>
      </c>
      <c r="D23" s="19">
        <f>+D22/D21</f>
        <v>2316.6666666666665</v>
      </c>
      <c r="E23" s="19">
        <f>+E22/E21</f>
        <v>2965.6072727272635</v>
      </c>
      <c r="F23" s="20">
        <f t="shared" si="3"/>
        <v>-504.19298245614323</v>
      </c>
      <c r="G23" s="21">
        <f t="shared" si="3"/>
        <v>-1153.1335885167402</v>
      </c>
      <c r="H23" s="25">
        <f t="shared" si="4"/>
        <v>-0.21763725861416255</v>
      </c>
      <c r="I23" s="26">
        <f t="shared" si="5"/>
        <v>-0.38883556805425662</v>
      </c>
      <c r="J23" s="24"/>
    </row>
    <row r="24" spans="1:10" x14ac:dyDescent="0.25">
      <c r="B24" s="18" t="s">
        <v>12</v>
      </c>
      <c r="C24" s="19">
        <v>11282.17</v>
      </c>
      <c r="D24" s="19">
        <v>15984.312977099236</v>
      </c>
      <c r="E24" s="19">
        <v>20300.560000000001</v>
      </c>
      <c r="F24" s="20">
        <f t="shared" si="3"/>
        <v>-4702.1429770992363</v>
      </c>
      <c r="G24" s="21">
        <f t="shared" si="3"/>
        <v>-9018.3900000000012</v>
      </c>
      <c r="H24" s="22">
        <f t="shared" si="4"/>
        <v>-0.29417235409717063</v>
      </c>
      <c r="I24" s="23">
        <f t="shared" si="5"/>
        <v>-0.44424341003400897</v>
      </c>
      <c r="J24" s="24"/>
    </row>
    <row r="25" spans="1:10" x14ac:dyDescent="0.25">
      <c r="B25" s="18" t="s">
        <v>13</v>
      </c>
      <c r="C25" s="27">
        <f>+C24/C22</f>
        <v>0.3276176786595818</v>
      </c>
      <c r="D25" s="27">
        <f>+D24/D22</f>
        <v>0.32855730682629469</v>
      </c>
      <c r="E25" s="27">
        <f>+E24/E22</f>
        <v>0.31115135701165703</v>
      </c>
      <c r="F25" s="28">
        <f t="shared" si="3"/>
        <v>-9.396281667128914E-4</v>
      </c>
      <c r="G25" s="29">
        <f t="shared" si="3"/>
        <v>1.6466321647924775E-2</v>
      </c>
      <c r="H25" s="22">
        <f t="shared" si="4"/>
        <v>-2.8598608132908284E-3</v>
      </c>
      <c r="I25" s="23">
        <f t="shared" si="5"/>
        <v>5.2920616532319602E-2</v>
      </c>
      <c r="J25" s="24"/>
    </row>
    <row r="26" spans="1:10" x14ac:dyDescent="0.25">
      <c r="B26" s="18" t="s">
        <v>14</v>
      </c>
      <c r="C26" s="19">
        <v>19393.96</v>
      </c>
      <c r="D26" s="19">
        <v>34650</v>
      </c>
      <c r="E26" s="19">
        <v>26622.19</v>
      </c>
      <c r="F26" s="20">
        <f t="shared" si="3"/>
        <v>-15256.04</v>
      </c>
      <c r="G26" s="21">
        <f t="shared" si="3"/>
        <v>-7228.23</v>
      </c>
      <c r="H26" s="22">
        <f t="shared" si="4"/>
        <v>-0.44028975468975473</v>
      </c>
      <c r="I26" s="23">
        <f t="shared" si="5"/>
        <v>-0.27151147219669003</v>
      </c>
      <c r="J26" s="24"/>
    </row>
    <row r="27" spans="1:10" x14ac:dyDescent="0.25">
      <c r="B27" s="18" t="s">
        <v>15</v>
      </c>
      <c r="C27" s="19">
        <f>+C26/C21</f>
        <v>1020.7347368421052</v>
      </c>
      <c r="D27" s="19">
        <f>+D26/D21</f>
        <v>1650</v>
      </c>
      <c r="E27" s="19">
        <f>+E26/E21</f>
        <v>1210.0995454545455</v>
      </c>
      <c r="F27" s="20">
        <f t="shared" si="3"/>
        <v>-629.26526315789476</v>
      </c>
      <c r="G27" s="21">
        <f t="shared" si="3"/>
        <v>-189.36480861244024</v>
      </c>
      <c r="H27" s="25">
        <f t="shared" si="4"/>
        <v>-0.38137288676236047</v>
      </c>
      <c r="I27" s="26">
        <f t="shared" si="5"/>
        <v>-0.1564869678066938</v>
      </c>
      <c r="J27" s="24"/>
    </row>
    <row r="28" spans="1:10" x14ac:dyDescent="0.25">
      <c r="B28" s="18" t="s">
        <v>16</v>
      </c>
      <c r="C28" s="19">
        <v>5913.99</v>
      </c>
      <c r="D28" s="19">
        <v>8662.5</v>
      </c>
      <c r="E28" s="19">
        <v>6587.05</v>
      </c>
      <c r="F28" s="20">
        <f t="shared" si="3"/>
        <v>-2748.51</v>
      </c>
      <c r="G28" s="21">
        <f t="shared" si="3"/>
        <v>-673.0600000000004</v>
      </c>
      <c r="H28" s="22">
        <f t="shared" si="4"/>
        <v>-0.31728831168831173</v>
      </c>
      <c r="I28" s="23">
        <f t="shared" si="5"/>
        <v>-0.10217927600367394</v>
      </c>
      <c r="J28" s="24"/>
    </row>
    <row r="29" spans="1:10" x14ac:dyDescent="0.25">
      <c r="B29" s="18" t="s">
        <v>17</v>
      </c>
      <c r="C29" s="27">
        <f>+C28/C26</f>
        <v>0.30493978537647803</v>
      </c>
      <c r="D29" s="27">
        <f>+D28/D26</f>
        <v>0.25</v>
      </c>
      <c r="E29" s="27">
        <f>+E28/E26</f>
        <v>0.24742705239501336</v>
      </c>
      <c r="F29" s="28">
        <f t="shared" si="3"/>
        <v>5.4939785376478034E-2</v>
      </c>
      <c r="G29" s="30">
        <f t="shared" si="3"/>
        <v>5.751273298146467E-2</v>
      </c>
      <c r="H29" s="22">
        <f t="shared" si="4"/>
        <v>0.21975914150591214</v>
      </c>
      <c r="I29" s="23">
        <f t="shared" si="5"/>
        <v>0.23244318850651183</v>
      </c>
      <c r="J29" s="24"/>
    </row>
    <row r="30" spans="1:10" x14ac:dyDescent="0.25">
      <c r="B30" s="18" t="s">
        <v>18</v>
      </c>
      <c r="C30" s="19">
        <v>17379.510000000002</v>
      </c>
      <c r="D30" s="19">
        <v>21052.066558180653</v>
      </c>
      <c r="E30" s="19">
        <v>15669.599999999999</v>
      </c>
      <c r="F30" s="20">
        <f t="shared" si="3"/>
        <v>-3672.5565581806513</v>
      </c>
      <c r="G30" s="21">
        <f t="shared" si="3"/>
        <v>1709.9100000000035</v>
      </c>
      <c r="H30" s="22">
        <f t="shared" si="4"/>
        <v>-0.17445111851755604</v>
      </c>
      <c r="I30" s="23">
        <f t="shared" si="5"/>
        <v>0.10912275999387372</v>
      </c>
      <c r="J30" s="24"/>
    </row>
    <row r="31" spans="1:10" x14ac:dyDescent="0.25">
      <c r="B31" s="18" t="s">
        <v>19</v>
      </c>
      <c r="C31" s="19">
        <f>+C30/C21</f>
        <v>914.71105263157904</v>
      </c>
      <c r="D31" s="19">
        <f>+D30/D21</f>
        <v>1002.4793599133644</v>
      </c>
      <c r="E31" s="19">
        <f>+E30/E21</f>
        <v>712.25454545454534</v>
      </c>
      <c r="F31" s="20">
        <f t="shared" si="3"/>
        <v>-87.768307281785383</v>
      </c>
      <c r="G31" s="21">
        <f t="shared" si="3"/>
        <v>202.4565071770337</v>
      </c>
      <c r="H31" s="22">
        <f t="shared" si="4"/>
        <v>-8.7551236256246154E-2</v>
      </c>
      <c r="I31" s="23">
        <f>+IFERROR(G31/ABS($E31),"")</f>
        <v>0.28424740630869594</v>
      </c>
      <c r="J31" s="24"/>
    </row>
    <row r="32" spans="1:10" x14ac:dyDescent="0.25">
      <c r="B32" s="18" t="s">
        <v>20</v>
      </c>
      <c r="C32" s="19">
        <v>12895</v>
      </c>
      <c r="D32" s="19">
        <v>15067.808823529413</v>
      </c>
      <c r="E32" s="19">
        <v>18900</v>
      </c>
      <c r="F32" s="20">
        <f t="shared" si="3"/>
        <v>-2172.8088235294126</v>
      </c>
      <c r="G32" s="21">
        <f t="shared" si="3"/>
        <v>-6005</v>
      </c>
      <c r="H32" s="22">
        <f t="shared" si="4"/>
        <v>-0.14420204350724328</v>
      </c>
      <c r="I32" s="23">
        <f t="shared" si="5"/>
        <v>-0.31772486772486774</v>
      </c>
      <c r="J32" s="24"/>
    </row>
    <row r="33" spans="2:10" x14ac:dyDescent="0.25">
      <c r="B33" s="31" t="s">
        <v>21</v>
      </c>
      <c r="C33" s="32"/>
      <c r="D33" s="32"/>
      <c r="E33" s="32"/>
      <c r="F33" s="33"/>
      <c r="G33" s="34"/>
      <c r="H33" s="60"/>
      <c r="I33" s="61"/>
      <c r="J33" s="24"/>
    </row>
    <row r="34" spans="2:10" x14ac:dyDescent="0.25">
      <c r="B34" s="37" t="s">
        <v>9</v>
      </c>
      <c r="C34" s="38">
        <v>51</v>
      </c>
      <c r="D34" s="38">
        <v>60</v>
      </c>
      <c r="E34" s="39">
        <v>44</v>
      </c>
      <c r="F34" s="40">
        <f>+IFERROR($C34-D34,"")</f>
        <v>-9</v>
      </c>
      <c r="G34" s="41">
        <f>+IFERROR($C34-E34,"")</f>
        <v>7</v>
      </c>
      <c r="H34" s="28">
        <f>+IFERROR(F34/ABS($D34),"")</f>
        <v>-0.15</v>
      </c>
      <c r="I34" s="42">
        <f>+IFERROR(G34/ABS($E34),"")</f>
        <v>0.15909090909090909</v>
      </c>
      <c r="J34" s="24"/>
    </row>
    <row r="35" spans="2:10" x14ac:dyDescent="0.25">
      <c r="B35" s="43" t="s">
        <v>22</v>
      </c>
      <c r="C35" s="44">
        <v>1738643</v>
      </c>
      <c r="D35" s="44">
        <v>2270265</v>
      </c>
      <c r="E35" s="44">
        <v>1678604.8099999996</v>
      </c>
      <c r="F35" s="45">
        <f>+IFERROR($C35-D35,"")</f>
        <v>-531622</v>
      </c>
      <c r="G35" s="46">
        <f>+IFERROR($C35-E35,"")</f>
        <v>60038.19000000041</v>
      </c>
      <c r="H35" s="47">
        <f>+IFERROR(F35/ABS($D35),"")</f>
        <v>-0.23416737693617265</v>
      </c>
      <c r="I35" s="48">
        <f>+IFERROR(G35/ABS($E35),"")</f>
        <v>3.576672105449312E-2</v>
      </c>
      <c r="J35" s="49"/>
    </row>
    <row r="36" spans="2:10" x14ac:dyDescent="0.25">
      <c r="C36" s="50"/>
      <c r="D36" s="50"/>
      <c r="E36" s="50"/>
      <c r="F36" s="50"/>
      <c r="G36" s="50"/>
      <c r="H36" s="50"/>
      <c r="I36" s="50"/>
    </row>
    <row r="37" spans="2:10" x14ac:dyDescent="0.25">
      <c r="B37" s="62" t="s">
        <v>24</v>
      </c>
      <c r="C37" s="63" t="s">
        <v>1</v>
      </c>
      <c r="D37" s="63" t="s">
        <v>2</v>
      </c>
      <c r="E37" s="63">
        <f>$E$3</f>
        <v>2023</v>
      </c>
      <c r="F37" s="64" t="s">
        <v>3</v>
      </c>
      <c r="G37" s="65" t="str">
        <f>$G$3</f>
        <v>▲2023</v>
      </c>
      <c r="H37" s="64" t="s">
        <v>5</v>
      </c>
      <c r="I37" s="65" t="str">
        <f>$I$3</f>
        <v>% ▲ 2023</v>
      </c>
      <c r="J37" s="66" t="s">
        <v>7</v>
      </c>
    </row>
    <row r="38" spans="2:10" ht="28.15" customHeight="1" x14ac:dyDescent="0.25">
      <c r="B38" s="56" t="s">
        <v>25</v>
      </c>
      <c r="C38" s="67">
        <v>125574.05</v>
      </c>
      <c r="D38" s="67">
        <v>156465.42717063974</v>
      </c>
      <c r="E38" s="67">
        <v>146473.9199999999</v>
      </c>
      <c r="F38" s="68">
        <f t="shared" ref="F38:G47" si="6">+IFERROR($C38-D38,"")</f>
        <v>-30891.377170639738</v>
      </c>
      <c r="G38" s="69">
        <f t="shared" si="6"/>
        <v>-20899.869999999893</v>
      </c>
      <c r="H38" s="15">
        <f t="shared" ref="H38:H47" si="7">+IFERROR(F38/ABS($D38),"")</f>
        <v>-0.19743260686560418</v>
      </c>
      <c r="I38" s="16">
        <f t="shared" ref="I38:I47" si="8">+IFERROR(G38/ABS($E38),"")</f>
        <v>-0.1426866298109582</v>
      </c>
      <c r="J38" s="17"/>
    </row>
    <row r="39" spans="2:10" x14ac:dyDescent="0.25">
      <c r="B39" s="56" t="s">
        <v>26</v>
      </c>
      <c r="C39" s="67">
        <v>81981.730000000025</v>
      </c>
      <c r="D39" s="67">
        <v>104216.92216500473</v>
      </c>
      <c r="E39" s="67">
        <v>95338.859999999884</v>
      </c>
      <c r="F39" s="68">
        <f t="shared" si="6"/>
        <v>-22235.192165004701</v>
      </c>
      <c r="G39" s="69">
        <f t="shared" si="6"/>
        <v>-13357.129999999859</v>
      </c>
      <c r="H39" s="70">
        <f t="shared" si="7"/>
        <v>-0.21335491111318883</v>
      </c>
      <c r="I39" s="71">
        <f t="shared" si="8"/>
        <v>-0.14010163326895114</v>
      </c>
      <c r="J39" s="24"/>
    </row>
    <row r="40" spans="2:10" x14ac:dyDescent="0.25">
      <c r="B40" s="18" t="s">
        <v>27</v>
      </c>
      <c r="C40" s="19">
        <v>343.27216560509555</v>
      </c>
      <c r="D40" s="72">
        <v>324</v>
      </c>
      <c r="E40" s="19">
        <v>324.57131428571432</v>
      </c>
      <c r="F40" s="20">
        <f t="shared" si="6"/>
        <v>19.272165605095552</v>
      </c>
      <c r="G40" s="21">
        <f t="shared" si="6"/>
        <v>18.700851319381229</v>
      </c>
      <c r="H40" s="22">
        <f t="shared" si="7"/>
        <v>5.94819926083196E-2</v>
      </c>
      <c r="I40" s="23">
        <f t="shared" si="8"/>
        <v>5.7617079810445615E-2</v>
      </c>
      <c r="J40" s="24"/>
    </row>
    <row r="41" spans="2:10" x14ac:dyDescent="0.25">
      <c r="B41" s="18" t="s">
        <v>28</v>
      </c>
      <c r="C41" s="19">
        <v>168.84982352941176</v>
      </c>
      <c r="D41" s="72">
        <v>145</v>
      </c>
      <c r="E41" s="19">
        <v>148.06718045112783</v>
      </c>
      <c r="F41" s="20">
        <f t="shared" si="6"/>
        <v>23.849823529411765</v>
      </c>
      <c r="G41" s="21">
        <f t="shared" si="6"/>
        <v>20.78264307828394</v>
      </c>
      <c r="H41" s="22">
        <f t="shared" si="7"/>
        <v>0.16448154158215011</v>
      </c>
      <c r="I41" s="23">
        <f t="shared" si="8"/>
        <v>0.14035955175862633</v>
      </c>
      <c r="J41" s="24"/>
    </row>
    <row r="42" spans="2:10" x14ac:dyDescent="0.25">
      <c r="B42" s="18" t="s">
        <v>29</v>
      </c>
      <c r="C42" s="73">
        <v>-1991.54</v>
      </c>
      <c r="D42" s="73">
        <v>-2265.1431851491625</v>
      </c>
      <c r="E42" s="73">
        <v>-2000.57</v>
      </c>
      <c r="F42" s="20">
        <f t="shared" si="6"/>
        <v>273.60318514916253</v>
      </c>
      <c r="G42" s="21">
        <f t="shared" si="6"/>
        <v>9.0299999999999727</v>
      </c>
      <c r="H42" s="22">
        <f t="shared" si="7"/>
        <v>0.12078847242106923</v>
      </c>
      <c r="I42" s="23">
        <f t="shared" si="8"/>
        <v>4.5137135916263728E-3</v>
      </c>
      <c r="J42" s="24"/>
    </row>
    <row r="43" spans="2:10" x14ac:dyDescent="0.25">
      <c r="B43" s="18" t="s">
        <v>30</v>
      </c>
      <c r="C43" s="19">
        <v>50289.38</v>
      </c>
      <c r="D43" s="19">
        <v>53383.669458355253</v>
      </c>
      <c r="E43" s="19">
        <v>51193.659999999996</v>
      </c>
      <c r="F43" s="20">
        <f t="shared" si="6"/>
        <v>-3094.2894583552552</v>
      </c>
      <c r="G43" s="21">
        <f t="shared" si="6"/>
        <v>-904.27999999999884</v>
      </c>
      <c r="H43" s="22">
        <f t="shared" si="7"/>
        <v>-5.7963221519815512E-2</v>
      </c>
      <c r="I43" s="23">
        <f t="shared" si="8"/>
        <v>-1.7663906038364884E-2</v>
      </c>
      <c r="J43" s="24"/>
    </row>
    <row r="44" spans="2:10" x14ac:dyDescent="0.25">
      <c r="B44" s="74" t="s">
        <v>31</v>
      </c>
      <c r="C44" s="19">
        <v>29796.5</v>
      </c>
      <c r="D44" s="19">
        <v>31392.277494331069</v>
      </c>
      <c r="E44" s="19">
        <v>26582.1</v>
      </c>
      <c r="F44" s="20">
        <f t="shared" si="6"/>
        <v>-1595.7774943310687</v>
      </c>
      <c r="G44" s="21">
        <f t="shared" si="6"/>
        <v>3214.4000000000015</v>
      </c>
      <c r="H44" s="22">
        <f t="shared" si="7"/>
        <v>-5.0833441269727567E-2</v>
      </c>
      <c r="I44" s="23">
        <f t="shared" si="8"/>
        <v>0.12092347858145149</v>
      </c>
      <c r="J44" s="24"/>
    </row>
    <row r="45" spans="2:10" x14ac:dyDescent="0.25">
      <c r="B45" s="74" t="s">
        <v>32</v>
      </c>
      <c r="C45" s="19">
        <v>20492.88</v>
      </c>
      <c r="D45" s="19">
        <v>21991.391964024191</v>
      </c>
      <c r="E45" s="19">
        <v>24611.559999999998</v>
      </c>
      <c r="F45" s="20">
        <f t="shared" si="6"/>
        <v>-1498.5119640241901</v>
      </c>
      <c r="G45" s="21">
        <f t="shared" si="6"/>
        <v>-4118.6799999999967</v>
      </c>
      <c r="H45" s="22">
        <f t="shared" si="7"/>
        <v>-6.8140841947413419E-2</v>
      </c>
      <c r="I45" s="23">
        <f t="shared" si="8"/>
        <v>-0.16734737659863888</v>
      </c>
      <c r="J45" s="24"/>
    </row>
    <row r="46" spans="2:10" x14ac:dyDescent="0.25">
      <c r="B46" s="18" t="s">
        <v>33</v>
      </c>
      <c r="C46" s="75">
        <f>+C43/C38</f>
        <v>0.40047589450208859</v>
      </c>
      <c r="D46" s="75">
        <f>+D43/D38</f>
        <v>0.34118508109868589</v>
      </c>
      <c r="E46" s="75">
        <f>+E43/E38</f>
        <v>0.34950699755970233</v>
      </c>
      <c r="F46" s="28">
        <f t="shared" si="6"/>
        <v>5.9290813403402698E-2</v>
      </c>
      <c r="G46" s="29">
        <f t="shared" si="6"/>
        <v>5.0968896942386266E-2</v>
      </c>
      <c r="H46" s="22">
        <f t="shared" si="7"/>
        <v>0.17377903281255477</v>
      </c>
      <c r="I46" s="23">
        <f t="shared" si="8"/>
        <v>0.14583083399833741</v>
      </c>
      <c r="J46" s="24"/>
    </row>
    <row r="47" spans="2:10" x14ac:dyDescent="0.25">
      <c r="B47" s="76" t="s">
        <v>34</v>
      </c>
      <c r="C47" s="77">
        <v>5432.3600000000006</v>
      </c>
      <c r="D47" s="77">
        <v>4822.7083333333339</v>
      </c>
      <c r="E47" s="77">
        <v>4878.18</v>
      </c>
      <c r="F47" s="45">
        <f t="shared" si="6"/>
        <v>609.65166666666664</v>
      </c>
      <c r="G47" s="46">
        <f t="shared" si="6"/>
        <v>554.18000000000029</v>
      </c>
      <c r="H47" s="78">
        <f t="shared" si="7"/>
        <v>0.12641271761199185</v>
      </c>
      <c r="I47" s="48">
        <f t="shared" si="8"/>
        <v>0.11360384405659493</v>
      </c>
      <c r="J47" s="49"/>
    </row>
    <row r="48" spans="2:10" x14ac:dyDescent="0.25">
      <c r="C48" s="50"/>
      <c r="D48" s="50"/>
      <c r="E48" s="50"/>
      <c r="F48" s="50"/>
      <c r="G48" s="50"/>
      <c r="H48" s="50"/>
      <c r="I48" s="50"/>
    </row>
    <row r="49" spans="2:10" x14ac:dyDescent="0.25">
      <c r="B49" s="79" t="s">
        <v>35</v>
      </c>
      <c r="C49" s="80" t="s">
        <v>1</v>
      </c>
      <c r="D49" s="80" t="s">
        <v>2</v>
      </c>
      <c r="E49" s="80">
        <f>$E$3</f>
        <v>2023</v>
      </c>
      <c r="F49" s="81" t="s">
        <v>3</v>
      </c>
      <c r="G49" s="82" t="str">
        <f>$G$3</f>
        <v>▲2023</v>
      </c>
      <c r="H49" s="81" t="s">
        <v>5</v>
      </c>
      <c r="I49" s="82" t="str">
        <f>$I$3</f>
        <v>% ▲ 2023</v>
      </c>
      <c r="J49" s="83" t="s">
        <v>7</v>
      </c>
    </row>
    <row r="50" spans="2:10" ht="14.45" customHeight="1" x14ac:dyDescent="0.25">
      <c r="B50" s="84" t="s">
        <v>25</v>
      </c>
      <c r="C50" s="67">
        <v>265516.05</v>
      </c>
      <c r="D50" s="67">
        <v>305500.8717914127</v>
      </c>
      <c r="E50" s="67">
        <v>253167.15</v>
      </c>
      <c r="F50" s="68">
        <f t="shared" ref="F50:G59" si="9">+IFERROR($C50-D50,"")</f>
        <v>-39984.821791412716</v>
      </c>
      <c r="G50" s="69">
        <f t="shared" si="9"/>
        <v>12348.899999999994</v>
      </c>
      <c r="H50" s="15">
        <f t="shared" ref="H50:H59" si="10">+IFERROR(F50/ABS($D50),"")</f>
        <v>-0.13088284022545513</v>
      </c>
      <c r="I50" s="16">
        <f t="shared" ref="I50:I59" si="11">+IFERROR(G50/ABS($E50),"")</f>
        <v>4.8777655394864596E-2</v>
      </c>
      <c r="J50" s="17"/>
    </row>
    <row r="51" spans="2:10" x14ac:dyDescent="0.25">
      <c r="B51" s="85" t="s">
        <v>36</v>
      </c>
      <c r="C51" s="19">
        <v>61151.799999999996</v>
      </c>
      <c r="D51" s="19">
        <v>67995.962632215334</v>
      </c>
      <c r="E51" s="19">
        <v>61541.45</v>
      </c>
      <c r="F51" s="20">
        <f t="shared" si="9"/>
        <v>-6844.1626322153388</v>
      </c>
      <c r="G51" s="21">
        <f t="shared" si="9"/>
        <v>-389.65000000000146</v>
      </c>
      <c r="H51" s="22">
        <f t="shared" si="10"/>
        <v>-0.10065542669400625</v>
      </c>
      <c r="I51" s="23">
        <f t="shared" si="11"/>
        <v>-6.3315050262871845E-3</v>
      </c>
      <c r="J51" s="24"/>
    </row>
    <row r="52" spans="2:10" x14ac:dyDescent="0.25">
      <c r="B52" s="85" t="s">
        <v>37</v>
      </c>
      <c r="C52" s="19">
        <v>52884.57</v>
      </c>
      <c r="D52" s="19">
        <v>58458.697915000506</v>
      </c>
      <c r="E52" s="19">
        <v>62414.93</v>
      </c>
      <c r="F52" s="20">
        <f t="shared" si="9"/>
        <v>-5574.1279150005066</v>
      </c>
      <c r="G52" s="21">
        <f t="shared" si="9"/>
        <v>-9530.36</v>
      </c>
      <c r="H52" s="22">
        <f t="shared" si="10"/>
        <v>-9.5351557831570941E-2</v>
      </c>
      <c r="I52" s="23">
        <f t="shared" si="11"/>
        <v>-0.15269359430508053</v>
      </c>
      <c r="J52" s="24"/>
    </row>
    <row r="53" spans="2:10" x14ac:dyDescent="0.25">
      <c r="B53" s="85" t="s">
        <v>38</v>
      </c>
      <c r="C53" s="19">
        <v>58077.85</v>
      </c>
      <c r="D53" s="19">
        <v>67480.522234823162</v>
      </c>
      <c r="E53" s="19">
        <v>55559.15</v>
      </c>
      <c r="F53" s="20">
        <f t="shared" si="9"/>
        <v>-9402.6722348231633</v>
      </c>
      <c r="G53" s="21">
        <f t="shared" si="9"/>
        <v>2518.6999999999971</v>
      </c>
      <c r="H53" s="22">
        <f t="shared" si="10"/>
        <v>-0.13933905552928483</v>
      </c>
      <c r="I53" s="23">
        <f t="shared" si="11"/>
        <v>4.5333666911750753E-2</v>
      </c>
      <c r="J53" s="24"/>
    </row>
    <row r="54" spans="2:10" x14ac:dyDescent="0.25">
      <c r="B54" s="85" t="s">
        <v>39</v>
      </c>
      <c r="C54" s="19">
        <v>46274.18</v>
      </c>
      <c r="D54" s="19">
        <v>50772.025113637625</v>
      </c>
      <c r="E54" s="19">
        <v>31575.05</v>
      </c>
      <c r="F54" s="20">
        <f t="shared" si="9"/>
        <v>-4497.8451136376243</v>
      </c>
      <c r="G54" s="21">
        <f t="shared" si="9"/>
        <v>14699.130000000001</v>
      </c>
      <c r="H54" s="22">
        <f t="shared" si="10"/>
        <v>-8.8589042953685138E-2</v>
      </c>
      <c r="I54" s="23">
        <f t="shared" si="11"/>
        <v>0.46552990414900375</v>
      </c>
      <c r="J54" s="24"/>
    </row>
    <row r="55" spans="2:10" x14ac:dyDescent="0.25">
      <c r="B55" s="85" t="s">
        <v>40</v>
      </c>
      <c r="C55" s="19">
        <f>+C50-SUM(C51:C54)</f>
        <v>47127.649999999994</v>
      </c>
      <c r="D55" s="19">
        <f>+D50-SUM(D51:D54)</f>
        <v>60793.663895736099</v>
      </c>
      <c r="E55" s="19">
        <f>+E50-SUM(E51:E54)</f>
        <v>42076.570000000007</v>
      </c>
      <c r="F55" s="20">
        <f t="shared" si="9"/>
        <v>-13666.013895736105</v>
      </c>
      <c r="G55" s="21">
        <f t="shared" si="9"/>
        <v>5051.0799999999872</v>
      </c>
      <c r="H55" s="22">
        <f t="shared" si="10"/>
        <v>-0.22479339161353953</v>
      </c>
      <c r="I55" s="23">
        <f t="shared" si="11"/>
        <v>0.12004495613592045</v>
      </c>
      <c r="J55" s="24"/>
    </row>
    <row r="56" spans="2:10" x14ac:dyDescent="0.25">
      <c r="B56" s="56" t="s">
        <v>26</v>
      </c>
      <c r="C56" s="67">
        <v>81125.47</v>
      </c>
      <c r="D56" s="67">
        <v>99102.077110869504</v>
      </c>
      <c r="E56" s="67">
        <v>84532.38</v>
      </c>
      <c r="F56" s="68">
        <f t="shared" si="9"/>
        <v>-17976.607110869503</v>
      </c>
      <c r="G56" s="69">
        <f t="shared" si="9"/>
        <v>-3406.9100000000035</v>
      </c>
      <c r="H56" s="70">
        <f t="shared" si="10"/>
        <v>-0.1813948570498512</v>
      </c>
      <c r="I56" s="71">
        <f t="shared" si="11"/>
        <v>-4.0303017612895828E-2</v>
      </c>
      <c r="J56" s="24"/>
    </row>
    <row r="57" spans="2:10" x14ac:dyDescent="0.25">
      <c r="B57" s="18" t="s">
        <v>27</v>
      </c>
      <c r="C57" s="19">
        <v>389.50191082802547</v>
      </c>
      <c r="D57" s="72">
        <v>301</v>
      </c>
      <c r="E57" s="19">
        <v>351.66542857142855</v>
      </c>
      <c r="F57" s="20">
        <f t="shared" si="9"/>
        <v>88.501910828025473</v>
      </c>
      <c r="G57" s="21">
        <f t="shared" si="9"/>
        <v>37.836482256596923</v>
      </c>
      <c r="H57" s="22">
        <f t="shared" si="10"/>
        <v>0.29402628182068263</v>
      </c>
      <c r="I57" s="23">
        <f t="shared" si="11"/>
        <v>0.10759227146751436</v>
      </c>
      <c r="J57" s="24"/>
    </row>
    <row r="58" spans="2:10" x14ac:dyDescent="0.25">
      <c r="B58" s="18" t="s">
        <v>28</v>
      </c>
      <c r="C58" s="19">
        <v>311.08570588235295</v>
      </c>
      <c r="D58" s="72">
        <v>306</v>
      </c>
      <c r="E58" s="19">
        <v>234.64259398496242</v>
      </c>
      <c r="F58" s="20">
        <f t="shared" si="9"/>
        <v>5.0857058823529542</v>
      </c>
      <c r="G58" s="21">
        <f t="shared" si="9"/>
        <v>76.443111897390537</v>
      </c>
      <c r="H58" s="22">
        <f t="shared" si="10"/>
        <v>1.6619953863898543E-2</v>
      </c>
      <c r="I58" s="23">
        <f t="shared" si="11"/>
        <v>0.3257853171461681</v>
      </c>
      <c r="J58" s="24"/>
    </row>
    <row r="59" spans="2:10" x14ac:dyDescent="0.25">
      <c r="B59" s="76" t="s">
        <v>41</v>
      </c>
      <c r="C59" s="77">
        <v>10283.9</v>
      </c>
      <c r="D59" s="77">
        <v>12599.213740458015</v>
      </c>
      <c r="E59" s="77">
        <v>13262.32</v>
      </c>
      <c r="F59" s="45">
        <f t="shared" si="9"/>
        <v>-2315.3137404580157</v>
      </c>
      <c r="G59" s="46">
        <f t="shared" si="9"/>
        <v>-2978.42</v>
      </c>
      <c r="H59" s="78">
        <f t="shared" si="10"/>
        <v>-0.18376652608274965</v>
      </c>
      <c r="I59" s="86">
        <f t="shared" si="11"/>
        <v>-0.22457760029919352</v>
      </c>
      <c r="J59" s="49"/>
    </row>
    <row r="61" spans="2:10" x14ac:dyDescent="0.25">
      <c r="B61" s="87" t="s">
        <v>42</v>
      </c>
      <c r="C61" s="88" t="s">
        <v>1</v>
      </c>
      <c r="D61" s="88" t="s">
        <v>2</v>
      </c>
      <c r="E61" s="88">
        <f>$E$3</f>
        <v>2023</v>
      </c>
      <c r="F61" s="89" t="s">
        <v>3</v>
      </c>
      <c r="G61" s="90" t="str">
        <f>$G$3</f>
        <v>▲2023</v>
      </c>
      <c r="H61" s="89" t="s">
        <v>5</v>
      </c>
      <c r="I61" s="90" t="str">
        <f>$I$3</f>
        <v>% ▲ 2023</v>
      </c>
      <c r="J61" s="91" t="s">
        <v>7</v>
      </c>
    </row>
    <row r="62" spans="2:10" ht="18" customHeight="1" x14ac:dyDescent="0.25">
      <c r="B62" s="92" t="s">
        <v>43</v>
      </c>
      <c r="C62" s="93">
        <v>0.45822860839650092</v>
      </c>
      <c r="D62" s="93">
        <v>0.35577339274738112</v>
      </c>
      <c r="E62" s="93">
        <v>0.34321804747990725</v>
      </c>
      <c r="F62" s="28">
        <f t="shared" ref="F62:G67" si="12">+IFERROR($C62-D62,"")</f>
        <v>0.1024552156491198</v>
      </c>
      <c r="G62" s="29">
        <f t="shared" si="12"/>
        <v>0.11501056091659367</v>
      </c>
      <c r="H62" s="22">
        <f t="shared" ref="H62:H67" si="13">+IFERROR(F62/ABS($D62),"")</f>
        <v>0.28797885884026381</v>
      </c>
      <c r="I62" s="23">
        <f t="shared" ref="I62:I67" si="14">+IFERROR(G62/ABS($E62),"")</f>
        <v>0.3350947357257682</v>
      </c>
      <c r="J62" s="17" t="s">
        <v>44</v>
      </c>
    </row>
    <row r="63" spans="2:10" x14ac:dyDescent="0.25">
      <c r="B63" s="94" t="s">
        <v>45</v>
      </c>
      <c r="C63" s="95">
        <v>22.5</v>
      </c>
      <c r="D63" s="95">
        <v>23.5</v>
      </c>
      <c r="E63" s="95">
        <v>23.5</v>
      </c>
      <c r="F63" s="96">
        <f t="shared" si="12"/>
        <v>-1</v>
      </c>
      <c r="G63" s="97">
        <f t="shared" si="12"/>
        <v>-1</v>
      </c>
      <c r="H63" s="22">
        <f t="shared" si="13"/>
        <v>-4.2553191489361701E-2</v>
      </c>
      <c r="I63" s="23">
        <f t="shared" si="14"/>
        <v>-4.2553191489361701E-2</v>
      </c>
      <c r="J63" s="24"/>
    </row>
    <row r="64" spans="2:10" x14ac:dyDescent="0.25">
      <c r="B64" s="92" t="s">
        <v>46</v>
      </c>
      <c r="C64" s="19">
        <v>22148.080000000002</v>
      </c>
      <c r="D64" s="19">
        <v>23758.297377837232</v>
      </c>
      <c r="E64" s="19">
        <v>23119</v>
      </c>
      <c r="F64" s="20">
        <f t="shared" si="12"/>
        <v>-1610.2173778372307</v>
      </c>
      <c r="G64" s="21">
        <f t="shared" si="12"/>
        <v>-970.91999999999825</v>
      </c>
      <c r="H64" s="22">
        <f t="shared" si="13"/>
        <v>-6.7774948357171044E-2</v>
      </c>
      <c r="I64" s="23">
        <f t="shared" si="14"/>
        <v>-4.1996626151650084E-2</v>
      </c>
      <c r="J64" s="24"/>
    </row>
    <row r="65" spans="2:10" x14ac:dyDescent="0.25">
      <c r="B65" s="92" t="s">
        <v>47</v>
      </c>
      <c r="C65" s="19">
        <v>63655.63</v>
      </c>
      <c r="D65" s="19">
        <v>62324.083687247563</v>
      </c>
      <c r="E65" s="19">
        <v>68078.459999999992</v>
      </c>
      <c r="F65" s="20">
        <f t="shared" si="12"/>
        <v>1331.5463127524345</v>
      </c>
      <c r="G65" s="21">
        <f t="shared" si="12"/>
        <v>-4422.8299999999945</v>
      </c>
      <c r="H65" s="22">
        <f t="shared" si="13"/>
        <v>2.1364875887054376E-2</v>
      </c>
      <c r="I65" s="23">
        <f t="shared" si="14"/>
        <v>-6.4966657588905435E-2</v>
      </c>
      <c r="J65" s="24"/>
    </row>
    <row r="66" spans="2:10" x14ac:dyDescent="0.25">
      <c r="B66" s="92" t="s">
        <v>48</v>
      </c>
      <c r="C66" s="19">
        <v>40488.15</v>
      </c>
      <c r="D66" s="19">
        <v>33966.941087394611</v>
      </c>
      <c r="E66" s="19">
        <v>11052.01</v>
      </c>
      <c r="F66" s="20">
        <f t="shared" si="12"/>
        <v>6521.2089126053907</v>
      </c>
      <c r="G66" s="21">
        <f t="shared" si="12"/>
        <v>29436.14</v>
      </c>
      <c r="H66" s="22">
        <f t="shared" si="13"/>
        <v>0.19198693505625858</v>
      </c>
      <c r="I66" s="23">
        <f t="shared" si="14"/>
        <v>2.6634195951686617</v>
      </c>
      <c r="J66" s="24"/>
    </row>
    <row r="67" spans="2:10" x14ac:dyDescent="0.25">
      <c r="B67" s="98" t="s">
        <v>49</v>
      </c>
      <c r="C67" s="77">
        <v>15764.87999999999</v>
      </c>
      <c r="D67" s="77">
        <v>20119.78283076924</v>
      </c>
      <c r="E67" s="77">
        <v>24370.89</v>
      </c>
      <c r="F67" s="45">
        <f t="shared" si="12"/>
        <v>-4354.9028307692497</v>
      </c>
      <c r="G67" s="46">
        <f t="shared" si="12"/>
        <v>-8606.0100000000093</v>
      </c>
      <c r="H67" s="47">
        <f t="shared" si="13"/>
        <v>-0.21644879904515096</v>
      </c>
      <c r="I67" s="48">
        <f t="shared" si="14"/>
        <v>-0.35312661950384289</v>
      </c>
      <c r="J67" s="49"/>
    </row>
    <row r="69" spans="2:10" x14ac:dyDescent="0.25">
      <c r="B69" s="99" t="s">
        <v>50</v>
      </c>
      <c r="C69" s="100" t="s">
        <v>1</v>
      </c>
      <c r="D69" s="100" t="s">
        <v>2</v>
      </c>
      <c r="E69" s="100">
        <f>$E$3</f>
        <v>2023</v>
      </c>
      <c r="F69" s="101" t="s">
        <v>3</v>
      </c>
      <c r="G69" s="102" t="str">
        <f>$G$3</f>
        <v>▲2023</v>
      </c>
      <c r="H69" s="101" t="s">
        <v>5</v>
      </c>
      <c r="I69" s="102" t="str">
        <f>$I$3</f>
        <v>% ▲ 2023</v>
      </c>
      <c r="J69" s="103" t="s">
        <v>7</v>
      </c>
    </row>
    <row r="70" spans="2:10" ht="15" customHeight="1" x14ac:dyDescent="0.25">
      <c r="B70" s="104" t="s">
        <v>51</v>
      </c>
      <c r="C70" s="105">
        <v>100656.49</v>
      </c>
      <c r="D70" s="105">
        <v>119215.49871408816</v>
      </c>
      <c r="E70" s="105">
        <v>119865.69</v>
      </c>
      <c r="F70" s="106">
        <f t="shared" ref="F70:G77" si="15">+IFERROR($C70-D70,"")</f>
        <v>-18559.008714088151</v>
      </c>
      <c r="G70" s="107">
        <f t="shared" si="15"/>
        <v>-19209.199999999997</v>
      </c>
      <c r="H70" s="28">
        <f t="shared" ref="H70:H77" si="16">+IFERROR(F70/ABS($D70),"")</f>
        <v>-0.15567614038672778</v>
      </c>
      <c r="I70" s="42">
        <f t="shared" ref="I70:I77" si="17">+IFERROR(G70/ABS($E70),"")</f>
        <v>-0.16025603323186141</v>
      </c>
      <c r="J70" s="17"/>
    </row>
    <row r="71" spans="2:10" x14ac:dyDescent="0.25">
      <c r="B71" s="104" t="s">
        <v>52</v>
      </c>
      <c r="C71" s="93">
        <v>0.3062386449529223</v>
      </c>
      <c r="D71" s="93">
        <v>0.26807307119521495</v>
      </c>
      <c r="E71" s="93">
        <v>0.26515619460390527</v>
      </c>
      <c r="F71" s="28">
        <f t="shared" si="15"/>
        <v>3.816557375770735E-2</v>
      </c>
      <c r="G71" s="29">
        <f t="shared" si="15"/>
        <v>4.108245034901703E-2</v>
      </c>
      <c r="H71" s="28">
        <f t="shared" si="16"/>
        <v>0.14237003958489583</v>
      </c>
      <c r="I71" s="42">
        <f t="shared" si="17"/>
        <v>0.15493679267190674</v>
      </c>
      <c r="J71" s="24"/>
    </row>
    <row r="72" spans="2:10" x14ac:dyDescent="0.25">
      <c r="B72" s="104" t="s">
        <v>53</v>
      </c>
      <c r="C72" s="19">
        <v>266436.87</v>
      </c>
      <c r="D72" s="19">
        <v>276029.21566840977</v>
      </c>
      <c r="E72" s="19">
        <v>272604.74000000005</v>
      </c>
      <c r="F72" s="108">
        <f t="shared" si="15"/>
        <v>-9592.3456684097764</v>
      </c>
      <c r="G72" s="109">
        <f t="shared" si="15"/>
        <v>-6167.8700000000536</v>
      </c>
      <c r="H72" s="28">
        <f>+IFERROR(F72/ABS($D72),"")</f>
        <v>-3.4751197061447775E-2</v>
      </c>
      <c r="I72" s="42">
        <f t="shared" si="17"/>
        <v>-2.2625688753614676E-2</v>
      </c>
      <c r="J72" s="24"/>
    </row>
    <row r="73" spans="2:10" x14ac:dyDescent="0.25">
      <c r="B73" s="104" t="s">
        <v>54</v>
      </c>
      <c r="C73" s="93">
        <v>0.81061107966607926</v>
      </c>
      <c r="D73" s="93">
        <v>0.62069110461299914</v>
      </c>
      <c r="E73" s="93">
        <v>0.6030319058722059</v>
      </c>
      <c r="F73" s="28">
        <f t="shared" si="15"/>
        <v>0.18991997505308011</v>
      </c>
      <c r="G73" s="29">
        <f t="shared" si="15"/>
        <v>0.20757917379387336</v>
      </c>
      <c r="H73" s="28">
        <f t="shared" si="16"/>
        <v>0.3059814674990311</v>
      </c>
      <c r="I73" s="42">
        <f t="shared" si="17"/>
        <v>0.34422585566784819</v>
      </c>
      <c r="J73" s="24"/>
    </row>
    <row r="74" spans="2:10" s="110" customFormat="1" x14ac:dyDescent="0.25">
      <c r="B74" s="84" t="s">
        <v>55</v>
      </c>
      <c r="C74" s="67">
        <v>65888.189999999973</v>
      </c>
      <c r="D74" s="67">
        <v>166256.75666745802</v>
      </c>
      <c r="E74" s="67">
        <v>176251.98999999958</v>
      </c>
      <c r="F74" s="68">
        <f t="shared" si="15"/>
        <v>-100368.56666745804</v>
      </c>
      <c r="G74" s="69">
        <f t="shared" si="15"/>
        <v>-110363.79999999961</v>
      </c>
      <c r="H74" s="70">
        <f t="shared" si="16"/>
        <v>-0.60369616657572822</v>
      </c>
      <c r="I74" s="71">
        <f t="shared" si="17"/>
        <v>-0.62617051869882356</v>
      </c>
      <c r="J74" s="24"/>
    </row>
    <row r="75" spans="2:10" x14ac:dyDescent="0.25">
      <c r="B75" s="18" t="s">
        <v>56</v>
      </c>
      <c r="C75" s="111">
        <v>1.8404303242624521E-2</v>
      </c>
      <c r="D75" s="111">
        <v>4.0606821079145324E-2</v>
      </c>
      <c r="E75" s="111">
        <v>4.6069943605013701E-2</v>
      </c>
      <c r="F75" s="112">
        <f t="shared" si="15"/>
        <v>-2.2202517836520802E-2</v>
      </c>
      <c r="G75" s="113">
        <f t="shared" si="15"/>
        <v>-2.7665640362389179E-2</v>
      </c>
      <c r="H75" s="22">
        <f t="shared" si="16"/>
        <v>-0.54676818442021491</v>
      </c>
      <c r="I75" s="23">
        <f t="shared" si="17"/>
        <v>-0.60051387515435084</v>
      </c>
      <c r="J75" s="24"/>
    </row>
    <row r="76" spans="2:10" s="110" customFormat="1" x14ac:dyDescent="0.25">
      <c r="B76" s="84" t="s">
        <v>57</v>
      </c>
      <c r="C76" s="67">
        <v>11345.609999999979</v>
      </c>
      <c r="D76" s="67">
        <v>120213.25820301424</v>
      </c>
      <c r="E76" s="67">
        <v>145679.97999999957</v>
      </c>
      <c r="F76" s="68">
        <f t="shared" si="15"/>
        <v>-108867.64820301425</v>
      </c>
      <c r="G76" s="69">
        <f t="shared" si="15"/>
        <v>-134334.36999999959</v>
      </c>
      <c r="H76" s="70">
        <f t="shared" si="16"/>
        <v>-0.90562097584245072</v>
      </c>
      <c r="I76" s="71">
        <f t="shared" si="17"/>
        <v>-0.92211963510703376</v>
      </c>
      <c r="J76" s="24"/>
    </row>
    <row r="77" spans="2:10" x14ac:dyDescent="0.25">
      <c r="B77" s="114" t="s">
        <v>58</v>
      </c>
      <c r="C77" s="115">
        <v>3.1691270759229067E-3</v>
      </c>
      <c r="D77" s="115">
        <v>2.936108200976572E-2</v>
      </c>
      <c r="E77" s="115">
        <v>3.8078823751036911E-2</v>
      </c>
      <c r="F77" s="116">
        <f t="shared" si="15"/>
        <v>-2.6191954933842812E-2</v>
      </c>
      <c r="G77" s="117">
        <f t="shared" si="15"/>
        <v>-3.4909696675114003E-2</v>
      </c>
      <c r="H77" s="78">
        <f t="shared" si="16"/>
        <v>-0.8920636822965573</v>
      </c>
      <c r="I77" s="86">
        <f t="shared" si="17"/>
        <v>-0.91677455436536137</v>
      </c>
      <c r="J77" s="49"/>
    </row>
  </sheetData>
  <mergeCells count="7">
    <mergeCell ref="J70:J77"/>
    <mergeCell ref="B1:J1"/>
    <mergeCell ref="J4:J18"/>
    <mergeCell ref="J21:J35"/>
    <mergeCell ref="J38:J47"/>
    <mergeCell ref="J50:J59"/>
    <mergeCell ref="J62:J67"/>
  </mergeCells>
  <conditionalFormatting sqref="H4:I4 H6:I6 H10:I10 H21:I21 H23:I23 H27:I27 H38:I39 H50:I50 H56:I56 H74:I74 H76:I76">
    <cfRule type="cellIs" dxfId="0" priority="1" operator="lessThan">
      <formula>0</formula>
    </cfRule>
  </conditionalFormatting>
  <printOptions horizontalCentered="1"/>
  <pageMargins left="0.59055118110236227" right="0.59055118110236227" top="0.39370078740157483" bottom="0.39370078740157483" header="0" footer="0"/>
  <pageSetup paperSize="3" fitToHeight="0" orientation="landscape" r:id="rId1"/>
  <rowBreaks count="1" manualBreakCount="1">
    <brk id="35" max="1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2pager</vt:lpstr>
      <vt:lpstr>'2pager'!Impression_des_titres</vt:lpstr>
      <vt:lpstr>'2pager'!Zone_d_impression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2024-07-11T15:43:40Z</dcterms:created>
  <dcterms:modified xsi:type="dcterms:W3CDTF">2024-07-11T15:44:08Z</dcterms:modified>
</cp:coreProperties>
</file>