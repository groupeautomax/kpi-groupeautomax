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5C394C3A-1044-4798-AF68-86C3F811910D}" xr6:coauthVersionLast="47" xr6:coauthVersionMax="47" xr10:uidLastSave="{00000000-0000-0000-0000-000000000000}"/>
  <bookViews>
    <workbookView xWindow="28680" yWindow="-120" windowWidth="29040" windowHeight="15720" xr2:uid="{7AE765B9-7627-4DC2-B810-8EBFBC8AFE2D}"/>
  </bookViews>
  <sheets>
    <sheet name="2pager" sheetId="1" r:id="rId1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hidden="1">OFFSET(#REF!,5,0,COUNTA(#REF!)-COUNTA(#REF!),1)</definedName>
    <definedName name="DateRangePrice" hidden="1">OFFSET(#REF!,5,0,COUNTA(#REF!)-COUNTA(#REF!),1)</definedName>
    <definedName name="DateRangePrice1" hidden="1">OFFSET(#REF!,5,0,COUNTA(#REF!)-COUNTA(#REF!),1)</definedName>
    <definedName name="DateRangePrice2" hidden="1">OFFSET(#REF!,5,0,COUNTA(#REF!)-COUNTA(#REF!),1)</definedName>
    <definedName name="ERT" localSheetId="0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0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0" hidden="1">{"finana",#N/A,FALSE,"Fin"}</definedName>
    <definedName name="kjjkghkhj" hidden="1">{"finana",#N/A,FALSE,"Fin"}</definedName>
    <definedName name="limcount" hidden="1">1</definedName>
    <definedName name="lkhkhj" localSheetId="0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0" hidden="1">{"execsum",#N/A,FALSE,"ExecSum";"finstatement",#N/A,FALSE,"Fin_St"}</definedName>
    <definedName name="test" hidden="1">{"execsum",#N/A,FALSE,"ExecSum";"finstatement",#N/A,FALSE,"Fin_St"}</definedName>
    <definedName name="test21" hidden="1">OFFSET(#REF!,5,0,COUNTA(#REF!)-COUNTA(#REF!),1)</definedName>
    <definedName name="Ticker" hidden="1">#N/A</definedName>
    <definedName name="Titre">#REF!</definedName>
    <definedName name="value" hidden="1">OFFSET(#REF!,5,0,COUNTA(#REF!)-COUNTA(#REF!),1)</definedName>
    <definedName name="value2" hidden="1">OFFSET(#REF!,5,0,COUNTA(#REF!)-COUNTA(#REF!),1)</definedName>
    <definedName name="wrn.amendement." localSheetId="0" hidden="1">{#N/A,#N/A,FALSE,"amendement"}</definedName>
    <definedName name="wrn.amendement." hidden="1">{#N/A,#N/A,FALSE,"amendement"}</definedName>
    <definedName name="wrn.amendement.." localSheetId="0" hidden="1">{#N/A,#N/A,FALSE,"amendement"}</definedName>
    <definedName name="wrn.amendement.." hidden="1">{#N/A,#N/A,FALSE,"amendement"}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0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0" hidden="1">{"finana",#N/A,FALSE,"Fin"}</definedName>
    <definedName name="wrn.Finanalysis." hidden="1">{"finana",#N/A,FALSE,"Fin"}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0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0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0">'2pager'!$A$1:$K$78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6" i="1" l="1"/>
  <c r="H76" i="1" s="1"/>
  <c r="G75" i="1"/>
  <c r="I75" i="1" s="1"/>
  <c r="G74" i="1"/>
  <c r="I74" i="1" s="1"/>
  <c r="F74" i="1"/>
  <c r="H74" i="1" s="1"/>
  <c r="G73" i="1"/>
  <c r="I73" i="1" s="1"/>
  <c r="G72" i="1"/>
  <c r="I72" i="1" s="1"/>
  <c r="I69" i="1"/>
  <c r="G69" i="1"/>
  <c r="E69" i="1"/>
  <c r="G66" i="1"/>
  <c r="I66" i="1" s="1"/>
  <c r="F66" i="1"/>
  <c r="H66" i="1" s="1"/>
  <c r="F65" i="1"/>
  <c r="H65" i="1" s="1"/>
  <c r="G64" i="1"/>
  <c r="I64" i="1" s="1"/>
  <c r="F64" i="1"/>
  <c r="H64" i="1" s="1"/>
  <c r="G63" i="1"/>
  <c r="I63" i="1" s="1"/>
  <c r="F63" i="1"/>
  <c r="H63" i="1" s="1"/>
  <c r="F62" i="1"/>
  <c r="H62" i="1" s="1"/>
  <c r="G62" i="1"/>
  <c r="I62" i="1" s="1"/>
  <c r="I61" i="1"/>
  <c r="G61" i="1"/>
  <c r="E61" i="1"/>
  <c r="G59" i="1"/>
  <c r="I59" i="1" s="1"/>
  <c r="G58" i="1"/>
  <c r="I58" i="1" s="1"/>
  <c r="F57" i="1"/>
  <c r="H57" i="1" s="1"/>
  <c r="G56" i="1"/>
  <c r="I56" i="1" s="1"/>
  <c r="E55" i="1"/>
  <c r="G54" i="1"/>
  <c r="I54" i="1" s="1"/>
  <c r="G53" i="1"/>
  <c r="I53" i="1" s="1"/>
  <c r="F53" i="1"/>
  <c r="H53" i="1" s="1"/>
  <c r="G52" i="1"/>
  <c r="I52" i="1" s="1"/>
  <c r="G51" i="1"/>
  <c r="I51" i="1" s="1"/>
  <c r="G50" i="1"/>
  <c r="I50" i="1" s="1"/>
  <c r="D55" i="1"/>
  <c r="C55" i="1"/>
  <c r="I49" i="1"/>
  <c r="G49" i="1"/>
  <c r="E49" i="1"/>
  <c r="G47" i="1"/>
  <c r="I47" i="1" s="1"/>
  <c r="G45" i="1"/>
  <c r="I45" i="1" s="1"/>
  <c r="F45" i="1"/>
  <c r="H45" i="1" s="1"/>
  <c r="G44" i="1"/>
  <c r="I44" i="1" s="1"/>
  <c r="G43" i="1"/>
  <c r="I43" i="1" s="1"/>
  <c r="F43" i="1"/>
  <c r="H43" i="1" s="1"/>
  <c r="G42" i="1"/>
  <c r="I42" i="1" s="1"/>
  <c r="G41" i="1"/>
  <c r="I41" i="1" s="1"/>
  <c r="F40" i="1"/>
  <c r="H40" i="1" s="1"/>
  <c r="G39" i="1"/>
  <c r="I39" i="1" s="1"/>
  <c r="E46" i="1"/>
  <c r="D46" i="1"/>
  <c r="F38" i="1"/>
  <c r="H38" i="1" s="1"/>
  <c r="I37" i="1"/>
  <c r="G37" i="1"/>
  <c r="E37" i="1"/>
  <c r="G35" i="1"/>
  <c r="I35" i="1" s="1"/>
  <c r="F35" i="1"/>
  <c r="H35" i="1" s="1"/>
  <c r="G34" i="1"/>
  <c r="I34" i="1" s="1"/>
  <c r="F34" i="1"/>
  <c r="H34" i="1" s="1"/>
  <c r="G32" i="1"/>
  <c r="I32" i="1" s="1"/>
  <c r="E29" i="1"/>
  <c r="D29" i="1"/>
  <c r="G28" i="1"/>
  <c r="I28" i="1" s="1"/>
  <c r="E27" i="1"/>
  <c r="D27" i="1"/>
  <c r="F26" i="1"/>
  <c r="H26" i="1" s="1"/>
  <c r="D25" i="1"/>
  <c r="C25" i="1"/>
  <c r="F24" i="1"/>
  <c r="H24" i="1" s="1"/>
  <c r="G24" i="1"/>
  <c r="I24" i="1" s="1"/>
  <c r="G22" i="1"/>
  <c r="I22" i="1" s="1"/>
  <c r="F22" i="1"/>
  <c r="H22" i="1" s="1"/>
  <c r="E23" i="1"/>
  <c r="D23" i="1"/>
  <c r="G21" i="1"/>
  <c r="I21" i="1" s="1"/>
  <c r="I20" i="1"/>
  <c r="G20" i="1"/>
  <c r="E20" i="1"/>
  <c r="G18" i="1"/>
  <c r="I18" i="1" s="1"/>
  <c r="F18" i="1"/>
  <c r="H18" i="1" s="1"/>
  <c r="G17" i="1"/>
  <c r="I17" i="1" s="1"/>
  <c r="F17" i="1"/>
  <c r="H17" i="1" s="1"/>
  <c r="G15" i="1"/>
  <c r="I15" i="1" s="1"/>
  <c r="E12" i="1"/>
  <c r="D12" i="1"/>
  <c r="C12" i="1"/>
  <c r="E10" i="1"/>
  <c r="D10" i="1"/>
  <c r="F9" i="1"/>
  <c r="H9" i="1" s="1"/>
  <c r="C8" i="1"/>
  <c r="E14" i="1"/>
  <c r="D8" i="1"/>
  <c r="G5" i="1"/>
  <c r="I5" i="1" s="1"/>
  <c r="F5" i="1"/>
  <c r="H5" i="1" s="1"/>
  <c r="E6" i="1"/>
  <c r="D6" i="1"/>
  <c r="G4" i="1"/>
  <c r="I4" i="1" s="1"/>
  <c r="F71" i="1" l="1"/>
  <c r="H71" i="1" s="1"/>
  <c r="G71" i="1"/>
  <c r="I71" i="1" s="1"/>
  <c r="G8" i="1"/>
  <c r="I8" i="1" s="1"/>
  <c r="F12" i="1"/>
  <c r="H12" i="1" s="1"/>
  <c r="G12" i="1"/>
  <c r="I12" i="1" s="1"/>
  <c r="F55" i="1"/>
  <c r="H55" i="1" s="1"/>
  <c r="G55" i="1"/>
  <c r="I55" i="1" s="1"/>
  <c r="G77" i="1"/>
  <c r="I77" i="1" s="1"/>
  <c r="G76" i="1"/>
  <c r="I76" i="1" s="1"/>
  <c r="F59" i="1"/>
  <c r="H59" i="1" s="1"/>
  <c r="F50" i="1"/>
  <c r="H50" i="1" s="1"/>
  <c r="F47" i="1"/>
  <c r="H47" i="1" s="1"/>
  <c r="F52" i="1"/>
  <c r="H52" i="1" s="1"/>
  <c r="F73" i="1"/>
  <c r="H73" i="1" s="1"/>
  <c r="F7" i="1"/>
  <c r="H7" i="1" s="1"/>
  <c r="C23" i="1"/>
  <c r="C6" i="1"/>
  <c r="F21" i="1"/>
  <c r="H21" i="1" s="1"/>
  <c r="D31" i="1"/>
  <c r="G40" i="1"/>
  <c r="I40" i="1" s="1"/>
  <c r="F11" i="1"/>
  <c r="H11" i="1" s="1"/>
  <c r="F54" i="1"/>
  <c r="H54" i="1" s="1"/>
  <c r="F75" i="1"/>
  <c r="H75" i="1" s="1"/>
  <c r="F28" i="1"/>
  <c r="H28" i="1" s="1"/>
  <c r="F42" i="1"/>
  <c r="H42" i="1" s="1"/>
  <c r="G7" i="1"/>
  <c r="I7" i="1" s="1"/>
  <c r="G38" i="1"/>
  <c r="I38" i="1" s="1"/>
  <c r="G9" i="1"/>
  <c r="I9" i="1" s="1"/>
  <c r="D14" i="1"/>
  <c r="G11" i="1"/>
  <c r="I11" i="1" s="1"/>
  <c r="C27" i="1"/>
  <c r="F44" i="1"/>
  <c r="H44" i="1" s="1"/>
  <c r="E8" i="1"/>
  <c r="C10" i="1"/>
  <c r="F25" i="1"/>
  <c r="H25" i="1" s="1"/>
  <c r="F56" i="1"/>
  <c r="H56" i="1" s="1"/>
  <c r="F58" i="1"/>
  <c r="H58" i="1" s="1"/>
  <c r="G65" i="1"/>
  <c r="I65" i="1" s="1"/>
  <c r="G70" i="1"/>
  <c r="I70" i="1" s="1"/>
  <c r="F77" i="1"/>
  <c r="H77" i="1" s="1"/>
  <c r="G57" i="1"/>
  <c r="I57" i="1" s="1"/>
  <c r="G26" i="1"/>
  <c r="I26" i="1" s="1"/>
  <c r="E31" i="1"/>
  <c r="C46" i="1"/>
  <c r="F8" i="1"/>
  <c r="H8" i="1" s="1"/>
  <c r="C29" i="1"/>
  <c r="F32" i="1"/>
  <c r="H32" i="1" s="1"/>
  <c r="F51" i="1"/>
  <c r="H51" i="1" s="1"/>
  <c r="F72" i="1"/>
  <c r="H72" i="1" s="1"/>
  <c r="E25" i="1"/>
  <c r="G25" i="1" s="1"/>
  <c r="I25" i="1" s="1"/>
  <c r="F70" i="1"/>
  <c r="H70" i="1" s="1"/>
  <c r="F15" i="1"/>
  <c r="H15" i="1" s="1"/>
  <c r="F39" i="1"/>
  <c r="H39" i="1" s="1"/>
  <c r="F41" i="1"/>
  <c r="H41" i="1" s="1"/>
  <c r="F4" i="1"/>
  <c r="H4" i="1" s="1"/>
  <c r="G46" i="1" l="1"/>
  <c r="I46" i="1" s="1"/>
  <c r="F46" i="1"/>
  <c r="H46" i="1" s="1"/>
  <c r="C31" i="1"/>
  <c r="F30" i="1"/>
  <c r="H30" i="1" s="1"/>
  <c r="G30" i="1"/>
  <c r="I30" i="1" s="1"/>
  <c r="G27" i="1"/>
  <c r="I27" i="1" s="1"/>
  <c r="F27" i="1"/>
  <c r="H27" i="1" s="1"/>
  <c r="G6" i="1"/>
  <c r="I6" i="1" s="1"/>
  <c r="F6" i="1"/>
  <c r="H6" i="1" s="1"/>
  <c r="F29" i="1"/>
  <c r="H29" i="1" s="1"/>
  <c r="G29" i="1"/>
  <c r="I29" i="1" s="1"/>
  <c r="F10" i="1"/>
  <c r="H10" i="1" s="1"/>
  <c r="G10" i="1"/>
  <c r="I10" i="1" s="1"/>
  <c r="C14" i="1"/>
  <c r="G13" i="1"/>
  <c r="I13" i="1" s="1"/>
  <c r="F13" i="1"/>
  <c r="H13" i="1" s="1"/>
  <c r="G67" i="1"/>
  <c r="I67" i="1" s="1"/>
  <c r="F67" i="1"/>
  <c r="H67" i="1" s="1"/>
  <c r="F23" i="1"/>
  <c r="H23" i="1" s="1"/>
  <c r="G23" i="1"/>
  <c r="I23" i="1" s="1"/>
  <c r="F31" i="1" l="1"/>
  <c r="H31" i="1" s="1"/>
  <c r="G31" i="1"/>
  <c r="I31" i="1" s="1"/>
  <c r="G14" i="1"/>
  <c r="I14" i="1" s="1"/>
  <c r="F14" i="1"/>
  <c r="H14" i="1" s="1"/>
</calcChain>
</file>

<file path=xl/sharedStrings.xml><?xml version="1.0" encoding="utf-8"?>
<sst xmlns="http://schemas.openxmlformats.org/spreadsheetml/2006/main" count="105" uniqueCount="60">
  <si>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</si>
  <si>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</si>
  <si>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</si>
  <si>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</si>
  <si>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</si>
  <si>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</si>
  <si>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</si>
  <si>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</si>
  <si>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</si>
  <si>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</si>
  <si>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</si>
  <si>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</si>
  <si>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</si>
  <si>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</si>
  <si>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</si>
  <si>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</si>
  <si>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</si>
  <si>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</si>
  <si>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</si>
  <si>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</si>
  <si>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</si>
  <si>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</si>
  <si>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</si>
  <si>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</si>
  <si>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Service</t>
  </si>
  <si>
    <t>Revenus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</si>
  <si>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</si>
  <si>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</si>
  <si>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</si>
  <si>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</si>
  <si>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</si>
  <si>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</si>
  <si>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</si>
  <si>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</si>
  <si>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</si>
  <si>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</si>
  <si>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</si>
  <si>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</si>
  <si>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</si>
  <si>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</si>
  <si>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</si>
  <si>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</si>
  <si>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</si>
  <si>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</si>
  <si>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 xml:space="preserve"> - Salaire : Dépense sous le budget, mais manque de profit brut
 - Semi-fixe : Dépréciation courtoisies et démos ventes plus élevé
 - Int F.P. : Inventaire neuf plus élevé que préu et inventaire usagé inférieur.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</si>
  <si>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</si>
  <si>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</si>
  <si>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</si>
  <si>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</si>
  <si>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</si>
  <si>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</si>
  <si>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</si>
  <si>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</si>
  <si>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</si>
  <si>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</si>
  <si>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</si>
  <si>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</si>
  <si>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</si>
  <si>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</si>
  <si>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BMW Sherbrooke 2 pager Août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</si>
</sst>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"/>
    <numFmt numFmtId="166" formatCode="0.0%"/>
  </numFmts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2"/>
    <xf numFmtId="0" fontId="4" fillId="0" borderId="1" xfId="2" applyFont="1" applyBorder="1" applyAlignment="1">
      <alignment horizontal="center"/>
    </xf>
    <xf numFmtId="0" fontId="2" fillId="0" borderId="0" xfId="2" applyAlignment="1">
      <alignment horizontal="center"/>
    </xf>
    <xf numFmtId="0" fontId="2" fillId="0" borderId="2" xfId="2" applyBorder="1"/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0" borderId="8" xfId="2" applyFont="1" applyBorder="1"/>
    <xf numFmtId="37" fontId="3" fillId="0" borderId="9" xfId="2" applyNumberFormat="1" applyFont="1" applyBorder="1" applyAlignment="1">
      <alignment horizontal="center"/>
    </xf>
    <xf numFmtId="1" fontId="3" fillId="0" borderId="10" xfId="2" applyNumberFormat="1" applyFont="1" applyBorder="1" applyAlignment="1">
      <alignment horizontal="center"/>
    </xf>
    <xf numFmtId="1" fontId="3" fillId="0" borderId="11" xfId="2" applyNumberFormat="1" applyFont="1" applyBorder="1" applyAlignment="1">
      <alignment horizontal="center"/>
    </xf>
    <xf numFmtId="9" fontId="3" fillId="3" borderId="10" xfId="3" applyFont="1" applyFill="1" applyBorder="1" applyAlignment="1">
      <alignment horizontal="center"/>
    </xf>
    <xf numFmtId="9" fontId="3" fillId="3" borderId="12" xfId="3" applyFont="1" applyFill="1" applyBorder="1" applyAlignment="1">
      <alignment horizontal="center"/>
    </xf>
    <xf numFmtId="0" fontId="6" fillId="4" borderId="8" xfId="0" quotePrefix="1" applyFont="1" applyFill="1" applyBorder="1" applyAlignment="1">
      <alignment vertical="center" wrapText="1"/>
    </xf>
    <xf numFmtId="0" fontId="2" fillId="0" borderId="13" xfId="2" applyBorder="1"/>
    <xf numFmtId="164" fontId="1" fillId="0" borderId="14" xfId="2" applyNumberFormat="1" applyFont="1" applyBorder="1" applyAlignment="1">
      <alignment horizontal="center"/>
    </xf>
    <xf numFmtId="164" fontId="1" fillId="0" borderId="15" xfId="2" applyNumberFormat="1" applyFont="1" applyBorder="1" applyAlignment="1">
      <alignment horizontal="center"/>
    </xf>
    <xf numFmtId="164" fontId="1" fillId="0" borderId="2" xfId="2" applyNumberFormat="1" applyFont="1" applyBorder="1" applyAlignment="1">
      <alignment horizontal="center"/>
    </xf>
    <xf numFmtId="9" fontId="1" fillId="0" borderId="15" xfId="3" applyFont="1" applyFill="1" applyBorder="1" applyAlignment="1">
      <alignment horizontal="center"/>
    </xf>
    <xf numFmtId="9" fontId="1" fillId="0" borderId="16" xfId="3" applyFont="1" applyFill="1" applyBorder="1" applyAlignment="1">
      <alignment horizontal="center"/>
    </xf>
    <xf numFmtId="0" fontId="6" fillId="4" borderId="13" xfId="0" applyFont="1" applyFill="1" applyBorder="1" applyAlignment="1">
      <alignment vertical="center" wrapText="1"/>
    </xf>
    <xf numFmtId="9" fontId="1" fillId="3" borderId="15" xfId="3" applyFont="1" applyFill="1" applyBorder="1" applyAlignment="1">
      <alignment horizontal="center"/>
    </xf>
    <xf numFmtId="9" fontId="1" fillId="3" borderId="16" xfId="3" applyFont="1" applyFill="1" applyBorder="1" applyAlignment="1">
      <alignment horizontal="center"/>
    </xf>
    <xf numFmtId="9" fontId="1" fillId="0" borderId="14" xfId="3" applyFont="1" applyFill="1" applyBorder="1" applyAlignment="1">
      <alignment horizontal="center"/>
    </xf>
    <xf numFmtId="9" fontId="1" fillId="0" borderId="15" xfId="3" applyFont="1" applyBorder="1" applyAlignment="1">
      <alignment horizontal="center"/>
    </xf>
    <xf numFmtId="9" fontId="1" fillId="0" borderId="17" xfId="3" applyFont="1" applyBorder="1" applyAlignment="1">
      <alignment horizontal="center"/>
    </xf>
    <xf numFmtId="9" fontId="1" fillId="0" borderId="2" xfId="3" applyFont="1" applyBorder="1" applyAlignment="1">
      <alignment horizontal="center"/>
    </xf>
    <xf numFmtId="0" fontId="3" fillId="0" borderId="18" xfId="2" applyFont="1" applyBorder="1"/>
    <xf numFmtId="0" fontId="1" fillId="0" borderId="19" xfId="2" applyFont="1" applyBorder="1"/>
    <xf numFmtId="164" fontId="1" fillId="0" borderId="20" xfId="2" applyNumberFormat="1" applyFont="1" applyBorder="1" applyAlignment="1">
      <alignment horizontal="center"/>
    </xf>
    <xf numFmtId="164" fontId="1" fillId="0" borderId="21" xfId="2" applyNumberFormat="1" applyFont="1" applyBorder="1" applyAlignment="1">
      <alignment horizontal="center"/>
    </xf>
    <xf numFmtId="9" fontId="1" fillId="0" borderId="20" xfId="3" applyFont="1" applyFill="1" applyBorder="1" applyAlignment="1">
      <alignment horizontal="center"/>
    </xf>
    <xf numFmtId="9" fontId="1" fillId="0" borderId="22" xfId="3" applyFont="1" applyFill="1" applyBorder="1" applyAlignment="1">
      <alignment horizontal="center"/>
    </xf>
    <xf numFmtId="0" fontId="2" fillId="5" borderId="13" xfId="2" applyFill="1" applyBorder="1" applyAlignment="1">
      <alignment horizontal="left" indent="1"/>
    </xf>
    <xf numFmtId="37" fontId="1" fillId="5" borderId="13" xfId="2" applyNumberFormat="1" applyFont="1" applyFill="1" applyBorder="1" applyAlignment="1">
      <alignment horizontal="center"/>
    </xf>
    <xf numFmtId="37" fontId="1" fillId="5" borderId="23" xfId="2" applyNumberFormat="1" applyFont="1" applyFill="1" applyBorder="1" applyAlignment="1">
      <alignment horizontal="center"/>
    </xf>
    <xf numFmtId="1" fontId="1" fillId="0" borderId="15" xfId="2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9" fontId="1" fillId="0" borderId="16" xfId="3" applyFont="1" applyBorder="1" applyAlignment="1">
      <alignment horizontal="center"/>
    </xf>
    <xf numFmtId="0" fontId="1" fillId="5" borderId="24" xfId="2" applyFont="1" applyFill="1" applyBorder="1" applyAlignment="1">
      <alignment horizontal="left" indent="1"/>
    </xf>
    <xf numFmtId="164" fontId="1" fillId="5" borderId="25" xfId="2" applyNumberFormat="1" applyFont="1" applyFill="1" applyBorder="1" applyAlignment="1">
      <alignment horizontal="center"/>
    </xf>
    <xf numFmtId="164" fontId="1" fillId="0" borderId="26" xfId="2" applyNumberFormat="1" applyFont="1" applyBorder="1" applyAlignment="1">
      <alignment horizontal="center"/>
    </xf>
    <xf numFmtId="164" fontId="1" fillId="0" borderId="27" xfId="2" applyNumberFormat="1" applyFont="1" applyBorder="1" applyAlignment="1">
      <alignment horizontal="center"/>
    </xf>
    <xf numFmtId="9" fontId="1" fillId="0" borderId="26" xfId="3" applyFont="1" applyBorder="1" applyAlignment="1">
      <alignment horizontal="center"/>
    </xf>
    <xf numFmtId="9" fontId="1" fillId="0" borderId="28" xfId="3" applyFont="1" applyBorder="1" applyAlignment="1">
      <alignment horizontal="center"/>
    </xf>
    <xf numFmtId="0" fontId="6" fillId="4" borderId="24" xfId="0" applyFont="1" applyFill="1" applyBorder="1" applyAlignment="1">
      <alignment vertical="center" wrapText="1"/>
    </xf>
    <xf numFmtId="0" fontId="1" fillId="0" borderId="0" xfId="2" applyFont="1"/>
    <xf numFmtId="0" fontId="3" fillId="6" borderId="3" xfId="2" applyFont="1" applyFill="1" applyBorder="1" applyAlignment="1">
      <alignment horizontal="center"/>
    </xf>
    <xf numFmtId="0" fontId="3" fillId="6" borderId="4" xfId="2" applyFont="1" applyFill="1" applyBorder="1" applyAlignment="1">
      <alignment horizontal="center"/>
    </xf>
    <xf numFmtId="0" fontId="3" fillId="6" borderId="5" xfId="2" applyFont="1" applyFill="1" applyBorder="1" applyAlignment="1">
      <alignment horizontal="center"/>
    </xf>
    <xf numFmtId="0" fontId="3" fillId="6" borderId="7" xfId="2" applyFont="1" applyFill="1" applyBorder="1" applyAlignment="1">
      <alignment horizontal="center"/>
    </xf>
    <xf numFmtId="0" fontId="3" fillId="6" borderId="8" xfId="2" applyFont="1" applyFill="1" applyBorder="1" applyAlignment="1">
      <alignment horizontal="center"/>
    </xf>
    <xf numFmtId="0" fontId="3" fillId="0" borderId="13" xfId="2" applyFont="1" applyBorder="1"/>
    <xf numFmtId="37" fontId="3" fillId="0" borderId="14" xfId="2" applyNumberFormat="1" applyFont="1" applyBorder="1" applyAlignment="1">
      <alignment horizontal="center"/>
    </xf>
    <xf numFmtId="1" fontId="3" fillId="0" borderId="15" xfId="2" applyNumberFormat="1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9" fontId="1" fillId="0" borderId="20" xfId="3" applyFont="1" applyBorder="1" applyAlignment="1">
      <alignment horizontal="center"/>
    </xf>
    <xf numFmtId="9" fontId="1" fillId="0" borderId="22" xfId="3" applyFont="1" applyBorder="1" applyAlignment="1">
      <alignment horizontal="center"/>
    </xf>
    <xf numFmtId="0" fontId="3" fillId="7" borderId="3" xfId="2" applyFont="1" applyFill="1" applyBorder="1" applyAlignment="1">
      <alignment horizontal="center"/>
    </xf>
    <xf numFmtId="0" fontId="3" fillId="7" borderId="4" xfId="2" applyFont="1" applyFill="1" applyBorder="1" applyAlignment="1">
      <alignment horizontal="center"/>
    </xf>
    <xf numFmtId="0" fontId="3" fillId="7" borderId="5" xfId="2" applyFont="1" applyFill="1" applyBorder="1" applyAlignment="1">
      <alignment horizontal="center"/>
    </xf>
    <xf numFmtId="0" fontId="3" fillId="7" borderId="7" xfId="2" applyFont="1" applyFill="1" applyBorder="1" applyAlignment="1">
      <alignment horizontal="center"/>
    </xf>
    <xf numFmtId="0" fontId="3" fillId="7" borderId="8" xfId="2" applyFont="1" applyFill="1" applyBorder="1" applyAlignment="1">
      <alignment horizontal="center"/>
    </xf>
    <xf numFmtId="164" fontId="3" fillId="0" borderId="14" xfId="2" applyNumberFormat="1" applyFont="1" applyBorder="1" applyAlignment="1">
      <alignment horizontal="center"/>
    </xf>
    <xf numFmtId="164" fontId="3" fillId="0" borderId="15" xfId="2" applyNumberFormat="1" applyFont="1" applyBorder="1" applyAlignment="1">
      <alignment horizontal="center"/>
    </xf>
    <xf numFmtId="164" fontId="3" fillId="0" borderId="2" xfId="2" applyNumberFormat="1" applyFont="1" applyBorder="1" applyAlignment="1">
      <alignment horizontal="center"/>
    </xf>
    <xf numFmtId="9" fontId="3" fillId="3" borderId="15" xfId="3" applyFont="1" applyFill="1" applyBorder="1" applyAlignment="1">
      <alignment horizontal="center"/>
    </xf>
    <xf numFmtId="9" fontId="3" fillId="3" borderId="16" xfId="3" applyFont="1" applyFill="1" applyBorder="1" applyAlignment="1">
      <alignment horizontal="center"/>
    </xf>
    <xf numFmtId="164" fontId="1" fillId="5" borderId="14" xfId="2" applyNumberFormat="1" applyFont="1" applyFill="1" applyBorder="1" applyAlignment="1">
      <alignment horizontal="center"/>
    </xf>
    <xf numFmtId="164" fontId="1" fillId="0" borderId="14" xfId="3" applyNumberFormat="1" applyFont="1" applyFill="1" applyBorder="1" applyAlignment="1">
      <alignment horizontal="center"/>
    </xf>
    <xf numFmtId="0" fontId="2" fillId="0" borderId="13" xfId="2" applyBorder="1" applyAlignment="1">
      <alignment horizontal="left" indent="1"/>
    </xf>
    <xf numFmtId="9" fontId="1" fillId="0" borderId="14" xfId="1" applyFont="1" applyFill="1" applyBorder="1" applyAlignment="1">
      <alignment horizontal="center"/>
    </xf>
    <xf numFmtId="0" fontId="2" fillId="0" borderId="24" xfId="2" applyBorder="1"/>
    <xf numFmtId="164" fontId="1" fillId="0" borderId="25" xfId="2" applyNumberFormat="1" applyFont="1" applyBorder="1" applyAlignment="1">
      <alignment horizontal="center"/>
    </xf>
    <xf numFmtId="9" fontId="1" fillId="0" borderId="26" xfId="3" applyFont="1" applyFill="1" applyBorder="1" applyAlignment="1">
      <alignment horizontal="center"/>
    </xf>
    <xf numFmtId="0" fontId="3" fillId="8" borderId="3" xfId="2" applyFont="1" applyFill="1" applyBorder="1" applyAlignment="1">
      <alignment horizontal="center"/>
    </xf>
    <xf numFmtId="0" fontId="3" fillId="8" borderId="4" xfId="2" applyFont="1" applyFill="1" applyBorder="1" applyAlignment="1">
      <alignment horizontal="center"/>
    </xf>
    <xf numFmtId="0" fontId="3" fillId="8" borderId="5" xfId="2" applyFont="1" applyFill="1" applyBorder="1" applyAlignment="1">
      <alignment horizontal="center"/>
    </xf>
    <xf numFmtId="0" fontId="3" fillId="8" borderId="7" xfId="2" applyFont="1" applyFill="1" applyBorder="1" applyAlignment="1">
      <alignment horizontal="center"/>
    </xf>
    <xf numFmtId="0" fontId="3" fillId="8" borderId="8" xfId="2" applyFont="1" applyFill="1" applyBorder="1" applyAlignment="1">
      <alignment horizontal="center"/>
    </xf>
    <xf numFmtId="0" fontId="3" fillId="0" borderId="13" xfId="2" applyFont="1" applyBorder="1" applyAlignment="1">
      <alignment horizontal="left"/>
    </xf>
    <xf numFmtId="0" fontId="1" fillId="0" borderId="13" xfId="2" applyFont="1" applyBorder="1" applyAlignment="1">
      <alignment horizontal="left" indent="1"/>
    </xf>
    <xf numFmtId="9" fontId="1" fillId="0" borderId="28" xfId="3" applyFont="1" applyFill="1" applyBorder="1" applyAlignment="1">
      <alignment horizontal="center"/>
    </xf>
    <xf numFmtId="0" fontId="3" fillId="9" borderId="3" xfId="2" applyFont="1" applyFill="1" applyBorder="1" applyAlignment="1">
      <alignment horizontal="center"/>
    </xf>
    <xf numFmtId="0" fontId="3" fillId="9" borderId="4" xfId="2" applyFont="1" applyFill="1" applyBorder="1" applyAlignment="1">
      <alignment horizontal="center"/>
    </xf>
    <xf numFmtId="0" fontId="3" fillId="9" borderId="5" xfId="2" applyFont="1" applyFill="1" applyBorder="1" applyAlignment="1">
      <alignment horizontal="center"/>
    </xf>
    <xf numFmtId="0" fontId="3" fillId="9" borderId="7" xfId="2" applyFont="1" applyFill="1" applyBorder="1" applyAlignment="1">
      <alignment horizontal="center"/>
    </xf>
    <xf numFmtId="0" fontId="3" fillId="9" borderId="8" xfId="2" applyFont="1" applyFill="1" applyBorder="1" applyAlignment="1">
      <alignment horizontal="center"/>
    </xf>
    <xf numFmtId="0" fontId="1" fillId="0" borderId="13" xfId="2" applyFont="1" applyBorder="1" applyAlignment="1">
      <alignment horizontal="left"/>
    </xf>
    <xf numFmtId="9" fontId="1" fillId="0" borderId="14" xfId="1" applyFont="1" applyBorder="1" applyAlignment="1">
      <alignment horizontal="center"/>
    </xf>
    <xf numFmtId="0" fontId="1" fillId="5" borderId="13" xfId="2" applyFont="1" applyFill="1" applyBorder="1" applyAlignment="1">
      <alignment horizontal="left"/>
    </xf>
    <xf numFmtId="165" fontId="1" fillId="5" borderId="14" xfId="2" applyNumberFormat="1" applyFont="1" applyFill="1" applyBorder="1" applyAlignment="1">
      <alignment horizontal="center"/>
    </xf>
    <xf numFmtId="165" fontId="1" fillId="0" borderId="15" xfId="2" applyNumberFormat="1" applyFont="1" applyBorder="1" applyAlignment="1">
      <alignment horizontal="center"/>
    </xf>
    <xf numFmtId="165" fontId="1" fillId="0" borderId="2" xfId="2" applyNumberFormat="1" applyFont="1" applyBorder="1" applyAlignment="1">
      <alignment horizontal="center"/>
    </xf>
    <xf numFmtId="0" fontId="1" fillId="0" borderId="24" xfId="2" applyFont="1" applyBorder="1" applyAlignment="1">
      <alignment horizontal="left"/>
    </xf>
    <xf numFmtId="0" fontId="3" fillId="10" borderId="3" xfId="2" applyFont="1" applyFill="1" applyBorder="1" applyAlignment="1">
      <alignment horizontal="center"/>
    </xf>
    <xf numFmtId="0" fontId="3" fillId="10" borderId="4" xfId="2" applyFont="1" applyFill="1" applyBorder="1" applyAlignment="1">
      <alignment horizontal="center"/>
    </xf>
    <xf numFmtId="0" fontId="3" fillId="10" borderId="5" xfId="2" applyFont="1" applyFill="1" applyBorder="1" applyAlignment="1">
      <alignment horizontal="center"/>
    </xf>
    <xf numFmtId="0" fontId="3" fillId="10" borderId="7" xfId="2" applyFont="1" applyFill="1" applyBorder="1" applyAlignment="1">
      <alignment horizontal="center"/>
    </xf>
    <xf numFmtId="0" fontId="3" fillId="10" borderId="8" xfId="2" applyFont="1" applyFill="1" applyBorder="1" applyAlignment="1">
      <alignment horizontal="center"/>
    </xf>
    <xf numFmtId="0" fontId="2" fillId="0" borderId="13" xfId="2" applyBorder="1" applyAlignment="1">
      <alignment horizontal="left"/>
    </xf>
    <xf numFmtId="164" fontId="1" fillId="0" borderId="14" xfId="1" applyNumberFormat="1" applyFont="1" applyBorder="1" applyAlignment="1">
      <alignment horizontal="center"/>
    </xf>
    <xf numFmtId="164" fontId="2" fillId="0" borderId="10" xfId="2" applyNumberFormat="1" applyBorder="1" applyAlignment="1">
      <alignment horizontal="center"/>
    </xf>
    <xf numFmtId="164" fontId="2" fillId="0" borderId="11" xfId="2" applyNumberFormat="1" applyBorder="1" applyAlignment="1">
      <alignment horizontal="center"/>
    </xf>
    <xf numFmtId="164" fontId="2" fillId="0" borderId="15" xfId="2" applyNumberFormat="1" applyBorder="1" applyAlignment="1">
      <alignment horizontal="center"/>
    </xf>
    <xf numFmtId="164" fontId="2" fillId="0" borderId="2" xfId="2" applyNumberFormat="1" applyBorder="1" applyAlignment="1">
      <alignment horizontal="center"/>
    </xf>
    <xf numFmtId="0" fontId="3" fillId="0" borderId="0" xfId="2" applyFont="1"/>
    <xf numFmtId="166" fontId="1" fillId="0" borderId="14" xfId="1" applyNumberFormat="1" applyFont="1" applyBorder="1" applyAlignment="1">
      <alignment horizontal="center"/>
    </xf>
    <xf numFmtId="166" fontId="1" fillId="0" borderId="15" xfId="3" applyNumberFormat="1" applyFont="1" applyBorder="1" applyAlignment="1">
      <alignment horizontal="center"/>
    </xf>
    <xf numFmtId="166" fontId="1" fillId="0" borderId="17" xfId="3" applyNumberFormat="1" applyFont="1" applyBorder="1" applyAlignment="1">
      <alignment horizontal="center"/>
    </xf>
    <xf numFmtId="0" fontId="2" fillId="0" borderId="24" xfId="2" applyBorder="1" applyAlignment="1">
      <alignment horizontal="left"/>
    </xf>
    <xf numFmtId="166" fontId="1" fillId="0" borderId="25" xfId="1" applyNumberFormat="1" applyFont="1" applyBorder="1" applyAlignment="1">
      <alignment horizontal="center"/>
    </xf>
    <xf numFmtId="166" fontId="1" fillId="0" borderId="26" xfId="3" applyNumberFormat="1" applyFont="1" applyBorder="1" applyAlignment="1">
      <alignment horizontal="center"/>
    </xf>
    <xf numFmtId="166" fontId="1" fillId="0" borderId="29" xfId="3" applyNumberFormat="1" applyFont="1" applyBorder="1" applyAlignment="1">
      <alignment horizontal="center"/>
    </xf>
  </cellXfs>
  <cellStyles count="4">
    <cellStyle name="Normal" xfId="0" builtinId="0"/>
    <cellStyle name="Normal 3" xfId="2" xr:uid="{169841A6-6B16-457D-9A50-FC94C80A73EE}"/>
    <cellStyle name="Pourcentage" xfId="1" builtinId="5"/>
    <cellStyle name="Pourcentage 2" xfId="3" xr:uid="{A66E7EA2-6F38-4F05-BB9E-DBCE3F87AECC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E051-7A13-4AFF-818C-7FC88202975B}">
  <sheetPr>
    <tabColor rgb="FF00B0F0"/>
    <pageSetUpPr fitToPage="1"/>
  </sheetPr>
  <dimension ref="A1:N77"/>
  <sheetViews>
    <sheetView tabSelected="1" topLeftCell="A53" zoomScale="110" zoomScaleNormal="110" workbookViewId="0">
      <selection activeCell="B84" sqref="B84:B85"/>
    </sheetView>
  </sheetViews>
  <sheetFormatPr baseColWidth="10" defaultColWidth="11" defaultRowHeight="15" x14ac:dyDescent="0.25"/>
  <cols>
    <col min="1" max="1" width="2.25" style="1" customWidth="1"/>
    <col min="2" max="2" width="23.25" style="1" customWidth="1"/>
    <col min="3" max="9" width="11.75" style="1" customWidth="1"/>
    <col min="10" max="10" width="58.875" style="1" customWidth="1"/>
    <col min="11" max="13" width="3.125" style="1" customWidth="1"/>
    <col min="14" max="16384" width="11" style="1"/>
  </cols>
  <sheetData>
    <row r="1" spans="1:14" ht="15.75" x14ac:dyDescent="0.25">
      <c r="B1" s="2" t="s">
        <v>59</v>
      </c>
      <c r="C1" s="2"/>
      <c r="D1" s="2"/>
      <c r="E1" s="2"/>
      <c r="F1" s="2"/>
      <c r="G1" s="2"/>
      <c r="H1" s="2"/>
      <c r="I1" s="2"/>
      <c r="J1" s="2"/>
    </row>
    <row r="2" spans="1:14" x14ac:dyDescent="0.25">
      <c r="B2" s="3"/>
    </row>
    <row r="3" spans="1:14" x14ac:dyDescent="0.25">
      <c r="A3" s="4"/>
      <c r="B3" s="5" t="s">
        <v>0</v>
      </c>
      <c r="C3" s="6" t="s">
        <v>1</v>
      </c>
      <c r="D3" s="7" t="s">
        <v>2</v>
      </c>
      <c r="E3" s="8">
        <v>2023</v>
      </c>
      <c r="F3" s="7" t="s">
        <v>3</v>
      </c>
      <c r="G3" s="9" t="s">
        <v>4</v>
      </c>
      <c r="H3" s="7" t="s">
        <v>5</v>
      </c>
      <c r="I3" s="9" t="s">
        <v>6</v>
      </c>
      <c r="J3" s="10" t="s">
        <v>7</v>
      </c>
      <c r="N3" s="1" t="s">
        <v>8</v>
      </c>
    </row>
    <row r="4" spans="1:14" ht="15" customHeight="1" x14ac:dyDescent="0.25">
      <c r="A4" s="4"/>
      <c r="B4" s="11" t="s">
        <v>9</v>
      </c>
      <c r="C4" s="12">
        <v>14</v>
      </c>
      <c r="D4" s="12">
        <v>22</v>
      </c>
      <c r="E4" s="12">
        <v>26</v>
      </c>
      <c r="F4" s="13">
        <f t="shared" ref="F4:G15" si="0">+IFERROR($C4-D4,"")</f>
        <v>-8</v>
      </c>
      <c r="G4" s="14">
        <f t="shared" si="0"/>
        <v>-12</v>
      </c>
      <c r="H4" s="15">
        <f t="shared" ref="H4:H15" si="1">+IFERROR(F4/ABS($D4),"")</f>
        <v>-0.36363636363636365</v>
      </c>
      <c r="I4" s="16">
        <f t="shared" ref="I4:I14" si="2">+IFERROR(G4/ABS($E4),"")</f>
        <v>-0.46153846153846156</v>
      </c>
      <c r="J4" s="17"/>
    </row>
    <row r="5" spans="1:14" x14ac:dyDescent="0.25">
      <c r="A5" s="4"/>
      <c r="B5" s="18" t="s">
        <v>10</v>
      </c>
      <c r="C5" s="19">
        <v>38495.940000000068</v>
      </c>
      <c r="D5" s="19">
        <v>111038.0778350094</v>
      </c>
      <c r="E5" s="19">
        <v>140565.77999999991</v>
      </c>
      <c r="F5" s="20">
        <f t="shared" si="0"/>
        <v>-72542.137835009344</v>
      </c>
      <c r="G5" s="21">
        <f t="shared" si="0"/>
        <v>-102069.83999999985</v>
      </c>
      <c r="H5" s="22">
        <f t="shared" si="1"/>
        <v>-0.65330865996076704</v>
      </c>
      <c r="I5" s="23">
        <f t="shared" si="2"/>
        <v>-0.72613576362611099</v>
      </c>
      <c r="J5" s="24"/>
    </row>
    <row r="6" spans="1:14" x14ac:dyDescent="0.25">
      <c r="A6" s="4"/>
      <c r="B6" s="18" t="s">
        <v>11</v>
      </c>
      <c r="C6" s="19">
        <f>+C5/C4</f>
        <v>2749.710000000005</v>
      </c>
      <c r="D6" s="19">
        <f>+D5/D4</f>
        <v>5047.1853561367907</v>
      </c>
      <c r="E6" s="19">
        <f>+E5/E4</f>
        <v>5406.3761538461504</v>
      </c>
      <c r="F6" s="20">
        <f t="shared" si="0"/>
        <v>-2297.4753561367856</v>
      </c>
      <c r="G6" s="21">
        <f t="shared" si="0"/>
        <v>-2656.6661538461453</v>
      </c>
      <c r="H6" s="25">
        <f>+IFERROR(F6/ABS($D6),"")</f>
        <v>-0.45519932279549091</v>
      </c>
      <c r="I6" s="26">
        <f t="shared" si="2"/>
        <v>-0.49139498959134881</v>
      </c>
      <c r="J6" s="24"/>
    </row>
    <row r="7" spans="1:14" x14ac:dyDescent="0.25">
      <c r="A7" s="4"/>
      <c r="B7" s="18" t="s">
        <v>12</v>
      </c>
      <c r="C7" s="19">
        <v>14727.6</v>
      </c>
      <c r="D7" s="19">
        <v>32472.3623651741</v>
      </c>
      <c r="E7" s="19">
        <v>41319.85</v>
      </c>
      <c r="F7" s="20">
        <f t="shared" si="0"/>
        <v>-17744.762365174101</v>
      </c>
      <c r="G7" s="21">
        <f t="shared" si="0"/>
        <v>-26592.25</v>
      </c>
      <c r="H7" s="22">
        <f t="shared" si="1"/>
        <v>-0.54645738938307031</v>
      </c>
      <c r="I7" s="23">
        <f t="shared" si="2"/>
        <v>-0.64357082612836203</v>
      </c>
      <c r="J7" s="24"/>
    </row>
    <row r="8" spans="1:14" x14ac:dyDescent="0.25">
      <c r="A8" s="4"/>
      <c r="B8" s="18" t="s">
        <v>13</v>
      </c>
      <c r="C8" s="27">
        <f>+C7/C5</f>
        <v>0.38257540925094891</v>
      </c>
      <c r="D8" s="27">
        <f>+D7/D5</f>
        <v>0.2924434842381235</v>
      </c>
      <c r="E8" s="27">
        <f>+E7/E5</f>
        <v>0.29395383428313793</v>
      </c>
      <c r="F8" s="28">
        <f t="shared" si="0"/>
        <v>9.0131925012825409E-2</v>
      </c>
      <c r="G8" s="29">
        <f t="shared" si="0"/>
        <v>8.8621574967810979E-2</v>
      </c>
      <c r="H8" s="22">
        <f t="shared" si="1"/>
        <v>0.30820288319173172</v>
      </c>
      <c r="I8" s="23">
        <f>+IFERROR(G8/ABS($E8),"")</f>
        <v>0.30148126893439398</v>
      </c>
      <c r="J8" s="24"/>
    </row>
    <row r="9" spans="1:14" x14ac:dyDescent="0.25">
      <c r="A9" s="4"/>
      <c r="B9" s="18" t="s">
        <v>14</v>
      </c>
      <c r="C9" s="19">
        <v>21849.800000000003</v>
      </c>
      <c r="D9" s="19">
        <v>35200</v>
      </c>
      <c r="E9" s="19">
        <v>40843.9399999999</v>
      </c>
      <c r="F9" s="20">
        <f t="shared" si="0"/>
        <v>-13350.199999999997</v>
      </c>
      <c r="G9" s="21">
        <f t="shared" si="0"/>
        <v>-18994.139999999898</v>
      </c>
      <c r="H9" s="22">
        <f t="shared" si="1"/>
        <v>-0.37926704545454537</v>
      </c>
      <c r="I9" s="23">
        <f t="shared" si="2"/>
        <v>-0.4650418152607203</v>
      </c>
      <c r="J9" s="24"/>
    </row>
    <row r="10" spans="1:14" x14ac:dyDescent="0.25">
      <c r="A10" s="4"/>
      <c r="B10" s="18" t="s">
        <v>15</v>
      </c>
      <c r="C10" s="19">
        <f>+C9/C4</f>
        <v>1560.7000000000003</v>
      </c>
      <c r="D10" s="19">
        <f>+D9/D4</f>
        <v>1600</v>
      </c>
      <c r="E10" s="19">
        <f>+E9/E4</f>
        <v>1570.9207692307655</v>
      </c>
      <c r="F10" s="20">
        <f t="shared" si="0"/>
        <v>-39.299999999999727</v>
      </c>
      <c r="G10" s="21">
        <f t="shared" si="0"/>
        <v>-10.2207692307652</v>
      </c>
      <c r="H10" s="25">
        <f t="shared" si="1"/>
        <v>-2.4562499999999831E-2</v>
      </c>
      <c r="I10" s="26">
        <f t="shared" si="2"/>
        <v>-6.5062283413376823E-3</v>
      </c>
      <c r="J10" s="24"/>
    </row>
    <row r="11" spans="1:14" x14ac:dyDescent="0.25">
      <c r="A11" s="4"/>
      <c r="B11" s="18" t="s">
        <v>16</v>
      </c>
      <c r="C11" s="19">
        <v>7775.46</v>
      </c>
      <c r="D11" s="19">
        <v>8800</v>
      </c>
      <c r="E11" s="19">
        <v>10210.99</v>
      </c>
      <c r="F11" s="20">
        <f t="shared" si="0"/>
        <v>-1024.54</v>
      </c>
      <c r="G11" s="21">
        <f t="shared" si="0"/>
        <v>-2435.5299999999997</v>
      </c>
      <c r="H11" s="22">
        <f t="shared" si="1"/>
        <v>-0.116425</v>
      </c>
      <c r="I11" s="23">
        <f t="shared" si="2"/>
        <v>-0.23852045688028289</v>
      </c>
      <c r="J11" s="24"/>
    </row>
    <row r="12" spans="1:14" x14ac:dyDescent="0.25">
      <c r="A12" s="4"/>
      <c r="B12" s="18" t="s">
        <v>17</v>
      </c>
      <c r="C12" s="27">
        <f>+C11/C9</f>
        <v>0.35585955020183246</v>
      </c>
      <c r="D12" s="27">
        <f>+D11/D9</f>
        <v>0.25</v>
      </c>
      <c r="E12" s="27">
        <f>+E11/E9</f>
        <v>0.25000012241718172</v>
      </c>
      <c r="F12" s="28">
        <f t="shared" si="0"/>
        <v>0.10585955020183246</v>
      </c>
      <c r="G12" s="30">
        <f t="shared" si="0"/>
        <v>0.10585942778465074</v>
      </c>
      <c r="H12" s="22">
        <f t="shared" si="1"/>
        <v>0.42343820080732986</v>
      </c>
      <c r="I12" s="23">
        <f t="shared" si="2"/>
        <v>0.42343750379449957</v>
      </c>
      <c r="J12" s="24"/>
    </row>
    <row r="13" spans="1:14" x14ac:dyDescent="0.25">
      <c r="A13" s="4"/>
      <c r="B13" s="18" t="s">
        <v>18</v>
      </c>
      <c r="C13" s="19">
        <v>52860.260000000009</v>
      </c>
      <c r="D13" s="19">
        <v>43660.355761664578</v>
      </c>
      <c r="E13" s="19">
        <v>28814.679999999993</v>
      </c>
      <c r="F13" s="20">
        <f t="shared" si="0"/>
        <v>9199.9042383354317</v>
      </c>
      <c r="G13" s="21">
        <f t="shared" si="0"/>
        <v>24045.580000000016</v>
      </c>
      <c r="H13" s="22">
        <f t="shared" si="1"/>
        <v>0.21071528341537912</v>
      </c>
      <c r="I13" s="23">
        <f t="shared" si="2"/>
        <v>0.83449061381212708</v>
      </c>
      <c r="J13" s="24"/>
    </row>
    <row r="14" spans="1:14" x14ac:dyDescent="0.25">
      <c r="A14" s="4"/>
      <c r="B14" s="18" t="s">
        <v>19</v>
      </c>
      <c r="C14" s="19">
        <f>+C13/C4</f>
        <v>3775.7328571428579</v>
      </c>
      <c r="D14" s="19">
        <f>+D13/D4</f>
        <v>1984.5616255302082</v>
      </c>
      <c r="E14" s="19">
        <f>+E13/E4</f>
        <v>1108.2569230769227</v>
      </c>
      <c r="F14" s="20">
        <f t="shared" si="0"/>
        <v>1791.1712316126498</v>
      </c>
      <c r="G14" s="21">
        <f t="shared" si="0"/>
        <v>2667.4759340659352</v>
      </c>
      <c r="H14" s="22">
        <f t="shared" si="1"/>
        <v>0.90255258822416717</v>
      </c>
      <c r="I14" s="23">
        <f t="shared" si="2"/>
        <v>2.4069111399368079</v>
      </c>
      <c r="J14" s="24"/>
    </row>
    <row r="15" spans="1:14" x14ac:dyDescent="0.25">
      <c r="A15" s="4"/>
      <c r="B15" s="18" t="s">
        <v>20</v>
      </c>
      <c r="C15" s="19">
        <v>59841.289999999994</v>
      </c>
      <c r="D15" s="19">
        <v>81601.181538461562</v>
      </c>
      <c r="E15" s="19">
        <v>103427.44</v>
      </c>
      <c r="F15" s="20">
        <f t="shared" si="0"/>
        <v>-21759.891538461568</v>
      </c>
      <c r="G15" s="21">
        <f t="shared" si="0"/>
        <v>-43586.150000000009</v>
      </c>
      <c r="H15" s="22">
        <f t="shared" si="1"/>
        <v>-0.26666147631949855</v>
      </c>
      <c r="I15" s="23">
        <f>+IFERROR(G15/ABS($E15),"")</f>
        <v>-0.42141766246945694</v>
      </c>
      <c r="J15" s="24"/>
    </row>
    <row r="16" spans="1:14" x14ac:dyDescent="0.25">
      <c r="A16" s="4"/>
      <c r="B16" s="31" t="s">
        <v>21</v>
      </c>
      <c r="C16" s="32"/>
      <c r="D16" s="32"/>
      <c r="E16" s="32"/>
      <c r="F16" s="33"/>
      <c r="G16" s="34"/>
      <c r="H16" s="35"/>
      <c r="I16" s="36"/>
      <c r="J16" s="24"/>
    </row>
    <row r="17" spans="1:10" x14ac:dyDescent="0.25">
      <c r="A17" s="4"/>
      <c r="B17" s="37" t="s">
        <v>9</v>
      </c>
      <c r="C17" s="38">
        <v>80</v>
      </c>
      <c r="D17" s="38">
        <v>64</v>
      </c>
      <c r="E17" s="39">
        <v>43</v>
      </c>
      <c r="F17" s="40">
        <f>+IFERROR($C17-D17,"")</f>
        <v>16</v>
      </c>
      <c r="G17" s="41">
        <f>+IFERROR($C17-E17,"")</f>
        <v>37</v>
      </c>
      <c r="H17" s="28">
        <f>+IFERROR(F17/ABS($D17),"")</f>
        <v>0.25</v>
      </c>
      <c r="I17" s="42">
        <f>+IFERROR(G17/ABS($E17),"")</f>
        <v>0.86046511627906974</v>
      </c>
      <c r="J17" s="24"/>
    </row>
    <row r="18" spans="1:10" x14ac:dyDescent="0.25">
      <c r="A18" s="4"/>
      <c r="B18" s="43" t="s">
        <v>22</v>
      </c>
      <c r="C18" s="44">
        <v>7045257</v>
      </c>
      <c r="D18" s="44">
        <v>5004939</v>
      </c>
      <c r="E18" s="44">
        <v>3831549</v>
      </c>
      <c r="F18" s="45">
        <f>+IFERROR($C18-D18,"")</f>
        <v>2040318</v>
      </c>
      <c r="G18" s="46">
        <f>+IFERROR($C18-E18,"")</f>
        <v>3213708</v>
      </c>
      <c r="H18" s="47">
        <f>+IFERROR(F18/ABS($D18),"")</f>
        <v>0.40766091255058251</v>
      </c>
      <c r="I18" s="48">
        <f>+IFERROR(G18/ABS($E18),"")</f>
        <v>0.8387490281345743</v>
      </c>
      <c r="J18" s="49"/>
    </row>
    <row r="19" spans="1:10" x14ac:dyDescent="0.25">
      <c r="C19" s="50"/>
      <c r="D19" s="50"/>
      <c r="E19" s="50"/>
      <c r="F19" s="50"/>
      <c r="G19" s="50"/>
      <c r="H19" s="50"/>
      <c r="I19" s="50"/>
    </row>
    <row r="20" spans="1:10" x14ac:dyDescent="0.25">
      <c r="B20" s="51" t="s">
        <v>23</v>
      </c>
      <c r="C20" s="52" t="s">
        <v>1</v>
      </c>
      <c r="D20" s="52" t="s">
        <v>2</v>
      </c>
      <c r="E20" s="52">
        <f>$E$3</f>
        <v>2023</v>
      </c>
      <c r="F20" s="53" t="s">
        <v>3</v>
      </c>
      <c r="G20" s="54" t="str">
        <f>$G$3</f>
        <v>▲2023</v>
      </c>
      <c r="H20" s="53" t="s">
        <v>5</v>
      </c>
      <c r="I20" s="54" t="str">
        <f>$I$3</f>
        <v>% ▲ 2023</v>
      </c>
      <c r="J20" s="55" t="s">
        <v>7</v>
      </c>
    </row>
    <row r="21" spans="1:10" ht="15" customHeight="1" x14ac:dyDescent="0.25">
      <c r="B21" s="56" t="s">
        <v>9</v>
      </c>
      <c r="C21" s="57">
        <v>19</v>
      </c>
      <c r="D21" s="57">
        <v>21</v>
      </c>
      <c r="E21" s="57">
        <v>19</v>
      </c>
      <c r="F21" s="58">
        <f t="shared" ref="F21:G32" si="3">+IFERROR($C21-D21,"")</f>
        <v>-2</v>
      </c>
      <c r="G21" s="59">
        <f t="shared" si="3"/>
        <v>0</v>
      </c>
      <c r="H21" s="15">
        <f t="shared" ref="H21:H32" si="4">+IFERROR(F21/ABS($D21),"")</f>
        <v>-9.5238095238095233E-2</v>
      </c>
      <c r="I21" s="16">
        <f t="shared" ref="I21:I32" si="5">+IFERROR(G21/ABS($E21),"")</f>
        <v>0</v>
      </c>
      <c r="J21" s="17"/>
    </row>
    <row r="22" spans="1:10" x14ac:dyDescent="0.25">
      <c r="B22" s="18" t="s">
        <v>10</v>
      </c>
      <c r="C22" s="19">
        <v>24804.410000000033</v>
      </c>
      <c r="D22" s="19">
        <v>48650</v>
      </c>
      <c r="E22" s="19">
        <v>72699.010000000009</v>
      </c>
      <c r="F22" s="20">
        <f t="shared" si="3"/>
        <v>-23845.589999999967</v>
      </c>
      <c r="G22" s="21">
        <f t="shared" si="3"/>
        <v>-47894.599999999977</v>
      </c>
      <c r="H22" s="22">
        <f t="shared" si="4"/>
        <v>-0.49014573484069818</v>
      </c>
      <c r="I22" s="23">
        <f t="shared" si="5"/>
        <v>-0.65880677054611847</v>
      </c>
      <c r="J22" s="24"/>
    </row>
    <row r="23" spans="1:10" x14ac:dyDescent="0.25">
      <c r="B23" s="18" t="s">
        <v>11</v>
      </c>
      <c r="C23" s="19">
        <f>+C22/C21</f>
        <v>1305.4952631578965</v>
      </c>
      <c r="D23" s="19">
        <f>+D22/D21</f>
        <v>2316.6666666666665</v>
      </c>
      <c r="E23" s="19">
        <f>+E22/E21</f>
        <v>3826.2636842105267</v>
      </c>
      <c r="F23" s="20">
        <f t="shared" si="3"/>
        <v>-1011.17140350877</v>
      </c>
      <c r="G23" s="21">
        <f t="shared" si="3"/>
        <v>-2520.7684210526304</v>
      </c>
      <c r="H23" s="25">
        <f t="shared" si="4"/>
        <v>-0.43647686482392956</v>
      </c>
      <c r="I23" s="26">
        <f t="shared" si="5"/>
        <v>-0.65880677054611847</v>
      </c>
      <c r="J23" s="24"/>
    </row>
    <row r="24" spans="1:10" x14ac:dyDescent="0.25">
      <c r="B24" s="18" t="s">
        <v>12</v>
      </c>
      <c r="C24" s="19">
        <v>9171.7199999999993</v>
      </c>
      <c r="D24" s="19">
        <v>16123.24427480916</v>
      </c>
      <c r="E24" s="19">
        <v>23369.41</v>
      </c>
      <c r="F24" s="20">
        <f t="shared" si="3"/>
        <v>-6951.5242748091605</v>
      </c>
      <c r="G24" s="21">
        <f t="shared" si="3"/>
        <v>-14197.69</v>
      </c>
      <c r="H24" s="22">
        <f t="shared" si="4"/>
        <v>-0.43114922507687686</v>
      </c>
      <c r="I24" s="23">
        <f t="shared" si="5"/>
        <v>-0.60753309561516533</v>
      </c>
      <c r="J24" s="24"/>
    </row>
    <row r="25" spans="1:10" x14ac:dyDescent="0.25">
      <c r="B25" s="18" t="s">
        <v>13</v>
      </c>
      <c r="C25" s="27">
        <f>+C24/C22</f>
        <v>0.36976166738092087</v>
      </c>
      <c r="D25" s="27">
        <f>+D24/D22</f>
        <v>0.33141303750892415</v>
      </c>
      <c r="E25" s="27">
        <f>+E24/E22</f>
        <v>0.32145430866252506</v>
      </c>
      <c r="F25" s="28">
        <f t="shared" si="3"/>
        <v>3.834862987199672E-2</v>
      </c>
      <c r="G25" s="29">
        <f t="shared" si="3"/>
        <v>4.830735871839581E-2</v>
      </c>
      <c r="H25" s="22">
        <f t="shared" si="4"/>
        <v>0.11571249628634205</v>
      </c>
      <c r="I25" s="23">
        <f t="shared" si="5"/>
        <v>0.15027752752603701</v>
      </c>
      <c r="J25" s="24"/>
    </row>
    <row r="26" spans="1:10" x14ac:dyDescent="0.25">
      <c r="B26" s="18" t="s">
        <v>14</v>
      </c>
      <c r="C26" s="19">
        <v>13809.21</v>
      </c>
      <c r="D26" s="19">
        <v>34650</v>
      </c>
      <c r="E26" s="19">
        <v>37652.979999999996</v>
      </c>
      <c r="F26" s="20">
        <f t="shared" si="3"/>
        <v>-20840.79</v>
      </c>
      <c r="G26" s="21">
        <f t="shared" si="3"/>
        <v>-23843.769999999997</v>
      </c>
      <c r="H26" s="22">
        <f t="shared" si="4"/>
        <v>-0.60146580086580093</v>
      </c>
      <c r="I26" s="23">
        <f t="shared" si="5"/>
        <v>-0.63325054218816146</v>
      </c>
      <c r="J26" s="24"/>
    </row>
    <row r="27" spans="1:10" x14ac:dyDescent="0.25">
      <c r="B27" s="18" t="s">
        <v>15</v>
      </c>
      <c r="C27" s="19">
        <f>+C26/C21</f>
        <v>726.8005263157894</v>
      </c>
      <c r="D27" s="19">
        <f>+D26/D21</f>
        <v>1650</v>
      </c>
      <c r="E27" s="19">
        <f>+E26/E21</f>
        <v>1981.735789473684</v>
      </c>
      <c r="F27" s="20">
        <f t="shared" si="3"/>
        <v>-923.1994736842106</v>
      </c>
      <c r="G27" s="21">
        <f t="shared" si="3"/>
        <v>-1254.9352631578945</v>
      </c>
      <c r="H27" s="25">
        <f t="shared" si="4"/>
        <v>-0.55951483253588519</v>
      </c>
      <c r="I27" s="26">
        <f t="shared" si="5"/>
        <v>-0.63325054218816146</v>
      </c>
      <c r="J27" s="24"/>
    </row>
    <row r="28" spans="1:10" x14ac:dyDescent="0.25">
      <c r="B28" s="18" t="s">
        <v>16</v>
      </c>
      <c r="C28" s="19">
        <v>3687.21</v>
      </c>
      <c r="D28" s="19">
        <v>8662.5</v>
      </c>
      <c r="E28" s="19">
        <v>9156.26</v>
      </c>
      <c r="F28" s="20">
        <f t="shared" si="3"/>
        <v>-4975.29</v>
      </c>
      <c r="G28" s="21">
        <f t="shared" si="3"/>
        <v>-5469.05</v>
      </c>
      <c r="H28" s="22">
        <f t="shared" si="4"/>
        <v>-0.57434805194805194</v>
      </c>
      <c r="I28" s="23">
        <f t="shared" si="5"/>
        <v>-0.59730173673530462</v>
      </c>
      <c r="J28" s="24"/>
    </row>
    <row r="29" spans="1:10" x14ac:dyDescent="0.25">
      <c r="B29" s="18" t="s">
        <v>17</v>
      </c>
      <c r="C29" s="27">
        <f>+C28/C26</f>
        <v>0.26701092966216028</v>
      </c>
      <c r="D29" s="27">
        <f>+D28/D26</f>
        <v>0.25</v>
      </c>
      <c r="E29" s="27">
        <f>+E28/E26</f>
        <v>0.24317490939628156</v>
      </c>
      <c r="F29" s="28">
        <f t="shared" si="3"/>
        <v>1.7010929662160279E-2</v>
      </c>
      <c r="G29" s="30">
        <f t="shared" si="3"/>
        <v>2.3836020265878721E-2</v>
      </c>
      <c r="H29" s="22">
        <f t="shared" si="4"/>
        <v>6.8043718648641116E-2</v>
      </c>
      <c r="I29" s="23">
        <f t="shared" si="5"/>
        <v>9.8020064344036317E-2</v>
      </c>
      <c r="J29" s="24"/>
    </row>
    <row r="30" spans="1:10" x14ac:dyDescent="0.25">
      <c r="B30" s="18" t="s">
        <v>18</v>
      </c>
      <c r="C30" s="19">
        <v>18578.89</v>
      </c>
      <c r="D30" s="19">
        <v>21331.765999008891</v>
      </c>
      <c r="E30" s="19">
        <v>17184.75</v>
      </c>
      <c r="F30" s="20">
        <f t="shared" si="3"/>
        <v>-2752.8759990088911</v>
      </c>
      <c r="G30" s="21">
        <f t="shared" si="3"/>
        <v>1394.1399999999994</v>
      </c>
      <c r="H30" s="22">
        <f t="shared" si="4"/>
        <v>-0.12905054364166541</v>
      </c>
      <c r="I30" s="23">
        <f t="shared" si="5"/>
        <v>8.1126580252840419E-2</v>
      </c>
      <c r="J30" s="24"/>
    </row>
    <row r="31" spans="1:10" x14ac:dyDescent="0.25">
      <c r="B31" s="18" t="s">
        <v>19</v>
      </c>
      <c r="C31" s="19">
        <f>+C30/C21</f>
        <v>977.8363157894737</v>
      </c>
      <c r="D31" s="19">
        <f>+D30/D21</f>
        <v>1015.7983809051852</v>
      </c>
      <c r="E31" s="19">
        <f>+E30/E21</f>
        <v>904.46052631578948</v>
      </c>
      <c r="F31" s="20">
        <f t="shared" si="3"/>
        <v>-37.962065115711539</v>
      </c>
      <c r="G31" s="21">
        <f t="shared" si="3"/>
        <v>73.375789473684222</v>
      </c>
      <c r="H31" s="22">
        <f t="shared" si="4"/>
        <v>-3.7371653498682753E-2</v>
      </c>
      <c r="I31" s="23">
        <f>+IFERROR(G31/ABS($E31),"")</f>
        <v>8.1126580252840461E-2</v>
      </c>
      <c r="J31" s="24"/>
    </row>
    <row r="32" spans="1:10" x14ac:dyDescent="0.25">
      <c r="B32" s="18" t="s">
        <v>20</v>
      </c>
      <c r="C32" s="19">
        <v>10710</v>
      </c>
      <c r="D32" s="19">
        <v>15067.808823529413</v>
      </c>
      <c r="E32" s="19">
        <v>16115</v>
      </c>
      <c r="F32" s="20">
        <f t="shared" si="3"/>
        <v>-4357.8088235294126</v>
      </c>
      <c r="G32" s="21">
        <f t="shared" si="3"/>
        <v>-5405</v>
      </c>
      <c r="H32" s="22">
        <f t="shared" si="4"/>
        <v>-0.28921317456088219</v>
      </c>
      <c r="I32" s="23">
        <f t="shared" si="5"/>
        <v>-0.33540179956562211</v>
      </c>
      <c r="J32" s="24"/>
    </row>
    <row r="33" spans="2:10" x14ac:dyDescent="0.25">
      <c r="B33" s="31" t="s">
        <v>21</v>
      </c>
      <c r="C33" s="32"/>
      <c r="D33" s="32"/>
      <c r="E33" s="32"/>
      <c r="F33" s="33"/>
      <c r="G33" s="34"/>
      <c r="H33" s="60"/>
      <c r="I33" s="61"/>
      <c r="J33" s="24"/>
    </row>
    <row r="34" spans="2:10" x14ac:dyDescent="0.25">
      <c r="B34" s="37" t="s">
        <v>9</v>
      </c>
      <c r="C34" s="38">
        <v>38</v>
      </c>
      <c r="D34" s="38">
        <v>60</v>
      </c>
      <c r="E34" s="39">
        <v>43</v>
      </c>
      <c r="F34" s="40">
        <f>+IFERROR($C34-D34,"")</f>
        <v>-22</v>
      </c>
      <c r="G34" s="41">
        <f>+IFERROR($C34-E34,"")</f>
        <v>-5</v>
      </c>
      <c r="H34" s="28">
        <f>+IFERROR(F34/ABS($D34),"")</f>
        <v>-0.36666666666666664</v>
      </c>
      <c r="I34" s="42">
        <f>+IFERROR(G34/ABS($E34),"")</f>
        <v>-0.11627906976744186</v>
      </c>
      <c r="J34" s="24"/>
    </row>
    <row r="35" spans="2:10" x14ac:dyDescent="0.25">
      <c r="B35" s="43" t="s">
        <v>22</v>
      </c>
      <c r="C35" s="44">
        <v>1384955</v>
      </c>
      <c r="D35" s="44">
        <v>2270265</v>
      </c>
      <c r="E35" s="44">
        <v>1908500</v>
      </c>
      <c r="F35" s="45">
        <f>+IFERROR($C35-D35,"")</f>
        <v>-885310</v>
      </c>
      <c r="G35" s="46">
        <f>+IFERROR($C35-E35,"")</f>
        <v>-523545</v>
      </c>
      <c r="H35" s="47">
        <f>+IFERROR(F35/ABS($D35),"")</f>
        <v>-0.38995888145216528</v>
      </c>
      <c r="I35" s="48">
        <f>+IFERROR(G35/ABS($E35),"")</f>
        <v>-0.27432276657060517</v>
      </c>
      <c r="J35" s="49"/>
    </row>
    <row r="36" spans="2:10" x14ac:dyDescent="0.25">
      <c r="C36" s="50"/>
      <c r="D36" s="50"/>
      <c r="E36" s="50"/>
      <c r="F36" s="50"/>
      <c r="G36" s="50"/>
      <c r="H36" s="50"/>
      <c r="I36" s="50"/>
    </row>
    <row r="37" spans="2:10" x14ac:dyDescent="0.25">
      <c r="B37" s="62" t="s">
        <v>24</v>
      </c>
      <c r="C37" s="63" t="s">
        <v>1</v>
      </c>
      <c r="D37" s="63" t="s">
        <v>2</v>
      </c>
      <c r="E37" s="63">
        <f>$E$3</f>
        <v>2023</v>
      </c>
      <c r="F37" s="64" t="s">
        <v>3</v>
      </c>
      <c r="G37" s="65" t="str">
        <f>$G$3</f>
        <v>▲2023</v>
      </c>
      <c r="H37" s="64" t="s">
        <v>5</v>
      </c>
      <c r="I37" s="65" t="str">
        <f>$I$3</f>
        <v>% ▲ 2023</v>
      </c>
      <c r="J37" s="66" t="s">
        <v>7</v>
      </c>
    </row>
    <row r="38" spans="2:10" ht="28.15" customHeight="1" x14ac:dyDescent="0.25">
      <c r="B38" s="56" t="s">
        <v>25</v>
      </c>
      <c r="C38" s="67">
        <v>120621.65000000001</v>
      </c>
      <c r="D38" s="67">
        <v>145009.47793517626</v>
      </c>
      <c r="E38" s="67">
        <v>148695.46999999988</v>
      </c>
      <c r="F38" s="68">
        <f t="shared" ref="F38:G47" si="6">+IFERROR($C38-D38,"")</f>
        <v>-24387.827935176247</v>
      </c>
      <c r="G38" s="69">
        <f t="shared" si="6"/>
        <v>-28073.819999999876</v>
      </c>
      <c r="H38" s="15">
        <f t="shared" ref="H38:H47" si="7">+IFERROR(F38/ABS($D38),"")</f>
        <v>-0.16818092363644233</v>
      </c>
      <c r="I38" s="16">
        <f t="shared" ref="I38:I47" si="8">+IFERROR(G38/ABS($E38),"")</f>
        <v>-0.18880077516820046</v>
      </c>
      <c r="J38" s="17"/>
    </row>
    <row r="39" spans="2:10" x14ac:dyDescent="0.25">
      <c r="B39" s="56" t="s">
        <v>26</v>
      </c>
      <c r="C39" s="67">
        <v>81642.59</v>
      </c>
      <c r="D39" s="67">
        <v>97848.719766890601</v>
      </c>
      <c r="E39" s="67">
        <v>100577.8299999999</v>
      </c>
      <c r="F39" s="68">
        <f t="shared" si="6"/>
        <v>-16206.129766890605</v>
      </c>
      <c r="G39" s="69">
        <f t="shared" si="6"/>
        <v>-18935.239999999903</v>
      </c>
      <c r="H39" s="70">
        <f t="shared" si="7"/>
        <v>-0.16562434138636861</v>
      </c>
      <c r="I39" s="71">
        <f t="shared" si="8"/>
        <v>-0.18826455094527217</v>
      </c>
      <c r="J39" s="24"/>
    </row>
    <row r="40" spans="2:10" x14ac:dyDescent="0.25">
      <c r="B40" s="18" t="s">
        <v>27</v>
      </c>
      <c r="C40" s="19">
        <v>320.24373333333335</v>
      </c>
      <c r="D40" s="72">
        <v>324</v>
      </c>
      <c r="E40" s="19">
        <v>410.99406015037596</v>
      </c>
      <c r="F40" s="20">
        <f t="shared" si="6"/>
        <v>-3.7562666666666473</v>
      </c>
      <c r="G40" s="21">
        <f t="shared" si="6"/>
        <v>-90.750326817042605</v>
      </c>
      <c r="H40" s="22">
        <f t="shared" si="7"/>
        <v>-1.1593415637860023E-2</v>
      </c>
      <c r="I40" s="23">
        <f t="shared" si="8"/>
        <v>-0.22080690602642422</v>
      </c>
      <c r="J40" s="24"/>
    </row>
    <row r="41" spans="2:10" x14ac:dyDescent="0.25">
      <c r="B41" s="18" t="s">
        <v>28</v>
      </c>
      <c r="C41" s="19">
        <v>150.5548125</v>
      </c>
      <c r="D41" s="72">
        <v>145</v>
      </c>
      <c r="E41" s="19">
        <v>142.72117117117071</v>
      </c>
      <c r="F41" s="20">
        <f t="shared" si="6"/>
        <v>5.554812499999997</v>
      </c>
      <c r="G41" s="21">
        <f t="shared" si="6"/>
        <v>7.8336413288292874</v>
      </c>
      <c r="H41" s="22">
        <f t="shared" si="7"/>
        <v>3.8309051724137913E-2</v>
      </c>
      <c r="I41" s="23">
        <f t="shared" si="8"/>
        <v>5.4887731543585186E-2</v>
      </c>
      <c r="J41" s="24"/>
    </row>
    <row r="42" spans="2:10" x14ac:dyDescent="0.25">
      <c r="B42" s="18" t="s">
        <v>29</v>
      </c>
      <c r="C42" s="73">
        <v>-2537.21</v>
      </c>
      <c r="D42" s="73">
        <v>-2106.1986476841098</v>
      </c>
      <c r="E42" s="73">
        <v>-3684.12</v>
      </c>
      <c r="F42" s="20">
        <f t="shared" si="6"/>
        <v>-431.01135231589024</v>
      </c>
      <c r="G42" s="21">
        <f t="shared" si="6"/>
        <v>1146.9099999999999</v>
      </c>
      <c r="H42" s="22">
        <f t="shared" si="7"/>
        <v>-0.20463945924085211</v>
      </c>
      <c r="I42" s="23">
        <f t="shared" si="8"/>
        <v>0.31131179223260913</v>
      </c>
      <c r="J42" s="24"/>
    </row>
    <row r="43" spans="2:10" x14ac:dyDescent="0.25">
      <c r="B43" s="18" t="s">
        <v>30</v>
      </c>
      <c r="C43" s="19">
        <v>40591.800000000003</v>
      </c>
      <c r="D43" s="19">
        <v>56327.577390643739</v>
      </c>
      <c r="E43" s="19">
        <v>50278.960000000006</v>
      </c>
      <c r="F43" s="20">
        <f t="shared" si="6"/>
        <v>-15735.777390643736</v>
      </c>
      <c r="G43" s="21">
        <f t="shared" si="6"/>
        <v>-9687.1600000000035</v>
      </c>
      <c r="H43" s="22">
        <f t="shared" si="7"/>
        <v>-0.27936187067859797</v>
      </c>
      <c r="I43" s="23">
        <f t="shared" si="8"/>
        <v>-0.19266826521471411</v>
      </c>
      <c r="J43" s="24"/>
    </row>
    <row r="44" spans="2:10" x14ac:dyDescent="0.25">
      <c r="B44" s="74" t="s">
        <v>31</v>
      </c>
      <c r="C44" s="19">
        <v>20257.63</v>
      </c>
      <c r="D44" s="19">
        <v>32809.511043170452</v>
      </c>
      <c r="E44" s="19">
        <v>27709.57</v>
      </c>
      <c r="F44" s="20">
        <f t="shared" si="6"/>
        <v>-12551.881043170451</v>
      </c>
      <c r="G44" s="21">
        <f t="shared" si="6"/>
        <v>-7451.9399999999987</v>
      </c>
      <c r="H44" s="22">
        <f t="shared" si="7"/>
        <v>-0.38256836643053904</v>
      </c>
      <c r="I44" s="23">
        <f t="shared" si="8"/>
        <v>-0.26893019270959451</v>
      </c>
      <c r="J44" s="24"/>
    </row>
    <row r="45" spans="2:10" x14ac:dyDescent="0.25">
      <c r="B45" s="74" t="s">
        <v>32</v>
      </c>
      <c r="C45" s="19">
        <v>20334.169999999998</v>
      </c>
      <c r="D45" s="19">
        <v>23518.066347473286</v>
      </c>
      <c r="E45" s="19">
        <v>22569.39</v>
      </c>
      <c r="F45" s="20">
        <f t="shared" si="6"/>
        <v>-3183.8963474732882</v>
      </c>
      <c r="G45" s="21">
        <f t="shared" si="6"/>
        <v>-2235.2200000000012</v>
      </c>
      <c r="H45" s="22">
        <f t="shared" si="7"/>
        <v>-0.13538087274829705</v>
      </c>
      <c r="I45" s="23">
        <f t="shared" si="8"/>
        <v>-9.9037678909354721E-2</v>
      </c>
      <c r="J45" s="24"/>
    </row>
    <row r="46" spans="2:10" x14ac:dyDescent="0.25">
      <c r="B46" s="18" t="s">
        <v>33</v>
      </c>
      <c r="C46" s="75">
        <f>+C43/C38</f>
        <v>0.33652167749321948</v>
      </c>
      <c r="D46" s="75">
        <f>+D43/D38</f>
        <v>0.38844066051892084</v>
      </c>
      <c r="E46" s="75">
        <f>+E43/E38</f>
        <v>0.33813377098845071</v>
      </c>
      <c r="F46" s="28">
        <f t="shared" si="6"/>
        <v>-5.191898302570136E-2</v>
      </c>
      <c r="G46" s="29">
        <f t="shared" si="6"/>
        <v>-1.612093495231226E-3</v>
      </c>
      <c r="H46" s="22">
        <f t="shared" si="7"/>
        <v>-0.13366001117478896</v>
      </c>
      <c r="I46" s="23">
        <f t="shared" si="8"/>
        <v>-4.7676204909041422E-3</v>
      </c>
      <c r="J46" s="24"/>
    </row>
    <row r="47" spans="2:10" x14ac:dyDescent="0.25">
      <c r="B47" s="76" t="s">
        <v>34</v>
      </c>
      <c r="C47" s="77">
        <v>5294.89</v>
      </c>
      <c r="D47" s="77">
        <v>4822.7083333333339</v>
      </c>
      <c r="E47" s="77">
        <v>4520.8499999999904</v>
      </c>
      <c r="F47" s="45">
        <f t="shared" si="6"/>
        <v>472.18166666666639</v>
      </c>
      <c r="G47" s="46">
        <f t="shared" si="6"/>
        <v>774.04000000000997</v>
      </c>
      <c r="H47" s="78">
        <f t="shared" si="7"/>
        <v>9.7907987386064127E-2</v>
      </c>
      <c r="I47" s="48">
        <f t="shared" si="8"/>
        <v>0.17121558998861092</v>
      </c>
      <c r="J47" s="49"/>
    </row>
    <row r="48" spans="2:10" x14ac:dyDescent="0.25">
      <c r="C48" s="50"/>
      <c r="D48" s="50"/>
      <c r="E48" s="50"/>
      <c r="F48" s="50"/>
      <c r="G48" s="50"/>
      <c r="H48" s="50"/>
      <c r="I48" s="50"/>
    </row>
    <row r="49" spans="2:10" x14ac:dyDescent="0.25">
      <c r="B49" s="79" t="s">
        <v>35</v>
      </c>
      <c r="C49" s="80" t="s">
        <v>1</v>
      </c>
      <c r="D49" s="80" t="s">
        <v>2</v>
      </c>
      <c r="E49" s="80">
        <f>$E$3</f>
        <v>2023</v>
      </c>
      <c r="F49" s="81" t="s">
        <v>3</v>
      </c>
      <c r="G49" s="82" t="str">
        <f>$G$3</f>
        <v>▲2023</v>
      </c>
      <c r="H49" s="81" t="s">
        <v>5</v>
      </c>
      <c r="I49" s="82" t="str">
        <f>$I$3</f>
        <v>% ▲ 2023</v>
      </c>
      <c r="J49" s="83" t="s">
        <v>7</v>
      </c>
    </row>
    <row r="50" spans="2:10" ht="14.45" customHeight="1" x14ac:dyDescent="0.25">
      <c r="B50" s="84" t="s">
        <v>25</v>
      </c>
      <c r="C50" s="67">
        <v>222300.82</v>
      </c>
      <c r="D50" s="67">
        <v>285316.02931719238</v>
      </c>
      <c r="E50" s="67">
        <v>244586.49999999988</v>
      </c>
      <c r="F50" s="68">
        <f t="shared" ref="F50:G59" si="9">+IFERROR($C50-D50,"")</f>
        <v>-63015.209317192377</v>
      </c>
      <c r="G50" s="69">
        <f t="shared" si="9"/>
        <v>-22285.679999999877</v>
      </c>
      <c r="H50" s="15">
        <f t="shared" ref="H50:H59" si="10">+IFERROR(F50/ABS($D50),"")</f>
        <v>-0.22086109030746717</v>
      </c>
      <c r="I50" s="16">
        <f t="shared" ref="I50:I59" si="11">+IFERROR(G50/ABS($E50),"")</f>
        <v>-9.1115740239137835E-2</v>
      </c>
      <c r="J50" s="17"/>
    </row>
    <row r="51" spans="2:10" x14ac:dyDescent="0.25">
      <c r="B51" s="85" t="s">
        <v>36</v>
      </c>
      <c r="C51" s="19">
        <v>49580.33</v>
      </c>
      <c r="D51" s="19">
        <v>59700.698236231758</v>
      </c>
      <c r="E51" s="19">
        <v>55468.07</v>
      </c>
      <c r="F51" s="20">
        <f t="shared" si="9"/>
        <v>-10120.368236231756</v>
      </c>
      <c r="G51" s="21">
        <f t="shared" si="9"/>
        <v>-5887.739999999998</v>
      </c>
      <c r="H51" s="22">
        <f t="shared" si="10"/>
        <v>-0.1695184233220543</v>
      </c>
      <c r="I51" s="23">
        <f t="shared" si="11"/>
        <v>-0.10614647309704481</v>
      </c>
      <c r="J51" s="24"/>
    </row>
    <row r="52" spans="2:10" x14ac:dyDescent="0.25">
      <c r="B52" s="85" t="s">
        <v>37</v>
      </c>
      <c r="C52" s="19">
        <v>54623.009999999995</v>
      </c>
      <c r="D52" s="19">
        <v>70281.976189741894</v>
      </c>
      <c r="E52" s="19">
        <v>57968.029999999897</v>
      </c>
      <c r="F52" s="20">
        <f t="shared" si="9"/>
        <v>-15658.966189741899</v>
      </c>
      <c r="G52" s="21">
        <f t="shared" si="9"/>
        <v>-3345.0199999999022</v>
      </c>
      <c r="H52" s="22">
        <f t="shared" si="10"/>
        <v>-0.22280201893394436</v>
      </c>
      <c r="I52" s="23">
        <f t="shared" si="11"/>
        <v>-5.7704565775305944E-2</v>
      </c>
      <c r="J52" s="24"/>
    </row>
    <row r="53" spans="2:10" x14ac:dyDescent="0.25">
      <c r="B53" s="85" t="s">
        <v>38</v>
      </c>
      <c r="C53" s="19">
        <v>21210.63</v>
      </c>
      <c r="D53" s="19">
        <v>63558.350938444746</v>
      </c>
      <c r="E53" s="19">
        <v>41522.28</v>
      </c>
      <c r="F53" s="20">
        <f t="shared" si="9"/>
        <v>-42347.720938444749</v>
      </c>
      <c r="G53" s="21">
        <f t="shared" si="9"/>
        <v>-20311.649999999998</v>
      </c>
      <c r="H53" s="22">
        <f t="shared" si="10"/>
        <v>-0.66628098925124479</v>
      </c>
      <c r="I53" s="23">
        <f t="shared" si="11"/>
        <v>-0.48917472739936241</v>
      </c>
      <c r="J53" s="24"/>
    </row>
    <row r="54" spans="2:10" x14ac:dyDescent="0.25">
      <c r="B54" s="85" t="s">
        <v>39</v>
      </c>
      <c r="C54" s="19">
        <v>44840.24</v>
      </c>
      <c r="D54" s="19">
        <v>34567.699705862899</v>
      </c>
      <c r="E54" s="19">
        <v>35587.9</v>
      </c>
      <c r="F54" s="20">
        <f t="shared" si="9"/>
        <v>10272.540294137099</v>
      </c>
      <c r="G54" s="21">
        <f t="shared" si="9"/>
        <v>9252.3399999999965</v>
      </c>
      <c r="H54" s="22">
        <f t="shared" si="10"/>
        <v>0.29717164814396985</v>
      </c>
      <c r="I54" s="23">
        <f t="shared" si="11"/>
        <v>0.25998555688871766</v>
      </c>
      <c r="J54" s="24"/>
    </row>
    <row r="55" spans="2:10" x14ac:dyDescent="0.25">
      <c r="B55" s="85" t="s">
        <v>40</v>
      </c>
      <c r="C55" s="19">
        <f>+C50-SUM(C51:C54)</f>
        <v>52046.610000000015</v>
      </c>
      <c r="D55" s="19">
        <f>+D50-SUM(D51:D54)</f>
        <v>57207.304246911081</v>
      </c>
      <c r="E55" s="19">
        <f>+E50-SUM(E51:E54)</f>
        <v>54040.22</v>
      </c>
      <c r="F55" s="20">
        <f t="shared" si="9"/>
        <v>-5160.6942469110654</v>
      </c>
      <c r="G55" s="21">
        <f t="shared" si="9"/>
        <v>-1993.609999999986</v>
      </c>
      <c r="H55" s="22">
        <f t="shared" si="10"/>
        <v>-9.021040782899184E-2</v>
      </c>
      <c r="I55" s="23">
        <f t="shared" si="11"/>
        <v>-3.6891226571616212E-2</v>
      </c>
      <c r="J55" s="24"/>
    </row>
    <row r="56" spans="2:10" x14ac:dyDescent="0.25">
      <c r="B56" s="56" t="s">
        <v>26</v>
      </c>
      <c r="C56" s="67">
        <v>73340.75999999998</v>
      </c>
      <c r="D56" s="67">
        <v>92785.217829745758</v>
      </c>
      <c r="E56" s="67">
        <v>79851.369999999661</v>
      </c>
      <c r="F56" s="68">
        <f t="shared" si="9"/>
        <v>-19444.457829745777</v>
      </c>
      <c r="G56" s="69">
        <f t="shared" si="9"/>
        <v>-6510.6099999996804</v>
      </c>
      <c r="H56" s="70">
        <f t="shared" si="10"/>
        <v>-0.20956417718849318</v>
      </c>
      <c r="I56" s="71">
        <f t="shared" si="11"/>
        <v>-8.153410517564956E-2</v>
      </c>
      <c r="J56" s="24"/>
    </row>
    <row r="57" spans="2:10" x14ac:dyDescent="0.25">
      <c r="B57" s="18" t="s">
        <v>27</v>
      </c>
      <c r="C57" s="19">
        <v>330.53553333333332</v>
      </c>
      <c r="D57" s="72">
        <v>301</v>
      </c>
      <c r="E57" s="19">
        <v>417.05315789473684</v>
      </c>
      <c r="F57" s="20">
        <f t="shared" si="9"/>
        <v>29.535533333333319</v>
      </c>
      <c r="G57" s="21">
        <f t="shared" si="9"/>
        <v>-86.517624561403522</v>
      </c>
      <c r="H57" s="22">
        <f t="shared" si="10"/>
        <v>9.8124695459579137E-2</v>
      </c>
      <c r="I57" s="23">
        <f t="shared" si="11"/>
        <v>-0.20744987281271313</v>
      </c>
      <c r="J57" s="24"/>
    </row>
    <row r="58" spans="2:10" x14ac:dyDescent="0.25">
      <c r="B58" s="18" t="s">
        <v>28</v>
      </c>
      <c r="C58" s="19">
        <v>341.39381249999997</v>
      </c>
      <c r="D58" s="72">
        <v>306</v>
      </c>
      <c r="E58" s="19">
        <v>261.11725225225177</v>
      </c>
      <c r="F58" s="20">
        <f t="shared" si="9"/>
        <v>35.393812499999967</v>
      </c>
      <c r="G58" s="21">
        <f t="shared" si="9"/>
        <v>80.276560247748193</v>
      </c>
      <c r="H58" s="22">
        <f t="shared" si="10"/>
        <v>0.11566605392156852</v>
      </c>
      <c r="I58" s="23">
        <f t="shared" si="11"/>
        <v>0.30743491498676306</v>
      </c>
      <c r="J58" s="24"/>
    </row>
    <row r="59" spans="2:10" x14ac:dyDescent="0.25">
      <c r="B59" s="76" t="s">
        <v>41</v>
      </c>
      <c r="C59" s="77">
        <v>8667.3700000000008</v>
      </c>
      <c r="D59" s="77">
        <v>13513.435114503816</v>
      </c>
      <c r="E59" s="77">
        <v>13736.63</v>
      </c>
      <c r="F59" s="45">
        <f t="shared" si="9"/>
        <v>-4846.0651145038155</v>
      </c>
      <c r="G59" s="46">
        <f t="shared" si="9"/>
        <v>-5069.2599999999984</v>
      </c>
      <c r="H59" s="78">
        <f t="shared" si="10"/>
        <v>-0.3586108989639939</v>
      </c>
      <c r="I59" s="86">
        <f t="shared" si="11"/>
        <v>-0.36903228812306937</v>
      </c>
      <c r="J59" s="49"/>
    </row>
    <row r="61" spans="2:10" x14ac:dyDescent="0.25">
      <c r="B61" s="87" t="s">
        <v>42</v>
      </c>
      <c r="C61" s="88" t="s">
        <v>1</v>
      </c>
      <c r="D61" s="88" t="s">
        <v>2</v>
      </c>
      <c r="E61" s="88">
        <f>$E$3</f>
        <v>2023</v>
      </c>
      <c r="F61" s="89" t="s">
        <v>3</v>
      </c>
      <c r="G61" s="90" t="str">
        <f>$G$3</f>
        <v>▲2023</v>
      </c>
      <c r="H61" s="89" t="s">
        <v>5</v>
      </c>
      <c r="I61" s="90" t="str">
        <f>$I$3</f>
        <v>% ▲ 2023</v>
      </c>
      <c r="J61" s="91" t="s">
        <v>7</v>
      </c>
    </row>
    <row r="62" spans="2:10" ht="18" customHeight="1" x14ac:dyDescent="0.25">
      <c r="B62" s="92" t="s">
        <v>43</v>
      </c>
      <c r="C62" s="93">
        <v>0.46755153803816263</v>
      </c>
      <c r="D62" s="93">
        <v>0.38093050532135792</v>
      </c>
      <c r="E62" s="93">
        <v>0.30968051897713667</v>
      </c>
      <c r="F62" s="28">
        <f t="shared" ref="F62:G67" si="12">+IFERROR($C62-D62,"")</f>
        <v>8.6621032716804713E-2</v>
      </c>
      <c r="G62" s="29">
        <f t="shared" si="12"/>
        <v>0.15787101906102596</v>
      </c>
      <c r="H62" s="22">
        <f t="shared" ref="H62:H67" si="13">+IFERROR(F62/ABS($D62),"")</f>
        <v>0.22739326860612039</v>
      </c>
      <c r="I62" s="23">
        <f t="shared" ref="I62:I67" si="14">+IFERROR(G62/ABS($E62),"")</f>
        <v>0.50978672982875417</v>
      </c>
      <c r="J62" s="17" t="s">
        <v>44</v>
      </c>
    </row>
    <row r="63" spans="2:10" x14ac:dyDescent="0.25">
      <c r="B63" s="94" t="s">
        <v>45</v>
      </c>
      <c r="C63" s="95">
        <v>21.5</v>
      </c>
      <c r="D63" s="95">
        <v>23.5</v>
      </c>
      <c r="E63" s="95">
        <v>23.5</v>
      </c>
      <c r="F63" s="96">
        <f t="shared" si="12"/>
        <v>-2</v>
      </c>
      <c r="G63" s="97">
        <f t="shared" si="12"/>
        <v>-2</v>
      </c>
      <c r="H63" s="22">
        <f t="shared" si="13"/>
        <v>-8.5106382978723402E-2</v>
      </c>
      <c r="I63" s="23">
        <f t="shared" si="14"/>
        <v>-8.5106382978723402E-2</v>
      </c>
      <c r="J63" s="24"/>
    </row>
    <row r="64" spans="2:10" x14ac:dyDescent="0.25">
      <c r="B64" s="92" t="s">
        <v>46</v>
      </c>
      <c r="C64" s="19">
        <v>24967.32</v>
      </c>
      <c r="D64" s="19">
        <v>23728.50678213533</v>
      </c>
      <c r="E64" s="19">
        <v>23538.850000000002</v>
      </c>
      <c r="F64" s="20">
        <f t="shared" si="12"/>
        <v>1238.8132178646702</v>
      </c>
      <c r="G64" s="21">
        <f t="shared" si="12"/>
        <v>1428.4699999999975</v>
      </c>
      <c r="H64" s="22">
        <f t="shared" si="13"/>
        <v>5.2207803434025833E-2</v>
      </c>
      <c r="I64" s="23">
        <f t="shared" si="14"/>
        <v>6.0685632475673087E-2</v>
      </c>
      <c r="J64" s="24"/>
    </row>
    <row r="65" spans="2:10" x14ac:dyDescent="0.25">
      <c r="B65" s="92" t="s">
        <v>47</v>
      </c>
      <c r="C65" s="19">
        <v>63557.150000000009</v>
      </c>
      <c r="D65" s="19">
        <v>62327.117844067812</v>
      </c>
      <c r="E65" s="19">
        <v>64216.470000000008</v>
      </c>
      <c r="F65" s="20">
        <f t="shared" si="12"/>
        <v>1230.0321559321965</v>
      </c>
      <c r="G65" s="21">
        <f t="shared" si="12"/>
        <v>-659.31999999999971</v>
      </c>
      <c r="H65" s="22">
        <f t="shared" si="13"/>
        <v>1.9735104052292847E-2</v>
      </c>
      <c r="I65" s="23">
        <f t="shared" si="14"/>
        <v>-1.0267147976212327E-2</v>
      </c>
      <c r="J65" s="24"/>
    </row>
    <row r="66" spans="2:10" x14ac:dyDescent="0.25">
      <c r="B66" s="92" t="s">
        <v>48</v>
      </c>
      <c r="C66" s="19">
        <v>40444.959999999999</v>
      </c>
      <c r="D66" s="19">
        <v>37185.632177340136</v>
      </c>
      <c r="E66" s="19">
        <v>20513.84</v>
      </c>
      <c r="F66" s="20">
        <f t="shared" si="12"/>
        <v>3259.3278226598632</v>
      </c>
      <c r="G66" s="21">
        <f t="shared" si="12"/>
        <v>19931.12</v>
      </c>
      <c r="H66" s="22">
        <f t="shared" si="13"/>
        <v>8.7650192609768363E-2</v>
      </c>
      <c r="I66" s="23">
        <f t="shared" si="14"/>
        <v>0.97159381178755411</v>
      </c>
      <c r="J66" s="24"/>
    </row>
    <row r="67" spans="2:10" x14ac:dyDescent="0.25">
      <c r="B67" s="98" t="s">
        <v>49</v>
      </c>
      <c r="C67" s="77">
        <v>23369.67</v>
      </c>
      <c r="D67" s="77">
        <v>20119.78283076924</v>
      </c>
      <c r="E67" s="77">
        <v>30598.549999999988</v>
      </c>
      <c r="F67" s="45">
        <f t="shared" si="12"/>
        <v>3249.8871692307584</v>
      </c>
      <c r="G67" s="46">
        <f t="shared" si="12"/>
        <v>-7228.8799999999901</v>
      </c>
      <c r="H67" s="47">
        <f t="shared" si="13"/>
        <v>0.16152695069156994</v>
      </c>
      <c r="I67" s="48">
        <f t="shared" si="14"/>
        <v>-0.23624910330718263</v>
      </c>
      <c r="J67" s="49"/>
    </row>
    <row r="69" spans="2:10" x14ac:dyDescent="0.25">
      <c r="B69" s="99" t="s">
        <v>50</v>
      </c>
      <c r="C69" s="100" t="s">
        <v>1</v>
      </c>
      <c r="D69" s="100" t="s">
        <v>2</v>
      </c>
      <c r="E69" s="100">
        <f>$E$3</f>
        <v>2023</v>
      </c>
      <c r="F69" s="101" t="s">
        <v>3</v>
      </c>
      <c r="G69" s="102" t="str">
        <f>$G$3</f>
        <v>▲2023</v>
      </c>
      <c r="H69" s="101" t="s">
        <v>5</v>
      </c>
      <c r="I69" s="102" t="str">
        <f>$I$3</f>
        <v>% ▲ 2023</v>
      </c>
      <c r="J69" s="103" t="s">
        <v>7</v>
      </c>
    </row>
    <row r="70" spans="2:10" ht="15" customHeight="1" x14ac:dyDescent="0.25">
      <c r="B70" s="104" t="s">
        <v>51</v>
      </c>
      <c r="C70" s="105">
        <v>93992.34</v>
      </c>
      <c r="D70" s="105">
        <v>119599.94675545191</v>
      </c>
      <c r="E70" s="105">
        <v>138137.60999999999</v>
      </c>
      <c r="F70" s="106">
        <f t="shared" ref="F70:G77" si="15">+IFERROR($C70-D70,"")</f>
        <v>-25607.60675545191</v>
      </c>
      <c r="G70" s="107">
        <f t="shared" si="15"/>
        <v>-44145.26999999999</v>
      </c>
      <c r="H70" s="28">
        <f t="shared" ref="H70:H77" si="16">+IFERROR(F70/ABS($D70),"")</f>
        <v>-0.21411051969623557</v>
      </c>
      <c r="I70" s="42">
        <f t="shared" ref="I70:I77" si="17">+IFERROR(G70/ABS($E70),"")</f>
        <v>-0.31957458942571826</v>
      </c>
      <c r="J70" s="17"/>
    </row>
    <row r="71" spans="2:10" x14ac:dyDescent="0.25">
      <c r="B71" s="104" t="s">
        <v>52</v>
      </c>
      <c r="C71" s="93">
        <v>0.33566252111096484</v>
      </c>
      <c r="D71" s="93">
        <v>0.27673798183574527</v>
      </c>
      <c r="E71" s="93">
        <v>0.2772802778230255</v>
      </c>
      <c r="F71" s="28">
        <f t="shared" si="15"/>
        <v>5.8924539275219567E-2</v>
      </c>
      <c r="G71" s="29">
        <f t="shared" si="15"/>
        <v>5.8382243287939339E-2</v>
      </c>
      <c r="H71" s="28">
        <f t="shared" si="16"/>
        <v>0.2129253775876474</v>
      </c>
      <c r="I71" s="42">
        <f t="shared" si="17"/>
        <v>0.21055317654147002</v>
      </c>
      <c r="J71" s="24"/>
    </row>
    <row r="72" spans="2:10" x14ac:dyDescent="0.25">
      <c r="B72" s="104" t="s">
        <v>53</v>
      </c>
      <c r="C72" s="19">
        <v>246608.39000000004</v>
      </c>
      <c r="D72" s="19">
        <v>282444.92221533635</v>
      </c>
      <c r="E72" s="19">
        <v>272421.54999999993</v>
      </c>
      <c r="F72" s="108">
        <f t="shared" si="15"/>
        <v>-35836.532215336309</v>
      </c>
      <c r="G72" s="109">
        <f t="shared" si="15"/>
        <v>-25813.159999999887</v>
      </c>
      <c r="H72" s="28">
        <f>+IFERROR(F72/ABS($D72),"")</f>
        <v>-0.12687971847486249</v>
      </c>
      <c r="I72" s="42">
        <f t="shared" si="17"/>
        <v>-9.4754471516661928E-2</v>
      </c>
      <c r="J72" s="24"/>
    </row>
    <row r="73" spans="2:10" x14ac:dyDescent="0.25">
      <c r="B73" s="104" t="s">
        <v>54</v>
      </c>
      <c r="C73" s="93">
        <v>0.88068021196744406</v>
      </c>
      <c r="D73" s="93">
        <v>0.65353906815232921</v>
      </c>
      <c r="E73" s="93">
        <v>0.54682517721986956</v>
      </c>
      <c r="F73" s="28">
        <f t="shared" si="15"/>
        <v>0.22714114381511485</v>
      </c>
      <c r="G73" s="29">
        <f t="shared" si="15"/>
        <v>0.3338550347475745</v>
      </c>
      <c r="H73" s="28">
        <f t="shared" si="16"/>
        <v>0.34755557071329052</v>
      </c>
      <c r="I73" s="42">
        <f t="shared" si="17"/>
        <v>0.61053340017176416</v>
      </c>
      <c r="J73" s="24"/>
    </row>
    <row r="74" spans="2:10" s="110" customFormat="1" x14ac:dyDescent="0.25">
      <c r="B74" s="84" t="s">
        <v>55</v>
      </c>
      <c r="C74" s="67">
        <v>33340.589999999975</v>
      </c>
      <c r="D74" s="67">
        <v>146921.467858463</v>
      </c>
      <c r="E74" s="67">
        <v>237769.47999999937</v>
      </c>
      <c r="F74" s="68">
        <f t="shared" si="15"/>
        <v>-113580.87785846303</v>
      </c>
      <c r="G74" s="69">
        <f t="shared" si="15"/>
        <v>-204428.8899999994</v>
      </c>
      <c r="H74" s="70">
        <f t="shared" si="16"/>
        <v>-0.77307203306654493</v>
      </c>
      <c r="I74" s="71">
        <f t="shared" si="17"/>
        <v>-0.85977767205446198</v>
      </c>
      <c r="J74" s="24"/>
    </row>
    <row r="75" spans="2:10" x14ac:dyDescent="0.25">
      <c r="B75" s="18" t="s">
        <v>56</v>
      </c>
      <c r="C75" s="111">
        <v>1.1456505308848541E-2</v>
      </c>
      <c r="D75" s="111">
        <v>3.5866736213559687E-2</v>
      </c>
      <c r="E75" s="111">
        <v>4.5803812569980548E-2</v>
      </c>
      <c r="F75" s="112">
        <f t="shared" si="15"/>
        <v>-2.4410230904711144E-2</v>
      </c>
      <c r="G75" s="113">
        <f t="shared" si="15"/>
        <v>-3.4347307261132005E-2</v>
      </c>
      <c r="H75" s="22">
        <f t="shared" si="16"/>
        <v>-0.68058132636787494</v>
      </c>
      <c r="I75" s="23">
        <f t="shared" si="17"/>
        <v>-0.74987878375091765</v>
      </c>
      <c r="J75" s="24"/>
    </row>
    <row r="76" spans="2:10" s="110" customFormat="1" x14ac:dyDescent="0.25">
      <c r="B76" s="84" t="s">
        <v>57</v>
      </c>
      <c r="C76" s="67">
        <v>-24325.840000000026</v>
      </c>
      <c r="D76" s="67">
        <v>97955.726391505392</v>
      </c>
      <c r="E76" s="67">
        <v>197735.63999999937</v>
      </c>
      <c r="F76" s="68">
        <f t="shared" si="15"/>
        <v>-122281.56639150542</v>
      </c>
      <c r="G76" s="69">
        <f t="shared" si="15"/>
        <v>-222061.4799999994</v>
      </c>
      <c r="H76" s="70">
        <f t="shared" si="16"/>
        <v>-1.2483350478437116</v>
      </c>
      <c r="I76" s="71">
        <f t="shared" si="17"/>
        <v>-1.1230220308286363</v>
      </c>
      <c r="J76" s="24"/>
    </row>
    <row r="77" spans="2:10" x14ac:dyDescent="0.25">
      <c r="B77" s="114" t="s">
        <v>58</v>
      </c>
      <c r="C77" s="115">
        <v>-8.358853730608868E-3</v>
      </c>
      <c r="D77" s="115">
        <v>2.391313026137435E-2</v>
      </c>
      <c r="E77" s="115">
        <v>3.8091710479263963E-2</v>
      </c>
      <c r="F77" s="116">
        <f t="shared" si="15"/>
        <v>-3.2271983991983222E-2</v>
      </c>
      <c r="G77" s="117">
        <f t="shared" si="15"/>
        <v>-4.6450564209872827E-2</v>
      </c>
      <c r="H77" s="78">
        <f t="shared" si="16"/>
        <v>-1.3495507965391924</v>
      </c>
      <c r="I77" s="86">
        <f t="shared" si="17"/>
        <v>-1.2194402305761298</v>
      </c>
      <c r="J77" s="49"/>
    </row>
  </sheetData>
  <mergeCells count="7">
    <mergeCell ref="J70:J77"/>
    <mergeCell ref="B1:J1"/>
    <mergeCell ref="J4:J18"/>
    <mergeCell ref="J21:J35"/>
    <mergeCell ref="J38:J47"/>
    <mergeCell ref="J50:J59"/>
    <mergeCell ref="J62:J6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2pager</vt:lpstr>
      <vt:lpstr>'2pager'!Impression_des_titres</vt:lpstr>
      <vt:lpstr>'2pager'!Zone_d_impression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2024-09-11T19:18:49Z</dcterms:created>
  <dcterms:modified xsi:type="dcterms:W3CDTF">2024-09-11T19:22:10Z</dcterms:modified>
</cp:coreProperties>
</file>