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8_{A6A115AE-34AE-48A5-BA4E-9D005A92931C}" xr6:coauthVersionLast="47" xr6:coauthVersionMax="47" xr10:uidLastSave="{00000000-0000-0000-0000-000000000000}"/>
  <bookViews>
    <workbookView xWindow="28680" yWindow="-120" windowWidth="29040" windowHeight="15720" xr2:uid="{0073D8E6-0E25-4143-A1BA-B61B71B99559}"/>
  </bookViews>
  <sheets>
    <sheet name="2pager" sheetId="1" r:id="rId1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0" hidden="1">{"Page1",#N/A,FALSE,"CompCo";"Page2",#N/A,FALSE,"CompCo"}</definedName>
    <definedName name="Compco1" hidden="1">{"Page1",#N/A,FALSE,"CompCo";"Page2",#N/A,FALSE,"CompCo"}</definedName>
    <definedName name="Compco2" localSheetId="0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hidden="1">OFFSET(#REF!,5,0,COUNTA(#REF!)-COUNTA(#REF!),1)</definedName>
    <definedName name="DateRangePrice" hidden="1">OFFSET(#REF!,5,0,COUNTA(#REF!)-COUNTA(#REF!),1)</definedName>
    <definedName name="DateRangePrice1" hidden="1">OFFSET(#REF!,5,0,COUNTA(#REF!)-COUNTA(#REF!),1)</definedName>
    <definedName name="DateRangePrice2" hidden="1">OFFSET(#REF!,5,0,COUNTA(#REF!)-COUNTA(#REF!),1)</definedName>
    <definedName name="ERT" localSheetId="0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0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0" hidden="1">{"finana",#N/A,FALSE,"Fin"}</definedName>
    <definedName name="kjjkghkhj" hidden="1">{"finana",#N/A,FALSE,"Fin"}</definedName>
    <definedName name="limcount" hidden="1">1</definedName>
    <definedName name="lkhkhj" localSheetId="0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0" hidden="1">{"execsum",#N/A,FALSE,"ExecSum";"finstatement",#N/A,FALSE,"Fin_St"}</definedName>
    <definedName name="test" hidden="1">{"execsum",#N/A,FALSE,"ExecSum";"finstatement",#N/A,FALSE,"Fin_St"}</definedName>
    <definedName name="test21" hidden="1">OFFSET(#REF!,5,0,COUNTA(#REF!)-COUNTA(#REF!),1)</definedName>
    <definedName name="Ticker" hidden="1">#N/A</definedName>
    <definedName name="Titre">#REF!</definedName>
    <definedName name="value" hidden="1">OFFSET(#REF!,5,0,COUNTA(#REF!)-COUNTA(#REF!),1)</definedName>
    <definedName name="value2" hidden="1">OFFSET(#REF!,5,0,COUNTA(#REF!)-COUNTA(#REF!),1)</definedName>
    <definedName name="wrn.amendement." localSheetId="0" hidden="1">{#N/A,#N/A,FALSE,"amendement"}</definedName>
    <definedName name="wrn.amendement." hidden="1">{#N/A,#N/A,FALSE,"amendement"}</definedName>
    <definedName name="wrn.amendement.." localSheetId="0" hidden="1">{#N/A,#N/A,FALSE,"amendement"}</definedName>
    <definedName name="wrn.amendement.." hidden="1">{#N/A,#N/A,FALSE,"amendement"}</definedName>
    <definedName name="wrn.COMPCO." localSheetId="0" hidden="1">{"Page1",#N/A,FALSE,"CompCo";"Page2",#N/A,FALSE,"CompCo"}</definedName>
    <definedName name="wrn.COMPCO." hidden="1">{"Page1",#N/A,FALSE,"CompCo";"Page2",#N/A,FALSE,"CompCo"}</definedName>
    <definedName name="wrn.Delchamps.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0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0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0" hidden="1">{"finana",#N/A,FALSE,"Fin"}</definedName>
    <definedName name="wrn.Finanalysis." hidden="1">{"finana",#N/A,FALSE,"Fin"}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0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0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0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0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0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0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0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0">'2pager'!$A$1:$K$78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7" i="1" l="1"/>
  <c r="H77" i="1" s="1"/>
  <c r="F76" i="1"/>
  <c r="H76" i="1" s="1"/>
  <c r="G77" i="1"/>
  <c r="I77" i="1" s="1"/>
  <c r="G74" i="1"/>
  <c r="I74" i="1" s="1"/>
  <c r="F74" i="1"/>
  <c r="H74" i="1" s="1"/>
  <c r="F72" i="1"/>
  <c r="H72" i="1" s="1"/>
  <c r="G72" i="1"/>
  <c r="I72" i="1" s="1"/>
  <c r="I69" i="1"/>
  <c r="G69" i="1"/>
  <c r="E69" i="1"/>
  <c r="G66" i="1"/>
  <c r="I66" i="1" s="1"/>
  <c r="F66" i="1"/>
  <c r="H66" i="1" s="1"/>
  <c r="G65" i="1"/>
  <c r="I65" i="1" s="1"/>
  <c r="G64" i="1"/>
  <c r="I64" i="1" s="1"/>
  <c r="F64" i="1"/>
  <c r="H64" i="1" s="1"/>
  <c r="I63" i="1"/>
  <c r="H63" i="1"/>
  <c r="G63" i="1"/>
  <c r="F63" i="1"/>
  <c r="F62" i="1"/>
  <c r="H62" i="1" s="1"/>
  <c r="G62" i="1"/>
  <c r="I62" i="1" s="1"/>
  <c r="I61" i="1"/>
  <c r="G61" i="1"/>
  <c r="E61" i="1"/>
  <c r="G59" i="1"/>
  <c r="I59" i="1" s="1"/>
  <c r="F58" i="1"/>
  <c r="H58" i="1" s="1"/>
  <c r="G58" i="1"/>
  <c r="I58" i="1" s="1"/>
  <c r="G57" i="1"/>
  <c r="I57" i="1" s="1"/>
  <c r="G56" i="1"/>
  <c r="I56" i="1" s="1"/>
  <c r="G54" i="1"/>
  <c r="I54" i="1" s="1"/>
  <c r="F54" i="1"/>
  <c r="H54" i="1" s="1"/>
  <c r="G53" i="1"/>
  <c r="I53" i="1" s="1"/>
  <c r="F53" i="1"/>
  <c r="H53" i="1" s="1"/>
  <c r="G52" i="1"/>
  <c r="I52" i="1" s="1"/>
  <c r="F52" i="1"/>
  <c r="H52" i="1" s="1"/>
  <c r="F51" i="1"/>
  <c r="H51" i="1" s="1"/>
  <c r="G51" i="1"/>
  <c r="I51" i="1" s="1"/>
  <c r="G50" i="1"/>
  <c r="I50" i="1" s="1"/>
  <c r="D55" i="1"/>
  <c r="C55" i="1"/>
  <c r="I49" i="1"/>
  <c r="G49" i="1"/>
  <c r="E49" i="1"/>
  <c r="G47" i="1"/>
  <c r="I47" i="1" s="1"/>
  <c r="F47" i="1"/>
  <c r="H47" i="1" s="1"/>
  <c r="E46" i="1"/>
  <c r="G45" i="1"/>
  <c r="I45" i="1" s="1"/>
  <c r="F45" i="1"/>
  <c r="H45" i="1" s="1"/>
  <c r="G44" i="1"/>
  <c r="I44" i="1" s="1"/>
  <c r="G43" i="1"/>
  <c r="I43" i="1" s="1"/>
  <c r="F43" i="1"/>
  <c r="H43" i="1" s="1"/>
  <c r="C46" i="1"/>
  <c r="F42" i="1"/>
  <c r="H42" i="1" s="1"/>
  <c r="G42" i="1"/>
  <c r="I42" i="1" s="1"/>
  <c r="G41" i="1"/>
  <c r="I41" i="1" s="1"/>
  <c r="G40" i="1"/>
  <c r="I40" i="1" s="1"/>
  <c r="F40" i="1"/>
  <c r="H40" i="1" s="1"/>
  <c r="G39" i="1"/>
  <c r="I39" i="1" s="1"/>
  <c r="D46" i="1"/>
  <c r="G38" i="1"/>
  <c r="I38" i="1" s="1"/>
  <c r="I37" i="1"/>
  <c r="G37" i="1"/>
  <c r="E37" i="1"/>
  <c r="I35" i="1"/>
  <c r="G35" i="1"/>
  <c r="F35" i="1"/>
  <c r="H35" i="1" s="1"/>
  <c r="I34" i="1"/>
  <c r="G34" i="1"/>
  <c r="F34" i="1"/>
  <c r="H34" i="1" s="1"/>
  <c r="F32" i="1"/>
  <c r="H32" i="1" s="1"/>
  <c r="G32" i="1"/>
  <c r="I32" i="1" s="1"/>
  <c r="D31" i="1"/>
  <c r="C31" i="1"/>
  <c r="F28" i="1"/>
  <c r="H28" i="1" s="1"/>
  <c r="E29" i="1"/>
  <c r="D29" i="1"/>
  <c r="C29" i="1"/>
  <c r="D27" i="1"/>
  <c r="E27" i="1"/>
  <c r="C27" i="1"/>
  <c r="C25" i="1"/>
  <c r="F24" i="1"/>
  <c r="H24" i="1" s="1"/>
  <c r="E25" i="1"/>
  <c r="D25" i="1"/>
  <c r="E23" i="1"/>
  <c r="D23" i="1"/>
  <c r="G22" i="1"/>
  <c r="I22" i="1" s="1"/>
  <c r="F22" i="1"/>
  <c r="H22" i="1" s="1"/>
  <c r="G21" i="1"/>
  <c r="I21" i="1" s="1"/>
  <c r="F21" i="1"/>
  <c r="H21" i="1" s="1"/>
  <c r="I20" i="1"/>
  <c r="G20" i="1"/>
  <c r="E20" i="1"/>
  <c r="H18" i="1"/>
  <c r="G18" i="1"/>
  <c r="I18" i="1" s="1"/>
  <c r="F18" i="1"/>
  <c r="I17" i="1"/>
  <c r="H17" i="1"/>
  <c r="G17" i="1"/>
  <c r="F17" i="1"/>
  <c r="G15" i="1"/>
  <c r="I15" i="1" s="1"/>
  <c r="E14" i="1"/>
  <c r="D12" i="1"/>
  <c r="C12" i="1"/>
  <c r="C10" i="1"/>
  <c r="G9" i="1"/>
  <c r="I9" i="1" s="1"/>
  <c r="F9" i="1"/>
  <c r="H9" i="1" s="1"/>
  <c r="E10" i="1"/>
  <c r="G10" i="1" s="1"/>
  <c r="I10" i="1" s="1"/>
  <c r="D10" i="1"/>
  <c r="E8" i="1"/>
  <c r="G7" i="1"/>
  <c r="I7" i="1" s="1"/>
  <c r="D8" i="1"/>
  <c r="C8" i="1"/>
  <c r="D6" i="1"/>
  <c r="C6" i="1"/>
  <c r="G6" i="1" s="1"/>
  <c r="I6" i="1" s="1"/>
  <c r="G5" i="1"/>
  <c r="I5" i="1" s="1"/>
  <c r="F5" i="1"/>
  <c r="H5" i="1" s="1"/>
  <c r="E6" i="1"/>
  <c r="F4" i="1"/>
  <c r="H4" i="1" s="1"/>
  <c r="G4" i="1"/>
  <c r="I4" i="1" s="1"/>
  <c r="F55" i="1" l="1"/>
  <c r="H55" i="1" s="1"/>
  <c r="G25" i="1"/>
  <c r="I25" i="1" s="1"/>
  <c r="F10" i="1"/>
  <c r="H10" i="1" s="1"/>
  <c r="G46" i="1"/>
  <c r="I46" i="1" s="1"/>
  <c r="F46" i="1"/>
  <c r="H46" i="1" s="1"/>
  <c r="G13" i="1"/>
  <c r="I13" i="1" s="1"/>
  <c r="F12" i="1"/>
  <c r="H12" i="1" s="1"/>
  <c r="G29" i="1"/>
  <c r="I29" i="1" s="1"/>
  <c r="F29" i="1"/>
  <c r="H29" i="1" s="1"/>
  <c r="G71" i="1"/>
  <c r="I71" i="1" s="1"/>
  <c r="F71" i="1"/>
  <c r="H71" i="1" s="1"/>
  <c r="G8" i="1"/>
  <c r="I8" i="1" s="1"/>
  <c r="F8" i="1"/>
  <c r="H8" i="1" s="1"/>
  <c r="F31" i="1"/>
  <c r="H31" i="1" s="1"/>
  <c r="G27" i="1"/>
  <c r="I27" i="1" s="1"/>
  <c r="F27" i="1"/>
  <c r="H27" i="1" s="1"/>
  <c r="G73" i="1"/>
  <c r="I73" i="1" s="1"/>
  <c r="E12" i="1"/>
  <c r="G12" i="1" s="1"/>
  <c r="I12" i="1" s="1"/>
  <c r="C14" i="1"/>
  <c r="E55" i="1"/>
  <c r="G55" i="1" s="1"/>
  <c r="I55" i="1" s="1"/>
  <c r="F7" i="1"/>
  <c r="H7" i="1" s="1"/>
  <c r="G24" i="1"/>
  <c r="I24" i="1" s="1"/>
  <c r="F50" i="1"/>
  <c r="H50" i="1" s="1"/>
  <c r="F57" i="1"/>
  <c r="H57" i="1" s="1"/>
  <c r="F73" i="1"/>
  <c r="H73" i="1" s="1"/>
  <c r="G76" i="1"/>
  <c r="I76" i="1" s="1"/>
  <c r="C23" i="1"/>
  <c r="F26" i="1"/>
  <c r="H26" i="1" s="1"/>
  <c r="F38" i="1"/>
  <c r="H38" i="1" s="1"/>
  <c r="F59" i="1"/>
  <c r="H59" i="1" s="1"/>
  <c r="G26" i="1"/>
  <c r="I26" i="1" s="1"/>
  <c r="F11" i="1"/>
  <c r="H11" i="1" s="1"/>
  <c r="D14" i="1"/>
  <c r="G28" i="1"/>
  <c r="I28" i="1" s="1"/>
  <c r="E31" i="1"/>
  <c r="G31" i="1" s="1"/>
  <c r="I31" i="1" s="1"/>
  <c r="F6" i="1"/>
  <c r="H6" i="1" s="1"/>
  <c r="G11" i="1"/>
  <c r="I11" i="1" s="1"/>
  <c r="F30" i="1"/>
  <c r="H30" i="1" s="1"/>
  <c r="F44" i="1"/>
  <c r="H44" i="1" s="1"/>
  <c r="F65" i="1"/>
  <c r="H65" i="1" s="1"/>
  <c r="F70" i="1"/>
  <c r="H70" i="1" s="1"/>
  <c r="F13" i="1"/>
  <c r="H13" i="1" s="1"/>
  <c r="F25" i="1"/>
  <c r="H25" i="1" s="1"/>
  <c r="F56" i="1"/>
  <c r="H56" i="1" s="1"/>
  <c r="G70" i="1"/>
  <c r="I70" i="1" s="1"/>
  <c r="F15" i="1"/>
  <c r="H15" i="1" s="1"/>
  <c r="F39" i="1"/>
  <c r="H39" i="1" s="1"/>
  <c r="F41" i="1"/>
  <c r="H41" i="1" s="1"/>
  <c r="G75" i="1" l="1"/>
  <c r="I75" i="1" s="1"/>
  <c r="F75" i="1"/>
  <c r="H75" i="1" s="1"/>
  <c r="G14" i="1"/>
  <c r="I14" i="1" s="1"/>
  <c r="F14" i="1"/>
  <c r="H14" i="1" s="1"/>
  <c r="G23" i="1"/>
  <c r="I23" i="1" s="1"/>
  <c r="F23" i="1"/>
  <c r="H23" i="1" s="1"/>
  <c r="G67" i="1"/>
  <c r="I67" i="1" s="1"/>
  <c r="F67" i="1"/>
  <c r="H67" i="1" s="1"/>
  <c r="G30" i="1"/>
  <c r="I30" i="1" s="1"/>
</calcChain>
</file>

<file path=xl/sharedStrings.xml><?xml version="1.0" encoding="utf-8"?>
<sst xmlns="http://schemas.openxmlformats.org/spreadsheetml/2006/main" count="131" uniqueCount="74">
  <si>
    <t>New</t>
  </si>
  <si>
    <t>Actual</t>
  </si>
  <si>
    <t>Budget</t>
  </si>
  <si>
    <t>▲ Budget</t>
  </si>
  <si>
    <t>▲2023</t>
  </si>
  <si>
    <t>% ▲ Budget</t>
  </si>
  <si>
    <t>% ▲ 2023</t>
  </si>
  <si>
    <t>Commentaires</t>
  </si>
  <si>
    <t>Alt + Enter</t>
  </si>
  <si>
    <t>Units</t>
  </si>
  <si>
    <t>Front Margin</t>
  </si>
  <si>
    <t>Front margin / unit</t>
  </si>
  <si>
    <t>Budget neuf</t>
  </si>
  <si>
    <t>$ Salaires et commission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</si>
  <si>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</si>
  <si>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</si>
  <si>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</si>
  <si>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</si>
  <si>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</si>
  <si>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</si>
  <si>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</si>
  <si>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</si>
  <si>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</si>
  <si>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</si>
  <si>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</si>
  <si>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</si>
  <si>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</si>
  <si>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</si>
  <si>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</si>
  <si>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</si>
  <si>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</si>
  <si>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</si>
  <si>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</si>
  <si>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</si>
  <si>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</si>
  <si>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$</t>
  </si>
  <si>
    <t>Used</t>
  </si>
  <si>
    <t>Budget usagé</t>
  </si>
  <si>
    <t>Service</t>
  </si>
  <si>
    <t>Revenus</t>
  </si>
  <si>
    <t>Gross margin</t>
  </si>
  <si>
    <t>$ Revenus / #WO client</t>
  </si>
  <si>
    <t>$ Revenus / #WO garantie</t>
  </si>
  <si>
    <t>Lost time</t>
  </si>
  <si>
    <t>Total salaries</t>
  </si>
  <si>
    <t>Salaries</t>
  </si>
  <si>
    <t>Fringes</t>
  </si>
  <si>
    <t>Total salaries / Revenus</t>
  </si>
  <si>
    <t>Frais véhicules de cie</t>
  </si>
  <si>
    <t>Pieces</t>
  </si>
  <si>
    <t>Clients</t>
  </si>
  <si>
    <t>Garantie</t>
  </si>
  <si>
    <t>Wholesale</t>
  </si>
  <si>
    <t>Tires</t>
  </si>
  <si>
    <t>All others</t>
  </si>
  <si>
    <t>Salaires autres</t>
  </si>
  <si>
    <t>Others</t>
  </si>
  <si>
    <t>Total salaries / Gross profits</t>
  </si>
  <si>
    <t xml:space="preserve"> - Salaire : Dépense sous le budget, mais manque de profit brut
 - Semi-fixe : Frais entreposage élevé (charge pour une nouvelle saison des pneus entreposé) et dépréciation courtoisies et démos ventes plus élevé
 - Int F.P. : Inventaire neuf plus élevé, mais support BMW Canada reçu suite aux stop delivery et inventaire usagé inférieur.</t>
  </si>
  <si>
    <t>Headcounts</t>
  </si>
  <si>
    <t>Marketing</t>
  </si>
  <si>
    <t>Other semi-fixed expenses</t>
  </si>
  <si>
    <t>Floor plan interest</t>
  </si>
  <si>
    <t>Others Revenues</t>
  </si>
  <si>
    <t>P&amp;L</t>
  </si>
  <si>
    <t>Selling and Marketing</t>
  </si>
  <si>
    <t>S&amp;M / Brut</t>
  </si>
  <si>
    <t>General &amp; administrative</t>
  </si>
  <si>
    <t>G&amp;A / Brut</t>
  </si>
  <si>
    <t>EBITDA</t>
  </si>
  <si>
    <t>EBITDA %</t>
  </si>
  <si>
    <t>EBIT</t>
  </si>
  <si>
    <t>EBIT %</t>
  </si>
  <si>
    <t>BMW Sherbrooke 2 pager Septembre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</si>
</sst>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* #,##0.00_)\ &quot;$&quot;_ ;_ * \(#,##0.00\)\ &quot;$&quot;_ ;_ * &quot;-&quot;??_)\ &quot;$&quot;_ ;_ @_ "/>
    <numFmt numFmtId="164" formatCode="&quot;$&quot;#,##0"/>
    <numFmt numFmtId="165" formatCode="_ * #,##0_)\ &quot;$&quot;_ ;_ * \(#,##0\)\ &quot;$&quot;_ ;_ * &quot;-&quot;??_)\ &quot;$&quot;_ ;_ @_ "/>
    <numFmt numFmtId="166" formatCode="0.0"/>
    <numFmt numFmtId="167" formatCode="0.0%"/>
  </numFmts>
  <fonts count="10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23">
    <xf numFmtId="0" fontId="0" fillId="0" borderId="0" xfId="0"/>
    <xf numFmtId="0" fontId="2" fillId="0" borderId="0" xfId="3"/>
    <xf numFmtId="0" fontId="4" fillId="0" borderId="1" xfId="3" applyFont="1" applyBorder="1" applyAlignment="1">
      <alignment horizontal="center"/>
    </xf>
    <xf numFmtId="0" fontId="5" fillId="0" borderId="0" xfId="3" applyFont="1"/>
    <xf numFmtId="0" fontId="2" fillId="0" borderId="0" xfId="3" applyAlignment="1">
      <alignment horizontal="center"/>
    </xf>
    <xf numFmtId="0" fontId="2" fillId="0" borderId="2" xfId="3" applyBorder="1"/>
    <xf numFmtId="0" fontId="3" fillId="2" borderId="3" xfId="3" applyFont="1" applyFill="1" applyBorder="1" applyAlignment="1">
      <alignment horizontal="center"/>
    </xf>
    <xf numFmtId="0" fontId="3" fillId="2" borderId="4" xfId="3" applyFont="1" applyFill="1" applyBorder="1" applyAlignment="1">
      <alignment horizontal="center"/>
    </xf>
    <xf numFmtId="0" fontId="3" fillId="2" borderId="5" xfId="3" applyFont="1" applyFill="1" applyBorder="1" applyAlignment="1">
      <alignment horizontal="center"/>
    </xf>
    <xf numFmtId="0" fontId="3" fillId="2" borderId="6" xfId="3" applyFont="1" applyFill="1" applyBorder="1" applyAlignment="1">
      <alignment horizontal="center"/>
    </xf>
    <xf numFmtId="0" fontId="3" fillId="2" borderId="7" xfId="3" applyFont="1" applyFill="1" applyBorder="1" applyAlignment="1">
      <alignment horizontal="center"/>
    </xf>
    <xf numFmtId="0" fontId="3" fillId="2" borderId="8" xfId="3" applyFont="1" applyFill="1" applyBorder="1" applyAlignment="1">
      <alignment horizontal="center"/>
    </xf>
    <xf numFmtId="0" fontId="3" fillId="0" borderId="8" xfId="3" applyFont="1" applyBorder="1"/>
    <xf numFmtId="37" fontId="3" fillId="0" borderId="9" xfId="3" applyNumberFormat="1" applyFont="1" applyBorder="1" applyAlignment="1">
      <alignment horizontal="center"/>
    </xf>
    <xf numFmtId="1" fontId="3" fillId="0" borderId="10" xfId="3" applyNumberFormat="1" applyFont="1" applyBorder="1" applyAlignment="1">
      <alignment horizontal="center"/>
    </xf>
    <xf numFmtId="1" fontId="3" fillId="0" borderId="11" xfId="3" applyNumberFormat="1" applyFont="1" applyBorder="1" applyAlignment="1">
      <alignment horizontal="center"/>
    </xf>
    <xf numFmtId="9" fontId="3" fillId="3" borderId="10" xfId="4" applyFont="1" applyFill="1" applyBorder="1" applyAlignment="1">
      <alignment horizontal="center"/>
    </xf>
    <xf numFmtId="9" fontId="3" fillId="3" borderId="12" xfId="4" applyFont="1" applyFill="1" applyBorder="1" applyAlignment="1">
      <alignment horizontal="center"/>
    </xf>
    <xf numFmtId="0" fontId="7" fillId="4" borderId="8" xfId="0" applyFont="1" applyFill="1" applyBorder="1" applyAlignment="1">
      <alignment vertical="center" wrapText="1"/>
    </xf>
    <xf numFmtId="0" fontId="2" fillId="0" borderId="13" xfId="3" applyBorder="1"/>
    <xf numFmtId="164" fontId="1" fillId="0" borderId="14" xfId="3" applyNumberFormat="1" applyFont="1" applyBorder="1" applyAlignment="1">
      <alignment horizontal="center"/>
    </xf>
    <xf numFmtId="164" fontId="1" fillId="0" borderId="15" xfId="3" applyNumberFormat="1" applyFont="1" applyBorder="1" applyAlignment="1">
      <alignment horizontal="center"/>
    </xf>
    <xf numFmtId="164" fontId="1" fillId="0" borderId="2" xfId="3" applyNumberFormat="1" applyFont="1" applyBorder="1" applyAlignment="1">
      <alignment horizontal="center"/>
    </xf>
    <xf numFmtId="9" fontId="1" fillId="0" borderId="15" xfId="4" applyFont="1" applyFill="1" applyBorder="1" applyAlignment="1">
      <alignment horizontal="center"/>
    </xf>
    <xf numFmtId="9" fontId="1" fillId="0" borderId="16" xfId="4" applyFont="1" applyFill="1" applyBorder="1" applyAlignment="1">
      <alignment horizontal="center"/>
    </xf>
    <xf numFmtId="0" fontId="7" fillId="4" borderId="13" xfId="0" applyFont="1" applyFill="1" applyBorder="1" applyAlignment="1">
      <alignment vertical="center" wrapText="1"/>
    </xf>
    <xf numFmtId="9" fontId="1" fillId="3" borderId="15" xfId="4" applyFont="1" applyFill="1" applyBorder="1" applyAlignment="1">
      <alignment horizontal="center"/>
    </xf>
    <xf numFmtId="9" fontId="1" fillId="3" borderId="16" xfId="4" applyFont="1" applyFill="1" applyBorder="1" applyAlignment="1">
      <alignment horizontal="center"/>
    </xf>
    <xf numFmtId="0" fontId="5" fillId="0" borderId="0" xfId="3" applyFont="1" applyAlignment="1">
      <alignment horizontal="center"/>
    </xf>
    <xf numFmtId="9" fontId="1" fillId="0" borderId="14" xfId="4" applyFont="1" applyFill="1" applyBorder="1" applyAlignment="1">
      <alignment horizontal="center"/>
    </xf>
    <xf numFmtId="9" fontId="1" fillId="0" borderId="15" xfId="4" applyFont="1" applyBorder="1" applyAlignment="1">
      <alignment horizontal="center"/>
    </xf>
    <xf numFmtId="9" fontId="1" fillId="0" borderId="17" xfId="4" applyFont="1" applyBorder="1" applyAlignment="1">
      <alignment horizontal="center"/>
    </xf>
    <xf numFmtId="165" fontId="5" fillId="0" borderId="0" xfId="1" applyNumberFormat="1" applyFont="1" applyBorder="1"/>
    <xf numFmtId="9" fontId="1" fillId="0" borderId="2" xfId="4" applyFont="1" applyBorder="1" applyAlignment="1">
      <alignment horizontal="center"/>
    </xf>
    <xf numFmtId="0" fontId="3" fillId="0" borderId="18" xfId="3" applyFont="1" applyBorder="1"/>
    <xf numFmtId="0" fontId="1" fillId="0" borderId="19" xfId="3" applyFont="1" applyBorder="1"/>
    <xf numFmtId="164" fontId="1" fillId="0" borderId="20" xfId="3" applyNumberFormat="1" applyFont="1" applyBorder="1" applyAlignment="1">
      <alignment horizontal="center"/>
    </xf>
    <xf numFmtId="164" fontId="1" fillId="0" borderId="21" xfId="3" applyNumberFormat="1" applyFont="1" applyBorder="1" applyAlignment="1">
      <alignment horizontal="center"/>
    </xf>
    <xf numFmtId="9" fontId="1" fillId="0" borderId="20" xfId="4" applyFont="1" applyFill="1" applyBorder="1" applyAlignment="1">
      <alignment horizontal="center"/>
    </xf>
    <xf numFmtId="9" fontId="1" fillId="0" borderId="22" xfId="4" applyFont="1" applyFill="1" applyBorder="1" applyAlignment="1">
      <alignment horizontal="center"/>
    </xf>
    <xf numFmtId="0" fontId="2" fillId="5" borderId="13" xfId="3" applyFill="1" applyBorder="1" applyAlignment="1">
      <alignment horizontal="left" indent="1"/>
    </xf>
    <xf numFmtId="37" fontId="1" fillId="5" borderId="13" xfId="3" applyNumberFormat="1" applyFont="1" applyFill="1" applyBorder="1" applyAlignment="1">
      <alignment horizontal="center"/>
    </xf>
    <xf numFmtId="37" fontId="1" fillId="5" borderId="23" xfId="3" applyNumberFormat="1" applyFont="1" applyFill="1" applyBorder="1" applyAlignment="1">
      <alignment horizontal="center"/>
    </xf>
    <xf numFmtId="1" fontId="1" fillId="0" borderId="15" xfId="3" applyNumberFormat="1" applyFont="1" applyBorder="1" applyAlignment="1">
      <alignment horizontal="center"/>
    </xf>
    <xf numFmtId="1" fontId="1" fillId="0" borderId="2" xfId="3" applyNumberFormat="1" applyFont="1" applyBorder="1" applyAlignment="1">
      <alignment horizontal="center"/>
    </xf>
    <xf numFmtId="9" fontId="1" fillId="0" borderId="16" xfId="4" applyFont="1" applyBorder="1" applyAlignment="1">
      <alignment horizontal="center"/>
    </xf>
    <xf numFmtId="0" fontId="1" fillId="5" borderId="24" xfId="3" applyFont="1" applyFill="1" applyBorder="1" applyAlignment="1">
      <alignment horizontal="left" indent="1"/>
    </xf>
    <xf numFmtId="164" fontId="1" fillId="5" borderId="25" xfId="3" applyNumberFormat="1" applyFont="1" applyFill="1" applyBorder="1" applyAlignment="1">
      <alignment horizontal="center"/>
    </xf>
    <xf numFmtId="164" fontId="1" fillId="0" borderId="26" xfId="3" applyNumberFormat="1" applyFont="1" applyBorder="1" applyAlignment="1">
      <alignment horizontal="center"/>
    </xf>
    <xf numFmtId="164" fontId="1" fillId="0" borderId="27" xfId="3" applyNumberFormat="1" applyFont="1" applyBorder="1" applyAlignment="1">
      <alignment horizontal="center"/>
    </xf>
    <xf numFmtId="9" fontId="1" fillId="0" borderId="26" xfId="4" applyFont="1" applyBorder="1" applyAlignment="1">
      <alignment horizontal="center"/>
    </xf>
    <xf numFmtId="9" fontId="1" fillId="0" borderId="28" xfId="4" applyFont="1" applyBorder="1" applyAlignment="1">
      <alignment horizontal="center"/>
    </xf>
    <xf numFmtId="0" fontId="7" fillId="4" borderId="24" xfId="0" applyFont="1" applyFill="1" applyBorder="1" applyAlignment="1">
      <alignment vertical="center" wrapText="1"/>
    </xf>
    <xf numFmtId="0" fontId="1" fillId="0" borderId="0" xfId="3" applyFont="1"/>
    <xf numFmtId="0" fontId="3" fillId="6" borderId="3" xfId="3" applyFont="1" applyFill="1" applyBorder="1" applyAlignment="1">
      <alignment horizontal="center"/>
    </xf>
    <xf numFmtId="0" fontId="3" fillId="6" borderId="4" xfId="3" applyFont="1" applyFill="1" applyBorder="1" applyAlignment="1">
      <alignment horizontal="center"/>
    </xf>
    <xf numFmtId="0" fontId="3" fillId="6" borderId="5" xfId="3" applyFont="1" applyFill="1" applyBorder="1" applyAlignment="1">
      <alignment horizontal="center"/>
    </xf>
    <xf numFmtId="0" fontId="3" fillId="6" borderId="7" xfId="3" applyFont="1" applyFill="1" applyBorder="1" applyAlignment="1">
      <alignment horizontal="center"/>
    </xf>
    <xf numFmtId="0" fontId="3" fillId="6" borderId="8" xfId="3" applyFont="1" applyFill="1" applyBorder="1" applyAlignment="1">
      <alignment horizontal="center"/>
    </xf>
    <xf numFmtId="0" fontId="3" fillId="0" borderId="13" xfId="3" applyFont="1" applyBorder="1"/>
    <xf numFmtId="37" fontId="3" fillId="0" borderId="14" xfId="3" applyNumberFormat="1" applyFont="1" applyBorder="1" applyAlignment="1">
      <alignment horizontal="center"/>
    </xf>
    <xf numFmtId="1" fontId="3" fillId="0" borderId="15" xfId="3" applyNumberFormat="1" applyFont="1" applyBorder="1" applyAlignment="1">
      <alignment horizontal="center"/>
    </xf>
    <xf numFmtId="1" fontId="3" fillId="0" borderId="2" xfId="3" applyNumberFormat="1" applyFont="1" applyBorder="1" applyAlignment="1">
      <alignment horizontal="center"/>
    </xf>
    <xf numFmtId="9" fontId="1" fillId="0" borderId="20" xfId="4" applyFont="1" applyBorder="1" applyAlignment="1">
      <alignment horizontal="center"/>
    </xf>
    <xf numFmtId="9" fontId="1" fillId="0" borderId="22" xfId="4" applyFont="1" applyBorder="1" applyAlignment="1">
      <alignment horizontal="center"/>
    </xf>
    <xf numFmtId="0" fontId="3" fillId="7" borderId="3" xfId="3" applyFont="1" applyFill="1" applyBorder="1" applyAlignment="1">
      <alignment horizontal="center"/>
    </xf>
    <xf numFmtId="0" fontId="3" fillId="7" borderId="4" xfId="3" applyFont="1" applyFill="1" applyBorder="1" applyAlignment="1">
      <alignment horizontal="center"/>
    </xf>
    <xf numFmtId="0" fontId="3" fillId="7" borderId="5" xfId="3" applyFont="1" applyFill="1" applyBorder="1" applyAlignment="1">
      <alignment horizontal="center"/>
    </xf>
    <xf numFmtId="0" fontId="3" fillId="7" borderId="7" xfId="3" applyFont="1" applyFill="1" applyBorder="1" applyAlignment="1">
      <alignment horizontal="center"/>
    </xf>
    <xf numFmtId="0" fontId="3" fillId="7" borderId="8" xfId="3" applyFont="1" applyFill="1" applyBorder="1" applyAlignment="1">
      <alignment horizontal="center"/>
    </xf>
    <xf numFmtId="164" fontId="3" fillId="0" borderId="14" xfId="3" applyNumberFormat="1" applyFont="1" applyBorder="1" applyAlignment="1">
      <alignment horizontal="center"/>
    </xf>
    <xf numFmtId="164" fontId="3" fillId="0" borderId="15" xfId="3" applyNumberFormat="1" applyFont="1" applyBorder="1" applyAlignment="1">
      <alignment horizontal="center"/>
    </xf>
    <xf numFmtId="164" fontId="3" fillId="0" borderId="2" xfId="3" applyNumberFormat="1" applyFont="1" applyBorder="1" applyAlignment="1">
      <alignment horizontal="center"/>
    </xf>
    <xf numFmtId="9" fontId="3" fillId="3" borderId="15" xfId="4" applyFont="1" applyFill="1" applyBorder="1" applyAlignment="1">
      <alignment horizontal="center"/>
    </xf>
    <xf numFmtId="9" fontId="3" fillId="3" borderId="16" xfId="4" applyFont="1" applyFill="1" applyBorder="1" applyAlignment="1">
      <alignment horizontal="center"/>
    </xf>
    <xf numFmtId="164" fontId="1" fillId="5" borderId="14" xfId="3" applyNumberFormat="1" applyFont="1" applyFill="1" applyBorder="1" applyAlignment="1">
      <alignment horizontal="center"/>
    </xf>
    <xf numFmtId="164" fontId="1" fillId="0" borderId="14" xfId="4" applyNumberFormat="1" applyFont="1" applyFill="1" applyBorder="1" applyAlignment="1">
      <alignment horizontal="center"/>
    </xf>
    <xf numFmtId="0" fontId="2" fillId="0" borderId="13" xfId="3" applyBorder="1" applyAlignment="1">
      <alignment horizontal="left" indent="1"/>
    </xf>
    <xf numFmtId="9" fontId="1" fillId="0" borderId="14" xfId="2" applyFont="1" applyFill="1" applyBorder="1" applyAlignment="1">
      <alignment horizontal="center"/>
    </xf>
    <xf numFmtId="0" fontId="2" fillId="0" borderId="24" xfId="3" applyBorder="1"/>
    <xf numFmtId="164" fontId="1" fillId="0" borderId="25" xfId="3" applyNumberFormat="1" applyFont="1" applyBorder="1" applyAlignment="1">
      <alignment horizontal="center"/>
    </xf>
    <xf numFmtId="9" fontId="1" fillId="0" borderId="26" xfId="4" applyFont="1" applyFill="1" applyBorder="1" applyAlignment="1">
      <alignment horizontal="center"/>
    </xf>
    <xf numFmtId="0" fontId="3" fillId="8" borderId="3" xfId="3" applyFont="1" applyFill="1" applyBorder="1" applyAlignment="1">
      <alignment horizontal="center"/>
    </xf>
    <xf numFmtId="0" fontId="3" fillId="8" borderId="4" xfId="3" applyFont="1" applyFill="1" applyBorder="1" applyAlignment="1">
      <alignment horizontal="center"/>
    </xf>
    <xf numFmtId="0" fontId="3" fillId="8" borderId="5" xfId="3" applyFont="1" applyFill="1" applyBorder="1" applyAlignment="1">
      <alignment horizontal="center"/>
    </xf>
    <xf numFmtId="0" fontId="3" fillId="8" borderId="7" xfId="3" applyFont="1" applyFill="1" applyBorder="1" applyAlignment="1">
      <alignment horizontal="center"/>
    </xf>
    <xf numFmtId="0" fontId="3" fillId="8" borderId="8" xfId="3" applyFont="1" applyFill="1" applyBorder="1" applyAlignment="1">
      <alignment horizontal="center"/>
    </xf>
    <xf numFmtId="0" fontId="3" fillId="0" borderId="13" xfId="3" applyFont="1" applyBorder="1" applyAlignment="1">
      <alignment horizontal="left"/>
    </xf>
    <xf numFmtId="0" fontId="1" fillId="0" borderId="13" xfId="3" applyFont="1" applyBorder="1" applyAlignment="1">
      <alignment horizontal="left" indent="1"/>
    </xf>
    <xf numFmtId="0" fontId="9" fillId="0" borderId="0" xfId="3" applyFont="1"/>
    <xf numFmtId="9" fontId="1" fillId="0" borderId="28" xfId="4" applyFont="1" applyFill="1" applyBorder="1" applyAlignment="1">
      <alignment horizontal="center"/>
    </xf>
    <xf numFmtId="0" fontId="3" fillId="9" borderId="3" xfId="3" applyFont="1" applyFill="1" applyBorder="1" applyAlignment="1">
      <alignment horizontal="center"/>
    </xf>
    <xf numFmtId="0" fontId="3" fillId="9" borderId="4" xfId="3" applyFont="1" applyFill="1" applyBorder="1" applyAlignment="1">
      <alignment horizontal="center"/>
    </xf>
    <xf numFmtId="0" fontId="3" fillId="9" borderId="5" xfId="3" applyFont="1" applyFill="1" applyBorder="1" applyAlignment="1">
      <alignment horizontal="center"/>
    </xf>
    <xf numFmtId="0" fontId="3" fillId="9" borderId="7" xfId="3" applyFont="1" applyFill="1" applyBorder="1" applyAlignment="1">
      <alignment horizontal="center"/>
    </xf>
    <xf numFmtId="0" fontId="3" fillId="9" borderId="8" xfId="3" applyFont="1" applyFill="1" applyBorder="1" applyAlignment="1">
      <alignment horizontal="center"/>
    </xf>
    <xf numFmtId="0" fontId="1" fillId="0" borderId="13" xfId="3" applyFont="1" applyBorder="1" applyAlignment="1">
      <alignment horizontal="left"/>
    </xf>
    <xf numFmtId="9" fontId="1" fillId="0" borderId="14" xfId="2" applyFont="1" applyBorder="1" applyAlignment="1">
      <alignment horizontal="center"/>
    </xf>
    <xf numFmtId="0" fontId="7" fillId="4" borderId="8" xfId="0" quotePrefix="1" applyFont="1" applyFill="1" applyBorder="1" applyAlignment="1">
      <alignment vertical="center" wrapText="1"/>
    </xf>
    <xf numFmtId="0" fontId="1" fillId="5" borderId="13" xfId="3" applyFont="1" applyFill="1" applyBorder="1" applyAlignment="1">
      <alignment horizontal="left"/>
    </xf>
    <xf numFmtId="166" fontId="1" fillId="5" borderId="14" xfId="3" applyNumberFormat="1" applyFont="1" applyFill="1" applyBorder="1" applyAlignment="1">
      <alignment horizontal="center"/>
    </xf>
    <xf numFmtId="166" fontId="1" fillId="0" borderId="15" xfId="3" applyNumberFormat="1" applyFont="1" applyBorder="1" applyAlignment="1">
      <alignment horizontal="center"/>
    </xf>
    <xf numFmtId="166" fontId="1" fillId="0" borderId="2" xfId="3" applyNumberFormat="1" applyFont="1" applyBorder="1" applyAlignment="1">
      <alignment horizontal="center"/>
    </xf>
    <xf numFmtId="0" fontId="1" fillId="0" borderId="24" xfId="3" applyFont="1" applyBorder="1" applyAlignment="1">
      <alignment horizontal="left"/>
    </xf>
    <xf numFmtId="0" fontId="3" fillId="10" borderId="3" xfId="3" applyFont="1" applyFill="1" applyBorder="1" applyAlignment="1">
      <alignment horizontal="center"/>
    </xf>
    <xf numFmtId="0" fontId="3" fillId="10" borderId="4" xfId="3" applyFont="1" applyFill="1" applyBorder="1" applyAlignment="1">
      <alignment horizontal="center"/>
    </xf>
    <xf numFmtId="0" fontId="3" fillId="10" borderId="5" xfId="3" applyFont="1" applyFill="1" applyBorder="1" applyAlignment="1">
      <alignment horizontal="center"/>
    </xf>
    <xf numFmtId="0" fontId="3" fillId="10" borderId="7" xfId="3" applyFont="1" applyFill="1" applyBorder="1" applyAlignment="1">
      <alignment horizontal="center"/>
    </xf>
    <xf numFmtId="0" fontId="3" fillId="10" borderId="8" xfId="3" applyFont="1" applyFill="1" applyBorder="1" applyAlignment="1">
      <alignment horizontal="center"/>
    </xf>
    <xf numFmtId="0" fontId="2" fillId="0" borderId="13" xfId="3" applyBorder="1" applyAlignment="1">
      <alignment horizontal="left"/>
    </xf>
    <xf numFmtId="164" fontId="1" fillId="0" borderId="14" xfId="2" applyNumberFormat="1" applyFont="1" applyBorder="1" applyAlignment="1">
      <alignment horizontal="center"/>
    </xf>
    <xf numFmtId="164" fontId="2" fillId="0" borderId="10" xfId="3" applyNumberFormat="1" applyBorder="1" applyAlignment="1">
      <alignment horizontal="center"/>
    </xf>
    <xf numFmtId="164" fontId="2" fillId="0" borderId="11" xfId="3" applyNumberFormat="1" applyBorder="1" applyAlignment="1">
      <alignment horizontal="center"/>
    </xf>
    <xf numFmtId="164" fontId="2" fillId="0" borderId="15" xfId="3" applyNumberFormat="1" applyBorder="1" applyAlignment="1">
      <alignment horizontal="center"/>
    </xf>
    <xf numFmtId="164" fontId="2" fillId="0" borderId="2" xfId="3" applyNumberFormat="1" applyBorder="1" applyAlignment="1">
      <alignment horizontal="center"/>
    </xf>
    <xf numFmtId="0" fontId="3" fillId="0" borderId="0" xfId="3" applyFont="1"/>
    <xf numFmtId="167" fontId="1" fillId="0" borderId="14" xfId="2" applyNumberFormat="1" applyFont="1" applyBorder="1" applyAlignment="1">
      <alignment horizontal="center"/>
    </xf>
    <xf numFmtId="167" fontId="1" fillId="0" borderId="15" xfId="4" applyNumberFormat="1" applyFont="1" applyBorder="1" applyAlignment="1">
      <alignment horizontal="center"/>
    </xf>
    <xf numFmtId="167" fontId="1" fillId="0" borderId="17" xfId="4" applyNumberFormat="1" applyFont="1" applyBorder="1" applyAlignment="1">
      <alignment horizontal="center"/>
    </xf>
    <xf numFmtId="0" fontId="2" fillId="0" borderId="24" xfId="3" applyBorder="1" applyAlignment="1">
      <alignment horizontal="left"/>
    </xf>
    <xf numFmtId="167" fontId="1" fillId="0" borderId="25" xfId="2" applyNumberFormat="1" applyFont="1" applyBorder="1" applyAlignment="1">
      <alignment horizontal="center"/>
    </xf>
    <xf numFmtId="167" fontId="1" fillId="0" borderId="26" xfId="4" applyNumberFormat="1" applyFont="1" applyBorder="1" applyAlignment="1">
      <alignment horizontal="center"/>
    </xf>
    <xf numFmtId="167" fontId="1" fillId="0" borderId="29" xfId="4" applyNumberFormat="1" applyFont="1" applyBorder="1" applyAlignment="1">
      <alignment horizontal="center"/>
    </xf>
  </cellXfs>
  <cellStyles count="5">
    <cellStyle name="Monétaire" xfId="1" builtinId="4"/>
    <cellStyle name="Normal" xfId="0" builtinId="0"/>
    <cellStyle name="Normal 3" xfId="3" xr:uid="{CF8CDFE5-E482-4C2F-ADC5-B4E9F67D2CFE}"/>
    <cellStyle name="Pourcentage" xfId="2" builtinId="5"/>
    <cellStyle name="Pourcentage 2" xfId="4" xr:uid="{3493BD77-656C-46AB-8543-1315CD7B4A79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0905-64B3-458B-BDE0-002AE2F90155}">
  <sheetPr>
    <tabColor rgb="FF00B0F0"/>
    <pageSetUpPr fitToPage="1"/>
  </sheetPr>
  <dimension ref="A1:Y77"/>
  <sheetViews>
    <sheetView tabSelected="1" topLeftCell="A58" zoomScale="110" zoomScaleNormal="110" workbookViewId="0">
      <selection activeCell="J83" sqref="J83"/>
    </sheetView>
  </sheetViews>
  <sheetFormatPr baseColWidth="10" defaultColWidth="11" defaultRowHeight="15" x14ac:dyDescent="0.25"/>
  <cols>
    <col min="1" max="1" width="2.25" style="1" customWidth="1"/>
    <col min="2" max="2" width="23.25" style="1" customWidth="1"/>
    <col min="3" max="9" width="11.75" style="1" customWidth="1"/>
    <col min="10" max="10" width="58.875" style="1" customWidth="1"/>
    <col min="11" max="13" width="3.125" style="1" customWidth="1"/>
    <col min="14" max="25" width="10.625" style="3" bestFit="1" customWidth="1"/>
    <col min="26" max="16384" width="11" style="1"/>
  </cols>
  <sheetData>
    <row r="1" spans="1:25" ht="15.75" x14ac:dyDescent="0.25">
      <c r="B1" s="2" t="s">
        <v>73</v>
      </c>
      <c r="C1" s="2"/>
      <c r="D1" s="2"/>
      <c r="E1" s="2"/>
      <c r="F1" s="2"/>
      <c r="G1" s="2"/>
      <c r="H1" s="2"/>
      <c r="I1" s="2"/>
      <c r="J1" s="2"/>
    </row>
    <row r="2" spans="1:25" x14ac:dyDescent="0.25">
      <c r="B2" s="4"/>
    </row>
    <row r="3" spans="1:25" x14ac:dyDescent="0.25">
      <c r="A3" s="5"/>
      <c r="B3" s="6" t="s">
        <v>0</v>
      </c>
      <c r="C3" s="7" t="s">
        <v>1</v>
      </c>
      <c r="D3" s="8" t="s">
        <v>2</v>
      </c>
      <c r="E3" s="9">
        <v>2023</v>
      </c>
      <c r="F3" s="8" t="s">
        <v>3</v>
      </c>
      <c r="G3" s="10" t="s">
        <v>4</v>
      </c>
      <c r="H3" s="8" t="s">
        <v>5</v>
      </c>
      <c r="I3" s="10" t="s">
        <v>6</v>
      </c>
      <c r="J3" s="11" t="s">
        <v>7</v>
      </c>
      <c r="N3" s="3" t="s">
        <v>8</v>
      </c>
    </row>
    <row r="4" spans="1:25" ht="15" customHeight="1" x14ac:dyDescent="0.25">
      <c r="A4" s="5"/>
      <c r="B4" s="12" t="s">
        <v>9</v>
      </c>
      <c r="C4" s="13">
        <v>29</v>
      </c>
      <c r="D4" s="13">
        <v>26</v>
      </c>
      <c r="E4" s="13">
        <v>24</v>
      </c>
      <c r="F4" s="14">
        <f t="shared" ref="F4:G15" si="0">+IFERROR($C4-D4,"")</f>
        <v>3</v>
      </c>
      <c r="G4" s="15">
        <f t="shared" si="0"/>
        <v>5</v>
      </c>
      <c r="H4" s="16">
        <f t="shared" ref="H4:H15" si="1">+IFERROR(F4/ABS($D4),"")</f>
        <v>0.11538461538461539</v>
      </c>
      <c r="I4" s="17">
        <f t="shared" ref="I4:I14" si="2">+IFERROR(G4/ABS($E4),"")</f>
        <v>0.20833333333333334</v>
      </c>
      <c r="J4" s="18"/>
    </row>
    <row r="5" spans="1:25" x14ac:dyDescent="0.25">
      <c r="A5" s="5"/>
      <c r="B5" s="19" t="s">
        <v>10</v>
      </c>
      <c r="C5" s="20">
        <v>117384.96999999986</v>
      </c>
      <c r="D5" s="20">
        <v>132100.80206033849</v>
      </c>
      <c r="E5" s="20">
        <v>166715.46000000002</v>
      </c>
      <c r="F5" s="21">
        <f t="shared" si="0"/>
        <v>-14715.832060338638</v>
      </c>
      <c r="G5" s="22">
        <f t="shared" si="0"/>
        <v>-49330.490000000165</v>
      </c>
      <c r="H5" s="23">
        <f t="shared" si="1"/>
        <v>-0.11139850652547151</v>
      </c>
      <c r="I5" s="24">
        <f t="shared" si="2"/>
        <v>-0.29589631339529132</v>
      </c>
      <c r="J5" s="25"/>
    </row>
    <row r="6" spans="1:25" x14ac:dyDescent="0.25">
      <c r="A6" s="5"/>
      <c r="B6" s="19" t="s">
        <v>11</v>
      </c>
      <c r="C6" s="20">
        <f>+C5/C4</f>
        <v>4047.7575862068916</v>
      </c>
      <c r="D6" s="20">
        <f>+D5/D4</f>
        <v>5080.8000792437879</v>
      </c>
      <c r="E6" s="20">
        <f>+E5/E4</f>
        <v>6946.4775000000009</v>
      </c>
      <c r="F6" s="21">
        <f t="shared" si="0"/>
        <v>-1033.0424930368963</v>
      </c>
      <c r="G6" s="22">
        <f t="shared" si="0"/>
        <v>-2898.7199137931093</v>
      </c>
      <c r="H6" s="26">
        <f>+IFERROR(F6/ABS($D6),"")</f>
        <v>-0.20332279895387095</v>
      </c>
      <c r="I6" s="27">
        <f t="shared" si="2"/>
        <v>-0.41729350074093075</v>
      </c>
      <c r="J6" s="25"/>
      <c r="N6" s="3" t="s">
        <v>12</v>
      </c>
    </row>
    <row r="7" spans="1:25" x14ac:dyDescent="0.25">
      <c r="A7" s="5"/>
      <c r="B7" s="19" t="s">
        <v>13</v>
      </c>
      <c r="C7" s="20">
        <v>33540.720000000001</v>
      </c>
      <c r="D7" s="20">
        <v>38228.652102273569</v>
      </c>
      <c r="E7" s="20">
        <v>38383.050000000003</v>
      </c>
      <c r="F7" s="21">
        <f t="shared" si="0"/>
        <v>-4687.9321022735676</v>
      </c>
      <c r="G7" s="22">
        <f t="shared" si="0"/>
        <v>-4842.3300000000017</v>
      </c>
      <c r="H7" s="23">
        <f t="shared" si="1"/>
        <v>-0.12262875734493298</v>
      </c>
      <c r="I7" s="24">
        <f t="shared" si="2"/>
        <v>-0.12615803069323572</v>
      </c>
      <c r="J7" s="25"/>
      <c r="N7" s="28" t="s">
        <v>14</v>
      </c>
      <c r="O7" s="28" t="s">
        <v>15</v>
      </c>
      <c r="P7" s="28" t="s">
        <v>16</v>
      </c>
      <c r="Q7" s="28" t="s">
        <v>17</v>
      </c>
      <c r="R7" s="28" t="s">
        <v>18</v>
      </c>
      <c r="S7" s="28" t="s">
        <v>19</v>
      </c>
      <c r="T7" s="28" t="s">
        <v>20</v>
      </c>
      <c r="U7" s="28" t="s">
        <v>21</v>
      </c>
      <c r="V7" s="28" t="s">
        <v>22</v>
      </c>
      <c r="W7" s="28" t="s">
        <v>23</v>
      </c>
      <c r="X7" s="28" t="s">
        <v>24</v>
      </c>
      <c r="Y7" s="28" t="s">
        <v>25</v>
      </c>
    </row>
    <row r="8" spans="1:25" x14ac:dyDescent="0.25">
      <c r="A8" s="5"/>
      <c r="B8" s="19" t="s">
        <v>26</v>
      </c>
      <c r="C8" s="29">
        <f>+C7/C5</f>
        <v>0.28573266236725231</v>
      </c>
      <c r="D8" s="29">
        <f>+D7/D5</f>
        <v>0.28939000752480071</v>
      </c>
      <c r="E8" s="29">
        <f>+E7/E5</f>
        <v>0.23023089760241791</v>
      </c>
      <c r="F8" s="30">
        <f t="shared" si="0"/>
        <v>-3.6573451575483973E-3</v>
      </c>
      <c r="G8" s="31">
        <f t="shared" si="0"/>
        <v>5.5501764764834399E-2</v>
      </c>
      <c r="H8" s="23">
        <f t="shared" si="1"/>
        <v>-1.2638118326303864E-2</v>
      </c>
      <c r="I8" s="24">
        <f>+IFERROR(G8/ABS($E8),"")</f>
        <v>0.24107000990231778</v>
      </c>
      <c r="J8" s="25"/>
      <c r="N8" s="28">
        <v>49</v>
      </c>
      <c r="O8" s="28">
        <v>68</v>
      </c>
      <c r="P8" s="28">
        <v>70</v>
      </c>
      <c r="Q8" s="28">
        <v>67</v>
      </c>
      <c r="R8" s="28">
        <v>59</v>
      </c>
      <c r="S8" s="28">
        <v>55</v>
      </c>
      <c r="T8" s="28">
        <v>59</v>
      </c>
      <c r="U8" s="28">
        <v>64</v>
      </c>
      <c r="V8" s="28">
        <v>56</v>
      </c>
      <c r="W8" s="28">
        <v>57</v>
      </c>
      <c r="X8" s="28">
        <v>53</v>
      </c>
      <c r="Y8" s="28">
        <v>47</v>
      </c>
    </row>
    <row r="9" spans="1:25" x14ac:dyDescent="0.25">
      <c r="A9" s="5"/>
      <c r="B9" s="19" t="s">
        <v>27</v>
      </c>
      <c r="C9" s="20">
        <v>46714.89</v>
      </c>
      <c r="D9" s="20">
        <v>41600</v>
      </c>
      <c r="E9" s="20">
        <v>21908</v>
      </c>
      <c r="F9" s="21">
        <f t="shared" si="0"/>
        <v>5114.8899999999994</v>
      </c>
      <c r="G9" s="22">
        <f t="shared" si="0"/>
        <v>24806.89</v>
      </c>
      <c r="H9" s="23">
        <f t="shared" si="1"/>
        <v>0.12295408653846153</v>
      </c>
      <c r="I9" s="24">
        <f t="shared" si="2"/>
        <v>1.1323210699287931</v>
      </c>
      <c r="J9" s="25"/>
      <c r="N9" s="32">
        <v>3831906.6692307699</v>
      </c>
      <c r="O9" s="32">
        <v>5317748.0307692327</v>
      </c>
      <c r="P9" s="32">
        <v>5474152.3846153859</v>
      </c>
      <c r="Q9" s="32">
        <v>5239545.8538461551</v>
      </c>
      <c r="R9" s="32">
        <v>4613928.4384615403</v>
      </c>
      <c r="S9" s="32">
        <v>4301119.7307692319</v>
      </c>
      <c r="T9" s="32">
        <v>4613928.4384615403</v>
      </c>
      <c r="U9" s="32">
        <v>5004939.3230769243</v>
      </c>
      <c r="V9" s="32">
        <v>4379321.9076923095</v>
      </c>
      <c r="W9" s="32">
        <v>4457524.0846153852</v>
      </c>
      <c r="X9" s="32">
        <v>4144715.3769230777</v>
      </c>
      <c r="Y9" s="32">
        <v>3675502.3153846157</v>
      </c>
    </row>
    <row r="10" spans="1:25" x14ac:dyDescent="0.25">
      <c r="A10" s="5"/>
      <c r="B10" s="19" t="s">
        <v>28</v>
      </c>
      <c r="C10" s="20">
        <f>+C9/C4</f>
        <v>1610.8582758620689</v>
      </c>
      <c r="D10" s="20">
        <f>+D9/D4</f>
        <v>1600</v>
      </c>
      <c r="E10" s="20">
        <f>+E9/E4</f>
        <v>912.83333333333337</v>
      </c>
      <c r="F10" s="21">
        <f t="shared" si="0"/>
        <v>10.858275862068922</v>
      </c>
      <c r="G10" s="22">
        <f t="shared" si="0"/>
        <v>698.02494252873555</v>
      </c>
      <c r="H10" s="26">
        <f t="shared" si="1"/>
        <v>6.7864224137930765E-3</v>
      </c>
      <c r="I10" s="27">
        <f t="shared" si="2"/>
        <v>0.76467950614796665</v>
      </c>
      <c r="J10" s="25"/>
    </row>
    <row r="11" spans="1:25" x14ac:dyDescent="0.25">
      <c r="A11" s="5"/>
      <c r="B11" s="19" t="s">
        <v>29</v>
      </c>
      <c r="C11" s="20">
        <v>17255.259999999998</v>
      </c>
      <c r="D11" s="20">
        <v>10400</v>
      </c>
      <c r="E11" s="20">
        <v>5477</v>
      </c>
      <c r="F11" s="21">
        <f t="shared" si="0"/>
        <v>6855.2599999999984</v>
      </c>
      <c r="G11" s="22">
        <f t="shared" si="0"/>
        <v>11778.259999999998</v>
      </c>
      <c r="H11" s="23">
        <f t="shared" si="1"/>
        <v>0.65915961538461521</v>
      </c>
      <c r="I11" s="24">
        <f t="shared" si="2"/>
        <v>2.1504947964213983</v>
      </c>
      <c r="J11" s="25"/>
    </row>
    <row r="12" spans="1:25" x14ac:dyDescent="0.25">
      <c r="A12" s="5"/>
      <c r="B12" s="19" t="s">
        <v>30</v>
      </c>
      <c r="C12" s="29">
        <f>+C11/C9</f>
        <v>0.36937387629511703</v>
      </c>
      <c r="D12" s="29">
        <f>+D11/D9</f>
        <v>0.25</v>
      </c>
      <c r="E12" s="29">
        <f>+E11/E9</f>
        <v>0.25</v>
      </c>
      <c r="F12" s="30">
        <f t="shared" si="0"/>
        <v>0.11937387629511703</v>
      </c>
      <c r="G12" s="33">
        <f t="shared" si="0"/>
        <v>0.11937387629511703</v>
      </c>
      <c r="H12" s="23">
        <f t="shared" si="1"/>
        <v>0.47749550518046813</v>
      </c>
      <c r="I12" s="24">
        <f t="shared" si="2"/>
        <v>0.47749550518046813</v>
      </c>
      <c r="J12" s="25"/>
    </row>
    <row r="13" spans="1:25" x14ac:dyDescent="0.25">
      <c r="A13" s="5"/>
      <c r="B13" s="19" t="s">
        <v>31</v>
      </c>
      <c r="C13" s="20">
        <v>49170.060000000012</v>
      </c>
      <c r="D13" s="20">
        <v>44793.904657944528</v>
      </c>
      <c r="E13" s="20">
        <v>33317.009999999995</v>
      </c>
      <c r="F13" s="21">
        <f t="shared" si="0"/>
        <v>4376.1553420554847</v>
      </c>
      <c r="G13" s="22">
        <f t="shared" si="0"/>
        <v>15853.050000000017</v>
      </c>
      <c r="H13" s="23">
        <f t="shared" si="1"/>
        <v>9.769533099364093E-2</v>
      </c>
      <c r="I13" s="24">
        <f t="shared" si="2"/>
        <v>0.47582451126316616</v>
      </c>
      <c r="J13" s="25"/>
    </row>
    <row r="14" spans="1:25" x14ac:dyDescent="0.25">
      <c r="A14" s="5"/>
      <c r="B14" s="19" t="s">
        <v>32</v>
      </c>
      <c r="C14" s="20">
        <f>+C13/C4</f>
        <v>1695.519310344828</v>
      </c>
      <c r="D14" s="20">
        <f>+D13/D4</f>
        <v>1722.8424868440202</v>
      </c>
      <c r="E14" s="20">
        <f>+E13/E4</f>
        <v>1388.2087499999998</v>
      </c>
      <c r="F14" s="21">
        <f t="shared" si="0"/>
        <v>-27.323176499192186</v>
      </c>
      <c r="G14" s="22">
        <f t="shared" si="0"/>
        <v>307.31056034482822</v>
      </c>
      <c r="H14" s="23">
        <f t="shared" si="1"/>
        <v>-1.5859358419494287E-2</v>
      </c>
      <c r="I14" s="24">
        <f t="shared" si="2"/>
        <v>0.22137200932124096</v>
      </c>
      <c r="J14" s="25"/>
    </row>
    <row r="15" spans="1:25" x14ac:dyDescent="0.25">
      <c r="A15" s="5"/>
      <c r="B15" s="19" t="s">
        <v>33</v>
      </c>
      <c r="C15" s="20">
        <v>125488.98999999999</v>
      </c>
      <c r="D15" s="20">
        <v>99557.85461538464</v>
      </c>
      <c r="E15" s="20">
        <v>147575.01</v>
      </c>
      <c r="F15" s="21">
        <f t="shared" si="0"/>
        <v>25931.135384615351</v>
      </c>
      <c r="G15" s="22">
        <f t="shared" si="0"/>
        <v>-22086.020000000019</v>
      </c>
      <c r="H15" s="23">
        <f t="shared" si="1"/>
        <v>0.26046297888592934</v>
      </c>
      <c r="I15" s="24">
        <f>+IFERROR(G15/ABS($E15),"")</f>
        <v>-0.14965962055499787</v>
      </c>
      <c r="J15" s="25"/>
    </row>
    <row r="16" spans="1:25" x14ac:dyDescent="0.25">
      <c r="A16" s="5"/>
      <c r="B16" s="34" t="s">
        <v>34</v>
      </c>
      <c r="C16" s="35"/>
      <c r="D16" s="35"/>
      <c r="E16" s="35"/>
      <c r="F16" s="36"/>
      <c r="G16" s="37"/>
      <c r="H16" s="38"/>
      <c r="I16" s="39"/>
      <c r="J16" s="25"/>
    </row>
    <row r="17" spans="1:25" x14ac:dyDescent="0.25">
      <c r="A17" s="5"/>
      <c r="B17" s="40" t="s">
        <v>9</v>
      </c>
      <c r="C17" s="41">
        <v>62</v>
      </c>
      <c r="D17" s="41">
        <v>56</v>
      </c>
      <c r="E17" s="42">
        <v>43</v>
      </c>
      <c r="F17" s="43">
        <f>+IFERROR($C17-D17,"")</f>
        <v>6</v>
      </c>
      <c r="G17" s="44">
        <f>+IFERROR($C17-E17,"")</f>
        <v>19</v>
      </c>
      <c r="H17" s="30">
        <f>+IFERROR(F17/ABS($D17),"")</f>
        <v>0.10714285714285714</v>
      </c>
      <c r="I17" s="45">
        <f>+IFERROR(G17/ABS($E17),"")</f>
        <v>0.44186046511627908</v>
      </c>
      <c r="J17" s="25"/>
    </row>
    <row r="18" spans="1:25" x14ac:dyDescent="0.25">
      <c r="A18" s="5"/>
      <c r="B18" s="46" t="s">
        <v>35</v>
      </c>
      <c r="C18" s="47">
        <v>5270577</v>
      </c>
      <c r="D18" s="47">
        <v>4379321.9076923095</v>
      </c>
      <c r="E18" s="47">
        <v>3599172.8199999989</v>
      </c>
      <c r="F18" s="48">
        <f>+IFERROR($C18-D18,"")</f>
        <v>891255.09230769053</v>
      </c>
      <c r="G18" s="49">
        <f>+IFERROR($C18-E18,"")</f>
        <v>1671404.1800000011</v>
      </c>
      <c r="H18" s="50">
        <f>+IFERROR(F18/ABS($D18),"")</f>
        <v>0.20351440499091761</v>
      </c>
      <c r="I18" s="51">
        <f>+IFERROR(G18/ABS($E18),"")</f>
        <v>0.46438564180977604</v>
      </c>
      <c r="J18" s="52"/>
    </row>
    <row r="19" spans="1:25" x14ac:dyDescent="0.25">
      <c r="C19" s="53"/>
      <c r="D19" s="53"/>
      <c r="E19" s="53"/>
      <c r="F19" s="53"/>
      <c r="G19" s="53"/>
      <c r="H19" s="53"/>
      <c r="I19" s="53"/>
    </row>
    <row r="20" spans="1:25" x14ac:dyDescent="0.25">
      <c r="B20" s="54" t="s">
        <v>36</v>
      </c>
      <c r="C20" s="55" t="s">
        <v>1</v>
      </c>
      <c r="D20" s="55" t="s">
        <v>2</v>
      </c>
      <c r="E20" s="55">
        <f>$E$3</f>
        <v>2023</v>
      </c>
      <c r="F20" s="56" t="s">
        <v>3</v>
      </c>
      <c r="G20" s="57" t="str">
        <f>$G$3</f>
        <v>▲2023</v>
      </c>
      <c r="H20" s="56" t="s">
        <v>5</v>
      </c>
      <c r="I20" s="57" t="str">
        <f>$I$3</f>
        <v>% ▲ 2023</v>
      </c>
      <c r="J20" s="58" t="s">
        <v>7</v>
      </c>
    </row>
    <row r="21" spans="1:25" ht="15" customHeight="1" x14ac:dyDescent="0.25">
      <c r="B21" s="59" t="s">
        <v>9</v>
      </c>
      <c r="C21" s="60">
        <v>17</v>
      </c>
      <c r="D21" s="60">
        <v>20</v>
      </c>
      <c r="E21" s="60">
        <v>11</v>
      </c>
      <c r="F21" s="61">
        <f t="shared" ref="F21:G32" si="3">+IFERROR($C21-D21,"")</f>
        <v>-3</v>
      </c>
      <c r="G21" s="62">
        <f t="shared" si="3"/>
        <v>6</v>
      </c>
      <c r="H21" s="16">
        <f t="shared" ref="H21:H32" si="4">+IFERROR(F21/ABS($D21),"")</f>
        <v>-0.15</v>
      </c>
      <c r="I21" s="17">
        <f t="shared" ref="I21:I32" si="5">+IFERROR(G21/ABS($E21),"")</f>
        <v>0.54545454545454541</v>
      </c>
      <c r="J21" s="18"/>
    </row>
    <row r="22" spans="1:25" x14ac:dyDescent="0.25">
      <c r="B22" s="19" t="s">
        <v>10</v>
      </c>
      <c r="C22" s="20">
        <v>30742.470000000059</v>
      </c>
      <c r="D22" s="20">
        <v>46800</v>
      </c>
      <c r="E22" s="20">
        <v>21037.459999999908</v>
      </c>
      <c r="F22" s="21">
        <f t="shared" si="3"/>
        <v>-16057.529999999941</v>
      </c>
      <c r="G22" s="22">
        <f t="shared" si="3"/>
        <v>9705.0100000001512</v>
      </c>
      <c r="H22" s="23">
        <f t="shared" si="4"/>
        <v>-0.3431096153846141</v>
      </c>
      <c r="I22" s="24">
        <f t="shared" si="5"/>
        <v>0.46132042556469238</v>
      </c>
      <c r="J22" s="25"/>
    </row>
    <row r="23" spans="1:25" x14ac:dyDescent="0.25">
      <c r="B23" s="19" t="s">
        <v>11</v>
      </c>
      <c r="C23" s="20">
        <f>+C22/C21</f>
        <v>1808.3805882352976</v>
      </c>
      <c r="D23" s="20">
        <f>+D22/D21</f>
        <v>2340</v>
      </c>
      <c r="E23" s="20">
        <f>+E22/E21</f>
        <v>1912.4963636363552</v>
      </c>
      <c r="F23" s="21">
        <f t="shared" si="3"/>
        <v>-531.61941176470236</v>
      </c>
      <c r="G23" s="22">
        <f t="shared" si="3"/>
        <v>-104.11577540105759</v>
      </c>
      <c r="H23" s="26">
        <f t="shared" si="4"/>
        <v>-0.22718778280542837</v>
      </c>
      <c r="I23" s="27">
        <f t="shared" si="5"/>
        <v>-5.4439724634610762E-2</v>
      </c>
      <c r="J23" s="25"/>
    </row>
    <row r="24" spans="1:25" x14ac:dyDescent="0.25">
      <c r="B24" s="19" t="s">
        <v>13</v>
      </c>
      <c r="C24" s="20">
        <v>10473.44</v>
      </c>
      <c r="D24" s="20">
        <v>15498.778625954199</v>
      </c>
      <c r="E24" s="20">
        <v>7291.66</v>
      </c>
      <c r="F24" s="21">
        <f t="shared" si="3"/>
        <v>-5025.3386259541985</v>
      </c>
      <c r="G24" s="22">
        <f t="shared" si="3"/>
        <v>3181.7800000000007</v>
      </c>
      <c r="H24" s="23">
        <f t="shared" si="4"/>
        <v>-0.32424094486637706</v>
      </c>
      <c r="I24" s="24">
        <f t="shared" si="5"/>
        <v>0.43635879895661628</v>
      </c>
      <c r="J24" s="25"/>
      <c r="N24" s="3" t="s">
        <v>37</v>
      </c>
    </row>
    <row r="25" spans="1:25" x14ac:dyDescent="0.25">
      <c r="B25" s="19" t="s">
        <v>26</v>
      </c>
      <c r="C25" s="29">
        <f>+C24/C22</f>
        <v>0.3406831006096771</v>
      </c>
      <c r="D25" s="29">
        <f>+D24/D22</f>
        <v>0.33117048346055983</v>
      </c>
      <c r="E25" s="29">
        <f>+E24/E22</f>
        <v>0.34660362990589316</v>
      </c>
      <c r="F25" s="30">
        <f t="shared" si="3"/>
        <v>9.5126171491172751E-3</v>
      </c>
      <c r="G25" s="31">
        <f t="shared" si="3"/>
        <v>-5.9205292962160594E-3</v>
      </c>
      <c r="H25" s="23">
        <f t="shared" si="4"/>
        <v>2.8724230039209288E-2</v>
      </c>
      <c r="I25" s="24">
        <f t="shared" si="5"/>
        <v>-1.7081555948573159E-2</v>
      </c>
      <c r="J25" s="25"/>
      <c r="N25" s="28" t="s">
        <v>14</v>
      </c>
      <c r="O25" s="28" t="s">
        <v>15</v>
      </c>
      <c r="P25" s="28" t="s">
        <v>16</v>
      </c>
      <c r="Q25" s="28" t="s">
        <v>17</v>
      </c>
      <c r="R25" s="28" t="s">
        <v>18</v>
      </c>
      <c r="S25" s="28" t="s">
        <v>19</v>
      </c>
      <c r="T25" s="28" t="s">
        <v>20</v>
      </c>
      <c r="U25" s="28" t="s">
        <v>21</v>
      </c>
      <c r="V25" s="28" t="s">
        <v>22</v>
      </c>
      <c r="W25" s="28" t="s">
        <v>23</v>
      </c>
      <c r="X25" s="28" t="s">
        <v>24</v>
      </c>
      <c r="Y25" s="28" t="s">
        <v>25</v>
      </c>
    </row>
    <row r="26" spans="1:25" x14ac:dyDescent="0.25">
      <c r="B26" s="19" t="s">
        <v>27</v>
      </c>
      <c r="C26" s="20">
        <v>22685.040000000001</v>
      </c>
      <c r="D26" s="20">
        <v>33000</v>
      </c>
      <c r="E26" s="20">
        <v>12405.919999999998</v>
      </c>
      <c r="F26" s="21">
        <f t="shared" si="3"/>
        <v>-10314.959999999999</v>
      </c>
      <c r="G26" s="22">
        <f t="shared" si="3"/>
        <v>10279.120000000003</v>
      </c>
      <c r="H26" s="23">
        <f t="shared" si="4"/>
        <v>-0.31257454545454544</v>
      </c>
      <c r="I26" s="24">
        <f t="shared" si="5"/>
        <v>0.82856571701252335</v>
      </c>
      <c r="J26" s="25"/>
      <c r="N26" s="28">
        <v>52</v>
      </c>
      <c r="O26" s="28">
        <v>56</v>
      </c>
      <c r="P26" s="28">
        <v>61</v>
      </c>
      <c r="Q26" s="28">
        <v>64</v>
      </c>
      <c r="R26" s="28">
        <v>61</v>
      </c>
      <c r="S26" s="28">
        <v>60</v>
      </c>
      <c r="T26" s="28">
        <v>61</v>
      </c>
      <c r="U26" s="28">
        <v>60</v>
      </c>
      <c r="V26" s="28">
        <v>56</v>
      </c>
      <c r="W26" s="28">
        <v>54</v>
      </c>
      <c r="X26" s="28">
        <v>50</v>
      </c>
      <c r="Y26" s="28">
        <v>49</v>
      </c>
    </row>
    <row r="27" spans="1:25" x14ac:dyDescent="0.25">
      <c r="B27" s="19" t="s">
        <v>28</v>
      </c>
      <c r="C27" s="20">
        <f>+C26/C21</f>
        <v>1334.4141176470589</v>
      </c>
      <c r="D27" s="20">
        <f>+D26/D21</f>
        <v>1650</v>
      </c>
      <c r="E27" s="20">
        <f>+E26/E21</f>
        <v>1127.810909090909</v>
      </c>
      <c r="F27" s="21">
        <f t="shared" si="3"/>
        <v>-315.5858823529411</v>
      </c>
      <c r="G27" s="22">
        <f t="shared" si="3"/>
        <v>206.60320855614987</v>
      </c>
      <c r="H27" s="26">
        <f t="shared" si="4"/>
        <v>-0.1912641711229946</v>
      </c>
      <c r="I27" s="27">
        <f t="shared" si="5"/>
        <v>0.18318958159633858</v>
      </c>
      <c r="J27" s="25"/>
      <c r="N27" s="32">
        <v>1967562.7450980393</v>
      </c>
      <c r="O27" s="32">
        <v>2118913.7254901966</v>
      </c>
      <c r="P27" s="32">
        <v>2308102.4509803923</v>
      </c>
      <c r="Q27" s="32">
        <v>2421615.6862745099</v>
      </c>
      <c r="R27" s="32">
        <v>2308102.4509803923</v>
      </c>
      <c r="S27" s="32">
        <v>2270264.7058823532</v>
      </c>
      <c r="T27" s="32">
        <v>2308102.4509803923</v>
      </c>
      <c r="U27" s="32">
        <v>2270264.7058823532</v>
      </c>
      <c r="V27" s="32">
        <v>2118913.7254901957</v>
      </c>
      <c r="W27" s="32">
        <v>2043238.2352941176</v>
      </c>
      <c r="X27" s="32">
        <v>1891887.254901961</v>
      </c>
      <c r="Y27" s="32">
        <v>1854049.5098039214</v>
      </c>
    </row>
    <row r="28" spans="1:25" x14ac:dyDescent="0.25">
      <c r="B28" s="19" t="s">
        <v>29</v>
      </c>
      <c r="C28" s="20">
        <v>6861.49</v>
      </c>
      <c r="D28" s="20">
        <v>8250</v>
      </c>
      <c r="E28" s="20">
        <v>2713.73</v>
      </c>
      <c r="F28" s="21">
        <f t="shared" si="3"/>
        <v>-1388.5100000000002</v>
      </c>
      <c r="G28" s="22">
        <f t="shared" si="3"/>
        <v>4147.76</v>
      </c>
      <c r="H28" s="23">
        <f t="shared" si="4"/>
        <v>-0.16830424242424244</v>
      </c>
      <c r="I28" s="24">
        <f t="shared" si="5"/>
        <v>1.5284350322250189</v>
      </c>
      <c r="J28" s="25"/>
    </row>
    <row r="29" spans="1:25" x14ac:dyDescent="0.25">
      <c r="B29" s="19" t="s">
        <v>30</v>
      </c>
      <c r="C29" s="29">
        <f>+C28/C26</f>
        <v>0.30246761742540457</v>
      </c>
      <c r="D29" s="29">
        <f>+D28/D26</f>
        <v>0.25</v>
      </c>
      <c r="E29" s="29">
        <f>+E28/E26</f>
        <v>0.2187447605659234</v>
      </c>
      <c r="F29" s="30">
        <f t="shared" si="3"/>
        <v>5.2467617425404567E-2</v>
      </c>
      <c r="G29" s="33">
        <f t="shared" si="3"/>
        <v>8.3722856859481165E-2</v>
      </c>
      <c r="H29" s="23">
        <f t="shared" si="4"/>
        <v>0.20987046970161827</v>
      </c>
      <c r="I29" s="24">
        <f t="shared" si="5"/>
        <v>0.38274222725553919</v>
      </c>
      <c r="J29" s="25"/>
    </row>
    <row r="30" spans="1:25" x14ac:dyDescent="0.25">
      <c r="B30" s="19" t="s">
        <v>31</v>
      </c>
      <c r="C30" s="20">
        <v>16846.080000000002</v>
      </c>
      <c r="D30" s="20">
        <v>20547.138379942146</v>
      </c>
      <c r="E30" s="20">
        <v>18248.330000000002</v>
      </c>
      <c r="F30" s="21">
        <f t="shared" si="3"/>
        <v>-3701.0583799421438</v>
      </c>
      <c r="G30" s="22">
        <f t="shared" si="3"/>
        <v>-1402.25</v>
      </c>
      <c r="H30" s="23">
        <f t="shared" si="4"/>
        <v>-0.1801252472001196</v>
      </c>
      <c r="I30" s="24">
        <f t="shared" si="5"/>
        <v>-7.6842648066973787E-2</v>
      </c>
      <c r="J30" s="25"/>
    </row>
    <row r="31" spans="1:25" x14ac:dyDescent="0.25">
      <c r="B31" s="19" t="s">
        <v>32</v>
      </c>
      <c r="C31" s="20">
        <f>+C30/C21</f>
        <v>990.94588235294123</v>
      </c>
      <c r="D31" s="20">
        <f>+D30/D21</f>
        <v>1027.3569189971072</v>
      </c>
      <c r="E31" s="20">
        <f>+E30/E21</f>
        <v>1658.939090909091</v>
      </c>
      <c r="F31" s="21">
        <f t="shared" si="3"/>
        <v>-36.411036644165961</v>
      </c>
      <c r="G31" s="22">
        <f t="shared" si="3"/>
        <v>-667.99320855614974</v>
      </c>
      <c r="H31" s="23">
        <f t="shared" si="4"/>
        <v>-3.5441467294258309E-2</v>
      </c>
      <c r="I31" s="24">
        <f>+IFERROR(G31/ABS($E31),"")</f>
        <v>-0.40266288992568894</v>
      </c>
      <c r="J31" s="25"/>
    </row>
    <row r="32" spans="1:25" x14ac:dyDescent="0.25">
      <c r="B32" s="19" t="s">
        <v>33</v>
      </c>
      <c r="C32" s="20">
        <v>7735</v>
      </c>
      <c r="D32" s="20">
        <v>14475.294117647059</v>
      </c>
      <c r="E32" s="20">
        <v>6260</v>
      </c>
      <c r="F32" s="21">
        <f t="shared" si="3"/>
        <v>-6740.2941176470595</v>
      </c>
      <c r="G32" s="22">
        <f t="shared" si="3"/>
        <v>1475</v>
      </c>
      <c r="H32" s="23">
        <f t="shared" si="4"/>
        <v>-0.46564125487646296</v>
      </c>
      <c r="I32" s="24">
        <f t="shared" si="5"/>
        <v>0.23562300319488819</v>
      </c>
      <c r="J32" s="25"/>
    </row>
    <row r="33" spans="2:10" x14ac:dyDescent="0.25">
      <c r="B33" s="34" t="s">
        <v>34</v>
      </c>
      <c r="C33" s="35"/>
      <c r="D33" s="35"/>
      <c r="E33" s="35"/>
      <c r="F33" s="36"/>
      <c r="G33" s="37"/>
      <c r="H33" s="63"/>
      <c r="I33" s="64"/>
      <c r="J33" s="25"/>
    </row>
    <row r="34" spans="2:10" x14ac:dyDescent="0.25">
      <c r="B34" s="40" t="s">
        <v>9</v>
      </c>
      <c r="C34" s="41">
        <v>39</v>
      </c>
      <c r="D34" s="41">
        <v>56</v>
      </c>
      <c r="E34" s="42">
        <v>40</v>
      </c>
      <c r="F34" s="43">
        <f>+IFERROR($C34-D34,"")</f>
        <v>-17</v>
      </c>
      <c r="G34" s="44">
        <f>+IFERROR($C34-E34,"")</f>
        <v>-1</v>
      </c>
      <c r="H34" s="30">
        <f>+IFERROR(F34/ABS($D34),"")</f>
        <v>-0.30357142857142855</v>
      </c>
      <c r="I34" s="45">
        <f>+IFERROR(G34/ABS($E34),"")</f>
        <v>-2.5000000000000001E-2</v>
      </c>
      <c r="J34" s="25"/>
    </row>
    <row r="35" spans="2:10" x14ac:dyDescent="0.25">
      <c r="B35" s="46" t="s">
        <v>35</v>
      </c>
      <c r="C35" s="47">
        <v>1454540</v>
      </c>
      <c r="D35" s="47">
        <v>2118913.7254901957</v>
      </c>
      <c r="E35" s="47">
        <v>1700800.7499999998</v>
      </c>
      <c r="F35" s="48">
        <f>+IFERROR($C35-D35,"")</f>
        <v>-664373.72549019568</v>
      </c>
      <c r="G35" s="49">
        <f>+IFERROR($C35-E35,"")</f>
        <v>-246260.74999999977</v>
      </c>
      <c r="H35" s="50">
        <f>+IFERROR(F35/ABS($D35),"")</f>
        <v>-0.31354449098039494</v>
      </c>
      <c r="I35" s="51">
        <f>+IFERROR(G35/ABS($E35),"")</f>
        <v>-0.14479106385624524</v>
      </c>
      <c r="J35" s="52"/>
    </row>
    <row r="36" spans="2:10" x14ac:dyDescent="0.25">
      <c r="C36" s="53"/>
      <c r="D36" s="53"/>
      <c r="E36" s="53"/>
      <c r="F36" s="53"/>
      <c r="G36" s="53"/>
      <c r="H36" s="53"/>
      <c r="I36" s="53"/>
    </row>
    <row r="37" spans="2:10" x14ac:dyDescent="0.25">
      <c r="B37" s="65" t="s">
        <v>38</v>
      </c>
      <c r="C37" s="66" t="s">
        <v>1</v>
      </c>
      <c r="D37" s="66" t="s">
        <v>2</v>
      </c>
      <c r="E37" s="66">
        <f>$E$3</f>
        <v>2023</v>
      </c>
      <c r="F37" s="67" t="s">
        <v>3</v>
      </c>
      <c r="G37" s="68" t="str">
        <f>$G$3</f>
        <v>▲2023</v>
      </c>
      <c r="H37" s="67" t="s">
        <v>5</v>
      </c>
      <c r="I37" s="68" t="str">
        <f>$I$3</f>
        <v>% ▲ 2023</v>
      </c>
      <c r="J37" s="69" t="s">
        <v>7</v>
      </c>
    </row>
    <row r="38" spans="2:10" ht="28.15" customHeight="1" x14ac:dyDescent="0.25">
      <c r="B38" s="59" t="s">
        <v>39</v>
      </c>
      <c r="C38" s="70">
        <v>120178.18999999999</v>
      </c>
      <c r="D38" s="70">
        <v>133807.56831748813</v>
      </c>
      <c r="E38" s="70">
        <v>135867.92999999982</v>
      </c>
      <c r="F38" s="71">
        <f t="shared" ref="F38:G47" si="6">+IFERROR($C38-D38,"")</f>
        <v>-13629.378317488139</v>
      </c>
      <c r="G38" s="72">
        <f t="shared" si="6"/>
        <v>-15689.739999999831</v>
      </c>
      <c r="H38" s="16">
        <f t="shared" ref="H38:H47" si="7">+IFERROR(F38/ABS($D38),"")</f>
        <v>-0.10185805249183975</v>
      </c>
      <c r="I38" s="17">
        <f t="shared" ref="I38:I47" si="8">+IFERROR(G38/ABS($E38),"")</f>
        <v>-0.11547787619933454</v>
      </c>
      <c r="J38" s="18"/>
    </row>
    <row r="39" spans="2:10" x14ac:dyDescent="0.25">
      <c r="B39" s="59" t="s">
        <v>40</v>
      </c>
      <c r="C39" s="70">
        <v>75572.249999999985</v>
      </c>
      <c r="D39" s="70">
        <v>90131.075377614121</v>
      </c>
      <c r="E39" s="70">
        <v>91177.029999999824</v>
      </c>
      <c r="F39" s="71">
        <f t="shared" si="6"/>
        <v>-14558.825377614136</v>
      </c>
      <c r="G39" s="72">
        <f t="shared" si="6"/>
        <v>-15604.779999999839</v>
      </c>
      <c r="H39" s="73">
        <f t="shared" si="7"/>
        <v>-0.16152947600612025</v>
      </c>
      <c r="I39" s="74">
        <f t="shared" si="8"/>
        <v>-0.17114814992328517</v>
      </c>
      <c r="J39" s="25"/>
    </row>
    <row r="40" spans="2:10" x14ac:dyDescent="0.25">
      <c r="B40" s="19" t="s">
        <v>41</v>
      </c>
      <c r="C40" s="20">
        <v>311.93827586206902</v>
      </c>
      <c r="D40" s="75">
        <v>324</v>
      </c>
      <c r="E40" s="20">
        <v>333.21270440251573</v>
      </c>
      <c r="F40" s="21">
        <f t="shared" si="6"/>
        <v>-12.06172413793098</v>
      </c>
      <c r="G40" s="22">
        <f t="shared" si="6"/>
        <v>-21.274428540446706</v>
      </c>
      <c r="H40" s="23">
        <f t="shared" si="7"/>
        <v>-3.7227543635589444E-2</v>
      </c>
      <c r="I40" s="24">
        <f t="shared" si="8"/>
        <v>-6.3846390786911678E-2</v>
      </c>
      <c r="J40" s="25"/>
    </row>
    <row r="41" spans="2:10" x14ac:dyDescent="0.25">
      <c r="B41" s="19" t="s">
        <v>42</v>
      </c>
      <c r="C41" s="20">
        <v>200.51722222222222</v>
      </c>
      <c r="D41" s="75">
        <v>145</v>
      </c>
      <c r="E41" s="20">
        <v>168.93470873786359</v>
      </c>
      <c r="F41" s="21">
        <f t="shared" si="6"/>
        <v>55.517222222222216</v>
      </c>
      <c r="G41" s="22">
        <f t="shared" si="6"/>
        <v>31.582513484358628</v>
      </c>
      <c r="H41" s="23">
        <f t="shared" si="7"/>
        <v>0.38287739463601528</v>
      </c>
      <c r="I41" s="24">
        <f t="shared" si="8"/>
        <v>0.18695100444613363</v>
      </c>
      <c r="J41" s="25"/>
    </row>
    <row r="42" spans="2:10" x14ac:dyDescent="0.25">
      <c r="B42" s="19" t="s">
        <v>43</v>
      </c>
      <c r="C42" s="76">
        <v>-4460.45</v>
      </c>
      <c r="D42" s="76">
        <v>-1928.5118619432426</v>
      </c>
      <c r="E42" s="76">
        <v>-4235.5600000000004</v>
      </c>
      <c r="F42" s="21">
        <f t="shared" si="6"/>
        <v>-2531.9381380567575</v>
      </c>
      <c r="G42" s="22">
        <f t="shared" si="6"/>
        <v>-224.88999999999942</v>
      </c>
      <c r="H42" s="23">
        <f t="shared" si="7"/>
        <v>-1.3128973629985763</v>
      </c>
      <c r="I42" s="24">
        <f t="shared" si="8"/>
        <v>-5.3095694548064343E-2</v>
      </c>
      <c r="J42" s="25"/>
    </row>
    <row r="43" spans="2:10" x14ac:dyDescent="0.25">
      <c r="B43" s="19" t="s">
        <v>44</v>
      </c>
      <c r="C43" s="20">
        <v>51203.659999999996</v>
      </c>
      <c r="D43" s="20">
        <v>54790.162724688307</v>
      </c>
      <c r="E43" s="20">
        <v>53956.970000000008</v>
      </c>
      <c r="F43" s="21">
        <f t="shared" si="6"/>
        <v>-3586.502724688311</v>
      </c>
      <c r="G43" s="22">
        <f t="shared" si="6"/>
        <v>-2753.3100000000122</v>
      </c>
      <c r="H43" s="23">
        <f t="shared" si="7"/>
        <v>-6.5458880688307242E-2</v>
      </c>
      <c r="I43" s="24">
        <f t="shared" si="8"/>
        <v>-5.1027883885993074E-2</v>
      </c>
      <c r="J43" s="25"/>
    </row>
    <row r="44" spans="2:10" x14ac:dyDescent="0.25">
      <c r="B44" s="77" t="s">
        <v>45</v>
      </c>
      <c r="C44" s="20">
        <v>30903.25</v>
      </c>
      <c r="D44" s="20">
        <v>32100.894268750759</v>
      </c>
      <c r="E44" s="20">
        <v>30432.11</v>
      </c>
      <c r="F44" s="21">
        <f t="shared" si="6"/>
        <v>-1197.6442687507588</v>
      </c>
      <c r="G44" s="22">
        <f t="shared" si="6"/>
        <v>471.13999999999942</v>
      </c>
      <c r="H44" s="23">
        <f t="shared" si="7"/>
        <v>-3.7308750925254722E-2</v>
      </c>
      <c r="I44" s="24">
        <f t="shared" si="8"/>
        <v>1.5481673797840486E-2</v>
      </c>
      <c r="J44" s="25"/>
    </row>
    <row r="45" spans="2:10" x14ac:dyDescent="0.25">
      <c r="B45" s="77" t="s">
        <v>46</v>
      </c>
      <c r="C45" s="20">
        <v>20300.41</v>
      </c>
      <c r="D45" s="20">
        <v>22689.268455937545</v>
      </c>
      <c r="E45" s="20">
        <v>23524.859999999997</v>
      </c>
      <c r="F45" s="21">
        <f t="shared" si="6"/>
        <v>-2388.8584559375449</v>
      </c>
      <c r="G45" s="22">
        <f t="shared" si="6"/>
        <v>-3224.4499999999971</v>
      </c>
      <c r="H45" s="23">
        <f t="shared" si="7"/>
        <v>-0.10528582975589086</v>
      </c>
      <c r="I45" s="24">
        <f t="shared" si="8"/>
        <v>-0.13706564034812524</v>
      </c>
      <c r="J45" s="25"/>
    </row>
    <row r="46" spans="2:10" x14ac:dyDescent="0.25">
      <c r="B46" s="19" t="s">
        <v>47</v>
      </c>
      <c r="C46" s="78">
        <f>+C43/C38</f>
        <v>0.42606449639489496</v>
      </c>
      <c r="D46" s="78">
        <f>+D43/D38</f>
        <v>0.4094698335350247</v>
      </c>
      <c r="E46" s="78">
        <f>+E43/E38</f>
        <v>0.39712807871585354</v>
      </c>
      <c r="F46" s="30">
        <f t="shared" si="6"/>
        <v>1.6594662859870268E-2</v>
      </c>
      <c r="G46" s="31">
        <f t="shared" si="6"/>
        <v>2.8936417679041426E-2</v>
      </c>
      <c r="H46" s="23">
        <f t="shared" si="7"/>
        <v>4.0527192727741725E-2</v>
      </c>
      <c r="I46" s="24">
        <f t="shared" si="8"/>
        <v>7.2864194777185545E-2</v>
      </c>
      <c r="J46" s="25"/>
    </row>
    <row r="47" spans="2:10" x14ac:dyDescent="0.25">
      <c r="B47" s="79" t="s">
        <v>48</v>
      </c>
      <c r="C47" s="80">
        <v>4543.43</v>
      </c>
      <c r="D47" s="80">
        <v>4822.7083333333339</v>
      </c>
      <c r="E47" s="80">
        <v>11532.63</v>
      </c>
      <c r="F47" s="48">
        <f t="shared" si="6"/>
        <v>-279.27833333333365</v>
      </c>
      <c r="G47" s="49">
        <f t="shared" si="6"/>
        <v>-6989.1999999999989</v>
      </c>
      <c r="H47" s="81">
        <f t="shared" si="7"/>
        <v>-5.7909024147911416E-2</v>
      </c>
      <c r="I47" s="51">
        <f t="shared" si="8"/>
        <v>-0.60603695774511102</v>
      </c>
      <c r="J47" s="52"/>
    </row>
    <row r="48" spans="2:10" x14ac:dyDescent="0.25">
      <c r="C48" s="53"/>
      <c r="D48" s="53"/>
      <c r="E48" s="53"/>
      <c r="F48" s="53"/>
      <c r="G48" s="53"/>
      <c r="H48" s="53"/>
      <c r="I48" s="53"/>
    </row>
    <row r="49" spans="2:25" x14ac:dyDescent="0.25">
      <c r="B49" s="82" t="s">
        <v>49</v>
      </c>
      <c r="C49" s="83" t="s">
        <v>1</v>
      </c>
      <c r="D49" s="83" t="s">
        <v>2</v>
      </c>
      <c r="E49" s="83">
        <f>$E$3</f>
        <v>2023</v>
      </c>
      <c r="F49" s="84" t="s">
        <v>3</v>
      </c>
      <c r="G49" s="85" t="str">
        <f>$G$3</f>
        <v>▲2023</v>
      </c>
      <c r="H49" s="84" t="s">
        <v>5</v>
      </c>
      <c r="I49" s="85" t="str">
        <f>$I$3</f>
        <v>% ▲ 2023</v>
      </c>
      <c r="J49" s="86" t="s">
        <v>7</v>
      </c>
    </row>
    <row r="50" spans="2:25" ht="14.45" customHeight="1" x14ac:dyDescent="0.25">
      <c r="B50" s="87" t="s">
        <v>39</v>
      </c>
      <c r="C50" s="70">
        <v>291496.04999999993</v>
      </c>
      <c r="D50" s="70">
        <v>332882.18932159391</v>
      </c>
      <c r="E50" s="70">
        <v>280746.27</v>
      </c>
      <c r="F50" s="71">
        <f t="shared" ref="F50:G59" si="9">+IFERROR($C50-D50,"")</f>
        <v>-41386.139321593975</v>
      </c>
      <c r="G50" s="72">
        <f t="shared" si="9"/>
        <v>10749.779999999912</v>
      </c>
      <c r="H50" s="16">
        <f t="shared" ref="H50:H59" si="10">+IFERROR(F50/ABS($D50),"")</f>
        <v>-0.12432668568401919</v>
      </c>
      <c r="I50" s="17">
        <f t="shared" ref="I50:I59" si="11">+IFERROR(G50/ABS($E50),"")</f>
        <v>3.8290018955549829E-2</v>
      </c>
      <c r="J50" s="18"/>
    </row>
    <row r="51" spans="2:25" x14ac:dyDescent="0.25">
      <c r="B51" s="88" t="s">
        <v>50</v>
      </c>
      <c r="C51" s="20">
        <v>48572.5</v>
      </c>
      <c r="D51" s="20">
        <v>59678.867118553928</v>
      </c>
      <c r="E51" s="20">
        <v>53327.55</v>
      </c>
      <c r="F51" s="21">
        <f t="shared" si="9"/>
        <v>-11106.367118553928</v>
      </c>
      <c r="G51" s="22">
        <f t="shared" si="9"/>
        <v>-4755.0500000000029</v>
      </c>
      <c r="H51" s="23">
        <f t="shared" si="10"/>
        <v>-0.18610217745070098</v>
      </c>
      <c r="I51" s="24">
        <f t="shared" si="11"/>
        <v>-8.9166856531005131E-2</v>
      </c>
      <c r="J51" s="25"/>
    </row>
    <row r="52" spans="2:25" x14ac:dyDescent="0.25">
      <c r="B52" s="88" t="s">
        <v>51</v>
      </c>
      <c r="C52" s="20">
        <v>90556.599999999991</v>
      </c>
      <c r="D52" s="20">
        <v>74638.528485751071</v>
      </c>
      <c r="E52" s="20">
        <v>72878.39</v>
      </c>
      <c r="F52" s="21">
        <f t="shared" si="9"/>
        <v>15918.071514248921</v>
      </c>
      <c r="G52" s="22">
        <f t="shared" si="9"/>
        <v>17678.209999999992</v>
      </c>
      <c r="H52" s="23">
        <f t="shared" si="10"/>
        <v>0.21326882827396274</v>
      </c>
      <c r="I52" s="24">
        <f t="shared" si="11"/>
        <v>0.24257135757252585</v>
      </c>
      <c r="J52" s="25"/>
    </row>
    <row r="53" spans="2:25" x14ac:dyDescent="0.25">
      <c r="B53" s="88" t="s">
        <v>52</v>
      </c>
      <c r="C53" s="20">
        <v>36178.019999999997</v>
      </c>
      <c r="D53" s="20">
        <v>78436.856642368046</v>
      </c>
      <c r="E53" s="20">
        <v>27974.240000000002</v>
      </c>
      <c r="F53" s="21">
        <f t="shared" si="9"/>
        <v>-42258.836642368049</v>
      </c>
      <c r="G53" s="22">
        <f t="shared" si="9"/>
        <v>8203.7799999999952</v>
      </c>
      <c r="H53" s="23">
        <f t="shared" si="10"/>
        <v>-0.53876249573649715</v>
      </c>
      <c r="I53" s="24">
        <f t="shared" si="11"/>
        <v>0.29326194384548049</v>
      </c>
      <c r="J53" s="25"/>
    </row>
    <row r="54" spans="2:25" x14ac:dyDescent="0.25">
      <c r="B54" s="88" t="s">
        <v>53</v>
      </c>
      <c r="C54" s="20">
        <v>54381.54</v>
      </c>
      <c r="D54" s="20">
        <v>52957.309383849191</v>
      </c>
      <c r="E54" s="20">
        <v>65248.9</v>
      </c>
      <c r="F54" s="21">
        <f t="shared" si="9"/>
        <v>1424.2306161508095</v>
      </c>
      <c r="G54" s="22">
        <f t="shared" si="9"/>
        <v>-10867.36</v>
      </c>
      <c r="H54" s="23">
        <f t="shared" si="10"/>
        <v>2.6893938395313722E-2</v>
      </c>
      <c r="I54" s="24">
        <f t="shared" si="11"/>
        <v>-0.16655238632375413</v>
      </c>
      <c r="J54" s="25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</row>
    <row r="55" spans="2:25" x14ac:dyDescent="0.25">
      <c r="B55" s="88" t="s">
        <v>54</v>
      </c>
      <c r="C55" s="20">
        <f>+C50-SUM(C51:C54)</f>
        <v>61807.389999999956</v>
      </c>
      <c r="D55" s="20">
        <f>+D50-SUM(D51:D54)</f>
        <v>67170.627691071655</v>
      </c>
      <c r="E55" s="20">
        <f>+E50-SUM(E51:E54)</f>
        <v>61317.190000000031</v>
      </c>
      <c r="F55" s="21">
        <f t="shared" si="9"/>
        <v>-5363.2376910716994</v>
      </c>
      <c r="G55" s="22">
        <f t="shared" si="9"/>
        <v>490.19999999992433</v>
      </c>
      <c r="H55" s="23">
        <f t="shared" si="10"/>
        <v>-7.9844983967368569E-2</v>
      </c>
      <c r="I55" s="24">
        <f t="shared" si="11"/>
        <v>7.99449550770223E-3</v>
      </c>
      <c r="J55" s="25"/>
    </row>
    <row r="56" spans="2:25" x14ac:dyDescent="0.25">
      <c r="B56" s="59" t="s">
        <v>40</v>
      </c>
      <c r="C56" s="70">
        <v>84063</v>
      </c>
      <c r="D56" s="70">
        <v>106281.51932157087</v>
      </c>
      <c r="E56" s="70">
        <v>89539.53</v>
      </c>
      <c r="F56" s="71">
        <f t="shared" si="9"/>
        <v>-22218.519321570871</v>
      </c>
      <c r="G56" s="72">
        <f t="shared" si="9"/>
        <v>-5476.5299999999988</v>
      </c>
      <c r="H56" s="73">
        <f t="shared" si="10"/>
        <v>-0.20905345974915326</v>
      </c>
      <c r="I56" s="74">
        <f t="shared" si="11"/>
        <v>-6.1163264984750297E-2</v>
      </c>
      <c r="J56" s="25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2:25" x14ac:dyDescent="0.25">
      <c r="B57" s="19" t="s">
        <v>41</v>
      </c>
      <c r="C57" s="20">
        <v>418.72844827586209</v>
      </c>
      <c r="D57" s="75">
        <v>301</v>
      </c>
      <c r="E57" s="20">
        <v>335.39339622641512</v>
      </c>
      <c r="F57" s="21">
        <f t="shared" si="9"/>
        <v>117.72844827586209</v>
      </c>
      <c r="G57" s="22">
        <f t="shared" si="9"/>
        <v>83.335052049446972</v>
      </c>
      <c r="H57" s="23">
        <f t="shared" si="10"/>
        <v>0.39112441287661825</v>
      </c>
      <c r="I57" s="24">
        <f t="shared" si="11"/>
        <v>0.24846956734112233</v>
      </c>
      <c r="J57" s="25"/>
    </row>
    <row r="58" spans="2:25" x14ac:dyDescent="0.25">
      <c r="B58" s="19" t="s">
        <v>42</v>
      </c>
      <c r="C58" s="20">
        <v>558.99135802469129</v>
      </c>
      <c r="D58" s="75">
        <v>306</v>
      </c>
      <c r="E58" s="20">
        <v>353.7785922330097</v>
      </c>
      <c r="F58" s="21">
        <f t="shared" si="9"/>
        <v>252.99135802469129</v>
      </c>
      <c r="G58" s="22">
        <f t="shared" si="9"/>
        <v>205.21276579168159</v>
      </c>
      <c r="H58" s="23">
        <f t="shared" si="10"/>
        <v>0.82676914387154021</v>
      </c>
      <c r="I58" s="24">
        <f t="shared" si="11"/>
        <v>0.58005987444407603</v>
      </c>
      <c r="J58" s="25"/>
    </row>
    <row r="59" spans="2:25" x14ac:dyDescent="0.25">
      <c r="B59" s="79" t="s">
        <v>55</v>
      </c>
      <c r="C59" s="80">
        <v>15432.58</v>
      </c>
      <c r="D59" s="80">
        <v>14306.324427480917</v>
      </c>
      <c r="E59" s="80">
        <v>12409.03</v>
      </c>
      <c r="F59" s="48">
        <f t="shared" si="9"/>
        <v>1126.2555725190832</v>
      </c>
      <c r="G59" s="49">
        <f t="shared" si="9"/>
        <v>3023.5499999999993</v>
      </c>
      <c r="H59" s="81">
        <f t="shared" si="10"/>
        <v>7.8724313727687234E-2</v>
      </c>
      <c r="I59" s="90">
        <f t="shared" si="11"/>
        <v>0.24365723992930946</v>
      </c>
      <c r="J59" s="52"/>
    </row>
    <row r="61" spans="2:25" x14ac:dyDescent="0.25">
      <c r="B61" s="91" t="s">
        <v>56</v>
      </c>
      <c r="C61" s="92" t="s">
        <v>1</v>
      </c>
      <c r="D61" s="92" t="s">
        <v>2</v>
      </c>
      <c r="E61" s="92">
        <f>$E$3</f>
        <v>2023</v>
      </c>
      <c r="F61" s="93" t="s">
        <v>3</v>
      </c>
      <c r="G61" s="94" t="str">
        <f>$G$3</f>
        <v>▲2023</v>
      </c>
      <c r="H61" s="93" t="s">
        <v>5</v>
      </c>
      <c r="I61" s="94" t="str">
        <f>$I$3</f>
        <v>% ▲ 2023</v>
      </c>
      <c r="J61" s="95" t="s">
        <v>7</v>
      </c>
    </row>
    <row r="62" spans="2:25" ht="18" customHeight="1" x14ac:dyDescent="0.25">
      <c r="B62" s="96" t="s">
        <v>57</v>
      </c>
      <c r="C62" s="97">
        <v>0.38316450157795312</v>
      </c>
      <c r="D62" s="97">
        <v>0.35748474514322875</v>
      </c>
      <c r="E62" s="97">
        <v>0.3727174709807447</v>
      </c>
      <c r="F62" s="30">
        <f t="shared" ref="F62:G67" si="12">+IFERROR($C62-D62,"")</f>
        <v>2.5679756434724366E-2</v>
      </c>
      <c r="G62" s="31">
        <f t="shared" si="12"/>
        <v>1.0447030597208418E-2</v>
      </c>
      <c r="H62" s="23">
        <f t="shared" ref="H62:H67" si="13">+IFERROR(F62/ABS($D62),"")</f>
        <v>7.1834551777686606E-2</v>
      </c>
      <c r="I62" s="24">
        <f t="shared" ref="I62:I67" si="14">+IFERROR(G62/ABS($E62),"")</f>
        <v>2.8029355773741368E-2</v>
      </c>
      <c r="J62" s="98" t="s">
        <v>58</v>
      </c>
    </row>
    <row r="63" spans="2:25" x14ac:dyDescent="0.25">
      <c r="B63" s="99" t="s">
        <v>59</v>
      </c>
      <c r="C63" s="100">
        <v>22.5</v>
      </c>
      <c r="D63" s="100">
        <v>23.5</v>
      </c>
      <c r="E63" s="100">
        <v>23.5</v>
      </c>
      <c r="F63" s="101">
        <f t="shared" si="12"/>
        <v>-1</v>
      </c>
      <c r="G63" s="102">
        <f t="shared" si="12"/>
        <v>-1</v>
      </c>
      <c r="H63" s="23">
        <f t="shared" si="13"/>
        <v>-4.2553191489361701E-2</v>
      </c>
      <c r="I63" s="24">
        <f t="shared" si="14"/>
        <v>-4.2553191489361701E-2</v>
      </c>
      <c r="J63" s="25"/>
    </row>
    <row r="64" spans="2:25" x14ac:dyDescent="0.25">
      <c r="B64" s="96" t="s">
        <v>60</v>
      </c>
      <c r="C64" s="20">
        <v>38587.050000000003</v>
      </c>
      <c r="D64" s="20">
        <v>25814.905756718683</v>
      </c>
      <c r="E64" s="20">
        <v>23172.68</v>
      </c>
      <c r="F64" s="21">
        <f t="shared" si="12"/>
        <v>12772.14424328132</v>
      </c>
      <c r="G64" s="22">
        <f t="shared" si="12"/>
        <v>15414.370000000003</v>
      </c>
      <c r="H64" s="23">
        <f t="shared" si="13"/>
        <v>0.49475850749357064</v>
      </c>
      <c r="I64" s="24">
        <f t="shared" si="14"/>
        <v>0.66519582542891031</v>
      </c>
      <c r="J64" s="25"/>
    </row>
    <row r="65" spans="2:25" x14ac:dyDescent="0.25">
      <c r="B65" s="96" t="s">
        <v>61</v>
      </c>
      <c r="C65" s="20">
        <v>59817.649999999994</v>
      </c>
      <c r="D65" s="20">
        <v>62851.939881602862</v>
      </c>
      <c r="E65" s="20">
        <v>65481.469999999994</v>
      </c>
      <c r="F65" s="21">
        <f t="shared" si="12"/>
        <v>-3034.2898816028683</v>
      </c>
      <c r="G65" s="22">
        <f t="shared" si="12"/>
        <v>-5663.82</v>
      </c>
      <c r="H65" s="23">
        <f t="shared" si="13"/>
        <v>-4.8276789663432858E-2</v>
      </c>
      <c r="I65" s="24">
        <f t="shared" si="14"/>
        <v>-8.6495003853761993E-2</v>
      </c>
      <c r="J65" s="25"/>
    </row>
    <row r="66" spans="2:25" x14ac:dyDescent="0.25">
      <c r="B66" s="96" t="s">
        <v>62</v>
      </c>
      <c r="C66" s="20">
        <v>25650.799999999999</v>
      </c>
      <c r="D66" s="20">
        <v>34933.115954553337</v>
      </c>
      <c r="E66" s="20">
        <v>22300.05</v>
      </c>
      <c r="F66" s="21">
        <f t="shared" si="12"/>
        <v>-9282.3159545533381</v>
      </c>
      <c r="G66" s="22">
        <f t="shared" si="12"/>
        <v>3350.75</v>
      </c>
      <c r="H66" s="23">
        <f t="shared" si="13"/>
        <v>-0.26571680484012017</v>
      </c>
      <c r="I66" s="24">
        <f t="shared" si="14"/>
        <v>0.15025751063338424</v>
      </c>
      <c r="J66" s="25"/>
    </row>
    <row r="67" spans="2:25" x14ac:dyDescent="0.25">
      <c r="B67" s="103" t="s">
        <v>63</v>
      </c>
      <c r="C67" s="80">
        <v>28120.98000000001</v>
      </c>
      <c r="D67" s="80">
        <v>24487.915292307676</v>
      </c>
      <c r="E67" s="80">
        <v>39503.610000000015</v>
      </c>
      <c r="F67" s="48">
        <f t="shared" si="12"/>
        <v>3633.0647076923342</v>
      </c>
      <c r="G67" s="49">
        <f t="shared" si="12"/>
        <v>-11382.630000000005</v>
      </c>
      <c r="H67" s="50">
        <f t="shared" si="13"/>
        <v>0.14836153524402215</v>
      </c>
      <c r="I67" s="51">
        <f t="shared" si="14"/>
        <v>-0.2881415141552886</v>
      </c>
      <c r="J67" s="52"/>
    </row>
    <row r="69" spans="2:25" x14ac:dyDescent="0.25">
      <c r="B69" s="104" t="s">
        <v>64</v>
      </c>
      <c r="C69" s="105" t="s">
        <v>1</v>
      </c>
      <c r="D69" s="105" t="s">
        <v>2</v>
      </c>
      <c r="E69" s="105">
        <f>$E$3</f>
        <v>2023</v>
      </c>
      <c r="F69" s="106" t="s">
        <v>3</v>
      </c>
      <c r="G69" s="107" t="str">
        <f>$G$3</f>
        <v>▲2023</v>
      </c>
      <c r="H69" s="106" t="s">
        <v>5</v>
      </c>
      <c r="I69" s="107" t="str">
        <f>$I$3</f>
        <v>% ▲ 2023</v>
      </c>
      <c r="J69" s="108" t="s">
        <v>7</v>
      </c>
    </row>
    <row r="70" spans="2:25" ht="15" customHeight="1" x14ac:dyDescent="0.25">
      <c r="B70" s="109" t="s">
        <v>65</v>
      </c>
      <c r="C70" s="110">
        <v>140541.76999999996</v>
      </c>
      <c r="D70" s="110">
        <v>128520.66981827978</v>
      </c>
      <c r="E70" s="110">
        <v>116179.41</v>
      </c>
      <c r="F70" s="111">
        <f t="shared" ref="F70:G77" si="15">+IFERROR($C70-D70,"")</f>
        <v>12021.100181720176</v>
      </c>
      <c r="G70" s="112">
        <f t="shared" si="15"/>
        <v>24362.359999999957</v>
      </c>
      <c r="H70" s="30">
        <f t="shared" ref="H70:H77" si="16">+IFERROR(F70/ABS($D70),"")</f>
        <v>9.353437232094465E-2</v>
      </c>
      <c r="I70" s="45">
        <f t="shared" ref="I70:I77" si="17">+IFERROR(G70/ABS($E70),"")</f>
        <v>0.20969602100750862</v>
      </c>
      <c r="J70" s="18"/>
    </row>
    <row r="71" spans="2:25" x14ac:dyDescent="0.25">
      <c r="B71" s="109" t="s">
        <v>66</v>
      </c>
      <c r="C71" s="97">
        <v>0.35198527060123508</v>
      </c>
      <c r="D71" s="97">
        <v>0.27776049936122094</v>
      </c>
      <c r="E71" s="97">
        <v>0.28240536601117255</v>
      </c>
      <c r="F71" s="30">
        <f t="shared" si="15"/>
        <v>7.4224771240014142E-2</v>
      </c>
      <c r="G71" s="31">
        <f t="shared" si="15"/>
        <v>6.9579904590062525E-2</v>
      </c>
      <c r="H71" s="30">
        <f t="shared" si="16"/>
        <v>0.26722579852323275</v>
      </c>
      <c r="I71" s="45">
        <f t="shared" si="17"/>
        <v>0.24638308249181709</v>
      </c>
      <c r="J71" s="25"/>
    </row>
    <row r="72" spans="2:25" x14ac:dyDescent="0.25">
      <c r="B72" s="109" t="s">
        <v>67</v>
      </c>
      <c r="C72" s="20">
        <v>265492.93</v>
      </c>
      <c r="D72" s="20">
        <v>283749.4594133991</v>
      </c>
      <c r="E72" s="20">
        <v>266221.19999999995</v>
      </c>
      <c r="F72" s="113">
        <f t="shared" si="15"/>
        <v>-18256.529413399112</v>
      </c>
      <c r="G72" s="114">
        <f t="shared" si="15"/>
        <v>-728.26999999996042</v>
      </c>
      <c r="H72" s="30">
        <f>+IFERROR(F72/ABS($D72),"")</f>
        <v>-6.4340314343298483E-2</v>
      </c>
      <c r="I72" s="45">
        <f t="shared" si="17"/>
        <v>-2.7355822902156574E-3</v>
      </c>
      <c r="J72" s="25"/>
    </row>
    <row r="73" spans="2:25" x14ac:dyDescent="0.25">
      <c r="B73" s="109" t="s">
        <v>68</v>
      </c>
      <c r="C73" s="97">
        <v>0.66492403510191167</v>
      </c>
      <c r="D73" s="97">
        <v>0.61324292544989734</v>
      </c>
      <c r="E73" s="97">
        <v>0.64712237242325088</v>
      </c>
      <c r="F73" s="30">
        <f t="shared" si="15"/>
        <v>5.1681109652014334E-2</v>
      </c>
      <c r="G73" s="31">
        <f t="shared" si="15"/>
        <v>1.780166267866079E-2</v>
      </c>
      <c r="H73" s="30">
        <f t="shared" si="16"/>
        <v>8.4275101280783943E-2</v>
      </c>
      <c r="I73" s="45">
        <f t="shared" si="17"/>
        <v>2.7508958795536123E-2</v>
      </c>
      <c r="J73" s="25"/>
    </row>
    <row r="74" spans="2:25" s="115" customFormat="1" x14ac:dyDescent="0.25">
      <c r="B74" s="87" t="s">
        <v>69</v>
      </c>
      <c r="C74" s="70">
        <v>154593.36999999997</v>
      </c>
      <c r="D74" s="70">
        <v>188954.12734207863</v>
      </c>
      <c r="E74" s="70">
        <v>222330.36999999973</v>
      </c>
      <c r="F74" s="71">
        <f t="shared" si="15"/>
        <v>-34360.757342078665</v>
      </c>
      <c r="G74" s="72">
        <f t="shared" si="15"/>
        <v>-67736.999999999767</v>
      </c>
      <c r="H74" s="73">
        <f t="shared" si="16"/>
        <v>-0.18184708545621056</v>
      </c>
      <c r="I74" s="74">
        <f t="shared" si="17"/>
        <v>-0.30466822863650994</v>
      </c>
      <c r="J74" s="25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2:25" x14ac:dyDescent="0.25">
      <c r="B75" s="19" t="s">
        <v>70</v>
      </c>
      <c r="C75" s="116">
        <v>2.8828212434429165E-2</v>
      </c>
      <c r="D75" s="116">
        <v>4.2585410575833683E-2</v>
      </c>
      <c r="E75" s="116">
        <v>5.6217369096084019E-2</v>
      </c>
      <c r="F75" s="117">
        <f t="shared" si="15"/>
        <v>-1.3757198141404518E-2</v>
      </c>
      <c r="G75" s="118">
        <f t="shared" si="15"/>
        <v>-2.7389156661654854E-2</v>
      </c>
      <c r="H75" s="23">
        <f t="shared" si="16"/>
        <v>-0.32304955982299338</v>
      </c>
      <c r="I75" s="24">
        <f t="shared" si="17"/>
        <v>-0.48720096834917026</v>
      </c>
      <c r="J75" s="25"/>
    </row>
    <row r="76" spans="2:25" s="115" customFormat="1" x14ac:dyDescent="0.25">
      <c r="B76" s="87" t="s">
        <v>71</v>
      </c>
      <c r="C76" s="70">
        <v>110888.95999999998</v>
      </c>
      <c r="D76" s="70">
        <v>141944.45401047613</v>
      </c>
      <c r="E76" s="70">
        <v>180510.31999999975</v>
      </c>
      <c r="F76" s="71">
        <f t="shared" si="15"/>
        <v>-31055.494010476148</v>
      </c>
      <c r="G76" s="72">
        <f t="shared" si="15"/>
        <v>-69621.359999999768</v>
      </c>
      <c r="H76" s="73">
        <f t="shared" si="16"/>
        <v>-0.21878624442899414</v>
      </c>
      <c r="I76" s="74">
        <f t="shared" si="17"/>
        <v>-0.38569185407238693</v>
      </c>
      <c r="J76" s="25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2:25" x14ac:dyDescent="0.25">
      <c r="B77" s="119" t="s">
        <v>72</v>
      </c>
      <c r="C77" s="120">
        <v>2.0678315606373794E-2</v>
      </c>
      <c r="D77" s="120">
        <v>3.1990636764738963E-2</v>
      </c>
      <c r="E77" s="120">
        <v>4.5642955953755816E-2</v>
      </c>
      <c r="F77" s="121">
        <f t="shared" si="15"/>
        <v>-1.1312321158365168E-2</v>
      </c>
      <c r="G77" s="122">
        <f t="shared" si="15"/>
        <v>-2.4964640347382022E-2</v>
      </c>
      <c r="H77" s="81">
        <f t="shared" si="16"/>
        <v>-0.35361350389980195</v>
      </c>
      <c r="I77" s="90">
        <f t="shared" si="17"/>
        <v>-0.54695494245980714</v>
      </c>
      <c r="J77" s="52"/>
    </row>
  </sheetData>
  <mergeCells count="7">
    <mergeCell ref="J70:J77"/>
    <mergeCell ref="B1:J1"/>
    <mergeCell ref="J4:J18"/>
    <mergeCell ref="J21:J35"/>
    <mergeCell ref="J38:J47"/>
    <mergeCell ref="J50:J59"/>
    <mergeCell ref="J62:J67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2pager</vt:lpstr>
      <vt:lpstr>'2pager'!Impression_des_titres</vt:lpstr>
      <vt:lpstr>'2pager'!Zone_d_impression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2024-10-09T15:29:53Z</dcterms:created>
  <dcterms:modified xsi:type="dcterms:W3CDTF">2024-10-09T15:30:18Z</dcterms:modified>
</cp:coreProperties>
</file>