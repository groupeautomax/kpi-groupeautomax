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pager" sheetId="1" r:id="rId4"/>
  </sheets>
  <definedNames>
    <definedName name="_Order1">0</definedName>
    <definedName localSheetId="0" name="a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nscount">1</definedName>
    <definedName localSheetId="0"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localSheetId="0" name="Compco1">{"Page1",#N/A,FALSE,"CompCo";"Page2",#N/A,FALSE,"CompCo"}</definedName>
    <definedName name="Compco1">{"Page1",#N/A,FALSE,"CompCo";"Page2",#N/A,FALSE,"CompCo"}</definedName>
    <definedName localSheetId="0" name="Compco2">{"Page1",#N/A,FALSE,"CompCo";"Page2",#N/A,FALSE,"CompCo"}</definedName>
    <definedName name="Compco2">{"Page1",#N/A,FALSE,"CompCo";"Page2",#N/A,FALSE,"CompCo"}</definedName>
    <definedName name="DateRangePr">OFFSET(#REF!,5,0,COUNTA(#REF!)-COUNTA(#REF!),1)</definedName>
    <definedName name="DateRangePrice">OFFSET(#REF!,5,0,COUNTA(#REF!)-COUNTA(#REF!),1)</definedName>
    <definedName name="DateRangePrice1">OFFSET(#REF!,5,0,COUNTA(#REF!)-COUNTA(#REF!),1)</definedName>
    <definedName name="DateRangePrice2">OFFSET(#REF!,5,0,COUNTA(#REF!)-COUNTA(#REF!),1)</definedName>
    <definedName localSheetId="0" name="ERT">{"execsum",#N/A,FALSE,"ExecSum";"finstatement",#N/A,FALSE,"Fin_St"}</definedName>
    <definedName name="ERT">{"execsum",#N/A,FALSE,"ExecSum";"finstatement",#N/A,FALSE,"Fin_St"}</definedName>
    <definedName name="ev.Calculation">-4135</definedName>
    <definedName name="ev.Initialized">FALSE</definedName>
    <definedName name="hn.Delete015">#REF!,#REF!,#REF!,#REF!,#REF!</definedName>
    <definedName name="hn.ModelVersion">1</definedName>
    <definedName name="hn.NoUpload">0</definedName>
    <definedName name="IQ_ADDIN">"AUTO"</definedName>
    <definedName name="IQ_CH">110000</definedName>
    <definedName name="IQ_CQ">5000</definedName>
    <definedName name="IQ_CY">10000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MONTH">15000</definedName>
    <definedName name="IQ_NAMES_REVISION_DATE_">40239.5241087963</definedName>
    <definedName name="IQ_NTM">6000</definedName>
    <definedName name="IQ_SHAREOUTSTANDING">"c1347"</definedName>
    <definedName name="IQ_TODAY">0</definedName>
    <definedName name="IQ_WEEK">50000</definedName>
    <definedName name="IQ_YTD">3000</definedName>
    <definedName localSheetId="0" name="kjjkghkhj">{"finana",#N/A,FALSE,"Fin"}</definedName>
    <definedName name="kjjkghkhj">{"finana",#N/A,FALSE,"Fin"}</definedName>
    <definedName name="limcount">1</definedName>
    <definedName localSheetId="0" name="lkhkhj">{"sub1",#N/A,FALSE,"Subs";"pac1",#N/A,FALSE,"Packages";"rev1",#N/A,FALSE,"2. Revenues"}</definedName>
    <definedName name="lkhkhj">{"sub1",#N/A,FALSE,"Subs";"pac1",#N/A,FALSE,"Packages";"rev1",#N/A,FALSE,"2. Revenues"}</definedName>
    <definedName localSheetId="0" name="m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Outpu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Output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>OFFSET(#REF!,5,0,COUNTA(#REF!)-COUNTA(#REF!),1)</definedName>
    <definedName name="PriceRange2">OFFSET(#REF!,5,0,COUNTA(#REF!)-COUNTA(#REF!),1)</definedName>
    <definedName name="sencount">1</definedName>
    <definedName localSheetId="0"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test">{"execsum",#N/A,FALSE,"ExecSum";"finstatement",#N/A,FALSE,"Fin_St"}</definedName>
    <definedName name="test">{"execsum",#N/A,FALSE,"ExecSum";"finstatement",#N/A,FALSE,"Fin_St"}</definedName>
    <definedName name="test21">OFFSET(#REF!,5,0,COUNTA(#REF!)-COUNTA(#REF!),1)</definedName>
    <definedName name="value">OFFSET(#REF!,5,0,COUNTA(#REF!)-COUNTA(#REF!),1)</definedName>
    <definedName name="value2">OFFSET(#REF!,5,0,COUNTA(#REF!)-COUNTA(#REF!),1)</definedName>
    <definedName localSheetId="0" name="wrn.amendement.">{#N/A,#N/A,FALSE,"amendement"}</definedName>
    <definedName name="wrn.amendement.">{#N/A,#N/A,FALSE,"amendement"}</definedName>
    <definedName localSheetId="0" name="wrn.amendement..">{#N/A,#N/A,FALSE,"amendement"}</definedName>
    <definedName name="wrn.amendement..">{#N/A,#N/A,FALSE,"amendement"}</definedName>
    <definedName localSheetId="0" name="wrn.COMPCO.">{"Page1",#N/A,FALSE,"CompCo";"Page2",#N/A,FALSE,"CompCo"}</definedName>
    <definedName name="wrn.COMPCO.">{"Page1",#N/A,FALSE,"CompCo";"Page2",#N/A,FALSE,"CompCo"}</definedName>
    <definedName localSheetId="0"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localSheetId="0" name="wrn.detail.">{"Build1",#N/A,FALSE,"Buildup";"Build2",#N/A,FALSE,"Buildup";"Build3",#N/A,FALSE,"Buildup"}</definedName>
    <definedName name="wrn.detail.">{"Build1",#N/A,FALSE,"Buildup";"Build2",#N/A,FALSE,"Buildup";"Build3",#N/A,FALSE,"Buildup"}</definedName>
    <definedName localSheetId="0" name="wrn.execsum.">{"execsum",#N/A,FALSE,"ExecSum";"finstatement",#N/A,FALSE,"Fin_St"}</definedName>
    <definedName name="wrn.execsum.">{"execsum",#N/A,FALSE,"ExecSum";"finstatement",#N/A,FALSE,"Fin_St"}</definedName>
    <definedName localSheetId="0" name="wrn.Finanalysis.">{"finana",#N/A,FALSE,"Fin"}</definedName>
    <definedName name="wrn.Finanalysis.">{"finana",#N/A,FALSE,"Fin"}</definedName>
    <definedName localSheetId="0"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localSheetId="0" name="wrn.magicrep.">{"sub1",#N/A,FALSE,"Subs";"pac1",#N/A,FALSE,"Packages";"rev1",#N/A,FALSE,"2. Revenues"}</definedName>
    <definedName name="wrn.magicrep.">{"sub1",#N/A,FALSE,"Subs";"pac1",#N/A,FALSE,"Packages";"rev1",#N/A,FALSE,"2. Revenues"}</definedName>
    <definedName localSheetId="0" name="wrn.persrep.">{"volu1",#N/A,FALSE,"Volumes";"headcount",#N/A,FALSE,"Headcount";"emprpt",#N/A,FALSE,"Output"}</definedName>
    <definedName name="wrn.persrep.">{"volu1",#N/A,FALSE,"Volumes";"headcount",#N/A,FALSE,"Headcount";"emprpt",#N/A,FALSE,"Output"}</definedName>
    <definedName localSheetId="0" name="wrn.PrintAll.">{"PA1",#N/A,FALSE,"BORDMW";"pa2",#N/A,FALSE,"BORDMW";"PA3",#N/A,FALSE,"BORDMW";"PA4",#N/A,FALSE,"BORDMW"}</definedName>
    <definedName name="wrn.PrintAll.">{"PA1",#N/A,FALSE,"BORDMW";"pa2",#N/A,FALSE,"BORDMW";"PA3",#N/A,FALSE,"BORDMW";"PA4",#N/A,FALSE,"BORDMW"}</definedName>
    <definedName localSheetId="0" name="wrn.prospectus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.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_amendement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_amendement.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sales.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localSheetId="0"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z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zb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ates_Conc">#REF!</definedName>
    <definedName name="_scen1">#REF!</definedName>
    <definedName name="_sensRes5">#REF!</definedName>
    <definedName name="_sensRes1">#REF!</definedName>
    <definedName name="_sensRes3">#REF!</definedName>
    <definedName name="Months">#REF!</definedName>
    <definedName name="_scen2">#REF!</definedName>
    <definedName name="Rng_Dealers_Names">#REF!</definedName>
    <definedName name="_scen">#REF!</definedName>
    <definedName name="_sensRes2">#REF!</definedName>
    <definedName name="Rng_Dlr_Dates">#REF!</definedName>
    <definedName name="_sensRes4">#REF!</definedName>
    <definedName name="Monetary_Unit">#REF!</definedName>
    <definedName name="Ticker">#REF!</definedName>
    <definedName name="Titre">#REF!</definedName>
    <definedName name="_SCenarios">#REF!</definedName>
    <definedName name="_sensRes7">#REF!</definedName>
    <definedName name="_Sens1">#REF!</definedName>
    <definedName name="_Sens2">#REF!</definedName>
    <definedName name="DateRange">#REF!</definedName>
    <definedName name="_sensRes6">#REF!</definedName>
  </definedNames>
  <calcPr/>
  <extLst>
    <ext uri="GoogleSheetsCustomDataVersion2">
      <go:sheetsCustomData xmlns:go="http://customooxmlschemas.google.com/" r:id="rId5" roundtripDataChecksum="mtTRwc4ZKZOW09PeEJK8tgUw8FQUjalfIUC4u4gdqqY="/>
    </ext>
  </extLst>
</workbook>
</file>

<file path=xl/sharedStrings.xml><?xml version="1.0" encoding="utf-8"?>
<sst xmlns="http://schemas.openxmlformats.org/spreadsheetml/2006/main" count="130" uniqueCount="73">
  <si>
    <t>BMW Sherbrooke 2 pager Octobre 2024</t>
  </si>
  <si>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</si>
  <si>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</si>
  <si>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</si>
  <si>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</si>
  <si>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</si>
  <si>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</si>
  <si>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</si>
  <si>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</si>
  <si>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</si>
  <si>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</si>
  <si>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</si>
  <si>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</si>
  <si>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Budget neuf</t>
  </si>
  <si>
    <t>$ Salaires et commission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</si>
  <si>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</si>
  <si>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</si>
  <si>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</si>
  <si>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</si>
  <si>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</si>
  <si>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</si>
  <si>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</si>
  <si>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</si>
  <si>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</si>
  <si>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</si>
  <si>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</si>
  <si>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</si>
  <si>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</si>
  <si>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</si>
  <si>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</si>
  <si>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</si>
  <si>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</si>
  <si>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</si>
  <si>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</si>
  <si>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</si>
  <si>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</si>
  <si>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</si>
  <si>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</si>
  <si>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Budget usagé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</si>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</sst>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_ * #,##0_)\ &quot;$&quot;_ ;_ * \(#,##0\)\ &quot;$&quot;_ ;_ * &quot;-&quot;??_)\ &quot;$&quot;_ ;_ @_ "/>
    <numFmt numFmtId="166" formatCode="0.0"/>
    <numFmt numFmtId="167" formatCode="0.0%"/>
  </numFmts>
  <fonts count="7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sz val="10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3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/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Font="1"/>
    <xf borderId="0" fillId="0" fontId="1" numFmtId="0" xfId="0" applyAlignment="1" applyFont="1">
      <alignment horizontal="center"/>
    </xf>
    <xf borderId="2" fillId="0" fontId="1" numFmtId="0" xfId="0" applyBorder="1" applyFont="1"/>
    <xf borderId="3" fillId="2" fontId="5" numFmtId="0" xfId="0" applyAlignment="1" applyBorder="1" applyFill="1" applyFont="1">
      <alignment horizontal="center"/>
    </xf>
    <xf borderId="4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8" fillId="2" fontId="5" numFmtId="0" xfId="0" applyAlignment="1" applyBorder="1" applyFont="1">
      <alignment horizontal="center"/>
    </xf>
    <xf borderId="9" fillId="0" fontId="5" numFmtId="0" xfId="0" applyBorder="1" applyFont="1"/>
    <xf borderId="10" fillId="0" fontId="5" numFmtId="37" xfId="0" applyAlignment="1" applyBorder="1" applyFont="1" applyNumberFormat="1">
      <alignment horizontal="center"/>
    </xf>
    <xf borderId="11" fillId="0" fontId="5" numFmtId="1" xfId="0" applyAlignment="1" applyBorder="1" applyFont="1" applyNumberFormat="1">
      <alignment horizontal="center"/>
    </xf>
    <xf borderId="12" fillId="0" fontId="5" numFmtId="1" xfId="0" applyAlignment="1" applyBorder="1" applyFont="1" applyNumberFormat="1">
      <alignment horizontal="center"/>
    </xf>
    <xf borderId="13" fillId="3" fontId="5" numFmtId="9" xfId="0" applyAlignment="1" applyBorder="1" applyFill="1" applyFont="1" applyNumberFormat="1">
      <alignment horizontal="center"/>
    </xf>
    <xf borderId="14" fillId="3" fontId="5" numFmtId="9" xfId="0" applyAlignment="1" applyBorder="1" applyFont="1" applyNumberFormat="1">
      <alignment horizontal="center"/>
    </xf>
    <xf borderId="9" fillId="4" fontId="1" numFmtId="0" xfId="0" applyAlignment="1" applyBorder="1" applyFill="1" applyFont="1">
      <alignment shrinkToFit="0" vertical="center" wrapText="1"/>
    </xf>
    <xf borderId="15" fillId="0" fontId="1" numFmtId="0" xfId="0" applyBorder="1" applyFont="1"/>
    <xf borderId="16" fillId="0" fontId="1" numFmtId="164" xfId="0" applyAlignment="1" applyBorder="1" applyFont="1" applyNumberFormat="1">
      <alignment horizontal="center"/>
    </xf>
    <xf borderId="17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7" fillId="0" fontId="1" numFmtId="9" xfId="0" applyAlignment="1" applyBorder="1" applyFont="1" applyNumberFormat="1">
      <alignment horizontal="center"/>
    </xf>
    <xf borderId="18" fillId="0" fontId="1" numFmtId="9" xfId="0" applyAlignment="1" applyBorder="1" applyFont="1" applyNumberFormat="1">
      <alignment horizontal="center"/>
    </xf>
    <xf borderId="15" fillId="0" fontId="3" numFmtId="0" xfId="0" applyBorder="1" applyFont="1"/>
    <xf borderId="19" fillId="3" fontId="1" numFmtId="9" xfId="0" applyAlignment="1" applyBorder="1" applyFont="1" applyNumberFormat="1">
      <alignment horizontal="center"/>
    </xf>
    <xf borderId="20" fillId="3" fontId="1" numFmtId="9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6" fillId="0" fontId="1" numFmtId="9" xfId="0" applyAlignment="1" applyBorder="1" applyFont="1" applyNumberFormat="1">
      <alignment horizontal="center"/>
    </xf>
    <xf borderId="21" fillId="0" fontId="1" numFmtId="9" xfId="0" applyAlignment="1" applyBorder="1" applyFont="1" applyNumberFormat="1">
      <alignment horizontal="center"/>
    </xf>
    <xf borderId="0" fillId="0" fontId="4" numFmtId="165" xfId="0" applyFont="1" applyNumberFormat="1"/>
    <xf borderId="2" fillId="0" fontId="1" numFmtId="9" xfId="0" applyAlignment="1" applyBorder="1" applyFont="1" applyNumberFormat="1">
      <alignment horizontal="center"/>
    </xf>
    <xf borderId="22" fillId="0" fontId="5" numFmtId="0" xfId="0" applyBorder="1" applyFont="1"/>
    <xf borderId="23" fillId="0" fontId="1" numFmtId="0" xfId="0" applyBorder="1" applyFont="1"/>
    <xf borderId="24" fillId="0" fontId="1" numFmtId="164" xfId="0" applyAlignment="1" applyBorder="1" applyFont="1" applyNumberFormat="1">
      <alignment horizontal="center"/>
    </xf>
    <xf borderId="25" fillId="0" fontId="1" numFmtId="164" xfId="0" applyAlignment="1" applyBorder="1" applyFont="1" applyNumberFormat="1">
      <alignment horizontal="center"/>
    </xf>
    <xf borderId="24" fillId="0" fontId="1" numFmtId="9" xfId="0" applyAlignment="1" applyBorder="1" applyFont="1" applyNumberFormat="1">
      <alignment horizontal="center"/>
    </xf>
    <xf borderId="26" fillId="0" fontId="1" numFmtId="9" xfId="0" applyAlignment="1" applyBorder="1" applyFont="1" applyNumberFormat="1">
      <alignment horizontal="center"/>
    </xf>
    <xf borderId="27" fillId="5" fontId="1" numFmtId="0" xfId="0" applyAlignment="1" applyBorder="1" applyFill="1" applyFont="1">
      <alignment horizontal="left"/>
    </xf>
    <xf borderId="27" fillId="5" fontId="1" numFmtId="37" xfId="0" applyAlignment="1" applyBorder="1" applyFont="1" applyNumberFormat="1">
      <alignment horizontal="center"/>
    </xf>
    <xf borderId="28" fillId="5" fontId="1" numFmtId="37" xfId="0" applyAlignment="1" applyBorder="1" applyFont="1" applyNumberFormat="1">
      <alignment horizontal="center"/>
    </xf>
    <xf borderId="17" fillId="0" fontId="1" numFmtId="1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29" fillId="5" fontId="1" numFmtId="0" xfId="0" applyAlignment="1" applyBorder="1" applyFont="1">
      <alignment horizontal="left"/>
    </xf>
    <xf borderId="30" fillId="5" fontId="1" numFmtId="164" xfId="0" applyAlignment="1" applyBorder="1" applyFont="1" applyNumberFormat="1">
      <alignment horizontal="center"/>
    </xf>
    <xf borderId="31" fillId="0" fontId="1" numFmtId="164" xfId="0" applyAlignment="1" applyBorder="1" applyFont="1" applyNumberFormat="1">
      <alignment horizontal="center"/>
    </xf>
    <xf borderId="32" fillId="0" fontId="1" numFmtId="164" xfId="0" applyAlignment="1" applyBorder="1" applyFont="1" applyNumberFormat="1">
      <alignment horizontal="center"/>
    </xf>
    <xf borderId="31" fillId="0" fontId="1" numFmtId="9" xfId="0" applyAlignment="1" applyBorder="1" applyFont="1" applyNumberFormat="1">
      <alignment horizontal="center"/>
    </xf>
    <xf borderId="33" fillId="0" fontId="1" numFmtId="9" xfId="0" applyAlignment="1" applyBorder="1" applyFont="1" applyNumberFormat="1">
      <alignment horizontal="center"/>
    </xf>
    <xf borderId="34" fillId="0" fontId="3" numFmtId="0" xfId="0" applyBorder="1" applyFont="1"/>
    <xf borderId="3" fillId="6" fontId="5" numFmtId="0" xfId="0" applyAlignment="1" applyBorder="1" applyFill="1" applyFont="1">
      <alignment horizontal="center"/>
    </xf>
    <xf borderId="4" fillId="6" fontId="5" numFmtId="0" xfId="0" applyAlignment="1" applyBorder="1" applyFont="1">
      <alignment horizontal="center"/>
    </xf>
    <xf borderId="5" fillId="6" fontId="5" numFmtId="0" xfId="0" applyAlignment="1" applyBorder="1" applyFont="1">
      <alignment horizontal="center"/>
    </xf>
    <xf borderId="7" fillId="6" fontId="5" numFmtId="0" xfId="0" applyAlignment="1" applyBorder="1" applyFont="1">
      <alignment horizontal="center"/>
    </xf>
    <xf borderId="8" fillId="6" fontId="5" numFmtId="0" xfId="0" applyAlignment="1" applyBorder="1" applyFont="1">
      <alignment horizontal="center"/>
    </xf>
    <xf borderId="15" fillId="0" fontId="5" numFmtId="0" xfId="0" applyBorder="1" applyFont="1"/>
    <xf borderId="16" fillId="0" fontId="5" numFmtId="37" xfId="0" applyAlignment="1" applyBorder="1" applyFont="1" applyNumberFormat="1">
      <alignment horizontal="center"/>
    </xf>
    <xf borderId="17" fillId="0" fontId="5" numFmtId="1" xfId="0" applyAlignment="1" applyBorder="1" applyFont="1" applyNumberFormat="1">
      <alignment horizontal="center"/>
    </xf>
    <xf borderId="2" fillId="0" fontId="5" numFmtId="1" xfId="0" applyAlignment="1" applyBorder="1" applyFont="1" applyNumberFormat="1">
      <alignment horizontal="center"/>
    </xf>
    <xf borderId="3" fillId="7" fontId="5" numFmtId="0" xfId="0" applyAlignment="1" applyBorder="1" applyFill="1" applyFont="1">
      <alignment horizontal="center"/>
    </xf>
    <xf borderId="4" fillId="7" fontId="5" numFmtId="0" xfId="0" applyAlignment="1" applyBorder="1" applyFont="1">
      <alignment horizontal="center"/>
    </xf>
    <xf borderId="5" fillId="7" fontId="5" numFmtId="0" xfId="0" applyAlignment="1" applyBorder="1" applyFont="1">
      <alignment horizontal="center"/>
    </xf>
    <xf borderId="7" fillId="7" fontId="5" numFmtId="0" xfId="0" applyAlignment="1" applyBorder="1" applyFont="1">
      <alignment horizontal="center"/>
    </xf>
    <xf borderId="8" fillId="7" fontId="5" numFmtId="0" xfId="0" applyAlignment="1" applyBorder="1" applyFont="1">
      <alignment horizontal="center"/>
    </xf>
    <xf borderId="16" fillId="0" fontId="5" numFmtId="164" xfId="0" applyAlignment="1" applyBorder="1" applyFont="1" applyNumberFormat="1">
      <alignment horizontal="center"/>
    </xf>
    <xf borderId="17" fillId="0" fontId="5" numFmtId="164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/>
    </xf>
    <xf borderId="19" fillId="3" fontId="5" numFmtId="9" xfId="0" applyAlignment="1" applyBorder="1" applyFont="1" applyNumberFormat="1">
      <alignment horizontal="center"/>
    </xf>
    <xf borderId="20" fillId="3" fontId="5" numFmtId="9" xfId="0" applyAlignment="1" applyBorder="1" applyFont="1" applyNumberFormat="1">
      <alignment horizontal="center"/>
    </xf>
    <xf borderId="35" fillId="5" fontId="1" numFmtId="164" xfId="0" applyAlignment="1" applyBorder="1" applyFont="1" applyNumberFormat="1">
      <alignment horizontal="center"/>
    </xf>
    <xf borderId="15" fillId="0" fontId="1" numFmtId="0" xfId="0" applyAlignment="1" applyBorder="1" applyFont="1">
      <alignment horizontal="left"/>
    </xf>
    <xf borderId="34" fillId="0" fontId="1" numFmtId="0" xfId="0" applyBorder="1" applyFont="1"/>
    <xf borderId="36" fillId="0" fontId="1" numFmtId="164" xfId="0" applyAlignment="1" applyBorder="1" applyFont="1" applyNumberFormat="1">
      <alignment horizontal="center"/>
    </xf>
    <xf borderId="3" fillId="8" fontId="5" numFmtId="0" xfId="0" applyAlignment="1" applyBorder="1" applyFill="1" applyFont="1">
      <alignment horizontal="center"/>
    </xf>
    <xf borderId="4" fillId="8" fontId="5" numFmtId="0" xfId="0" applyAlignment="1" applyBorder="1" applyFont="1">
      <alignment horizontal="center"/>
    </xf>
    <xf borderId="5" fillId="8" fontId="5" numFmtId="0" xfId="0" applyAlignment="1" applyBorder="1" applyFont="1">
      <alignment horizontal="center"/>
    </xf>
    <xf borderId="7" fillId="8" fontId="5" numFmtId="0" xfId="0" applyAlignment="1" applyBorder="1" applyFont="1">
      <alignment horizontal="center"/>
    </xf>
    <xf borderId="8" fillId="8" fontId="5" numFmtId="0" xfId="0" applyAlignment="1" applyBorder="1" applyFont="1">
      <alignment horizontal="center"/>
    </xf>
    <xf borderId="15" fillId="0" fontId="5" numFmtId="0" xfId="0" applyAlignment="1" applyBorder="1" applyFont="1">
      <alignment horizontal="left"/>
    </xf>
    <xf borderId="0" fillId="0" fontId="6" numFmtId="0" xfId="0" applyFont="1"/>
    <xf borderId="3" fillId="9" fontId="5" numFmtId="0" xfId="0" applyAlignment="1" applyBorder="1" applyFill="1" applyFont="1">
      <alignment horizontal="center"/>
    </xf>
    <xf borderId="4" fillId="9" fontId="5" numFmtId="0" xfId="0" applyAlignment="1" applyBorder="1" applyFont="1">
      <alignment horizontal="center"/>
    </xf>
    <xf borderId="5" fillId="9" fontId="5" numFmtId="0" xfId="0" applyAlignment="1" applyBorder="1" applyFont="1">
      <alignment horizontal="center"/>
    </xf>
    <xf borderId="7" fillId="9" fontId="5" numFmtId="0" xfId="0" applyAlignment="1" applyBorder="1" applyFont="1">
      <alignment horizontal="center"/>
    </xf>
    <xf borderId="8" fillId="9" fontId="5" numFmtId="0" xfId="0" applyAlignment="1" applyBorder="1" applyFont="1">
      <alignment horizontal="center"/>
    </xf>
    <xf borderId="35" fillId="5" fontId="1" numFmtId="166" xfId="0" applyAlignment="1" applyBorder="1" applyFont="1" applyNumberFormat="1">
      <alignment horizontal="center"/>
    </xf>
    <xf borderId="17" fillId="0" fontId="1" numFmtId="166" xfId="0" applyAlignment="1" applyBorder="1" applyFont="1" applyNumberFormat="1">
      <alignment horizontal="center"/>
    </xf>
    <xf borderId="2" fillId="0" fontId="1" numFmtId="166" xfId="0" applyAlignment="1" applyBorder="1" applyFont="1" applyNumberFormat="1">
      <alignment horizontal="center"/>
    </xf>
    <xf borderId="34" fillId="0" fontId="1" numFmtId="0" xfId="0" applyAlignment="1" applyBorder="1" applyFont="1">
      <alignment horizontal="left"/>
    </xf>
    <xf borderId="3" fillId="10" fontId="5" numFmtId="0" xfId="0" applyAlignment="1" applyBorder="1" applyFill="1" applyFont="1">
      <alignment horizontal="center"/>
    </xf>
    <xf borderId="4" fillId="10" fontId="5" numFmtId="0" xfId="0" applyAlignment="1" applyBorder="1" applyFont="1">
      <alignment horizontal="center"/>
    </xf>
    <xf borderId="5" fillId="10" fontId="5" numFmtId="0" xfId="0" applyAlignment="1" applyBorder="1" applyFont="1">
      <alignment horizontal="center"/>
    </xf>
    <xf borderId="7" fillId="10" fontId="5" numFmtId="0" xfId="0" applyAlignment="1" applyBorder="1" applyFont="1">
      <alignment horizontal="center"/>
    </xf>
    <xf borderId="8" fillId="10" fontId="5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center"/>
    </xf>
    <xf borderId="12" fillId="0" fontId="1" numFmtId="164" xfId="0" applyAlignment="1" applyBorder="1" applyFont="1" applyNumberFormat="1">
      <alignment horizontal="center"/>
    </xf>
    <xf borderId="0" fillId="0" fontId="5" numFmtId="0" xfId="0" applyFont="1"/>
    <xf borderId="16" fillId="0" fontId="1" numFmtId="167" xfId="0" applyAlignment="1" applyBorder="1" applyFont="1" applyNumberFormat="1">
      <alignment horizontal="center"/>
    </xf>
    <xf borderId="17" fillId="0" fontId="1" numFmtId="167" xfId="0" applyAlignment="1" applyBorder="1" applyFont="1" applyNumberFormat="1">
      <alignment horizontal="center"/>
    </xf>
    <xf borderId="21" fillId="0" fontId="1" numFmtId="167" xfId="0" applyAlignment="1" applyBorder="1" applyFont="1" applyNumberFormat="1">
      <alignment horizontal="center"/>
    </xf>
    <xf borderId="36" fillId="0" fontId="1" numFmtId="167" xfId="0" applyAlignment="1" applyBorder="1" applyFont="1" applyNumberFormat="1">
      <alignment horizontal="center"/>
    </xf>
    <xf borderId="31" fillId="0" fontId="1" numFmtId="167" xfId="0" applyAlignment="1" applyBorder="1" applyFont="1" applyNumberFormat="1">
      <alignment horizontal="center"/>
    </xf>
    <xf borderId="37" fillId="0" fontId="1" numFmtId="167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3.25"/>
    <col customWidth="1" min="3" max="9" width="11.75"/>
    <col customWidth="1" min="10" max="10" width="58.88"/>
    <col customWidth="1" min="11" max="13" width="3.13"/>
    <col customWidth="1" min="14" max="25" width="10.63"/>
    <col customWidth="1" min="26" max="26" width="11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"/>
    </row>
    <row r="2">
      <c r="A2" s="1"/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"/>
    </row>
    <row r="3">
      <c r="A3" s="6"/>
      <c r="B3" s="7" t="s">
        <v>1</v>
      </c>
      <c r="C3" s="8" t="s">
        <v>2</v>
      </c>
      <c r="D3" s="9" t="s">
        <v>3</v>
      </c>
      <c r="E3" s="10">
        <v>2023.0</v>
      </c>
      <c r="F3" s="9" t="s">
        <v>4</v>
      </c>
      <c r="G3" s="11" t="s">
        <v>5</v>
      </c>
      <c r="H3" s="9" t="s">
        <v>6</v>
      </c>
      <c r="I3" s="11" t="s">
        <v>7</v>
      </c>
      <c r="J3" s="12" t="s">
        <v>8</v>
      </c>
      <c r="K3" s="1"/>
      <c r="L3" s="1"/>
      <c r="M3" s="1"/>
      <c r="N3" s="4" t="s">
        <v>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"/>
    </row>
    <row r="4" ht="15.0" customHeight="1">
      <c r="A4" s="6"/>
      <c r="B4" s="13" t="s">
        <v>10</v>
      </c>
      <c r="C4" s="14">
        <v>23.0</v>
      </c>
      <c r="D4" s="14">
        <v>19.0</v>
      </c>
      <c r="E4" s="14">
        <v>22.0</v>
      </c>
      <c r="F4" s="15">
        <f t="shared" ref="F4:G4" si="1">+IFERROR($C4-D4,"")</f>
        <v>4</v>
      </c>
      <c r="G4" s="16">
        <f t="shared" si="1"/>
        <v>1</v>
      </c>
      <c r="H4" s="17">
        <f t="shared" ref="H4:H15" si="3">+IFERROR(F4/ABS($D4),"")</f>
        <v>0.2105263158</v>
      </c>
      <c r="I4" s="18">
        <f t="shared" ref="I4:I15" si="4">+IFERROR(G4/ABS($E4),"")</f>
        <v>0.04545454545</v>
      </c>
      <c r="J4" s="19"/>
      <c r="K4" s="1"/>
      <c r="L4" s="1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"/>
    </row>
    <row r="5">
      <c r="A5" s="6"/>
      <c r="B5" s="20" t="s">
        <v>11</v>
      </c>
      <c r="C5" s="21">
        <v>112203.21000000017</v>
      </c>
      <c r="D5" s="21">
        <v>95120.29188128526</v>
      </c>
      <c r="E5" s="21">
        <v>101809.94999999969</v>
      </c>
      <c r="F5" s="22">
        <f t="shared" ref="F5:G5" si="2">+IFERROR($C5-D5,"")</f>
        <v>17082.91812</v>
      </c>
      <c r="G5" s="23">
        <f t="shared" si="2"/>
        <v>10393.26</v>
      </c>
      <c r="H5" s="24">
        <f t="shared" si="3"/>
        <v>0.1795927849</v>
      </c>
      <c r="I5" s="25">
        <f t="shared" si="4"/>
        <v>0.1020849141</v>
      </c>
      <c r="J5" s="26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"/>
    </row>
    <row r="6">
      <c r="A6" s="6"/>
      <c r="B6" s="20" t="s">
        <v>12</v>
      </c>
      <c r="C6" s="21">
        <f t="shared" ref="C6:E6" si="5">+C5/C4</f>
        <v>4878.400435</v>
      </c>
      <c r="D6" s="21">
        <f t="shared" si="5"/>
        <v>5006.331152</v>
      </c>
      <c r="E6" s="21">
        <f t="shared" si="5"/>
        <v>4627.725</v>
      </c>
      <c r="F6" s="22">
        <f t="shared" ref="F6:G6" si="6">+IFERROR($C6-D6,"")</f>
        <v>-127.9307169</v>
      </c>
      <c r="G6" s="23">
        <f t="shared" si="6"/>
        <v>250.6754348</v>
      </c>
      <c r="H6" s="27">
        <f t="shared" si="3"/>
        <v>-0.02555378639</v>
      </c>
      <c r="I6" s="28">
        <f t="shared" si="4"/>
        <v>0.0541681787</v>
      </c>
      <c r="J6" s="26"/>
      <c r="K6" s="1"/>
      <c r="L6" s="1"/>
      <c r="M6" s="1"/>
      <c r="N6" s="4" t="s">
        <v>13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"/>
    </row>
    <row r="7">
      <c r="A7" s="6"/>
      <c r="B7" s="20" t="s">
        <v>14</v>
      </c>
      <c r="C7" s="21">
        <v>30835.4</v>
      </c>
      <c r="D7" s="21">
        <v>28239.919427142144</v>
      </c>
      <c r="E7" s="21">
        <v>40062.75</v>
      </c>
      <c r="F7" s="22">
        <f t="shared" ref="F7:G7" si="7">+IFERROR($C7-D7,"")</f>
        <v>2595.480573</v>
      </c>
      <c r="G7" s="23">
        <f t="shared" si="7"/>
        <v>-9227.35</v>
      </c>
      <c r="H7" s="24">
        <f t="shared" si="3"/>
        <v>0.09190821452</v>
      </c>
      <c r="I7" s="25">
        <f t="shared" si="4"/>
        <v>-0.2303224317</v>
      </c>
      <c r="J7" s="26"/>
      <c r="K7" s="1"/>
      <c r="L7" s="1"/>
      <c r="M7" s="1"/>
      <c r="N7" s="29" t="s">
        <v>15</v>
      </c>
      <c r="O7" s="29" t="s">
        <v>16</v>
      </c>
      <c r="P7" s="29" t="s">
        <v>17</v>
      </c>
      <c r="Q7" s="29" t="s">
        <v>18</v>
      </c>
      <c r="R7" s="29" t="s">
        <v>19</v>
      </c>
      <c r="S7" s="29" t="s">
        <v>20</v>
      </c>
      <c r="T7" s="29" t="s">
        <v>21</v>
      </c>
      <c r="U7" s="29" t="s">
        <v>22</v>
      </c>
      <c r="V7" s="29" t="s">
        <v>23</v>
      </c>
      <c r="W7" s="29" t="s">
        <v>24</v>
      </c>
      <c r="X7" s="29" t="s">
        <v>25</v>
      </c>
      <c r="Y7" s="29" t="s">
        <v>26</v>
      </c>
      <c r="Z7" s="1"/>
    </row>
    <row r="8">
      <c r="A8" s="6"/>
      <c r="B8" s="20" t="s">
        <v>27</v>
      </c>
      <c r="C8" s="30">
        <f t="shared" ref="C8:E8" si="8">+C7/C5</f>
        <v>0.2748174495</v>
      </c>
      <c r="D8" s="30">
        <f t="shared" si="8"/>
        <v>0.2968863832</v>
      </c>
      <c r="E8" s="30">
        <f t="shared" si="8"/>
        <v>0.3935052517</v>
      </c>
      <c r="F8" s="24">
        <f t="shared" ref="F8:G8" si="9">+IFERROR($C8-D8,"")</f>
        <v>-0.0220689337</v>
      </c>
      <c r="G8" s="31">
        <f t="shared" si="9"/>
        <v>-0.1186878022</v>
      </c>
      <c r="H8" s="24">
        <f t="shared" si="3"/>
        <v>-0.07433461063</v>
      </c>
      <c r="I8" s="25">
        <f t="shared" si="4"/>
        <v>-0.3016168188</v>
      </c>
      <c r="J8" s="26"/>
      <c r="K8" s="1"/>
      <c r="L8" s="1"/>
      <c r="M8" s="1"/>
      <c r="N8" s="29">
        <v>49.0</v>
      </c>
      <c r="O8" s="29">
        <v>68.0</v>
      </c>
      <c r="P8" s="29">
        <v>70.0</v>
      </c>
      <c r="Q8" s="29">
        <v>67.0</v>
      </c>
      <c r="R8" s="29">
        <v>59.0</v>
      </c>
      <c r="S8" s="29">
        <v>55.0</v>
      </c>
      <c r="T8" s="29">
        <v>59.0</v>
      </c>
      <c r="U8" s="29">
        <v>64.0</v>
      </c>
      <c r="V8" s="29">
        <v>56.0</v>
      </c>
      <c r="W8" s="29">
        <v>57.0</v>
      </c>
      <c r="X8" s="29">
        <v>53.0</v>
      </c>
      <c r="Y8" s="29">
        <v>47.0</v>
      </c>
      <c r="Z8" s="1"/>
    </row>
    <row r="9">
      <c r="A9" s="6"/>
      <c r="B9" s="20" t="s">
        <v>28</v>
      </c>
      <c r="C9" s="21">
        <v>29223.239999999998</v>
      </c>
      <c r="D9" s="21">
        <v>30400.0</v>
      </c>
      <c r="E9" s="21">
        <v>33073.09</v>
      </c>
      <c r="F9" s="22">
        <f t="shared" ref="F9:G9" si="10">+IFERROR($C9-D9,"")</f>
        <v>-1176.76</v>
      </c>
      <c r="G9" s="23">
        <f t="shared" si="10"/>
        <v>-3849.85</v>
      </c>
      <c r="H9" s="24">
        <f t="shared" si="3"/>
        <v>-0.03870921053</v>
      </c>
      <c r="I9" s="25">
        <f t="shared" si="4"/>
        <v>-0.1164043033</v>
      </c>
      <c r="J9" s="26"/>
      <c r="K9" s="1"/>
      <c r="L9" s="1"/>
      <c r="M9" s="1"/>
      <c r="N9" s="32">
        <v>3831906.66923077</v>
      </c>
      <c r="O9" s="32">
        <v>5317748.030769233</v>
      </c>
      <c r="P9" s="32">
        <v>5474152.384615386</v>
      </c>
      <c r="Q9" s="32">
        <v>5239545.853846155</v>
      </c>
      <c r="R9" s="32">
        <v>4613928.43846154</v>
      </c>
      <c r="S9" s="32">
        <v>4301119.730769232</v>
      </c>
      <c r="T9" s="32">
        <v>4613928.43846154</v>
      </c>
      <c r="U9" s="32">
        <v>5004939.323076924</v>
      </c>
      <c r="V9" s="32">
        <v>4379321.9076923095</v>
      </c>
      <c r="W9" s="32">
        <v>4457524.084615385</v>
      </c>
      <c r="X9" s="32">
        <v>4144715.3769230777</v>
      </c>
      <c r="Y9" s="32">
        <v>3675502.3153846157</v>
      </c>
      <c r="Z9" s="1"/>
    </row>
    <row r="10">
      <c r="A10" s="6"/>
      <c r="B10" s="20" t="s">
        <v>29</v>
      </c>
      <c r="C10" s="21">
        <f t="shared" ref="C10:E10" si="11">+C9/C4</f>
        <v>1270.575652</v>
      </c>
      <c r="D10" s="21">
        <f t="shared" si="11"/>
        <v>1600</v>
      </c>
      <c r="E10" s="21">
        <f t="shared" si="11"/>
        <v>1503.322273</v>
      </c>
      <c r="F10" s="22">
        <f t="shared" ref="F10:G10" si="12">+IFERROR($C10-D10,"")</f>
        <v>-329.4243478</v>
      </c>
      <c r="G10" s="23">
        <f t="shared" si="12"/>
        <v>-232.7466206</v>
      </c>
      <c r="H10" s="27">
        <f t="shared" si="3"/>
        <v>-0.2058902174</v>
      </c>
      <c r="I10" s="28">
        <f t="shared" si="4"/>
        <v>-0.1548215075</v>
      </c>
      <c r="J10" s="26"/>
      <c r="K10" s="1"/>
      <c r="L10" s="1"/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"/>
    </row>
    <row r="11">
      <c r="A11" s="6"/>
      <c r="B11" s="20" t="s">
        <v>30</v>
      </c>
      <c r="C11" s="21">
        <v>7929.64</v>
      </c>
      <c r="D11" s="21">
        <v>7600.0</v>
      </c>
      <c r="E11" s="21">
        <v>7993.27</v>
      </c>
      <c r="F11" s="22">
        <f t="shared" ref="F11:G11" si="13">+IFERROR($C11-D11,"")</f>
        <v>329.64</v>
      </c>
      <c r="G11" s="23">
        <f t="shared" si="13"/>
        <v>-63.63</v>
      </c>
      <c r="H11" s="24">
        <f t="shared" si="3"/>
        <v>0.04337368421</v>
      </c>
      <c r="I11" s="25">
        <f t="shared" si="4"/>
        <v>-0.007960446726</v>
      </c>
      <c r="J11" s="26"/>
      <c r="K11" s="1"/>
      <c r="L11" s="1"/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"/>
    </row>
    <row r="12">
      <c r="A12" s="6"/>
      <c r="B12" s="20" t="s">
        <v>31</v>
      </c>
      <c r="C12" s="30">
        <f t="shared" ref="C12:E12" si="14">+C11/C9</f>
        <v>0.2713470512</v>
      </c>
      <c r="D12" s="30">
        <f t="shared" si="14"/>
        <v>0.25</v>
      </c>
      <c r="E12" s="30">
        <f t="shared" si="14"/>
        <v>0.2416850074</v>
      </c>
      <c r="F12" s="24">
        <f t="shared" ref="F12:G12" si="15">+IFERROR($C12-D12,"")</f>
        <v>0.02134705118</v>
      </c>
      <c r="G12" s="33">
        <f t="shared" si="15"/>
        <v>0.02966204382</v>
      </c>
      <c r="H12" s="24">
        <f t="shared" si="3"/>
        <v>0.08538820473</v>
      </c>
      <c r="I12" s="25">
        <f t="shared" si="4"/>
        <v>0.1227301774</v>
      </c>
      <c r="J12" s="26"/>
      <c r="K12" s="1"/>
      <c r="L12" s="1"/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1"/>
    </row>
    <row r="13">
      <c r="A13" s="6"/>
      <c r="B13" s="20" t="s">
        <v>32</v>
      </c>
      <c r="C13" s="21">
        <v>45862.38999999999</v>
      </c>
      <c r="D13" s="21">
        <v>39297.23905848047</v>
      </c>
      <c r="E13" s="21">
        <v>28318.390000000003</v>
      </c>
      <c r="F13" s="22">
        <f t="shared" ref="F13:G13" si="16">+IFERROR($C13-D13,"")</f>
        <v>6565.150942</v>
      </c>
      <c r="G13" s="23">
        <f t="shared" si="16"/>
        <v>17544</v>
      </c>
      <c r="H13" s="24">
        <f t="shared" si="3"/>
        <v>0.1670639235</v>
      </c>
      <c r="I13" s="25">
        <f t="shared" si="4"/>
        <v>0.6195267457</v>
      </c>
      <c r="J13" s="26"/>
      <c r="K13" s="1"/>
      <c r="L13" s="1"/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"/>
    </row>
    <row r="14">
      <c r="A14" s="6"/>
      <c r="B14" s="20" t="s">
        <v>33</v>
      </c>
      <c r="C14" s="21">
        <f t="shared" ref="C14:E14" si="17">+C13/C4</f>
        <v>1994.016957</v>
      </c>
      <c r="D14" s="21">
        <f t="shared" si="17"/>
        <v>2068.27574</v>
      </c>
      <c r="E14" s="21">
        <f t="shared" si="17"/>
        <v>1287.199545</v>
      </c>
      <c r="F14" s="22">
        <f t="shared" ref="F14:G14" si="18">+IFERROR($C14-D14,"")</f>
        <v>-74.2587834</v>
      </c>
      <c r="G14" s="23">
        <f t="shared" si="18"/>
        <v>706.8174111</v>
      </c>
      <c r="H14" s="24">
        <f t="shared" si="3"/>
        <v>-0.03590371533</v>
      </c>
      <c r="I14" s="25">
        <f t="shared" si="4"/>
        <v>0.5491125394</v>
      </c>
      <c r="J14" s="26"/>
      <c r="K14" s="1"/>
      <c r="L14" s="1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"/>
    </row>
    <row r="15">
      <c r="A15" s="6"/>
      <c r="B15" s="20" t="s">
        <v>34</v>
      </c>
      <c r="C15" s="21">
        <v>95965.36</v>
      </c>
      <c r="D15" s="21">
        <v>70473.7476923077</v>
      </c>
      <c r="E15" s="21">
        <v>82702.65</v>
      </c>
      <c r="F15" s="22">
        <f t="shared" ref="F15:G15" si="19">+IFERROR($C15-D15,"")</f>
        <v>25491.61231</v>
      </c>
      <c r="G15" s="23">
        <f t="shared" si="19"/>
        <v>13262.71</v>
      </c>
      <c r="H15" s="24">
        <f t="shared" si="3"/>
        <v>0.3617178473</v>
      </c>
      <c r="I15" s="25">
        <f t="shared" si="4"/>
        <v>0.1603662035</v>
      </c>
      <c r="J15" s="26"/>
      <c r="K15" s="1"/>
      <c r="L15" s="1"/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"/>
    </row>
    <row r="16">
      <c r="A16" s="6"/>
      <c r="B16" s="34" t="s">
        <v>35</v>
      </c>
      <c r="C16" s="35"/>
      <c r="D16" s="35"/>
      <c r="E16" s="35"/>
      <c r="F16" s="36"/>
      <c r="G16" s="37"/>
      <c r="H16" s="38"/>
      <c r="I16" s="39"/>
      <c r="J16" s="26"/>
      <c r="K16" s="1"/>
      <c r="L16" s="1"/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"/>
    </row>
    <row r="17">
      <c r="A17" s="6"/>
      <c r="B17" s="40" t="s">
        <v>10</v>
      </c>
      <c r="C17" s="41">
        <v>100.0</v>
      </c>
      <c r="D17" s="41">
        <v>57.0</v>
      </c>
      <c r="E17" s="42">
        <v>40.0</v>
      </c>
      <c r="F17" s="43">
        <f t="shared" ref="F17:G17" si="20">+IFERROR($C17-D17,"")</f>
        <v>43</v>
      </c>
      <c r="G17" s="44">
        <f t="shared" si="20"/>
        <v>60</v>
      </c>
      <c r="H17" s="24">
        <f t="shared" ref="H17:H18" si="22">+IFERROR(F17/ABS($D17),"")</f>
        <v>0.7543859649</v>
      </c>
      <c r="I17" s="25">
        <f t="shared" ref="I17:I18" si="23">+IFERROR(G17/ABS($E17),"")</f>
        <v>1.5</v>
      </c>
      <c r="J17" s="26"/>
      <c r="K17" s="1"/>
      <c r="L17" s="1"/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1"/>
    </row>
    <row r="18">
      <c r="A18" s="6"/>
      <c r="B18" s="45" t="s">
        <v>36</v>
      </c>
      <c r="C18" s="46">
        <v>7721854.0</v>
      </c>
      <c r="D18" s="46">
        <v>4457524.084615385</v>
      </c>
      <c r="E18" s="46">
        <v>3494624.6699999995</v>
      </c>
      <c r="F18" s="47">
        <f t="shared" ref="F18:G18" si="21">+IFERROR($C18-D18,"")</f>
        <v>3264329.915</v>
      </c>
      <c r="G18" s="48">
        <f t="shared" si="21"/>
        <v>4227229.33</v>
      </c>
      <c r="H18" s="49">
        <f t="shared" si="22"/>
        <v>0.7323190752</v>
      </c>
      <c r="I18" s="50">
        <f t="shared" si="23"/>
        <v>1.20963758</v>
      </c>
      <c r="J18" s="51"/>
      <c r="K18" s="1"/>
      <c r="L18" s="1"/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1"/>
    </row>
    <row r="20">
      <c r="A20" s="1"/>
      <c r="B20" s="52" t="s">
        <v>37</v>
      </c>
      <c r="C20" s="53" t="s">
        <v>2</v>
      </c>
      <c r="D20" s="53" t="s">
        <v>3</v>
      </c>
      <c r="E20" s="53">
        <f>$E$3</f>
        <v>2023</v>
      </c>
      <c r="F20" s="54" t="s">
        <v>4</v>
      </c>
      <c r="G20" s="55" t="str">
        <f>$G$3</f>
        <v>▲2023</v>
      </c>
      <c r="H20" s="54" t="s">
        <v>6</v>
      </c>
      <c r="I20" s="55" t="str">
        <f>$I$3</f>
        <v>% ▲ 2023</v>
      </c>
      <c r="J20" s="56" t="s">
        <v>8</v>
      </c>
      <c r="K20" s="1"/>
      <c r="L20" s="1"/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1"/>
    </row>
    <row r="21" ht="15.0" customHeight="1">
      <c r="A21" s="1"/>
      <c r="B21" s="57" t="s">
        <v>10</v>
      </c>
      <c r="C21" s="58">
        <v>14.0</v>
      </c>
      <c r="D21" s="58">
        <v>16.0</v>
      </c>
      <c r="E21" s="58">
        <v>19.0</v>
      </c>
      <c r="F21" s="59">
        <f t="shared" ref="F21:G21" si="24">+IFERROR($C21-D21,"")</f>
        <v>-2</v>
      </c>
      <c r="G21" s="60">
        <f t="shared" si="24"/>
        <v>-5</v>
      </c>
      <c r="H21" s="17">
        <f t="shared" ref="H21:H32" si="26">+IFERROR(F21/ABS($D21),"")</f>
        <v>-0.125</v>
      </c>
      <c r="I21" s="18">
        <f t="shared" ref="I21:I32" si="27">+IFERROR(G21/ABS($E21),"")</f>
        <v>-0.2631578947</v>
      </c>
      <c r="J21" s="19"/>
      <c r="K21" s="1"/>
      <c r="L21" s="1"/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1"/>
    </row>
    <row r="22" ht="15.75" customHeight="1">
      <c r="A22" s="1"/>
      <c r="B22" s="20" t="s">
        <v>11</v>
      </c>
      <c r="C22" s="21">
        <v>37732.290000000015</v>
      </c>
      <c r="D22" s="21">
        <v>36750.0</v>
      </c>
      <c r="E22" s="21">
        <v>48241.9099999999</v>
      </c>
      <c r="F22" s="22">
        <f t="shared" ref="F22:G22" si="25">+IFERROR($C22-D22,"")</f>
        <v>982.29</v>
      </c>
      <c r="G22" s="23">
        <f t="shared" si="25"/>
        <v>-10509.62</v>
      </c>
      <c r="H22" s="24">
        <f t="shared" si="26"/>
        <v>0.02672897959</v>
      </c>
      <c r="I22" s="25">
        <f t="shared" si="27"/>
        <v>-0.2178524855</v>
      </c>
      <c r="J22" s="26"/>
      <c r="K22" s="1"/>
      <c r="L22" s="1"/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"/>
    </row>
    <row r="23" ht="15.75" customHeight="1">
      <c r="A23" s="1"/>
      <c r="B23" s="20" t="s">
        <v>12</v>
      </c>
      <c r="C23" s="21">
        <f t="shared" ref="C23:E23" si="28">+C22/C21</f>
        <v>2695.163571</v>
      </c>
      <c r="D23" s="21">
        <f t="shared" si="28"/>
        <v>2296.875</v>
      </c>
      <c r="E23" s="21">
        <f t="shared" si="28"/>
        <v>2539.047895</v>
      </c>
      <c r="F23" s="22">
        <f t="shared" ref="F23:G23" si="29">+IFERROR($C23-D23,"")</f>
        <v>398.2885714</v>
      </c>
      <c r="G23" s="23">
        <f t="shared" si="29"/>
        <v>156.1156767</v>
      </c>
      <c r="H23" s="27">
        <f t="shared" si="26"/>
        <v>0.1734045481</v>
      </c>
      <c r="I23" s="28">
        <f t="shared" si="27"/>
        <v>0.0614859125</v>
      </c>
      <c r="J23" s="26"/>
      <c r="K23" s="1"/>
      <c r="L23" s="1"/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1"/>
    </row>
    <row r="24" ht="15.75" customHeight="1">
      <c r="A24" s="1"/>
      <c r="B24" s="20" t="s">
        <v>14</v>
      </c>
      <c r="C24" s="21">
        <v>9252.92</v>
      </c>
      <c r="D24" s="21">
        <v>12622.709923664122</v>
      </c>
      <c r="E24" s="21">
        <v>17037.66</v>
      </c>
      <c r="F24" s="22">
        <f t="shared" ref="F24:G24" si="30">+IFERROR($C24-D24,"")</f>
        <v>-3369.789924</v>
      </c>
      <c r="G24" s="23">
        <f t="shared" si="30"/>
        <v>-7784.74</v>
      </c>
      <c r="H24" s="24">
        <f t="shared" si="26"/>
        <v>-0.2669624783</v>
      </c>
      <c r="I24" s="25">
        <f t="shared" si="27"/>
        <v>-0.4569136842</v>
      </c>
      <c r="J24" s="26"/>
      <c r="K24" s="1"/>
      <c r="L24" s="1"/>
      <c r="M24" s="1"/>
      <c r="N24" s="4" t="s">
        <v>38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1"/>
    </row>
    <row r="25" ht="15.75" customHeight="1">
      <c r="A25" s="1"/>
      <c r="B25" s="20" t="s">
        <v>27</v>
      </c>
      <c r="C25" s="30">
        <f t="shared" ref="C25:E25" si="31">+C24/C22</f>
        <v>0.2452255084</v>
      </c>
      <c r="D25" s="30">
        <f t="shared" si="31"/>
        <v>0.3434751</v>
      </c>
      <c r="E25" s="30">
        <f t="shared" si="31"/>
        <v>0.35317134</v>
      </c>
      <c r="F25" s="24">
        <f t="shared" ref="F25:G25" si="32">+IFERROR($C25-D25,"")</f>
        <v>-0.09824959152</v>
      </c>
      <c r="G25" s="31">
        <f t="shared" si="32"/>
        <v>-0.1079458316</v>
      </c>
      <c r="H25" s="24">
        <f t="shared" si="26"/>
        <v>-0.2860457469</v>
      </c>
      <c r="I25" s="25">
        <f t="shared" si="27"/>
        <v>-0.3056472011</v>
      </c>
      <c r="J25" s="26"/>
      <c r="K25" s="1"/>
      <c r="L25" s="1"/>
      <c r="M25" s="1"/>
      <c r="N25" s="29" t="s">
        <v>15</v>
      </c>
      <c r="O25" s="29" t="s">
        <v>16</v>
      </c>
      <c r="P25" s="29" t="s">
        <v>17</v>
      </c>
      <c r="Q25" s="29" t="s">
        <v>18</v>
      </c>
      <c r="R25" s="29" t="s">
        <v>19</v>
      </c>
      <c r="S25" s="29" t="s">
        <v>20</v>
      </c>
      <c r="T25" s="29" t="s">
        <v>21</v>
      </c>
      <c r="U25" s="29" t="s">
        <v>22</v>
      </c>
      <c r="V25" s="29" t="s">
        <v>23</v>
      </c>
      <c r="W25" s="29" t="s">
        <v>24</v>
      </c>
      <c r="X25" s="29" t="s">
        <v>25</v>
      </c>
      <c r="Y25" s="29" t="s">
        <v>26</v>
      </c>
      <c r="Z25" s="1"/>
    </row>
    <row r="26" ht="15.75" customHeight="1">
      <c r="A26" s="1"/>
      <c r="B26" s="20" t="s">
        <v>28</v>
      </c>
      <c r="C26" s="21">
        <v>19534.63</v>
      </c>
      <c r="D26" s="21">
        <v>26400.0</v>
      </c>
      <c r="E26" s="21">
        <v>20018.08999999999</v>
      </c>
      <c r="F26" s="22">
        <f t="shared" ref="F26:G26" si="33">+IFERROR($C26-D26,"")</f>
        <v>-6865.37</v>
      </c>
      <c r="G26" s="23">
        <f t="shared" si="33"/>
        <v>-483.46</v>
      </c>
      <c r="H26" s="24">
        <f t="shared" si="26"/>
        <v>-0.2600518939</v>
      </c>
      <c r="I26" s="25">
        <f t="shared" si="27"/>
        <v>-0.02415115528</v>
      </c>
      <c r="J26" s="26"/>
      <c r="K26" s="1"/>
      <c r="L26" s="1"/>
      <c r="M26" s="1"/>
      <c r="N26" s="29">
        <v>52.0</v>
      </c>
      <c r="O26" s="29">
        <v>56.0</v>
      </c>
      <c r="P26" s="29">
        <v>61.0</v>
      </c>
      <c r="Q26" s="29">
        <v>64.0</v>
      </c>
      <c r="R26" s="29">
        <v>61.0</v>
      </c>
      <c r="S26" s="29">
        <v>60.0</v>
      </c>
      <c r="T26" s="29">
        <v>61.0</v>
      </c>
      <c r="U26" s="29">
        <v>60.0</v>
      </c>
      <c r="V26" s="29">
        <v>56.0</v>
      </c>
      <c r="W26" s="29">
        <v>54.0</v>
      </c>
      <c r="X26" s="29">
        <v>50.0</v>
      </c>
      <c r="Y26" s="29">
        <v>49.0</v>
      </c>
      <c r="Z26" s="1"/>
    </row>
    <row r="27" ht="15.75" customHeight="1">
      <c r="A27" s="1"/>
      <c r="B27" s="20" t="s">
        <v>29</v>
      </c>
      <c r="C27" s="21">
        <f t="shared" ref="C27:E27" si="34">+C26/C21</f>
        <v>1395.330714</v>
      </c>
      <c r="D27" s="21">
        <f t="shared" si="34"/>
        <v>1650</v>
      </c>
      <c r="E27" s="21">
        <f t="shared" si="34"/>
        <v>1053.583684</v>
      </c>
      <c r="F27" s="22">
        <f t="shared" ref="F27:G27" si="35">+IFERROR($C27-D27,"")</f>
        <v>-254.6692857</v>
      </c>
      <c r="G27" s="23">
        <f t="shared" si="35"/>
        <v>341.7470301</v>
      </c>
      <c r="H27" s="27">
        <f t="shared" si="26"/>
        <v>-0.1543450216</v>
      </c>
      <c r="I27" s="28">
        <f t="shared" si="27"/>
        <v>0.3243662893</v>
      </c>
      <c r="J27" s="26"/>
      <c r="K27" s="1"/>
      <c r="L27" s="1"/>
      <c r="M27" s="1"/>
      <c r="N27" s="32">
        <v>1967562.7450980393</v>
      </c>
      <c r="O27" s="32">
        <v>2118913.7254901966</v>
      </c>
      <c r="P27" s="32">
        <v>2308102.4509803923</v>
      </c>
      <c r="Q27" s="32">
        <v>2421615.68627451</v>
      </c>
      <c r="R27" s="32">
        <v>2308102.4509803923</v>
      </c>
      <c r="S27" s="32">
        <v>2270264.7058823532</v>
      </c>
      <c r="T27" s="32">
        <v>2308102.4509803923</v>
      </c>
      <c r="U27" s="32">
        <v>2270264.7058823532</v>
      </c>
      <c r="V27" s="32">
        <v>2118913.7254901957</v>
      </c>
      <c r="W27" s="32">
        <v>2043238.2352941176</v>
      </c>
      <c r="X27" s="32">
        <v>1891887.254901961</v>
      </c>
      <c r="Y27" s="32">
        <v>1854049.5098039214</v>
      </c>
      <c r="Z27" s="1"/>
    </row>
    <row r="28" ht="15.75" customHeight="1">
      <c r="A28" s="1"/>
      <c r="B28" s="20" t="s">
        <v>30</v>
      </c>
      <c r="C28" s="21">
        <v>5552.06</v>
      </c>
      <c r="D28" s="21">
        <v>6600.0</v>
      </c>
      <c r="E28" s="21">
        <v>4738.78</v>
      </c>
      <c r="F28" s="22">
        <f t="shared" ref="F28:G28" si="36">+IFERROR($C28-D28,"")</f>
        <v>-1047.94</v>
      </c>
      <c r="G28" s="23">
        <f t="shared" si="36"/>
        <v>813.28</v>
      </c>
      <c r="H28" s="24">
        <f t="shared" si="26"/>
        <v>-0.1587787879</v>
      </c>
      <c r="I28" s="25">
        <f t="shared" si="27"/>
        <v>0.1716222319</v>
      </c>
      <c r="J28" s="26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1"/>
    </row>
    <row r="29" ht="15.75" customHeight="1">
      <c r="A29" s="1"/>
      <c r="B29" s="20" t="s">
        <v>31</v>
      </c>
      <c r="C29" s="30">
        <f t="shared" ref="C29:E29" si="37">+C28/C26</f>
        <v>0.2842162867</v>
      </c>
      <c r="D29" s="30">
        <f t="shared" si="37"/>
        <v>0.25</v>
      </c>
      <c r="E29" s="30">
        <f t="shared" si="37"/>
        <v>0.2367248823</v>
      </c>
      <c r="F29" s="24">
        <f t="shared" ref="F29:G29" si="38">+IFERROR($C29-D29,"")</f>
        <v>0.03421628667</v>
      </c>
      <c r="G29" s="33">
        <f t="shared" si="38"/>
        <v>0.04749140432</v>
      </c>
      <c r="H29" s="24">
        <f t="shared" si="26"/>
        <v>0.1368651467</v>
      </c>
      <c r="I29" s="25">
        <f t="shared" si="27"/>
        <v>0.2006185571</v>
      </c>
      <c r="J29" s="26"/>
      <c r="K29" s="1"/>
      <c r="L29" s="1"/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"/>
    </row>
    <row r="30" ht="15.75" customHeight="1">
      <c r="A30" s="1"/>
      <c r="B30" s="20" t="s">
        <v>32</v>
      </c>
      <c r="C30" s="21">
        <v>18271.070000000003</v>
      </c>
      <c r="D30" s="21">
        <v>19843.062607146683</v>
      </c>
      <c r="E30" s="21">
        <v>17567.050000000007</v>
      </c>
      <c r="F30" s="22">
        <f t="shared" ref="F30:G30" si="39">+IFERROR($C30-D30,"")</f>
        <v>-1571.992607</v>
      </c>
      <c r="G30" s="23">
        <f t="shared" si="39"/>
        <v>704.02</v>
      </c>
      <c r="H30" s="24">
        <f t="shared" si="26"/>
        <v>-0.07922126933</v>
      </c>
      <c r="I30" s="25">
        <f t="shared" si="27"/>
        <v>0.04007616532</v>
      </c>
      <c r="J30" s="26"/>
      <c r="K30" s="1"/>
      <c r="L30" s="1"/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1"/>
    </row>
    <row r="31" ht="15.75" customHeight="1">
      <c r="A31" s="1"/>
      <c r="B31" s="20" t="s">
        <v>33</v>
      </c>
      <c r="C31" s="21">
        <f t="shared" ref="C31:E31" si="40">+C30/C21</f>
        <v>1305.076429</v>
      </c>
      <c r="D31" s="21">
        <f t="shared" si="40"/>
        <v>1240.191413</v>
      </c>
      <c r="E31" s="21">
        <f t="shared" si="40"/>
        <v>924.5815789</v>
      </c>
      <c r="F31" s="22">
        <f t="shared" ref="F31:G31" si="41">+IFERROR($C31-D31,"")</f>
        <v>64.88501562</v>
      </c>
      <c r="G31" s="23">
        <f t="shared" si="41"/>
        <v>380.4948496</v>
      </c>
      <c r="H31" s="24">
        <f t="shared" si="26"/>
        <v>0.05231854934</v>
      </c>
      <c r="I31" s="25">
        <f t="shared" si="27"/>
        <v>0.4115319386</v>
      </c>
      <c r="J31" s="26"/>
      <c r="K31" s="1"/>
      <c r="L31" s="1"/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1"/>
    </row>
    <row r="32" ht="15.75" customHeight="1">
      <c r="A32" s="1"/>
      <c r="B32" s="20" t="s">
        <v>34</v>
      </c>
      <c r="C32" s="21">
        <v>10140.0</v>
      </c>
      <c r="D32" s="21">
        <v>11355.235294117647</v>
      </c>
      <c r="E32" s="21">
        <v>13145.0</v>
      </c>
      <c r="F32" s="22">
        <f t="shared" ref="F32:G32" si="42">+IFERROR($C32-D32,"")</f>
        <v>-1215.235294</v>
      </c>
      <c r="G32" s="23">
        <f t="shared" si="42"/>
        <v>-3005</v>
      </c>
      <c r="H32" s="24">
        <f t="shared" si="26"/>
        <v>-0.107019825</v>
      </c>
      <c r="I32" s="25">
        <f t="shared" si="27"/>
        <v>-0.228604032</v>
      </c>
      <c r="J32" s="26"/>
      <c r="K32" s="1"/>
      <c r="L32" s="1"/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1"/>
    </row>
    <row r="33" ht="15.75" customHeight="1">
      <c r="A33" s="1"/>
      <c r="B33" s="34" t="s">
        <v>35</v>
      </c>
      <c r="C33" s="35"/>
      <c r="D33" s="35"/>
      <c r="E33" s="35"/>
      <c r="F33" s="36"/>
      <c r="G33" s="37"/>
      <c r="H33" s="38"/>
      <c r="I33" s="39"/>
      <c r="J33" s="26"/>
      <c r="K33" s="1"/>
      <c r="L33" s="1"/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1"/>
    </row>
    <row r="34" ht="15.75" customHeight="1">
      <c r="A34" s="1"/>
      <c r="B34" s="40" t="s">
        <v>10</v>
      </c>
      <c r="C34" s="41">
        <v>35.0</v>
      </c>
      <c r="D34" s="41">
        <v>54.0</v>
      </c>
      <c r="E34" s="42">
        <v>44.0</v>
      </c>
      <c r="F34" s="43">
        <f t="shared" ref="F34:G34" si="43">+IFERROR($C34-D34,"")</f>
        <v>-19</v>
      </c>
      <c r="G34" s="44">
        <f t="shared" si="43"/>
        <v>-9</v>
      </c>
      <c r="H34" s="24">
        <f t="shared" ref="H34:H35" si="45">+IFERROR(F34/ABS($D34),"")</f>
        <v>-0.3518518519</v>
      </c>
      <c r="I34" s="25">
        <f t="shared" ref="I34:I35" si="46">+IFERROR(G34/ABS($E34),"")</f>
        <v>-0.2045454545</v>
      </c>
      <c r="J34" s="26"/>
      <c r="K34" s="1"/>
      <c r="L34" s="1"/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1"/>
    </row>
    <row r="35" ht="15.75" customHeight="1">
      <c r="A35" s="1"/>
      <c r="B35" s="45" t="s">
        <v>36</v>
      </c>
      <c r="C35" s="46">
        <v>1227560.0</v>
      </c>
      <c r="D35" s="46">
        <v>2043238.2352941176</v>
      </c>
      <c r="E35" s="46">
        <v>1832609.3299999994</v>
      </c>
      <c r="F35" s="47">
        <f t="shared" ref="F35:G35" si="44">+IFERROR($C35-D35,"")</f>
        <v>-815678.2353</v>
      </c>
      <c r="G35" s="48">
        <f t="shared" si="44"/>
        <v>-605049.33</v>
      </c>
      <c r="H35" s="49">
        <f t="shared" si="45"/>
        <v>-0.3992085804</v>
      </c>
      <c r="I35" s="50">
        <f t="shared" si="46"/>
        <v>-0.33015729</v>
      </c>
      <c r="J35" s="51"/>
      <c r="K35" s="1"/>
      <c r="L35" s="1"/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1"/>
    </row>
    <row r="37" ht="15.75" customHeight="1">
      <c r="A37" s="1"/>
      <c r="B37" s="61" t="s">
        <v>39</v>
      </c>
      <c r="C37" s="62" t="s">
        <v>2</v>
      </c>
      <c r="D37" s="62" t="s">
        <v>3</v>
      </c>
      <c r="E37" s="62">
        <f>$E$3</f>
        <v>2023</v>
      </c>
      <c r="F37" s="63" t="s">
        <v>4</v>
      </c>
      <c r="G37" s="64" t="str">
        <f>$G$3</f>
        <v>▲2023</v>
      </c>
      <c r="H37" s="63" t="s">
        <v>6</v>
      </c>
      <c r="I37" s="64" t="str">
        <f>$I$3</f>
        <v>% ▲ 2023</v>
      </c>
      <c r="J37" s="65" t="s">
        <v>8</v>
      </c>
      <c r="K37" s="1"/>
      <c r="L37" s="1"/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1"/>
    </row>
    <row r="38" ht="27.75" customHeight="1">
      <c r="A38" s="1"/>
      <c r="B38" s="57" t="s">
        <v>40</v>
      </c>
      <c r="C38" s="66">
        <v>186387.45</v>
      </c>
      <c r="D38" s="66">
        <v>172923.7292036272</v>
      </c>
      <c r="E38" s="66">
        <v>157688.75</v>
      </c>
      <c r="F38" s="67">
        <f t="shared" ref="F38:G38" si="47">+IFERROR($C38-D38,"")</f>
        <v>13463.7208</v>
      </c>
      <c r="G38" s="68">
        <f t="shared" si="47"/>
        <v>28698.7</v>
      </c>
      <c r="H38" s="17">
        <f t="shared" ref="H38:H47" si="49">+IFERROR(F38/ABS($D38),"")</f>
        <v>0.07785930166</v>
      </c>
      <c r="I38" s="18">
        <f t="shared" ref="I38:I47" si="50">+IFERROR(G38/ABS($E38),"")</f>
        <v>0.1819958621</v>
      </c>
      <c r="J38" s="19"/>
      <c r="K38" s="1"/>
      <c r="L38" s="1"/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1"/>
    </row>
    <row r="39" ht="15.75" customHeight="1">
      <c r="A39" s="1"/>
      <c r="B39" s="57" t="s">
        <v>41</v>
      </c>
      <c r="C39" s="66">
        <v>128469.78000000001</v>
      </c>
      <c r="D39" s="66">
        <v>118630.21421809628</v>
      </c>
      <c r="E39" s="66">
        <v>105550.4399999999</v>
      </c>
      <c r="F39" s="67">
        <f t="shared" ref="F39:G39" si="48">+IFERROR($C39-D39,"")</f>
        <v>9839.565782</v>
      </c>
      <c r="G39" s="68">
        <f t="shared" si="48"/>
        <v>22919.34</v>
      </c>
      <c r="H39" s="69">
        <f t="shared" si="49"/>
        <v>0.08294316795</v>
      </c>
      <c r="I39" s="70">
        <f t="shared" si="50"/>
        <v>0.2171411128</v>
      </c>
      <c r="J39" s="26"/>
      <c r="K39" s="1"/>
      <c r="L39" s="1"/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1"/>
    </row>
    <row r="40" ht="15.75" customHeight="1">
      <c r="A40" s="1"/>
      <c r="B40" s="20" t="s">
        <v>42</v>
      </c>
      <c r="C40" s="21">
        <v>271.4324848484849</v>
      </c>
      <c r="D40" s="71">
        <v>324.0</v>
      </c>
      <c r="E40" s="21">
        <v>293.42156133828996</v>
      </c>
      <c r="F40" s="22">
        <f t="shared" ref="F40:G40" si="51">+IFERROR($C40-D40,"")</f>
        <v>-52.56751515</v>
      </c>
      <c r="G40" s="23">
        <f t="shared" si="51"/>
        <v>-21.98907649</v>
      </c>
      <c r="H40" s="24">
        <f t="shared" si="49"/>
        <v>-0.1622454171</v>
      </c>
      <c r="I40" s="25">
        <f t="shared" si="50"/>
        <v>-0.07494022044</v>
      </c>
      <c r="J40" s="26"/>
      <c r="K40" s="1"/>
      <c r="L40" s="1"/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1"/>
    </row>
    <row r="41" ht="15.75" customHeight="1">
      <c r="A41" s="1"/>
      <c r="B41" s="20" t="s">
        <v>43</v>
      </c>
      <c r="C41" s="21">
        <v>165.11288659793814</v>
      </c>
      <c r="D41" s="71">
        <v>145.0</v>
      </c>
      <c r="E41" s="21">
        <v>143.93916666666667</v>
      </c>
      <c r="F41" s="22">
        <f t="shared" ref="F41:G41" si="52">+IFERROR($C41-D41,"")</f>
        <v>20.1128866</v>
      </c>
      <c r="G41" s="23">
        <f t="shared" si="52"/>
        <v>21.17371993</v>
      </c>
      <c r="H41" s="24">
        <f t="shared" si="49"/>
        <v>0.1387095627</v>
      </c>
      <c r="I41" s="25">
        <f t="shared" si="50"/>
        <v>0.1471018655</v>
      </c>
      <c r="J41" s="26"/>
      <c r="K41" s="1"/>
      <c r="L41" s="1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"/>
    </row>
    <row r="42" ht="15.75" customHeight="1">
      <c r="A42" s="1"/>
      <c r="B42" s="20" t="s">
        <v>44</v>
      </c>
      <c r="C42" s="21">
        <v>-2411.91</v>
      </c>
      <c r="D42" s="21">
        <v>-2444.36909554048</v>
      </c>
      <c r="E42" s="21">
        <v>-4381.91</v>
      </c>
      <c r="F42" s="22">
        <f t="shared" ref="F42:G42" si="53">+IFERROR($C42-D42,"")</f>
        <v>32.45909554</v>
      </c>
      <c r="G42" s="23">
        <f t="shared" si="53"/>
        <v>1970</v>
      </c>
      <c r="H42" s="24">
        <f t="shared" si="49"/>
        <v>0.01327913023</v>
      </c>
      <c r="I42" s="25">
        <f t="shared" si="50"/>
        <v>0.4495756417</v>
      </c>
      <c r="J42" s="26"/>
      <c r="K42" s="1"/>
      <c r="L42" s="1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1"/>
    </row>
    <row r="43" ht="15.75" customHeight="1">
      <c r="A43" s="1"/>
      <c r="B43" s="20" t="s">
        <v>45</v>
      </c>
      <c r="C43" s="21">
        <v>70854.1</v>
      </c>
      <c r="D43" s="21">
        <v>63060.04653593347</v>
      </c>
      <c r="E43" s="21">
        <v>51711.33</v>
      </c>
      <c r="F43" s="22">
        <f t="shared" ref="F43:G43" si="54">+IFERROR($C43-D43,"")</f>
        <v>7794.053464</v>
      </c>
      <c r="G43" s="23">
        <f t="shared" si="54"/>
        <v>19142.77</v>
      </c>
      <c r="H43" s="24">
        <f t="shared" si="49"/>
        <v>0.1235973313</v>
      </c>
      <c r="I43" s="25">
        <f t="shared" si="50"/>
        <v>0.3701852186</v>
      </c>
      <c r="J43" s="26"/>
      <c r="K43" s="1"/>
      <c r="L43" s="1"/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1"/>
    </row>
    <row r="44" ht="15.75" customHeight="1">
      <c r="A44" s="1"/>
      <c r="B44" s="72" t="s">
        <v>46</v>
      </c>
      <c r="C44" s="21">
        <v>43459.66</v>
      </c>
      <c r="D44" s="21">
        <v>37543.12781759014</v>
      </c>
      <c r="E44" s="21">
        <v>27879.520000000004</v>
      </c>
      <c r="F44" s="22">
        <f t="shared" ref="F44:G44" si="55">+IFERROR($C44-D44,"")</f>
        <v>5916.532182</v>
      </c>
      <c r="G44" s="23">
        <f t="shared" si="55"/>
        <v>15580.14</v>
      </c>
      <c r="H44" s="24">
        <f t="shared" si="49"/>
        <v>0.1575929478</v>
      </c>
      <c r="I44" s="25">
        <f t="shared" si="50"/>
        <v>0.5588381722</v>
      </c>
      <c r="J44" s="26"/>
      <c r="K44" s="1"/>
      <c r="L44" s="1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1"/>
    </row>
    <row r="45" ht="15.75" customHeight="1">
      <c r="A45" s="1"/>
      <c r="B45" s="72" t="s">
        <v>47</v>
      </c>
      <c r="C45" s="21">
        <v>27394.440000000002</v>
      </c>
      <c r="D45" s="21">
        <v>25516.918718343335</v>
      </c>
      <c r="E45" s="21">
        <v>23831.81</v>
      </c>
      <c r="F45" s="22">
        <f t="shared" ref="F45:G45" si="56">+IFERROR($C45-D45,"")</f>
        <v>1877.521282</v>
      </c>
      <c r="G45" s="23">
        <f t="shared" si="56"/>
        <v>3562.63</v>
      </c>
      <c r="H45" s="24">
        <f t="shared" si="49"/>
        <v>0.07357946711</v>
      </c>
      <c r="I45" s="25">
        <f t="shared" si="50"/>
        <v>0.1494905339</v>
      </c>
      <c r="J45" s="26"/>
      <c r="K45" s="1"/>
      <c r="L45" s="1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1"/>
    </row>
    <row r="46" ht="15.75" customHeight="1">
      <c r="A46" s="1"/>
      <c r="B46" s="20" t="s">
        <v>48</v>
      </c>
      <c r="C46" s="30">
        <f t="shared" ref="C46:E46" si="57">+C43/C38</f>
        <v>0.3801441567</v>
      </c>
      <c r="D46" s="30">
        <f t="shared" si="57"/>
        <v>0.3646697121</v>
      </c>
      <c r="E46" s="30">
        <f t="shared" si="57"/>
        <v>0.3279329058</v>
      </c>
      <c r="F46" s="24">
        <f t="shared" ref="F46:G46" si="58">+IFERROR($C46-D46,"")</f>
        <v>0.01547444465</v>
      </c>
      <c r="G46" s="31">
        <f t="shared" si="58"/>
        <v>0.0522112509</v>
      </c>
      <c r="H46" s="24">
        <f t="shared" si="49"/>
        <v>0.04243413735</v>
      </c>
      <c r="I46" s="25">
        <f t="shared" si="50"/>
        <v>0.1592132109</v>
      </c>
      <c r="J46" s="26"/>
      <c r="K46" s="1"/>
      <c r="L46" s="1"/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1"/>
    </row>
    <row r="47" ht="15.75" customHeight="1">
      <c r="A47" s="1"/>
      <c r="B47" s="73" t="s">
        <v>49</v>
      </c>
      <c r="C47" s="74">
        <v>5749.360000000001</v>
      </c>
      <c r="D47" s="74">
        <v>4822.708333333334</v>
      </c>
      <c r="E47" s="74">
        <v>7649.26999999999</v>
      </c>
      <c r="F47" s="47">
        <f t="shared" ref="F47:G47" si="59">+IFERROR($C47-D47,"")</f>
        <v>926.6516667</v>
      </c>
      <c r="G47" s="48">
        <f t="shared" si="59"/>
        <v>-1899.91</v>
      </c>
      <c r="H47" s="49">
        <f t="shared" si="49"/>
        <v>0.1921434187</v>
      </c>
      <c r="I47" s="50">
        <f t="shared" si="50"/>
        <v>-0.2483779498</v>
      </c>
      <c r="J47" s="51"/>
      <c r="K47" s="1"/>
      <c r="L47" s="1"/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1"/>
    </row>
    <row r="49" ht="15.75" customHeight="1">
      <c r="A49" s="1"/>
      <c r="B49" s="75" t="s">
        <v>50</v>
      </c>
      <c r="C49" s="76" t="s">
        <v>2</v>
      </c>
      <c r="D49" s="76" t="s">
        <v>3</v>
      </c>
      <c r="E49" s="76">
        <f>$E$3</f>
        <v>2023</v>
      </c>
      <c r="F49" s="77" t="s">
        <v>4</v>
      </c>
      <c r="G49" s="78" t="str">
        <f>$G$3</f>
        <v>▲2023</v>
      </c>
      <c r="H49" s="77" t="s">
        <v>6</v>
      </c>
      <c r="I49" s="78" t="str">
        <f>$I$3</f>
        <v>% ▲ 2023</v>
      </c>
      <c r="J49" s="79" t="s">
        <v>8</v>
      </c>
      <c r="K49" s="1"/>
      <c r="L49" s="1"/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1"/>
    </row>
    <row r="50" ht="14.25" customHeight="1">
      <c r="A50" s="1"/>
      <c r="B50" s="80" t="s">
        <v>40</v>
      </c>
      <c r="C50" s="66">
        <v>350667.24000000005</v>
      </c>
      <c r="D50" s="66">
        <v>349191.72526611737</v>
      </c>
      <c r="E50" s="66">
        <v>345232.0899999999</v>
      </c>
      <c r="F50" s="67">
        <f t="shared" ref="F50:G50" si="60">+IFERROR($C50-D50,"")</f>
        <v>1475.514734</v>
      </c>
      <c r="G50" s="68">
        <f t="shared" si="60"/>
        <v>5435.15</v>
      </c>
      <c r="H50" s="17">
        <f t="shared" ref="H50:H59" si="62">+IFERROR(F50/ABS($D50),"")</f>
        <v>0.004225514602</v>
      </c>
      <c r="I50" s="18">
        <f t="shared" ref="I50:I59" si="63">+IFERROR(G50/ABS($E50),"")</f>
        <v>0.01574346695</v>
      </c>
      <c r="J50" s="19"/>
      <c r="K50" s="1"/>
      <c r="L50" s="1"/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1"/>
    </row>
    <row r="51" ht="15.75" customHeight="1">
      <c r="A51" s="1"/>
      <c r="B51" s="72" t="s">
        <v>51</v>
      </c>
      <c r="C51" s="21">
        <v>59024.78999999999</v>
      </c>
      <c r="D51" s="21">
        <v>63444.77016151817</v>
      </c>
      <c r="E51" s="21">
        <v>49120.81</v>
      </c>
      <c r="F51" s="22">
        <f t="shared" ref="F51:G51" si="61">+IFERROR($C51-D51,"")</f>
        <v>-4419.980162</v>
      </c>
      <c r="G51" s="23">
        <f t="shared" si="61"/>
        <v>9903.98</v>
      </c>
      <c r="H51" s="24">
        <f t="shared" si="62"/>
        <v>-0.06966658009</v>
      </c>
      <c r="I51" s="25">
        <f t="shared" si="63"/>
        <v>0.2016249325</v>
      </c>
      <c r="J51" s="26"/>
      <c r="K51" s="1"/>
      <c r="L51" s="1"/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1"/>
    </row>
    <row r="52" ht="15.75" customHeight="1">
      <c r="A52" s="1"/>
      <c r="B52" s="72" t="s">
        <v>52</v>
      </c>
      <c r="C52" s="21">
        <v>70610.18000000001</v>
      </c>
      <c r="D52" s="21">
        <v>55563.23326945928</v>
      </c>
      <c r="E52" s="21">
        <v>42840.57</v>
      </c>
      <c r="F52" s="22">
        <f t="shared" ref="F52:G52" si="64">+IFERROR($C52-D52,"")</f>
        <v>15046.94673</v>
      </c>
      <c r="G52" s="23">
        <f t="shared" si="64"/>
        <v>27769.61</v>
      </c>
      <c r="H52" s="24">
        <f t="shared" si="62"/>
        <v>0.2708076158</v>
      </c>
      <c r="I52" s="25">
        <f t="shared" si="63"/>
        <v>0.6482082288</v>
      </c>
      <c r="J52" s="26"/>
      <c r="K52" s="1"/>
      <c r="L52" s="1"/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"/>
    </row>
    <row r="53" ht="15.75" customHeight="1">
      <c r="A53" s="1"/>
      <c r="B53" s="72" t="s">
        <v>53</v>
      </c>
      <c r="C53" s="21">
        <v>19252.65</v>
      </c>
      <c r="D53" s="21">
        <v>65943.90488620049</v>
      </c>
      <c r="E53" s="21">
        <v>54553.36</v>
      </c>
      <c r="F53" s="22">
        <f t="shared" ref="F53:G53" si="65">+IFERROR($C53-D53,"")</f>
        <v>-46691.25489</v>
      </c>
      <c r="G53" s="23">
        <f t="shared" si="65"/>
        <v>-35300.71</v>
      </c>
      <c r="H53" s="24">
        <f t="shared" si="62"/>
        <v>-0.7080450417</v>
      </c>
      <c r="I53" s="25">
        <f t="shared" si="63"/>
        <v>-0.647085899</v>
      </c>
      <c r="J53" s="26"/>
      <c r="K53" s="1"/>
      <c r="L53" s="1"/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1"/>
    </row>
    <row r="54" ht="15.75" customHeight="1">
      <c r="A54" s="1"/>
      <c r="B54" s="72" t="s">
        <v>54</v>
      </c>
      <c r="C54" s="21">
        <v>117139.92</v>
      </c>
      <c r="D54" s="21">
        <v>104443.33861502256</v>
      </c>
      <c r="E54" s="21">
        <v>131251.53</v>
      </c>
      <c r="F54" s="22">
        <f t="shared" ref="F54:G54" si="66">+IFERROR($C54-D54,"")</f>
        <v>12696.58138</v>
      </c>
      <c r="G54" s="23">
        <f t="shared" si="66"/>
        <v>-14111.61</v>
      </c>
      <c r="H54" s="24">
        <f t="shared" si="62"/>
        <v>0.1215643004</v>
      </c>
      <c r="I54" s="25">
        <f t="shared" si="63"/>
        <v>-0.1075157752</v>
      </c>
      <c r="J54" s="26"/>
      <c r="K54" s="1"/>
      <c r="L54" s="1"/>
      <c r="M54" s="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1"/>
    </row>
    <row r="55" ht="15.75" customHeight="1">
      <c r="A55" s="1"/>
      <c r="B55" s="72" t="s">
        <v>55</v>
      </c>
      <c r="C55" s="21">
        <f t="shared" ref="C55:E55" si="67">+C50-SUM(C51:C54)</f>
        <v>84639.7</v>
      </c>
      <c r="D55" s="21">
        <f t="shared" si="67"/>
        <v>59796.47833</v>
      </c>
      <c r="E55" s="21">
        <f t="shared" si="67"/>
        <v>67465.82</v>
      </c>
      <c r="F55" s="22">
        <f t="shared" ref="F55:G55" si="68">+IFERROR($C55-D55,"")</f>
        <v>24843.22167</v>
      </c>
      <c r="G55" s="23">
        <f t="shared" si="68"/>
        <v>17173.88</v>
      </c>
      <c r="H55" s="24">
        <f t="shared" si="62"/>
        <v>0.4154629563</v>
      </c>
      <c r="I55" s="25">
        <f t="shared" si="63"/>
        <v>0.2545567518</v>
      </c>
      <c r="J55" s="26"/>
      <c r="K55" s="1"/>
      <c r="L55" s="1"/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1"/>
    </row>
    <row r="56" ht="15.75" customHeight="1">
      <c r="A56" s="1"/>
      <c r="B56" s="57" t="s">
        <v>41</v>
      </c>
      <c r="C56" s="66">
        <v>115524.95000000001</v>
      </c>
      <c r="D56" s="66">
        <v>109152.52599798776</v>
      </c>
      <c r="E56" s="66">
        <v>109303.82999999999</v>
      </c>
      <c r="F56" s="67">
        <f t="shared" ref="F56:G56" si="69">+IFERROR($C56-D56,"")</f>
        <v>6372.424002</v>
      </c>
      <c r="G56" s="68">
        <f t="shared" si="69"/>
        <v>6221.12</v>
      </c>
      <c r="H56" s="69">
        <f t="shared" si="62"/>
        <v>0.05838091188</v>
      </c>
      <c r="I56" s="70">
        <f t="shared" si="63"/>
        <v>0.05691584641</v>
      </c>
      <c r="J56" s="26"/>
      <c r="K56" s="1"/>
      <c r="L56" s="1"/>
      <c r="M56" s="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1"/>
    </row>
    <row r="57" ht="15.75" customHeight="1">
      <c r="A57" s="1"/>
      <c r="B57" s="20" t="s">
        <v>42</v>
      </c>
      <c r="C57" s="21">
        <v>178.86299999999997</v>
      </c>
      <c r="D57" s="71">
        <v>301.0</v>
      </c>
      <c r="E57" s="21">
        <v>182.60524163568772</v>
      </c>
      <c r="F57" s="22">
        <f t="shared" ref="F57:G57" si="70">+IFERROR($C57-D57,"")</f>
        <v>-122.137</v>
      </c>
      <c r="G57" s="23">
        <f t="shared" si="70"/>
        <v>-3.742241636</v>
      </c>
      <c r="H57" s="24">
        <f t="shared" si="62"/>
        <v>-0.4057707641</v>
      </c>
      <c r="I57" s="25">
        <f t="shared" si="63"/>
        <v>-0.02049361564</v>
      </c>
      <c r="J57" s="26"/>
      <c r="K57" s="1"/>
      <c r="L57" s="1"/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1"/>
    </row>
    <row r="58" ht="15.75" customHeight="1">
      <c r="A58" s="1"/>
      <c r="B58" s="20" t="s">
        <v>43</v>
      </c>
      <c r="C58" s="21">
        <v>363.97</v>
      </c>
      <c r="D58" s="71">
        <v>306.0</v>
      </c>
      <c r="E58" s="21">
        <v>255.00339285714284</v>
      </c>
      <c r="F58" s="22">
        <f t="shared" ref="F58:G58" si="71">+IFERROR($C58-D58,"")</f>
        <v>57.97</v>
      </c>
      <c r="G58" s="23">
        <f t="shared" si="71"/>
        <v>108.9666071</v>
      </c>
      <c r="H58" s="24">
        <f t="shared" si="62"/>
        <v>0.1894444444</v>
      </c>
      <c r="I58" s="25">
        <f t="shared" si="63"/>
        <v>0.4273143425</v>
      </c>
      <c r="J58" s="26"/>
      <c r="K58" s="1"/>
      <c r="L58" s="1"/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1"/>
    </row>
    <row r="59" ht="15.75" customHeight="1">
      <c r="A59" s="1"/>
      <c r="B59" s="73" t="s">
        <v>56</v>
      </c>
      <c r="C59" s="74">
        <v>15276.95</v>
      </c>
      <c r="D59" s="74">
        <v>15220.545801526718</v>
      </c>
      <c r="E59" s="74">
        <v>14418.85</v>
      </c>
      <c r="F59" s="47">
        <f t="shared" ref="F59:G59" si="72">+IFERROR($C59-D59,"")</f>
        <v>56.40419847</v>
      </c>
      <c r="G59" s="48">
        <f t="shared" si="72"/>
        <v>858.1</v>
      </c>
      <c r="H59" s="49">
        <f t="shared" si="62"/>
        <v>0.00370579342</v>
      </c>
      <c r="I59" s="50">
        <f t="shared" si="63"/>
        <v>0.05951237443</v>
      </c>
      <c r="J59" s="51"/>
      <c r="K59" s="1"/>
      <c r="L59" s="1"/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1"/>
    </row>
    <row r="61" ht="15.75" customHeight="1">
      <c r="A61" s="1"/>
      <c r="B61" s="82" t="s">
        <v>57</v>
      </c>
      <c r="C61" s="83" t="s">
        <v>2</v>
      </c>
      <c r="D61" s="83" t="s">
        <v>3</v>
      </c>
      <c r="E61" s="83">
        <f>$E$3</f>
        <v>2023</v>
      </c>
      <c r="F61" s="84" t="s">
        <v>4</v>
      </c>
      <c r="G61" s="85" t="str">
        <f>$G$3</f>
        <v>▲2023</v>
      </c>
      <c r="H61" s="84" t="s">
        <v>6</v>
      </c>
      <c r="I61" s="85" t="str">
        <f>$I$3</f>
        <v>% ▲ 2023</v>
      </c>
      <c r="J61" s="86" t="s">
        <v>8</v>
      </c>
      <c r="K61" s="1"/>
      <c r="L61" s="1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1"/>
    </row>
    <row r="62" ht="18.0" customHeight="1">
      <c r="A62" s="1"/>
      <c r="B62" s="72" t="s">
        <v>58</v>
      </c>
      <c r="C62" s="30">
        <v>0.38923030021578275</v>
      </c>
      <c r="D62" s="30">
        <v>0.4059613029159672</v>
      </c>
      <c r="E62" s="30">
        <v>0.3520553560550769</v>
      </c>
      <c r="F62" s="24">
        <f t="shared" ref="F62:G62" si="73">+IFERROR($C62-D62,"")</f>
        <v>-0.0167310027</v>
      </c>
      <c r="G62" s="31">
        <f t="shared" si="73"/>
        <v>0.03717494416</v>
      </c>
      <c r="H62" s="24">
        <f t="shared" ref="H62:H67" si="75">+IFERROR(F62/ABS($D62),"")</f>
        <v>-0.04121329442</v>
      </c>
      <c r="I62" s="25">
        <f t="shared" ref="I62:I67" si="76">+IFERROR(G62/ABS($E62),"")</f>
        <v>0.1055940309</v>
      </c>
      <c r="J62" s="19"/>
      <c r="K62" s="1"/>
      <c r="L62" s="1"/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1"/>
    </row>
    <row r="63" ht="15.75" customHeight="1">
      <c r="A63" s="1"/>
      <c r="B63" s="40" t="s">
        <v>59</v>
      </c>
      <c r="C63" s="87">
        <v>22.5</v>
      </c>
      <c r="D63" s="87">
        <v>23.5</v>
      </c>
      <c r="E63" s="87">
        <v>23.5</v>
      </c>
      <c r="F63" s="88">
        <f t="shared" ref="F63:G63" si="74">+IFERROR($C63-D63,"")</f>
        <v>-1</v>
      </c>
      <c r="G63" s="89">
        <f t="shared" si="74"/>
        <v>-1</v>
      </c>
      <c r="H63" s="24">
        <f t="shared" si="75"/>
        <v>-0.04255319149</v>
      </c>
      <c r="I63" s="25">
        <f t="shared" si="76"/>
        <v>-0.04255319149</v>
      </c>
      <c r="J63" s="26"/>
      <c r="K63" s="1"/>
      <c r="L63" s="1"/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1"/>
    </row>
    <row r="64" ht="15.75" customHeight="1">
      <c r="A64" s="1"/>
      <c r="B64" s="72" t="s">
        <v>60</v>
      </c>
      <c r="C64" s="21">
        <v>43785.06999999999</v>
      </c>
      <c r="D64" s="21">
        <v>25346.50305914897</v>
      </c>
      <c r="E64" s="21">
        <v>30970.46</v>
      </c>
      <c r="F64" s="22">
        <f t="shared" ref="F64:G64" si="77">+IFERROR($C64-D64,"")</f>
        <v>18438.56694</v>
      </c>
      <c r="G64" s="23">
        <f t="shared" si="77"/>
        <v>12814.61</v>
      </c>
      <c r="H64" s="24">
        <f t="shared" si="75"/>
        <v>0.7274599931</v>
      </c>
      <c r="I64" s="25">
        <f t="shared" si="76"/>
        <v>0.4137687978</v>
      </c>
      <c r="J64" s="26"/>
      <c r="K64" s="1"/>
      <c r="L64" s="1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1"/>
    </row>
    <row r="65" ht="15.75" customHeight="1">
      <c r="A65" s="1"/>
      <c r="B65" s="72" t="s">
        <v>61</v>
      </c>
      <c r="C65" s="21">
        <v>77506.53</v>
      </c>
      <c r="D65" s="21">
        <v>61367.52462433635</v>
      </c>
      <c r="E65" s="21">
        <v>74226.96999999997</v>
      </c>
      <c r="F65" s="22">
        <f t="shared" ref="F65:G65" si="78">+IFERROR($C65-D65,"")</f>
        <v>16139.00538</v>
      </c>
      <c r="G65" s="23">
        <f t="shared" si="78"/>
        <v>3279.56</v>
      </c>
      <c r="H65" s="24">
        <f t="shared" si="75"/>
        <v>0.2629893494</v>
      </c>
      <c r="I65" s="25">
        <f t="shared" si="76"/>
        <v>0.04418286237</v>
      </c>
      <c r="J65" s="26"/>
      <c r="K65" s="1"/>
      <c r="L65" s="1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1"/>
    </row>
    <row r="66" ht="15.75" customHeight="1">
      <c r="A66" s="1"/>
      <c r="B66" s="72" t="s">
        <v>62</v>
      </c>
      <c r="C66" s="21">
        <v>23342.71</v>
      </c>
      <c r="D66" s="21">
        <v>34003.64020729381</v>
      </c>
      <c r="E66" s="21">
        <v>19840.059999999998</v>
      </c>
      <c r="F66" s="22">
        <f t="shared" ref="F66:G66" si="79">+IFERROR($C66-D66,"")</f>
        <v>-10660.93021</v>
      </c>
      <c r="G66" s="23">
        <f t="shared" si="79"/>
        <v>3502.65</v>
      </c>
      <c r="H66" s="24">
        <f t="shared" si="75"/>
        <v>-0.3135232035</v>
      </c>
      <c r="I66" s="25">
        <f t="shared" si="76"/>
        <v>0.176544325</v>
      </c>
      <c r="J66" s="26"/>
      <c r="K66" s="1"/>
      <c r="L66" s="1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1"/>
    </row>
    <row r="67" ht="15.75" customHeight="1">
      <c r="A67" s="1"/>
      <c r="B67" s="90" t="s">
        <v>63</v>
      </c>
      <c r="C67" s="74">
        <v>22192.569999999992</v>
      </c>
      <c r="D67" s="74">
        <v>17498.903353846166</v>
      </c>
      <c r="E67" s="74">
        <v>22076.000000000015</v>
      </c>
      <c r="F67" s="47">
        <f t="shared" ref="F67:G67" si="80">+IFERROR($C67-D67,"")</f>
        <v>4693.666646</v>
      </c>
      <c r="G67" s="48">
        <f t="shared" si="80"/>
        <v>116.57</v>
      </c>
      <c r="H67" s="49">
        <f t="shared" si="75"/>
        <v>0.2682263312</v>
      </c>
      <c r="I67" s="50">
        <f t="shared" si="76"/>
        <v>0.005280394999</v>
      </c>
      <c r="J67" s="51"/>
      <c r="K67" s="1"/>
      <c r="L67" s="1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1"/>
    </row>
    <row r="69" ht="15.75" customHeight="1">
      <c r="A69" s="1"/>
      <c r="B69" s="91" t="s">
        <v>64</v>
      </c>
      <c r="C69" s="92" t="s">
        <v>2</v>
      </c>
      <c r="D69" s="92" t="s">
        <v>3</v>
      </c>
      <c r="E69" s="92">
        <f>$E$3</f>
        <v>2023</v>
      </c>
      <c r="F69" s="93" t="s">
        <v>4</v>
      </c>
      <c r="G69" s="94" t="str">
        <f>$G$3</f>
        <v>▲2023</v>
      </c>
      <c r="H69" s="93" t="s">
        <v>6</v>
      </c>
      <c r="I69" s="94" t="str">
        <f>$I$3</f>
        <v>% ▲ 2023</v>
      </c>
      <c r="J69" s="95" t="s">
        <v>8</v>
      </c>
      <c r="K69" s="1"/>
      <c r="L69" s="1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1"/>
    </row>
    <row r="70" ht="15.0" customHeight="1">
      <c r="A70" s="1"/>
      <c r="B70" s="72" t="s">
        <v>65</v>
      </c>
      <c r="C70" s="21">
        <v>132179.04</v>
      </c>
      <c r="D70" s="21">
        <v>108542.46574328856</v>
      </c>
      <c r="E70" s="21">
        <v>135523.69999999998</v>
      </c>
      <c r="F70" s="96">
        <f t="shared" ref="F70:G70" si="81">+IFERROR($C70-D70,"")</f>
        <v>23636.57426</v>
      </c>
      <c r="G70" s="97">
        <f t="shared" si="81"/>
        <v>-3344.66</v>
      </c>
      <c r="H70" s="24">
        <f t="shared" ref="H70:H77" si="83">+IFERROR(F70/ABS($D70),"")</f>
        <v>0.2177633804</v>
      </c>
      <c r="I70" s="25">
        <f t="shared" ref="I70:I77" si="84">+IFERROR(G70/ABS($E70),"")</f>
        <v>-0.024679521</v>
      </c>
      <c r="J70" s="19"/>
      <c r="K70" s="1"/>
      <c r="L70" s="1"/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1"/>
    </row>
    <row r="71" ht="15.75" customHeight="1">
      <c r="A71" s="1"/>
      <c r="B71" s="72" t="s">
        <v>66</v>
      </c>
      <c r="C71" s="30">
        <v>0.28768521393690666</v>
      </c>
      <c r="D71" s="30">
        <v>0.25512421005642233</v>
      </c>
      <c r="E71" s="30">
        <v>0.3090104738739602</v>
      </c>
      <c r="F71" s="24">
        <f t="shared" ref="F71:G71" si="82">+IFERROR($C71-D71,"")</f>
        <v>0.03256100388</v>
      </c>
      <c r="G71" s="31">
        <f t="shared" si="82"/>
        <v>-0.02132525994</v>
      </c>
      <c r="H71" s="24">
        <f t="shared" si="83"/>
        <v>0.1276280439</v>
      </c>
      <c r="I71" s="25">
        <f t="shared" si="84"/>
        <v>-0.06901144699</v>
      </c>
      <c r="J71" s="26"/>
      <c r="K71" s="1"/>
      <c r="L71" s="1"/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1"/>
    </row>
    <row r="72" ht="15.75" customHeight="1">
      <c r="A72" s="1"/>
      <c r="B72" s="72" t="s">
        <v>67</v>
      </c>
      <c r="C72" s="21">
        <v>304405.24</v>
      </c>
      <c r="D72" s="21">
        <v>289571.7416713112</v>
      </c>
      <c r="E72" s="21">
        <v>274822.31</v>
      </c>
      <c r="F72" s="22">
        <f t="shared" ref="F72:G72" si="85">+IFERROR($C72-D72,"")</f>
        <v>14833.49833</v>
      </c>
      <c r="G72" s="23">
        <f t="shared" si="85"/>
        <v>29582.93</v>
      </c>
      <c r="H72" s="24">
        <f t="shared" si="83"/>
        <v>0.05122564185</v>
      </c>
      <c r="I72" s="25">
        <f t="shared" si="84"/>
        <v>0.1076438445</v>
      </c>
      <c r="J72" s="26"/>
      <c r="K72" s="1"/>
      <c r="L72" s="1"/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1"/>
    </row>
    <row r="73" ht="15.75" customHeight="1">
      <c r="A73" s="1"/>
      <c r="B73" s="72" t="s">
        <v>68</v>
      </c>
      <c r="C73" s="30">
        <v>0.6625323242846628</v>
      </c>
      <c r="D73" s="30">
        <v>0.6806254247372636</v>
      </c>
      <c r="E73" s="30">
        <v>0.6266282004124474</v>
      </c>
      <c r="F73" s="24">
        <f t="shared" ref="F73:G73" si="86">+IFERROR($C73-D73,"")</f>
        <v>-0.01809310045</v>
      </c>
      <c r="G73" s="31">
        <f t="shared" si="86"/>
        <v>0.03590412387</v>
      </c>
      <c r="H73" s="24">
        <f t="shared" si="83"/>
        <v>-0.02658305111</v>
      </c>
      <c r="I73" s="25">
        <f t="shared" si="84"/>
        <v>0.05729733173</v>
      </c>
      <c r="J73" s="26"/>
      <c r="K73" s="1"/>
      <c r="L73" s="1"/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1"/>
    </row>
    <row r="74" ht="15.75" customHeight="1">
      <c r="A74" s="98"/>
      <c r="B74" s="80" t="s">
        <v>69</v>
      </c>
      <c r="C74" s="66">
        <v>151170.8400000001</v>
      </c>
      <c r="D74" s="66">
        <v>126663.17162291016</v>
      </c>
      <c r="E74" s="66">
        <v>146150.79999999952</v>
      </c>
      <c r="F74" s="67">
        <f t="shared" ref="F74:G74" si="87">+IFERROR($C74-D74,"")</f>
        <v>24507.66838</v>
      </c>
      <c r="G74" s="68">
        <f t="shared" si="87"/>
        <v>5020.04</v>
      </c>
      <c r="H74" s="69">
        <f t="shared" si="83"/>
        <v>0.1934869312</v>
      </c>
      <c r="I74" s="70">
        <f t="shared" si="84"/>
        <v>0.034348358</v>
      </c>
      <c r="J74" s="26"/>
      <c r="K74" s="98"/>
      <c r="L74" s="98"/>
      <c r="M74" s="9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98"/>
    </row>
    <row r="75" ht="15.75" customHeight="1">
      <c r="A75" s="1"/>
      <c r="B75" s="20" t="s">
        <v>70</v>
      </c>
      <c r="C75" s="99">
        <v>0.03757444773586418</v>
      </c>
      <c r="D75" s="99">
        <v>0.03645679793822638</v>
      </c>
      <c r="E75" s="99">
        <v>0.014300235784304127</v>
      </c>
      <c r="F75" s="100">
        <f t="shared" ref="F75:G75" si="88">+IFERROR($C75-D75,"")</f>
        <v>0.001117649798</v>
      </c>
      <c r="G75" s="101">
        <f t="shared" si="88"/>
        <v>0.02327421195</v>
      </c>
      <c r="H75" s="24">
        <f t="shared" si="83"/>
        <v>0.03065682838</v>
      </c>
      <c r="I75" s="25">
        <f t="shared" si="84"/>
        <v>1.627540434</v>
      </c>
      <c r="J75" s="26"/>
      <c r="K75" s="1"/>
      <c r="L75" s="1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1"/>
    </row>
    <row r="76" ht="15.75" customHeight="1">
      <c r="A76" s="98"/>
      <c r="B76" s="80" t="s">
        <v>71</v>
      </c>
      <c r="C76" s="66">
        <v>110237.64000000012</v>
      </c>
      <c r="D76" s="66">
        <v>80879.42212599887</v>
      </c>
      <c r="E76" s="66">
        <v>106790.73999999951</v>
      </c>
      <c r="F76" s="67">
        <f t="shared" ref="F76:G76" si="89">+IFERROR($C76-D76,"")</f>
        <v>29358.21787</v>
      </c>
      <c r="G76" s="68">
        <f t="shared" si="89"/>
        <v>3446.9</v>
      </c>
      <c r="H76" s="69">
        <f t="shared" si="83"/>
        <v>0.3629874831</v>
      </c>
      <c r="I76" s="70">
        <f t="shared" si="84"/>
        <v>0.03227714313</v>
      </c>
      <c r="J76" s="26"/>
      <c r="K76" s="98"/>
      <c r="L76" s="98"/>
      <c r="M76" s="9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98"/>
    </row>
    <row r="77" ht="15.75" customHeight="1">
      <c r="A77" s="1"/>
      <c r="B77" s="90" t="s">
        <v>72</v>
      </c>
      <c r="C77" s="102">
        <v>0.027400247578865153</v>
      </c>
      <c r="D77" s="102">
        <v>0.02327910087855978</v>
      </c>
      <c r="E77" s="102">
        <v>0.010449020885142716</v>
      </c>
      <c r="F77" s="103">
        <f t="shared" ref="F77:G77" si="90">+IFERROR($C77-D77,"")</f>
        <v>0.0041211467</v>
      </c>
      <c r="G77" s="104">
        <f t="shared" si="90"/>
        <v>0.01695122669</v>
      </c>
      <c r="H77" s="49">
        <f t="shared" si="83"/>
        <v>0.1770320392</v>
      </c>
      <c r="I77" s="50">
        <f t="shared" si="84"/>
        <v>1.622278956</v>
      </c>
      <c r="J77" s="51"/>
      <c r="K77" s="1"/>
      <c r="L77" s="1"/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1"/>
    </row>
  </sheetData>
  <mergeCells count="7">
    <mergeCell ref="B1:J1"/>
    <mergeCell ref="J4:J18"/>
    <mergeCell ref="J21:J35"/>
    <mergeCell ref="J38:J47"/>
    <mergeCell ref="J50:J59"/>
    <mergeCell ref="J62:J67"/>
    <mergeCell ref="J70:J7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bottom="0.3937007874015748" footer="0.0" header="0.0" left="0.5905511811023623" right="0.5905511811023623" top="0.3937007874015748"/>
  <pageSetup fitToHeight="0"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2024-11-08T20:33:20Z</dcterms:created>
  <dc:creator>User</dc:creator>
</cp:coreProperties>
</file>