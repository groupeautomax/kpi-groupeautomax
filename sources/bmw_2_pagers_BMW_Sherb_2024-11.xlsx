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BV ; ÉF réalisé\2024 Réalisé BMW Sh\"/>
    </mc:Choice>
  </mc:AlternateContent>
  <xr:revisionPtr revIDLastSave="0" documentId="13_ncr:1_{EB9F6BF4-C217-4264-B70D-5CC2EEDFD779}" xr6:coauthVersionLast="47" xr6:coauthVersionMax="47" xr10:uidLastSave="{00000000-0000-0000-0000-000000000000}"/>
  <bookViews>
    <workbookView xWindow="-108" yWindow="-108" windowWidth="23256" windowHeight="13896" xr2:uid="{E3B0F8D4-DE3B-4325-A04C-398B82623C96}"/>
  </bookViews>
  <sheets>
    <sheet name="2pager" sheetId="1" r:id="rId1"/>
  </sheets>
  <definedNames>
    <definedName name="_Dates_Conc">#REF!</definedName>
    <definedName name="_Order1" hidden="1">0</definedName>
    <definedName name="_scen">#REF!</definedName>
    <definedName name="_scen1">#REF!</definedName>
    <definedName name="_scen2">#REF!</definedName>
    <definedName name="_SCenarios">#REF!</definedName>
    <definedName name="_Sens1">#REF!</definedName>
    <definedName name="_Sens2">#REF!</definedName>
    <definedName name="_sensRes1">#REF!</definedName>
    <definedName name="_sensRes2">#REF!</definedName>
    <definedName name="_sensRes3">#REF!</definedName>
    <definedName name="_sensRes4">#REF!</definedName>
    <definedName name="_sensRes5">#REF!</definedName>
    <definedName name="_sensRes6">#REF!</definedName>
    <definedName name="_sensRes7">#REF!</definedName>
    <definedName name="a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0" hidden="1">{"Page1",#N/A,FALSE,"CompCo";"Page2",#N/A,FALSE,"CompCo"}</definedName>
    <definedName name="Compco1" hidden="1">{"Page1",#N/A,FALSE,"CompCo";"Page2",#N/A,FALSE,"CompCo"}</definedName>
    <definedName name="Compco2" localSheetId="0" hidden="1">{"Page1",#N/A,FALSE,"CompCo";"Page2",#N/A,FALSE,"CompCo"}</definedName>
    <definedName name="Compco2" hidden="1">{"Page1",#N/A,FALSE,"CompCo";"Page2",#N/A,FALSE,"CompCo"}</definedName>
    <definedName name="DateRange">#REF!</definedName>
    <definedName name="DateRangePr" hidden="1">OFFSET(#REF!,5,0,COUNTA(#REF!)-COUNTA(#REF!),1)</definedName>
    <definedName name="DateRangePrice" hidden="1">OFFSET(#REF!,5,0,COUNTA(#REF!)-COUNTA(#REF!),1)</definedName>
    <definedName name="DateRangePrice1" hidden="1">OFFSET(#REF!,5,0,COUNTA(#REF!)-COUNTA(#REF!),1)</definedName>
    <definedName name="DateRangePrice2" hidden="1">OFFSET(#REF!,5,0,COUNTA(#REF!)-COUNTA(#REF!),1)</definedName>
    <definedName name="ERT" localSheetId="0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hidden="1">#REF!,#REF!,#REF!,#REF!,#REF!</definedName>
    <definedName name="hn.ModelVersion" hidden="1">1</definedName>
    <definedName name="hn.NoUpload" hidden="1">0</definedName>
    <definedName name="_xlnm.Print_Titles" localSheetId="0">'2pager'!$1:$1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0" hidden="1">{"finana",#N/A,FALSE,"Fin"}</definedName>
    <definedName name="kjjkghkhj" hidden="1">{"finana",#N/A,FALSE,"Fin"}</definedName>
    <definedName name="limcount" hidden="1">1</definedName>
    <definedName name="lkhkhj" localSheetId="0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>#REF!</definedName>
    <definedName name="Months">#REF!</definedName>
    <definedName name="Output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hidden="1">OFFSET(#REF!,5,0,COUNTA(#REF!)-COUNTA(#REF!),1)</definedName>
    <definedName name="PriceRange2" hidden="1">OFFSET(#REF!,5,0,COUNTA(#REF!)-COUNTA(#REF!),1)</definedName>
    <definedName name="Rng_Dealers_Names">#REF!</definedName>
    <definedName name="Rng_Dlr_Dates">#REF!</definedName>
    <definedName name="sencount" hidden="1">1</definedName>
    <definedName name="SLEVIN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0" hidden="1">{"execsum",#N/A,FALSE,"ExecSum";"finstatement",#N/A,FALSE,"Fin_St"}</definedName>
    <definedName name="test" hidden="1">{"execsum",#N/A,FALSE,"ExecSum";"finstatement",#N/A,FALSE,"Fin_St"}</definedName>
    <definedName name="test21" hidden="1">OFFSET(#REF!,5,0,COUNTA(#REF!)-COUNTA(#REF!),1)</definedName>
    <definedName name="Ticker" hidden="1">#N/A</definedName>
    <definedName name="Titre">#REF!</definedName>
    <definedName name="value" hidden="1">OFFSET(#REF!,5,0,COUNTA(#REF!)-COUNTA(#REF!),1)</definedName>
    <definedName name="value2" hidden="1">OFFSET(#REF!,5,0,COUNTA(#REF!)-COUNTA(#REF!),1)</definedName>
    <definedName name="wrn.amendement." localSheetId="0" hidden="1">{#N/A,#N/A,FALSE,"amendement"}</definedName>
    <definedName name="wrn.amendement." hidden="1">{#N/A,#N/A,FALSE,"amendement"}</definedName>
    <definedName name="wrn.amendement.." localSheetId="0" hidden="1">{#N/A,#N/A,FALSE,"amendement"}</definedName>
    <definedName name="wrn.amendement.." hidden="1">{#N/A,#N/A,FALSE,"amendement"}</definedName>
    <definedName name="wrn.COMPCO." localSheetId="0" hidden="1">{"Page1",#N/A,FALSE,"CompCo";"Page2",#N/A,FALSE,"CompCo"}</definedName>
    <definedName name="wrn.COMPCO." hidden="1">{"Page1",#N/A,FALSE,"CompCo";"Page2",#N/A,FALSE,"CompCo"}</definedName>
    <definedName name="wrn.Delchamps." localSheetId="0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0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0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0" hidden="1">{"finana",#N/A,FALSE,"Fin"}</definedName>
    <definedName name="wrn.Finanalysis." hidden="1">{"finana",#N/A,FALSE,"Fin"}</definedName>
    <definedName name="wrn.full._.report." localSheetId="0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0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0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0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0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0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0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0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0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0">'2pager'!$A$1:$K$78</definedName>
    <definedName name="_xlnm.Print_Are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6" i="1" l="1"/>
  <c r="H76" i="1" s="1"/>
  <c r="G76" i="1"/>
  <c r="I76" i="1" s="1"/>
  <c r="G75" i="1"/>
  <c r="I75" i="1" s="1"/>
  <c r="G74" i="1"/>
  <c r="I74" i="1" s="1"/>
  <c r="F74" i="1"/>
  <c r="H74" i="1" s="1"/>
  <c r="G73" i="1"/>
  <c r="I73" i="1" s="1"/>
  <c r="G72" i="1"/>
  <c r="I72" i="1" s="1"/>
  <c r="I69" i="1"/>
  <c r="G69" i="1"/>
  <c r="E69" i="1"/>
  <c r="G66" i="1"/>
  <c r="I66" i="1" s="1"/>
  <c r="F66" i="1"/>
  <c r="H66" i="1" s="1"/>
  <c r="F65" i="1"/>
  <c r="H65" i="1" s="1"/>
  <c r="G64" i="1"/>
  <c r="I64" i="1" s="1"/>
  <c r="F64" i="1"/>
  <c r="H64" i="1" s="1"/>
  <c r="G63" i="1"/>
  <c r="I63" i="1" s="1"/>
  <c r="F63" i="1"/>
  <c r="H63" i="1" s="1"/>
  <c r="F62" i="1"/>
  <c r="H62" i="1" s="1"/>
  <c r="G62" i="1"/>
  <c r="I62" i="1" s="1"/>
  <c r="I61" i="1"/>
  <c r="G61" i="1"/>
  <c r="E61" i="1"/>
  <c r="G59" i="1"/>
  <c r="I59" i="1" s="1"/>
  <c r="F58" i="1"/>
  <c r="H58" i="1" s="1"/>
  <c r="G57" i="1"/>
  <c r="I57" i="1" s="1"/>
  <c r="G56" i="1"/>
  <c r="I56" i="1" s="1"/>
  <c r="E55" i="1"/>
  <c r="G54" i="1"/>
  <c r="I54" i="1" s="1"/>
  <c r="G53" i="1"/>
  <c r="I53" i="1" s="1"/>
  <c r="F53" i="1"/>
  <c r="H53" i="1" s="1"/>
  <c r="G52" i="1"/>
  <c r="I52" i="1" s="1"/>
  <c r="G51" i="1"/>
  <c r="I51" i="1" s="1"/>
  <c r="G50" i="1"/>
  <c r="I50" i="1" s="1"/>
  <c r="D55" i="1"/>
  <c r="C55" i="1"/>
  <c r="I49" i="1"/>
  <c r="G49" i="1"/>
  <c r="E49" i="1"/>
  <c r="G47" i="1"/>
  <c r="I47" i="1" s="1"/>
  <c r="G45" i="1"/>
  <c r="I45" i="1" s="1"/>
  <c r="F45" i="1"/>
  <c r="H45" i="1" s="1"/>
  <c r="F44" i="1"/>
  <c r="H44" i="1" s="1"/>
  <c r="G43" i="1"/>
  <c r="I43" i="1" s="1"/>
  <c r="F43" i="1"/>
  <c r="H43" i="1" s="1"/>
  <c r="G42" i="1"/>
  <c r="I42" i="1" s="1"/>
  <c r="G41" i="1"/>
  <c r="I41" i="1" s="1"/>
  <c r="G40" i="1"/>
  <c r="I40" i="1" s="1"/>
  <c r="G39" i="1"/>
  <c r="I39" i="1" s="1"/>
  <c r="E46" i="1"/>
  <c r="D46" i="1"/>
  <c r="C46" i="1"/>
  <c r="I37" i="1"/>
  <c r="G37" i="1"/>
  <c r="E37" i="1"/>
  <c r="G35" i="1"/>
  <c r="I35" i="1" s="1"/>
  <c r="F35" i="1"/>
  <c r="H35" i="1" s="1"/>
  <c r="G34" i="1"/>
  <c r="I34" i="1" s="1"/>
  <c r="F34" i="1"/>
  <c r="H34" i="1" s="1"/>
  <c r="G32" i="1"/>
  <c r="I32" i="1" s="1"/>
  <c r="E29" i="1"/>
  <c r="D29" i="1"/>
  <c r="G28" i="1"/>
  <c r="I28" i="1" s="1"/>
  <c r="E27" i="1"/>
  <c r="D27" i="1"/>
  <c r="C27" i="1"/>
  <c r="D25" i="1"/>
  <c r="C25" i="1"/>
  <c r="F24" i="1"/>
  <c r="H24" i="1" s="1"/>
  <c r="E31" i="1"/>
  <c r="G22" i="1"/>
  <c r="I22" i="1" s="1"/>
  <c r="F22" i="1"/>
  <c r="H22" i="1" s="1"/>
  <c r="E23" i="1"/>
  <c r="D23" i="1"/>
  <c r="G21" i="1"/>
  <c r="I21" i="1" s="1"/>
  <c r="I20" i="1"/>
  <c r="G20" i="1"/>
  <c r="E20" i="1"/>
  <c r="G18" i="1"/>
  <c r="I18" i="1" s="1"/>
  <c r="F18" i="1"/>
  <c r="H18" i="1" s="1"/>
  <c r="G17" i="1"/>
  <c r="I17" i="1" s="1"/>
  <c r="F17" i="1"/>
  <c r="H17" i="1" s="1"/>
  <c r="G15" i="1"/>
  <c r="I15" i="1" s="1"/>
  <c r="E12" i="1"/>
  <c r="D12" i="1"/>
  <c r="F11" i="1"/>
  <c r="H11" i="1" s="1"/>
  <c r="E10" i="1"/>
  <c r="D10" i="1"/>
  <c r="C10" i="1"/>
  <c r="C8" i="1"/>
  <c r="E14" i="1"/>
  <c r="G5" i="1"/>
  <c r="I5" i="1" s="1"/>
  <c r="F5" i="1"/>
  <c r="H5" i="1" s="1"/>
  <c r="E6" i="1"/>
  <c r="D6" i="1"/>
  <c r="G4" i="1"/>
  <c r="I4" i="1" s="1"/>
  <c r="G71" i="1" l="1"/>
  <c r="I71" i="1" s="1"/>
  <c r="F71" i="1"/>
  <c r="H71" i="1" s="1"/>
  <c r="G46" i="1"/>
  <c r="I46" i="1" s="1"/>
  <c r="F46" i="1"/>
  <c r="H46" i="1" s="1"/>
  <c r="F10" i="1"/>
  <c r="H10" i="1" s="1"/>
  <c r="G10" i="1"/>
  <c r="I10" i="1" s="1"/>
  <c r="G27" i="1"/>
  <c r="I27" i="1" s="1"/>
  <c r="F27" i="1"/>
  <c r="H27" i="1" s="1"/>
  <c r="F7" i="1"/>
  <c r="H7" i="1" s="1"/>
  <c r="D8" i="1"/>
  <c r="F8" i="1" s="1"/>
  <c r="H8" i="1" s="1"/>
  <c r="D14" i="1"/>
  <c r="F55" i="1"/>
  <c r="H55" i="1" s="1"/>
  <c r="G55" i="1"/>
  <c r="I55" i="1" s="1"/>
  <c r="G24" i="1"/>
  <c r="I24" i="1" s="1"/>
  <c r="F57" i="1"/>
  <c r="H57" i="1" s="1"/>
  <c r="G7" i="1"/>
  <c r="I7" i="1" s="1"/>
  <c r="C23" i="1"/>
  <c r="F38" i="1"/>
  <c r="H38" i="1" s="1"/>
  <c r="F59" i="1"/>
  <c r="H59" i="1" s="1"/>
  <c r="C6" i="1"/>
  <c r="F9" i="1"/>
  <c r="H9" i="1" s="1"/>
  <c r="F21" i="1"/>
  <c r="H21" i="1" s="1"/>
  <c r="G38" i="1"/>
  <c r="I38" i="1" s="1"/>
  <c r="F40" i="1"/>
  <c r="H40" i="1" s="1"/>
  <c r="F73" i="1"/>
  <c r="H73" i="1" s="1"/>
  <c r="F4" i="1"/>
  <c r="H4" i="1" s="1"/>
  <c r="F28" i="1"/>
  <c r="H28" i="1" s="1"/>
  <c r="F42" i="1"/>
  <c r="H42" i="1" s="1"/>
  <c r="G11" i="1"/>
  <c r="I11" i="1" s="1"/>
  <c r="E8" i="1"/>
  <c r="G8" i="1" s="1"/>
  <c r="I8" i="1" s="1"/>
  <c r="G44" i="1"/>
  <c r="I44" i="1" s="1"/>
  <c r="G65" i="1"/>
  <c r="I65" i="1" s="1"/>
  <c r="G70" i="1"/>
  <c r="I70" i="1" s="1"/>
  <c r="F77" i="1"/>
  <c r="H77" i="1" s="1"/>
  <c r="F75" i="1"/>
  <c r="H75" i="1" s="1"/>
  <c r="E25" i="1"/>
  <c r="G25" i="1" s="1"/>
  <c r="I25" i="1" s="1"/>
  <c r="F70" i="1"/>
  <c r="H70" i="1" s="1"/>
  <c r="G77" i="1"/>
  <c r="I77" i="1" s="1"/>
  <c r="F25" i="1"/>
  <c r="H25" i="1" s="1"/>
  <c r="F56" i="1"/>
  <c r="H56" i="1" s="1"/>
  <c r="C29" i="1"/>
  <c r="F32" i="1"/>
  <c r="H32" i="1" s="1"/>
  <c r="F51" i="1"/>
  <c r="H51" i="1" s="1"/>
  <c r="G58" i="1"/>
  <c r="I58" i="1" s="1"/>
  <c r="F72" i="1"/>
  <c r="H72" i="1" s="1"/>
  <c r="F50" i="1"/>
  <c r="H50" i="1" s="1"/>
  <c r="F26" i="1"/>
  <c r="H26" i="1" s="1"/>
  <c r="G26" i="1"/>
  <c r="I26" i="1" s="1"/>
  <c r="F47" i="1"/>
  <c r="H47" i="1" s="1"/>
  <c r="F52" i="1"/>
  <c r="H52" i="1" s="1"/>
  <c r="G9" i="1"/>
  <c r="I9" i="1" s="1"/>
  <c r="D31" i="1"/>
  <c r="F54" i="1"/>
  <c r="H54" i="1" s="1"/>
  <c r="C12" i="1"/>
  <c r="F15" i="1"/>
  <c r="H15" i="1" s="1"/>
  <c r="F39" i="1"/>
  <c r="H39" i="1" s="1"/>
  <c r="F41" i="1"/>
  <c r="H41" i="1" s="1"/>
  <c r="G29" i="1" l="1"/>
  <c r="I29" i="1" s="1"/>
  <c r="F29" i="1"/>
  <c r="H29" i="1" s="1"/>
  <c r="F23" i="1"/>
  <c r="H23" i="1" s="1"/>
  <c r="G23" i="1"/>
  <c r="I23" i="1" s="1"/>
  <c r="G6" i="1"/>
  <c r="I6" i="1" s="1"/>
  <c r="F6" i="1"/>
  <c r="H6" i="1" s="1"/>
  <c r="C31" i="1"/>
  <c r="F30" i="1"/>
  <c r="H30" i="1" s="1"/>
  <c r="G30" i="1"/>
  <c r="I30" i="1" s="1"/>
  <c r="C14" i="1"/>
  <c r="G13" i="1"/>
  <c r="I13" i="1" s="1"/>
  <c r="F13" i="1"/>
  <c r="H13" i="1" s="1"/>
  <c r="G67" i="1"/>
  <c r="I67" i="1" s="1"/>
  <c r="F67" i="1"/>
  <c r="H67" i="1" s="1"/>
  <c r="G12" i="1"/>
  <c r="I12" i="1" s="1"/>
  <c r="F12" i="1"/>
  <c r="H12" i="1" s="1"/>
  <c r="F14" i="1" l="1"/>
  <c r="H14" i="1" s="1"/>
  <c r="G14" i="1"/>
  <c r="I14" i="1" s="1"/>
  <c r="F31" i="1"/>
  <c r="H31" i="1" s="1"/>
  <c r="G31" i="1"/>
  <c r="I31" i="1" s="1"/>
</calcChain>
</file>

<file path=xl/sharedStrings.xml><?xml version="1.0" encoding="utf-8"?>
<sst xmlns="http://schemas.openxmlformats.org/spreadsheetml/2006/main" count="131" uniqueCount="74">
  <si>
    <t>New</t>
  </si>
  <si>
    <t>Actual</t>
  </si>
  <si>
    <t>Budget</t>
  </si>
  <si>
    <t>▲ Budget</t>
  </si>
  <si>
    <t>▲2023</t>
  </si>
  <si>
    <t>% ▲ Budget</t>
  </si>
  <si>
    <t>% ▲ 2023</t>
  </si>
  <si>
    <t>Commentaires</t>
  </si>
  <si>
    <t>Alt + Enter</t>
  </si>
  <si>
    <t>Units</t>
  </si>
  <si>
    <t>Front Margin</t>
  </si>
  <si>
    <t>Front margin / unit</t>
  </si>
  <si>
    <t>Budget neuf</t>
  </si>
  <si>
    <t>$ Salaires et commission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</si>
  <si>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</si>
  <si>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</si>
  <si>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</si>
  <si>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</si>
  <si>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</si>
  <si>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</si>
  <si>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</si>
  <si>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</si>
  <si>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</si>
  <si>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</si>
  <si>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</si>
  <si>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</si>
  <si>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% Salaires et commission</t>
  </si>
  <si>
    <t>Back Margin</t>
  </si>
  <si>
    <t>Back Margin / unit</t>
  </si>
  <si>
    <t>$ commission FI</t>
  </si>
  <si>
    <t>% commission FI</t>
  </si>
  <si>
    <t>Variable fees</t>
  </si>
  <si>
    <t>Variable fees / units</t>
  </si>
  <si>
    <t>Other Revenues</t>
  </si>
  <si>
    <t>Inventory</t>
  </si>
  <si>
    <t>$</t>
  </si>
  <si>
    <t>Used</t>
  </si>
  <si>
    <t>Budget usagé</t>
  </si>
  <si>
    <t>Service</t>
  </si>
  <si>
    <t>Revenus</t>
  </si>
  <si>
    <t>Gross margin</t>
  </si>
  <si>
    <t>$ Revenus / #WO client</t>
  </si>
  <si>
    <t>$ Revenus / #WO garantie</t>
  </si>
  <si>
    <t>Lost time</t>
  </si>
  <si>
    <t>Total salaries</t>
  </si>
  <si>
    <t>Salaries</t>
  </si>
  <si>
    <t>Fringes</t>
  </si>
  <si>
    <t>Total salaries / Revenus</t>
  </si>
  <si>
    <t>Frais véhicules de cie</t>
  </si>
  <si>
    <t>Pieces</t>
  </si>
  <si>
    <t>Clients</t>
  </si>
  <si>
    <t>Garantie</t>
  </si>
  <si>
    <t>Wholesale</t>
  </si>
  <si>
    <t>Tires</t>
  </si>
  <si>
    <t>All others</t>
  </si>
  <si>
    <t>Salaires autres</t>
  </si>
  <si>
    <t>Others</t>
  </si>
  <si>
    <t>Total salaries / Gross profits</t>
  </si>
  <si>
    <t xml:space="preserve"> - Semi-fixe : Dépréciatios démos et courtoisies supérieur au budget (2% vs 1.25% et + de véhicule) et Entreposage et frais bancaire plus élevé que pévu.
 - FP Intérêt : Inventaire neuf plus élevé que prévu</t>
  </si>
  <si>
    <t>Headcounts</t>
  </si>
  <si>
    <t>Marketing</t>
  </si>
  <si>
    <t>Other semi-fixed expenses</t>
  </si>
  <si>
    <t>Floor plan interest</t>
  </si>
  <si>
    <t>Others Revenues</t>
  </si>
  <si>
    <t>P&amp;L</t>
  </si>
  <si>
    <t>Selling and Marketing</t>
  </si>
  <si>
    <t>S&amp;M / Brut</t>
  </si>
  <si>
    <t>General &amp; administrative</t>
  </si>
  <si>
    <t>G&amp;A / Brut</t>
  </si>
  <si>
    <t>EBITDA</t>
  </si>
  <si>
    <t>EBITDA %</t>
  </si>
  <si>
    <t>EBIT</t>
  </si>
  <si>
    <t>EBIT %</t>
  </si>
  <si>
    <t>BMW Sherbrooke 2 pager Novembre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</si>
</sst>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* #,##0.00_)\ &quot;$&quot;_ ;_ * \(#,##0.00\)\ &quot;$&quot;_ ;_ * &quot;-&quot;??_)\ &quot;$&quot;_ ;_ @_ "/>
    <numFmt numFmtId="164" formatCode="&quot;$&quot;#,##0"/>
    <numFmt numFmtId="165" formatCode="_ * #,##0_)\ &quot;$&quot;_ ;_ * \(#,##0\)\ &quot;$&quot;_ ;_ * &quot;-&quot;??_)\ &quot;$&quot;_ ;_ @_ "/>
    <numFmt numFmtId="166" formatCode="0.0"/>
    <numFmt numFmtId="167" formatCode="0.0%"/>
  </numFmts>
  <fonts count="10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4" fontId="6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122">
    <xf numFmtId="0" fontId="0" fillId="0" borderId="0" xfId="0"/>
    <xf numFmtId="0" fontId="2" fillId="0" borderId="0" xfId="3"/>
    <xf numFmtId="0" fontId="4" fillId="0" borderId="1" xfId="3" applyFont="1" applyBorder="1" applyAlignment="1">
      <alignment horizontal="center"/>
    </xf>
    <xf numFmtId="0" fontId="5" fillId="0" borderId="0" xfId="3" applyFont="1"/>
    <xf numFmtId="0" fontId="2" fillId="0" borderId="0" xfId="3" applyAlignment="1">
      <alignment horizontal="center"/>
    </xf>
    <xf numFmtId="0" fontId="2" fillId="0" borderId="2" xfId="3" applyBorder="1"/>
    <xf numFmtId="0" fontId="3" fillId="2" borderId="3" xfId="3" applyFont="1" applyFill="1" applyBorder="1" applyAlignment="1">
      <alignment horizontal="center"/>
    </xf>
    <xf numFmtId="0" fontId="3" fillId="2" borderId="4" xfId="3" applyFont="1" applyFill="1" applyBorder="1" applyAlignment="1">
      <alignment horizontal="center"/>
    </xf>
    <xf numFmtId="0" fontId="3" fillId="2" borderId="5" xfId="3" applyFont="1" applyFill="1" applyBorder="1" applyAlignment="1">
      <alignment horizontal="center"/>
    </xf>
    <xf numFmtId="0" fontId="3" fillId="2" borderId="6" xfId="3" applyFont="1" applyFill="1" applyBorder="1" applyAlignment="1">
      <alignment horizontal="center"/>
    </xf>
    <xf numFmtId="0" fontId="3" fillId="2" borderId="7" xfId="3" applyFont="1" applyFill="1" applyBorder="1" applyAlignment="1">
      <alignment horizontal="center"/>
    </xf>
    <xf numFmtId="0" fontId="3" fillId="2" borderId="8" xfId="3" applyFont="1" applyFill="1" applyBorder="1" applyAlignment="1">
      <alignment horizontal="center"/>
    </xf>
    <xf numFmtId="0" fontId="3" fillId="0" borderId="8" xfId="3" applyFont="1" applyBorder="1"/>
    <xf numFmtId="37" fontId="3" fillId="0" borderId="9" xfId="3" applyNumberFormat="1" applyFont="1" applyBorder="1" applyAlignment="1">
      <alignment horizontal="center"/>
    </xf>
    <xf numFmtId="1" fontId="3" fillId="0" borderId="10" xfId="3" applyNumberFormat="1" applyFont="1" applyBorder="1" applyAlignment="1">
      <alignment horizontal="center"/>
    </xf>
    <xf numFmtId="1" fontId="3" fillId="0" borderId="11" xfId="3" applyNumberFormat="1" applyFont="1" applyBorder="1" applyAlignment="1">
      <alignment horizontal="center"/>
    </xf>
    <xf numFmtId="9" fontId="3" fillId="3" borderId="10" xfId="4" applyFont="1" applyFill="1" applyBorder="1" applyAlignment="1">
      <alignment horizontal="center"/>
    </xf>
    <xf numFmtId="9" fontId="3" fillId="3" borderId="12" xfId="4" applyFont="1" applyFill="1" applyBorder="1" applyAlignment="1">
      <alignment horizontal="center"/>
    </xf>
    <xf numFmtId="0" fontId="7" fillId="4" borderId="8" xfId="0" applyFont="1" applyFill="1" applyBorder="1" applyAlignment="1">
      <alignment vertical="center" wrapText="1"/>
    </xf>
    <xf numFmtId="0" fontId="2" fillId="0" borderId="13" xfId="3" applyBorder="1"/>
    <xf numFmtId="164" fontId="1" fillId="0" borderId="14" xfId="3" applyNumberFormat="1" applyFont="1" applyBorder="1" applyAlignment="1">
      <alignment horizontal="center"/>
    </xf>
    <xf numFmtId="164" fontId="1" fillId="0" borderId="15" xfId="3" applyNumberFormat="1" applyFont="1" applyBorder="1" applyAlignment="1">
      <alignment horizontal="center"/>
    </xf>
    <xf numFmtId="164" fontId="1" fillId="0" borderId="2" xfId="3" applyNumberFormat="1" applyFont="1" applyBorder="1" applyAlignment="1">
      <alignment horizontal="center"/>
    </xf>
    <xf numFmtId="9" fontId="1" fillId="0" borderId="15" xfId="4" applyFont="1" applyFill="1" applyBorder="1" applyAlignment="1">
      <alignment horizontal="center"/>
    </xf>
    <xf numFmtId="9" fontId="1" fillId="0" borderId="16" xfId="4" applyFont="1" applyFill="1" applyBorder="1" applyAlignment="1">
      <alignment horizontal="center"/>
    </xf>
    <xf numFmtId="0" fontId="7" fillId="4" borderId="13" xfId="0" applyFont="1" applyFill="1" applyBorder="1" applyAlignment="1">
      <alignment vertical="center" wrapText="1"/>
    </xf>
    <xf numFmtId="9" fontId="1" fillId="3" borderId="15" xfId="4" applyFont="1" applyFill="1" applyBorder="1" applyAlignment="1">
      <alignment horizontal="center"/>
    </xf>
    <xf numFmtId="9" fontId="1" fillId="3" borderId="16" xfId="4" applyFont="1" applyFill="1" applyBorder="1" applyAlignment="1">
      <alignment horizontal="center"/>
    </xf>
    <xf numFmtId="0" fontId="5" fillId="0" borderId="0" xfId="3" applyFont="1" applyAlignment="1">
      <alignment horizontal="center"/>
    </xf>
    <xf numFmtId="9" fontId="1" fillId="0" borderId="14" xfId="4" applyFont="1" applyFill="1" applyBorder="1" applyAlignment="1">
      <alignment horizontal="center"/>
    </xf>
    <xf numFmtId="9" fontId="1" fillId="0" borderId="15" xfId="4" applyFont="1" applyBorder="1" applyAlignment="1">
      <alignment horizontal="center"/>
    </xf>
    <xf numFmtId="9" fontId="1" fillId="0" borderId="17" xfId="4" applyFont="1" applyBorder="1" applyAlignment="1">
      <alignment horizontal="center"/>
    </xf>
    <xf numFmtId="165" fontId="5" fillId="0" borderId="0" xfId="1" applyNumberFormat="1" applyFont="1" applyBorder="1"/>
    <xf numFmtId="9" fontId="1" fillId="0" borderId="2" xfId="4" applyFont="1" applyBorder="1" applyAlignment="1">
      <alignment horizontal="center"/>
    </xf>
    <xf numFmtId="0" fontId="3" fillId="0" borderId="18" xfId="3" applyFont="1" applyBorder="1"/>
    <xf numFmtId="0" fontId="1" fillId="0" borderId="19" xfId="3" applyFont="1" applyBorder="1"/>
    <xf numFmtId="164" fontId="1" fillId="0" borderId="20" xfId="3" applyNumberFormat="1" applyFont="1" applyBorder="1" applyAlignment="1">
      <alignment horizontal="center"/>
    </xf>
    <xf numFmtId="164" fontId="1" fillId="0" borderId="21" xfId="3" applyNumberFormat="1" applyFont="1" applyBorder="1" applyAlignment="1">
      <alignment horizontal="center"/>
    </xf>
    <xf numFmtId="9" fontId="1" fillId="0" borderId="20" xfId="4" applyFont="1" applyFill="1" applyBorder="1" applyAlignment="1">
      <alignment horizontal="center"/>
    </xf>
    <xf numFmtId="9" fontId="1" fillId="0" borderId="22" xfId="4" applyFont="1" applyFill="1" applyBorder="1" applyAlignment="1">
      <alignment horizontal="center"/>
    </xf>
    <xf numFmtId="0" fontId="2" fillId="5" borderId="13" xfId="3" applyFill="1" applyBorder="1" applyAlignment="1">
      <alignment horizontal="left" indent="1"/>
    </xf>
    <xf numFmtId="37" fontId="1" fillId="5" borderId="13" xfId="3" applyNumberFormat="1" applyFont="1" applyFill="1" applyBorder="1" applyAlignment="1">
      <alignment horizontal="center"/>
    </xf>
    <xf numFmtId="37" fontId="1" fillId="5" borderId="23" xfId="3" applyNumberFormat="1" applyFont="1" applyFill="1" applyBorder="1" applyAlignment="1">
      <alignment horizontal="center"/>
    </xf>
    <xf numFmtId="1" fontId="1" fillId="0" borderId="15" xfId="3" applyNumberFormat="1" applyFont="1" applyBorder="1" applyAlignment="1">
      <alignment horizontal="center"/>
    </xf>
    <xf numFmtId="1" fontId="1" fillId="0" borderId="2" xfId="3" applyNumberFormat="1" applyFont="1" applyBorder="1" applyAlignment="1">
      <alignment horizontal="center"/>
    </xf>
    <xf numFmtId="9" fontId="1" fillId="0" borderId="16" xfId="4" applyFont="1" applyBorder="1" applyAlignment="1">
      <alignment horizontal="center"/>
    </xf>
    <xf numFmtId="0" fontId="1" fillId="5" borderId="24" xfId="3" applyFont="1" applyFill="1" applyBorder="1" applyAlignment="1">
      <alignment horizontal="left" indent="1"/>
    </xf>
    <xf numFmtId="164" fontId="1" fillId="5" borderId="25" xfId="3" applyNumberFormat="1" applyFont="1" applyFill="1" applyBorder="1" applyAlignment="1">
      <alignment horizontal="center"/>
    </xf>
    <xf numFmtId="164" fontId="1" fillId="0" borderId="26" xfId="3" applyNumberFormat="1" applyFont="1" applyBorder="1" applyAlignment="1">
      <alignment horizontal="center"/>
    </xf>
    <xf numFmtId="164" fontId="1" fillId="0" borderId="27" xfId="3" applyNumberFormat="1" applyFont="1" applyBorder="1" applyAlignment="1">
      <alignment horizontal="center"/>
    </xf>
    <xf numFmtId="9" fontId="1" fillId="0" borderId="26" xfId="4" applyFont="1" applyBorder="1" applyAlignment="1">
      <alignment horizontal="center"/>
    </xf>
    <xf numFmtId="9" fontId="1" fillId="0" borderId="28" xfId="4" applyFont="1" applyBorder="1" applyAlignment="1">
      <alignment horizontal="center"/>
    </xf>
    <xf numFmtId="0" fontId="7" fillId="4" borderId="24" xfId="0" applyFont="1" applyFill="1" applyBorder="1" applyAlignment="1">
      <alignment vertical="center" wrapText="1"/>
    </xf>
    <xf numFmtId="0" fontId="1" fillId="0" borderId="0" xfId="3" applyFont="1"/>
    <xf numFmtId="0" fontId="3" fillId="6" borderId="3" xfId="3" applyFont="1" applyFill="1" applyBorder="1" applyAlignment="1">
      <alignment horizontal="center"/>
    </xf>
    <xf numFmtId="0" fontId="3" fillId="6" borderId="4" xfId="3" applyFont="1" applyFill="1" applyBorder="1" applyAlignment="1">
      <alignment horizontal="center"/>
    </xf>
    <xf numFmtId="0" fontId="3" fillId="6" borderId="5" xfId="3" applyFont="1" applyFill="1" applyBorder="1" applyAlignment="1">
      <alignment horizontal="center"/>
    </xf>
    <xf numFmtId="0" fontId="3" fillId="6" borderId="7" xfId="3" applyFont="1" applyFill="1" applyBorder="1" applyAlignment="1">
      <alignment horizontal="center"/>
    </xf>
    <xf numFmtId="0" fontId="3" fillId="6" borderId="8" xfId="3" applyFont="1" applyFill="1" applyBorder="1" applyAlignment="1">
      <alignment horizontal="center"/>
    </xf>
    <xf numFmtId="0" fontId="3" fillId="0" borderId="13" xfId="3" applyFont="1" applyBorder="1"/>
    <xf numFmtId="37" fontId="3" fillId="0" borderId="14" xfId="3" applyNumberFormat="1" applyFont="1" applyBorder="1" applyAlignment="1">
      <alignment horizontal="center"/>
    </xf>
    <xf numFmtId="1" fontId="3" fillId="0" borderId="15" xfId="3" applyNumberFormat="1" applyFont="1" applyBorder="1" applyAlignment="1">
      <alignment horizontal="center"/>
    </xf>
    <xf numFmtId="1" fontId="3" fillId="0" borderId="2" xfId="3" applyNumberFormat="1" applyFont="1" applyBorder="1" applyAlignment="1">
      <alignment horizontal="center"/>
    </xf>
    <xf numFmtId="9" fontId="1" fillId="0" borderId="20" xfId="4" applyFont="1" applyBorder="1" applyAlignment="1">
      <alignment horizontal="center"/>
    </xf>
    <xf numFmtId="9" fontId="1" fillId="0" borderId="22" xfId="4" applyFont="1" applyBorder="1" applyAlignment="1">
      <alignment horizontal="center"/>
    </xf>
    <xf numFmtId="0" fontId="3" fillId="7" borderId="3" xfId="3" applyFont="1" applyFill="1" applyBorder="1" applyAlignment="1">
      <alignment horizontal="center"/>
    </xf>
    <xf numFmtId="0" fontId="3" fillId="7" borderId="4" xfId="3" applyFont="1" applyFill="1" applyBorder="1" applyAlignment="1">
      <alignment horizontal="center"/>
    </xf>
    <xf numFmtId="0" fontId="3" fillId="7" borderId="5" xfId="3" applyFont="1" applyFill="1" applyBorder="1" applyAlignment="1">
      <alignment horizontal="center"/>
    </xf>
    <xf numFmtId="0" fontId="3" fillId="7" borderId="7" xfId="3" applyFont="1" applyFill="1" applyBorder="1" applyAlignment="1">
      <alignment horizontal="center"/>
    </xf>
    <xf numFmtId="0" fontId="3" fillId="7" borderId="8" xfId="3" applyFont="1" applyFill="1" applyBorder="1" applyAlignment="1">
      <alignment horizontal="center"/>
    </xf>
    <xf numFmtId="164" fontId="3" fillId="0" borderId="14" xfId="3" applyNumberFormat="1" applyFont="1" applyBorder="1" applyAlignment="1">
      <alignment horizontal="center"/>
    </xf>
    <xf numFmtId="164" fontId="3" fillId="0" borderId="15" xfId="3" applyNumberFormat="1" applyFont="1" applyBorder="1" applyAlignment="1">
      <alignment horizontal="center"/>
    </xf>
    <xf numFmtId="164" fontId="3" fillId="0" borderId="2" xfId="3" applyNumberFormat="1" applyFont="1" applyBorder="1" applyAlignment="1">
      <alignment horizontal="center"/>
    </xf>
    <xf numFmtId="9" fontId="3" fillId="3" borderId="15" xfId="4" applyFont="1" applyFill="1" applyBorder="1" applyAlignment="1">
      <alignment horizontal="center"/>
    </xf>
    <xf numFmtId="9" fontId="3" fillId="3" borderId="16" xfId="4" applyFont="1" applyFill="1" applyBorder="1" applyAlignment="1">
      <alignment horizontal="center"/>
    </xf>
    <xf numFmtId="164" fontId="1" fillId="5" borderId="14" xfId="3" applyNumberFormat="1" applyFont="1" applyFill="1" applyBorder="1" applyAlignment="1">
      <alignment horizontal="center"/>
    </xf>
    <xf numFmtId="164" fontId="1" fillId="0" borderId="14" xfId="4" applyNumberFormat="1" applyFont="1" applyFill="1" applyBorder="1" applyAlignment="1">
      <alignment horizontal="center"/>
    </xf>
    <xf numFmtId="0" fontId="2" fillId="0" borderId="13" xfId="3" applyBorder="1" applyAlignment="1">
      <alignment horizontal="left" indent="1"/>
    </xf>
    <xf numFmtId="9" fontId="1" fillId="0" borderId="14" xfId="2" applyFont="1" applyFill="1" applyBorder="1" applyAlignment="1">
      <alignment horizontal="center"/>
    </xf>
    <xf numFmtId="0" fontId="2" fillId="0" borderId="24" xfId="3" applyBorder="1"/>
    <xf numFmtId="164" fontId="1" fillId="0" borderId="25" xfId="3" applyNumberFormat="1" applyFont="1" applyBorder="1" applyAlignment="1">
      <alignment horizontal="center"/>
    </xf>
    <xf numFmtId="9" fontId="1" fillId="0" borderId="26" xfId="4" applyFont="1" applyFill="1" applyBorder="1" applyAlignment="1">
      <alignment horizontal="center"/>
    </xf>
    <xf numFmtId="0" fontId="3" fillId="8" borderId="3" xfId="3" applyFont="1" applyFill="1" applyBorder="1" applyAlignment="1">
      <alignment horizontal="center"/>
    </xf>
    <xf numFmtId="0" fontId="3" fillId="8" borderId="4" xfId="3" applyFont="1" applyFill="1" applyBorder="1" applyAlignment="1">
      <alignment horizontal="center"/>
    </xf>
    <xf numFmtId="0" fontId="3" fillId="8" borderId="5" xfId="3" applyFont="1" applyFill="1" applyBorder="1" applyAlignment="1">
      <alignment horizontal="center"/>
    </xf>
    <xf numFmtId="0" fontId="3" fillId="8" borderId="7" xfId="3" applyFont="1" applyFill="1" applyBorder="1" applyAlignment="1">
      <alignment horizontal="center"/>
    </xf>
    <xf numFmtId="0" fontId="3" fillId="8" borderId="8" xfId="3" applyFont="1" applyFill="1" applyBorder="1" applyAlignment="1">
      <alignment horizontal="center"/>
    </xf>
    <xf numFmtId="0" fontId="3" fillId="0" borderId="13" xfId="3" applyFont="1" applyBorder="1" applyAlignment="1">
      <alignment horizontal="left"/>
    </xf>
    <xf numFmtId="0" fontId="1" fillId="0" borderId="13" xfId="3" applyFont="1" applyBorder="1" applyAlignment="1">
      <alignment horizontal="left" indent="1"/>
    </xf>
    <xf numFmtId="0" fontId="9" fillId="0" borderId="0" xfId="3" applyFont="1"/>
    <xf numFmtId="9" fontId="1" fillId="0" borderId="28" xfId="4" applyFont="1" applyFill="1" applyBorder="1" applyAlignment="1">
      <alignment horizontal="center"/>
    </xf>
    <xf numFmtId="0" fontId="3" fillId="9" borderId="3" xfId="3" applyFont="1" applyFill="1" applyBorder="1" applyAlignment="1">
      <alignment horizontal="center"/>
    </xf>
    <xf numFmtId="0" fontId="3" fillId="9" borderId="4" xfId="3" applyFont="1" applyFill="1" applyBorder="1" applyAlignment="1">
      <alignment horizontal="center"/>
    </xf>
    <xf numFmtId="0" fontId="3" fillId="9" borderId="5" xfId="3" applyFont="1" applyFill="1" applyBorder="1" applyAlignment="1">
      <alignment horizontal="center"/>
    </xf>
    <xf numFmtId="0" fontId="3" fillId="9" borderId="7" xfId="3" applyFont="1" applyFill="1" applyBorder="1" applyAlignment="1">
      <alignment horizontal="center"/>
    </xf>
    <xf numFmtId="0" fontId="3" fillId="9" borderId="8" xfId="3" applyFont="1" applyFill="1" applyBorder="1" applyAlignment="1">
      <alignment horizontal="center"/>
    </xf>
    <xf numFmtId="0" fontId="1" fillId="0" borderId="13" xfId="3" applyFont="1" applyBorder="1" applyAlignment="1">
      <alignment horizontal="left"/>
    </xf>
    <xf numFmtId="9" fontId="1" fillId="0" borderId="14" xfId="2" applyFont="1" applyBorder="1" applyAlignment="1">
      <alignment horizontal="center"/>
    </xf>
    <xf numFmtId="0" fontId="1" fillId="5" borderId="13" xfId="3" applyFont="1" applyFill="1" applyBorder="1" applyAlignment="1">
      <alignment horizontal="left"/>
    </xf>
    <xf numFmtId="166" fontId="1" fillId="5" borderId="14" xfId="3" applyNumberFormat="1" applyFont="1" applyFill="1" applyBorder="1" applyAlignment="1">
      <alignment horizontal="center"/>
    </xf>
    <xf numFmtId="166" fontId="1" fillId="0" borderId="15" xfId="3" applyNumberFormat="1" applyFont="1" applyBorder="1" applyAlignment="1">
      <alignment horizontal="center"/>
    </xf>
    <xf numFmtId="166" fontId="1" fillId="0" borderId="2" xfId="3" applyNumberFormat="1" applyFont="1" applyBorder="1" applyAlignment="1">
      <alignment horizontal="center"/>
    </xf>
    <xf numFmtId="0" fontId="1" fillId="0" borderId="24" xfId="3" applyFont="1" applyBorder="1" applyAlignment="1">
      <alignment horizontal="left"/>
    </xf>
    <xf numFmtId="0" fontId="3" fillId="10" borderId="3" xfId="3" applyFont="1" applyFill="1" applyBorder="1" applyAlignment="1">
      <alignment horizontal="center"/>
    </xf>
    <xf numFmtId="0" fontId="3" fillId="10" borderId="4" xfId="3" applyFont="1" applyFill="1" applyBorder="1" applyAlignment="1">
      <alignment horizontal="center"/>
    </xf>
    <xf numFmtId="0" fontId="3" fillId="10" borderId="5" xfId="3" applyFont="1" applyFill="1" applyBorder="1" applyAlignment="1">
      <alignment horizontal="center"/>
    </xf>
    <xf numFmtId="0" fontId="3" fillId="10" borderId="7" xfId="3" applyFont="1" applyFill="1" applyBorder="1" applyAlignment="1">
      <alignment horizontal="center"/>
    </xf>
    <xf numFmtId="0" fontId="3" fillId="10" borderId="8" xfId="3" applyFont="1" applyFill="1" applyBorder="1" applyAlignment="1">
      <alignment horizontal="center"/>
    </xf>
    <xf numFmtId="0" fontId="2" fillId="0" borderId="13" xfId="3" applyBorder="1" applyAlignment="1">
      <alignment horizontal="left"/>
    </xf>
    <xf numFmtId="164" fontId="1" fillId="0" borderId="14" xfId="2" applyNumberFormat="1" applyFont="1" applyBorder="1" applyAlignment="1">
      <alignment horizontal="center"/>
    </xf>
    <xf numFmtId="164" fontId="2" fillId="0" borderId="10" xfId="3" applyNumberFormat="1" applyBorder="1" applyAlignment="1">
      <alignment horizontal="center"/>
    </xf>
    <xf numFmtId="164" fontId="2" fillId="0" borderId="11" xfId="3" applyNumberFormat="1" applyBorder="1" applyAlignment="1">
      <alignment horizontal="center"/>
    </xf>
    <xf numFmtId="164" fontId="2" fillId="0" borderId="15" xfId="3" applyNumberFormat="1" applyBorder="1" applyAlignment="1">
      <alignment horizontal="center"/>
    </xf>
    <xf numFmtId="164" fontId="2" fillId="0" borderId="2" xfId="3" applyNumberFormat="1" applyBorder="1" applyAlignment="1">
      <alignment horizontal="center"/>
    </xf>
    <xf numFmtId="0" fontId="3" fillId="0" borderId="0" xfId="3" applyFont="1"/>
    <xf numFmtId="167" fontId="1" fillId="0" borderId="14" xfId="2" applyNumberFormat="1" applyFont="1" applyBorder="1" applyAlignment="1">
      <alignment horizontal="center"/>
    </xf>
    <xf numFmtId="167" fontId="1" fillId="0" borderId="15" xfId="4" applyNumberFormat="1" applyFont="1" applyBorder="1" applyAlignment="1">
      <alignment horizontal="center"/>
    </xf>
    <xf numFmtId="167" fontId="1" fillId="0" borderId="17" xfId="4" applyNumberFormat="1" applyFont="1" applyBorder="1" applyAlignment="1">
      <alignment horizontal="center"/>
    </xf>
    <xf numFmtId="0" fontId="2" fillId="0" borderId="24" xfId="3" applyBorder="1" applyAlignment="1">
      <alignment horizontal="left"/>
    </xf>
    <xf numFmtId="167" fontId="1" fillId="0" borderId="25" xfId="2" applyNumberFormat="1" applyFont="1" applyBorder="1" applyAlignment="1">
      <alignment horizontal="center"/>
    </xf>
    <xf numFmtId="167" fontId="1" fillId="0" borderId="26" xfId="4" applyNumberFormat="1" applyFont="1" applyBorder="1" applyAlignment="1">
      <alignment horizontal="center"/>
    </xf>
    <xf numFmtId="167" fontId="1" fillId="0" borderId="29" xfId="4" applyNumberFormat="1" applyFont="1" applyBorder="1" applyAlignment="1">
      <alignment horizontal="center"/>
    </xf>
  </cellXfs>
  <cellStyles count="5">
    <cellStyle name="Monétaire" xfId="1" builtinId="4"/>
    <cellStyle name="Normal" xfId="0" builtinId="0"/>
    <cellStyle name="Normal 3" xfId="3" xr:uid="{77328057-C795-4E09-96EC-8D63D8B9AA22}"/>
    <cellStyle name="Pourcentage" xfId="2" builtinId="5"/>
    <cellStyle name="Pourcentage 2" xfId="4" xr:uid="{E394EE1C-590E-41F9-AAB5-62FE40E1F9BB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D5E12-A62A-429B-A7A1-39FDA31CB510}">
  <sheetPr>
    <tabColor rgb="FFFF0000"/>
    <pageSetUpPr fitToPage="1"/>
  </sheetPr>
  <dimension ref="A1:Y77"/>
  <sheetViews>
    <sheetView tabSelected="1" topLeftCell="A10" zoomScale="110" zoomScaleNormal="110" workbookViewId="0">
      <selection activeCell="J70" sqref="J70:J77"/>
    </sheetView>
  </sheetViews>
  <sheetFormatPr baseColWidth="10" defaultColWidth="11" defaultRowHeight="14.4" x14ac:dyDescent="0.3"/>
  <cols>
    <col min="1" max="1" width="2.19921875" style="1" customWidth="1"/>
    <col min="2" max="2" width="23.19921875" style="1" customWidth="1"/>
    <col min="3" max="9" width="11.69921875" style="1" customWidth="1"/>
    <col min="10" max="10" width="58.8984375" style="1" customWidth="1"/>
    <col min="11" max="13" width="3.09765625" style="1" customWidth="1"/>
    <col min="14" max="25" width="10.59765625" style="3" bestFit="1" customWidth="1"/>
    <col min="26" max="16384" width="11" style="1"/>
  </cols>
  <sheetData>
    <row r="1" spans="1:25" ht="15.6" x14ac:dyDescent="0.3">
      <c r="B1" s="2" t="s">
        <v>73</v>
      </c>
      <c r="C1" s="2"/>
      <c r="D1" s="2"/>
      <c r="E1" s="2"/>
      <c r="F1" s="2"/>
      <c r="G1" s="2"/>
      <c r="H1" s="2"/>
      <c r="I1" s="2"/>
      <c r="J1" s="2"/>
    </row>
    <row r="2" spans="1:25" x14ac:dyDescent="0.3">
      <c r="B2" s="4"/>
    </row>
    <row r="3" spans="1:25" x14ac:dyDescent="0.3">
      <c r="A3" s="5"/>
      <c r="B3" s="6" t="s">
        <v>0</v>
      </c>
      <c r="C3" s="7" t="s">
        <v>1</v>
      </c>
      <c r="D3" s="8" t="s">
        <v>2</v>
      </c>
      <c r="E3" s="9">
        <v>2023</v>
      </c>
      <c r="F3" s="8" t="s">
        <v>3</v>
      </c>
      <c r="G3" s="10" t="s">
        <v>4</v>
      </c>
      <c r="H3" s="8" t="s">
        <v>5</v>
      </c>
      <c r="I3" s="10" t="s">
        <v>6</v>
      </c>
      <c r="J3" s="11" t="s">
        <v>7</v>
      </c>
      <c r="N3" s="3" t="s">
        <v>8</v>
      </c>
    </row>
    <row r="4" spans="1:25" ht="15" customHeight="1" x14ac:dyDescent="0.3">
      <c r="A4" s="5"/>
      <c r="B4" s="12" t="s">
        <v>9</v>
      </c>
      <c r="C4" s="13">
        <v>35</v>
      </c>
      <c r="D4" s="13">
        <v>20</v>
      </c>
      <c r="E4" s="13">
        <v>22</v>
      </c>
      <c r="F4" s="14">
        <f t="shared" ref="F4:G15" si="0">+IFERROR($C4-D4,"")</f>
        <v>15</v>
      </c>
      <c r="G4" s="15">
        <f t="shared" si="0"/>
        <v>13</v>
      </c>
      <c r="H4" s="16">
        <f t="shared" ref="H4:H15" si="1">+IFERROR(F4/ABS($D4),"")</f>
        <v>0.75</v>
      </c>
      <c r="I4" s="17">
        <f t="shared" ref="I4:I14" si="2">+IFERROR(G4/ABS($E4),"")</f>
        <v>0.59090909090909094</v>
      </c>
      <c r="J4" s="18"/>
    </row>
    <row r="5" spans="1:25" x14ac:dyDescent="0.3">
      <c r="A5" s="5"/>
      <c r="B5" s="19" t="s">
        <v>10</v>
      </c>
      <c r="C5" s="20">
        <v>117658.11999999997</v>
      </c>
      <c r="D5" s="20">
        <v>100506.71572234486</v>
      </c>
      <c r="E5" s="20">
        <v>106473.1400000001</v>
      </c>
      <c r="F5" s="21">
        <f t="shared" si="0"/>
        <v>17151.404277655107</v>
      </c>
      <c r="G5" s="22">
        <f t="shared" si="0"/>
        <v>11184.979999999865</v>
      </c>
      <c r="H5" s="23">
        <f t="shared" si="1"/>
        <v>0.17064933576216709</v>
      </c>
      <c r="I5" s="24">
        <f t="shared" si="2"/>
        <v>0.10504978063011812</v>
      </c>
      <c r="J5" s="25"/>
    </row>
    <row r="6" spans="1:25" x14ac:dyDescent="0.3">
      <c r="A6" s="5"/>
      <c r="B6" s="19" t="s">
        <v>11</v>
      </c>
      <c r="C6" s="20">
        <f>+C5/C4</f>
        <v>3361.6605714285706</v>
      </c>
      <c r="D6" s="20">
        <f>+D5/D4</f>
        <v>5025.3357861172426</v>
      </c>
      <c r="E6" s="20">
        <f>+E5/E4</f>
        <v>4839.6881818181864</v>
      </c>
      <c r="F6" s="21">
        <f t="shared" si="0"/>
        <v>-1663.675214688672</v>
      </c>
      <c r="G6" s="22">
        <f t="shared" si="0"/>
        <v>-1478.0276103896158</v>
      </c>
      <c r="H6" s="26">
        <f>+IFERROR(F6/ABS($D6),"")</f>
        <v>-0.33105752242161873</v>
      </c>
      <c r="I6" s="27">
        <f t="shared" si="2"/>
        <v>-0.30539728074678285</v>
      </c>
      <c r="J6" s="25"/>
      <c r="N6" s="3" t="s">
        <v>12</v>
      </c>
    </row>
    <row r="7" spans="1:25" x14ac:dyDescent="0.3">
      <c r="A7" s="5"/>
      <c r="B7" s="19" t="s">
        <v>13</v>
      </c>
      <c r="C7" s="20">
        <v>46209.36</v>
      </c>
      <c r="D7" s="20">
        <v>29833.653976383535</v>
      </c>
      <c r="E7" s="20">
        <v>32886.480000000003</v>
      </c>
      <c r="F7" s="21">
        <f t="shared" si="0"/>
        <v>16375.706023616465</v>
      </c>
      <c r="G7" s="22">
        <f t="shared" si="0"/>
        <v>13322.879999999997</v>
      </c>
      <c r="H7" s="23">
        <f t="shared" si="1"/>
        <v>0.54890044768165347</v>
      </c>
      <c r="I7" s="24">
        <f t="shared" si="2"/>
        <v>0.40511723966809449</v>
      </c>
      <c r="J7" s="25"/>
      <c r="N7" s="28" t="s">
        <v>14</v>
      </c>
      <c r="O7" s="28" t="s">
        <v>15</v>
      </c>
      <c r="P7" s="28" t="s">
        <v>16</v>
      </c>
      <c r="Q7" s="28" t="s">
        <v>17</v>
      </c>
      <c r="R7" s="28" t="s">
        <v>18</v>
      </c>
      <c r="S7" s="28" t="s">
        <v>19</v>
      </c>
      <c r="T7" s="28" t="s">
        <v>20</v>
      </c>
      <c r="U7" s="28" t="s">
        <v>21</v>
      </c>
      <c r="V7" s="28" t="s">
        <v>22</v>
      </c>
      <c r="W7" s="28" t="s">
        <v>23</v>
      </c>
      <c r="X7" s="28" t="s">
        <v>24</v>
      </c>
      <c r="Y7" s="28" t="s">
        <v>25</v>
      </c>
    </row>
    <row r="8" spans="1:25" x14ac:dyDescent="0.3">
      <c r="A8" s="5"/>
      <c r="B8" s="19" t="s">
        <v>26</v>
      </c>
      <c r="C8" s="29">
        <f>+C7/C5</f>
        <v>0.39274263433751971</v>
      </c>
      <c r="D8" s="29">
        <f>+D7/D5</f>
        <v>0.29683244310559892</v>
      </c>
      <c r="E8" s="29">
        <f>+E7/E5</f>
        <v>0.30887113876795569</v>
      </c>
      <c r="F8" s="30">
        <f t="shared" si="0"/>
        <v>9.5910191231920794E-2</v>
      </c>
      <c r="G8" s="31">
        <f t="shared" si="0"/>
        <v>8.3871495569564025E-2</v>
      </c>
      <c r="H8" s="23">
        <f t="shared" si="1"/>
        <v>0.32311222529607553</v>
      </c>
      <c r="I8" s="24">
        <f>+IFERROR(G8/ABS($E8),"")</f>
        <v>0.27154202851103487</v>
      </c>
      <c r="J8" s="25"/>
      <c r="N8" s="28">
        <v>49</v>
      </c>
      <c r="O8" s="28">
        <v>68</v>
      </c>
      <c r="P8" s="28">
        <v>70</v>
      </c>
      <c r="Q8" s="28">
        <v>67</v>
      </c>
      <c r="R8" s="28">
        <v>59</v>
      </c>
      <c r="S8" s="28">
        <v>55</v>
      </c>
      <c r="T8" s="28">
        <v>59</v>
      </c>
      <c r="U8" s="28">
        <v>64</v>
      </c>
      <c r="V8" s="28">
        <v>56</v>
      </c>
      <c r="W8" s="28">
        <v>57</v>
      </c>
      <c r="X8" s="28">
        <v>53</v>
      </c>
      <c r="Y8" s="28">
        <v>47</v>
      </c>
    </row>
    <row r="9" spans="1:25" x14ac:dyDescent="0.3">
      <c r="A9" s="5"/>
      <c r="B9" s="19" t="s">
        <v>27</v>
      </c>
      <c r="C9" s="20">
        <v>66561.34</v>
      </c>
      <c r="D9" s="20">
        <v>32000</v>
      </c>
      <c r="E9" s="20">
        <v>32977.15</v>
      </c>
      <c r="F9" s="21">
        <f t="shared" si="0"/>
        <v>34561.339999999997</v>
      </c>
      <c r="G9" s="22">
        <f t="shared" si="0"/>
        <v>33584.189999999995</v>
      </c>
      <c r="H9" s="23">
        <f t="shared" si="1"/>
        <v>1.0800418749999998</v>
      </c>
      <c r="I9" s="24">
        <f t="shared" si="2"/>
        <v>1.0184078975896944</v>
      </c>
      <c r="J9" s="25"/>
      <c r="N9" s="32">
        <v>3831906.6692307699</v>
      </c>
      <c r="O9" s="32">
        <v>5317748.0307692327</v>
      </c>
      <c r="P9" s="32">
        <v>5474152.3846153859</v>
      </c>
      <c r="Q9" s="32">
        <v>5239545.8538461551</v>
      </c>
      <c r="R9" s="32">
        <v>4613928.4384615403</v>
      </c>
      <c r="S9" s="32">
        <v>4301119.7307692319</v>
      </c>
      <c r="T9" s="32">
        <v>4613928.4384615403</v>
      </c>
      <c r="U9" s="32">
        <v>5004939.3230769243</v>
      </c>
      <c r="V9" s="32">
        <v>4379321.9076923095</v>
      </c>
      <c r="W9" s="32">
        <v>4457524.0846153852</v>
      </c>
      <c r="X9" s="32">
        <v>4144715.3769230777</v>
      </c>
      <c r="Y9" s="32">
        <v>3675502.3153846157</v>
      </c>
    </row>
    <row r="10" spans="1:25" x14ac:dyDescent="0.3">
      <c r="A10" s="5"/>
      <c r="B10" s="19" t="s">
        <v>28</v>
      </c>
      <c r="C10" s="20">
        <f>+C9/C4</f>
        <v>1901.7525714285714</v>
      </c>
      <c r="D10" s="20">
        <f>+D9/D4</f>
        <v>1600</v>
      </c>
      <c r="E10" s="20">
        <f>+E9/E4</f>
        <v>1498.9613636363638</v>
      </c>
      <c r="F10" s="21">
        <f t="shared" si="0"/>
        <v>301.7525714285714</v>
      </c>
      <c r="G10" s="22">
        <f t="shared" si="0"/>
        <v>402.79120779220762</v>
      </c>
      <c r="H10" s="26">
        <f t="shared" si="1"/>
        <v>0.18859535714285713</v>
      </c>
      <c r="I10" s="27">
        <f t="shared" si="2"/>
        <v>0.26871353562780792</v>
      </c>
      <c r="J10" s="25"/>
    </row>
    <row r="11" spans="1:25" x14ac:dyDescent="0.3">
      <c r="A11" s="5"/>
      <c r="B11" s="19" t="s">
        <v>29</v>
      </c>
      <c r="C11" s="20">
        <v>28042.12</v>
      </c>
      <c r="D11" s="20">
        <v>8000</v>
      </c>
      <c r="E11" s="20">
        <v>8369.2900000000009</v>
      </c>
      <c r="F11" s="21">
        <f t="shared" si="0"/>
        <v>20042.12</v>
      </c>
      <c r="G11" s="22">
        <f t="shared" si="0"/>
        <v>19672.829999999998</v>
      </c>
      <c r="H11" s="23">
        <f t="shared" si="1"/>
        <v>2.5052650000000001</v>
      </c>
      <c r="I11" s="24">
        <f t="shared" si="2"/>
        <v>2.3505972430158346</v>
      </c>
      <c r="J11" s="25"/>
    </row>
    <row r="12" spans="1:25" x14ac:dyDescent="0.3">
      <c r="A12" s="5"/>
      <c r="B12" s="19" t="s">
        <v>30</v>
      </c>
      <c r="C12" s="29">
        <f>+C11/C9</f>
        <v>0.421297407774543</v>
      </c>
      <c r="D12" s="29">
        <f>+D11/D9</f>
        <v>0.25</v>
      </c>
      <c r="E12" s="29">
        <f>+E11/E9</f>
        <v>0.25379057923440929</v>
      </c>
      <c r="F12" s="30">
        <f t="shared" si="0"/>
        <v>0.171297407774543</v>
      </c>
      <c r="G12" s="33">
        <f t="shared" si="0"/>
        <v>0.16750682854013371</v>
      </c>
      <c r="H12" s="23">
        <f t="shared" si="1"/>
        <v>0.68518963109817199</v>
      </c>
      <c r="I12" s="24">
        <f t="shared" si="2"/>
        <v>0.66001988350173912</v>
      </c>
      <c r="J12" s="25"/>
    </row>
    <row r="13" spans="1:25" x14ac:dyDescent="0.3">
      <c r="A13" s="5"/>
      <c r="B13" s="19" t="s">
        <v>31</v>
      </c>
      <c r="C13" s="20">
        <v>52975.560000000012</v>
      </c>
      <c r="D13" s="20">
        <v>38460.74333228248</v>
      </c>
      <c r="E13" s="20">
        <v>32951.540000000008</v>
      </c>
      <c r="F13" s="21">
        <f t="shared" si="0"/>
        <v>14514.816667717532</v>
      </c>
      <c r="G13" s="22">
        <f t="shared" si="0"/>
        <v>20024.020000000004</v>
      </c>
      <c r="H13" s="23">
        <f t="shared" si="1"/>
        <v>0.37739303534298435</v>
      </c>
      <c r="I13" s="24">
        <f t="shared" si="2"/>
        <v>0.60768085497673252</v>
      </c>
      <c r="J13" s="25"/>
    </row>
    <row r="14" spans="1:25" x14ac:dyDescent="0.3">
      <c r="A14" s="5"/>
      <c r="B14" s="19" t="s">
        <v>32</v>
      </c>
      <c r="C14" s="20">
        <f>+C13/C4</f>
        <v>1513.587428571429</v>
      </c>
      <c r="D14" s="20">
        <f>+D13/D4</f>
        <v>1923.0371666141241</v>
      </c>
      <c r="E14" s="20">
        <f>+E13/E4</f>
        <v>1497.7972727272731</v>
      </c>
      <c r="F14" s="21">
        <f t="shared" si="0"/>
        <v>-409.44973804269512</v>
      </c>
      <c r="G14" s="22">
        <f t="shared" si="0"/>
        <v>15.790155844155834</v>
      </c>
      <c r="H14" s="23">
        <f t="shared" si="1"/>
        <v>-0.21291826551829465</v>
      </c>
      <c r="I14" s="24">
        <f t="shared" si="2"/>
        <v>1.0542251699660417E-2</v>
      </c>
      <c r="J14" s="25"/>
    </row>
    <row r="15" spans="1:25" x14ac:dyDescent="0.3">
      <c r="A15" s="5"/>
      <c r="B15" s="19" t="s">
        <v>33</v>
      </c>
      <c r="C15" s="20">
        <v>150334.83000000002</v>
      </c>
      <c r="D15" s="20">
        <v>74182.892307692324</v>
      </c>
      <c r="E15" s="20">
        <v>78704.84</v>
      </c>
      <c r="F15" s="21">
        <f t="shared" si="0"/>
        <v>76151.937692307692</v>
      </c>
      <c r="G15" s="22">
        <f t="shared" si="0"/>
        <v>71629.99000000002</v>
      </c>
      <c r="H15" s="23">
        <f t="shared" si="1"/>
        <v>1.0265431196245121</v>
      </c>
      <c r="I15" s="24">
        <f>+IFERROR(G15/ABS($E15),"")</f>
        <v>0.91010908604858387</v>
      </c>
      <c r="J15" s="25"/>
    </row>
    <row r="16" spans="1:25" x14ac:dyDescent="0.3">
      <c r="A16" s="5"/>
      <c r="B16" s="34" t="s">
        <v>34</v>
      </c>
      <c r="C16" s="35"/>
      <c r="D16" s="35"/>
      <c r="E16" s="35"/>
      <c r="F16" s="36"/>
      <c r="G16" s="37"/>
      <c r="H16" s="38"/>
      <c r="I16" s="39"/>
      <c r="J16" s="25"/>
    </row>
    <row r="17" spans="1:25" x14ac:dyDescent="0.3">
      <c r="A17" s="5"/>
      <c r="B17" s="40" t="s">
        <v>9</v>
      </c>
      <c r="C17" s="41">
        <v>76</v>
      </c>
      <c r="D17" s="41">
        <v>53</v>
      </c>
      <c r="E17" s="42">
        <v>46</v>
      </c>
      <c r="F17" s="43">
        <f>+IFERROR($C17-D17,"")</f>
        <v>23</v>
      </c>
      <c r="G17" s="44">
        <f>+IFERROR($C17-E17,"")</f>
        <v>30</v>
      </c>
      <c r="H17" s="30">
        <f>+IFERROR(F17/ABS($D17),"")</f>
        <v>0.43396226415094341</v>
      </c>
      <c r="I17" s="45">
        <f>+IFERROR(G17/ABS($E17),"")</f>
        <v>0.65217391304347827</v>
      </c>
      <c r="J17" s="25"/>
    </row>
    <row r="18" spans="1:25" x14ac:dyDescent="0.3">
      <c r="A18" s="5"/>
      <c r="B18" s="46" t="s">
        <v>35</v>
      </c>
      <c r="C18" s="47">
        <v>5792053</v>
      </c>
      <c r="D18" s="47">
        <v>4144715.3769230777</v>
      </c>
      <c r="E18" s="47">
        <v>4107513.7199999988</v>
      </c>
      <c r="F18" s="48">
        <f>+IFERROR($C18-D18,"")</f>
        <v>1647337.6230769223</v>
      </c>
      <c r="G18" s="49">
        <f>+IFERROR($C18-E18,"")</f>
        <v>1684539.2800000012</v>
      </c>
      <c r="H18" s="50">
        <f>+IFERROR(F18/ABS($D18),"")</f>
        <v>0.39745494521745911</v>
      </c>
      <c r="I18" s="51">
        <f>+IFERROR(G18/ABS($E18),"")</f>
        <v>0.4101116623902602</v>
      </c>
      <c r="J18" s="52"/>
    </row>
    <row r="19" spans="1:25" x14ac:dyDescent="0.3">
      <c r="C19" s="53"/>
      <c r="D19" s="53"/>
      <c r="E19" s="53"/>
      <c r="F19" s="53"/>
      <c r="G19" s="53"/>
      <c r="H19" s="53"/>
      <c r="I19" s="53"/>
    </row>
    <row r="20" spans="1:25" x14ac:dyDescent="0.3">
      <c r="B20" s="54" t="s">
        <v>36</v>
      </c>
      <c r="C20" s="55" t="s">
        <v>1</v>
      </c>
      <c r="D20" s="55" t="s">
        <v>2</v>
      </c>
      <c r="E20" s="55">
        <f>$E$3</f>
        <v>2023</v>
      </c>
      <c r="F20" s="56" t="s">
        <v>3</v>
      </c>
      <c r="G20" s="57" t="str">
        <f>$G$3</f>
        <v>▲2023</v>
      </c>
      <c r="H20" s="56" t="s">
        <v>5</v>
      </c>
      <c r="I20" s="57" t="str">
        <f>$I$3</f>
        <v>% ▲ 2023</v>
      </c>
      <c r="J20" s="58" t="s">
        <v>7</v>
      </c>
    </row>
    <row r="21" spans="1:25" ht="15" customHeight="1" x14ac:dyDescent="0.3">
      <c r="B21" s="59" t="s">
        <v>9</v>
      </c>
      <c r="C21" s="60">
        <v>7</v>
      </c>
      <c r="D21" s="60">
        <v>14</v>
      </c>
      <c r="E21" s="60">
        <v>16</v>
      </c>
      <c r="F21" s="61">
        <f t="shared" ref="F21:G32" si="3">+IFERROR($C21-D21,"")</f>
        <v>-7</v>
      </c>
      <c r="G21" s="62">
        <f t="shared" si="3"/>
        <v>-9</v>
      </c>
      <c r="H21" s="16">
        <f t="shared" ref="H21:H32" si="4">+IFERROR(F21/ABS($D21),"")</f>
        <v>-0.5</v>
      </c>
      <c r="I21" s="17">
        <f t="shared" ref="I21:I32" si="5">+IFERROR(G21/ABS($E21),"")</f>
        <v>-0.5625</v>
      </c>
      <c r="J21" s="18"/>
    </row>
    <row r="22" spans="1:25" x14ac:dyDescent="0.3">
      <c r="B22" s="19" t="s">
        <v>10</v>
      </c>
      <c r="C22" s="20">
        <v>7059.4399999999914</v>
      </c>
      <c r="D22" s="20">
        <v>32700</v>
      </c>
      <c r="E22" s="20">
        <v>27126.499999999993</v>
      </c>
      <c r="F22" s="21">
        <f t="shared" si="3"/>
        <v>-25640.560000000009</v>
      </c>
      <c r="G22" s="22">
        <f t="shared" si="3"/>
        <v>-20067.060000000001</v>
      </c>
      <c r="H22" s="23">
        <f t="shared" si="4"/>
        <v>-0.78411498470948038</v>
      </c>
      <c r="I22" s="24">
        <f t="shared" si="5"/>
        <v>-0.73975853869832109</v>
      </c>
      <c r="J22" s="25"/>
    </row>
    <row r="23" spans="1:25" x14ac:dyDescent="0.3">
      <c r="B23" s="19" t="s">
        <v>11</v>
      </c>
      <c r="C23" s="20">
        <f>+C22/C21</f>
        <v>1008.4914285714274</v>
      </c>
      <c r="D23" s="20">
        <f>+D22/D21</f>
        <v>2335.7142857142858</v>
      </c>
      <c r="E23" s="20">
        <f>+E22/E21</f>
        <v>1695.4062499999995</v>
      </c>
      <c r="F23" s="21">
        <f t="shared" si="3"/>
        <v>-1327.2228571428584</v>
      </c>
      <c r="G23" s="22">
        <f t="shared" si="3"/>
        <v>-686.91482142857217</v>
      </c>
      <c r="H23" s="26">
        <f t="shared" si="4"/>
        <v>-0.56822996941896076</v>
      </c>
      <c r="I23" s="27">
        <f t="shared" si="5"/>
        <v>-0.40516237416759099</v>
      </c>
      <c r="J23" s="25"/>
    </row>
    <row r="24" spans="1:25" x14ac:dyDescent="0.3">
      <c r="B24" s="19" t="s">
        <v>13</v>
      </c>
      <c r="C24" s="20">
        <v>5846.44</v>
      </c>
      <c r="D24" s="20">
        <v>11268.778625954199</v>
      </c>
      <c r="E24" s="20">
        <v>10646.76</v>
      </c>
      <c r="F24" s="21">
        <f t="shared" si="3"/>
        <v>-5422.3386259541994</v>
      </c>
      <c r="G24" s="22">
        <f t="shared" si="3"/>
        <v>-4800.3200000000006</v>
      </c>
      <c r="H24" s="23">
        <f t="shared" si="4"/>
        <v>-0.48118246049003877</v>
      </c>
      <c r="I24" s="24">
        <f t="shared" si="5"/>
        <v>-0.45087143882270292</v>
      </c>
      <c r="J24" s="25"/>
      <c r="N24" s="3" t="s">
        <v>37</v>
      </c>
    </row>
    <row r="25" spans="1:25" x14ac:dyDescent="0.3">
      <c r="B25" s="19" t="s">
        <v>26</v>
      </c>
      <c r="C25" s="29">
        <f>+C24/C22</f>
        <v>0.82817333952834882</v>
      </c>
      <c r="D25" s="29">
        <f>+D24/D22</f>
        <v>0.34461096715456269</v>
      </c>
      <c r="E25" s="29">
        <f>+E24/E22</f>
        <v>0.39248557683446089</v>
      </c>
      <c r="F25" s="30">
        <f t="shared" si="3"/>
        <v>0.48356237237378613</v>
      </c>
      <c r="G25" s="31">
        <f t="shared" si="3"/>
        <v>0.43568776269388793</v>
      </c>
      <c r="H25" s="23">
        <f t="shared" si="4"/>
        <v>1.4032123712328106</v>
      </c>
      <c r="I25" s="24">
        <f t="shared" si="5"/>
        <v>1.1100733081910128</v>
      </c>
      <c r="J25" s="25"/>
      <c r="N25" s="28" t="s">
        <v>14</v>
      </c>
      <c r="O25" s="28" t="s">
        <v>15</v>
      </c>
      <c r="P25" s="28" t="s">
        <v>16</v>
      </c>
      <c r="Q25" s="28" t="s">
        <v>17</v>
      </c>
      <c r="R25" s="28" t="s">
        <v>18</v>
      </c>
      <c r="S25" s="28" t="s">
        <v>19</v>
      </c>
      <c r="T25" s="28" t="s">
        <v>20</v>
      </c>
      <c r="U25" s="28" t="s">
        <v>21</v>
      </c>
      <c r="V25" s="28" t="s">
        <v>22</v>
      </c>
      <c r="W25" s="28" t="s">
        <v>23</v>
      </c>
      <c r="X25" s="28" t="s">
        <v>24</v>
      </c>
      <c r="Y25" s="28" t="s">
        <v>25</v>
      </c>
    </row>
    <row r="26" spans="1:25" x14ac:dyDescent="0.3">
      <c r="B26" s="19" t="s">
        <v>27</v>
      </c>
      <c r="C26" s="20">
        <v>12588.11</v>
      </c>
      <c r="D26" s="20">
        <v>23100</v>
      </c>
      <c r="E26" s="20">
        <v>15559.62999999999</v>
      </c>
      <c r="F26" s="21">
        <f t="shared" si="3"/>
        <v>-10511.89</v>
      </c>
      <c r="G26" s="22">
        <f t="shared" si="3"/>
        <v>-2971.5199999999895</v>
      </c>
      <c r="H26" s="23">
        <f t="shared" si="4"/>
        <v>-0.45506017316017311</v>
      </c>
      <c r="I26" s="24">
        <f t="shared" si="5"/>
        <v>-0.19097626357439035</v>
      </c>
      <c r="J26" s="25"/>
      <c r="N26" s="28">
        <v>52</v>
      </c>
      <c r="O26" s="28">
        <v>56</v>
      </c>
      <c r="P26" s="28">
        <v>61</v>
      </c>
      <c r="Q26" s="28">
        <v>64</v>
      </c>
      <c r="R26" s="28">
        <v>61</v>
      </c>
      <c r="S26" s="28">
        <v>60</v>
      </c>
      <c r="T26" s="28">
        <v>61</v>
      </c>
      <c r="U26" s="28">
        <v>60</v>
      </c>
      <c r="V26" s="28">
        <v>56</v>
      </c>
      <c r="W26" s="28">
        <v>54</v>
      </c>
      <c r="X26" s="28">
        <v>50</v>
      </c>
      <c r="Y26" s="28">
        <v>49</v>
      </c>
    </row>
    <row r="27" spans="1:25" x14ac:dyDescent="0.3">
      <c r="B27" s="19" t="s">
        <v>28</v>
      </c>
      <c r="C27" s="20">
        <f>+C26/C21</f>
        <v>1798.3014285714287</v>
      </c>
      <c r="D27" s="20">
        <f>+D26/D21</f>
        <v>1650</v>
      </c>
      <c r="E27" s="20">
        <f>+E26/E21</f>
        <v>972.47687499999938</v>
      </c>
      <c r="F27" s="21">
        <f t="shared" si="3"/>
        <v>148.30142857142869</v>
      </c>
      <c r="G27" s="22">
        <f t="shared" si="3"/>
        <v>825.82455357142931</v>
      </c>
      <c r="H27" s="26">
        <f t="shared" si="4"/>
        <v>8.9879653679653754E-2</v>
      </c>
      <c r="I27" s="27">
        <f t="shared" si="5"/>
        <v>0.84919711182996493</v>
      </c>
      <c r="J27" s="25"/>
      <c r="N27" s="32">
        <v>1967562.7450980393</v>
      </c>
      <c r="O27" s="32">
        <v>2118913.7254901966</v>
      </c>
      <c r="P27" s="32">
        <v>2308102.4509803923</v>
      </c>
      <c r="Q27" s="32">
        <v>2421615.6862745099</v>
      </c>
      <c r="R27" s="32">
        <v>2308102.4509803923</v>
      </c>
      <c r="S27" s="32">
        <v>2270264.7058823532</v>
      </c>
      <c r="T27" s="32">
        <v>2308102.4509803923</v>
      </c>
      <c r="U27" s="32">
        <v>2270264.7058823532</v>
      </c>
      <c r="V27" s="32">
        <v>2118913.7254901957</v>
      </c>
      <c r="W27" s="32">
        <v>2043238.2352941176</v>
      </c>
      <c r="X27" s="32">
        <v>1891887.254901961</v>
      </c>
      <c r="Y27" s="32">
        <v>1854049.5098039214</v>
      </c>
    </row>
    <row r="28" spans="1:25" x14ac:dyDescent="0.3">
      <c r="B28" s="19" t="s">
        <v>29</v>
      </c>
      <c r="C28" s="20">
        <v>4430.55</v>
      </c>
      <c r="D28" s="20">
        <v>5775</v>
      </c>
      <c r="E28" s="20">
        <v>3581.17</v>
      </c>
      <c r="F28" s="21">
        <f t="shared" si="3"/>
        <v>-1344.4499999999998</v>
      </c>
      <c r="G28" s="22">
        <f t="shared" si="3"/>
        <v>849.38000000000011</v>
      </c>
      <c r="H28" s="23">
        <f t="shared" si="4"/>
        <v>-0.23280519480519477</v>
      </c>
      <c r="I28" s="24">
        <f t="shared" si="5"/>
        <v>0.23717946927959302</v>
      </c>
      <c r="J28" s="25"/>
    </row>
    <row r="29" spans="1:25" x14ac:dyDescent="0.3">
      <c r="B29" s="19" t="s">
        <v>30</v>
      </c>
      <c r="C29" s="29">
        <f>+C28/C26</f>
        <v>0.35196308262320553</v>
      </c>
      <c r="D29" s="29">
        <f>+D28/D26</f>
        <v>0.25</v>
      </c>
      <c r="E29" s="29">
        <f>+E28/E26</f>
        <v>0.23015778652834304</v>
      </c>
      <c r="F29" s="30">
        <f t="shared" si="3"/>
        <v>0.10196308262320553</v>
      </c>
      <c r="G29" s="33">
        <f t="shared" si="3"/>
        <v>0.12180529609486249</v>
      </c>
      <c r="H29" s="23">
        <f t="shared" si="4"/>
        <v>0.4078523304928221</v>
      </c>
      <c r="I29" s="24">
        <f t="shared" si="5"/>
        <v>0.52922518039537469</v>
      </c>
      <c r="J29" s="25"/>
    </row>
    <row r="30" spans="1:25" x14ac:dyDescent="0.3">
      <c r="B30" s="19" t="s">
        <v>31</v>
      </c>
      <c r="C30" s="20">
        <v>17100.399999999998</v>
      </c>
      <c r="D30" s="20">
        <v>18885.310752169724</v>
      </c>
      <c r="E30" s="20">
        <v>17976.190000000002</v>
      </c>
      <c r="F30" s="21">
        <f t="shared" si="3"/>
        <v>-1784.910752169726</v>
      </c>
      <c r="G30" s="22">
        <f t="shared" si="3"/>
        <v>-875.79000000000451</v>
      </c>
      <c r="H30" s="23">
        <f t="shared" si="4"/>
        <v>-9.4513178818868976E-2</v>
      </c>
      <c r="I30" s="24">
        <f t="shared" si="5"/>
        <v>-4.8719444999190842E-2</v>
      </c>
      <c r="J30" s="25"/>
    </row>
    <row r="31" spans="1:25" x14ac:dyDescent="0.3">
      <c r="B31" s="19" t="s">
        <v>32</v>
      </c>
      <c r="C31" s="20">
        <f>+C30/C21</f>
        <v>2442.9142857142856</v>
      </c>
      <c r="D31" s="20">
        <f>+D30/D21</f>
        <v>1348.950768012123</v>
      </c>
      <c r="E31" s="20">
        <f>+E30/E21</f>
        <v>1123.5118750000001</v>
      </c>
      <c r="F31" s="21">
        <f t="shared" si="3"/>
        <v>1093.9635177021626</v>
      </c>
      <c r="G31" s="22">
        <f t="shared" si="3"/>
        <v>1319.4024107142855</v>
      </c>
      <c r="H31" s="23">
        <f t="shared" si="4"/>
        <v>0.81097364236226233</v>
      </c>
      <c r="I31" s="24">
        <f>+IFERROR(G31/ABS($E31),"")</f>
        <v>1.1743555542875639</v>
      </c>
      <c r="J31" s="25"/>
    </row>
    <row r="32" spans="1:25" x14ac:dyDescent="0.3">
      <c r="B32" s="19" t="s">
        <v>33</v>
      </c>
      <c r="C32" s="20">
        <v>4165</v>
      </c>
      <c r="D32" s="20">
        <v>10170.205882352941</v>
      </c>
      <c r="E32" s="20">
        <v>9610</v>
      </c>
      <c r="F32" s="21">
        <f t="shared" si="3"/>
        <v>-6005.2058823529405</v>
      </c>
      <c r="G32" s="22">
        <f t="shared" si="3"/>
        <v>-5445</v>
      </c>
      <c r="H32" s="23">
        <f t="shared" si="4"/>
        <v>-0.5904704341111725</v>
      </c>
      <c r="I32" s="24">
        <f t="shared" si="5"/>
        <v>-0.56659729448491158</v>
      </c>
      <c r="J32" s="25"/>
    </row>
    <row r="33" spans="2:10" x14ac:dyDescent="0.3">
      <c r="B33" s="34" t="s">
        <v>34</v>
      </c>
      <c r="C33" s="35"/>
      <c r="D33" s="35"/>
      <c r="E33" s="35"/>
      <c r="F33" s="36"/>
      <c r="G33" s="37"/>
      <c r="H33" s="63"/>
      <c r="I33" s="64"/>
      <c r="J33" s="25"/>
    </row>
    <row r="34" spans="2:10" x14ac:dyDescent="0.3">
      <c r="B34" s="40" t="s">
        <v>9</v>
      </c>
      <c r="C34" s="41">
        <v>45</v>
      </c>
      <c r="D34" s="41">
        <v>50</v>
      </c>
      <c r="E34" s="42">
        <v>44</v>
      </c>
      <c r="F34" s="43">
        <f>+IFERROR($C34-D34,"")</f>
        <v>-5</v>
      </c>
      <c r="G34" s="44">
        <f>+IFERROR($C34-E34,"")</f>
        <v>1</v>
      </c>
      <c r="H34" s="30">
        <f>+IFERROR(F34/ABS($D34),"")</f>
        <v>-0.1</v>
      </c>
      <c r="I34" s="45">
        <f>+IFERROR(G34/ABS($E34),"")</f>
        <v>2.2727272727272728E-2</v>
      </c>
      <c r="J34" s="25"/>
    </row>
    <row r="35" spans="2:10" x14ac:dyDescent="0.3">
      <c r="B35" s="46" t="s">
        <v>35</v>
      </c>
      <c r="C35" s="47">
        <v>1675244</v>
      </c>
      <c r="D35" s="47">
        <v>1891887.254901961</v>
      </c>
      <c r="E35" s="47">
        <v>1830461.6099999999</v>
      </c>
      <c r="F35" s="48">
        <f>+IFERROR($C35-D35,"")</f>
        <v>-216643.25490196096</v>
      </c>
      <c r="G35" s="49">
        <f>+IFERROR($C35-E35,"")</f>
        <v>-155217.60999999987</v>
      </c>
      <c r="H35" s="50">
        <f>+IFERROR(F35/ABS($D35),"")</f>
        <v>-0.11451171539986275</v>
      </c>
      <c r="I35" s="51">
        <f>+IFERROR(G35/ABS($E35),"")</f>
        <v>-8.4796976430442525E-2</v>
      </c>
      <c r="J35" s="52"/>
    </row>
    <row r="36" spans="2:10" x14ac:dyDescent="0.3">
      <c r="C36" s="53"/>
      <c r="D36" s="53"/>
      <c r="E36" s="53"/>
      <c r="F36" s="53"/>
      <c r="G36" s="53"/>
      <c r="H36" s="53"/>
      <c r="I36" s="53"/>
    </row>
    <row r="37" spans="2:10" x14ac:dyDescent="0.3">
      <c r="B37" s="65" t="s">
        <v>38</v>
      </c>
      <c r="C37" s="66" t="s">
        <v>1</v>
      </c>
      <c r="D37" s="66" t="s">
        <v>2</v>
      </c>
      <c r="E37" s="66">
        <f>$E$3</f>
        <v>2023</v>
      </c>
      <c r="F37" s="67" t="s">
        <v>3</v>
      </c>
      <c r="G37" s="68" t="str">
        <f>$G$3</f>
        <v>▲2023</v>
      </c>
      <c r="H37" s="67" t="s">
        <v>5</v>
      </c>
      <c r="I37" s="68" t="str">
        <f>$I$3</f>
        <v>% ▲ 2023</v>
      </c>
      <c r="J37" s="69" t="s">
        <v>7</v>
      </c>
    </row>
    <row r="38" spans="2:10" ht="28.2" customHeight="1" x14ac:dyDescent="0.3">
      <c r="B38" s="59" t="s">
        <v>39</v>
      </c>
      <c r="C38" s="70">
        <v>193886.47</v>
      </c>
      <c r="D38" s="70">
        <v>193589.29961688991</v>
      </c>
      <c r="E38" s="70">
        <v>185026.4899999999</v>
      </c>
      <c r="F38" s="71">
        <f t="shared" ref="F38:G47" si="6">+IFERROR($C38-D38,"")</f>
        <v>297.17038311008946</v>
      </c>
      <c r="G38" s="72">
        <f t="shared" si="6"/>
        <v>8859.9800000000978</v>
      </c>
      <c r="H38" s="16">
        <f t="shared" ref="H38:H47" si="7">+IFERROR(F38/ABS($D38),"")</f>
        <v>1.5350558305556395E-3</v>
      </c>
      <c r="I38" s="17">
        <f t="shared" ref="I38:I47" si="8">+IFERROR(G38/ABS($E38),"")</f>
        <v>4.7884927179887064E-2</v>
      </c>
      <c r="J38" s="18"/>
    </row>
    <row r="39" spans="2:10" x14ac:dyDescent="0.3">
      <c r="B39" s="59" t="s">
        <v>40</v>
      </c>
      <c r="C39" s="70">
        <v>136552.57999999996</v>
      </c>
      <c r="D39" s="70">
        <v>134531.09973932186</v>
      </c>
      <c r="E39" s="70">
        <v>125197.73999999987</v>
      </c>
      <c r="F39" s="71">
        <f t="shared" si="6"/>
        <v>2021.4802606781013</v>
      </c>
      <c r="G39" s="72">
        <f t="shared" si="6"/>
        <v>11354.840000000084</v>
      </c>
      <c r="H39" s="73">
        <f t="shared" si="7"/>
        <v>1.5026118604509158E-2</v>
      </c>
      <c r="I39" s="74">
        <f t="shared" si="8"/>
        <v>9.0695247374274451E-2</v>
      </c>
      <c r="J39" s="25"/>
    </row>
    <row r="40" spans="2:10" x14ac:dyDescent="0.3">
      <c r="B40" s="19" t="s">
        <v>41</v>
      </c>
      <c r="C40" s="20">
        <v>306.12368263473053</v>
      </c>
      <c r="D40" s="75">
        <v>324</v>
      </c>
      <c r="E40" s="20">
        <v>263.10869444444444</v>
      </c>
      <c r="F40" s="21">
        <f t="shared" si="6"/>
        <v>-17.876317365269472</v>
      </c>
      <c r="G40" s="22">
        <f t="shared" si="6"/>
        <v>43.01498819028609</v>
      </c>
      <c r="H40" s="23">
        <f t="shared" si="7"/>
        <v>-5.5173819028609482E-2</v>
      </c>
      <c r="I40" s="24">
        <f t="shared" si="8"/>
        <v>0.16348752093165334</v>
      </c>
      <c r="J40" s="25"/>
    </row>
    <row r="41" spans="2:10" x14ac:dyDescent="0.3">
      <c r="B41" s="19" t="s">
        <v>42</v>
      </c>
      <c r="C41" s="20">
        <v>175.94625000000002</v>
      </c>
      <c r="D41" s="75">
        <v>145</v>
      </c>
      <c r="E41" s="20">
        <v>126.30227053140096</v>
      </c>
      <c r="F41" s="21">
        <f t="shared" si="6"/>
        <v>30.94625000000002</v>
      </c>
      <c r="G41" s="22">
        <f t="shared" si="6"/>
        <v>49.643979468599056</v>
      </c>
      <c r="H41" s="23">
        <f t="shared" si="7"/>
        <v>0.21342241379310359</v>
      </c>
      <c r="I41" s="24">
        <f t="shared" si="8"/>
        <v>0.39305690435910801</v>
      </c>
      <c r="J41" s="25"/>
    </row>
    <row r="42" spans="2:10" x14ac:dyDescent="0.3">
      <c r="B42" s="19" t="s">
        <v>43</v>
      </c>
      <c r="C42" s="76">
        <v>-1386.92</v>
      </c>
      <c r="D42" s="76">
        <v>-2615.8815259091284</v>
      </c>
      <c r="E42" s="76">
        <v>-3935.5</v>
      </c>
      <c r="F42" s="21">
        <f t="shared" si="6"/>
        <v>1228.9615259091283</v>
      </c>
      <c r="G42" s="22">
        <f t="shared" si="6"/>
        <v>2548.58</v>
      </c>
      <c r="H42" s="23">
        <f t="shared" si="7"/>
        <v>0.46980779279826623</v>
      </c>
      <c r="I42" s="24">
        <f t="shared" si="8"/>
        <v>0.6475873459535002</v>
      </c>
      <c r="J42" s="25"/>
    </row>
    <row r="43" spans="2:10" x14ac:dyDescent="0.3">
      <c r="B43" s="19" t="s">
        <v>44</v>
      </c>
      <c r="C43" s="20">
        <v>64081.62</v>
      </c>
      <c r="D43" s="20">
        <v>59360.797902480015</v>
      </c>
      <c r="E43" s="20">
        <v>57343.540000000008</v>
      </c>
      <c r="F43" s="21">
        <f t="shared" si="6"/>
        <v>4720.8220975199874</v>
      </c>
      <c r="G43" s="22">
        <f t="shared" si="6"/>
        <v>6738.0799999999945</v>
      </c>
      <c r="H43" s="23">
        <f t="shared" si="7"/>
        <v>7.9527605159140854E-2</v>
      </c>
      <c r="I43" s="24">
        <f t="shared" si="8"/>
        <v>0.11750373276571334</v>
      </c>
      <c r="J43" s="25"/>
    </row>
    <row r="44" spans="2:10" x14ac:dyDescent="0.3">
      <c r="B44" s="77" t="s">
        <v>45</v>
      </c>
      <c r="C44" s="20">
        <v>42062.57</v>
      </c>
      <c r="D44" s="20">
        <v>35775.894268750759</v>
      </c>
      <c r="E44" s="20">
        <v>35530.920000000006</v>
      </c>
      <c r="F44" s="21">
        <f t="shared" si="6"/>
        <v>6286.6757312492409</v>
      </c>
      <c r="G44" s="22">
        <f t="shared" si="6"/>
        <v>6531.6499999999942</v>
      </c>
      <c r="H44" s="23">
        <f t="shared" si="7"/>
        <v>0.17572378999175645</v>
      </c>
      <c r="I44" s="24">
        <f t="shared" si="8"/>
        <v>0.1838300274802902</v>
      </c>
      <c r="J44" s="25"/>
    </row>
    <row r="45" spans="2:10" x14ac:dyDescent="0.3">
      <c r="B45" s="77" t="s">
        <v>46</v>
      </c>
      <c r="C45" s="20">
        <v>22019.05</v>
      </c>
      <c r="D45" s="20">
        <v>23584.903633729256</v>
      </c>
      <c r="E45" s="20">
        <v>21812.62</v>
      </c>
      <c r="F45" s="21">
        <f t="shared" si="6"/>
        <v>-1565.8536337292571</v>
      </c>
      <c r="G45" s="22">
        <f t="shared" si="6"/>
        <v>206.43000000000029</v>
      </c>
      <c r="H45" s="23">
        <f t="shared" si="7"/>
        <v>-6.6392199775194227E-2</v>
      </c>
      <c r="I45" s="24">
        <f t="shared" si="8"/>
        <v>9.463787477157733E-3</v>
      </c>
      <c r="J45" s="25"/>
    </row>
    <row r="46" spans="2:10" x14ac:dyDescent="0.3">
      <c r="B46" s="19" t="s">
        <v>47</v>
      </c>
      <c r="C46" s="78">
        <f>+C43/C38</f>
        <v>0.33051104597448189</v>
      </c>
      <c r="D46" s="78">
        <f>+D43/D38</f>
        <v>0.30663263940700275</v>
      </c>
      <c r="E46" s="78">
        <f>+E43/E38</f>
        <v>0.30992070378679309</v>
      </c>
      <c r="F46" s="30">
        <f t="shared" si="6"/>
        <v>2.3878406567479138E-2</v>
      </c>
      <c r="G46" s="31">
        <f t="shared" si="6"/>
        <v>2.0590342187688793E-2</v>
      </c>
      <c r="H46" s="23">
        <f t="shared" si="7"/>
        <v>7.7873009910678845E-2</v>
      </c>
      <c r="I46" s="24">
        <f t="shared" si="8"/>
        <v>6.6437452987502629E-2</v>
      </c>
      <c r="J46" s="25"/>
    </row>
    <row r="47" spans="2:10" x14ac:dyDescent="0.3">
      <c r="B47" s="79" t="s">
        <v>48</v>
      </c>
      <c r="C47" s="80">
        <v>8311.58</v>
      </c>
      <c r="D47" s="80">
        <v>4822.7083333333339</v>
      </c>
      <c r="E47" s="80">
        <v>7376.38</v>
      </c>
      <c r="F47" s="48">
        <f t="shared" si="6"/>
        <v>3488.871666666666</v>
      </c>
      <c r="G47" s="49">
        <f t="shared" si="6"/>
        <v>935.19999999999982</v>
      </c>
      <c r="H47" s="81">
        <f t="shared" si="7"/>
        <v>0.72342580673031209</v>
      </c>
      <c r="I47" s="51">
        <f t="shared" si="8"/>
        <v>0.12678305618745236</v>
      </c>
      <c r="J47" s="52"/>
    </row>
    <row r="48" spans="2:10" x14ac:dyDescent="0.3">
      <c r="C48" s="53"/>
      <c r="D48" s="53"/>
      <c r="E48" s="53"/>
      <c r="F48" s="53"/>
      <c r="G48" s="53"/>
      <c r="H48" s="53"/>
      <c r="I48" s="53"/>
    </row>
    <row r="49" spans="2:25" x14ac:dyDescent="0.3">
      <c r="B49" s="82" t="s">
        <v>49</v>
      </c>
      <c r="C49" s="83" t="s">
        <v>1</v>
      </c>
      <c r="D49" s="83" t="s">
        <v>2</v>
      </c>
      <c r="E49" s="83">
        <f>$E$3</f>
        <v>2023</v>
      </c>
      <c r="F49" s="84" t="s">
        <v>3</v>
      </c>
      <c r="G49" s="85" t="str">
        <f>$G$3</f>
        <v>▲2023</v>
      </c>
      <c r="H49" s="84" t="s">
        <v>5</v>
      </c>
      <c r="I49" s="85" t="str">
        <f>$I$3</f>
        <v>% ▲ 2023</v>
      </c>
      <c r="J49" s="86" t="s">
        <v>7</v>
      </c>
    </row>
    <row r="50" spans="2:25" ht="14.4" customHeight="1" x14ac:dyDescent="0.3">
      <c r="B50" s="87" t="s">
        <v>39</v>
      </c>
      <c r="C50" s="70">
        <v>446364.69</v>
      </c>
      <c r="D50" s="70">
        <v>416077.46018601157</v>
      </c>
      <c r="E50" s="70">
        <v>387887.49999999988</v>
      </c>
      <c r="F50" s="71">
        <f t="shared" ref="F50:G59" si="9">+IFERROR($C50-D50,"")</f>
        <v>30287.229813988437</v>
      </c>
      <c r="G50" s="72">
        <f t="shared" si="9"/>
        <v>58477.190000000119</v>
      </c>
      <c r="H50" s="16">
        <f t="shared" ref="H50:H59" si="10">+IFERROR(F50/ABS($D50),"")</f>
        <v>7.2792286802674272E-2</v>
      </c>
      <c r="I50" s="17">
        <f t="shared" ref="I50:I59" si="11">+IFERROR(G50/ABS($E50),"")</f>
        <v>0.15075811930005514</v>
      </c>
      <c r="J50" s="18"/>
    </row>
    <row r="51" spans="2:25" x14ac:dyDescent="0.3">
      <c r="B51" s="88" t="s">
        <v>50</v>
      </c>
      <c r="C51" s="20">
        <v>76600.95</v>
      </c>
      <c r="D51" s="20">
        <v>75092.095801150601</v>
      </c>
      <c r="E51" s="20">
        <v>71356.91</v>
      </c>
      <c r="F51" s="21">
        <f t="shared" si="9"/>
        <v>1508.8541988493962</v>
      </c>
      <c r="G51" s="22">
        <f t="shared" si="9"/>
        <v>5244.0399999999936</v>
      </c>
      <c r="H51" s="23">
        <f t="shared" si="10"/>
        <v>2.0093382435948427E-2</v>
      </c>
      <c r="I51" s="24">
        <f t="shared" si="11"/>
        <v>7.3490289868213085E-2</v>
      </c>
      <c r="J51" s="25"/>
    </row>
    <row r="52" spans="2:25" x14ac:dyDescent="0.3">
      <c r="B52" s="88" t="s">
        <v>51</v>
      </c>
      <c r="C52" s="20">
        <v>82161.429999999993</v>
      </c>
      <c r="D52" s="20">
        <v>62273.649122875126</v>
      </c>
      <c r="E52" s="20">
        <v>36903.35</v>
      </c>
      <c r="F52" s="21">
        <f t="shared" si="9"/>
        <v>19887.780877124867</v>
      </c>
      <c r="G52" s="22">
        <f t="shared" si="9"/>
        <v>45258.079999999994</v>
      </c>
      <c r="H52" s="23">
        <f t="shared" si="10"/>
        <v>0.3193610966635877</v>
      </c>
      <c r="I52" s="24">
        <f t="shared" si="11"/>
        <v>1.2263948936885132</v>
      </c>
      <c r="J52" s="25"/>
    </row>
    <row r="53" spans="2:25" x14ac:dyDescent="0.3">
      <c r="B53" s="88" t="s">
        <v>52</v>
      </c>
      <c r="C53" s="20">
        <v>54580.51</v>
      </c>
      <c r="D53" s="20">
        <v>66469.273336407292</v>
      </c>
      <c r="E53" s="20">
        <v>73039.990000000005</v>
      </c>
      <c r="F53" s="21">
        <f t="shared" si="9"/>
        <v>-11888.76333640729</v>
      </c>
      <c r="G53" s="22">
        <f t="shared" si="9"/>
        <v>-18459.480000000003</v>
      </c>
      <c r="H53" s="23">
        <f t="shared" si="10"/>
        <v>-0.17886103969028114</v>
      </c>
      <c r="I53" s="24">
        <f t="shared" si="11"/>
        <v>-0.25273114084489884</v>
      </c>
      <c r="J53" s="25"/>
    </row>
    <row r="54" spans="2:25" x14ac:dyDescent="0.3">
      <c r="B54" s="88" t="s">
        <v>53</v>
      </c>
      <c r="C54" s="20">
        <v>162274.26</v>
      </c>
      <c r="D54" s="20">
        <v>144526.35786994311</v>
      </c>
      <c r="E54" s="20">
        <v>130004.68</v>
      </c>
      <c r="F54" s="21">
        <f t="shared" si="9"/>
        <v>17747.9021300569</v>
      </c>
      <c r="G54" s="22">
        <f t="shared" si="9"/>
        <v>32269.580000000016</v>
      </c>
      <c r="H54" s="23">
        <f t="shared" si="10"/>
        <v>0.12280045239933289</v>
      </c>
      <c r="I54" s="24">
        <f t="shared" si="11"/>
        <v>0.24821860259184531</v>
      </c>
      <c r="J54" s="25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</row>
    <row r="55" spans="2:25" x14ac:dyDescent="0.3">
      <c r="B55" s="88" t="s">
        <v>54</v>
      </c>
      <c r="C55" s="20">
        <f>+C50-SUM(C51:C54)</f>
        <v>70747.539999999979</v>
      </c>
      <c r="D55" s="20">
        <f>+D50-SUM(D51:D54)</f>
        <v>67716.084055635438</v>
      </c>
      <c r="E55" s="20">
        <f>+E50-SUM(E51:E54)</f>
        <v>76582.569999999891</v>
      </c>
      <c r="F55" s="21">
        <f t="shared" si="9"/>
        <v>3031.4559443645412</v>
      </c>
      <c r="G55" s="22">
        <f t="shared" si="9"/>
        <v>-5835.0299999999115</v>
      </c>
      <c r="H55" s="23">
        <f t="shared" si="10"/>
        <v>4.4767147814895811E-2</v>
      </c>
      <c r="I55" s="24">
        <f t="shared" si="11"/>
        <v>-7.6192663683132072E-2</v>
      </c>
      <c r="J55" s="25"/>
    </row>
    <row r="56" spans="2:25" x14ac:dyDescent="0.3">
      <c r="B56" s="59" t="s">
        <v>40</v>
      </c>
      <c r="C56" s="70">
        <v>128473.26000000001</v>
      </c>
      <c r="D56" s="70">
        <v>129691.43764848028</v>
      </c>
      <c r="E56" s="70">
        <v>111103.71999999988</v>
      </c>
      <c r="F56" s="71">
        <f t="shared" si="9"/>
        <v>-1218.1776484802685</v>
      </c>
      <c r="G56" s="72">
        <f t="shared" si="9"/>
        <v>17369.540000000125</v>
      </c>
      <c r="H56" s="73">
        <f t="shared" si="10"/>
        <v>-9.3928918559917224E-3</v>
      </c>
      <c r="I56" s="74">
        <f t="shared" si="11"/>
        <v>0.15633625948798244</v>
      </c>
      <c r="J56" s="25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</row>
    <row r="57" spans="2:25" x14ac:dyDescent="0.3">
      <c r="B57" s="19" t="s">
        <v>41</v>
      </c>
      <c r="C57" s="20">
        <v>229.34416167664671</v>
      </c>
      <c r="D57" s="75">
        <v>301</v>
      </c>
      <c r="E57" s="20">
        <v>198.21363888888891</v>
      </c>
      <c r="F57" s="21">
        <f t="shared" si="9"/>
        <v>-71.655838323353294</v>
      </c>
      <c r="G57" s="22">
        <f t="shared" si="9"/>
        <v>31.130522787757798</v>
      </c>
      <c r="H57" s="23">
        <f t="shared" si="10"/>
        <v>-0.23805926353273518</v>
      </c>
      <c r="I57" s="24">
        <f t="shared" si="11"/>
        <v>0.15705540225316381</v>
      </c>
      <c r="J57" s="25"/>
    </row>
    <row r="58" spans="2:25" x14ac:dyDescent="0.3">
      <c r="B58" s="19" t="s">
        <v>42</v>
      </c>
      <c r="C58" s="20">
        <v>489.0561309523809</v>
      </c>
      <c r="D58" s="75">
        <v>306</v>
      </c>
      <c r="E58" s="20">
        <v>178.2770531400966</v>
      </c>
      <c r="F58" s="21">
        <f t="shared" si="9"/>
        <v>183.0561309523809</v>
      </c>
      <c r="G58" s="22">
        <f t="shared" si="9"/>
        <v>310.7790778122843</v>
      </c>
      <c r="H58" s="23">
        <f t="shared" si="10"/>
        <v>0.59822265017117937</v>
      </c>
      <c r="I58" s="24">
        <f t="shared" si="11"/>
        <v>1.7432365654376325</v>
      </c>
      <c r="J58" s="25"/>
    </row>
    <row r="59" spans="2:25" x14ac:dyDescent="0.3">
      <c r="B59" s="79" t="s">
        <v>55</v>
      </c>
      <c r="C59" s="80">
        <v>16511.98</v>
      </c>
      <c r="D59" s="80">
        <v>14306.324427480917</v>
      </c>
      <c r="E59" s="80">
        <v>14447.65</v>
      </c>
      <c r="F59" s="48">
        <f t="shared" si="9"/>
        <v>2205.6555725190829</v>
      </c>
      <c r="G59" s="49">
        <f t="shared" si="9"/>
        <v>2064.33</v>
      </c>
      <c r="H59" s="81">
        <f t="shared" si="10"/>
        <v>0.15417346249203287</v>
      </c>
      <c r="I59" s="90">
        <f t="shared" si="11"/>
        <v>0.14288344471246189</v>
      </c>
      <c r="J59" s="52"/>
    </row>
    <row r="61" spans="2:25" x14ac:dyDescent="0.3">
      <c r="B61" s="91" t="s">
        <v>56</v>
      </c>
      <c r="C61" s="92" t="s">
        <v>1</v>
      </c>
      <c r="D61" s="92" t="s">
        <v>2</v>
      </c>
      <c r="E61" s="92">
        <f>$E$3</f>
        <v>2023</v>
      </c>
      <c r="F61" s="93" t="s">
        <v>3</v>
      </c>
      <c r="G61" s="94" t="str">
        <f>$G$3</f>
        <v>▲2023</v>
      </c>
      <c r="H61" s="93" t="s">
        <v>5</v>
      </c>
      <c r="I61" s="94" t="str">
        <f>$I$3</f>
        <v>% ▲ 2023</v>
      </c>
      <c r="J61" s="95" t="s">
        <v>7</v>
      </c>
    </row>
    <row r="62" spans="2:25" ht="29.25" customHeight="1" x14ac:dyDescent="0.3">
      <c r="B62" s="96" t="s">
        <v>57</v>
      </c>
      <c r="C62" s="97">
        <v>0.33244960240382254</v>
      </c>
      <c r="D62" s="97">
        <v>0.35271545397102666</v>
      </c>
      <c r="E62" s="97">
        <v>0.36772093287250046</v>
      </c>
      <c r="F62" s="30">
        <f t="shared" ref="F62:G67" si="12">+IFERROR($C62-D62,"")</f>
        <v>-2.0265851567204118E-2</v>
      </c>
      <c r="G62" s="31">
        <f t="shared" si="12"/>
        <v>-3.5271330468677919E-2</v>
      </c>
      <c r="H62" s="23">
        <f t="shared" ref="H62:H67" si="13">+IFERROR(F62/ABS($D62),"")</f>
        <v>-5.7456659012363062E-2</v>
      </c>
      <c r="I62" s="24">
        <f t="shared" ref="I62:I67" si="14">+IFERROR(G62/ABS($E62),"")</f>
        <v>-9.5918745210263875E-2</v>
      </c>
      <c r="J62" s="18" t="s">
        <v>58</v>
      </c>
    </row>
    <row r="63" spans="2:25" x14ac:dyDescent="0.3">
      <c r="B63" s="98" t="s">
        <v>59</v>
      </c>
      <c r="C63" s="99">
        <v>23.5</v>
      </c>
      <c r="D63" s="99">
        <v>23.5</v>
      </c>
      <c r="E63" s="99">
        <v>23.5</v>
      </c>
      <c r="F63" s="100">
        <f t="shared" si="12"/>
        <v>0</v>
      </c>
      <c r="G63" s="101">
        <f t="shared" si="12"/>
        <v>0</v>
      </c>
      <c r="H63" s="23">
        <f t="shared" si="13"/>
        <v>0</v>
      </c>
      <c r="I63" s="24">
        <f t="shared" si="14"/>
        <v>0</v>
      </c>
      <c r="J63" s="25"/>
    </row>
    <row r="64" spans="2:25" x14ac:dyDescent="0.3">
      <c r="B64" s="96" t="s">
        <v>60</v>
      </c>
      <c r="C64" s="20">
        <v>34898.49</v>
      </c>
      <c r="D64" s="20">
        <v>26104.751710135097</v>
      </c>
      <c r="E64" s="20">
        <v>34523.93</v>
      </c>
      <c r="F64" s="21">
        <f t="shared" si="12"/>
        <v>8793.7382898649012</v>
      </c>
      <c r="G64" s="22">
        <f t="shared" si="12"/>
        <v>374.55999999999767</v>
      </c>
      <c r="H64" s="23">
        <f t="shared" si="13"/>
        <v>0.33686351004253212</v>
      </c>
      <c r="I64" s="24">
        <f t="shared" si="14"/>
        <v>1.0849286277662991E-2</v>
      </c>
      <c r="J64" s="25"/>
    </row>
    <row r="65" spans="2:25" x14ac:dyDescent="0.3">
      <c r="B65" s="96" t="s">
        <v>61</v>
      </c>
      <c r="C65" s="20">
        <v>81736.709999999992</v>
      </c>
      <c r="D65" s="20">
        <v>61516.685625747858</v>
      </c>
      <c r="E65" s="20">
        <v>68388.160000000003</v>
      </c>
      <c r="F65" s="21">
        <f t="shared" si="12"/>
        <v>20220.024374252134</v>
      </c>
      <c r="G65" s="22">
        <f t="shared" si="12"/>
        <v>13348.549999999988</v>
      </c>
      <c r="H65" s="23">
        <f t="shared" si="13"/>
        <v>0.32869170646262885</v>
      </c>
      <c r="I65" s="24">
        <f t="shared" si="14"/>
        <v>0.19518802669935831</v>
      </c>
      <c r="J65" s="25"/>
    </row>
    <row r="66" spans="2:25" x14ac:dyDescent="0.3">
      <c r="B66" s="96" t="s">
        <v>62</v>
      </c>
      <c r="C66" s="20">
        <v>38434.049999999996</v>
      </c>
      <c r="D66" s="20">
        <v>31777.783251118872</v>
      </c>
      <c r="E66" s="20">
        <v>21421.07</v>
      </c>
      <c r="F66" s="21">
        <f t="shared" si="12"/>
        <v>6656.2667488811239</v>
      </c>
      <c r="G66" s="22">
        <f t="shared" si="12"/>
        <v>17012.979999999996</v>
      </c>
      <c r="H66" s="23">
        <f t="shared" si="13"/>
        <v>0.20946290357263236</v>
      </c>
      <c r="I66" s="24">
        <f t="shared" si="14"/>
        <v>0.79421709559793219</v>
      </c>
      <c r="J66" s="25"/>
    </row>
    <row r="67" spans="2:25" x14ac:dyDescent="0.3">
      <c r="B67" s="102" t="s">
        <v>63</v>
      </c>
      <c r="C67" s="80">
        <v>35975.149999999994</v>
      </c>
      <c r="D67" s="80">
        <v>18372.529846153848</v>
      </c>
      <c r="E67" s="80">
        <v>23018.97</v>
      </c>
      <c r="F67" s="48">
        <f t="shared" si="12"/>
        <v>17602.620153846146</v>
      </c>
      <c r="G67" s="49">
        <f t="shared" si="12"/>
        <v>12956.179999999993</v>
      </c>
      <c r="H67" s="50">
        <f t="shared" si="13"/>
        <v>0.95809451943990853</v>
      </c>
      <c r="I67" s="51">
        <f t="shared" si="14"/>
        <v>0.5628479467152524</v>
      </c>
      <c r="J67" s="52"/>
    </row>
    <row r="69" spans="2:25" x14ac:dyDescent="0.3">
      <c r="B69" s="103" t="s">
        <v>64</v>
      </c>
      <c r="C69" s="104" t="s">
        <v>1</v>
      </c>
      <c r="D69" s="104" t="s">
        <v>2</v>
      </c>
      <c r="E69" s="104">
        <f>$E$3</f>
        <v>2023</v>
      </c>
      <c r="F69" s="105" t="s">
        <v>3</v>
      </c>
      <c r="G69" s="106" t="str">
        <f>$G$3</f>
        <v>▲2023</v>
      </c>
      <c r="H69" s="105" t="s">
        <v>5</v>
      </c>
      <c r="I69" s="106" t="str">
        <f>$I$3</f>
        <v>% ▲ 2023</v>
      </c>
      <c r="J69" s="107" t="s">
        <v>7</v>
      </c>
    </row>
    <row r="70" spans="2:25" ht="15" customHeight="1" x14ac:dyDescent="0.3">
      <c r="B70" s="108" t="s">
        <v>65</v>
      </c>
      <c r="C70" s="109">
        <v>162195.29</v>
      </c>
      <c r="D70" s="109">
        <v>108850.51764580618</v>
      </c>
      <c r="E70" s="109">
        <v>118586.15999999996</v>
      </c>
      <c r="F70" s="110">
        <f t="shared" ref="F70:G77" si="15">+IFERROR($C70-D70,"")</f>
        <v>53344.772354193832</v>
      </c>
      <c r="G70" s="111">
        <f t="shared" si="15"/>
        <v>43609.130000000048</v>
      </c>
      <c r="H70" s="30">
        <f t="shared" ref="H70:H77" si="16">+IFERROR(F70/ABS($D70),"")</f>
        <v>0.49007366715310346</v>
      </c>
      <c r="I70" s="45">
        <f t="shared" ref="I70:I77" si="17">+IFERROR(G70/ABS($E70),"")</f>
        <v>0.36774215473374011</v>
      </c>
      <c r="J70" s="18"/>
    </row>
    <row r="71" spans="2:25" x14ac:dyDescent="0.3">
      <c r="B71" s="108" t="s">
        <v>66</v>
      </c>
      <c r="C71" s="97">
        <v>0.3273206695302609</v>
      </c>
      <c r="D71" s="97">
        <v>0.23518797410330755</v>
      </c>
      <c r="E71" s="97">
        <v>0.28185943023238619</v>
      </c>
      <c r="F71" s="30">
        <f t="shared" si="15"/>
        <v>9.2132695426953348E-2</v>
      </c>
      <c r="G71" s="31">
        <f t="shared" si="15"/>
        <v>4.5461239297874712E-2</v>
      </c>
      <c r="H71" s="30">
        <f t="shared" si="16"/>
        <v>0.39174067372374904</v>
      </c>
      <c r="I71" s="45">
        <f t="shared" si="17"/>
        <v>0.16129046759369745</v>
      </c>
      <c r="J71" s="25"/>
    </row>
    <row r="72" spans="2:25" x14ac:dyDescent="0.3">
      <c r="B72" s="108" t="s">
        <v>67</v>
      </c>
      <c r="C72" s="20">
        <v>289881.93000000005</v>
      </c>
      <c r="D72" s="20">
        <v>280249.86767452251</v>
      </c>
      <c r="E72" s="20">
        <v>277312.31</v>
      </c>
      <c r="F72" s="112">
        <f t="shared" si="15"/>
        <v>9632.0623254775419</v>
      </c>
      <c r="G72" s="113">
        <f t="shared" si="15"/>
        <v>12569.620000000054</v>
      </c>
      <c r="H72" s="30">
        <f>+IFERROR(F72/ABS($D72),"")</f>
        <v>3.4369551733969265E-2</v>
      </c>
      <c r="I72" s="45">
        <f t="shared" si="17"/>
        <v>4.5326585033315159E-2</v>
      </c>
      <c r="J72" s="25"/>
    </row>
    <row r="73" spans="2:25" x14ac:dyDescent="0.3">
      <c r="B73" s="108" t="s">
        <v>68</v>
      </c>
      <c r="C73" s="97">
        <v>0.58500063357156817</v>
      </c>
      <c r="D73" s="97">
        <v>0.60552214216898048</v>
      </c>
      <c r="E73" s="97">
        <v>0.65912489023193666</v>
      </c>
      <c r="F73" s="30">
        <f t="shared" si="15"/>
        <v>-2.0521508597412308E-2</v>
      </c>
      <c r="G73" s="31">
        <f t="shared" si="15"/>
        <v>-7.4124256660368482E-2</v>
      </c>
      <c r="H73" s="30">
        <f t="shared" si="16"/>
        <v>-3.3890599811766189E-2</v>
      </c>
      <c r="I73" s="45">
        <f t="shared" si="17"/>
        <v>-0.11245859132141894</v>
      </c>
      <c r="J73" s="25"/>
    </row>
    <row r="74" spans="2:25" s="114" customFormat="1" x14ac:dyDescent="0.3">
      <c r="B74" s="87" t="s">
        <v>69</v>
      </c>
      <c r="C74" s="70">
        <v>233921.88999999987</v>
      </c>
      <c r="D74" s="70">
        <v>176448.72704076633</v>
      </c>
      <c r="E74" s="70">
        <v>136163.35999999987</v>
      </c>
      <c r="F74" s="71">
        <f t="shared" si="15"/>
        <v>57473.162959233538</v>
      </c>
      <c r="G74" s="72">
        <f t="shared" si="15"/>
        <v>97758.53</v>
      </c>
      <c r="H74" s="73">
        <f t="shared" si="16"/>
        <v>0.32572160719501853</v>
      </c>
      <c r="I74" s="74">
        <f t="shared" si="17"/>
        <v>0.71795033553813659</v>
      </c>
      <c r="J74" s="25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2:25" x14ac:dyDescent="0.3">
      <c r="B75" s="19" t="s">
        <v>70</v>
      </c>
      <c r="C75" s="115">
        <v>4.7633105240777407E-2</v>
      </c>
      <c r="D75" s="115">
        <v>4.9370505305282239E-2</v>
      </c>
      <c r="E75" s="115">
        <v>1.134831331566848E-2</v>
      </c>
      <c r="F75" s="116">
        <f t="shared" si="15"/>
        <v>-1.7374000645048321E-3</v>
      </c>
      <c r="G75" s="117">
        <f t="shared" si="15"/>
        <v>3.6284791925108931E-2</v>
      </c>
      <c r="H75" s="23">
        <f t="shared" si="16"/>
        <v>-3.5191052912293054E-2</v>
      </c>
      <c r="I75" s="24">
        <f t="shared" si="17"/>
        <v>3.1973731175549194</v>
      </c>
      <c r="J75" s="25"/>
    </row>
    <row r="76" spans="2:25" s="114" customFormat="1" x14ac:dyDescent="0.3">
      <c r="B76" s="87" t="s">
        <v>71</v>
      </c>
      <c r="C76" s="70">
        <v>177525.75999999989</v>
      </c>
      <c r="D76" s="70">
        <v>132594.38641259828</v>
      </c>
      <c r="E76" s="70">
        <v>95222.289999999863</v>
      </c>
      <c r="F76" s="71">
        <f t="shared" si="15"/>
        <v>44931.373587401613</v>
      </c>
      <c r="G76" s="72">
        <f t="shared" si="15"/>
        <v>82303.47000000003</v>
      </c>
      <c r="H76" s="73">
        <f t="shared" si="16"/>
        <v>0.33886331694003385</v>
      </c>
      <c r="I76" s="74">
        <f t="shared" si="17"/>
        <v>0.86432987486438473</v>
      </c>
      <c r="J76" s="25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2:25" x14ac:dyDescent="0.3">
      <c r="B77" s="118" t="s">
        <v>72</v>
      </c>
      <c r="C77" s="119">
        <v>3.6149259947536296E-2</v>
      </c>
      <c r="D77" s="119">
        <v>3.7100023149055618E-2</v>
      </c>
      <c r="E77" s="119">
        <v>7.9361465636236129E-3</v>
      </c>
      <c r="F77" s="120">
        <f t="shared" si="15"/>
        <v>-9.5076320151932237E-4</v>
      </c>
      <c r="G77" s="121">
        <f t="shared" si="15"/>
        <v>2.8213113383912684E-2</v>
      </c>
      <c r="H77" s="81">
        <f t="shared" si="16"/>
        <v>-2.5627024481884295E-2</v>
      </c>
      <c r="I77" s="90">
        <f t="shared" si="17"/>
        <v>3.5550141567736735</v>
      </c>
      <c r="J77" s="52"/>
    </row>
  </sheetData>
  <mergeCells count="7">
    <mergeCell ref="J70:J77"/>
    <mergeCell ref="B1:J1"/>
    <mergeCell ref="J4:J18"/>
    <mergeCell ref="J21:J35"/>
    <mergeCell ref="J38:J47"/>
    <mergeCell ref="J50:J59"/>
    <mergeCell ref="J62:J67"/>
  </mergeCells>
  <conditionalFormatting sqref="H4:I4 H6:I6 H10:I10 H21:I21 H23:I23 H27:I27 H38:I39 H50:I50 H56:I56 H74:I74 H76:I76">
    <cfRule type="cellIs" dxfId="0" priority="1" operator="lessThan">
      <formula>0</formula>
    </cfRule>
  </conditionalFormatting>
  <printOptions horizontalCentered="1"/>
  <pageMargins left="0.59055118110236227" right="0.59055118110236227" top="0.39370078740157483" bottom="0.39370078740157483" header="0" footer="0"/>
  <pageSetup paperSize="3" fitToHeight="0" orientation="landscape" r:id="rId1"/>
  <rowBreaks count="1" manualBreakCount="1">
    <brk id="35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2pager</vt:lpstr>
      <vt:lpstr>'2pager'!Impression_des_titres</vt:lpstr>
      <vt:lpstr>'2pager'!Zone_d_impression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2024-12-10T00:59:25Z</dcterms:created>
  <dcterms:modified xsi:type="dcterms:W3CDTF">2024-12-10T01:04:03Z</dcterms:modified>
</cp:coreProperties>
</file>