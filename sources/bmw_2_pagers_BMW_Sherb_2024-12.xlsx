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C79CD2F2-4CEC-4D2D-B85F-DE0FD94F3384}" xr6:coauthVersionLast="47" xr6:coauthVersionMax="47" xr10:uidLastSave="{00000000-0000-0000-0000-000000000000}"/>
  <bookViews>
    <workbookView xWindow="28680" yWindow="-120" windowWidth="29040" windowHeight="15720" xr2:uid="{3FD1822F-16DD-4D10-9DE5-DB737E93813A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  <c r="I77" i="1" s="1"/>
  <c r="G76" i="1"/>
  <c r="I76" i="1" s="1"/>
  <c r="F77" i="1"/>
  <c r="H77" i="1" s="1"/>
  <c r="F74" i="1"/>
  <c r="H74" i="1" s="1"/>
  <c r="F72" i="1"/>
  <c r="H72" i="1" s="1"/>
  <c r="G72" i="1"/>
  <c r="I72" i="1" s="1"/>
  <c r="G71" i="1"/>
  <c r="I71" i="1" s="1"/>
  <c r="G70" i="1"/>
  <c r="I70" i="1" s="1"/>
  <c r="F70" i="1"/>
  <c r="H70" i="1" s="1"/>
  <c r="I69" i="1"/>
  <c r="G69" i="1"/>
  <c r="E69" i="1"/>
  <c r="G66" i="1"/>
  <c r="I66" i="1" s="1"/>
  <c r="G65" i="1"/>
  <c r="I65" i="1" s="1"/>
  <c r="F65" i="1"/>
  <c r="H65" i="1" s="1"/>
  <c r="F64" i="1"/>
  <c r="H64" i="1" s="1"/>
  <c r="G64" i="1"/>
  <c r="I64" i="1" s="1"/>
  <c r="I63" i="1"/>
  <c r="H63" i="1"/>
  <c r="G63" i="1"/>
  <c r="F63" i="1"/>
  <c r="G62" i="1"/>
  <c r="I62" i="1" s="1"/>
  <c r="F62" i="1"/>
  <c r="H62" i="1" s="1"/>
  <c r="I61" i="1"/>
  <c r="G61" i="1"/>
  <c r="E61" i="1"/>
  <c r="G59" i="1"/>
  <c r="I59" i="1" s="1"/>
  <c r="F58" i="1"/>
  <c r="H58" i="1" s="1"/>
  <c r="G58" i="1"/>
  <c r="I58" i="1" s="1"/>
  <c r="G57" i="1"/>
  <c r="I57" i="1" s="1"/>
  <c r="F56" i="1"/>
  <c r="H56" i="1" s="1"/>
  <c r="G56" i="1"/>
  <c r="I56" i="1" s="1"/>
  <c r="G54" i="1"/>
  <c r="I54" i="1" s="1"/>
  <c r="F54" i="1"/>
  <c r="H54" i="1" s="1"/>
  <c r="F53" i="1"/>
  <c r="H53" i="1" s="1"/>
  <c r="G53" i="1"/>
  <c r="I53" i="1" s="1"/>
  <c r="G52" i="1"/>
  <c r="I52" i="1" s="1"/>
  <c r="D55" i="1"/>
  <c r="G51" i="1"/>
  <c r="I51" i="1" s="1"/>
  <c r="E55" i="1"/>
  <c r="C55" i="1"/>
  <c r="I49" i="1"/>
  <c r="G49" i="1"/>
  <c r="E49" i="1"/>
  <c r="G47" i="1"/>
  <c r="I47" i="1" s="1"/>
  <c r="D46" i="1"/>
  <c r="G45" i="1"/>
  <c r="I45" i="1" s="1"/>
  <c r="G44" i="1"/>
  <c r="I44" i="1" s="1"/>
  <c r="F44" i="1"/>
  <c r="H44" i="1" s="1"/>
  <c r="F43" i="1"/>
  <c r="H43" i="1" s="1"/>
  <c r="E46" i="1"/>
  <c r="C46" i="1"/>
  <c r="G42" i="1"/>
  <c r="I42" i="1" s="1"/>
  <c r="G41" i="1"/>
  <c r="I41" i="1" s="1"/>
  <c r="F41" i="1"/>
  <c r="H41" i="1" s="1"/>
  <c r="G40" i="1"/>
  <c r="I40" i="1" s="1"/>
  <c r="G39" i="1"/>
  <c r="I39" i="1" s="1"/>
  <c r="F39" i="1"/>
  <c r="H39" i="1" s="1"/>
  <c r="G38" i="1"/>
  <c r="I38" i="1" s="1"/>
  <c r="I37" i="1"/>
  <c r="G37" i="1"/>
  <c r="E37" i="1"/>
  <c r="I35" i="1"/>
  <c r="H35" i="1"/>
  <c r="G35" i="1"/>
  <c r="F35" i="1"/>
  <c r="G34" i="1"/>
  <c r="I34" i="1" s="1"/>
  <c r="F34" i="1"/>
  <c r="H34" i="1" s="1"/>
  <c r="F32" i="1"/>
  <c r="H32" i="1" s="1"/>
  <c r="G32" i="1"/>
  <c r="I32" i="1" s="1"/>
  <c r="E29" i="1"/>
  <c r="D29" i="1"/>
  <c r="C29" i="1"/>
  <c r="C27" i="1"/>
  <c r="E27" i="1"/>
  <c r="G27" i="1" s="1"/>
  <c r="I27" i="1" s="1"/>
  <c r="D27" i="1"/>
  <c r="G26" i="1"/>
  <c r="I26" i="1" s="1"/>
  <c r="E25" i="1"/>
  <c r="E31" i="1"/>
  <c r="D25" i="1"/>
  <c r="G22" i="1"/>
  <c r="I22" i="1" s="1"/>
  <c r="F22" i="1"/>
  <c r="H22" i="1" s="1"/>
  <c r="C25" i="1"/>
  <c r="E23" i="1"/>
  <c r="D23" i="1"/>
  <c r="G21" i="1"/>
  <c r="I21" i="1" s="1"/>
  <c r="I20" i="1"/>
  <c r="G20" i="1"/>
  <c r="E20" i="1"/>
  <c r="H18" i="1"/>
  <c r="G18" i="1"/>
  <c r="I18" i="1" s="1"/>
  <c r="F18" i="1"/>
  <c r="G17" i="1"/>
  <c r="I17" i="1" s="1"/>
  <c r="F17" i="1"/>
  <c r="H17" i="1" s="1"/>
  <c r="G15" i="1"/>
  <c r="I15" i="1" s="1"/>
  <c r="F15" i="1"/>
  <c r="H15" i="1" s="1"/>
  <c r="E14" i="1"/>
  <c r="E12" i="1"/>
  <c r="D12" i="1"/>
  <c r="G11" i="1"/>
  <c r="I11" i="1" s="1"/>
  <c r="C12" i="1"/>
  <c r="E10" i="1"/>
  <c r="D10" i="1"/>
  <c r="C10" i="1"/>
  <c r="D8" i="1"/>
  <c r="E8" i="1"/>
  <c r="D14" i="1"/>
  <c r="C8" i="1"/>
  <c r="F5" i="1"/>
  <c r="H5" i="1" s="1"/>
  <c r="E6" i="1"/>
  <c r="D6" i="1"/>
  <c r="G4" i="1"/>
  <c r="I4" i="1" s="1"/>
  <c r="G75" i="1" l="1"/>
  <c r="I75" i="1" s="1"/>
  <c r="F75" i="1"/>
  <c r="H75" i="1" s="1"/>
  <c r="G29" i="1"/>
  <c r="I29" i="1" s="1"/>
  <c r="F29" i="1"/>
  <c r="H29" i="1" s="1"/>
  <c r="G46" i="1"/>
  <c r="I46" i="1" s="1"/>
  <c r="F46" i="1"/>
  <c r="H46" i="1" s="1"/>
  <c r="G25" i="1"/>
  <c r="I25" i="1" s="1"/>
  <c r="F25" i="1"/>
  <c r="H25" i="1" s="1"/>
  <c r="G8" i="1"/>
  <c r="I8" i="1" s="1"/>
  <c r="F8" i="1"/>
  <c r="H8" i="1" s="1"/>
  <c r="G73" i="1"/>
  <c r="I73" i="1" s="1"/>
  <c r="G10" i="1"/>
  <c r="I10" i="1" s="1"/>
  <c r="F10" i="1"/>
  <c r="H10" i="1" s="1"/>
  <c r="F27" i="1"/>
  <c r="H27" i="1" s="1"/>
  <c r="G12" i="1"/>
  <c r="I12" i="1" s="1"/>
  <c r="F12" i="1"/>
  <c r="H12" i="1" s="1"/>
  <c r="G55" i="1"/>
  <c r="I55" i="1" s="1"/>
  <c r="F55" i="1"/>
  <c r="H55" i="1" s="1"/>
  <c r="G74" i="1"/>
  <c r="I74" i="1" s="1"/>
  <c r="G43" i="1"/>
  <c r="I43" i="1" s="1"/>
  <c r="F76" i="1"/>
  <c r="H76" i="1" s="1"/>
  <c r="F24" i="1"/>
  <c r="H24" i="1" s="1"/>
  <c r="F45" i="1"/>
  <c r="H45" i="1" s="1"/>
  <c r="F50" i="1"/>
  <c r="H50" i="1" s="1"/>
  <c r="F57" i="1"/>
  <c r="H57" i="1" s="1"/>
  <c r="F66" i="1"/>
  <c r="H66" i="1" s="1"/>
  <c r="F71" i="1"/>
  <c r="H71" i="1" s="1"/>
  <c r="F73" i="1"/>
  <c r="H73" i="1" s="1"/>
  <c r="G5" i="1"/>
  <c r="I5" i="1" s="1"/>
  <c r="C23" i="1"/>
  <c r="F26" i="1"/>
  <c r="H26" i="1" s="1"/>
  <c r="F38" i="1"/>
  <c r="H38" i="1" s="1"/>
  <c r="G50" i="1"/>
  <c r="I50" i="1" s="1"/>
  <c r="F59" i="1"/>
  <c r="H59" i="1" s="1"/>
  <c r="F47" i="1"/>
  <c r="H47" i="1" s="1"/>
  <c r="F52" i="1"/>
  <c r="H52" i="1" s="1"/>
  <c r="G7" i="1"/>
  <c r="I7" i="1" s="1"/>
  <c r="C6" i="1"/>
  <c r="F9" i="1"/>
  <c r="H9" i="1" s="1"/>
  <c r="F21" i="1"/>
  <c r="H21" i="1" s="1"/>
  <c r="F40" i="1"/>
  <c r="H40" i="1" s="1"/>
  <c r="F4" i="1"/>
  <c r="H4" i="1" s="1"/>
  <c r="F28" i="1"/>
  <c r="H28" i="1" s="1"/>
  <c r="F7" i="1"/>
  <c r="H7" i="1" s="1"/>
  <c r="G24" i="1"/>
  <c r="I24" i="1" s="1"/>
  <c r="G9" i="1"/>
  <c r="I9" i="1" s="1"/>
  <c r="D31" i="1"/>
  <c r="F42" i="1"/>
  <c r="H42" i="1" s="1"/>
  <c r="F11" i="1"/>
  <c r="H11" i="1" s="1"/>
  <c r="G28" i="1"/>
  <c r="I28" i="1" s="1"/>
  <c r="F51" i="1"/>
  <c r="H51" i="1" s="1"/>
  <c r="G67" i="1" l="1"/>
  <c r="I67" i="1" s="1"/>
  <c r="F67" i="1"/>
  <c r="H67" i="1" s="1"/>
  <c r="F30" i="1"/>
  <c r="H30" i="1" s="1"/>
  <c r="G30" i="1"/>
  <c r="I30" i="1" s="1"/>
  <c r="C31" i="1"/>
  <c r="G23" i="1"/>
  <c r="I23" i="1" s="1"/>
  <c r="F23" i="1"/>
  <c r="H23" i="1" s="1"/>
  <c r="G13" i="1"/>
  <c r="I13" i="1" s="1"/>
  <c r="F13" i="1"/>
  <c r="H13" i="1" s="1"/>
  <c r="C14" i="1"/>
  <c r="F6" i="1"/>
  <c r="H6" i="1" s="1"/>
  <c r="G6" i="1"/>
  <c r="I6" i="1" s="1"/>
  <c r="G14" i="1" l="1"/>
  <c r="I14" i="1" s="1"/>
  <c r="F14" i="1"/>
  <c r="H14" i="1" s="1"/>
  <c r="F31" i="1"/>
  <c r="H31" i="1" s="1"/>
  <c r="G31" i="1"/>
  <c r="I31" i="1" s="1"/>
</calcChain>
</file>

<file path=xl/sharedStrings.xml><?xml version="1.0" encoding="utf-8"?>
<sst xmlns="http://schemas.openxmlformats.org/spreadsheetml/2006/main" count="131" uniqueCount="74">
  <si>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</si>
  <si>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</si>
  <si>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</si>
  <si>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</si>
  <si>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</si>
  <si>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</si>
  <si>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</si>
  <si>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</si>
  <si>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</si>
  <si>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</si>
  <si>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</si>
  <si>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</si>
  <si>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Budget neuf</t>
  </si>
  <si>
    <t>$ Salaires et commission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</si>
  <si>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</si>
  <si>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</si>
  <si>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</si>
  <si>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</si>
  <si>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</si>
  <si>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</si>
  <si>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</si>
  <si>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</si>
  <si>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</si>
  <si>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</si>
  <si>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</si>
  <si>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</si>
  <si>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</si>
  <si>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</si>
  <si>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</si>
  <si>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</si>
  <si>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</si>
  <si>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</si>
  <si>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</si>
  <si>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</si>
  <si>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</si>
  <si>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</si>
  <si>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</si>
  <si>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Budget usagé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</si>
  <si>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</si>
  <si>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</si>
  <si>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</si>
  <si>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</si>
  <si>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</si>
  <si>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</si>
  <si>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</si>
  <si>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</si>
  <si>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</si>
  <si>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</si>
  <si>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</si>
  <si>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</si>
  <si>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</si>
  <si>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</si>
  <si>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</si>
  <si>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</si>
  <si>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</si>
  <si>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</si>
  <si>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</si>
  <si>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</si>
  <si>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Marketing : Maximum COOP atteint
 - Semi fixe : Ajusté réserve plaque + 7k (veh. Compagnie), Ajouté réserve pour claims non payé (service gratuit fixe), Achat de fournitures service plus élevé en décembre, 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</si>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</sst>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164" formatCode="&quot;$&quot;#,##0"/>
    <numFmt numFmtId="165" formatCode="_ * #,##0_)\ &quot;$&quot;_ ;_ * \(#,##0\)\ &quot;$&quot;_ ;_ * &quot;-&quot;??_)\ &quot;$&quot;_ ;_ @_ "/>
    <numFmt numFmtId="166" formatCode="0.0"/>
    <numFmt numFmtId="167" formatCode="0.0%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3"/>
    <xf numFmtId="0" fontId="4" fillId="0" borderId="1" xfId="3" applyFont="1" applyBorder="1" applyAlignment="1">
      <alignment horizontal="center"/>
    </xf>
    <xf numFmtId="0" fontId="5" fillId="0" borderId="0" xfId="3" applyFont="1"/>
    <xf numFmtId="0" fontId="2" fillId="0" borderId="0" xfId="3" applyAlignment="1">
      <alignment horizontal="center"/>
    </xf>
    <xf numFmtId="0" fontId="2" fillId="0" borderId="2" xfId="3" applyBorder="1"/>
    <xf numFmtId="0" fontId="3" fillId="2" borderId="3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5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3" fillId="2" borderId="8" xfId="3" applyFont="1" applyFill="1" applyBorder="1" applyAlignment="1">
      <alignment horizontal="center"/>
    </xf>
    <xf numFmtId="0" fontId="3" fillId="0" borderId="8" xfId="3" applyFont="1" applyBorder="1"/>
    <xf numFmtId="37" fontId="3" fillId="0" borderId="9" xfId="3" applyNumberFormat="1" applyFont="1" applyBorder="1" applyAlignment="1">
      <alignment horizontal="center"/>
    </xf>
    <xf numFmtId="1" fontId="3" fillId="0" borderId="10" xfId="3" applyNumberFormat="1" applyFont="1" applyBorder="1" applyAlignment="1">
      <alignment horizontal="center"/>
    </xf>
    <xf numFmtId="1" fontId="3" fillId="0" borderId="11" xfId="3" applyNumberFormat="1" applyFont="1" applyBorder="1" applyAlignment="1">
      <alignment horizontal="center"/>
    </xf>
    <xf numFmtId="9" fontId="3" fillId="3" borderId="10" xfId="4" applyFont="1" applyFill="1" applyBorder="1" applyAlignment="1">
      <alignment horizontal="center"/>
    </xf>
    <xf numFmtId="9" fontId="3" fillId="3" borderId="12" xfId="4" applyFont="1" applyFill="1" applyBorder="1" applyAlignment="1">
      <alignment horizontal="center"/>
    </xf>
    <xf numFmtId="0" fontId="7" fillId="4" borderId="8" xfId="0" applyFont="1" applyFill="1" applyBorder="1" applyAlignment="1">
      <alignment vertical="center" wrapText="1"/>
    </xf>
    <xf numFmtId="0" fontId="2" fillId="0" borderId="13" xfId="3" applyBorder="1"/>
    <xf numFmtId="164" fontId="1" fillId="0" borderId="14" xfId="3" applyNumberFormat="1" applyFont="1" applyBorder="1" applyAlignment="1">
      <alignment horizontal="center"/>
    </xf>
    <xf numFmtId="164" fontId="1" fillId="0" borderId="15" xfId="3" applyNumberFormat="1" applyFont="1" applyBorder="1" applyAlignment="1">
      <alignment horizontal="center"/>
    </xf>
    <xf numFmtId="164" fontId="1" fillId="0" borderId="2" xfId="3" applyNumberFormat="1" applyFont="1" applyBorder="1" applyAlignment="1">
      <alignment horizontal="center"/>
    </xf>
    <xf numFmtId="9" fontId="1" fillId="0" borderId="15" xfId="4" applyFont="1" applyFill="1" applyBorder="1" applyAlignment="1">
      <alignment horizontal="center"/>
    </xf>
    <xf numFmtId="9" fontId="1" fillId="0" borderId="16" xfId="4" applyFont="1" applyFill="1" applyBorder="1" applyAlignment="1">
      <alignment horizontal="center"/>
    </xf>
    <xf numFmtId="0" fontId="7" fillId="4" borderId="13" xfId="0" applyFont="1" applyFill="1" applyBorder="1" applyAlignment="1">
      <alignment vertical="center" wrapText="1"/>
    </xf>
    <xf numFmtId="9" fontId="1" fillId="3" borderId="15" xfId="4" applyFont="1" applyFill="1" applyBorder="1" applyAlignment="1">
      <alignment horizontal="center"/>
    </xf>
    <xf numFmtId="9" fontId="1" fillId="3" borderId="16" xfId="4" applyFont="1" applyFill="1" applyBorder="1" applyAlignment="1">
      <alignment horizontal="center"/>
    </xf>
    <xf numFmtId="0" fontId="5" fillId="0" borderId="0" xfId="3" applyFont="1" applyAlignment="1">
      <alignment horizontal="center"/>
    </xf>
    <xf numFmtId="9" fontId="1" fillId="0" borderId="14" xfId="4" applyFont="1" applyFill="1" applyBorder="1" applyAlignment="1">
      <alignment horizontal="center"/>
    </xf>
    <xf numFmtId="9" fontId="1" fillId="0" borderId="15" xfId="4" applyFont="1" applyBorder="1" applyAlignment="1">
      <alignment horizontal="center"/>
    </xf>
    <xf numFmtId="9" fontId="1" fillId="0" borderId="17" xfId="4" applyFont="1" applyBorder="1" applyAlignment="1">
      <alignment horizontal="center"/>
    </xf>
    <xf numFmtId="165" fontId="5" fillId="0" borderId="0" xfId="1" applyNumberFormat="1" applyFont="1" applyBorder="1"/>
    <xf numFmtId="9" fontId="1" fillId="0" borderId="2" xfId="4" applyFont="1" applyBorder="1" applyAlignment="1">
      <alignment horizontal="center"/>
    </xf>
    <xf numFmtId="0" fontId="3" fillId="0" borderId="18" xfId="3" applyFont="1" applyBorder="1"/>
    <xf numFmtId="0" fontId="1" fillId="0" borderId="19" xfId="3" applyFont="1" applyBorder="1"/>
    <xf numFmtId="164" fontId="1" fillId="0" borderId="20" xfId="3" applyNumberFormat="1" applyFont="1" applyBorder="1" applyAlignment="1">
      <alignment horizontal="center"/>
    </xf>
    <xf numFmtId="164" fontId="1" fillId="0" borderId="21" xfId="3" applyNumberFormat="1" applyFont="1" applyBorder="1" applyAlignment="1">
      <alignment horizontal="center"/>
    </xf>
    <xf numFmtId="9" fontId="1" fillId="0" borderId="20" xfId="4" applyFont="1" applyFill="1" applyBorder="1" applyAlignment="1">
      <alignment horizontal="center"/>
    </xf>
    <xf numFmtId="9" fontId="1" fillId="0" borderId="22" xfId="4" applyFont="1" applyFill="1" applyBorder="1" applyAlignment="1">
      <alignment horizontal="center"/>
    </xf>
    <xf numFmtId="0" fontId="2" fillId="5" borderId="13" xfId="3" applyFill="1" applyBorder="1" applyAlignment="1">
      <alignment horizontal="left" indent="1"/>
    </xf>
    <xf numFmtId="37" fontId="1" fillId="5" borderId="13" xfId="3" applyNumberFormat="1" applyFont="1" applyFill="1" applyBorder="1" applyAlignment="1">
      <alignment horizontal="center"/>
    </xf>
    <xf numFmtId="37" fontId="1" fillId="5" borderId="23" xfId="3" applyNumberFormat="1" applyFont="1" applyFill="1" applyBorder="1" applyAlignment="1">
      <alignment horizontal="center"/>
    </xf>
    <xf numFmtId="1" fontId="1" fillId="0" borderId="15" xfId="3" applyNumberFormat="1" applyFont="1" applyBorder="1" applyAlignment="1">
      <alignment horizontal="center"/>
    </xf>
    <xf numFmtId="1" fontId="1" fillId="0" borderId="2" xfId="3" applyNumberFormat="1" applyFont="1" applyBorder="1" applyAlignment="1">
      <alignment horizontal="center"/>
    </xf>
    <xf numFmtId="9" fontId="1" fillId="0" borderId="16" xfId="4" applyFont="1" applyBorder="1" applyAlignment="1">
      <alignment horizontal="center"/>
    </xf>
    <xf numFmtId="0" fontId="1" fillId="5" borderId="24" xfId="3" applyFont="1" applyFill="1" applyBorder="1" applyAlignment="1">
      <alignment horizontal="left" indent="1"/>
    </xf>
    <xf numFmtId="164" fontId="1" fillId="5" borderId="25" xfId="3" applyNumberFormat="1" applyFont="1" applyFill="1" applyBorder="1" applyAlignment="1">
      <alignment horizontal="center"/>
    </xf>
    <xf numFmtId="164" fontId="1" fillId="0" borderId="26" xfId="3" applyNumberFormat="1" applyFont="1" applyBorder="1" applyAlignment="1">
      <alignment horizontal="center"/>
    </xf>
    <xf numFmtId="164" fontId="1" fillId="0" borderId="27" xfId="3" applyNumberFormat="1" applyFont="1" applyBorder="1" applyAlignment="1">
      <alignment horizontal="center"/>
    </xf>
    <xf numFmtId="9" fontId="1" fillId="0" borderId="26" xfId="4" applyFont="1" applyBorder="1" applyAlignment="1">
      <alignment horizontal="center"/>
    </xf>
    <xf numFmtId="9" fontId="1" fillId="0" borderId="28" xfId="4" applyFont="1" applyBorder="1" applyAlignment="1">
      <alignment horizontal="center"/>
    </xf>
    <xf numFmtId="0" fontId="7" fillId="4" borderId="24" xfId="0" applyFont="1" applyFill="1" applyBorder="1" applyAlignment="1">
      <alignment vertical="center" wrapText="1"/>
    </xf>
    <xf numFmtId="0" fontId="1" fillId="0" borderId="0" xfId="3" applyFont="1"/>
    <xf numFmtId="0" fontId="3" fillId="6" borderId="3" xfId="3" applyFont="1" applyFill="1" applyBorder="1" applyAlignment="1">
      <alignment horizontal="center"/>
    </xf>
    <xf numFmtId="0" fontId="3" fillId="6" borderId="4" xfId="3" applyFont="1" applyFill="1" applyBorder="1" applyAlignment="1">
      <alignment horizontal="center"/>
    </xf>
    <xf numFmtId="0" fontId="3" fillId="6" borderId="5" xfId="3" applyFont="1" applyFill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3" fillId="6" borderId="8" xfId="3" applyFont="1" applyFill="1" applyBorder="1" applyAlignment="1">
      <alignment horizontal="center"/>
    </xf>
    <xf numFmtId="0" fontId="3" fillId="0" borderId="13" xfId="3" applyFont="1" applyBorder="1"/>
    <xf numFmtId="37" fontId="3" fillId="0" borderId="14" xfId="3" applyNumberFormat="1" applyFont="1" applyBorder="1" applyAlignment="1">
      <alignment horizontal="center"/>
    </xf>
    <xf numFmtId="1" fontId="3" fillId="0" borderId="15" xfId="3" applyNumberFormat="1" applyFont="1" applyBorder="1" applyAlignment="1">
      <alignment horizontal="center"/>
    </xf>
    <xf numFmtId="1" fontId="3" fillId="0" borderId="2" xfId="3" applyNumberFormat="1" applyFont="1" applyBorder="1" applyAlignment="1">
      <alignment horizontal="center"/>
    </xf>
    <xf numFmtId="9" fontId="1" fillId="0" borderId="20" xfId="4" applyFont="1" applyBorder="1" applyAlignment="1">
      <alignment horizontal="center"/>
    </xf>
    <xf numFmtId="9" fontId="1" fillId="0" borderId="22" xfId="4" applyFont="1" applyBorder="1" applyAlignment="1">
      <alignment horizontal="center"/>
    </xf>
    <xf numFmtId="0" fontId="3" fillId="7" borderId="3" xfId="3" applyFont="1" applyFill="1" applyBorder="1" applyAlignment="1">
      <alignment horizontal="center"/>
    </xf>
    <xf numFmtId="0" fontId="3" fillId="7" borderId="4" xfId="3" applyFont="1" applyFill="1" applyBorder="1" applyAlignment="1">
      <alignment horizontal="center"/>
    </xf>
    <xf numFmtId="0" fontId="3" fillId="7" borderId="5" xfId="3" applyFont="1" applyFill="1" applyBorder="1" applyAlignment="1">
      <alignment horizontal="center"/>
    </xf>
    <xf numFmtId="0" fontId="3" fillId="7" borderId="7" xfId="3" applyFont="1" applyFill="1" applyBorder="1" applyAlignment="1">
      <alignment horizontal="center"/>
    </xf>
    <xf numFmtId="0" fontId="3" fillId="7" borderId="8" xfId="3" applyFont="1" applyFill="1" applyBorder="1" applyAlignment="1">
      <alignment horizontal="center"/>
    </xf>
    <xf numFmtId="164" fontId="3" fillId="0" borderId="14" xfId="3" applyNumberFormat="1" applyFont="1" applyBorder="1" applyAlignment="1">
      <alignment horizontal="center"/>
    </xf>
    <xf numFmtId="164" fontId="3" fillId="0" borderId="15" xfId="3" applyNumberFormat="1" applyFont="1" applyBorder="1" applyAlignment="1">
      <alignment horizontal="center"/>
    </xf>
    <xf numFmtId="164" fontId="3" fillId="0" borderId="2" xfId="3" applyNumberFormat="1" applyFont="1" applyBorder="1" applyAlignment="1">
      <alignment horizontal="center"/>
    </xf>
    <xf numFmtId="9" fontId="3" fillId="3" borderId="15" xfId="4" applyFont="1" applyFill="1" applyBorder="1" applyAlignment="1">
      <alignment horizontal="center"/>
    </xf>
    <xf numFmtId="9" fontId="3" fillId="3" borderId="16" xfId="4" applyFont="1" applyFill="1" applyBorder="1" applyAlignment="1">
      <alignment horizontal="center"/>
    </xf>
    <xf numFmtId="164" fontId="1" fillId="5" borderId="14" xfId="3" applyNumberFormat="1" applyFont="1" applyFill="1" applyBorder="1" applyAlignment="1">
      <alignment horizontal="center"/>
    </xf>
    <xf numFmtId="164" fontId="1" fillId="0" borderId="14" xfId="4" applyNumberFormat="1" applyFont="1" applyFill="1" applyBorder="1" applyAlignment="1">
      <alignment horizontal="center"/>
    </xf>
    <xf numFmtId="0" fontId="2" fillId="0" borderId="13" xfId="3" applyBorder="1" applyAlignment="1">
      <alignment horizontal="left" indent="1"/>
    </xf>
    <xf numFmtId="9" fontId="1" fillId="0" borderId="14" xfId="2" applyFont="1" applyFill="1" applyBorder="1" applyAlignment="1">
      <alignment horizontal="center"/>
    </xf>
    <xf numFmtId="0" fontId="2" fillId="0" borderId="24" xfId="3" applyBorder="1"/>
    <xf numFmtId="164" fontId="1" fillId="0" borderId="25" xfId="3" applyNumberFormat="1" applyFont="1" applyBorder="1" applyAlignment="1">
      <alignment horizontal="center"/>
    </xf>
    <xf numFmtId="9" fontId="1" fillId="0" borderId="26" xfId="4" applyFont="1" applyFill="1" applyBorder="1" applyAlignment="1">
      <alignment horizontal="center"/>
    </xf>
    <xf numFmtId="0" fontId="3" fillId="8" borderId="3" xfId="3" applyFont="1" applyFill="1" applyBorder="1" applyAlignment="1">
      <alignment horizontal="center"/>
    </xf>
    <xf numFmtId="0" fontId="3" fillId="8" borderId="4" xfId="3" applyFont="1" applyFill="1" applyBorder="1" applyAlignment="1">
      <alignment horizontal="center"/>
    </xf>
    <xf numFmtId="0" fontId="3" fillId="8" borderId="5" xfId="3" applyFont="1" applyFill="1" applyBorder="1" applyAlignment="1">
      <alignment horizontal="center"/>
    </xf>
    <xf numFmtId="0" fontId="3" fillId="8" borderId="7" xfId="3" applyFont="1" applyFill="1" applyBorder="1" applyAlignment="1">
      <alignment horizontal="center"/>
    </xf>
    <xf numFmtId="0" fontId="3" fillId="8" borderId="8" xfId="3" applyFont="1" applyFill="1" applyBorder="1" applyAlignment="1">
      <alignment horizontal="center"/>
    </xf>
    <xf numFmtId="0" fontId="3" fillId="0" borderId="13" xfId="3" applyFont="1" applyBorder="1" applyAlignment="1">
      <alignment horizontal="left"/>
    </xf>
    <xf numFmtId="0" fontId="7" fillId="4" borderId="29" xfId="0" applyFont="1" applyFill="1" applyBorder="1" applyAlignment="1">
      <alignment vertical="center" wrapText="1"/>
    </xf>
    <xf numFmtId="0" fontId="1" fillId="0" borderId="13" xfId="3" applyFont="1" applyBorder="1" applyAlignment="1">
      <alignment horizontal="left" indent="1"/>
    </xf>
    <xf numFmtId="0" fontId="7" fillId="4" borderId="30" xfId="0" applyFont="1" applyFill="1" applyBorder="1" applyAlignment="1">
      <alignment vertical="center" wrapText="1"/>
    </xf>
    <xf numFmtId="0" fontId="8" fillId="0" borderId="0" xfId="3" applyFont="1"/>
    <xf numFmtId="9" fontId="1" fillId="0" borderId="28" xfId="4" applyFont="1" applyFill="1" applyBorder="1" applyAlignment="1">
      <alignment horizontal="center"/>
    </xf>
    <xf numFmtId="0" fontId="7" fillId="4" borderId="31" xfId="0" applyFont="1" applyFill="1" applyBorder="1" applyAlignment="1">
      <alignment vertical="center" wrapText="1"/>
    </xf>
    <xf numFmtId="0" fontId="3" fillId="9" borderId="3" xfId="3" applyFont="1" applyFill="1" applyBorder="1" applyAlignment="1">
      <alignment horizontal="center"/>
    </xf>
    <xf numFmtId="0" fontId="3" fillId="9" borderId="4" xfId="3" applyFont="1" applyFill="1" applyBorder="1" applyAlignment="1">
      <alignment horizontal="center"/>
    </xf>
    <xf numFmtId="0" fontId="3" fillId="9" borderId="5" xfId="3" applyFont="1" applyFill="1" applyBorder="1" applyAlignment="1">
      <alignment horizontal="center"/>
    </xf>
    <xf numFmtId="0" fontId="3" fillId="9" borderId="7" xfId="3" applyFont="1" applyFill="1" applyBorder="1" applyAlignment="1">
      <alignment horizontal="center"/>
    </xf>
    <xf numFmtId="0" fontId="3" fillId="9" borderId="8" xfId="3" applyFont="1" applyFill="1" applyBorder="1" applyAlignment="1">
      <alignment horizontal="center"/>
    </xf>
    <xf numFmtId="0" fontId="1" fillId="0" borderId="13" xfId="3" applyFont="1" applyBorder="1" applyAlignment="1">
      <alignment horizontal="left"/>
    </xf>
    <xf numFmtId="9" fontId="1" fillId="0" borderId="14" xfId="2" applyFont="1" applyBorder="1" applyAlignment="1">
      <alignment horizontal="center"/>
    </xf>
    <xf numFmtId="0" fontId="1" fillId="5" borderId="13" xfId="3" applyFont="1" applyFill="1" applyBorder="1" applyAlignment="1">
      <alignment horizontal="left"/>
    </xf>
    <xf numFmtId="166" fontId="1" fillId="5" borderId="14" xfId="3" applyNumberFormat="1" applyFont="1" applyFill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2" xfId="3" applyNumberFormat="1" applyFont="1" applyBorder="1" applyAlignment="1">
      <alignment horizontal="center"/>
    </xf>
    <xf numFmtId="0" fontId="1" fillId="0" borderId="24" xfId="3" applyFont="1" applyBorder="1" applyAlignment="1">
      <alignment horizontal="left"/>
    </xf>
    <xf numFmtId="0" fontId="3" fillId="10" borderId="3" xfId="3" applyFont="1" applyFill="1" applyBorder="1" applyAlignment="1">
      <alignment horizontal="center"/>
    </xf>
    <xf numFmtId="0" fontId="3" fillId="10" borderId="4" xfId="3" applyFont="1" applyFill="1" applyBorder="1" applyAlignment="1">
      <alignment horizontal="center"/>
    </xf>
    <xf numFmtId="0" fontId="3" fillId="10" borderId="5" xfId="3" applyFont="1" applyFill="1" applyBorder="1" applyAlignment="1">
      <alignment horizontal="center"/>
    </xf>
    <xf numFmtId="0" fontId="3" fillId="10" borderId="7" xfId="3" applyFont="1" applyFill="1" applyBorder="1" applyAlignment="1">
      <alignment horizontal="center"/>
    </xf>
    <xf numFmtId="0" fontId="3" fillId="10" borderId="8" xfId="3" applyFont="1" applyFill="1" applyBorder="1" applyAlignment="1">
      <alignment horizontal="center"/>
    </xf>
    <xf numFmtId="0" fontId="2" fillId="0" borderId="13" xfId="3" applyBorder="1" applyAlignment="1">
      <alignment horizontal="left"/>
    </xf>
    <xf numFmtId="164" fontId="1" fillId="0" borderId="14" xfId="2" applyNumberFormat="1" applyFont="1" applyBorder="1" applyAlignment="1">
      <alignment horizontal="center"/>
    </xf>
    <xf numFmtId="164" fontId="2" fillId="0" borderId="10" xfId="3" applyNumberFormat="1" applyBorder="1" applyAlignment="1">
      <alignment horizontal="center"/>
    </xf>
    <xf numFmtId="164" fontId="2" fillId="0" borderId="11" xfId="3" applyNumberFormat="1" applyBorder="1" applyAlignment="1">
      <alignment horizontal="center"/>
    </xf>
    <xf numFmtId="164" fontId="2" fillId="0" borderId="15" xfId="3" applyNumberFormat="1" applyBorder="1" applyAlignment="1">
      <alignment horizontal="center"/>
    </xf>
    <xf numFmtId="164" fontId="2" fillId="0" borderId="2" xfId="3" applyNumberFormat="1" applyBorder="1" applyAlignment="1">
      <alignment horizontal="center"/>
    </xf>
    <xf numFmtId="0" fontId="3" fillId="0" borderId="0" xfId="3" applyFont="1"/>
    <xf numFmtId="167" fontId="1" fillId="0" borderId="14" xfId="2" applyNumberFormat="1" applyFont="1" applyBorder="1" applyAlignment="1">
      <alignment horizontal="center"/>
    </xf>
    <xf numFmtId="167" fontId="1" fillId="0" borderId="15" xfId="4" applyNumberFormat="1" applyFont="1" applyBorder="1" applyAlignment="1">
      <alignment horizontal="center"/>
    </xf>
    <xf numFmtId="167" fontId="1" fillId="0" borderId="17" xfId="4" applyNumberFormat="1" applyFont="1" applyBorder="1" applyAlignment="1">
      <alignment horizontal="center"/>
    </xf>
    <xf numFmtId="0" fontId="2" fillId="0" borderId="24" xfId="3" applyBorder="1" applyAlignment="1">
      <alignment horizontal="left"/>
    </xf>
    <xf numFmtId="167" fontId="1" fillId="0" borderId="25" xfId="2" applyNumberFormat="1" applyFont="1" applyBorder="1" applyAlignment="1">
      <alignment horizontal="center"/>
    </xf>
    <xf numFmtId="167" fontId="1" fillId="0" borderId="26" xfId="4" applyNumberFormat="1" applyFont="1" applyBorder="1" applyAlignment="1">
      <alignment horizontal="center"/>
    </xf>
    <xf numFmtId="167" fontId="1" fillId="0" borderId="32" xfId="4" applyNumberFormat="1" applyFont="1" applyBorder="1" applyAlignment="1">
      <alignment horizontal="center"/>
    </xf>
  </cellXfs>
  <cellStyles count="5">
    <cellStyle name="Monétaire" xfId="1" builtinId="4"/>
    <cellStyle name="Normal" xfId="0" builtinId="0"/>
    <cellStyle name="Normal 3" xfId="3" xr:uid="{D79DD734-6FBE-48B6-8BE9-97959BB13DA3}"/>
    <cellStyle name="Pourcentage" xfId="2" builtinId="5"/>
    <cellStyle name="Pourcentage 2" xfId="4" xr:uid="{86CF86F3-7C16-4789-A084-72E29D69F31B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6A94-C467-48BA-8263-57B349CD0E5F}">
  <sheetPr>
    <tabColor rgb="FFFF0000"/>
    <pageSetUpPr fitToPage="1"/>
  </sheetPr>
  <dimension ref="A1:Y77"/>
  <sheetViews>
    <sheetView tabSelected="1" zoomScale="110" zoomScaleNormal="110" workbookViewId="0">
      <selection activeCell="C35" sqref="C35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25" width="10.625" style="3" bestFit="1" customWidth="1"/>
    <col min="26" max="16384" width="11" style="1"/>
  </cols>
  <sheetData>
    <row r="1" spans="1:25" ht="15.75" x14ac:dyDescent="0.25">
      <c r="B1" s="2" t="s">
        <v>73</v>
      </c>
      <c r="C1" s="2"/>
      <c r="D1" s="2"/>
      <c r="E1" s="2"/>
      <c r="F1" s="2"/>
      <c r="G1" s="2"/>
      <c r="H1" s="2"/>
      <c r="I1" s="2"/>
      <c r="J1" s="2"/>
    </row>
    <row r="2" spans="1:25" x14ac:dyDescent="0.25">
      <c r="B2" s="4"/>
    </row>
    <row r="3" spans="1:25" x14ac:dyDescent="0.25">
      <c r="A3" s="5"/>
      <c r="B3" s="6" t="s">
        <v>0</v>
      </c>
      <c r="C3" s="7" t="s">
        <v>1</v>
      </c>
      <c r="D3" s="8" t="s">
        <v>2</v>
      </c>
      <c r="E3" s="9">
        <v>2023</v>
      </c>
      <c r="F3" s="8" t="s">
        <v>3</v>
      </c>
      <c r="G3" s="10" t="s">
        <v>4</v>
      </c>
      <c r="H3" s="8" t="s">
        <v>5</v>
      </c>
      <c r="I3" s="10" t="s">
        <v>6</v>
      </c>
      <c r="J3" s="11" t="s">
        <v>7</v>
      </c>
      <c r="N3" s="3" t="s">
        <v>8</v>
      </c>
    </row>
    <row r="4" spans="1:25" ht="15" customHeight="1" x14ac:dyDescent="0.25">
      <c r="A4" s="5"/>
      <c r="B4" s="12" t="s">
        <v>9</v>
      </c>
      <c r="C4" s="13">
        <v>25</v>
      </c>
      <c r="D4" s="13">
        <v>16</v>
      </c>
      <c r="E4" s="13">
        <v>16</v>
      </c>
      <c r="F4" s="14">
        <f t="shared" ref="F4:G15" si="0">+IFERROR($C4-D4,"")</f>
        <v>9</v>
      </c>
      <c r="G4" s="15">
        <f t="shared" si="0"/>
        <v>9</v>
      </c>
      <c r="H4" s="16">
        <f t="shared" ref="H4:H15" si="1">+IFERROR(F4/ABS($D4),"")</f>
        <v>0.5625</v>
      </c>
      <c r="I4" s="17">
        <f t="shared" ref="I4:I14" si="2">+IFERROR(G4/ABS($E4),"")</f>
        <v>0.5625</v>
      </c>
      <c r="J4" s="18"/>
    </row>
    <row r="5" spans="1:25" x14ac:dyDescent="0.25">
      <c r="A5" s="5"/>
      <c r="B5" s="19" t="s">
        <v>10</v>
      </c>
      <c r="C5" s="20">
        <v>136758.04000000024</v>
      </c>
      <c r="D5" s="20">
        <v>82088.929768620714</v>
      </c>
      <c r="E5" s="20">
        <v>57515.7400000001</v>
      </c>
      <c r="F5" s="21">
        <f t="shared" si="0"/>
        <v>54669.110231379527</v>
      </c>
      <c r="G5" s="22">
        <f t="shared" si="0"/>
        <v>79242.300000000134</v>
      </c>
      <c r="H5" s="23">
        <f t="shared" si="1"/>
        <v>0.66597421096208909</v>
      </c>
      <c r="I5" s="24">
        <f t="shared" si="2"/>
        <v>1.3777498124861125</v>
      </c>
      <c r="J5" s="25"/>
    </row>
    <row r="6" spans="1:25" x14ac:dyDescent="0.25">
      <c r="A6" s="5"/>
      <c r="B6" s="19" t="s">
        <v>11</v>
      </c>
      <c r="C6" s="20">
        <f>+C5/C4</f>
        <v>5470.3216000000093</v>
      </c>
      <c r="D6" s="20">
        <f>+D5/D4</f>
        <v>5130.5581105387946</v>
      </c>
      <c r="E6" s="20">
        <f>+E5/E4</f>
        <v>3594.7337500000062</v>
      </c>
      <c r="F6" s="21">
        <f t="shared" si="0"/>
        <v>339.7634894612147</v>
      </c>
      <c r="G6" s="22">
        <f t="shared" si="0"/>
        <v>1875.5878500000031</v>
      </c>
      <c r="H6" s="26">
        <f>+IFERROR(F6/ABS($D6),"")</f>
        <v>6.6223495015736961E-2</v>
      </c>
      <c r="I6" s="27">
        <f t="shared" si="2"/>
        <v>0.52175987999111195</v>
      </c>
      <c r="J6" s="25"/>
      <c r="N6" s="3" t="s">
        <v>12</v>
      </c>
    </row>
    <row r="7" spans="1:25" x14ac:dyDescent="0.25">
      <c r="A7" s="5"/>
      <c r="B7" s="19" t="s">
        <v>13</v>
      </c>
      <c r="C7" s="20">
        <v>35804.06</v>
      </c>
      <c r="D7" s="20">
        <v>24710.353218086922</v>
      </c>
      <c r="E7" s="20">
        <v>22238.83</v>
      </c>
      <c r="F7" s="21">
        <f t="shared" si="0"/>
        <v>11093.706781913075</v>
      </c>
      <c r="G7" s="22">
        <f t="shared" si="0"/>
        <v>13565.229999999996</v>
      </c>
      <c r="H7" s="23">
        <f t="shared" si="1"/>
        <v>0.44894974523443704</v>
      </c>
      <c r="I7" s="24">
        <f t="shared" si="2"/>
        <v>0.60997948183425099</v>
      </c>
      <c r="J7" s="25"/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8" t="s">
        <v>19</v>
      </c>
      <c r="T7" s="28" t="s">
        <v>20</v>
      </c>
      <c r="U7" s="28" t="s">
        <v>21</v>
      </c>
      <c r="V7" s="28" t="s">
        <v>22</v>
      </c>
      <c r="W7" s="28" t="s">
        <v>23</v>
      </c>
      <c r="X7" s="28" t="s">
        <v>24</v>
      </c>
      <c r="Y7" s="28" t="s">
        <v>25</v>
      </c>
    </row>
    <row r="8" spans="1:25" x14ac:dyDescent="0.25">
      <c r="A8" s="5"/>
      <c r="B8" s="19" t="s">
        <v>26</v>
      </c>
      <c r="C8" s="29">
        <f>+C7/C5</f>
        <v>0.26180588724436188</v>
      </c>
      <c r="D8" s="29">
        <f>+D7/D5</f>
        <v>0.30101931268609</v>
      </c>
      <c r="E8" s="29">
        <f>+E7/E5</f>
        <v>0.38665641787795763</v>
      </c>
      <c r="F8" s="30">
        <f t="shared" si="0"/>
        <v>-3.9213425441728123E-2</v>
      </c>
      <c r="G8" s="31">
        <f t="shared" si="0"/>
        <v>-0.12485053063359575</v>
      </c>
      <c r="H8" s="23">
        <f t="shared" si="1"/>
        <v>-0.13026880266191027</v>
      </c>
      <c r="I8" s="24">
        <f>+IFERROR(G8/ABS($E8),"")</f>
        <v>-0.32289786192816528</v>
      </c>
      <c r="J8" s="25"/>
      <c r="N8" s="28">
        <v>49</v>
      </c>
      <c r="O8" s="28">
        <v>68</v>
      </c>
      <c r="P8" s="28">
        <v>70</v>
      </c>
      <c r="Q8" s="28">
        <v>67</v>
      </c>
      <c r="R8" s="28">
        <v>59</v>
      </c>
      <c r="S8" s="28">
        <v>55</v>
      </c>
      <c r="T8" s="28">
        <v>59</v>
      </c>
      <c r="U8" s="28">
        <v>64</v>
      </c>
      <c r="V8" s="28">
        <v>56</v>
      </c>
      <c r="W8" s="28">
        <v>57</v>
      </c>
      <c r="X8" s="28">
        <v>53</v>
      </c>
      <c r="Y8" s="28">
        <v>47</v>
      </c>
    </row>
    <row r="9" spans="1:25" x14ac:dyDescent="0.25">
      <c r="A9" s="5"/>
      <c r="B9" s="19" t="s">
        <v>27</v>
      </c>
      <c r="C9" s="20">
        <v>39919.270000000004</v>
      </c>
      <c r="D9" s="20">
        <v>25600</v>
      </c>
      <c r="E9" s="20">
        <v>28666</v>
      </c>
      <c r="F9" s="21">
        <f t="shared" si="0"/>
        <v>14319.270000000004</v>
      </c>
      <c r="G9" s="22">
        <f t="shared" si="0"/>
        <v>11253.270000000004</v>
      </c>
      <c r="H9" s="23">
        <f t="shared" si="1"/>
        <v>0.55934648437500012</v>
      </c>
      <c r="I9" s="24">
        <f t="shared" si="2"/>
        <v>0.39256505965255017</v>
      </c>
      <c r="J9" s="25"/>
      <c r="N9" s="32">
        <v>3831906.6692307699</v>
      </c>
      <c r="O9" s="32">
        <v>5317748.0307692327</v>
      </c>
      <c r="P9" s="32">
        <v>5474152.3846153859</v>
      </c>
      <c r="Q9" s="32">
        <v>5239545.8538461551</v>
      </c>
      <c r="R9" s="32">
        <v>4613928.4384615403</v>
      </c>
      <c r="S9" s="32">
        <v>4301119.7307692319</v>
      </c>
      <c r="T9" s="32">
        <v>4613928.4384615403</v>
      </c>
      <c r="U9" s="32">
        <v>5004939.3230769243</v>
      </c>
      <c r="V9" s="32">
        <v>4379321.9076923095</v>
      </c>
      <c r="W9" s="32">
        <v>4457524.0846153852</v>
      </c>
      <c r="X9" s="32">
        <v>4144715.3769230777</v>
      </c>
      <c r="Y9" s="32">
        <v>3675502.3153846157</v>
      </c>
    </row>
    <row r="10" spans="1:25" x14ac:dyDescent="0.25">
      <c r="A10" s="5"/>
      <c r="B10" s="19" t="s">
        <v>28</v>
      </c>
      <c r="C10" s="20">
        <f>+C9/C4</f>
        <v>1596.7708000000002</v>
      </c>
      <c r="D10" s="20">
        <f>+D9/D4</f>
        <v>1600</v>
      </c>
      <c r="E10" s="20">
        <f>+E9/E4</f>
        <v>1791.625</v>
      </c>
      <c r="F10" s="21">
        <f t="shared" si="0"/>
        <v>-3.2291999999997643</v>
      </c>
      <c r="G10" s="22">
        <f t="shared" si="0"/>
        <v>-194.85419999999976</v>
      </c>
      <c r="H10" s="26">
        <f t="shared" si="1"/>
        <v>-2.0182499999998526E-3</v>
      </c>
      <c r="I10" s="27">
        <f t="shared" si="2"/>
        <v>-0.10875836182236782</v>
      </c>
      <c r="J10" s="25"/>
    </row>
    <row r="11" spans="1:25" x14ac:dyDescent="0.25">
      <c r="A11" s="5"/>
      <c r="B11" s="19" t="s">
        <v>29</v>
      </c>
      <c r="C11" s="20">
        <v>13314.87</v>
      </c>
      <c r="D11" s="20">
        <v>6400</v>
      </c>
      <c r="E11" s="20">
        <v>7216.5</v>
      </c>
      <c r="F11" s="21">
        <f t="shared" si="0"/>
        <v>6914.8700000000008</v>
      </c>
      <c r="G11" s="22">
        <f t="shared" si="0"/>
        <v>6098.3700000000008</v>
      </c>
      <c r="H11" s="23">
        <f t="shared" si="1"/>
        <v>1.0804484375000001</v>
      </c>
      <c r="I11" s="24">
        <f t="shared" si="2"/>
        <v>0.84505923924340065</v>
      </c>
      <c r="J11" s="25"/>
    </row>
    <row r="12" spans="1:25" x14ac:dyDescent="0.25">
      <c r="A12" s="5"/>
      <c r="B12" s="19" t="s">
        <v>30</v>
      </c>
      <c r="C12" s="29">
        <f>+C11/C9</f>
        <v>0.33354492704901667</v>
      </c>
      <c r="D12" s="29">
        <f>+D11/D9</f>
        <v>0.25</v>
      </c>
      <c r="E12" s="29">
        <f>+E11/E9</f>
        <v>0.25174422660992118</v>
      </c>
      <c r="F12" s="30">
        <f t="shared" si="0"/>
        <v>8.3544927049016671E-2</v>
      </c>
      <c r="G12" s="33">
        <f t="shared" si="0"/>
        <v>8.1800700439095486E-2</v>
      </c>
      <c r="H12" s="23">
        <f t="shared" si="1"/>
        <v>0.33417970819606668</v>
      </c>
      <c r="I12" s="24">
        <f t="shared" si="2"/>
        <v>0.32493575539210295</v>
      </c>
      <c r="J12" s="25"/>
    </row>
    <row r="13" spans="1:25" x14ac:dyDescent="0.25">
      <c r="A13" s="5"/>
      <c r="B13" s="19" t="s">
        <v>31</v>
      </c>
      <c r="C13" s="20">
        <v>52717.32</v>
      </c>
      <c r="D13" s="20">
        <v>34238.635781841112</v>
      </c>
      <c r="E13" s="20">
        <v>30355.78</v>
      </c>
      <c r="F13" s="21">
        <f t="shared" si="0"/>
        <v>18478.684218158887</v>
      </c>
      <c r="G13" s="22">
        <f t="shared" si="0"/>
        <v>22361.54</v>
      </c>
      <c r="H13" s="23">
        <f t="shared" si="1"/>
        <v>0.53970270123785968</v>
      </c>
      <c r="I13" s="24">
        <f t="shared" si="2"/>
        <v>0.73664850647883207</v>
      </c>
      <c r="J13" s="25"/>
    </row>
    <row r="14" spans="1:25" x14ac:dyDescent="0.25">
      <c r="A14" s="5"/>
      <c r="B14" s="19" t="s">
        <v>32</v>
      </c>
      <c r="C14" s="20">
        <f>+C13/C4</f>
        <v>2108.6927999999998</v>
      </c>
      <c r="D14" s="20">
        <f>+D13/D4</f>
        <v>2139.9147363650695</v>
      </c>
      <c r="E14" s="20">
        <f>+E13/E4</f>
        <v>1897.2362499999999</v>
      </c>
      <c r="F14" s="21">
        <f t="shared" si="0"/>
        <v>-31.221936365069723</v>
      </c>
      <c r="G14" s="22">
        <f t="shared" si="0"/>
        <v>211.45654999999988</v>
      </c>
      <c r="H14" s="23">
        <f t="shared" si="1"/>
        <v>-1.4590271207769869E-2</v>
      </c>
      <c r="I14" s="24">
        <f t="shared" si="2"/>
        <v>0.11145504414645245</v>
      </c>
      <c r="J14" s="25"/>
    </row>
    <row r="15" spans="1:25" x14ac:dyDescent="0.25">
      <c r="A15" s="5"/>
      <c r="B15" s="19" t="s">
        <v>33</v>
      </c>
      <c r="C15" s="20">
        <v>90860</v>
      </c>
      <c r="D15" s="20">
        <v>59346.313846153862</v>
      </c>
      <c r="E15" s="20">
        <v>72488.899999999994</v>
      </c>
      <c r="F15" s="21">
        <f t="shared" si="0"/>
        <v>31513.686153846138</v>
      </c>
      <c r="G15" s="22">
        <f t="shared" si="0"/>
        <v>18371.100000000006</v>
      </c>
      <c r="H15" s="23">
        <f t="shared" si="1"/>
        <v>0.53101337069629118</v>
      </c>
      <c r="I15" s="24">
        <f>+IFERROR(G15/ABS($E15),"")</f>
        <v>0.25343328426835016</v>
      </c>
      <c r="J15" s="25"/>
    </row>
    <row r="16" spans="1:25" x14ac:dyDescent="0.25">
      <c r="A16" s="5"/>
      <c r="B16" s="34" t="s">
        <v>34</v>
      </c>
      <c r="C16" s="35"/>
      <c r="D16" s="35"/>
      <c r="E16" s="35"/>
      <c r="F16" s="36"/>
      <c r="G16" s="37"/>
      <c r="H16" s="38"/>
      <c r="I16" s="39"/>
      <c r="J16" s="25"/>
    </row>
    <row r="17" spans="1:25" x14ac:dyDescent="0.25">
      <c r="A17" s="5"/>
      <c r="B17" s="40" t="s">
        <v>9</v>
      </c>
      <c r="C17" s="41">
        <v>66</v>
      </c>
      <c r="D17" s="41">
        <v>47</v>
      </c>
      <c r="E17" s="42">
        <v>45</v>
      </c>
      <c r="F17" s="43">
        <f>+IFERROR($C17-D17,"")</f>
        <v>19</v>
      </c>
      <c r="G17" s="44">
        <f>+IFERROR($C17-E17,"")</f>
        <v>21</v>
      </c>
      <c r="H17" s="30">
        <f>+IFERROR(F17/ABS($D17),"")</f>
        <v>0.40425531914893614</v>
      </c>
      <c r="I17" s="45">
        <f>+IFERROR(G17/ABS($E17),"")</f>
        <v>0.46666666666666667</v>
      </c>
      <c r="J17" s="25"/>
    </row>
    <row r="18" spans="1:25" x14ac:dyDescent="0.25">
      <c r="A18" s="5"/>
      <c r="B18" s="46" t="s">
        <v>35</v>
      </c>
      <c r="C18" s="47">
        <v>5091452</v>
      </c>
      <c r="D18" s="47">
        <v>3675502.3153846157</v>
      </c>
      <c r="E18" s="47">
        <v>3938633</v>
      </c>
      <c r="F18" s="48">
        <f>+IFERROR($C18-D18,"")</f>
        <v>1415949.6846153843</v>
      </c>
      <c r="G18" s="49">
        <f>+IFERROR($C18-E18,"")</f>
        <v>1152819</v>
      </c>
      <c r="H18" s="50">
        <f>+IFERROR(F18/ABS($D18),"")</f>
        <v>0.38523977489787409</v>
      </c>
      <c r="I18" s="51">
        <f>+IFERROR(G18/ABS($E18),"")</f>
        <v>0.29269520668719323</v>
      </c>
      <c r="J18" s="52"/>
    </row>
    <row r="19" spans="1:25" x14ac:dyDescent="0.25">
      <c r="C19" s="53"/>
      <c r="D19" s="53"/>
      <c r="E19" s="53"/>
      <c r="F19" s="53"/>
      <c r="G19" s="53"/>
      <c r="H19" s="53"/>
      <c r="I19" s="53"/>
    </row>
    <row r="20" spans="1:25" x14ac:dyDescent="0.25">
      <c r="B20" s="54" t="s">
        <v>36</v>
      </c>
      <c r="C20" s="55" t="s">
        <v>1</v>
      </c>
      <c r="D20" s="55" t="s">
        <v>2</v>
      </c>
      <c r="E20" s="55">
        <f>$E$3</f>
        <v>2023</v>
      </c>
      <c r="F20" s="56" t="s">
        <v>3</v>
      </c>
      <c r="G20" s="57" t="str">
        <f>$G$3</f>
        <v>▲2023</v>
      </c>
      <c r="H20" s="56" t="s">
        <v>5</v>
      </c>
      <c r="I20" s="57" t="str">
        <f>$I$3</f>
        <v>% ▲ 2023</v>
      </c>
      <c r="J20" s="58" t="s">
        <v>7</v>
      </c>
    </row>
    <row r="21" spans="1:25" ht="15" customHeight="1" x14ac:dyDescent="0.25">
      <c r="B21" s="59" t="s">
        <v>9</v>
      </c>
      <c r="C21" s="60">
        <v>13</v>
      </c>
      <c r="D21" s="60">
        <v>10</v>
      </c>
      <c r="E21" s="60">
        <v>13</v>
      </c>
      <c r="F21" s="61">
        <f t="shared" ref="F21:G32" si="3">+IFERROR($C21-D21,"")</f>
        <v>3</v>
      </c>
      <c r="G21" s="62">
        <f t="shared" si="3"/>
        <v>0</v>
      </c>
      <c r="H21" s="16">
        <f t="shared" ref="H21:H32" si="4">+IFERROR(F21/ABS($D21),"")</f>
        <v>0.3</v>
      </c>
      <c r="I21" s="17">
        <f t="shared" ref="I21:I32" si="5">+IFERROR(G21/ABS($E21),"")</f>
        <v>0</v>
      </c>
      <c r="J21" s="18"/>
    </row>
    <row r="22" spans="1:25" x14ac:dyDescent="0.25">
      <c r="B22" s="19" t="s">
        <v>10</v>
      </c>
      <c r="C22" s="20">
        <v>10310.770000000019</v>
      </c>
      <c r="D22" s="20">
        <v>23000</v>
      </c>
      <c r="E22" s="20">
        <v>9327.0999999999804</v>
      </c>
      <c r="F22" s="21">
        <f t="shared" si="3"/>
        <v>-12689.229999999981</v>
      </c>
      <c r="G22" s="22">
        <f t="shared" si="3"/>
        <v>983.67000000003827</v>
      </c>
      <c r="H22" s="23">
        <f t="shared" si="4"/>
        <v>-0.55170565217391221</v>
      </c>
      <c r="I22" s="24">
        <f t="shared" si="5"/>
        <v>0.10546364893697294</v>
      </c>
      <c r="J22" s="25"/>
    </row>
    <row r="23" spans="1:25" x14ac:dyDescent="0.25">
      <c r="B23" s="19" t="s">
        <v>11</v>
      </c>
      <c r="C23" s="20">
        <f>+C22/C21</f>
        <v>793.13615384615525</v>
      </c>
      <c r="D23" s="20">
        <f>+D22/D21</f>
        <v>2300</v>
      </c>
      <c r="E23" s="20">
        <f>+E22/E21</f>
        <v>717.46923076922928</v>
      </c>
      <c r="F23" s="21">
        <f t="shared" si="3"/>
        <v>-1506.8638461538449</v>
      </c>
      <c r="G23" s="22">
        <f t="shared" si="3"/>
        <v>75.666923076925968</v>
      </c>
      <c r="H23" s="26">
        <f t="shared" si="4"/>
        <v>-0.65515819397993258</v>
      </c>
      <c r="I23" s="27">
        <f t="shared" si="5"/>
        <v>0.10546364893697287</v>
      </c>
      <c r="J23" s="25"/>
    </row>
    <row r="24" spans="1:25" x14ac:dyDescent="0.25">
      <c r="B24" s="19" t="s">
        <v>13</v>
      </c>
      <c r="C24" s="20">
        <v>10698.86</v>
      </c>
      <c r="D24" s="20">
        <v>8428.2442748091598</v>
      </c>
      <c r="E24" s="20">
        <v>7819.55</v>
      </c>
      <c r="F24" s="21">
        <f t="shared" si="3"/>
        <v>2270.6157251908407</v>
      </c>
      <c r="G24" s="22">
        <f t="shared" si="3"/>
        <v>2879.3100000000004</v>
      </c>
      <c r="H24" s="23">
        <f t="shared" si="4"/>
        <v>0.26940554297617986</v>
      </c>
      <c r="I24" s="24">
        <f t="shared" si="5"/>
        <v>0.36821939881450982</v>
      </c>
      <c r="J24" s="25"/>
      <c r="N24" s="3" t="s">
        <v>37</v>
      </c>
    </row>
    <row r="25" spans="1:25" x14ac:dyDescent="0.25">
      <c r="B25" s="19" t="s">
        <v>26</v>
      </c>
      <c r="C25" s="29">
        <f>+C24/C22</f>
        <v>1.0376392839720003</v>
      </c>
      <c r="D25" s="29">
        <f>+D24/D22</f>
        <v>0.36644540325257219</v>
      </c>
      <c r="E25" s="29">
        <f>+E24/E22</f>
        <v>0.8383688391890316</v>
      </c>
      <c r="F25" s="30">
        <f t="shared" si="3"/>
        <v>0.6711938807194282</v>
      </c>
      <c r="G25" s="31">
        <f t="shared" si="3"/>
        <v>0.19927044478296874</v>
      </c>
      <c r="H25" s="23">
        <f t="shared" si="4"/>
        <v>1.8316340572481091</v>
      </c>
      <c r="I25" s="24">
        <f t="shared" si="5"/>
        <v>0.2376882768874454</v>
      </c>
      <c r="J25" s="25"/>
      <c r="N25" s="28" t="s">
        <v>14</v>
      </c>
      <c r="O25" s="28" t="s">
        <v>15</v>
      </c>
      <c r="P25" s="28" t="s">
        <v>16</v>
      </c>
      <c r="Q25" s="28" t="s">
        <v>17</v>
      </c>
      <c r="R25" s="28" t="s">
        <v>18</v>
      </c>
      <c r="S25" s="28" t="s">
        <v>19</v>
      </c>
      <c r="T25" s="28" t="s">
        <v>20</v>
      </c>
      <c r="U25" s="28" t="s">
        <v>21</v>
      </c>
      <c r="V25" s="28" t="s">
        <v>22</v>
      </c>
      <c r="W25" s="28" t="s">
        <v>23</v>
      </c>
      <c r="X25" s="28" t="s">
        <v>24</v>
      </c>
      <c r="Y25" s="28" t="s">
        <v>25</v>
      </c>
    </row>
    <row r="26" spans="1:25" x14ac:dyDescent="0.25">
      <c r="B26" s="19" t="s">
        <v>27</v>
      </c>
      <c r="C26" s="20">
        <v>18570.859999999997</v>
      </c>
      <c r="D26" s="20">
        <v>16500</v>
      </c>
      <c r="E26" s="20">
        <v>16613.939999999999</v>
      </c>
      <c r="F26" s="21">
        <f t="shared" si="3"/>
        <v>2070.8599999999969</v>
      </c>
      <c r="G26" s="22">
        <f t="shared" si="3"/>
        <v>1956.9199999999983</v>
      </c>
      <c r="H26" s="23">
        <f t="shared" si="4"/>
        <v>0.12550666666666649</v>
      </c>
      <c r="I26" s="24">
        <f t="shared" si="5"/>
        <v>0.11778783359034632</v>
      </c>
      <c r="J26" s="25"/>
      <c r="N26" s="28">
        <v>52</v>
      </c>
      <c r="O26" s="28">
        <v>56</v>
      </c>
      <c r="P26" s="28">
        <v>61</v>
      </c>
      <c r="Q26" s="28">
        <v>64</v>
      </c>
      <c r="R26" s="28">
        <v>61</v>
      </c>
      <c r="S26" s="28">
        <v>60</v>
      </c>
      <c r="T26" s="28">
        <v>61</v>
      </c>
      <c r="U26" s="28">
        <v>60</v>
      </c>
      <c r="V26" s="28">
        <v>56</v>
      </c>
      <c r="W26" s="28">
        <v>54</v>
      </c>
      <c r="X26" s="28">
        <v>50</v>
      </c>
      <c r="Y26" s="28">
        <v>49</v>
      </c>
    </row>
    <row r="27" spans="1:25" x14ac:dyDescent="0.25">
      <c r="B27" s="19" t="s">
        <v>28</v>
      </c>
      <c r="C27" s="20">
        <f>+C26/C21</f>
        <v>1428.5276923076922</v>
      </c>
      <c r="D27" s="20">
        <f>+D26/D21</f>
        <v>1650</v>
      </c>
      <c r="E27" s="20">
        <f>+E26/E21</f>
        <v>1277.9953846153844</v>
      </c>
      <c r="F27" s="21">
        <f t="shared" si="3"/>
        <v>-221.47230769230782</v>
      </c>
      <c r="G27" s="22">
        <f t="shared" si="3"/>
        <v>150.53230769230777</v>
      </c>
      <c r="H27" s="26">
        <f t="shared" si="4"/>
        <v>-0.13422564102564111</v>
      </c>
      <c r="I27" s="27">
        <f t="shared" si="5"/>
        <v>0.1177878335903465</v>
      </c>
      <c r="J27" s="25"/>
      <c r="N27" s="32">
        <v>1967562.7450980393</v>
      </c>
      <c r="O27" s="32">
        <v>2118913.7254901966</v>
      </c>
      <c r="P27" s="32">
        <v>2308102.4509803923</v>
      </c>
      <c r="Q27" s="32">
        <v>2421615.6862745099</v>
      </c>
      <c r="R27" s="32">
        <v>2308102.4509803923</v>
      </c>
      <c r="S27" s="32">
        <v>2270264.7058823532</v>
      </c>
      <c r="T27" s="32">
        <v>2308102.4509803923</v>
      </c>
      <c r="U27" s="32">
        <v>2270264.7058823532</v>
      </c>
      <c r="V27" s="32">
        <v>2118913.7254901957</v>
      </c>
      <c r="W27" s="32">
        <v>2043238.2352941176</v>
      </c>
      <c r="X27" s="32">
        <v>1891887.254901961</v>
      </c>
      <c r="Y27" s="32">
        <v>1854049.5098039214</v>
      </c>
    </row>
    <row r="28" spans="1:25" x14ac:dyDescent="0.25">
      <c r="B28" s="19" t="s">
        <v>29</v>
      </c>
      <c r="C28" s="20">
        <v>5041.63</v>
      </c>
      <c r="D28" s="20">
        <v>4125</v>
      </c>
      <c r="E28" s="20">
        <v>4002</v>
      </c>
      <c r="F28" s="21">
        <f t="shared" si="3"/>
        <v>916.63000000000011</v>
      </c>
      <c r="G28" s="22">
        <f t="shared" si="3"/>
        <v>1039.6300000000001</v>
      </c>
      <c r="H28" s="23">
        <f t="shared" si="4"/>
        <v>0.22221333333333335</v>
      </c>
      <c r="I28" s="24">
        <f t="shared" si="5"/>
        <v>0.25977761119440285</v>
      </c>
      <c r="J28" s="25"/>
    </row>
    <row r="29" spans="1:25" x14ac:dyDescent="0.25">
      <c r="B29" s="19" t="s">
        <v>30</v>
      </c>
      <c r="C29" s="29">
        <f>+C28/C26</f>
        <v>0.27148069610131148</v>
      </c>
      <c r="D29" s="29">
        <f>+D28/D26</f>
        <v>0.25</v>
      </c>
      <c r="E29" s="29">
        <f>+E28/E26</f>
        <v>0.24088205446751346</v>
      </c>
      <c r="F29" s="30">
        <f t="shared" si="3"/>
        <v>2.1480696101311481E-2</v>
      </c>
      <c r="G29" s="33">
        <f t="shared" si="3"/>
        <v>3.0598641633798024E-2</v>
      </c>
      <c r="H29" s="23">
        <f t="shared" si="4"/>
        <v>8.5922784405245922E-2</v>
      </c>
      <c r="I29" s="24">
        <f t="shared" si="5"/>
        <v>0.12702748530370372</v>
      </c>
      <c r="J29" s="25"/>
    </row>
    <row r="30" spans="1:25" x14ac:dyDescent="0.25">
      <c r="B30" s="19" t="s">
        <v>31</v>
      </c>
      <c r="C30" s="20">
        <v>16189.59</v>
      </c>
      <c r="D30" s="20">
        <v>18229.359215284472</v>
      </c>
      <c r="E30" s="20">
        <v>24660.7</v>
      </c>
      <c r="F30" s="21">
        <f t="shared" si="3"/>
        <v>-2039.769215284472</v>
      </c>
      <c r="G30" s="22">
        <f t="shared" si="3"/>
        <v>-8471.11</v>
      </c>
      <c r="H30" s="23">
        <f t="shared" si="4"/>
        <v>-0.11189472933169368</v>
      </c>
      <c r="I30" s="24">
        <f t="shared" si="5"/>
        <v>-0.3435064698082374</v>
      </c>
      <c r="J30" s="25"/>
    </row>
    <row r="31" spans="1:25" x14ac:dyDescent="0.25">
      <c r="B31" s="19" t="s">
        <v>32</v>
      </c>
      <c r="C31" s="20">
        <f>+C30/C21</f>
        <v>1245.353076923077</v>
      </c>
      <c r="D31" s="20">
        <f>+D30/D21</f>
        <v>1822.9359215284471</v>
      </c>
      <c r="E31" s="20">
        <f>+E30/E21</f>
        <v>1896.9769230769232</v>
      </c>
      <c r="F31" s="21">
        <f t="shared" si="3"/>
        <v>-577.58284460537016</v>
      </c>
      <c r="G31" s="22">
        <f t="shared" si="3"/>
        <v>-651.62384615384622</v>
      </c>
      <c r="H31" s="23">
        <f t="shared" si="4"/>
        <v>-0.31684209948591818</v>
      </c>
      <c r="I31" s="24">
        <f>+IFERROR(G31/ABS($E31),"")</f>
        <v>-0.3435064698082374</v>
      </c>
      <c r="J31" s="25"/>
    </row>
    <row r="32" spans="1:25" x14ac:dyDescent="0.25">
      <c r="B32" s="19" t="s">
        <v>33</v>
      </c>
      <c r="C32" s="20">
        <v>5095</v>
      </c>
      <c r="D32" s="20">
        <v>7050.1470588235297</v>
      </c>
      <c r="E32" s="20">
        <v>7010</v>
      </c>
      <c r="F32" s="21">
        <f t="shared" si="3"/>
        <v>-1955.1470588235297</v>
      </c>
      <c r="G32" s="22">
        <f t="shared" si="3"/>
        <v>-1915</v>
      </c>
      <c r="H32" s="23">
        <f t="shared" si="4"/>
        <v>-0.27732003921486831</v>
      </c>
      <c r="I32" s="24">
        <f t="shared" si="5"/>
        <v>-0.27318116975748929</v>
      </c>
      <c r="J32" s="25"/>
    </row>
    <row r="33" spans="2:10" x14ac:dyDescent="0.25">
      <c r="B33" s="34" t="s">
        <v>34</v>
      </c>
      <c r="C33" s="35"/>
      <c r="D33" s="35"/>
      <c r="E33" s="35"/>
      <c r="F33" s="36"/>
      <c r="G33" s="37"/>
      <c r="H33" s="63"/>
      <c r="I33" s="64"/>
      <c r="J33" s="25"/>
    </row>
    <row r="34" spans="2:10" x14ac:dyDescent="0.25">
      <c r="B34" s="40" t="s">
        <v>9</v>
      </c>
      <c r="C34" s="41">
        <v>34</v>
      </c>
      <c r="D34" s="41">
        <v>49</v>
      </c>
      <c r="E34" s="42">
        <v>50</v>
      </c>
      <c r="F34" s="43">
        <f>+IFERROR($C34-D34,"")</f>
        <v>-15</v>
      </c>
      <c r="G34" s="44">
        <f>+IFERROR($C34-E34,"")</f>
        <v>-16</v>
      </c>
      <c r="H34" s="30">
        <f>+IFERROR(F34/ABS($D34),"")</f>
        <v>-0.30612244897959184</v>
      </c>
      <c r="I34" s="45">
        <f>+IFERROR(G34/ABS($E34),"")</f>
        <v>-0.32</v>
      </c>
      <c r="J34" s="25"/>
    </row>
    <row r="35" spans="2:10" x14ac:dyDescent="0.25">
      <c r="B35" s="46" t="s">
        <v>35</v>
      </c>
      <c r="C35" s="47">
        <v>1213676</v>
      </c>
      <c r="D35" s="47">
        <v>1854049.5098039214</v>
      </c>
      <c r="E35" s="47">
        <v>1972155.4199999997</v>
      </c>
      <c r="F35" s="48">
        <f>+IFERROR($C35-D35,"")</f>
        <v>-640373.50980392145</v>
      </c>
      <c r="G35" s="49">
        <f>+IFERROR($C35-E35,"")</f>
        <v>-758479.41999999969</v>
      </c>
      <c r="H35" s="50">
        <f>+IFERROR(F35/ABS($D35),"")</f>
        <v>-0.34539180664687069</v>
      </c>
      <c r="I35" s="51">
        <f>+IFERROR(G35/ABS($E35),"")</f>
        <v>-0.38459414116560847</v>
      </c>
      <c r="J35" s="52"/>
    </row>
    <row r="36" spans="2:10" x14ac:dyDescent="0.25">
      <c r="C36" s="53"/>
      <c r="D36" s="53"/>
      <c r="E36" s="53"/>
      <c r="F36" s="53"/>
      <c r="G36" s="53"/>
      <c r="H36" s="53"/>
      <c r="I36" s="53"/>
    </row>
    <row r="37" spans="2:10" x14ac:dyDescent="0.25">
      <c r="B37" s="65" t="s">
        <v>38</v>
      </c>
      <c r="C37" s="66" t="s">
        <v>1</v>
      </c>
      <c r="D37" s="66" t="s">
        <v>2</v>
      </c>
      <c r="E37" s="66">
        <f>$E$3</f>
        <v>2023</v>
      </c>
      <c r="F37" s="67" t="s">
        <v>3</v>
      </c>
      <c r="G37" s="68" t="str">
        <f>$G$3</f>
        <v>▲2023</v>
      </c>
      <c r="H37" s="67" t="s">
        <v>5</v>
      </c>
      <c r="I37" s="68" t="str">
        <f>$I$3</f>
        <v>% ▲ 2023</v>
      </c>
      <c r="J37" s="69" t="s">
        <v>7</v>
      </c>
    </row>
    <row r="38" spans="2:10" ht="28.15" customHeight="1" x14ac:dyDescent="0.25">
      <c r="B38" s="59" t="s">
        <v>39</v>
      </c>
      <c r="C38" s="70">
        <v>122270.69</v>
      </c>
      <c r="D38" s="70">
        <v>101890.66485631789</v>
      </c>
      <c r="E38" s="70">
        <v>76379.759999999893</v>
      </c>
      <c r="F38" s="71">
        <f t="shared" ref="F38:G47" si="6">+IFERROR($C38-D38,"")</f>
        <v>20380.025143682113</v>
      </c>
      <c r="G38" s="72">
        <f t="shared" si="6"/>
        <v>45890.930000000109</v>
      </c>
      <c r="H38" s="16">
        <f t="shared" ref="H38:H47" si="7">+IFERROR(F38/ABS($D38),"")</f>
        <v>0.20001857061607364</v>
      </c>
      <c r="I38" s="17">
        <f t="shared" ref="I38:I47" si="8">+IFERROR(G38/ABS($E38),"")</f>
        <v>0.60082579468697173</v>
      </c>
      <c r="J38" s="18"/>
    </row>
    <row r="39" spans="2:10" x14ac:dyDescent="0.25">
      <c r="B39" s="59" t="s">
        <v>40</v>
      </c>
      <c r="C39" s="70">
        <v>72252.35000000002</v>
      </c>
      <c r="D39" s="70">
        <v>67820.758956557838</v>
      </c>
      <c r="E39" s="70">
        <v>51420.499999999804</v>
      </c>
      <c r="F39" s="71">
        <f t="shared" si="6"/>
        <v>4431.5910434421821</v>
      </c>
      <c r="G39" s="72">
        <f t="shared" si="6"/>
        <v>20831.850000000217</v>
      </c>
      <c r="H39" s="73">
        <f t="shared" si="7"/>
        <v>6.5342693175710551E-2</v>
      </c>
      <c r="I39" s="74">
        <f t="shared" si="8"/>
        <v>0.40512733248413174</v>
      </c>
      <c r="J39" s="25"/>
    </row>
    <row r="40" spans="2:10" x14ac:dyDescent="0.25">
      <c r="B40" s="19" t="s">
        <v>41</v>
      </c>
      <c r="C40" s="20">
        <v>304.06525773195881</v>
      </c>
      <c r="D40" s="75">
        <v>324</v>
      </c>
      <c r="E40" s="20">
        <v>328.80470000000003</v>
      </c>
      <c r="F40" s="21">
        <f t="shared" si="6"/>
        <v>-19.934742268041191</v>
      </c>
      <c r="G40" s="22">
        <f t="shared" si="6"/>
        <v>-24.739442268041216</v>
      </c>
      <c r="H40" s="23">
        <f t="shared" si="7"/>
        <v>-6.1526982308769108E-2</v>
      </c>
      <c r="I40" s="24">
        <f t="shared" si="8"/>
        <v>-7.5240537218723494E-2</v>
      </c>
      <c r="J40" s="25"/>
    </row>
    <row r="41" spans="2:10" x14ac:dyDescent="0.25">
      <c r="B41" s="19" t="s">
        <v>42</v>
      </c>
      <c r="C41" s="20">
        <v>244.77356643356646</v>
      </c>
      <c r="D41" s="75">
        <v>145</v>
      </c>
      <c r="E41" s="20">
        <v>134.77941176470503</v>
      </c>
      <c r="F41" s="21">
        <f t="shared" si="6"/>
        <v>99.773566433566458</v>
      </c>
      <c r="G41" s="22">
        <f t="shared" si="6"/>
        <v>109.99415466886143</v>
      </c>
      <c r="H41" s="23">
        <f t="shared" si="7"/>
        <v>0.68809356161080315</v>
      </c>
      <c r="I41" s="24">
        <f t="shared" si="8"/>
        <v>0.81610502100192295</v>
      </c>
      <c r="J41" s="25"/>
    </row>
    <row r="42" spans="2:10" x14ac:dyDescent="0.25">
      <c r="B42" s="19" t="s">
        <v>43</v>
      </c>
      <c r="C42" s="76">
        <v>-2565.34</v>
      </c>
      <c r="D42" s="76">
        <v>-1485.3586298078108</v>
      </c>
      <c r="E42" s="76">
        <v>-417.99</v>
      </c>
      <c r="F42" s="21">
        <f t="shared" si="6"/>
        <v>-1079.9813701921894</v>
      </c>
      <c r="G42" s="22">
        <f t="shared" si="6"/>
        <v>-2147.3500000000004</v>
      </c>
      <c r="H42" s="23">
        <f t="shared" si="7"/>
        <v>-0.72708458988919544</v>
      </c>
      <c r="I42" s="24">
        <f t="shared" si="8"/>
        <v>-5.1373238594224748</v>
      </c>
      <c r="J42" s="25"/>
    </row>
    <row r="43" spans="2:10" x14ac:dyDescent="0.25">
      <c r="B43" s="19" t="s">
        <v>44</v>
      </c>
      <c r="C43" s="20">
        <v>67437.600000000006</v>
      </c>
      <c r="D43" s="20">
        <v>42928.265244102964</v>
      </c>
      <c r="E43" s="20">
        <v>44488.07</v>
      </c>
      <c r="F43" s="21">
        <f t="shared" si="6"/>
        <v>24509.334755897042</v>
      </c>
      <c r="G43" s="22">
        <f t="shared" si="6"/>
        <v>22949.530000000006</v>
      </c>
      <c r="H43" s="23">
        <f t="shared" si="7"/>
        <v>0.57093699492699346</v>
      </c>
      <c r="I43" s="24">
        <f t="shared" si="8"/>
        <v>0.51585807161335628</v>
      </c>
      <c r="J43" s="25"/>
    </row>
    <row r="44" spans="2:10" x14ac:dyDescent="0.25">
      <c r="B44" s="77" t="s">
        <v>45</v>
      </c>
      <c r="C44" s="20">
        <v>36361.020000000004</v>
      </c>
      <c r="D44" s="20">
        <v>26067.695737913484</v>
      </c>
      <c r="E44" s="20">
        <v>22361.29</v>
      </c>
      <c r="F44" s="21">
        <f t="shared" si="6"/>
        <v>10293.32426208652</v>
      </c>
      <c r="G44" s="22">
        <f t="shared" si="6"/>
        <v>13999.730000000003</v>
      </c>
      <c r="H44" s="23">
        <f t="shared" si="7"/>
        <v>0.39486897367440355</v>
      </c>
      <c r="I44" s="24">
        <f t="shared" si="8"/>
        <v>0.62606987342859033</v>
      </c>
      <c r="J44" s="25"/>
    </row>
    <row r="45" spans="2:10" x14ac:dyDescent="0.25">
      <c r="B45" s="77" t="s">
        <v>46</v>
      </c>
      <c r="C45" s="20">
        <v>31076.58</v>
      </c>
      <c r="D45" s="20">
        <v>16860.569506189473</v>
      </c>
      <c r="E45" s="20">
        <v>22126.78</v>
      </c>
      <c r="F45" s="21">
        <f t="shared" si="6"/>
        <v>14216.010493810529</v>
      </c>
      <c r="G45" s="22">
        <f t="shared" si="6"/>
        <v>8949.8000000000029</v>
      </c>
      <c r="H45" s="23">
        <f t="shared" si="7"/>
        <v>0.84315126417241526</v>
      </c>
      <c r="I45" s="24">
        <f t="shared" si="8"/>
        <v>0.40447819339280289</v>
      </c>
      <c r="J45" s="25"/>
    </row>
    <row r="46" spans="2:10" x14ac:dyDescent="0.25">
      <c r="B46" s="19" t="s">
        <v>47</v>
      </c>
      <c r="C46" s="78">
        <f>+C43/C38</f>
        <v>0.55154346475021943</v>
      </c>
      <c r="D46" s="78">
        <f>+D43/D38</f>
        <v>0.42131696073078601</v>
      </c>
      <c r="E46" s="78">
        <f>+E43/E38</f>
        <v>0.58245888701404747</v>
      </c>
      <c r="F46" s="30">
        <f t="shared" si="6"/>
        <v>0.13022650401943342</v>
      </c>
      <c r="G46" s="31">
        <f t="shared" si="6"/>
        <v>-3.0915422263828041E-2</v>
      </c>
      <c r="H46" s="23">
        <f t="shared" si="7"/>
        <v>0.30909390353892213</v>
      </c>
      <c r="I46" s="24">
        <f t="shared" si="8"/>
        <v>-5.3077432507407922E-2</v>
      </c>
      <c r="J46" s="25"/>
    </row>
    <row r="47" spans="2:10" x14ac:dyDescent="0.25">
      <c r="B47" s="79" t="s">
        <v>48</v>
      </c>
      <c r="C47" s="80">
        <v>7241.34</v>
      </c>
      <c r="D47" s="80">
        <v>4822.7083333333339</v>
      </c>
      <c r="E47" s="80">
        <v>3987.5499999999902</v>
      </c>
      <c r="F47" s="48">
        <f t="shared" si="6"/>
        <v>2418.6316666666662</v>
      </c>
      <c r="G47" s="49">
        <f t="shared" si="6"/>
        <v>3253.79000000001</v>
      </c>
      <c r="H47" s="81">
        <f t="shared" si="7"/>
        <v>0.50150900686854705</v>
      </c>
      <c r="I47" s="51">
        <f t="shared" si="8"/>
        <v>0.81598726034783708</v>
      </c>
      <c r="J47" s="52"/>
    </row>
    <row r="48" spans="2:10" x14ac:dyDescent="0.25">
      <c r="C48" s="53"/>
      <c r="D48" s="53"/>
      <c r="E48" s="53">
        <v>23</v>
      </c>
      <c r="F48" s="53"/>
      <c r="G48" s="53"/>
      <c r="H48" s="53"/>
      <c r="I48" s="53"/>
    </row>
    <row r="49" spans="2:25" ht="15.75" thickBot="1" x14ac:dyDescent="0.3">
      <c r="B49" s="82" t="s">
        <v>49</v>
      </c>
      <c r="C49" s="83" t="s">
        <v>1</v>
      </c>
      <c r="D49" s="83" t="s">
        <v>2</v>
      </c>
      <c r="E49" s="83">
        <f>$E$3</f>
        <v>2023</v>
      </c>
      <c r="F49" s="84" t="s">
        <v>3</v>
      </c>
      <c r="G49" s="85" t="str">
        <f>$G$3</f>
        <v>▲2023</v>
      </c>
      <c r="H49" s="84" t="s">
        <v>5</v>
      </c>
      <c r="I49" s="85" t="str">
        <f>$I$3</f>
        <v>% ▲ 2023</v>
      </c>
      <c r="J49" s="86" t="s">
        <v>7</v>
      </c>
    </row>
    <row r="50" spans="2:25" ht="14.45" customHeight="1" x14ac:dyDescent="0.25">
      <c r="B50" s="87" t="s">
        <v>39</v>
      </c>
      <c r="C50" s="70">
        <v>237483.64999999997</v>
      </c>
      <c r="D50" s="70">
        <v>233751.69056023768</v>
      </c>
      <c r="E50" s="70">
        <v>222098.21000000002</v>
      </c>
      <c r="F50" s="71">
        <f t="shared" ref="F50:G59" si="9">+IFERROR($C50-D50,"")</f>
        <v>3731.9594397622859</v>
      </c>
      <c r="G50" s="72">
        <f t="shared" si="9"/>
        <v>15385.439999999944</v>
      </c>
      <c r="H50" s="16">
        <f t="shared" ref="H50:H59" si="10">+IFERROR(F50/ABS($D50),"")</f>
        <v>1.5965486413457883E-2</v>
      </c>
      <c r="I50" s="17">
        <f t="shared" ref="I50:I59" si="11">+IFERROR(G50/ABS($E50),"")</f>
        <v>6.9273138221149749E-2</v>
      </c>
      <c r="J50" s="88"/>
    </row>
    <row r="51" spans="2:25" x14ac:dyDescent="0.25">
      <c r="B51" s="89" t="s">
        <v>50</v>
      </c>
      <c r="C51" s="20">
        <v>33417.71</v>
      </c>
      <c r="D51" s="20">
        <v>36010.327021002944</v>
      </c>
      <c r="E51" s="20">
        <v>44940.84</v>
      </c>
      <c r="F51" s="21">
        <f t="shared" si="9"/>
        <v>-2592.617021002945</v>
      </c>
      <c r="G51" s="22">
        <f t="shared" si="9"/>
        <v>-11523.129999999997</v>
      </c>
      <c r="H51" s="23">
        <f t="shared" si="10"/>
        <v>-7.199648643820443E-2</v>
      </c>
      <c r="I51" s="24">
        <f t="shared" si="11"/>
        <v>-0.25640664482461828</v>
      </c>
      <c r="J51" s="90"/>
    </row>
    <row r="52" spans="2:25" x14ac:dyDescent="0.25">
      <c r="B52" s="89" t="s">
        <v>51</v>
      </c>
      <c r="C52" s="20">
        <v>57248.619999999995</v>
      </c>
      <c r="D52" s="20">
        <v>31314.973404235658</v>
      </c>
      <c r="E52" s="20">
        <v>32194.61</v>
      </c>
      <c r="F52" s="21">
        <f t="shared" si="9"/>
        <v>25933.646595764338</v>
      </c>
      <c r="G52" s="22">
        <f t="shared" si="9"/>
        <v>25054.009999999995</v>
      </c>
      <c r="H52" s="23">
        <f t="shared" si="10"/>
        <v>0.82815483382325206</v>
      </c>
      <c r="I52" s="24">
        <f t="shared" si="11"/>
        <v>0.77820510948882415</v>
      </c>
      <c r="J52" s="90"/>
    </row>
    <row r="53" spans="2:25" x14ac:dyDescent="0.25">
      <c r="B53" s="89" t="s">
        <v>52</v>
      </c>
      <c r="C53" s="20">
        <v>33456.9</v>
      </c>
      <c r="D53" s="20">
        <v>66887.717959526301</v>
      </c>
      <c r="E53" s="20">
        <v>46572.959999999999</v>
      </c>
      <c r="F53" s="21">
        <f t="shared" si="9"/>
        <v>-33430.817959526299</v>
      </c>
      <c r="G53" s="22">
        <f t="shared" si="9"/>
        <v>-13116.059999999998</v>
      </c>
      <c r="H53" s="23">
        <f t="shared" si="10"/>
        <v>-0.49980503116813252</v>
      </c>
      <c r="I53" s="24">
        <f t="shared" si="11"/>
        <v>-0.28162392942170733</v>
      </c>
      <c r="J53" s="90"/>
    </row>
    <row r="54" spans="2:25" x14ac:dyDescent="0.25">
      <c r="B54" s="89" t="s">
        <v>53</v>
      </c>
      <c r="C54" s="20">
        <v>62110.35</v>
      </c>
      <c r="D54" s="20">
        <v>51354.370401961576</v>
      </c>
      <c r="E54" s="20">
        <v>52137.64</v>
      </c>
      <c r="F54" s="21">
        <f t="shared" si="9"/>
        <v>10755.979598038422</v>
      </c>
      <c r="G54" s="22">
        <f t="shared" si="9"/>
        <v>9972.7099999999991</v>
      </c>
      <c r="H54" s="23">
        <f t="shared" si="10"/>
        <v>0.20944623629593903</v>
      </c>
      <c r="I54" s="24">
        <f t="shared" si="11"/>
        <v>0.19127659019472304</v>
      </c>
      <c r="J54" s="90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</row>
    <row r="55" spans="2:25" x14ac:dyDescent="0.25">
      <c r="B55" s="89" t="s">
        <v>54</v>
      </c>
      <c r="C55" s="20">
        <f>+C50-SUM(C51:C54)</f>
        <v>51250.069999999978</v>
      </c>
      <c r="D55" s="20">
        <f>+D50-SUM(D51:D54)</f>
        <v>48184.301773511193</v>
      </c>
      <c r="E55" s="20">
        <f>+E50-SUM(E51:E54)</f>
        <v>46252.160000000033</v>
      </c>
      <c r="F55" s="21">
        <f t="shared" si="9"/>
        <v>3065.7682264887844</v>
      </c>
      <c r="G55" s="22">
        <f t="shared" si="9"/>
        <v>4997.9099999999453</v>
      </c>
      <c r="H55" s="23">
        <f t="shared" si="10"/>
        <v>6.3625872195872679E-2</v>
      </c>
      <c r="I55" s="24">
        <f t="shared" si="11"/>
        <v>0.10805787232423182</v>
      </c>
      <c r="J55" s="90"/>
    </row>
    <row r="56" spans="2:25" x14ac:dyDescent="0.25">
      <c r="B56" s="59" t="s">
        <v>40</v>
      </c>
      <c r="C56" s="70">
        <v>90950.61</v>
      </c>
      <c r="D56" s="70">
        <v>72204.121484826435</v>
      </c>
      <c r="E56" s="70">
        <v>80546.409999999887</v>
      </c>
      <c r="F56" s="71">
        <f t="shared" si="9"/>
        <v>18746.488515173565</v>
      </c>
      <c r="G56" s="72">
        <f t="shared" si="9"/>
        <v>10404.200000000114</v>
      </c>
      <c r="H56" s="73">
        <f t="shared" si="10"/>
        <v>0.25963183443916155</v>
      </c>
      <c r="I56" s="74">
        <f t="shared" si="11"/>
        <v>0.12917025103912302</v>
      </c>
      <c r="J56" s="90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 spans="2:25" x14ac:dyDescent="0.25">
      <c r="B57" s="19" t="s">
        <v>41</v>
      </c>
      <c r="C57" s="20">
        <v>344.5124742268041</v>
      </c>
      <c r="D57" s="75">
        <v>301</v>
      </c>
      <c r="E57" s="20">
        <v>449.40839999999997</v>
      </c>
      <c r="F57" s="21">
        <f t="shared" si="9"/>
        <v>43.512474226804102</v>
      </c>
      <c r="G57" s="22">
        <f t="shared" si="9"/>
        <v>-104.89592577319587</v>
      </c>
      <c r="H57" s="23">
        <f t="shared" si="10"/>
        <v>0.14455971503921627</v>
      </c>
      <c r="I57" s="24">
        <f t="shared" si="11"/>
        <v>-0.23340891219032817</v>
      </c>
      <c r="J57" s="90"/>
    </row>
    <row r="58" spans="2:25" x14ac:dyDescent="0.25">
      <c r="B58" s="19" t="s">
        <v>42</v>
      </c>
      <c r="C58" s="20">
        <v>400.34</v>
      </c>
      <c r="D58" s="75">
        <v>306</v>
      </c>
      <c r="E58" s="20">
        <v>270.54294117647061</v>
      </c>
      <c r="F58" s="21">
        <f t="shared" si="9"/>
        <v>94.339999999999975</v>
      </c>
      <c r="G58" s="22">
        <f t="shared" si="9"/>
        <v>129.79705882352937</v>
      </c>
      <c r="H58" s="23">
        <f t="shared" si="10"/>
        <v>0.30830065359477116</v>
      </c>
      <c r="I58" s="24">
        <f t="shared" si="11"/>
        <v>0.47976509111307741</v>
      </c>
      <c r="J58" s="90"/>
    </row>
    <row r="59" spans="2:25" ht="15.75" thickBot="1" x14ac:dyDescent="0.3">
      <c r="B59" s="79" t="s">
        <v>55</v>
      </c>
      <c r="C59" s="80">
        <v>13914.05</v>
      </c>
      <c r="D59" s="80">
        <v>14763.435114503816</v>
      </c>
      <c r="E59" s="80">
        <v>13372.96</v>
      </c>
      <c r="F59" s="48">
        <f t="shared" si="9"/>
        <v>-849.38511450381702</v>
      </c>
      <c r="G59" s="49">
        <f t="shared" si="9"/>
        <v>541.09000000000015</v>
      </c>
      <c r="H59" s="81">
        <f t="shared" si="10"/>
        <v>-5.7533027233571718E-2</v>
      </c>
      <c r="I59" s="92">
        <f t="shared" si="11"/>
        <v>4.0461498426675936E-2</v>
      </c>
      <c r="J59" s="93"/>
    </row>
    <row r="61" spans="2:25" ht="15.75" thickBot="1" x14ac:dyDescent="0.3">
      <c r="B61" s="94" t="s">
        <v>56</v>
      </c>
      <c r="C61" s="95" t="s">
        <v>1</v>
      </c>
      <c r="D61" s="95" t="s">
        <v>2</v>
      </c>
      <c r="E61" s="95">
        <f>$E$3</f>
        <v>2023</v>
      </c>
      <c r="F61" s="96" t="s">
        <v>3</v>
      </c>
      <c r="G61" s="97" t="str">
        <f>$G$3</f>
        <v>▲2023</v>
      </c>
      <c r="H61" s="96" t="s">
        <v>5</v>
      </c>
      <c r="I61" s="97" t="str">
        <f>$I$3</f>
        <v>% ▲ 2023</v>
      </c>
      <c r="J61" s="98" t="s">
        <v>7</v>
      </c>
    </row>
    <row r="62" spans="2:25" ht="29.25" customHeight="1" x14ac:dyDescent="0.25">
      <c r="B62" s="99" t="s">
        <v>57</v>
      </c>
      <c r="C62" s="100">
        <v>0.48691472976879929</v>
      </c>
      <c r="D62" s="100">
        <v>0.49489361576682533</v>
      </c>
      <c r="E62" s="100">
        <v>0.56591229444653923</v>
      </c>
      <c r="F62" s="30">
        <f t="shared" ref="F62:G67" si="12">+IFERROR($C62-D62,"")</f>
        <v>-7.9788859980260418E-3</v>
      </c>
      <c r="G62" s="31">
        <f t="shared" si="12"/>
        <v>-7.899756467773994E-2</v>
      </c>
      <c r="H62" s="23">
        <f t="shared" ref="H62:H67" si="13">+IFERROR(F62/ABS($D62),"")</f>
        <v>-1.6122426606095849E-2</v>
      </c>
      <c r="I62" s="24">
        <f t="shared" ref="I62:I67" si="14">+IFERROR(G62/ABS($E62),"")</f>
        <v>-0.13959329997415829</v>
      </c>
      <c r="J62" s="88" t="s">
        <v>58</v>
      </c>
    </row>
    <row r="63" spans="2:25" x14ac:dyDescent="0.25">
      <c r="B63" s="101" t="s">
        <v>59</v>
      </c>
      <c r="C63" s="102">
        <v>23.5</v>
      </c>
      <c r="D63" s="102">
        <v>23.5</v>
      </c>
      <c r="E63" s="102">
        <v>23.5</v>
      </c>
      <c r="F63" s="103">
        <f t="shared" si="12"/>
        <v>0</v>
      </c>
      <c r="G63" s="104">
        <f t="shared" si="12"/>
        <v>0</v>
      </c>
      <c r="H63" s="23">
        <f t="shared" si="13"/>
        <v>0</v>
      </c>
      <c r="I63" s="24">
        <f t="shared" si="14"/>
        <v>0</v>
      </c>
      <c r="J63" s="90"/>
    </row>
    <row r="64" spans="2:25" x14ac:dyDescent="0.25">
      <c r="B64" s="99" t="s">
        <v>60</v>
      </c>
      <c r="C64" s="20">
        <v>37676.67</v>
      </c>
      <c r="D64" s="20">
        <v>24294.980794711832</v>
      </c>
      <c r="E64" s="20">
        <v>30043.43</v>
      </c>
      <c r="F64" s="21">
        <f t="shared" si="12"/>
        <v>13381.689205288167</v>
      </c>
      <c r="G64" s="22">
        <f t="shared" si="12"/>
        <v>7633.239999999998</v>
      </c>
      <c r="H64" s="23">
        <f t="shared" si="13"/>
        <v>0.55080056734191341</v>
      </c>
      <c r="I64" s="24">
        <f t="shared" si="14"/>
        <v>0.25407351956817176</v>
      </c>
      <c r="J64" s="90"/>
    </row>
    <row r="65" spans="2:25" x14ac:dyDescent="0.25">
      <c r="B65" s="99" t="s">
        <v>61</v>
      </c>
      <c r="C65" s="20">
        <v>75899.87</v>
      </c>
      <c r="D65" s="20">
        <v>59854.892842627043</v>
      </c>
      <c r="E65" s="20">
        <v>58751.039999999994</v>
      </c>
      <c r="F65" s="21">
        <f t="shared" si="12"/>
        <v>16044.977157372952</v>
      </c>
      <c r="G65" s="22">
        <f t="shared" si="12"/>
        <v>17148.830000000002</v>
      </c>
      <c r="H65" s="23">
        <f t="shared" si="13"/>
        <v>0.26806458746086254</v>
      </c>
      <c r="I65" s="24">
        <f t="shared" si="14"/>
        <v>0.2918898116526959</v>
      </c>
      <c r="J65" s="90"/>
    </row>
    <row r="66" spans="2:25" x14ac:dyDescent="0.25">
      <c r="B66" s="99" t="s">
        <v>62</v>
      </c>
      <c r="C66" s="20">
        <v>31476.63</v>
      </c>
      <c r="D66" s="20">
        <v>30126.161663792253</v>
      </c>
      <c r="E66" s="20">
        <v>23123.119999999999</v>
      </c>
      <c r="F66" s="21">
        <f t="shared" si="12"/>
        <v>1350.4683362077485</v>
      </c>
      <c r="G66" s="22">
        <f t="shared" si="12"/>
        <v>8353.510000000002</v>
      </c>
      <c r="H66" s="23">
        <f t="shared" si="13"/>
        <v>4.4827095840451414E-2</v>
      </c>
      <c r="I66" s="24">
        <f t="shared" si="14"/>
        <v>0.36126223450814604</v>
      </c>
      <c r="J66" s="90"/>
    </row>
    <row r="67" spans="2:25" ht="15.75" thickBot="1" x14ac:dyDescent="0.3">
      <c r="B67" s="105" t="s">
        <v>63</v>
      </c>
      <c r="C67" s="80">
        <v>13475.800000000003</v>
      </c>
      <c r="D67" s="80">
        <v>14878.023876923093</v>
      </c>
      <c r="E67" s="80">
        <v>14414.410000000003</v>
      </c>
      <c r="F67" s="48">
        <f t="shared" si="12"/>
        <v>-1402.2238769230898</v>
      </c>
      <c r="G67" s="49">
        <f t="shared" si="12"/>
        <v>-938.61000000000058</v>
      </c>
      <c r="H67" s="50">
        <f t="shared" si="13"/>
        <v>-9.4247992107207329E-2</v>
      </c>
      <c r="I67" s="51">
        <f t="shared" si="14"/>
        <v>-6.5116088691802188E-2</v>
      </c>
      <c r="J67" s="93"/>
    </row>
    <row r="69" spans="2:25" ht="15.75" thickBot="1" x14ac:dyDescent="0.3">
      <c r="B69" s="106" t="s">
        <v>64</v>
      </c>
      <c r="C69" s="107" t="s">
        <v>1</v>
      </c>
      <c r="D69" s="107" t="s">
        <v>2</v>
      </c>
      <c r="E69" s="107">
        <f>$E$3</f>
        <v>2023</v>
      </c>
      <c r="F69" s="108" t="s">
        <v>3</v>
      </c>
      <c r="G69" s="109" t="str">
        <f>$G$3</f>
        <v>▲2023</v>
      </c>
      <c r="H69" s="108" t="s">
        <v>5</v>
      </c>
      <c r="I69" s="109" t="str">
        <f>$I$3</f>
        <v>% ▲ 2023</v>
      </c>
      <c r="J69" s="110" t="s">
        <v>7</v>
      </c>
    </row>
    <row r="70" spans="2:25" ht="15" customHeight="1" x14ac:dyDescent="0.25">
      <c r="B70" s="111" t="s">
        <v>65</v>
      </c>
      <c r="C70" s="112">
        <v>143268.39000000001</v>
      </c>
      <c r="D70" s="112">
        <v>94186.911620941231</v>
      </c>
      <c r="E70" s="112">
        <v>93072.11</v>
      </c>
      <c r="F70" s="113">
        <f t="shared" ref="F70:G77" si="15">+IFERROR($C70-D70,"")</f>
        <v>49081.478379058783</v>
      </c>
      <c r="G70" s="114">
        <f t="shared" si="15"/>
        <v>50196.280000000013</v>
      </c>
      <c r="H70" s="30">
        <f t="shared" ref="H70:H77" si="16">+IFERROR(F70/ABS($D70),"")</f>
        <v>0.52110720623889906</v>
      </c>
      <c r="I70" s="45">
        <f t="shared" ref="I70:I77" si="17">+IFERROR(G70/ABS($E70),"")</f>
        <v>0.53932676502122934</v>
      </c>
      <c r="J70" s="88"/>
    </row>
    <row r="71" spans="2:25" x14ac:dyDescent="0.25">
      <c r="B71" s="111" t="s">
        <v>66</v>
      </c>
      <c r="C71" s="100">
        <v>0.37495649296401001</v>
      </c>
      <c r="D71" s="100">
        <v>0.31654932824332427</v>
      </c>
      <c r="E71" s="100">
        <v>0.36475212133997686</v>
      </c>
      <c r="F71" s="30">
        <f t="shared" si="15"/>
        <v>5.8407164720685745E-2</v>
      </c>
      <c r="G71" s="31">
        <f t="shared" si="15"/>
        <v>1.0204371624033148E-2</v>
      </c>
      <c r="H71" s="30">
        <f t="shared" si="16"/>
        <v>0.18451204760033318</v>
      </c>
      <c r="I71" s="45">
        <f t="shared" si="17"/>
        <v>2.7976181705388615E-2</v>
      </c>
      <c r="J71" s="90"/>
    </row>
    <row r="72" spans="2:25" x14ac:dyDescent="0.25">
      <c r="B72" s="111" t="s">
        <v>67</v>
      </c>
      <c r="C72" s="20">
        <v>304739.16000000003</v>
      </c>
      <c r="D72" s="20">
        <v>262595.01496172987</v>
      </c>
      <c r="E72" s="20">
        <v>262615.36</v>
      </c>
      <c r="F72" s="115">
        <f t="shared" si="15"/>
        <v>42144.145038270159</v>
      </c>
      <c r="G72" s="116">
        <f t="shared" si="15"/>
        <v>42123.800000000047</v>
      </c>
      <c r="H72" s="30">
        <f>+IFERROR(F72/ABS($D72),"")</f>
        <v>0.16049103233895043</v>
      </c>
      <c r="I72" s="45">
        <f t="shared" si="17"/>
        <v>0.16040112809852419</v>
      </c>
      <c r="J72" s="90"/>
    </row>
    <row r="73" spans="2:25" x14ac:dyDescent="0.25">
      <c r="B73" s="111" t="s">
        <v>68</v>
      </c>
      <c r="C73" s="100">
        <v>0.79755155133940103</v>
      </c>
      <c r="D73" s="100">
        <v>0.88254593080531241</v>
      </c>
      <c r="E73" s="100">
        <v>1.0291967127043933</v>
      </c>
      <c r="F73" s="30">
        <f t="shared" si="15"/>
        <v>-8.4994379465911374E-2</v>
      </c>
      <c r="G73" s="31">
        <f t="shared" si="15"/>
        <v>-0.23164516136499225</v>
      </c>
      <c r="H73" s="30">
        <f t="shared" si="16"/>
        <v>-9.630589921632185E-2</v>
      </c>
      <c r="I73" s="45">
        <f t="shared" si="17"/>
        <v>-0.22507374781280085</v>
      </c>
      <c r="J73" s="90"/>
    </row>
    <row r="74" spans="2:25" s="117" customFormat="1" x14ac:dyDescent="0.25">
      <c r="B74" s="87" t="s">
        <v>69</v>
      </c>
      <c r="C74" s="70">
        <v>43516.620000000301</v>
      </c>
      <c r="D74" s="70">
        <v>22035.162834112281</v>
      </c>
      <c r="E74" s="70">
        <v>-6608.7900000002664</v>
      </c>
      <c r="F74" s="71">
        <f t="shared" si="15"/>
        <v>21481.45716588802</v>
      </c>
      <c r="G74" s="72">
        <f t="shared" si="15"/>
        <v>50125.410000000571</v>
      </c>
      <c r="H74" s="73">
        <f t="shared" si="16"/>
        <v>0.97487172332726857</v>
      </c>
      <c r="I74" s="74">
        <f t="shared" si="17"/>
        <v>7.5846577058733216</v>
      </c>
      <c r="J74" s="9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5">
      <c r="B75" s="19" t="s">
        <v>70</v>
      </c>
      <c r="C75" s="118">
        <v>1.0218629987301615E-2</v>
      </c>
      <c r="D75" s="118">
        <v>8.4520100126725534E-3</v>
      </c>
      <c r="E75" s="118">
        <v>-7.2054952088909576E-4</v>
      </c>
      <c r="F75" s="119">
        <f t="shared" si="15"/>
        <v>1.766619974629062E-3</v>
      </c>
      <c r="G75" s="120">
        <f t="shared" si="15"/>
        <v>1.0939179508190712E-2</v>
      </c>
      <c r="H75" s="23">
        <f t="shared" si="16"/>
        <v>0.20901773329424286</v>
      </c>
      <c r="I75" s="24">
        <f t="shared" si="17"/>
        <v>15.18171782932103</v>
      </c>
      <c r="J75" s="90"/>
    </row>
    <row r="76" spans="2:25" s="117" customFormat="1" x14ac:dyDescent="0.25">
      <c r="B76" s="87" t="s">
        <v>71</v>
      </c>
      <c r="C76" s="70">
        <v>13333.330000000296</v>
      </c>
      <c r="D76" s="70">
        <v>-19871.108119297456</v>
      </c>
      <c r="E76" s="70">
        <v>-49251.910000000265</v>
      </c>
      <c r="F76" s="71">
        <f t="shared" si="15"/>
        <v>33204.438119297753</v>
      </c>
      <c r="G76" s="72">
        <f t="shared" si="15"/>
        <v>62585.240000000558</v>
      </c>
      <c r="H76" s="73">
        <f t="shared" si="16"/>
        <v>1.6709907630693168</v>
      </c>
      <c r="I76" s="74">
        <f t="shared" si="17"/>
        <v>1.2707170138173367</v>
      </c>
      <c r="J76" s="90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ht="15.75" thickBot="1" x14ac:dyDescent="0.3">
      <c r="B77" s="121" t="s">
        <v>72</v>
      </c>
      <c r="C77" s="122">
        <v>3.1309501006417852E-3</v>
      </c>
      <c r="D77" s="122">
        <v>-7.6219452541189765E-3</v>
      </c>
      <c r="E77" s="122">
        <v>-5.3698846768276227E-3</v>
      </c>
      <c r="F77" s="123">
        <f t="shared" si="15"/>
        <v>1.0752895354760761E-2</v>
      </c>
      <c r="G77" s="124">
        <f t="shared" si="15"/>
        <v>8.5008347774694071E-3</v>
      </c>
      <c r="H77" s="81">
        <f t="shared" si="16"/>
        <v>1.4107809747058715</v>
      </c>
      <c r="I77" s="92">
        <f t="shared" si="17"/>
        <v>1.5830572328960073</v>
      </c>
      <c r="J77" s="93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2025-01-20T18:17:59Z</dcterms:created>
  <dcterms:modified xsi:type="dcterms:W3CDTF">2025-01-20T18:19:17Z</dcterms:modified>
</cp:coreProperties>
</file>